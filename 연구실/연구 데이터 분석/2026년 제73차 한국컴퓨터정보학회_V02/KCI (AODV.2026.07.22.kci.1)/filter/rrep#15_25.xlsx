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D:\Github\Python\연구실\연구 데이터 분석\2026년 제73차 한국컴퓨터정보학회_V02\KCI (AODV.2026.07.22.kci.1)\"/>
    </mc:Choice>
  </mc:AlternateContent>
  <xr:revisionPtr revIDLastSave="0" documentId="13_ncr:1_{1F613BD5-55CC-4A39-8AE7-CBF4573C7FD5}" xr6:coauthVersionLast="36" xr6:coauthVersionMax="36" xr10:uidLastSave="{00000000-0000-0000-0000-000000000000}"/>
  <bookViews>
    <workbookView xWindow="0" yWindow="0" windowWidth="30255" windowHeight="12465" xr2:uid="{00000000-000D-0000-FFFF-FFFF00000000}"/>
  </bookViews>
  <sheets>
    <sheet name="PDR Comparison" sheetId="1" r:id="rId1"/>
  </sheets>
  <calcPr calcId="191029"/>
</workbook>
</file>

<file path=xl/calcChain.xml><?xml version="1.0" encoding="utf-8"?>
<calcChain xmlns="http://schemas.openxmlformats.org/spreadsheetml/2006/main">
  <c r="S61" i="1" l="1"/>
  <c r="R61" i="1"/>
  <c r="Q61" i="1"/>
  <c r="L61" i="1"/>
  <c r="K61" i="1"/>
  <c r="J61" i="1"/>
  <c r="E61" i="1"/>
  <c r="D61" i="1"/>
  <c r="C61" i="1"/>
  <c r="S37" i="1"/>
  <c r="R37" i="1"/>
  <c r="Q37" i="1"/>
  <c r="L37" i="1"/>
  <c r="K37" i="1"/>
  <c r="J37" i="1"/>
  <c r="E37" i="1"/>
  <c r="D37" i="1"/>
  <c r="C37" i="1"/>
  <c r="S13" i="1"/>
  <c r="R13" i="1"/>
  <c r="Q13" i="1"/>
  <c r="L13" i="1"/>
  <c r="K13" i="1"/>
  <c r="J13" i="1"/>
  <c r="E13" i="1"/>
  <c r="D13" i="1"/>
  <c r="C13" i="1"/>
</calcChain>
</file>

<file path=xl/sharedStrings.xml><?xml version="1.0" encoding="utf-8"?>
<sst xmlns="http://schemas.openxmlformats.org/spreadsheetml/2006/main" count="63" uniqueCount="15">
  <si>
    <t>70/10</t>
  </si>
  <si>
    <t>70/20</t>
  </si>
  <si>
    <t>70/30</t>
  </si>
  <si>
    <t>No</t>
  </si>
  <si>
    <t>nodeId</t>
  </si>
  <si>
    <t>Legacy</t>
  </si>
  <si>
    <t>Proposed</t>
  </si>
  <si>
    <t>Delta</t>
  </si>
  <si>
    <t>AVG</t>
  </si>
  <si>
    <t>100/10</t>
  </si>
  <si>
    <t>100/20</t>
  </si>
  <si>
    <t>100/30</t>
  </si>
  <si>
    <t>120/10</t>
  </si>
  <si>
    <t>120/20</t>
  </si>
  <si>
    <t>120/30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</si>
</sst>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name val="맑은 고딕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61"/>
  <sheetViews>
    <sheetView tabSelected="1" topLeftCell="A19" workbookViewId="0">
      <selection activeCell="T31" sqref="T31"/>
    </sheetView>
  </sheetViews>
  <sheetFormatPr defaultRowHeight="16.5" x14ac:dyDescent="0.3"/>
  <sheetData>
    <row r="1" spans="1:19" x14ac:dyDescent="0.3">
      <c r="A1" t="s">
        <v>0</v>
      </c>
      <c r="H1" t="s">
        <v>1</v>
      </c>
      <c r="O1" t="s">
        <v>2</v>
      </c>
    </row>
    <row r="2" spans="1:19" x14ac:dyDescent="0.3">
      <c r="A2" s="1" t="s">
        <v>3</v>
      </c>
      <c r="B2" s="1" t="s">
        <v>4</v>
      </c>
      <c r="C2" s="1" t="s">
        <v>5</v>
      </c>
      <c r="D2" s="1" t="s">
        <v>6</v>
      </c>
      <c r="E2" s="1" t="s">
        <v>7</v>
      </c>
      <c r="H2" s="1" t="s">
        <v>3</v>
      </c>
      <c r="I2" s="1" t="s">
        <v>4</v>
      </c>
      <c r="J2" s="1" t="s">
        <v>5</v>
      </c>
      <c r="K2" s="1" t="s">
        <v>6</v>
      </c>
      <c r="L2" s="1" t="s">
        <v>7</v>
      </c>
      <c r="O2" s="1" t="s">
        <v>3</v>
      </c>
      <c r="P2" s="1" t="s">
        <v>4</v>
      </c>
      <c r="Q2" s="1" t="s">
        <v>5</v>
      </c>
      <c r="R2" s="1" t="s">
        <v>6</v>
      </c>
      <c r="S2" s="1" t="s">
        <v>7</v>
      </c>
    </row>
    <row r="3" spans="1:19" x14ac:dyDescent="0.3">
      <c r="A3">
        <v>1</v>
      </c>
      <c r="B3">
        <v>0</v>
      </c>
      <c r="C3">
        <v>75.8</v>
      </c>
      <c r="D3">
        <v>79.742900000000006</v>
      </c>
      <c r="E3">
        <v>3.9429000000000092</v>
      </c>
      <c r="H3">
        <v>1</v>
      </c>
      <c r="I3">
        <v>0</v>
      </c>
      <c r="J3">
        <v>15.8857</v>
      </c>
      <c r="K3">
        <v>49.171399999999998</v>
      </c>
      <c r="L3">
        <v>33.285699999999999</v>
      </c>
      <c r="O3">
        <v>1</v>
      </c>
      <c r="P3">
        <v>0</v>
      </c>
      <c r="Q3">
        <v>35.557099999999998</v>
      </c>
      <c r="R3">
        <v>57.314300000000003</v>
      </c>
      <c r="S3">
        <v>21.757200000000001</v>
      </c>
    </row>
    <row r="4" spans="1:19" x14ac:dyDescent="0.3">
      <c r="A4">
        <v>2</v>
      </c>
      <c r="B4">
        <v>3</v>
      </c>
      <c r="C4">
        <v>27.085699999999999</v>
      </c>
      <c r="D4">
        <v>56.014299999999999</v>
      </c>
      <c r="E4">
        <v>28.928599999999999</v>
      </c>
      <c r="H4">
        <v>2</v>
      </c>
      <c r="I4">
        <v>2</v>
      </c>
      <c r="J4">
        <v>53.642899999999997</v>
      </c>
      <c r="K4">
        <v>85.442899999999995</v>
      </c>
      <c r="L4">
        <v>31.8</v>
      </c>
      <c r="O4">
        <v>2</v>
      </c>
      <c r="P4">
        <v>2</v>
      </c>
      <c r="Q4">
        <v>42.328600000000002</v>
      </c>
      <c r="R4">
        <v>75.414299999999997</v>
      </c>
      <c r="S4">
        <v>33.085700000000003</v>
      </c>
    </row>
    <row r="5" spans="1:19" x14ac:dyDescent="0.3">
      <c r="A5">
        <v>3</v>
      </c>
      <c r="B5">
        <v>4</v>
      </c>
      <c r="C5">
        <v>38.714300000000001</v>
      </c>
      <c r="D5">
        <v>78.985699999999994</v>
      </c>
      <c r="E5">
        <v>40.271399999999993</v>
      </c>
      <c r="H5">
        <v>3</v>
      </c>
      <c r="I5">
        <v>3</v>
      </c>
      <c r="J5">
        <v>80.528599999999997</v>
      </c>
      <c r="K5">
        <v>73.471400000000003</v>
      </c>
      <c r="L5">
        <v>-7.0571999999999946</v>
      </c>
      <c r="O5">
        <v>3</v>
      </c>
      <c r="P5">
        <v>3</v>
      </c>
      <c r="Q5">
        <v>81.900000000000006</v>
      </c>
      <c r="R5">
        <v>93.1571</v>
      </c>
      <c r="S5">
        <v>11.257099999999991</v>
      </c>
    </row>
    <row r="6" spans="1:19" x14ac:dyDescent="0.3">
      <c r="A6">
        <v>4</v>
      </c>
      <c r="B6">
        <v>5</v>
      </c>
      <c r="C6">
        <v>50</v>
      </c>
      <c r="D6">
        <v>71.571399999999997</v>
      </c>
      <c r="E6">
        <v>21.571400000000001</v>
      </c>
      <c r="H6">
        <v>4</v>
      </c>
      <c r="I6">
        <v>6</v>
      </c>
      <c r="J6">
        <v>84.742900000000006</v>
      </c>
      <c r="K6">
        <v>86.9</v>
      </c>
      <c r="L6">
        <v>2.1570999999999998</v>
      </c>
      <c r="O6">
        <v>4</v>
      </c>
      <c r="P6">
        <v>5</v>
      </c>
      <c r="Q6">
        <v>47.2286</v>
      </c>
      <c r="R6">
        <v>49.328600000000002</v>
      </c>
      <c r="S6">
        <v>2.100000000000001</v>
      </c>
    </row>
    <row r="7" spans="1:19" x14ac:dyDescent="0.3">
      <c r="A7">
        <v>5</v>
      </c>
      <c r="B7">
        <v>6</v>
      </c>
      <c r="C7">
        <v>20.2</v>
      </c>
      <c r="D7">
        <v>57.8</v>
      </c>
      <c r="E7">
        <v>37.599999999999987</v>
      </c>
      <c r="H7">
        <v>5</v>
      </c>
      <c r="I7">
        <v>7</v>
      </c>
      <c r="J7">
        <v>99.957099999999997</v>
      </c>
      <c r="K7">
        <v>99.971400000000003</v>
      </c>
      <c r="L7">
        <v>1.4300000000005751E-2</v>
      </c>
      <c r="O7">
        <v>5</v>
      </c>
      <c r="P7">
        <v>6</v>
      </c>
      <c r="Q7">
        <v>93.914299999999997</v>
      </c>
      <c r="R7">
        <v>94.371399999999994</v>
      </c>
      <c r="S7">
        <v>0.45709999999999701</v>
      </c>
    </row>
    <row r="8" spans="1:19" x14ac:dyDescent="0.3">
      <c r="A8">
        <v>6</v>
      </c>
      <c r="B8">
        <v>9</v>
      </c>
      <c r="C8">
        <v>56.085700000000003</v>
      </c>
      <c r="D8">
        <v>96.871399999999994</v>
      </c>
      <c r="E8">
        <v>40.785699999999991</v>
      </c>
      <c r="H8">
        <v>6</v>
      </c>
      <c r="I8">
        <v>9</v>
      </c>
      <c r="J8">
        <v>46.071399999999997</v>
      </c>
      <c r="K8">
        <v>98.357100000000003</v>
      </c>
      <c r="L8">
        <v>52.285700000000013</v>
      </c>
      <c r="O8">
        <v>6</v>
      </c>
      <c r="P8">
        <v>7</v>
      </c>
      <c r="Q8">
        <v>99.957099999999997</v>
      </c>
      <c r="R8">
        <v>98.971400000000003</v>
      </c>
      <c r="S8">
        <v>-0.98569999999999425</v>
      </c>
    </row>
    <row r="9" spans="1:19" x14ac:dyDescent="0.3">
      <c r="A9">
        <v>7</v>
      </c>
      <c r="B9">
        <v>12</v>
      </c>
      <c r="C9">
        <v>46.214300000000001</v>
      </c>
      <c r="D9">
        <v>74.314300000000003</v>
      </c>
      <c r="E9">
        <v>28.1</v>
      </c>
      <c r="H9">
        <v>7</v>
      </c>
      <c r="I9">
        <v>10</v>
      </c>
      <c r="J9">
        <v>31.985700000000001</v>
      </c>
      <c r="K9">
        <v>92.785700000000006</v>
      </c>
      <c r="L9">
        <v>60.8</v>
      </c>
      <c r="O9">
        <v>7</v>
      </c>
      <c r="P9">
        <v>9</v>
      </c>
      <c r="Q9">
        <v>66.628600000000006</v>
      </c>
      <c r="R9">
        <v>87.928600000000003</v>
      </c>
      <c r="S9">
        <v>21.3</v>
      </c>
    </row>
    <row r="10" spans="1:19" x14ac:dyDescent="0.3">
      <c r="A10">
        <v>8</v>
      </c>
      <c r="B10">
        <v>13</v>
      </c>
      <c r="C10">
        <v>76.757099999999994</v>
      </c>
      <c r="D10">
        <v>85.8</v>
      </c>
      <c r="E10">
        <v>9.042900000000003</v>
      </c>
      <c r="H10">
        <v>8</v>
      </c>
      <c r="I10">
        <v>11</v>
      </c>
      <c r="J10">
        <v>96.628600000000006</v>
      </c>
      <c r="K10">
        <v>87.3429</v>
      </c>
      <c r="L10">
        <v>-9.2857000000000056</v>
      </c>
      <c r="O10">
        <v>8</v>
      </c>
      <c r="P10">
        <v>10</v>
      </c>
      <c r="Q10">
        <v>78.485699999999994</v>
      </c>
      <c r="R10">
        <v>93.571399999999997</v>
      </c>
      <c r="S10">
        <v>15.085699999999999</v>
      </c>
    </row>
    <row r="11" spans="1:19" x14ac:dyDescent="0.3">
      <c r="A11">
        <v>9</v>
      </c>
      <c r="B11">
        <v>16</v>
      </c>
      <c r="C11">
        <v>92.214299999999994</v>
      </c>
      <c r="D11">
        <v>91.857100000000003</v>
      </c>
      <c r="E11">
        <v>-0.35719999999999169</v>
      </c>
      <c r="H11">
        <v>9</v>
      </c>
      <c r="I11">
        <v>12</v>
      </c>
      <c r="J11">
        <v>67.571399999999997</v>
      </c>
      <c r="K11">
        <v>74.2</v>
      </c>
      <c r="L11">
        <v>6.6286000000000058</v>
      </c>
      <c r="O11">
        <v>9</v>
      </c>
      <c r="P11">
        <v>11</v>
      </c>
      <c r="Q11">
        <v>70.571399999999997</v>
      </c>
      <c r="R11">
        <v>80</v>
      </c>
      <c r="S11">
        <v>9.428600000000003</v>
      </c>
    </row>
    <row r="12" spans="1:19" x14ac:dyDescent="0.3">
      <c r="A12">
        <v>10</v>
      </c>
      <c r="B12">
        <v>17</v>
      </c>
      <c r="C12">
        <v>100</v>
      </c>
      <c r="D12">
        <v>100</v>
      </c>
      <c r="E12">
        <v>0</v>
      </c>
      <c r="H12">
        <v>10</v>
      </c>
      <c r="I12">
        <v>14</v>
      </c>
      <c r="J12">
        <v>23.142900000000001</v>
      </c>
      <c r="K12">
        <v>51.814300000000003</v>
      </c>
      <c r="L12">
        <v>28.671399999999998</v>
      </c>
      <c r="O12">
        <v>10</v>
      </c>
      <c r="P12">
        <v>12</v>
      </c>
      <c r="Q12">
        <v>68.2714</v>
      </c>
      <c r="R12">
        <v>72.671400000000006</v>
      </c>
      <c r="S12">
        <v>4.4000000000000057</v>
      </c>
    </row>
    <row r="13" spans="1:19" x14ac:dyDescent="0.3">
      <c r="A13" t="s">
        <v>8</v>
      </c>
      <c r="C13">
        <f>AVERAGE(C3:C12)</f>
        <v>58.30713999999999</v>
      </c>
      <c r="D13">
        <f t="shared" ref="D13:E13" si="0">AVERAGE(D3:D12)</f>
        <v>79.295709999999985</v>
      </c>
      <c r="E13">
        <f t="shared" si="0"/>
        <v>20.988569999999999</v>
      </c>
      <c r="H13" t="s">
        <v>8</v>
      </c>
      <c r="J13">
        <f>AVERAGE(J3:J12)</f>
        <v>60.015720000000009</v>
      </c>
      <c r="K13">
        <f t="shared" ref="K13" si="1">AVERAGE(K3:K12)</f>
        <v>79.945709999999991</v>
      </c>
      <c r="L13">
        <f t="shared" ref="L13" si="2">AVERAGE(L3:L12)</f>
        <v>19.929990000000004</v>
      </c>
      <c r="O13" t="s">
        <v>8</v>
      </c>
      <c r="Q13">
        <f>AVERAGE(Q3:Q12)</f>
        <v>68.484279999999998</v>
      </c>
      <c r="R13">
        <f t="shared" ref="R13" si="3">AVERAGE(R3:R12)</f>
        <v>80.272849999999991</v>
      </c>
      <c r="S13">
        <f t="shared" ref="S13" si="4">AVERAGE(S3:S12)</f>
        <v>11.78857</v>
      </c>
    </row>
    <row r="25" spans="1:19" x14ac:dyDescent="0.3">
      <c r="A25" t="s">
        <v>9</v>
      </c>
      <c r="H25" t="s">
        <v>10</v>
      </c>
      <c r="O25" t="s">
        <v>11</v>
      </c>
    </row>
    <row r="26" spans="1:19" x14ac:dyDescent="0.3">
      <c r="A26" s="1" t="s">
        <v>3</v>
      </c>
      <c r="B26" s="1" t="s">
        <v>4</v>
      </c>
      <c r="C26" s="1" t="s">
        <v>5</v>
      </c>
      <c r="D26" s="1" t="s">
        <v>6</v>
      </c>
      <c r="E26" s="1" t="s">
        <v>7</v>
      </c>
      <c r="H26" s="1" t="s">
        <v>3</v>
      </c>
      <c r="I26" s="1" t="s">
        <v>4</v>
      </c>
      <c r="J26" s="1" t="s">
        <v>5</v>
      </c>
      <c r="K26" s="1" t="s">
        <v>6</v>
      </c>
      <c r="L26" s="1" t="s">
        <v>7</v>
      </c>
      <c r="O26" s="1" t="s">
        <v>3</v>
      </c>
      <c r="P26" s="1" t="s">
        <v>4</v>
      </c>
      <c r="Q26" s="1" t="s">
        <v>5</v>
      </c>
      <c r="R26" s="1" t="s">
        <v>6</v>
      </c>
      <c r="S26" s="1" t="s">
        <v>7</v>
      </c>
    </row>
    <row r="27" spans="1:19" x14ac:dyDescent="0.3">
      <c r="A27">
        <v>1</v>
      </c>
      <c r="B27">
        <v>0</v>
      </c>
      <c r="C27">
        <v>96.7286</v>
      </c>
      <c r="D27">
        <v>82.5</v>
      </c>
      <c r="E27">
        <v>-14.2286</v>
      </c>
      <c r="H27">
        <v>1</v>
      </c>
      <c r="I27">
        <v>0</v>
      </c>
      <c r="J27">
        <v>60.957099999999997</v>
      </c>
      <c r="K27">
        <v>72.7</v>
      </c>
      <c r="L27">
        <v>11.742900000000009</v>
      </c>
      <c r="O27">
        <v>1</v>
      </c>
      <c r="P27">
        <v>2</v>
      </c>
      <c r="Q27">
        <v>44.014299999999999</v>
      </c>
      <c r="R27">
        <v>77.214299999999994</v>
      </c>
      <c r="S27">
        <v>33.200000000000003</v>
      </c>
    </row>
    <row r="28" spans="1:19" x14ac:dyDescent="0.3">
      <c r="A28">
        <v>2</v>
      </c>
      <c r="B28">
        <v>4</v>
      </c>
      <c r="C28">
        <v>20.9</v>
      </c>
      <c r="D28">
        <v>59.7</v>
      </c>
      <c r="E28">
        <v>38.799999999999997</v>
      </c>
      <c r="H28">
        <v>2</v>
      </c>
      <c r="I28">
        <v>1</v>
      </c>
      <c r="J28">
        <v>15.1</v>
      </c>
      <c r="K28">
        <v>52.6</v>
      </c>
      <c r="L28">
        <v>37.5</v>
      </c>
      <c r="O28">
        <v>2</v>
      </c>
      <c r="P28">
        <v>3</v>
      </c>
      <c r="Q28">
        <v>19.1571</v>
      </c>
      <c r="R28">
        <v>72.6143</v>
      </c>
      <c r="S28">
        <v>53.4572</v>
      </c>
    </row>
    <row r="29" spans="1:19" x14ac:dyDescent="0.3">
      <c r="A29">
        <v>3</v>
      </c>
      <c r="B29">
        <v>5</v>
      </c>
      <c r="C29">
        <v>26.371400000000001</v>
      </c>
      <c r="D29">
        <v>91.1143</v>
      </c>
      <c r="E29">
        <v>64.742899999999992</v>
      </c>
      <c r="H29">
        <v>3</v>
      </c>
      <c r="I29">
        <v>2</v>
      </c>
      <c r="J29">
        <v>55.142899999999997</v>
      </c>
      <c r="K29">
        <v>71.8429</v>
      </c>
      <c r="L29">
        <v>16.7</v>
      </c>
      <c r="O29">
        <v>3</v>
      </c>
      <c r="P29">
        <v>5</v>
      </c>
      <c r="Q29">
        <v>39.742899999999999</v>
      </c>
      <c r="R29">
        <v>60.285699999999999</v>
      </c>
      <c r="S29">
        <v>20.5428</v>
      </c>
    </row>
    <row r="30" spans="1:19" x14ac:dyDescent="0.3">
      <c r="A30">
        <v>4</v>
      </c>
      <c r="B30">
        <v>9</v>
      </c>
      <c r="C30">
        <v>93.4</v>
      </c>
      <c r="D30">
        <v>96.314300000000003</v>
      </c>
      <c r="E30">
        <v>2.9142999999999968</v>
      </c>
      <c r="H30">
        <v>4</v>
      </c>
      <c r="I30">
        <v>3</v>
      </c>
      <c r="J30">
        <v>37.185699999999997</v>
      </c>
      <c r="K30">
        <v>74</v>
      </c>
      <c r="L30">
        <v>36.814300000000003</v>
      </c>
      <c r="O30">
        <v>4</v>
      </c>
      <c r="P30">
        <v>6</v>
      </c>
      <c r="Q30">
        <v>85.7</v>
      </c>
      <c r="R30">
        <v>94.3</v>
      </c>
      <c r="S30">
        <v>8.5999999999999943</v>
      </c>
    </row>
    <row r="31" spans="1:19" x14ac:dyDescent="0.3">
      <c r="A31">
        <v>5</v>
      </c>
      <c r="B31">
        <v>12</v>
      </c>
      <c r="C31">
        <v>58.628599999999999</v>
      </c>
      <c r="D31">
        <v>35.471400000000003</v>
      </c>
      <c r="E31">
        <v>-23.1572</v>
      </c>
      <c r="H31">
        <v>5</v>
      </c>
      <c r="I31">
        <v>5</v>
      </c>
      <c r="J31">
        <v>50.8429</v>
      </c>
      <c r="K31">
        <v>59.6571</v>
      </c>
      <c r="L31">
        <v>8.8141999999999996</v>
      </c>
      <c r="O31">
        <v>5</v>
      </c>
      <c r="P31">
        <v>7</v>
      </c>
      <c r="Q31">
        <v>98.814300000000003</v>
      </c>
      <c r="R31">
        <v>4.8714300000000001</v>
      </c>
      <c r="S31">
        <v>-93.942869999999999</v>
      </c>
    </row>
    <row r="32" spans="1:19" x14ac:dyDescent="0.3">
      <c r="A32">
        <v>6</v>
      </c>
      <c r="B32">
        <v>13</v>
      </c>
      <c r="C32">
        <v>99.185699999999997</v>
      </c>
      <c r="D32">
        <v>99.185699999999997</v>
      </c>
      <c r="E32">
        <v>0</v>
      </c>
      <c r="H32">
        <v>6</v>
      </c>
      <c r="I32">
        <v>6</v>
      </c>
      <c r="J32">
        <v>75.514300000000006</v>
      </c>
      <c r="K32">
        <v>95.142899999999997</v>
      </c>
      <c r="L32">
        <v>19.628599999999992</v>
      </c>
      <c r="O32">
        <v>6</v>
      </c>
      <c r="P32">
        <v>9</v>
      </c>
      <c r="Q32">
        <v>80.457099999999997</v>
      </c>
      <c r="R32">
        <v>83.471400000000003</v>
      </c>
      <c r="S32">
        <v>3.0143000000000062</v>
      </c>
    </row>
    <row r="33" spans="1:19" x14ac:dyDescent="0.3">
      <c r="A33">
        <v>7</v>
      </c>
      <c r="B33">
        <v>16</v>
      </c>
      <c r="C33">
        <v>98.828599999999994</v>
      </c>
      <c r="D33">
        <v>98.828599999999994</v>
      </c>
      <c r="E33">
        <v>0</v>
      </c>
      <c r="H33">
        <v>7</v>
      </c>
      <c r="I33">
        <v>7</v>
      </c>
      <c r="J33">
        <v>100</v>
      </c>
      <c r="K33">
        <v>100</v>
      </c>
      <c r="L33">
        <v>0</v>
      </c>
      <c r="O33">
        <v>7</v>
      </c>
      <c r="P33">
        <v>10</v>
      </c>
      <c r="Q33">
        <v>17.914300000000001</v>
      </c>
      <c r="R33">
        <v>77.214299999999994</v>
      </c>
      <c r="S33">
        <v>59.3</v>
      </c>
    </row>
    <row r="34" spans="1:19" x14ac:dyDescent="0.3">
      <c r="A34">
        <v>8</v>
      </c>
      <c r="B34">
        <v>17</v>
      </c>
      <c r="C34">
        <v>91.1143</v>
      </c>
      <c r="D34">
        <v>92.8429</v>
      </c>
      <c r="E34">
        <v>1.7285999999999999</v>
      </c>
      <c r="H34">
        <v>8</v>
      </c>
      <c r="I34">
        <v>9</v>
      </c>
      <c r="J34">
        <v>25.757100000000001</v>
      </c>
      <c r="K34">
        <v>83.042900000000003</v>
      </c>
      <c r="L34">
        <v>57.285800000000002</v>
      </c>
      <c r="O34">
        <v>8</v>
      </c>
      <c r="P34">
        <v>11</v>
      </c>
      <c r="Q34">
        <v>91.3429</v>
      </c>
      <c r="R34">
        <v>92.828599999999994</v>
      </c>
      <c r="S34">
        <v>1.485699999999994</v>
      </c>
    </row>
    <row r="35" spans="1:19" x14ac:dyDescent="0.3">
      <c r="A35">
        <v>9</v>
      </c>
      <c r="B35">
        <v>20</v>
      </c>
      <c r="C35">
        <v>42.942900000000002</v>
      </c>
      <c r="D35">
        <v>55.585700000000003</v>
      </c>
      <c r="E35">
        <v>12.642799999999999</v>
      </c>
      <c r="H35">
        <v>9</v>
      </c>
      <c r="I35">
        <v>10</v>
      </c>
      <c r="J35">
        <v>91.1143</v>
      </c>
      <c r="K35">
        <v>87.528599999999997</v>
      </c>
      <c r="L35">
        <v>-3.5857000000000032</v>
      </c>
      <c r="O35">
        <v>9</v>
      </c>
      <c r="P35">
        <v>12</v>
      </c>
      <c r="Q35">
        <v>32.571399999999997</v>
      </c>
      <c r="R35">
        <v>97.971400000000003</v>
      </c>
      <c r="S35">
        <v>65.400000000000006</v>
      </c>
    </row>
    <row r="36" spans="1:19" x14ac:dyDescent="0.3">
      <c r="A36">
        <v>10</v>
      </c>
      <c r="B36">
        <v>22</v>
      </c>
      <c r="C36">
        <v>97.471400000000003</v>
      </c>
      <c r="D36">
        <v>97.471400000000003</v>
      </c>
      <c r="E36">
        <v>0</v>
      </c>
      <c r="H36">
        <v>10</v>
      </c>
      <c r="I36">
        <v>11</v>
      </c>
      <c r="J36">
        <v>24.071400000000001</v>
      </c>
      <c r="K36">
        <v>93.628600000000006</v>
      </c>
      <c r="L36">
        <v>69.557200000000009</v>
      </c>
      <c r="O36">
        <v>10</v>
      </c>
      <c r="P36">
        <v>13</v>
      </c>
      <c r="Q36">
        <v>100</v>
      </c>
      <c r="R36">
        <v>100</v>
      </c>
      <c r="S36">
        <v>0</v>
      </c>
    </row>
    <row r="37" spans="1:19" x14ac:dyDescent="0.3">
      <c r="A37" t="s">
        <v>8</v>
      </c>
      <c r="C37">
        <f>AVERAGE(C27:C36)</f>
        <v>72.557150000000007</v>
      </c>
      <c r="D37">
        <f t="shared" ref="D37" si="5">AVERAGE(D27:D36)</f>
        <v>80.901429999999991</v>
      </c>
      <c r="E37">
        <f t="shared" ref="E37" si="6">AVERAGE(E27:E36)</f>
        <v>8.3442799999999977</v>
      </c>
      <c r="H37" t="s">
        <v>8</v>
      </c>
      <c r="J37">
        <f>AVERAGE(J27:J36)</f>
        <v>53.568570000000001</v>
      </c>
      <c r="K37">
        <f t="shared" ref="K37" si="7">AVERAGE(K27:K36)</f>
        <v>79.014300000000006</v>
      </c>
      <c r="L37">
        <f t="shared" ref="L37" si="8">AVERAGE(L27:L36)</f>
        <v>25.445729999999998</v>
      </c>
      <c r="O37" t="s">
        <v>8</v>
      </c>
      <c r="Q37">
        <f>AVERAGE(Q27:Q36)</f>
        <v>60.971430000000012</v>
      </c>
      <c r="R37">
        <f t="shared" ref="R37" si="9">AVERAGE(R27:R36)</f>
        <v>76.077142999999992</v>
      </c>
      <c r="S37">
        <f t="shared" ref="S37" si="10">AVERAGE(S27:S36)</f>
        <v>15.105713</v>
      </c>
    </row>
    <row r="49" spans="1:19" x14ac:dyDescent="0.3">
      <c r="A49" t="s">
        <v>12</v>
      </c>
      <c r="H49" t="s">
        <v>13</v>
      </c>
      <c r="O49" t="s">
        <v>14</v>
      </c>
    </row>
    <row r="50" spans="1:19" x14ac:dyDescent="0.3">
      <c r="A50" s="1" t="s">
        <v>3</v>
      </c>
      <c r="B50" s="1" t="s">
        <v>4</v>
      </c>
      <c r="C50" s="1" t="s">
        <v>5</v>
      </c>
      <c r="D50" s="1" t="s">
        <v>6</v>
      </c>
      <c r="E50" s="1" t="s">
        <v>7</v>
      </c>
      <c r="H50" s="1" t="s">
        <v>3</v>
      </c>
      <c r="I50" s="1" t="s">
        <v>4</v>
      </c>
      <c r="J50" s="1" t="s">
        <v>5</v>
      </c>
      <c r="K50" s="1" t="s">
        <v>6</v>
      </c>
      <c r="L50" s="1" t="s">
        <v>7</v>
      </c>
      <c r="O50" s="1" t="s">
        <v>3</v>
      </c>
      <c r="P50" s="1" t="s">
        <v>4</v>
      </c>
      <c r="Q50" s="1" t="s">
        <v>5</v>
      </c>
      <c r="R50" s="1" t="s">
        <v>6</v>
      </c>
      <c r="S50" s="1" t="s">
        <v>7</v>
      </c>
    </row>
    <row r="51" spans="1:19" x14ac:dyDescent="0.3">
      <c r="A51">
        <v>1</v>
      </c>
      <c r="B51">
        <v>0</v>
      </c>
      <c r="C51">
        <v>70.6143</v>
      </c>
      <c r="D51">
        <v>77.785700000000006</v>
      </c>
      <c r="E51">
        <v>7.1714000000000064</v>
      </c>
      <c r="H51">
        <v>1</v>
      </c>
      <c r="I51">
        <v>0</v>
      </c>
      <c r="J51">
        <v>18.257100000000001</v>
      </c>
      <c r="K51">
        <v>49.514299999999999</v>
      </c>
      <c r="L51">
        <v>31.257200000000001</v>
      </c>
      <c r="O51">
        <v>1</v>
      </c>
      <c r="P51">
        <v>3</v>
      </c>
      <c r="Q51">
        <v>26.1571</v>
      </c>
      <c r="R51">
        <v>75.857100000000003</v>
      </c>
      <c r="S51">
        <v>49.7</v>
      </c>
    </row>
    <row r="52" spans="1:19" x14ac:dyDescent="0.3">
      <c r="A52">
        <v>2</v>
      </c>
      <c r="B52">
        <v>4</v>
      </c>
      <c r="C52">
        <v>22.2286</v>
      </c>
      <c r="D52">
        <v>64.7286</v>
      </c>
      <c r="E52">
        <v>42.5</v>
      </c>
      <c r="H52">
        <v>2</v>
      </c>
      <c r="I52">
        <v>2</v>
      </c>
      <c r="J52">
        <v>42.1143</v>
      </c>
      <c r="K52">
        <v>68.2286</v>
      </c>
      <c r="L52">
        <v>26.1143</v>
      </c>
      <c r="O52">
        <v>2</v>
      </c>
      <c r="P52">
        <v>5</v>
      </c>
      <c r="Q52">
        <v>96.857100000000003</v>
      </c>
      <c r="R52">
        <v>97.071399999999997</v>
      </c>
      <c r="S52">
        <v>0.21429999999999441</v>
      </c>
    </row>
    <row r="53" spans="1:19" x14ac:dyDescent="0.3">
      <c r="A53">
        <v>3</v>
      </c>
      <c r="B53">
        <v>5</v>
      </c>
      <c r="C53">
        <v>24.757100000000001</v>
      </c>
      <c r="D53">
        <v>56.1571</v>
      </c>
      <c r="E53">
        <v>31.4</v>
      </c>
      <c r="H53">
        <v>3</v>
      </c>
      <c r="I53">
        <v>3</v>
      </c>
      <c r="J53">
        <v>20.971399999999999</v>
      </c>
      <c r="K53">
        <v>71.2</v>
      </c>
      <c r="L53">
        <v>50.2286</v>
      </c>
      <c r="O53">
        <v>3</v>
      </c>
      <c r="P53">
        <v>6</v>
      </c>
      <c r="Q53">
        <v>46.242899999999999</v>
      </c>
      <c r="R53">
        <v>85.8</v>
      </c>
      <c r="S53">
        <v>39.557099999999998</v>
      </c>
    </row>
    <row r="54" spans="1:19" x14ac:dyDescent="0.3">
      <c r="A54">
        <v>4</v>
      </c>
      <c r="B54">
        <v>9</v>
      </c>
      <c r="C54">
        <v>54.414299999999997</v>
      </c>
      <c r="D54">
        <v>81.900000000000006</v>
      </c>
      <c r="E54">
        <v>27.485700000000008</v>
      </c>
      <c r="H54">
        <v>4</v>
      </c>
      <c r="I54">
        <v>5</v>
      </c>
      <c r="J54">
        <v>43.814300000000003</v>
      </c>
      <c r="K54">
        <v>59.671399999999998</v>
      </c>
      <c r="L54">
        <v>15.857100000000001</v>
      </c>
      <c r="O54">
        <v>4</v>
      </c>
      <c r="P54">
        <v>7</v>
      </c>
      <c r="Q54">
        <v>95.371399999999994</v>
      </c>
      <c r="R54">
        <v>94.028599999999997</v>
      </c>
      <c r="S54">
        <v>-1.3427999999999971</v>
      </c>
    </row>
    <row r="55" spans="1:19" x14ac:dyDescent="0.3">
      <c r="A55">
        <v>5</v>
      </c>
      <c r="B55">
        <v>12</v>
      </c>
      <c r="C55">
        <v>60.971400000000003</v>
      </c>
      <c r="D55">
        <v>63.957099999999997</v>
      </c>
      <c r="E55">
        <v>2.9856999999999938</v>
      </c>
      <c r="H55">
        <v>5</v>
      </c>
      <c r="I55">
        <v>6</v>
      </c>
      <c r="J55">
        <v>72.428600000000003</v>
      </c>
      <c r="K55">
        <v>95.528599999999997</v>
      </c>
      <c r="L55">
        <v>23.099999999999991</v>
      </c>
      <c r="O55">
        <v>5</v>
      </c>
      <c r="P55">
        <v>9</v>
      </c>
      <c r="Q55">
        <v>51.3857</v>
      </c>
      <c r="R55">
        <v>70.400000000000006</v>
      </c>
      <c r="S55">
        <v>19.014300000000009</v>
      </c>
    </row>
    <row r="56" spans="1:19" x14ac:dyDescent="0.3">
      <c r="A56">
        <v>6</v>
      </c>
      <c r="B56">
        <v>13</v>
      </c>
      <c r="C56">
        <v>24.942900000000002</v>
      </c>
      <c r="D56">
        <v>96.757099999999994</v>
      </c>
      <c r="E56">
        <v>71.8142</v>
      </c>
      <c r="H56">
        <v>6</v>
      </c>
      <c r="I56">
        <v>7</v>
      </c>
      <c r="J56">
        <v>98.828599999999994</v>
      </c>
      <c r="K56">
        <v>98.828599999999994</v>
      </c>
      <c r="L56">
        <v>0</v>
      </c>
      <c r="O56">
        <v>6</v>
      </c>
      <c r="P56">
        <v>10</v>
      </c>
      <c r="Q56">
        <v>15.9857</v>
      </c>
      <c r="R56">
        <v>56.642899999999997</v>
      </c>
      <c r="S56">
        <v>40.657200000000003</v>
      </c>
    </row>
    <row r="57" spans="1:19" x14ac:dyDescent="0.3">
      <c r="A57">
        <v>7</v>
      </c>
      <c r="B57">
        <v>16</v>
      </c>
      <c r="C57">
        <v>95.257099999999994</v>
      </c>
      <c r="D57">
        <v>98.028599999999997</v>
      </c>
      <c r="E57">
        <v>2.7715000000000032</v>
      </c>
      <c r="H57">
        <v>7</v>
      </c>
      <c r="I57">
        <v>9</v>
      </c>
      <c r="J57">
        <v>57.585700000000003</v>
      </c>
      <c r="K57">
        <v>53.914299999999997</v>
      </c>
      <c r="L57">
        <v>-3.671400000000006</v>
      </c>
      <c r="O57">
        <v>7</v>
      </c>
      <c r="P57">
        <v>11</v>
      </c>
      <c r="Q57">
        <v>15</v>
      </c>
      <c r="R57">
        <v>56.357100000000003</v>
      </c>
      <c r="S57">
        <v>41.357100000000003</v>
      </c>
    </row>
    <row r="58" spans="1:19" x14ac:dyDescent="0.3">
      <c r="A58">
        <v>8</v>
      </c>
      <c r="B58">
        <v>17</v>
      </c>
      <c r="C58">
        <v>95.7714</v>
      </c>
      <c r="D58">
        <v>91.871399999999994</v>
      </c>
      <c r="E58">
        <v>-3.9000000000000061</v>
      </c>
      <c r="H58">
        <v>8</v>
      </c>
      <c r="I58">
        <v>10</v>
      </c>
      <c r="J58">
        <v>17.257100000000001</v>
      </c>
      <c r="K58">
        <v>94.485699999999994</v>
      </c>
      <c r="L58">
        <v>77.2286</v>
      </c>
      <c r="O58">
        <v>8</v>
      </c>
      <c r="P58">
        <v>12</v>
      </c>
      <c r="Q58">
        <v>98.8429</v>
      </c>
      <c r="R58">
        <v>96.628600000000006</v>
      </c>
      <c r="S58">
        <v>-2.2142999999999939</v>
      </c>
    </row>
    <row r="59" spans="1:19" x14ac:dyDescent="0.3">
      <c r="A59">
        <v>9</v>
      </c>
      <c r="B59">
        <v>19</v>
      </c>
      <c r="C59">
        <v>29.7286</v>
      </c>
      <c r="D59">
        <v>52.557099999999998</v>
      </c>
      <c r="E59">
        <v>22.828499999999998</v>
      </c>
      <c r="H59">
        <v>9</v>
      </c>
      <c r="I59">
        <v>11</v>
      </c>
      <c r="J59">
        <v>69.085700000000003</v>
      </c>
      <c r="K59">
        <v>92.6</v>
      </c>
      <c r="L59">
        <v>23.514299999999992</v>
      </c>
      <c r="O59">
        <v>9</v>
      </c>
      <c r="P59">
        <v>13</v>
      </c>
      <c r="Q59">
        <v>52.6</v>
      </c>
      <c r="R59">
        <v>58.571399999999997</v>
      </c>
      <c r="S59">
        <v>5.9713999999999956</v>
      </c>
    </row>
    <row r="60" spans="1:19" x14ac:dyDescent="0.3">
      <c r="A60">
        <v>10</v>
      </c>
      <c r="B60">
        <v>20</v>
      </c>
      <c r="C60">
        <v>42.985700000000001</v>
      </c>
      <c r="D60">
        <v>53.957099999999997</v>
      </c>
      <c r="E60">
        <v>10.971399999999999</v>
      </c>
      <c r="H60">
        <v>10</v>
      </c>
      <c r="I60">
        <v>12</v>
      </c>
      <c r="J60">
        <v>81.328599999999994</v>
      </c>
      <c r="K60">
        <v>91.285700000000006</v>
      </c>
      <c r="L60">
        <v>9.9571000000000112</v>
      </c>
      <c r="O60">
        <v>10</v>
      </c>
      <c r="P60">
        <v>15</v>
      </c>
      <c r="Q60">
        <v>19.057099999999998</v>
      </c>
      <c r="R60">
        <v>73.957099999999997</v>
      </c>
      <c r="S60">
        <v>54.9</v>
      </c>
    </row>
    <row r="61" spans="1:19" x14ac:dyDescent="0.3">
      <c r="A61" t="s">
        <v>8</v>
      </c>
      <c r="C61">
        <f>AVERAGE(C51:C60)</f>
        <v>52.167139999999996</v>
      </c>
      <c r="D61">
        <f t="shared" ref="D61" si="11">AVERAGE(D51:D60)</f>
        <v>73.769980000000004</v>
      </c>
      <c r="E61">
        <f t="shared" ref="E61" si="12">AVERAGE(E51:E60)</f>
        <v>21.60284</v>
      </c>
      <c r="H61" t="s">
        <v>8</v>
      </c>
      <c r="J61">
        <f>AVERAGE(J51:J60)</f>
        <v>52.167139999999996</v>
      </c>
      <c r="K61">
        <f t="shared" ref="K61" si="13">AVERAGE(K51:K60)</f>
        <v>77.525720000000007</v>
      </c>
      <c r="L61">
        <f t="shared" ref="L61" si="14">AVERAGE(L51:L60)</f>
        <v>25.35858</v>
      </c>
      <c r="O61" t="s">
        <v>8</v>
      </c>
      <c r="Q61">
        <f>AVERAGE(Q51:Q60)</f>
        <v>51.749990000000004</v>
      </c>
      <c r="R61">
        <f t="shared" ref="R61" si="15">AVERAGE(R51:R60)</f>
        <v>76.531419999999997</v>
      </c>
      <c r="S61">
        <f t="shared" ref="S61" si="16">AVERAGE(S51:S60)</f>
        <v>24.78143</v>
      </c>
    </row>
  </sheetData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PDR Comparison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JongHyeon Choe</cp:lastModifiedBy>
  <dcterms:created xsi:type="dcterms:W3CDTF">2026-08-06T05:03:01Z</dcterms:created>
  <dcterms:modified xsi:type="dcterms:W3CDTF">2026-08-10T01:53:50Z</dcterms:modified>
</cp:coreProperties>
</file>