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oe JongHyeon\Desktop\KCI_작성_3\Figure_1\Result\Collision\Ping_Reply\"/>
    </mc:Choice>
  </mc:AlternateContent>
  <xr:revisionPtr revIDLastSave="0" documentId="13_ncr:1_{82B65950-E6ED-487E-A55B-5AA72CF38313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LCC(RREP, q_1)" sheetId="1" r:id="rId1"/>
    <sheet name="LCC(RREP, q_2)" sheetId="2" r:id="rId2"/>
    <sheet name="LCC(RREP, q_3)" sheetId="4" r:id="rId3"/>
    <sheet name="LCC(RREP, q_4)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<sst xmlns="http://schemas.openxmlformats.org/spreadsheetml/2006/main" count="252" uniqueCount="15">
  <si>
    <t>No</t>
  </si>
  <si>
    <t>nodeId</t>
  </si>
  <si>
    <t>Legacy</t>
  </si>
  <si>
    <t>Proposed</t>
  </si>
  <si>
    <t>Delta</t>
  </si>
  <si>
    <t>AVG</t>
  </si>
  <si>
    <t>차량대수 70, 최고 속력 30km/h</t>
    <phoneticPr fontId="1" type="noConversion"/>
  </si>
  <si>
    <t>차량대수 70, 최고 속력 20km/h</t>
    <phoneticPr fontId="1" type="noConversion"/>
  </si>
  <si>
    <t>차량대수 70, 최고 속력 10km/h</t>
    <phoneticPr fontId="1" type="noConversion"/>
  </si>
  <si>
    <t>차량대수 100, 최고 속력 30km/h</t>
    <phoneticPr fontId="1" type="noConversion"/>
  </si>
  <si>
    <t>차량대수 100, 최고 속력 20km/h</t>
    <phoneticPr fontId="1" type="noConversion"/>
  </si>
  <si>
    <t>차량대수 100, 최고 속력 10km/h</t>
    <phoneticPr fontId="1" type="noConversion"/>
  </si>
  <si>
    <t>차량대수 120, 최고 속력 30km/h</t>
    <phoneticPr fontId="1" type="noConversion"/>
  </si>
  <si>
    <t>차량대수 120, 최고 속력 20km/h</t>
    <phoneticPr fontId="1" type="noConversion"/>
  </si>
  <si>
    <t>차량대수 120, 최고 속력 10km/h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</si>
</sst>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workbookViewId="0">
      <selection activeCell="F65" sqref="F65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100*95785/375972</f>
        <v>25.476631238496484</v>
      </c>
      <c r="E3">
        <f>IF(COUNT(C3:D3)=2,D3-C3,"")</f>
        <v>-9.548368985119115</v>
      </c>
      <c r="H3">
        <v>1</v>
      </c>
      <c r="I3">
        <v>0</v>
      </c>
      <c r="J3">
        <f>100*58251/215009</f>
        <v>27.09235427354204</v>
      </c>
      <c r="K3">
        <f>100*59602/346034</f>
        <v>17.224318997555155</v>
      </c>
      <c r="L3">
        <f>IF(COUNT(J3:K3)=2,K3-J3,"")</f>
        <v>-9.868035275986884</v>
      </c>
      <c r="O3">
        <v>1</v>
      </c>
      <c r="P3">
        <v>0</v>
      </c>
      <c r="Q3">
        <f>100*45645/291867</f>
        <v>15.638972545714315</v>
      </c>
      <c r="R3">
        <f>100*27004/304290</f>
        <v>8.8744289986526</v>
      </c>
      <c r="S3">
        <f>IF(COUNT(Q3:R3)=2,R3-Q3,"")</f>
        <v>-6.764543547061715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100*91909/356227</f>
        <v>25.800683272183186</v>
      </c>
      <c r="E4">
        <f>IF(COUNT(C4:D4)=2,D4-C4,"")</f>
        <v>-11.992276783874459</v>
      </c>
      <c r="H4">
        <v>2</v>
      </c>
      <c r="I4">
        <v>1</v>
      </c>
      <c r="J4">
        <f>100*64971/296332</f>
        <v>21.925070529001257</v>
      </c>
      <c r="K4">
        <f>100*64065/308407</f>
        <v>20.772874805046577</v>
      </c>
      <c r="L4">
        <f>IF(COUNT(J4:K4)=2,K4-J4,"")</f>
        <v>-1.15219572395468</v>
      </c>
      <c r="O4">
        <v>2</v>
      </c>
      <c r="P4">
        <v>1</v>
      </c>
      <c r="Q4">
        <f>100*75288/157455</f>
        <v>47.81556635229113</v>
      </c>
      <c r="R4">
        <f>100*52570/143109</f>
        <v>36.734237539218356</v>
      </c>
      <c r="S4">
        <f>IF(COUNT(Q4:R4)=2,R4-Q4,"")</f>
        <v>-11.081328813072773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100*113228/501082</f>
        <v>22.596700739599505</v>
      </c>
      <c r="E5">
        <f>IF(COUNT(C5:D5)=2,D5-C5,"")</f>
        <v>-15.624570507227979</v>
      </c>
      <c r="H5">
        <v>3</v>
      </c>
      <c r="I5">
        <v>2</v>
      </c>
      <c r="J5">
        <f>100*62705/328831</f>
        <v>19.069065872743142</v>
      </c>
      <c r="K5">
        <f>100*123086/492414</f>
        <v>24.996446079924617</v>
      </c>
      <c r="L5">
        <f>IF(COUNT(J5:K5)=2,K5-J5,"")</f>
        <v>5.927380207181475</v>
      </c>
      <c r="O5">
        <v>3</v>
      </c>
      <c r="P5">
        <v>2</v>
      </c>
      <c r="Q5">
        <f>100*141348/334791</f>
        <v>42.21977293296415</v>
      </c>
      <c r="R5">
        <f>100*155236/424920</f>
        <v>36.53299444601337</v>
      </c>
      <c r="S5">
        <f>IF(COUNT(Q5:R5)=2,R5-Q5,"")</f>
        <v>-5.686778486950779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100*24830/469477</f>
        <v>5.288863991207237</v>
      </c>
      <c r="E6">
        <f>IF(COUNT(C6:D6)=2,D6-C6,"")</f>
        <v>1.8112755845728281</v>
      </c>
      <c r="H6">
        <v>4</v>
      </c>
      <c r="I6">
        <v>3</v>
      </c>
      <c r="J6">
        <f>100*69099/464767</f>
        <v>14.867449711360747</v>
      </c>
      <c r="K6">
        <f>100*62027/441621</f>
        <v>14.045301287755791</v>
      </c>
      <c r="L6">
        <f>IF(COUNT(J6:K6)=2,K6-J6,"")</f>
        <v>-0.8221484236049559</v>
      </c>
      <c r="O6">
        <v>4</v>
      </c>
      <c r="P6">
        <v>3</v>
      </c>
      <c r="Q6">
        <f>100*182044/470083</f>
        <v>38.72592712350798</v>
      </c>
      <c r="R6">
        <f>100*131335/498813</f>
        <v>26.329506247832352</v>
      </c>
      <c r="S6">
        <f>IF(COUNT(Q6:R6)=2,R6-Q6,"")</f>
        <v>-12.396420875675627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100*112079/361255</f>
        <v>31.02489930935212</v>
      </c>
      <c r="E7">
        <f>IF(COUNT(C7:D7)=2,D7-C7,"")</f>
        <v>-6.285257357288781</v>
      </c>
      <c r="H7">
        <v>5</v>
      </c>
      <c r="I7">
        <v>4</v>
      </c>
      <c r="J7">
        <f>100*106457/411240</f>
        <v>25.88683007489544</v>
      </c>
      <c r="K7">
        <f>100*84241/343785</f>
        <v>24.50397777680818</v>
      </c>
      <c r="L7">
        <f>IF(COUNT(J7:K7)=2,K7-J7,"")</f>
        <v>-1.3828522980872577</v>
      </c>
      <c r="O7">
        <v>5</v>
      </c>
      <c r="P7">
        <v>4</v>
      </c>
      <c r="Q7">
        <f>100*154964/442048</f>
        <v>35.055921528883744</v>
      </c>
      <c r="R7">
        <f>100*86501/509998</f>
        <v>16.961046906066297</v>
      </c>
      <c r="S7">
        <f>IF(COUNT(Q7:R7)=2,R7-Q7,"")</f>
        <v>-18.094874622817446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100*66167/326825</f>
        <v>20.245391264438155</v>
      </c>
      <c r="E8">
        <f>IF(COUNT(C8:D8)=2,D8-C8,"")</f>
        <v>-0.7456958490583467</v>
      </c>
      <c r="H8">
        <v>6</v>
      </c>
      <c r="I8">
        <v>5</v>
      </c>
      <c r="J8">
        <f>100*91696/324059</f>
        <v>28.29608188632317</v>
      </c>
      <c r="K8">
        <f>100*115346/370553</f>
        <v>31.128070748314006</v>
      </c>
      <c r="L8">
        <f>IF(COUNT(J8:K8)=2,K8-J8,"")</f>
        <v>2.831988861990837</v>
      </c>
      <c r="O8">
        <v>6</v>
      </c>
      <c r="P8">
        <v>5</v>
      </c>
      <c r="Q8">
        <f>100*114455/487242</f>
        <v>23.49038055011678</v>
      </c>
      <c r="R8">
        <f>100*64185/550956</f>
        <v>11.649750615294144</v>
      </c>
      <c r="S8">
        <f>IF(COUNT(Q8:R8)=2,R8-Q8,"")</f>
        <v>-11.840629934822635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100*26866/542220</f>
        <v>4.954815388587658</v>
      </c>
      <c r="E9">
        <f>IF(COUNT(C9:D9)=2,D9-C9,"")</f>
        <v>-16.502942603718388</v>
      </c>
      <c r="H9">
        <v>7</v>
      </c>
      <c r="I9">
        <v>6</v>
      </c>
      <c r="J9">
        <f>100*2956/325191</f>
        <v>0.9090042467349957</v>
      </c>
      <c r="K9">
        <f>100*2907/324381</f>
        <v>0.8961683945730483</v>
      </c>
      <c r="L9">
        <f>IF(COUNT(J9:K9)=2,K9-J9,"")</f>
        <v>-0.012835852161947381</v>
      </c>
      <c r="O9">
        <v>7</v>
      </c>
      <c r="P9">
        <v>6</v>
      </c>
      <c r="Q9">
        <f>100*198686/446837</f>
        <v>44.46498387555194</v>
      </c>
      <c r="R9">
        <f>100*127632/379852</f>
        <v>33.600454914019146</v>
      </c>
      <c r="S9">
        <f>IF(COUNT(Q9:R9)=2,R9-Q9,"")</f>
        <v>-10.864528961532791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100*1113/275738</f>
        <v>0.4036440389064982</v>
      </c>
      <c r="E10">
        <f>IF(COUNT(C10:D10)=2,D10-C10,"")</f>
        <v>0.0</v>
      </c>
      <c r="H10">
        <v>8</v>
      </c>
      <c r="I10">
        <v>7</v>
      </c>
      <c r="J10">
        <f>100*1179/376958</f>
        <v>0.31276693955294754</v>
      </c>
      <c r="K10">
        <f>100*1179/376958</f>
        <v>0.31276693955294754</v>
      </c>
      <c r="L10">
        <f>IF(COUNT(J10:K10)=2,K10-J10,"")</f>
        <v>0.0</v>
      </c>
      <c r="O10">
        <v>8</v>
      </c>
      <c r="P10">
        <v>7</v>
      </c>
      <c r="Q10">
        <f>100*140584/308785</f>
        <v>45.52811826999368</v>
      </c>
      <c r="R10">
        <f>100*128580/369501</f>
        <v>34.798282007355866</v>
      </c>
      <c r="S10">
        <f>IF(COUNT(Q10:R10)=2,R10-Q10,"")</f>
        <v>-10.729836262637818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100*78140/209306</f>
        <v>37.332900155752824</v>
      </c>
      <c r="E11">
        <f>IF(COUNT(C11:D11)=2,D11-C11,"")</f>
        <v>-1.1718931864559394</v>
      </c>
      <c r="H11">
        <v>9</v>
      </c>
      <c r="I11">
        <v>8</v>
      </c>
      <c r="J11">
        <f>100*144131/422295</f>
        <v>34.13040646941119</v>
      </c>
      <c r="K11">
        <f>100*131854/427257</f>
        <v>30.86058274059875</v>
      </c>
      <c r="L11">
        <f>IF(COUNT(J11:K11)=2,K11-J11,"")</f>
        <v>-3.2698237288124403</v>
      </c>
      <c r="O11">
        <v>9</v>
      </c>
      <c r="P11">
        <v>8</v>
      </c>
      <c r="Q11">
        <f>100*85958/184662</f>
        <v>46.54882975382049</v>
      </c>
      <c r="R11">
        <f>100*78244/191355</f>
        <v>40.88944631705469</v>
      </c>
      <c r="S11">
        <f>IF(COUNT(Q11:R11)=2,R11-Q11,"")</f>
        <v>-5.6593834367658005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100*130296/519348</f>
        <v>25.08838004574967</v>
      </c>
      <c r="E12">
        <f>IF(COUNT(C12:D12)=2,D12-C12,"")</f>
        <v>6.93487469671744</v>
      </c>
      <c r="H12">
        <v>10</v>
      </c>
      <c r="I12">
        <v>9</v>
      </c>
      <c r="J12">
        <f>100*71311/426052</f>
        <v>16.737628270727516</v>
      </c>
      <c r="K12">
        <f>100*37037/414964</f>
        <v>8.925352560704061</v>
      </c>
      <c r="L12">
        <f>IF(COUNT(J12:K12)=2,K12-J12,"")</f>
        <v>-7.812275710023455</v>
      </c>
      <c r="O12">
        <v>10</v>
      </c>
      <c r="P12">
        <v>9</v>
      </c>
      <c r="Q12">
        <f>100*199032/643646</f>
        <v>30.922587882158826</v>
      </c>
      <c r="R12">
        <f>100*4776/337098</f>
        <v>1.4167986757560116</v>
      </c>
      <c r="S12">
        <f>IF(COUNT(Q12:R12)=2,R12-Q12,"")</f>
        <v>-29.505789206402813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100*4434/516664</f>
        <v>0.8581979777960145</v>
      </c>
      <c r="E13">
        <f>IF(COUNT(C13:D13)=2,D13-C13,"")</f>
        <v>0.13122178906820348</v>
      </c>
      <c r="H13">
        <v>11</v>
      </c>
      <c r="I13">
        <v>10</v>
      </c>
      <c r="J13">
        <f>100*28276/544111</f>
        <v>5.196733754693436</v>
      </c>
      <c r="K13">
        <f>100*114778/674275</f>
        <v>17.022431500500538</v>
      </c>
      <c r="L13">
        <f>IF(COUNT(J13:K13)=2,K13-J13,"")</f>
        <v>11.825697745807101</v>
      </c>
      <c r="O13">
        <v>11</v>
      </c>
      <c r="P13">
        <v>10</v>
      </c>
      <c r="Q13">
        <f>100*136848/421678</f>
        <v>32.453198886354045</v>
      </c>
      <c r="R13">
        <f>100*169072/499996</f>
        <v>33.81467051736414</v>
      </c>
      <c r="S13">
        <f>IF(COUNT(Q13:R13)=2,R13-Q13,"")</f>
        <v>1.3614716310100974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100*201738/769030</f>
        <v>26.232786757343668</v>
      </c>
      <c r="E14">
        <f>IF(COUNT(C14:D14)=2,D14-C14,"")</f>
        <v>-12.013064135763216</v>
      </c>
      <c r="H14">
        <v>12</v>
      </c>
      <c r="I14">
        <v>11</v>
      </c>
      <c r="J14">
        <f>100*18702/461148</f>
        <v>4.05553097920841</v>
      </c>
      <c r="K14">
        <f>100*10411/464636</f>
        <v>2.2406787248512816</v>
      </c>
      <c r="L14">
        <f>IF(COUNT(J14:K14)=2,K14-J14,"")</f>
        <v>-1.8148522543571288</v>
      </c>
      <c r="O14">
        <v>12</v>
      </c>
      <c r="P14">
        <v>11</v>
      </c>
      <c r="Q14">
        <f>100*91935/209068</f>
        <v>43.973731034878604</v>
      </c>
      <c r="R14">
        <f>100*91072/220551</f>
        <v>41.29294358221001</v>
      </c>
      <c r="S14">
        <f>IF(COUNT(Q14:R14)=2,R14-Q14,"")</f>
        <v>-2.6807874526685964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100*20717/380727</f>
        <v>5.441431787081032</v>
      </c>
      <c r="E15">
        <f>IF(COUNT(C15:D15)=2,D15-C15,"")</f>
        <v>-2.337834258098204</v>
      </c>
      <c r="H15">
        <v>13</v>
      </c>
      <c r="I15">
        <v>12</v>
      </c>
      <c r="J15">
        <f>100*226380/535721</f>
        <v>42.25707037805126</v>
      </c>
      <c r="K15">
        <f>100*162032/594520</f>
        <v>27.25425553387607</v>
      </c>
      <c r="L15">
        <f>IF(COUNT(J15:K15)=2,K15-J15,"")</f>
        <v>-15.002814844175191</v>
      </c>
      <c r="O15">
        <v>13</v>
      </c>
      <c r="P15">
        <v>12</v>
      </c>
      <c r="Q15">
        <f>100*165466/516479</f>
        <v>32.037314198641184</v>
      </c>
      <c r="R15">
        <f>100*63929/529351</f>
        <v>12.076863933382576</v>
      </c>
      <c r="S15">
        <f>IF(COUNT(Q15:R15)=2,R15-Q15,"")</f>
        <v>-19.960450265258608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100*3791/283374</f>
        <v>1.3378079852068292</v>
      </c>
      <c r="E16">
        <f>IF(COUNT(C16:D16)=2,D16-C16,"")</f>
        <v>-0.1326562683902932</v>
      </c>
      <c r="H16">
        <v>14</v>
      </c>
      <c r="I16">
        <v>13</v>
      </c>
      <c r="J16">
        <f>100*44978/265308</f>
        <v>16.95312617787628</v>
      </c>
      <c r="K16">
        <f>100*56692/286186</f>
        <v>19.809494524539986</v>
      </c>
      <c r="L16">
        <f>IF(COUNT(J16:K16)=2,K16-J16,"")</f>
        <v>2.8563683466637073</v>
      </c>
      <c r="O16">
        <v>14</v>
      </c>
      <c r="P16">
        <v>13</v>
      </c>
      <c r="Q16">
        <f>100*58109/351187</f>
        <v>16.546455307286433</v>
      </c>
      <c r="R16">
        <f>100*28546/333805</f>
        <v>8.551699345426222</v>
      </c>
      <c r="S16">
        <f>IF(COUNT(Q16:R16)=2,R16-Q16,"")</f>
        <v>-7.994755961860211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100*111542/555389</f>
        <v>20.08358105760107</v>
      </c>
      <c r="E17">
        <f>IF(COUNT(C17:D17)=2,D17-C17,"")</f>
        <v>-12.94695035429653</v>
      </c>
      <c r="H17">
        <v>15</v>
      </c>
      <c r="I17">
        <v>14</v>
      </c>
      <c r="J17">
        <f>100*185252/403337</f>
        <v>45.92983038997166</v>
      </c>
      <c r="K17">
        <f>100*111013/433854</f>
        <v>25.587640081686466</v>
      </c>
      <c r="L17">
        <f>IF(COUNT(J17:K17)=2,K17-J17,"")</f>
        <v>-20.342190308285197</v>
      </c>
      <c r="O17">
        <v>15</v>
      </c>
      <c r="P17">
        <v>14</v>
      </c>
      <c r="Q17">
        <f>100*158493/377442</f>
        <v>41.99135231373297</v>
      </c>
      <c r="R17">
        <f>100*91611/268259</f>
        <v>34.15020558490116</v>
      </c>
      <c r="S17">
        <f>IF(COUNT(Q17:R17)=2,R17-Q17,"")</f>
        <v>-7.841146728831809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100*82370/393810</f>
        <v>20.916177852263782</v>
      </c>
      <c r="E18">
        <f>IF(COUNT(C18:D18)=2,D18-C18,"")</f>
        <v>-11.453902933078975</v>
      </c>
      <c r="H18">
        <v>16</v>
      </c>
      <c r="I18">
        <v>15</v>
      </c>
      <c r="J18">
        <f>100*116194/472598</f>
        <v>24.586223386472223</v>
      </c>
      <c r="K18">
        <f>100*63971/392571</f>
        <v>16.295396246793572</v>
      </c>
      <c r="L18">
        <f>IF(COUNT(J18:K18)=2,K18-J18,"")</f>
        <v>-8.290827139678651</v>
      </c>
      <c r="O18">
        <v>16</v>
      </c>
      <c r="P18">
        <v>15</v>
      </c>
      <c r="Q18">
        <f>100*130815/335348</f>
        <v>39.00873122845522</v>
      </c>
      <c r="R18">
        <f>100*128443/348796</f>
        <v>36.82467688849643</v>
      </c>
      <c r="S18">
        <f>IF(COUNT(Q18:R18)=2,R18-Q18,"")</f>
        <v>-2.1840543399587915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100*85442/364889</f>
        <v>23.415888119400694</v>
      </c>
      <c r="E19">
        <f>IF(COUNT(C19:D19)=2,D19-C19,"")</f>
        <v>1.242053914680092</v>
      </c>
      <c r="H19">
        <v>17</v>
      </c>
      <c r="I19">
        <v>16</v>
      </c>
      <c r="J19">
        <f>100*147986/392782</f>
        <v>37.6763700984261</v>
      </c>
      <c r="K19">
        <f>100*112474/405152</f>
        <v>27.76093910433615</v>
      </c>
      <c r="L19">
        <f>IF(COUNT(J19:K19)=2,K19-J19,"")</f>
        <v>-9.915430994089949</v>
      </c>
      <c r="O19">
        <v>17</v>
      </c>
      <c r="P19">
        <v>16</v>
      </c>
      <c r="Q19">
        <f>100*17753/266611</f>
        <v>6.65876501719734</v>
      </c>
      <c r="R19">
        <f>100*10297/298154</f>
        <v>3.453584389275341</v>
      </c>
      <c r="S19">
        <f>IF(COUNT(Q19:R19)=2,R19-Q19,"")</f>
        <v>-3.205180627921999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100*58081/477902</f>
        <v>12.153328506681286</v>
      </c>
      <c r="E20">
        <f>IF(COUNT(C20:D20)=2,D20-C20,"")</f>
        <v>-21.2153931298163</v>
      </c>
      <c r="H20">
        <v>18</v>
      </c>
      <c r="I20">
        <v>17</v>
      </c>
      <c r="J20">
        <f>100*134558/617547</f>
        <v>21.78911078832866</v>
      </c>
      <c r="K20">
        <f>100*71701/521163</f>
        <v>13.757883809863708</v>
      </c>
      <c r="L20">
        <f>IF(COUNT(J20:K20)=2,K20-J20,"")</f>
        <v>-8.031226978464952</v>
      </c>
      <c r="O20">
        <v>18</v>
      </c>
      <c r="P20">
        <v>17</v>
      </c>
      <c r="Q20">
        <f>100*1405/276206</f>
        <v>0.5086783053228388</v>
      </c>
      <c r="R20">
        <f>100*1405/276206</f>
        <v>0.5086783053228388</v>
      </c>
      <c r="S20">
        <f>IF(COUNT(Q20:R20)=2,R20-Q20,"")</f>
        <v>0.0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100*48863/473160</f>
        <v>10.326950714346099</v>
      </c>
      <c r="E21">
        <f>IF(COUNT(C21:D21)=2,D21-C21,"")</f>
        <v>-7.843274977113387</v>
      </c>
      <c r="H21">
        <v>19</v>
      </c>
      <c r="I21">
        <v>18</v>
      </c>
      <c r="J21">
        <f>100*48771/351007</f>
        <v>13.894594694692698</v>
      </c>
      <c r="K21">
        <f>100*62199/309958</f>
        <v>20.0669122913427</v>
      </c>
      <c r="L21">
        <f>IF(COUNT(J21:K21)=2,K21-J21,"")</f>
        <v>6.172317596650002</v>
      </c>
      <c r="O21">
        <v>19</v>
      </c>
      <c r="P21">
        <v>18</v>
      </c>
      <c r="Q21">
        <f>100*124085/311389</f>
        <v>39.84887070513088</v>
      </c>
      <c r="R21">
        <f>100*157119/413019</f>
        <v>38.041591306937455</v>
      </c>
      <c r="S21">
        <f>IF(COUNT(Q21:R21)=2,R21-Q21,"")</f>
        <v>-1.8072793981934225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100*93463/349519</f>
        <v>26.740463322451713</v>
      </c>
      <c r="E22">
        <f>IF(COUNT(C22:D22)=2,D22-C22,"")</f>
        <v>6.043766968148734</v>
      </c>
      <c r="H22">
        <v>20</v>
      </c>
      <c r="I22">
        <v>19</v>
      </c>
      <c r="J22">
        <f>100*42161/340805</f>
        <v>12.371003946538343</v>
      </c>
      <c r="K22">
        <f>100*81735/411016</f>
        <v>19.886087159623955</v>
      </c>
      <c r="L22">
        <f>IF(COUNT(J22:K22)=2,K22-J22,"")</f>
        <v>7.515083213085612</v>
      </c>
      <c r="O22">
        <v>20</v>
      </c>
      <c r="P22">
        <v>19</v>
      </c>
      <c r="Q22">
        <f>100*139808/401311</f>
        <v>34.83781904806995</v>
      </c>
      <c r="R22">
        <f>100*100198/543510</f>
        <v>18.435355375246086</v>
      </c>
      <c r="S22">
        <f>IF(COUNT(Q22:R22)=2,R22-Q22,"")</f>
        <v>-16.402463672823867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100*121434/416302</f>
        <v>29.16968931208594</v>
      </c>
      <c r="E23">
        <f>IF(COUNT(C23:D23)=2,D23-C23,"")</f>
        <v>2.479520713618065</v>
      </c>
      <c r="H23">
        <v>21</v>
      </c>
      <c r="I23">
        <v>20</v>
      </c>
      <c r="J23">
        <f>100*222992/523032</f>
        <v>42.63448507930681</v>
      </c>
      <c r="K23">
        <f>100*88971/336416</f>
        <v>26.4467207267193</v>
      </c>
      <c r="L23">
        <f>IF(COUNT(J23:K23)=2,K23-J23,"")</f>
        <v>-16.187764352587514</v>
      </c>
      <c r="O23">
        <v>21</v>
      </c>
      <c r="P23">
        <v>20</v>
      </c>
      <c r="Q23">
        <f>100*43636/293480</f>
        <v>14.86847485348235</v>
      </c>
      <c r="R23">
        <f>100*57538/332786</f>
        <v>17.28978983490892</v>
      </c>
      <c r="S23">
        <f>IF(COUNT(Q23:R23)=2,R23-Q23,"")</f>
        <v>2.421314981426569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100*37131/95893</f>
        <v>38.72128309678496</v>
      </c>
      <c r="E24">
        <f>IF(COUNT(C24:D24)=2,D24-C24,"")</f>
        <v>0.5730282400184095</v>
      </c>
      <c r="H24">
        <v>22</v>
      </c>
      <c r="I24">
        <v>21</v>
      </c>
      <c r="J24">
        <f>100*54639/207484</f>
        <v>26.334078772339073</v>
      </c>
      <c r="K24">
        <f>100*98246/327247</f>
        <v>30.02197117162266</v>
      </c>
      <c r="L24">
        <f>IF(COUNT(J24:K24)=2,K24-J24,"")</f>
        <v>3.6878923992835873</v>
      </c>
      <c r="O24">
        <v>22</v>
      </c>
      <c r="P24">
        <v>21</v>
      </c>
      <c r="Q24">
        <f>100*45197/105457</f>
        <v>42.85822657576074</v>
      </c>
      <c r="R24">
        <f>100*84108/225609</f>
        <v>37.28042764251426</v>
      </c>
      <c r="S24">
        <f>IF(COUNT(Q24:R24)=2,R24-Q24,"")</f>
        <v>-5.577798933246477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100*89666/390869</f>
        <v>22.940166654301056</v>
      </c>
      <c r="E25">
        <f>IF(COUNT(C25:D25)=2,D25-C25,"")</f>
        <v>-10.89106104900485</v>
      </c>
      <c r="H25">
        <v>23</v>
      </c>
      <c r="I25">
        <v>22</v>
      </c>
      <c r="J25">
        <f>100*82449/499533</f>
        <v>16.505215871624095</v>
      </c>
      <c r="K25">
        <f>100*63244/441858</f>
        <v>14.313195642038846</v>
      </c>
      <c r="L25">
        <f>IF(COUNT(J25:K25)=2,K25-J25,"")</f>
        <v>-2.19202022958525</v>
      </c>
      <c r="O25">
        <v>23</v>
      </c>
      <c r="P25">
        <v>22</v>
      </c>
      <c r="Q25">
        <f>100*656/247400</f>
        <v>0.2651576394502829</v>
      </c>
      <c r="R25">
        <f>100*656/247400</f>
        <v>0.2651576394502829</v>
      </c>
      <c r="S25">
        <f>IF(COUNT(Q25:R25)=2,R25-Q25,"")</f>
        <v>0.0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100*106405/583770</f>
        <v>18.22721277215342</v>
      </c>
      <c r="E26">
        <f>IF(COUNT(C26:D26)=2,D26-C26,"")</f>
        <v>-6.225369885152919</v>
      </c>
      <c r="H26">
        <v>24</v>
      </c>
      <c r="I26">
        <v>23</v>
      </c>
      <c r="J26">
        <f>100*167481/558799</f>
        <v>29.971599806012538</v>
      </c>
      <c r="K26">
        <f>100*19948/438658</f>
        <v>4.547506257722417</v>
      </c>
      <c r="L26">
        <f>IF(COUNT(J26:K26)=2,K26-J26,"")</f>
        <v>-25.42409354829012</v>
      </c>
      <c r="O26">
        <v>24</v>
      </c>
      <c r="P26">
        <v>23</v>
      </c>
      <c r="Q26">
        <f>100*53061/340117</f>
        <v>15.600807957261766</v>
      </c>
      <c r="R26">
        <f>100*66795/487382</f>
        <v>13.704855739440521</v>
      </c>
      <c r="S26">
        <f>IF(COUNT(Q26:R26)=2,R26-Q26,"")</f>
        <v>-1.895952217821245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100*34422/467453</f>
        <v>7.363734963728974</v>
      </c>
      <c r="E27">
        <f>IF(COUNT(C27:D27)=2,D27-C27,"")</f>
        <v>2.0979475346629917</v>
      </c>
      <c r="H27">
        <v>25</v>
      </c>
      <c r="I27">
        <v>24</v>
      </c>
      <c r="J27">
        <f>100*67075/346916</f>
        <v>19.334651615953142</v>
      </c>
      <c r="K27">
        <f>100*60079/440674</f>
        <v>13.633434239369693</v>
      </c>
      <c r="L27">
        <f>IF(COUNT(J27:K27)=2,K27-J27,"")</f>
        <v>-5.701217376583449</v>
      </c>
      <c r="O27">
        <v>25</v>
      </c>
      <c r="P27">
        <v>24</v>
      </c>
      <c r="Q27">
        <f>100*158561/348258</f>
        <v>45.52975093178046</v>
      </c>
      <c r="R27">
        <f>100*136941/376341</f>
        <v>36.387478377322694</v>
      </c>
      <c r="S27">
        <f>IF(COUNT(Q27:R27)=2,R27-Q27,"")</f>
        <v>-9.142272554457769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100*87488/369717</f>
        <v>23.66350478879792</v>
      </c>
      <c r="E28">
        <f>IF(COUNT(C28:D28)=2,D28-C28,"")</f>
        <v>-0.24169740587796085</v>
      </c>
      <c r="H28">
        <v>26</v>
      </c>
      <c r="I28">
        <v>25</v>
      </c>
      <c r="J28">
        <f>100*177325/563486</f>
        <v>31.469282289178437</v>
      </c>
      <c r="K28">
        <f>100*110454/468352</f>
        <v>23.583544001093195</v>
      </c>
      <c r="L28">
        <f>IF(COUNT(J28:K28)=2,K28-J28,"")</f>
        <v>-7.885738288085243</v>
      </c>
      <c r="O28">
        <v>26</v>
      </c>
      <c r="P28">
        <v>25</v>
      </c>
      <c r="Q28">
        <f>100*156244/369843</f>
        <v>42.246034127994854</v>
      </c>
      <c r="R28">
        <f>100*163649/453980</f>
        <v>36.04762324331468</v>
      </c>
      <c r="S28">
        <f>IF(COUNT(Q28:R28)=2,R28-Q28,"")</f>
        <v>-6.198410884680172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100*39868/357508</f>
        <v>11.15163856473142</v>
      </c>
      <c r="E29">
        <f>IF(COUNT(C29:D29)=2,D29-C29,"")</f>
        <v>-33.46458916564693</v>
      </c>
      <c r="H29">
        <v>27</v>
      </c>
      <c r="I29">
        <v>26</v>
      </c>
      <c r="J29">
        <f>100*35297/437184</f>
        <v>8.073717244912897</v>
      </c>
      <c r="K29">
        <f>100*167180/563380</f>
        <v>29.674464837232417</v>
      </c>
      <c r="L29">
        <f>IF(COUNT(J29:K29)=2,K29-J29,"")</f>
        <v>21.60074759231952</v>
      </c>
      <c r="O29">
        <v>27</v>
      </c>
      <c r="P29">
        <v>26</v>
      </c>
      <c r="Q29">
        <f>100*99207/334942</f>
        <v>29.619157943763398</v>
      </c>
      <c r="R29">
        <f>100*65659/242565</f>
        <v>27.068620782058417</v>
      </c>
      <c r="S29">
        <f>IF(COUNT(Q29:R29)=2,R29-Q29,"")</f>
        <v>-2.5505371617049803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100*56916/293743</f>
        <v>19.376121303316165</v>
      </c>
      <c r="E30">
        <f>IF(COUNT(C30:D30)=2,D30-C30,"")</f>
        <v>-3.7025074437544205</v>
      </c>
      <c r="H30">
        <v>28</v>
      </c>
      <c r="I30">
        <v>27</v>
      </c>
      <c r="J30">
        <f>100*111624/317500</f>
        <v>35.15716535433071</v>
      </c>
      <c r="K30">
        <f>100*86585/310086</f>
        <v>27.92289880871758</v>
      </c>
      <c r="L30">
        <f>IF(COUNT(J30:K30)=2,K30-J30,"")</f>
        <v>-7.234266545613128</v>
      </c>
      <c r="O30">
        <v>28</v>
      </c>
      <c r="P30">
        <v>27</v>
      </c>
      <c r="Q30">
        <f>100*258/245208</f>
        <v>0.10521679553685034</v>
      </c>
      <c r="R30">
        <f>100*258/245208</f>
        <v>0.10521679553685034</v>
      </c>
      <c r="S30">
        <f>IF(COUNT(Q30:R30)=2,R30-Q30,"")</f>
        <v>0.0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100*97263/356876</f>
        <v>27.25400419193221</v>
      </c>
      <c r="E31">
        <f>IF(COUNT(C31:D31)=2,D31-C31,"")</f>
        <v>-19.32586853315741</v>
      </c>
      <c r="H31">
        <v>29</v>
      </c>
      <c r="I31">
        <v>28</v>
      </c>
      <c r="J31">
        <f>100*143049/329070</f>
        <v>43.47069012672076</v>
      </c>
      <c r="K31">
        <f>100*119800/358248</f>
        <v>33.44052164980684</v>
      </c>
      <c r="L31">
        <f>IF(COUNT(J31:K31)=2,K31-J31,"")</f>
        <v>-10.030168476913921</v>
      </c>
      <c r="O31">
        <v>29</v>
      </c>
      <c r="P31">
        <v>28</v>
      </c>
      <c r="Q31">
        <f>100*106682/252496</f>
        <v>42.25096635194221</v>
      </c>
      <c r="R31">
        <f>100*139047/352613</f>
        <v>39.4333164120438</v>
      </c>
      <c r="S31">
        <f>IF(COUNT(Q31:R31)=2,R31-Q31,"")</f>
        <v>-2.817649939898409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100*83116/376603</f>
        <v>22.06992509353351</v>
      </c>
      <c r="E32">
        <f>IF(COUNT(C32:D32)=2,D32-C32,"")</f>
        <v>2.7568979630207373</v>
      </c>
      <c r="H32">
        <v>30</v>
      </c>
      <c r="I32">
        <v>29</v>
      </c>
      <c r="J32">
        <f>100*71699/295601</f>
        <v>24.25533066532251</v>
      </c>
      <c r="K32">
        <f>100*57724/280811</f>
        <v>20.55617479372247</v>
      </c>
      <c r="L32">
        <f>IF(COUNT(J32:K32)=2,K32-J32,"")</f>
        <v>-3.6991558716000412</v>
      </c>
      <c r="O32">
        <v>30</v>
      </c>
      <c r="P32">
        <v>29</v>
      </c>
      <c r="Q32">
        <f>100*220230/481156</f>
        <v>45.771018131333705</v>
      </c>
      <c r="R32">
        <f>100*163003/480013</f>
        <v>33.958038636453594</v>
      </c>
      <c r="S32">
        <f>IF(COUNT(Q32:R32)=2,R32-Q32,"")</f>
        <v>-11.81297949488011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100*72845/350911</f>
        <v>20.758824887222115</v>
      </c>
      <c r="E33">
        <f>IF(COUNT(C33:D33)=2,D33-C33,"")</f>
        <v>-4.839480046876176</v>
      </c>
      <c r="H33">
        <v>31</v>
      </c>
      <c r="I33">
        <v>30</v>
      </c>
      <c r="J33">
        <f>100*58413/325415</f>
        <v>17.950309604658667</v>
      </c>
      <c r="K33">
        <f>100*69419/353822</f>
        <v>19.61975230483124</v>
      </c>
      <c r="L33">
        <f>IF(COUNT(J33:K33)=2,K33-J33,"")</f>
        <v>1.6694427001725742</v>
      </c>
      <c r="O33">
        <v>31</v>
      </c>
      <c r="P33">
        <v>30</v>
      </c>
      <c r="Q33">
        <f>100*3974/273650</f>
        <v>1.4522199890370913</v>
      </c>
      <c r="R33">
        <f>100*15030/480160</f>
        <v>3.130206597800733</v>
      </c>
      <c r="S33">
        <f>IF(COUNT(Q33:R33)=2,R33-Q33,"")</f>
        <v>1.677986608763642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18.91663319848494</v>
      </c>
      <c r="E34">
        <f>IF(COUNT(E3:E33)&gt;0,AVERAGE(E3:E33),"")</f>
        <v>-5.949486046911712</v>
      </c>
      <c r="H34" t="s">
        <v>5</v>
      </c>
      <c r="J34">
        <f>IF(COUNT(J3:J33)&gt;0,AVERAGE(J3:J33),"")</f>
        <v>22.873960622545518</v>
      </c>
      <c r="K34">
        <f>IF(COUNT(K3:K33)&gt;0,AVERAGE(K3:K33),"")</f>
        <v>19.584121411004006</v>
      </c>
      <c r="L34">
        <f>IF(COUNT(L3:L33)&gt;0,AVERAGE(L3:L33),"")</f>
        <v>-3.2898392115415134</v>
      </c>
      <c r="O34" t="s">
        <v>5</v>
      </c>
      <c r="Q34">
        <f>IF(COUNT(Q3:Q33)&gt;0,AVERAGE(Q3:Q33),"")</f>
        <v>30.285258327658585</v>
      </c>
      <c r="R34">
        <f>IF(COUNT(R3:R33)&gt;0,AVERAGE(R3:R33),"")</f>
        <v>23.213159599892574</v>
      </c>
      <c r="S34">
        <f>IF(COUNT(S3:S33)&gt;0,AVERAGE(S3:S33),"")</f>
        <v>-7.072098727766013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100*113450/527580</f>
        <v>21.50384775768604</v>
      </c>
      <c r="E39">
        <f>IF(COUNT(C39:D39)=2,D39-C39,"")</f>
        <v>6.182495568989701</v>
      </c>
      <c r="H39">
        <v>1</v>
      </c>
      <c r="I39">
        <v>0</v>
      </c>
      <c r="J39">
        <f>100*211130/713250</f>
        <v>29.601121626358218</v>
      </c>
      <c r="K39">
        <f>100*137942/583588</f>
        <v>23.63688081317642</v>
      </c>
      <c r="L39">
        <f>IF(COUNT(J39:K39)=2,K39-J39,"")</f>
        <v>-5.964240813181799</v>
      </c>
      <c r="O39">
        <v>1</v>
      </c>
      <c r="P39">
        <v>0</v>
      </c>
      <c r="Q39">
        <f>100*33559/419154</f>
        <v>8.00636520228842</v>
      </c>
      <c r="R39">
        <f>100*42176/437678</f>
        <v>9.63630797069992</v>
      </c>
      <c r="S39">
        <f>IF(COUNT(Q39:R39)=2,R39-Q39,"")</f>
        <v>1.6299427684115013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100*115540/363942</f>
        <v>31.7468168004792</v>
      </c>
      <c r="E40">
        <f>IF(COUNT(C40:D40)=2,D40-C40,"")</f>
        <v>-16.808236247278007</v>
      </c>
      <c r="H40">
        <v>2</v>
      </c>
      <c r="I40">
        <v>1</v>
      </c>
      <c r="J40">
        <f>100*221110/594344</f>
        <v>37.20236092229416</v>
      </c>
      <c r="K40">
        <f>100*129198/456306</f>
        <v>28.31389462334486</v>
      </c>
      <c r="L40">
        <f>IF(COUNT(J40:K40)=2,K40-J40,"")</f>
        <v>-8.8884662989493</v>
      </c>
      <c r="O40">
        <v>2</v>
      </c>
      <c r="P40">
        <v>1</v>
      </c>
      <c r="Q40">
        <f>100*83755/209991</f>
        <v>39.88504269230586</v>
      </c>
      <c r="R40">
        <f>100*75878/199145</f>
        <v>38.1018855607723</v>
      </c>
      <c r="S40">
        <f>IF(COUNT(Q40:R40)=2,R40-Q40,"")</f>
        <v>-1.7831571315335566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100*334550/824943</f>
        <v>40.55431708615019</v>
      </c>
      <c r="E41">
        <f>IF(COUNT(C41:D41)=2,D41-C41,"")</f>
        <v>-0.6699446812582863</v>
      </c>
      <c r="H41">
        <v>3</v>
      </c>
      <c r="I41">
        <v>2</v>
      </c>
      <c r="J41">
        <f>100*328651/1001588</f>
        <v>32.812992967168135</v>
      </c>
      <c r="K41">
        <f>100*108730/930687</f>
        <v>11.68276767592112</v>
      </c>
      <c r="L41">
        <f>IF(COUNT(J41:K41)=2,K41-J41,"")</f>
        <v>-21.130225291247015</v>
      </c>
      <c r="O41">
        <v>3</v>
      </c>
      <c r="P41">
        <v>2</v>
      </c>
      <c r="Q41">
        <f>100*165549/320834</f>
        <v>51.59958109177955</v>
      </c>
      <c r="R41">
        <f>100*188105/504949</f>
        <v>37.252276962623945</v>
      </c>
      <c r="S41">
        <f>IF(COUNT(Q41:R41)=2,R41-Q41,"")</f>
        <v>-14.347304129155603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100*10952/434246</f>
        <v>2.5220727421783966</v>
      </c>
      <c r="E42">
        <f>IF(COUNT(C42:D42)=2,D42-C42,"")</f>
        <v>-3.370167776513359</v>
      </c>
      <c r="H42">
        <v>4</v>
      </c>
      <c r="I42">
        <v>3</v>
      </c>
      <c r="J42">
        <f>100*38325/584626</f>
        <v>6.555473071673172</v>
      </c>
      <c r="K42">
        <f>100*140810/681360</f>
        <v>20.666020899377717</v>
      </c>
      <c r="L42">
        <f>IF(COUNT(J42:K42)=2,K42-J42,"")</f>
        <v>14.110547827704544</v>
      </c>
      <c r="O42">
        <v>4</v>
      </c>
      <c r="P42">
        <v>3</v>
      </c>
      <c r="Q42">
        <f>100*265499/612068</f>
        <v>43.37736983472425</v>
      </c>
      <c r="R42">
        <f>100*299812/676087</f>
        <v>44.345180427962674</v>
      </c>
      <c r="S42">
        <f>IF(COUNT(Q42:R42)=2,R42-Q42,"")</f>
        <v>0.9678105932384256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100*161415/489323</f>
        <v>32.98741322194134</v>
      </c>
      <c r="E43">
        <f>IF(COUNT(C43:D43)=2,D43-C43,"")</f>
        <v>-8.388671051141877</v>
      </c>
      <c r="H43">
        <v>5</v>
      </c>
      <c r="I43">
        <v>4</v>
      </c>
      <c r="J43">
        <f>100*86329/200432</f>
        <v>43.071465634230066</v>
      </c>
      <c r="K43">
        <f>100*215469/540322</f>
        <v>39.8778876299688</v>
      </c>
      <c r="L43">
        <f>IF(COUNT(J43:K43)=2,K43-J43,"")</f>
        <v>-3.193578004261269</v>
      </c>
      <c r="O43">
        <v>5</v>
      </c>
      <c r="P43">
        <v>4</v>
      </c>
      <c r="Q43">
        <f>100*80681/472324</f>
        <v>17.08170662511327</v>
      </c>
      <c r="R43">
        <f>100*6526/469694</f>
        <v>1.3894152363027843</v>
      </c>
      <c r="S43">
        <f>IF(COUNT(Q43:R43)=2,R43-Q43,"")</f>
        <v>-15.692291388810485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100*41983/654796</f>
        <v>6.41161522061833</v>
      </c>
      <c r="E44">
        <f>IF(COUNT(C44:D44)=2,D44-C44,"")</f>
        <v>-1.6546746597596815</v>
      </c>
      <c r="H44">
        <v>6</v>
      </c>
      <c r="I44">
        <v>5</v>
      </c>
      <c r="J44">
        <f>100*143171/458928</f>
        <v>31.19683261862427</v>
      </c>
      <c r="K44">
        <f>100*112783/495278</f>
        <v>22.771655514680646</v>
      </c>
      <c r="L44">
        <f>IF(COUNT(J44:K44)=2,K44-J44,"")</f>
        <v>-8.425177103943625</v>
      </c>
      <c r="O44">
        <v>6</v>
      </c>
      <c r="P44">
        <v>5</v>
      </c>
      <c r="Q44">
        <f>100*332039/690960</f>
        <v>48.05473544054649</v>
      </c>
      <c r="R44">
        <f>100*229872/728487</f>
        <v>31.5547154582031</v>
      </c>
      <c r="S44">
        <f>IF(COUNT(Q44:R44)=2,R44-Q44,"")</f>
        <v>-16.50001998234339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100*53568/516420</f>
        <v>10.372952248170094</v>
      </c>
      <c r="E45">
        <f>IF(COUNT(C45:D45)=2,D45-C45,"")</f>
        <v>8.27939258688015</v>
      </c>
      <c r="H45">
        <v>7</v>
      </c>
      <c r="I45">
        <v>6</v>
      </c>
      <c r="J45">
        <f>100*1474/516628</f>
        <v>0.28531167493825343</v>
      </c>
      <c r="K45">
        <f>100*1474/516628</f>
        <v>0.28531167493825343</v>
      </c>
      <c r="L45">
        <f>IF(COUNT(J45:K45)=2,K45-J45,"")</f>
        <v>0.0</v>
      </c>
      <c r="O45">
        <v>7</v>
      </c>
      <c r="P45">
        <v>6</v>
      </c>
      <c r="Q45">
        <f>100*255047/462709</f>
        <v>55.12038884050234</v>
      </c>
      <c r="R45">
        <f>100*192028/514117</f>
        <v>37.3510309910001</v>
      </c>
      <c r="S45">
        <f>IF(COUNT(Q45:R45)=2,R45-Q45,"")</f>
        <v>-17.769357849502242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100*26661/480559</f>
        <v>5.547913991830348</v>
      </c>
      <c r="E46">
        <f>IF(COUNT(C46:D46)=2,D46-C46,"")</f>
        <v>3.331184454249454</v>
      </c>
      <c r="H46">
        <v>8</v>
      </c>
      <c r="I46">
        <v>7</v>
      </c>
      <c r="J46">
        <f>100*2387/421854</f>
        <v>0.5658355734448411</v>
      </c>
      <c r="K46">
        <f>100*2387/421854</f>
        <v>0.5658355734448411</v>
      </c>
      <c r="L46">
        <f>IF(COUNT(J46:K46)=2,K46-J46,"")</f>
        <v>0.0</v>
      </c>
      <c r="O46">
        <v>8</v>
      </c>
      <c r="P46">
        <v>7</v>
      </c>
      <c r="Q46">
        <f>100*174551/400003</f>
        <v>43.63742271932961</v>
      </c>
      <c r="R46">
        <f>100*154916/401281</f>
        <v>38.6053663143782</v>
      </c>
      <c r="S46">
        <f>IF(COUNT(Q46:R46)=2,R46-Q46,"")</f>
        <v>-5.032056404951405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100*206600/502027</f>
        <v>41.15316506881104</v>
      </c>
      <c r="E47">
        <f>IF(COUNT(C47:D47)=2,D47-C47,"")</f>
        <v>-16.498962964956107</v>
      </c>
      <c r="H47">
        <v>9</v>
      </c>
      <c r="I47">
        <v>8</v>
      </c>
      <c r="J47">
        <f>100*195875/433696</f>
        <v>45.16412417914853</v>
      </c>
      <c r="K47">
        <f>100*143620/343061</f>
        <v>41.86427486656892</v>
      </c>
      <c r="L47">
        <f>IF(COUNT(J47:K47)=2,K47-J47,"")</f>
        <v>-3.2998493125796102</v>
      </c>
      <c r="O47">
        <v>9</v>
      </c>
      <c r="P47">
        <v>8</v>
      </c>
      <c r="Q47">
        <f>100*68616/113213</f>
        <v>60.60788072041197</v>
      </c>
      <c r="R47">
        <f>100*127118/266342</f>
        <v>47.727358058436145</v>
      </c>
      <c r="S47">
        <f>IF(COUNT(Q47:R47)=2,R47-Q47,"")</f>
        <v>-12.880522661975824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100*190455/683445</f>
        <v>27.86690955380462</v>
      </c>
      <c r="E48">
        <f>IF(COUNT(C48:D48)=2,D48-C48,"")</f>
        <v>5.90760393200496</v>
      </c>
      <c r="H48">
        <v>10</v>
      </c>
      <c r="I48">
        <v>9</v>
      </c>
      <c r="J48">
        <f>100*319115/716304</f>
        <v>44.550218901472</v>
      </c>
      <c r="K48">
        <f>100*149202/776730</f>
        <v>19.208991541462286</v>
      </c>
      <c r="L48">
        <f>IF(COUNT(J48:K48)=2,K48-J48,"")</f>
        <v>-25.341227360009714</v>
      </c>
      <c r="O48">
        <v>10</v>
      </c>
      <c r="P48">
        <v>9</v>
      </c>
      <c r="Q48">
        <f>100*144975/663380</f>
        <v>21.85399017154572</v>
      </c>
      <c r="R48">
        <f>100*8177/473639</f>
        <v>1.7264203327850958</v>
      </c>
      <c r="S48">
        <f>IF(COUNT(Q48:R48)=2,R48-Q48,"")</f>
        <v>-20.127569838760625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100*302289/952265</f>
        <v>31.744209857550157</v>
      </c>
      <c r="E49">
        <f>IF(COUNT(C49:D49)=2,D49-C49,"")</f>
        <v>-12.883510163843699</v>
      </c>
      <c r="H49">
        <v>11</v>
      </c>
      <c r="I49">
        <v>10</v>
      </c>
      <c r="J49">
        <f>100*298304/894387</f>
        <v>33.352899807354085</v>
      </c>
      <c r="K49">
        <f>100*77501/658354</f>
        <v>11.771934248140058</v>
      </c>
      <c r="L49">
        <f>IF(COUNT(J49:K49)=2,K49-J49,"")</f>
        <v>-21.58096555921403</v>
      </c>
      <c r="O49">
        <v>11</v>
      </c>
      <c r="P49">
        <v>10</v>
      </c>
      <c r="Q49">
        <f>100*252271/540552</f>
        <v>46.66914561411298</v>
      </c>
      <c r="R49">
        <f>100*266235/597773</f>
        <v>44.53780950293841</v>
      </c>
      <c r="S49">
        <f>IF(COUNT(Q49:R49)=2,R49-Q49,"")</f>
        <v>-2.1313361111745692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100*146917/908774</f>
        <v>16.166505643867453</v>
      </c>
      <c r="E50">
        <f>IF(COUNT(C50:D50)=2,D50-C50,"")</f>
        <v>-26.34844289003786</v>
      </c>
      <c r="H50">
        <v>12</v>
      </c>
      <c r="I50">
        <v>11</v>
      </c>
      <c r="K50">
        <f>100*231782/982697</f>
        <v>23.58631399098603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100*140974/359469</f>
        <v>39.21728994711644</v>
      </c>
      <c r="S50">
        <f>IF(COUNT(Q50:R50)=2,R50-Q50,"")</f>
        <v>-8.4546829603822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100*28109/568132</f>
        <v>4.947617807129329</v>
      </c>
      <c r="E51">
        <f>IF(COUNT(C51:D51)=2,D51-C51,"")</f>
        <v>2.7965594764382193</v>
      </c>
      <c r="H51">
        <v>13</v>
      </c>
      <c r="I51">
        <v>12</v>
      </c>
      <c r="J51">
        <f>100*63849/654587</f>
        <v>9.75408921961481</v>
      </c>
      <c r="K51">
        <f>100*43307/630665</f>
        <v>6.866878612258489</v>
      </c>
      <c r="L51">
        <f>IF(COUNT(J51:K51)=2,K51-J51,"")</f>
        <v>-2.8872106073563213</v>
      </c>
      <c r="O51">
        <v>13</v>
      </c>
      <c r="P51">
        <v>12</v>
      </c>
      <c r="Q51">
        <f>100*326273/687294</f>
        <v>47.47211528108786</v>
      </c>
      <c r="R51">
        <f>100*332881/769291</f>
        <v>43.27114186959161</v>
      </c>
      <c r="S51">
        <f>IF(COUNT(Q51:R51)=2,R51-Q51,"")</f>
        <v>-4.20097341149625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100*25844/353722</f>
        <v>7.306302689682858</v>
      </c>
      <c r="E52">
        <f>IF(COUNT(C52:D52)=2,D52-C52,"")</f>
        <v>-5.134757281552587</v>
      </c>
      <c r="H52">
        <v>14</v>
      </c>
      <c r="I52">
        <v>13</v>
      </c>
      <c r="J52">
        <f>100*46518/257005</f>
        <v>18.100036964261395</v>
      </c>
      <c r="K52">
        <f>100*91416/365584</f>
        <v>25.005470698936495</v>
      </c>
      <c r="L52">
        <f>IF(COUNT(J52:K52)=2,K52-J52,"")</f>
        <v>6.9054337346751</v>
      </c>
      <c r="O52">
        <v>14</v>
      </c>
      <c r="P52">
        <v>13</v>
      </c>
      <c r="Q52">
        <f>100*2347/627958</f>
        <v>0.37375111074307515</v>
      </c>
      <c r="R52">
        <f>100*2347/627958</f>
        <v>0.37375111074307515</v>
      </c>
      <c r="S52">
        <f>IF(COUNT(Q52:R52)=2,R52-Q52,"")</f>
        <v>0.0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100*190954/681290</f>
        <v>28.028299255823512</v>
      </c>
      <c r="E53">
        <f>IF(COUNT(C53:D53)=2,D53-C53,"")</f>
        <v>-25.89924329065734</v>
      </c>
      <c r="H53">
        <v>15</v>
      </c>
      <c r="I53">
        <v>14</v>
      </c>
      <c r="J53">
        <f>100*175137/618371</f>
        <v>28.322317831851752</v>
      </c>
      <c r="K53">
        <f>100*192745/786442</f>
        <v>24.508482507292335</v>
      </c>
      <c r="L53">
        <f>IF(COUNT(J53:K53)=2,K53-J53,"")</f>
        <v>-3.8138353245594168</v>
      </c>
      <c r="O53">
        <v>15</v>
      </c>
      <c r="P53">
        <v>14</v>
      </c>
      <c r="Q53">
        <f>100*146769/359086</f>
        <v>40.872938516121486</v>
      </c>
      <c r="R53">
        <f>100*199506/389163</f>
        <v>51.26540806808458</v>
      </c>
      <c r="S53">
        <f>IF(COUNT(Q53:R53)=2,R53-Q53,"")</f>
        <v>10.392469551963096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100*60178/416018</f>
        <v>14.465239484829983</v>
      </c>
      <c r="E54">
        <f>IF(COUNT(C54:D54)=2,D54-C54,"")</f>
        <v>-36.992494505317794</v>
      </c>
      <c r="H54">
        <v>16</v>
      </c>
      <c r="I54">
        <v>15</v>
      </c>
      <c r="J54">
        <f>100*262686/530062</f>
        <v>49.55759892239021</v>
      </c>
      <c r="K54">
        <f>100*84823/538413</f>
        <v>15.754262991421085</v>
      </c>
      <c r="L54">
        <f>IF(COUNT(J54:K54)=2,K54-J54,"")</f>
        <v>-33.803335930969126</v>
      </c>
      <c r="O54">
        <v>16</v>
      </c>
      <c r="P54">
        <v>15</v>
      </c>
      <c r="Q54">
        <f>100*161630/350468</f>
        <v>46.11833320017805</v>
      </c>
      <c r="R54">
        <f>100*184589/442338</f>
        <v>41.73030578426452</v>
      </c>
      <c r="S54">
        <f>IF(COUNT(Q54:R54)=2,R54-Q54,"")</f>
        <v>-4.388027415913527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100*224687/636767</f>
        <v>35.2855911188865</v>
      </c>
      <c r="E55">
        <f>IF(COUNT(C55:D55)=2,D55-C55,"")</f>
        <v>4.828721226753881</v>
      </c>
      <c r="H55">
        <v>17</v>
      </c>
      <c r="I55">
        <v>16</v>
      </c>
      <c r="J55">
        <f>100*201035/472489</f>
        <v>42.5480804844134</v>
      </c>
      <c r="K55">
        <f>100*148244/579376</f>
        <v>25.586838253569358</v>
      </c>
      <c r="L55">
        <f>IF(COUNT(J55:K55)=2,K55-J55,"")</f>
        <v>-16.96124223084404</v>
      </c>
      <c r="O55">
        <v>17</v>
      </c>
      <c r="P55">
        <v>16</v>
      </c>
      <c r="Q55">
        <f>100*10845/444486</f>
        <v>2.4398968696426886</v>
      </c>
      <c r="R55">
        <f>100*12446/449725</f>
        <v>2.767469008838735</v>
      </c>
      <c r="S55">
        <f>IF(COUNT(Q55:R55)=2,R55-Q55,"")</f>
        <v>0.3275721391960462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100*87867/676251</f>
        <v>12.99325250535674</v>
      </c>
      <c r="E56">
        <f>IF(COUNT(C56:D56)=2,D56-C56,"")</f>
        <v>-36.46756603087357</v>
      </c>
      <c r="H56">
        <v>18</v>
      </c>
      <c r="I56">
        <v>17</v>
      </c>
      <c r="K56">
        <f>100*358941/937556</f>
        <v>38.284753124080055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100*39596/412255</f>
        <v>9.60473493347564</v>
      </c>
      <c r="S56">
        <f>IF(COUNT(Q56:R56)=2,R56-Q56,"")</f>
        <v>-0.198563602973433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100*129315/613639</f>
        <v>21.07346501770585</v>
      </c>
      <c r="E57">
        <f>IF(COUNT(C57:D57)=2,D57-C57,"")</f>
        <v>-17.6452670178639</v>
      </c>
      <c r="H57">
        <v>19</v>
      </c>
      <c r="I57">
        <v>18</v>
      </c>
      <c r="J57">
        <f>100*171180/560014</f>
        <v>30.567092965533003</v>
      </c>
      <c r="K57">
        <f>100*138715/686612</f>
        <v>20.202821972234684</v>
      </c>
      <c r="L57">
        <f>IF(COUNT(J57:K57)=2,K57-J57,"")</f>
        <v>-10.36427099329832</v>
      </c>
      <c r="O57">
        <v>19</v>
      </c>
      <c r="P57">
        <v>18</v>
      </c>
      <c r="Q57">
        <f>100*169030/384674</f>
        <v>43.94110337584552</v>
      </c>
      <c r="R57">
        <f>100*195180/432444</f>
        <v>45.13416766101507</v>
      </c>
      <c r="S57">
        <f>IF(COUNT(Q57:R57)=2,R57-Q57,"")</f>
        <v>1.193064285169548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100*123094/520960</f>
        <v>23.628301597051596</v>
      </c>
      <c r="E58">
        <f>IF(COUNT(C58:D58)=2,D58-C58,"")</f>
        <v>-17.798193968149384</v>
      </c>
      <c r="H58">
        <v>20</v>
      </c>
      <c r="I58">
        <v>19</v>
      </c>
      <c r="J58">
        <f>100*284748/588066</f>
        <v>48.42109559131118</v>
      </c>
      <c r="K58">
        <f>100*178248/624876</f>
        <v>28.525339427342384</v>
      </c>
      <c r="L58">
        <f>IF(COUNT(J58:K58)=2,K58-J58,"")</f>
        <v>-19.895756163968795</v>
      </c>
      <c r="O58">
        <v>20</v>
      </c>
      <c r="P58">
        <v>19</v>
      </c>
      <c r="Q58">
        <f>100*276241/622059</f>
        <v>44.40752404514684</v>
      </c>
      <c r="R58">
        <f>100*229481/638400</f>
        <v>35.94627192982456</v>
      </c>
      <c r="S58">
        <f>IF(COUNT(Q58:R58)=2,R58-Q58,"")</f>
        <v>-8.461252115322281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100*238235/605177</f>
        <v>39.36616890595644</v>
      </c>
      <c r="E59">
        <f>IF(COUNT(C59:D59)=2,D59-C59,"")</f>
        <v>-7.621873051598769</v>
      </c>
      <c r="H59">
        <v>21</v>
      </c>
      <c r="I59">
        <v>20</v>
      </c>
      <c r="J59">
        <f>100*380768/887907</f>
        <v>42.88377048497196</v>
      </c>
      <c r="K59">
        <f>100*154524/679289</f>
        <v>22.74790258638076</v>
      </c>
      <c r="L59">
        <f>IF(COUNT(J59:K59)=2,K59-J59,"")</f>
        <v>-20.1358678985912</v>
      </c>
      <c r="O59">
        <v>21</v>
      </c>
      <c r="P59">
        <v>20</v>
      </c>
      <c r="Q59">
        <f>100*102616/414261</f>
        <v>24.7708570200912</v>
      </c>
      <c r="R59">
        <f>100*109154/390663</f>
        <v>27.94070592812731</v>
      </c>
      <c r="S59">
        <f>IF(COUNT(Q59:R59)=2,R59-Q59,"")</f>
        <v>3.169848908036112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100*107738/248195</f>
        <v>43.408610165394144</v>
      </c>
      <c r="E60">
        <f>IF(COUNT(C60:D60)=2,D60-C60,"")</f>
        <v>-0.6604783380717834</v>
      </c>
      <c r="H60">
        <v>22</v>
      </c>
      <c r="I60">
        <v>21</v>
      </c>
      <c r="J60">
        <f>100*139592/266933</f>
        <v>52.29477059786538</v>
      </c>
      <c r="K60">
        <f>100*89681/227582</f>
        <v>39.40601629302844</v>
      </c>
      <c r="L60">
        <f>IF(COUNT(J60:K60)=2,K60-J60,"")</f>
        <v>-12.888754304836937</v>
      </c>
      <c r="O60">
        <v>22</v>
      </c>
      <c r="P60">
        <v>21</v>
      </c>
      <c r="Q60">
        <f>100*93353/177560</f>
        <v>52.57546744762334</v>
      </c>
      <c r="R60">
        <f>100*119786/286323</f>
        <v>41.83596846917642</v>
      </c>
      <c r="S60">
        <f>IF(COUNT(Q60:R60)=2,R60-Q60,"")</f>
        <v>-10.739498978446917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100*292612/710360</f>
        <v>41.1920716256546</v>
      </c>
      <c r="E61">
        <f>IF(COUNT(C61:D61)=2,D61-C61,"")</f>
        <v>-5.065584973869903</v>
      </c>
      <c r="H61">
        <v>23</v>
      </c>
      <c r="I61">
        <v>22</v>
      </c>
      <c r="J61">
        <f>100*307788/547933</f>
        <v>56.1725612438017</v>
      </c>
      <c r="K61">
        <f>100*312993/836628</f>
        <v>37.41125087852666</v>
      </c>
      <c r="L61">
        <f>IF(COUNT(J61:K61)=2,K61-J61,"")</f>
        <v>-18.761310365275044</v>
      </c>
      <c r="O61">
        <v>23</v>
      </c>
      <c r="P61">
        <v>22</v>
      </c>
      <c r="Q61">
        <f>100*1420/340312</f>
        <v>0.41726415759655844</v>
      </c>
      <c r="R61">
        <f>100*1420/340312</f>
        <v>0.41726415759655844</v>
      </c>
      <c r="S61">
        <f>IF(COUNT(Q61:R61)=2,R61-Q61,"")</f>
        <v>0.0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100*165853/689354</f>
        <v>24.059191648993114</v>
      </c>
      <c r="E62">
        <f>IF(COUNT(C62:D62)=2,D62-C62,"")</f>
        <v>2.461529763701261</v>
      </c>
      <c r="H62">
        <v>24</v>
      </c>
      <c r="I62">
        <v>23</v>
      </c>
      <c r="J62">
        <f>100*403224/842602</f>
        <v>47.85462175499227</v>
      </c>
      <c r="K62">
        <f>100*328168/950931</f>
        <v>34.51018002357689</v>
      </c>
      <c r="L62">
        <f>IF(COUNT(J62:K62)=2,K62-J62,"")</f>
        <v>-13.34444173141538</v>
      </c>
      <c r="O62">
        <v>24</v>
      </c>
      <c r="P62">
        <v>23</v>
      </c>
      <c r="Q62">
        <f>100*127073/681026</f>
        <v>18.659052664655974</v>
      </c>
      <c r="R62">
        <f>100*11725/479270</f>
        <v>2.4464289440190288</v>
      </c>
      <c r="S62">
        <f>IF(COUNT(Q62:R62)=2,R62-Q62,"")</f>
        <v>-16.212623720636945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100*232332/643612</f>
        <v>36.09814608801576</v>
      </c>
      <c r="E63">
        <f>IF(COUNT(C63:D63)=2,D63-C63,"")</f>
        <v>-8.652632105848042</v>
      </c>
      <c r="H63">
        <v>25</v>
      </c>
      <c r="I63">
        <v>24</v>
      </c>
      <c r="J63">
        <f>100*334373/832460</f>
        <v>40.16685486389736</v>
      </c>
      <c r="K63">
        <f>100*12138/433953</f>
        <v>2.7970771028198906</v>
      </c>
      <c r="L63">
        <f>IF(COUNT(J63:K63)=2,K63-J63,"")</f>
        <v>-37.36977776107747</v>
      </c>
      <c r="O63">
        <v>25</v>
      </c>
      <c r="P63">
        <v>24</v>
      </c>
      <c r="Q63">
        <f>100*69231/149628</f>
        <v>46.26874649129842</v>
      </c>
      <c r="R63">
        <f>100*141603/347416</f>
        <v>40.75891726345361</v>
      </c>
      <c r="S63">
        <f>IF(COUNT(Q63:R63)=2,R63-Q63,"")</f>
        <v>-5.509829227844811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100*98157/513005</f>
        <v>19.133731640042495</v>
      </c>
      <c r="E64">
        <f>IF(COUNT(C64:D64)=2,D64-C64,"")</f>
        <v>-27.06013730155308</v>
      </c>
      <c r="H64">
        <v>26</v>
      </c>
      <c r="I64">
        <v>25</v>
      </c>
      <c r="J64">
        <f>100*93173/499879</f>
        <v>18.639110664780876</v>
      </c>
      <c r="K64">
        <f>100*91456/593633</f>
        <v>15.40615161219137</v>
      </c>
      <c r="L64">
        <f>IF(COUNT(J64:K64)=2,K64-J64,"")</f>
        <v>-3.2329590525895053</v>
      </c>
      <c r="O64">
        <v>26</v>
      </c>
      <c r="P64">
        <v>25</v>
      </c>
      <c r="Q64">
        <f>100*287382/566887</f>
        <v>50.69475927301208</v>
      </c>
      <c r="R64">
        <f>100*251048/613599</f>
        <v>40.91401713496926</v>
      </c>
      <c r="S64">
        <f>IF(COUNT(Q64:R64)=2,R64-Q64,"")</f>
        <v>-9.780742138042825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100*156490/849369</f>
        <v>18.424265543008985</v>
      </c>
      <c r="E65">
        <f>IF(COUNT(C65:D65)=2,D65-C65,"")</f>
        <v>-6.841270696932284</v>
      </c>
      <c r="H65">
        <v>27</v>
      </c>
      <c r="I65">
        <v>26</v>
      </c>
      <c r="J65">
        <f>100*244313/656873</f>
        <v>37.19333874280112</v>
      </c>
      <c r="K65">
        <f>100*170832/630460</f>
        <v>27.096405798940456</v>
      </c>
      <c r="L65">
        <f>IF(COUNT(J65:K65)=2,K65-J65,"")</f>
        <v>-10.096932943860661</v>
      </c>
      <c r="O65">
        <v>27</v>
      </c>
      <c r="P65">
        <v>26</v>
      </c>
      <c r="Q65">
        <f>100*89767/349739</f>
        <v>25.6668544257289</v>
      </c>
      <c r="R65">
        <f>100*76413/341622</f>
        <v>22.367704656023324</v>
      </c>
      <c r="S65">
        <f>IF(COUNT(Q65:R65)=2,R65-Q65,"")</f>
        <v>-3.2991497697055756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100*119190/398718</f>
        <v>29.893308052307646</v>
      </c>
      <c r="E66">
        <f>IF(COUNT(C66:D66)=2,D66-C66,"")</f>
        <v>3.8235802877853438</v>
      </c>
      <c r="H66">
        <v>28</v>
      </c>
      <c r="I66">
        <v>27</v>
      </c>
      <c r="J66">
        <f>100*138608/347102</f>
        <v>39.93293037781402</v>
      </c>
      <c r="K66">
        <f>100*187326/465194</f>
        <v>40.26836115685069</v>
      </c>
      <c r="L66">
        <f>IF(COUNT(J66:K66)=2,K66-J66,"")</f>
        <v>0.3354307790366704</v>
      </c>
      <c r="O66">
        <v>28</v>
      </c>
      <c r="P66">
        <v>27</v>
      </c>
      <c r="Q66">
        <f>100*334/323134</f>
        <v>0.10336269163876287</v>
      </c>
      <c r="R66">
        <f>100*334/323134</f>
        <v>0.10336269163876287</v>
      </c>
      <c r="S66">
        <f>IF(COUNT(Q66:R66)=2,R66-Q66,"")</f>
        <v>0.0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100*235202/602190</f>
        <v>39.057772463840315</v>
      </c>
      <c r="E67">
        <f>IF(COUNT(C67:D67)=2,D67-C67,"")</f>
        <v>-5.896013843329449</v>
      </c>
      <c r="H67">
        <v>29</v>
      </c>
      <c r="I67">
        <v>28</v>
      </c>
      <c r="J67">
        <f>100*198367/384779</f>
        <v>51.553489145717414</v>
      </c>
      <c r="K67">
        <f>100*256149/593537</f>
        <v>43.15636598897794</v>
      </c>
      <c r="L67">
        <f>IF(COUNT(J67:K67)=2,K67-J67,"")</f>
        <v>-8.397123156739475</v>
      </c>
      <c r="O67">
        <v>29</v>
      </c>
      <c r="P67">
        <v>28</v>
      </c>
      <c r="Q67">
        <f>100*145808/355081</f>
        <v>41.063306682137316</v>
      </c>
      <c r="R67">
        <f>100*169672/376616</f>
        <v>45.05172377169318</v>
      </c>
      <c r="S67">
        <f>IF(COUNT(Q67:R67)=2,R67-Q67,"")</f>
        <v>3.988417089555867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100*40399/695089</f>
        <v>5.81206147701949</v>
      </c>
      <c r="E68">
        <f>IF(COUNT(C68:D68)=2,D68-C68,"")</f>
        <v>1.953069391378155</v>
      </c>
      <c r="H68">
        <v>30</v>
      </c>
      <c r="I68">
        <v>29</v>
      </c>
      <c r="J68">
        <f>100*78716/427068</f>
        <v>18.431725158522763</v>
      </c>
      <c r="K68">
        <f>100*70834/426551</f>
        <v>16.606220592613777</v>
      </c>
      <c r="L68">
        <f>IF(COUNT(J68:K68)=2,K68-J68,"")</f>
        <v>-1.825504565908986</v>
      </c>
      <c r="O68">
        <v>30</v>
      </c>
      <c r="P68">
        <v>29</v>
      </c>
      <c r="Q68">
        <f>100*234882/519580</f>
        <v>45.20612802648293</v>
      </c>
      <c r="R68">
        <f>100*173145/554306</f>
        <v>31.236356813745477</v>
      </c>
      <c r="S68">
        <f>IF(COUNT(Q68:R68)=2,R68-Q68,"")</f>
        <v>-13.969771212737452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100*161629/556771</f>
        <v>29.02970880308062</v>
      </c>
      <c r="E69">
        <f>IF(COUNT(C69:D69)=2,D69-C69,"")</f>
        <v>3.4471725130969055</v>
      </c>
      <c r="H69">
        <v>31</v>
      </c>
      <c r="I69">
        <v>30</v>
      </c>
      <c r="J69">
        <f>100*150446/466352</f>
        <v>32.26018115071877</v>
      </c>
      <c r="K69">
        <f>100*145034/551349</f>
        <v>26.30529845887088</v>
      </c>
      <c r="L69">
        <f>IF(COUNT(J69:K69)=2,K69-J69,"")</f>
        <v>-5.954882691847892</v>
      </c>
      <c r="O69">
        <v>31</v>
      </c>
      <c r="P69">
        <v>30</v>
      </c>
      <c r="Q69">
        <f>100*3881/600979</f>
        <v>0.6457796362268898</v>
      </c>
      <c r="R69">
        <f>100*3881/600979</f>
        <v>0.6457796362268898</v>
      </c>
      <c r="S69">
        <f>IF(COUNT(Q69:R69)=2,R69-Q69,"")</f>
        <v>0.0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23.92841435751185</v>
      </c>
      <c r="E70">
        <f>IF(COUNT(E39:E69)&gt;0,AVERAGE(E39:E69),"")</f>
        <v>-7.914413343197701</v>
      </c>
      <c r="H70" t="s">
        <v>5</v>
      </c>
      <c r="J70">
        <f>IF(COUNT(J39:J69)&gt;0,AVERAGE(J39:J69),"")</f>
        <v>33.41421734972294</v>
      </c>
      <c r="K70">
        <f>IF(COUNT(K39:K69)&gt;0,AVERAGE(K39:K69),"")</f>
        <v>23.69928539135234</v>
      </c>
      <c r="L70">
        <f>IF(COUNT(L39:L69)&gt;0,AVERAGE(L39:L69),"")</f>
        <v>-10.213983556038231</v>
      </c>
      <c r="O70" t="s">
        <v>5</v>
      </c>
      <c r="Q70">
        <f>IF(COUNT(Q39:Q69)&gt;0,AVERAGE(Q39:Q69),"")</f>
        <v>33.06664971973761</v>
      </c>
      <c r="R70">
        <f>IF(COUNT(R39:R69)&gt;0,AVERAGE(R39:R69),"")</f>
        <v>27.588920535346027</v>
      </c>
      <c r="S70">
        <f>IF(COUNT(S39:S69)&gt;0,AVERAGE(S39:S69),"")</f>
        <v>-5.47772918439159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100*284811/638980</f>
        <v>44.57275658080065</v>
      </c>
      <c r="E75">
        <f>IF(COUNT(C75:D75)=2,D75-C75,"")</f>
        <v>-6.042814438374712</v>
      </c>
      <c r="H75">
        <v>1</v>
      </c>
      <c r="I75">
        <v>0</v>
      </c>
      <c r="J75">
        <f>100*432733/796677</f>
        <v>54.317245257488295</v>
      </c>
      <c r="K75">
        <f>100*92948/638091</f>
        <v>14.566574360083436</v>
      </c>
      <c r="L75">
        <f>IF(COUNT(J75:K75)=2,K75-J75,"")</f>
        <v>-39.75067089740486</v>
      </c>
      <c r="O75">
        <v>1</v>
      </c>
      <c r="P75">
        <v>0</v>
      </c>
      <c r="Q75">
        <f>100*20655/569971</f>
        <v>3.623868582787545</v>
      </c>
      <c r="R75">
        <f>100*8844/560689</f>
        <v>1.5773450165778176</v>
      </c>
      <c r="S75">
        <f>IF(COUNT(Q75:R75)=2,R75-Q75,"")</f>
        <v>-2.0465235662097276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100*219807/548785</f>
        <v>40.05339067212114</v>
      </c>
      <c r="E76">
        <f>IF(COUNT(C76:D76)=2,D76-C76,"")</f>
        <v>-10.91677559779614</v>
      </c>
      <c r="H76">
        <v>2</v>
      </c>
      <c r="I76">
        <v>1</v>
      </c>
      <c r="J76">
        <f>100*305577/591060</f>
        <v>51.69982742868744</v>
      </c>
      <c r="K76">
        <f>100*188742/746509</f>
        <v>25.283285265147505</v>
      </c>
      <c r="L76">
        <f>IF(COUNT(J76:K76)=2,K76-J76,"")</f>
        <v>-26.416542163539937</v>
      </c>
      <c r="O76">
        <v>2</v>
      </c>
      <c r="P76">
        <v>1</v>
      </c>
      <c r="Q76">
        <f>100*111778/257794</f>
        <v>43.35942651884838</v>
      </c>
      <c r="R76">
        <f>100*33567/91037</f>
        <v>36.87182134736426</v>
      </c>
      <c r="S76">
        <f>IF(COUNT(Q76:R76)=2,R76-Q76,"")</f>
        <v>-6.48760517148412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100*13902/929013</f>
        <v>1.496426853014974</v>
      </c>
      <c r="E77">
        <f>IF(COUNT(C77:D77)=2,D77-C77,"")</f>
        <v>-2.7550059433258847</v>
      </c>
      <c r="H77">
        <v>3</v>
      </c>
      <c r="I77">
        <v>2</v>
      </c>
      <c r="J77">
        <f>100*244646/584205</f>
        <v>41.87673847365223</v>
      </c>
      <c r="K77">
        <f>100*287596/740898</f>
        <v>38.81721910438414</v>
      </c>
      <c r="L77">
        <f>IF(COUNT(J77:K77)=2,K77-J77,"")</f>
        <v>-3.059519369268095</v>
      </c>
      <c r="O77">
        <v>3</v>
      </c>
      <c r="P77">
        <v>2</v>
      </c>
      <c r="Q77">
        <f>100*92329/194806</f>
        <v>47.395357432522616</v>
      </c>
      <c r="R77">
        <f>100*140029/300151</f>
        <v>46.652851398129606</v>
      </c>
      <c r="S77">
        <f>IF(COUNT(Q77:R77)=2,R77-Q77,"")</f>
        <v>-0.7425060343930099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100*228209/839577</f>
        <v>27.18142588470146</v>
      </c>
      <c r="E78">
        <f>IF(COUNT(C78:D78)=2,D78-C78,"")</f>
        <v>-27.582546685817277</v>
      </c>
      <c r="H78">
        <v>4</v>
      </c>
      <c r="I78">
        <v>3</v>
      </c>
      <c r="J78">
        <f>100*316744/731828</f>
        <v>43.281208152735346</v>
      </c>
      <c r="K78">
        <f>100*390535/1024716</f>
        <v>38.11153529368137</v>
      </c>
      <c r="L78">
        <f>IF(COUNT(J78:K78)=2,K78-J78,"")</f>
        <v>-5.169672859053975</v>
      </c>
      <c r="O78">
        <v>4</v>
      </c>
      <c r="P78">
        <v>3</v>
      </c>
      <c r="Q78">
        <f>100*240086/489338</f>
        <v>49.06342855040892</v>
      </c>
      <c r="R78">
        <f>100*271462/655012</f>
        <v>41.4438208765641</v>
      </c>
      <c r="S78">
        <f>IF(COUNT(Q78:R78)=2,R78-Q78,"")</f>
        <v>-7.6196076738448255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100*151841/450162</f>
        <v>33.73030153589152</v>
      </c>
      <c r="E79">
        <f>IF(COUNT(C79:D79)=2,D79-C79,"")</f>
        <v>-2.4223738166424766</v>
      </c>
      <c r="H79">
        <v>5</v>
      </c>
      <c r="I79">
        <v>4</v>
      </c>
      <c r="J79">
        <f>100*174388/383201</f>
        <v>45.50823197225477</v>
      </c>
      <c r="K79">
        <f>100*239076/643740</f>
        <v>37.13859632770995</v>
      </c>
      <c r="L79">
        <f>IF(COUNT(J79:K79)=2,K79-J79,"")</f>
        <v>-8.369635644544822</v>
      </c>
      <c r="O79">
        <v>5</v>
      </c>
      <c r="P79">
        <v>4</v>
      </c>
      <c r="Q79">
        <f>100*426762/872765</f>
        <v>48.89769869323357</v>
      </c>
      <c r="R79">
        <f>100*225268/762625</f>
        <v>29.538501884936895</v>
      </c>
      <c r="S79">
        <f>IF(COUNT(Q79:R79)=2,R79-Q79,"")</f>
        <v>-19.359196808296677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100*218583/748421</f>
        <v>29.205888129809292</v>
      </c>
      <c r="E80">
        <f>IF(COUNT(C80:D80)=2,D80-C80,"")</f>
        <v>-5.355338707473297</v>
      </c>
      <c r="H80">
        <v>6</v>
      </c>
      <c r="I80">
        <v>5</v>
      </c>
      <c r="J80">
        <f>100*124193/417286</f>
        <v>29.76208164184756</v>
      </c>
      <c r="K80">
        <f>100*186260/590596</f>
        <v>31.53763317055991</v>
      </c>
      <c r="L80">
        <f>IF(COUNT(J80:K80)=2,K80-J80,"")</f>
        <v>1.7755515287123522</v>
      </c>
      <c r="O80">
        <v>6</v>
      </c>
      <c r="P80">
        <v>5</v>
      </c>
      <c r="Q80">
        <f>100*275977/710313</f>
        <v>38.85287190294983</v>
      </c>
      <c r="R80">
        <f>100*361273/944549</f>
        <v>38.248200993278274</v>
      </c>
      <c r="S80">
        <f>IF(COUNT(Q80:R80)=2,R80-Q80,"")</f>
        <v>-0.6046709096715546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100*112859/663408</f>
        <v>17.01200467887032</v>
      </c>
      <c r="E81">
        <f>IF(COUNT(C81:D81)=2,D81-C81,"")</f>
        <v>15.078332035622747</v>
      </c>
      <c r="H81">
        <v>7</v>
      </c>
      <c r="I81">
        <v>6</v>
      </c>
      <c r="J81">
        <f>100*4575/667678</f>
        <v>0.6852105356174683</v>
      </c>
      <c r="K81">
        <f>100*4575/667678</f>
        <v>0.6852105356174683</v>
      </c>
      <c r="L81">
        <f>IF(COUNT(J81:K81)=2,K81-J81,"")</f>
        <v>0.0</v>
      </c>
      <c r="O81">
        <v>7</v>
      </c>
      <c r="P81">
        <v>6</v>
      </c>
      <c r="Q81">
        <f>100*256619/495194</f>
        <v>51.82191222026115</v>
      </c>
      <c r="R81">
        <f>100*833/6640</f>
        <v>12.545180722891565</v>
      </c>
      <c r="S81">
        <f>IF(COUNT(Q81:R81)=2,R81-Q81,"")</f>
        <v>-39.27673149736958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100*6297/461742</f>
        <v>1.363748586873189</v>
      </c>
      <c r="E82">
        <f>IF(COUNT(C82:D82)=2,D82-C82,"")</f>
        <v>0.483111561132022</v>
      </c>
      <c r="H82">
        <v>8</v>
      </c>
      <c r="I82">
        <v>7</v>
      </c>
      <c r="J82">
        <f>100*7536/581531</f>
        <v>1.2958896430284885</v>
      </c>
      <c r="K82">
        <f>100*11375/924035</f>
        <v>1.2310139767433053</v>
      </c>
      <c r="L82">
        <f>IF(COUNT(J82:K82)=2,K82-J82,"")</f>
        <v>-0.06487566628518326</v>
      </c>
      <c r="O82">
        <v>8</v>
      </c>
      <c r="P82">
        <v>7</v>
      </c>
      <c r="Q82">
        <f>100*168583/355732</f>
        <v>47.39045123857286</v>
      </c>
      <c r="R82">
        <f>100*204734/438388</f>
        <v>46.701552049782386</v>
      </c>
      <c r="S82">
        <f>IF(COUNT(Q82:R82)=2,R82-Q82,"")</f>
        <v>-0.6888991887904723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100*191592/434802</f>
        <v>44.064194736914736</v>
      </c>
      <c r="E83">
        <f>IF(COUNT(C83:D83)=2,D83-C83,"")</f>
        <v>-7.689063663180924</v>
      </c>
      <c r="H83">
        <v>9</v>
      </c>
      <c r="I83">
        <v>8</v>
      </c>
      <c r="J83">
        <f>100*224416/408350</f>
        <v>54.95677727439696</v>
      </c>
      <c r="K83">
        <f>100*244412/505581</f>
        <v>48.34279769216011</v>
      </c>
      <c r="L83">
        <f>IF(COUNT(J83:K83)=2,K83-J83,"")</f>
        <v>-6.613979582236851</v>
      </c>
      <c r="O83">
        <v>9</v>
      </c>
      <c r="P83">
        <v>8</v>
      </c>
      <c r="Q83">
        <f>100*66103/140560</f>
        <v>47.02831531018782</v>
      </c>
      <c r="R83">
        <f>100*134995/282447</f>
        <v>47.794807521411094</v>
      </c>
      <c r="S83">
        <f>IF(COUNT(Q83:R83)=2,R83-Q83,"")</f>
        <v>0.766492211223273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100*43428/809573</f>
        <v>5.364309333438738</v>
      </c>
      <c r="E84">
        <f>IF(COUNT(C84:D84)=2,D84-C84,"")</f>
        <v>-10.032698910014165</v>
      </c>
      <c r="H84">
        <v>10</v>
      </c>
      <c r="I84">
        <v>9</v>
      </c>
      <c r="J84">
        <f>100*472599/885198</f>
        <v>53.389072275355346</v>
      </c>
      <c r="K84">
        <f>100*99875/795108</f>
        <v>12.56118665640391</v>
      </c>
      <c r="L84">
        <f>IF(COUNT(J84:K84)=2,K84-J84,"")</f>
        <v>-40.827885618951434</v>
      </c>
      <c r="O84">
        <v>10</v>
      </c>
      <c r="P84">
        <v>9</v>
      </c>
      <c r="Q84">
        <f>100*6243/543809</f>
        <v>1.1480133649866038</v>
      </c>
      <c r="R84">
        <f>100*6243/543809</f>
        <v>1.1480133649866038</v>
      </c>
      <c r="S84">
        <f>IF(COUNT(Q84:R84)=2,R84-Q84,"")</f>
        <v>0.0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100*435542/1080994</f>
        <v>40.29088043041867</v>
      </c>
      <c r="E85">
        <f>IF(COUNT(C85:D85)=2,D85-C85,"")</f>
        <v>-10.968116223055453</v>
      </c>
      <c r="H85">
        <v>11</v>
      </c>
      <c r="I85">
        <v>10</v>
      </c>
      <c r="J85">
        <f>100*370148/619144</f>
        <v>59.783830578992934</v>
      </c>
      <c r="K85">
        <f>100*388546/991490</f>
        <v>39.18809065144379</v>
      </c>
      <c r="L85">
        <f>IF(COUNT(J85:K85)=2,K85-J85,"")</f>
        <v>-20.595739927549147</v>
      </c>
      <c r="O85">
        <v>11</v>
      </c>
      <c r="P85">
        <v>10</v>
      </c>
      <c r="Q85">
        <f>100*225999/413085</f>
        <v>54.71004756890228</v>
      </c>
      <c r="R85">
        <f>100*278839/687649</f>
        <v>40.54961179322591</v>
      </c>
      <c r="S85">
        <f>IF(COUNT(Q85:R85)=2,R85-Q85,"")</f>
        <v>-14.160435775676376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100*345330/977821</f>
        <v>35.31627976899657</v>
      </c>
      <c r="E86">
        <f>IF(COUNT(C86:D86)=2,D86-C86,"")</f>
        <v>-18.30193419331639</v>
      </c>
      <c r="H86">
        <v>12</v>
      </c>
      <c r="I86">
        <v>11</v>
      </c>
      <c r="J86">
        <f>100*303732/544372</f>
        <v>55.79493434636609</v>
      </c>
      <c r="K86">
        <f>100*336971/924697</f>
        <v>36.44123426376424</v>
      </c>
      <c r="L86">
        <f>IF(COUNT(J86:K86)=2,K86-J86,"")</f>
        <v>-19.353700082601854</v>
      </c>
      <c r="O86">
        <v>12</v>
      </c>
      <c r="P86">
        <v>11</v>
      </c>
      <c r="Q86">
        <f>100*176887/390857</f>
        <v>45.25619344159117</v>
      </c>
      <c r="R86">
        <f>100*97131/243114</f>
        <v>39.952861620474344</v>
      </c>
      <c r="S86">
        <f>IF(COUNT(Q86:R86)=2,R86-Q86,"")</f>
        <v>-5.303331821116828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100*11518/738798</f>
        <v>1.5590188387082802</v>
      </c>
      <c r="E87">
        <f>IF(COUNT(C87:D87)=2,D87-C87,"")</f>
        <v>0.0</v>
      </c>
      <c r="H87">
        <v>13</v>
      </c>
      <c r="I87">
        <v>12</v>
      </c>
      <c r="J87">
        <f>100*302007/670149</f>
        <v>45.06564957942189</v>
      </c>
      <c r="K87">
        <f>100*278500/783235</f>
        <v>35.55765510989677</v>
      </c>
      <c r="L87">
        <f>IF(COUNT(J87:K87)=2,K87-J87,"")</f>
        <v>-9.507994469525116</v>
      </c>
      <c r="O87">
        <v>13</v>
      </c>
      <c r="P87">
        <v>12</v>
      </c>
      <c r="Q87">
        <f>100*187062/769706</f>
        <v>24.30304557844164</v>
      </c>
      <c r="R87">
        <f>100*108750/768711</f>
        <v>14.147059167879735</v>
      </c>
      <c r="S87">
        <f>IF(COUNT(Q87:R87)=2,R87-Q87,"")</f>
        <v>-10.155986410561905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100*38926/510164</f>
        <v>7.630095420296218</v>
      </c>
      <c r="E88">
        <f>IF(COUNT(C88:D88)=2,D88-C88,"")</f>
        <v>1.5587338203649006</v>
      </c>
      <c r="H88">
        <v>14</v>
      </c>
      <c r="I88">
        <v>13</v>
      </c>
      <c r="J88">
        <f>100*112082/470769</f>
        <v>23.808279644581525</v>
      </c>
      <c r="K88">
        <f>100*69745/424601</f>
        <v>16.426009359375037</v>
      </c>
      <c r="L88">
        <f>IF(COUNT(J88:K88)=2,K88-J88,"")</f>
        <v>-7.382270285206488</v>
      </c>
      <c r="O88">
        <v>14</v>
      </c>
      <c r="P88">
        <v>13</v>
      </c>
      <c r="Q88">
        <f>100*77933/602059</f>
        <v>12.94441242469592</v>
      </c>
      <c r="R88">
        <f>100*36533/103755</f>
        <v>35.21083321285721</v>
      </c>
      <c r="S88">
        <f>IF(COUNT(Q88:R88)=2,R88-Q88,"")</f>
        <v>22.26642078816129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100*148563/821613</f>
        <v>18.081870661734904</v>
      </c>
      <c r="E89">
        <f>IF(COUNT(C89:D89)=2,D89-C89,"")</f>
        <v>-2.471264948172923</v>
      </c>
      <c r="H89">
        <v>15</v>
      </c>
      <c r="I89">
        <v>14</v>
      </c>
      <c r="J89">
        <f>100*79792/480516</f>
        <v>16.605482439710645</v>
      </c>
      <c r="K89">
        <f>100*287155/815709</f>
        <v>35.20311777852151</v>
      </c>
      <c r="L89">
        <f>IF(COUNT(J89:K89)=2,K89-J89,"")</f>
        <v>18.597635338810864</v>
      </c>
      <c r="O89">
        <v>15</v>
      </c>
      <c r="P89">
        <v>14</v>
      </c>
      <c r="Q89">
        <f>100*175395/343809</f>
        <v>51.015243929042</v>
      </c>
      <c r="R89">
        <f>100*200630/460752</f>
        <v>43.54403236448241</v>
      </c>
      <c r="S89">
        <f>IF(COUNT(Q89:R89)=2,R89-Q89,"")</f>
        <v>-7.471211564559589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100*306572/854849</f>
        <v>35.862707916836776</v>
      </c>
      <c r="E90">
        <f>IF(COUNT(C90:D90)=2,D90-C90,"")</f>
        <v>-21.7232618089958</v>
      </c>
      <c r="H90">
        <v>16</v>
      </c>
      <c r="I90">
        <v>15</v>
      </c>
      <c r="J90">
        <f>100*331166/636513</f>
        <v>52.028159676235994</v>
      </c>
      <c r="K90">
        <f>100*115146/674142</f>
        <v>17.080377724574348</v>
      </c>
      <c r="L90">
        <f>IF(COUNT(J90:K90)=2,K90-J90,"")</f>
        <v>-34.947781951661646</v>
      </c>
      <c r="O90">
        <v>16</v>
      </c>
      <c r="P90">
        <v>15</v>
      </c>
      <c r="Q90">
        <f>100*123775/294038</f>
        <v>42.0948992987301</v>
      </c>
      <c r="R90">
        <f>100*213304/486078</f>
        <v>43.882669036656665</v>
      </c>
      <c r="S90">
        <f>IF(COUNT(Q90:R90)=2,R90-Q90,"")</f>
        <v>1.787769737926567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100*167363/494978</f>
        <v>33.812209835588654</v>
      </c>
      <c r="E91">
        <f>IF(COUNT(C91:D91)=2,D91-C91,"")</f>
        <v>-7.319805115035564</v>
      </c>
      <c r="H91">
        <v>17</v>
      </c>
      <c r="I91">
        <v>16</v>
      </c>
      <c r="J91">
        <f>100*2558/107131</f>
        <v>2.3877309088872503</v>
      </c>
      <c r="K91">
        <f>100*2558/107131</f>
        <v>2.3877309088872503</v>
      </c>
      <c r="L91">
        <f>IF(COUNT(J91:K91)=2,K91-J91,"")</f>
        <v>0.0</v>
      </c>
      <c r="O91">
        <v>17</v>
      </c>
      <c r="P91">
        <v>16</v>
      </c>
      <c r="Q91">
        <f>100*18236/388369</f>
        <v>4.695534401561401</v>
      </c>
      <c r="R91">
        <f>100*13564/388573</f>
        <v>3.490721177230533</v>
      </c>
      <c r="S91">
        <f>IF(COUNT(Q91:R91)=2,R91-Q91,"")</f>
        <v>-1.2048132243308682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100*397246/1041582</f>
        <v>38.138715914829554</v>
      </c>
      <c r="E92">
        <f>IF(COUNT(C92:D92)=2,D92-C92,"")</f>
        <v>-13.375611667252898</v>
      </c>
      <c r="H92">
        <v>18</v>
      </c>
      <c r="I92">
        <v>17</v>
      </c>
      <c r="K92">
        <f>100*376648/1059685</f>
        <v>35.54339261195544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100*30873/448946</f>
        <v>6.876773598606514</v>
      </c>
      <c r="S92">
        <f>IF(COUNT(Q92:R92)=2,R92-Q92,"")</f>
        <v>-11.137149449113144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100*154065/726383</f>
        <v>21.20988514323711</v>
      </c>
      <c r="E93">
        <f>IF(COUNT(C93:D93)=2,D93-C93,"")</f>
        <v>-27.89860405746309</v>
      </c>
      <c r="H93">
        <v>19</v>
      </c>
      <c r="I93">
        <v>18</v>
      </c>
      <c r="J93">
        <f>100*98670/626756</f>
        <v>15.742968555546337</v>
      </c>
      <c r="K93">
        <f>100*132723/686520</f>
        <v>19.332721552176192</v>
      </c>
      <c r="L93">
        <f>IF(COUNT(J93:K93)=2,K93-J93,"")</f>
        <v>3.589752996629855</v>
      </c>
      <c r="O93">
        <v>19</v>
      </c>
      <c r="P93">
        <v>18</v>
      </c>
      <c r="Q93">
        <f>100*176507/342598</f>
        <v>51.52014897927017</v>
      </c>
      <c r="R93">
        <f>100*249481/492197</f>
        <v>50.68722483070803</v>
      </c>
      <c r="S93">
        <f>IF(COUNT(Q93:R93)=2,R93-Q93,"")</f>
        <v>-0.8329241485621353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100*257189/820548</f>
        <v>31.343565519628346</v>
      </c>
      <c r="E94">
        <f>IF(COUNT(C94:D94)=2,D94-C94,"")</f>
        <v>-18.838310408882503</v>
      </c>
      <c r="H94">
        <v>20</v>
      </c>
      <c r="I94">
        <v>19</v>
      </c>
      <c r="J94">
        <f>100*63724/294932</f>
        <v>21.606336375842567</v>
      </c>
      <c r="K94">
        <f>100*60777/348211</f>
        <v>17.454072387144578</v>
      </c>
      <c r="L94">
        <f>IF(COUNT(J94:K94)=2,K94-J94,"")</f>
        <v>-4.152263988697989</v>
      </c>
      <c r="O94">
        <v>20</v>
      </c>
      <c r="P94">
        <v>19</v>
      </c>
      <c r="Q94">
        <f>100*271008/594768</f>
        <v>45.565329674763944</v>
      </c>
      <c r="R94">
        <f>100*300449/703969</f>
        <v>42.67929411664434</v>
      </c>
      <c r="S94">
        <f>IF(COUNT(Q94:R94)=2,R94-Q94,"")</f>
        <v>-2.8860355581196018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100*302116/634592</f>
        <v>47.60791185517624</v>
      </c>
      <c r="E95">
        <f>IF(COUNT(C95:D95)=2,D95-C95,"")</f>
        <v>-7.09778964449923</v>
      </c>
      <c r="H95">
        <v>21</v>
      </c>
      <c r="I95">
        <v>20</v>
      </c>
      <c r="J95">
        <f>100*465002/826011</f>
        <v>56.29489195664465</v>
      </c>
      <c r="K95">
        <f>100*196033/802087</f>
        <v>24.440366194689602</v>
      </c>
      <c r="L95">
        <f>IF(COUNT(J95:K95)=2,K95-J95,"")</f>
        <v>-31.854525761955045</v>
      </c>
      <c r="O95">
        <v>21</v>
      </c>
      <c r="P95">
        <v>20</v>
      </c>
      <c r="Q95">
        <f>100*230728/471359</f>
        <v>48.9495267938026</v>
      </c>
      <c r="R95">
        <f>100*218954/514293</f>
        <v>42.57378576025729</v>
      </c>
      <c r="S95">
        <f>IF(COUNT(Q95:R95)=2,R95-Q95,"")</f>
        <v>-6.37574103354531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100*84732/179990</f>
        <v>47.07594866381466</v>
      </c>
      <c r="E96">
        <f>IF(COUNT(C96:D96)=2,D96-C96,"")</f>
        <v>6.0191506931466705</v>
      </c>
      <c r="H96">
        <v>22</v>
      </c>
      <c r="I96">
        <v>21</v>
      </c>
      <c r="J96">
        <f>100*144864/290419</f>
        <v>49.881033954390034</v>
      </c>
      <c r="K96">
        <f>100*166211/413670</f>
        <v>40.17961176783427</v>
      </c>
      <c r="L96">
        <f>IF(COUNT(J96:K96)=2,K96-J96,"")</f>
        <v>-9.701422186555767</v>
      </c>
      <c r="O96">
        <v>22</v>
      </c>
      <c r="P96">
        <v>21</v>
      </c>
      <c r="Q96">
        <f>100*25278/69101</f>
        <v>36.58123616156061</v>
      </c>
      <c r="R96">
        <f>100*144416/273855</f>
        <v>52.73447627394059</v>
      </c>
      <c r="S96">
        <f>IF(COUNT(Q96:R96)=2,R96-Q96,"")</f>
        <v>16.153240112379976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100*310086/810936</f>
        <v>38.23803604723431</v>
      </c>
      <c r="E97">
        <f>IF(COUNT(C97:D97)=2,D97-C97,"")</f>
        <v>-5.2452662247664605</v>
      </c>
      <c r="H97">
        <v>23</v>
      </c>
      <c r="I97">
        <v>22</v>
      </c>
      <c r="J97">
        <f>100*455714/839395</f>
        <v>54.29076894668184</v>
      </c>
      <c r="K97">
        <f>100*299671/778186</f>
        <v>38.508916891334465</v>
      </c>
      <c r="L97">
        <f>IF(COUNT(J97:K97)=2,K97-J97,"")</f>
        <v>-15.781852055347372</v>
      </c>
      <c r="O97">
        <v>23</v>
      </c>
      <c r="P97">
        <v>22</v>
      </c>
      <c r="Q97">
        <f>100*745/388450</f>
        <v>0.1917878748873729</v>
      </c>
      <c r="R97">
        <f>100*745/388450</f>
        <v>0.1917878748873729</v>
      </c>
      <c r="S97">
        <f>IF(COUNT(Q97:R97)=2,R97-Q97,"")</f>
        <v>0.0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100*258805/997044</f>
        <v>25.957229570610725</v>
      </c>
      <c r="E98">
        <f>IF(COUNT(C98:D98)=2,D98-C98,"")</f>
        <v>-0.32354044481678557</v>
      </c>
      <c r="H98">
        <v>24</v>
      </c>
      <c r="I98">
        <v>23</v>
      </c>
      <c r="J98">
        <f>100*361494/762974</f>
        <v>47.37959615924002</v>
      </c>
      <c r="K98">
        <f>100*415205/1029605</f>
        <v>40.326630115432614</v>
      </c>
      <c r="L98">
        <f>IF(COUNT(J98:K98)=2,K98-J98,"")</f>
        <v>-7.052966043807409</v>
      </c>
      <c r="O98">
        <v>24</v>
      </c>
      <c r="P98">
        <v>23</v>
      </c>
      <c r="Q98">
        <f>100*292810/722778</f>
        <v>40.51174772890155</v>
      </c>
      <c r="R98">
        <f>100*151925/805165</f>
        <v>18.868803288766898</v>
      </c>
      <c r="S98">
        <f>IF(COUNT(Q98:R98)=2,R98-Q98,"")</f>
        <v>-21.64294444013465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100*204568/846289</f>
        <v>24.172357197127695</v>
      </c>
      <c r="E99">
        <f>IF(COUNT(C99:D99)=2,D99-C99,"")</f>
        <v>-18.39571390060169</v>
      </c>
      <c r="H99">
        <v>25</v>
      </c>
      <c r="I99">
        <v>24</v>
      </c>
      <c r="J99">
        <f>100*297339/579923</f>
        <v>51.27215164771875</v>
      </c>
      <c r="K99">
        <f>100*158944/707875</f>
        <v>22.453681794102067</v>
      </c>
      <c r="L99">
        <f>IF(COUNT(J99:K99)=2,K99-J99,"")</f>
        <v>-28.818469853616683</v>
      </c>
      <c r="O99">
        <v>25</v>
      </c>
      <c r="P99">
        <v>24</v>
      </c>
      <c r="Q99">
        <f>100*194348/434877</f>
        <v>44.69033772767932</v>
      </c>
      <c r="R99">
        <f>100*151915/358849</f>
        <v>42.333962195798236</v>
      </c>
      <c r="S99">
        <f>IF(COUNT(Q99:R99)=2,R99-Q99,"")</f>
        <v>-2.356375531881085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100*98876/522583</f>
        <v>18.920630789750145</v>
      </c>
      <c r="E100">
        <f>IF(COUNT(C100:D100)=2,D100-C100,"")</f>
        <v>-40.66733349733043</v>
      </c>
      <c r="H100">
        <v>26</v>
      </c>
      <c r="I100">
        <v>25</v>
      </c>
      <c r="J100">
        <f>100*30617/503886</f>
        <v>6.076175960435496</v>
      </c>
      <c r="K100">
        <f>100*78948/527139</f>
        <v>14.976694951426474</v>
      </c>
      <c r="L100">
        <f>IF(COUNT(J100:K100)=2,K100-J100,"")</f>
        <v>8.900518990990978</v>
      </c>
      <c r="O100">
        <v>26</v>
      </c>
      <c r="P100">
        <v>25</v>
      </c>
      <c r="Q100">
        <f>100*196342/383537</f>
        <v>51.19245340084529</v>
      </c>
      <c r="R100">
        <f>100*295403/621132</f>
        <v>47.55881197555431</v>
      </c>
      <c r="S100">
        <f>IF(COUNT(Q100:R100)=2,R100-Q100,"")</f>
        <v>-3.633641425290975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100*399617/904217</f>
        <v>44.19481164366518</v>
      </c>
      <c r="E101">
        <f>IF(COUNT(C101:D101)=2,D101-C101,"")</f>
        <v>25.744897492336626</v>
      </c>
      <c r="H101">
        <v>27</v>
      </c>
      <c r="I101">
        <v>26</v>
      </c>
      <c r="J101">
        <f>100*110948/559494</f>
        <v>19.830060733448438</v>
      </c>
      <c r="K101">
        <f>100*134742/480713</f>
        <v>28.029614343693638</v>
      </c>
      <c r="L101">
        <f>IF(COUNT(J101:K101)=2,K101-J101,"")</f>
        <v>8.1995536102452</v>
      </c>
      <c r="O101">
        <v>27</v>
      </c>
      <c r="P101">
        <v>26</v>
      </c>
      <c r="Q101">
        <f>100*186316/322263</f>
        <v>57.81489032250057</v>
      </c>
      <c r="R101">
        <f>100*204384/423569</f>
        <v>48.25282303473578</v>
      </c>
      <c r="S101">
        <f>IF(COUNT(Q101:R101)=2,R101-Q101,"")</f>
        <v>-9.562067287764783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100*183547/474351</f>
        <v>38.69434237516101</v>
      </c>
      <c r="E102">
        <f>IF(COUNT(C102:D102)=2,D102-C102,"")</f>
        <v>10.100163621730978</v>
      </c>
      <c r="H102">
        <v>28</v>
      </c>
      <c r="I102">
        <v>27</v>
      </c>
      <c r="J102">
        <f>100*139061/401357</f>
        <v>34.6477076517913</v>
      </c>
      <c r="K102">
        <f>100*175357/552649</f>
        <v>31.73026640779229</v>
      </c>
      <c r="L102">
        <f>IF(COUNT(J102:K102)=2,K102-J102,"")</f>
        <v>-2.9174412439990114</v>
      </c>
      <c r="O102">
        <v>28</v>
      </c>
      <c r="P102">
        <v>27</v>
      </c>
      <c r="Q102">
        <f>100*1759/765634</f>
        <v>0.22974423810854794</v>
      </c>
      <c r="R102">
        <f>100*1759/765634</f>
        <v>0.22974423810854794</v>
      </c>
      <c r="S102">
        <f>IF(COUNT(Q102:R102)=2,R102-Q102,"")</f>
        <v>0.0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100*279592/741927</f>
        <v>37.68457004530095</v>
      </c>
      <c r="E103">
        <f>IF(COUNT(C103:D103)=2,D103-C103,"")</f>
        <v>-13.481921600315886</v>
      </c>
      <c r="H103">
        <v>29</v>
      </c>
      <c r="I103">
        <v>28</v>
      </c>
      <c r="J103">
        <f>100*239541/426383</f>
        <v>56.17977264571993</v>
      </c>
      <c r="K103">
        <f>100*221958/578208</f>
        <v>38.38722397476341</v>
      </c>
      <c r="L103">
        <f>IF(COUNT(J103:K103)=2,K103-J103,"")</f>
        <v>-17.79254867095652</v>
      </c>
      <c r="O103">
        <v>29</v>
      </c>
      <c r="P103">
        <v>28</v>
      </c>
      <c r="Q103">
        <f>100*180468/321414</f>
        <v>56.14814538259068</v>
      </c>
      <c r="R103">
        <f>100*206722/465382</f>
        <v>44.41985293801651</v>
      </c>
      <c r="S103">
        <f>IF(COUNT(Q103:R103)=2,R103-Q103,"")</f>
        <v>-11.728292444574166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100*6130/509700</f>
        <v>1.2026682362173828</v>
      </c>
      <c r="E104">
        <f>IF(COUNT(C104:D104)=2,D104-C104,"")</f>
        <v>-0.20042679769545724</v>
      </c>
      <c r="H104">
        <v>30</v>
      </c>
      <c r="I104">
        <v>29</v>
      </c>
      <c r="J104">
        <f>100*176819/628999</f>
        <v>28.111173467684367</v>
      </c>
      <c r="K104">
        <f>100*140676/592715</f>
        <v>23.734172410011556</v>
      </c>
      <c r="L104">
        <f>IF(COUNT(J104:K104)=2,K104-J104,"")</f>
        <v>-4.3770010576728104</v>
      </c>
      <c r="O104">
        <v>30</v>
      </c>
      <c r="P104">
        <v>29</v>
      </c>
      <c r="Q104">
        <f>100*273685/521227</f>
        <v>52.5078324798984</v>
      </c>
      <c r="R104">
        <f>100*245684/667596</f>
        <v>36.801298989209045</v>
      </c>
      <c r="S104">
        <f>IF(COUNT(Q104:R104)=2,R104-Q104,"")</f>
        <v>-15.706533490689353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100*160807/478204</f>
        <v>33.62728040752482</v>
      </c>
      <c r="E105">
        <f>IF(COUNT(C105:D105)=2,D105-C105,"")</f>
        <v>-5.865877564654326</v>
      </c>
      <c r="H105">
        <v>31</v>
      </c>
      <c r="I105">
        <v>30</v>
      </c>
      <c r="J105">
        <f>100*69915/403117</f>
        <v>17.343599997023198</v>
      </c>
      <c r="K105">
        <f>100*198339/688263</f>
        <v>28.817327097345057</v>
      </c>
      <c r="L105">
        <f>IF(COUNT(J105:K105)=2,K105-J105,"")</f>
        <v>11.47372710032186</v>
      </c>
      <c r="O105">
        <v>31</v>
      </c>
      <c r="P105">
        <v>30</v>
      </c>
      <c r="Q105">
        <f>100*141232/628600</f>
        <v>22.467706013363028</v>
      </c>
      <c r="R105">
        <f>100*54979/754537</f>
        <v>7.286455137388889</v>
      </c>
      <c r="S105">
        <f>IF(COUNT(Q105:R105)=2,R105-Q105,"")</f>
        <v>-15.18125087597414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27.892434299170777</v>
      </c>
      <c r="E106">
        <f>IF(COUNT(E75:E105)&gt;0,AVERAGE(E75:E105),"")</f>
        <v>-7.289903439843415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26.918514860601796</v>
      </c>
      <c r="L106">
        <f>IF(COUNT(L75:L105)&gt;0,AVERAGE(L75:L105),"")</f>
        <v>-9.732400660490898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31.122418638753285</v>
      </c>
      <c r="S106">
        <f>IF(COUNT(S75:S105)&gt;0,AVERAGE(S75:S105),"")</f>
        <v>-5.651308144589154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9689-D3B2-4CE1-A0FE-D7D3C80000D2}">
  <dimension ref="A1:S106"/>
  <sheetViews>
    <sheetView workbookViewId="0">
      <selection activeCell="G70" sqref="G70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100*17036/234363</f>
        <v>7.269065509487419</v>
      </c>
      <c r="E3">
        <f>IF(COUNT(C3:D3)=2,D3-C3,"")</f>
        <v>-27.75593471412818</v>
      </c>
      <c r="H3">
        <v>1</v>
      </c>
      <c r="I3">
        <v>0</v>
      </c>
      <c r="J3">
        <f>100*58251/215009</f>
        <v>27.09235427354204</v>
      </c>
      <c r="K3">
        <f>100*45577/310490</f>
        <v>14.679055686173468</v>
      </c>
      <c r="L3">
        <f>IF(COUNT(J3:K3)=2,K3-J3,"")</f>
        <v>-12.41329858736857</v>
      </c>
      <c r="O3">
        <v>1</v>
      </c>
      <c r="P3">
        <v>0</v>
      </c>
      <c r="Q3">
        <f>100*45645/291867</f>
        <v>15.638972545714315</v>
      </c>
      <c r="R3">
        <f>100*34738/274762</f>
        <v>12.64294189152794</v>
      </c>
      <c r="S3">
        <f>IF(COUNT(Q3:R3)=2,R3-Q3,"")</f>
        <v>-2.9960306541863755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100*105130/438042</f>
        <v>23.99998173691107</v>
      </c>
      <c r="E4">
        <f>IF(COUNT(C4:D4)=2,D4-C4,"")</f>
        <v>-13.792978319146574</v>
      </c>
      <c r="H4">
        <v>2</v>
      </c>
      <c r="I4">
        <v>1</v>
      </c>
      <c r="J4">
        <f>100*64971/296332</f>
        <v>21.925070529001257</v>
      </c>
      <c r="K4">
        <f>100*88243/410626</f>
        <v>21.489871561956623</v>
      </c>
      <c r="L4">
        <f>IF(COUNT(J4:K4)=2,K4-J4,"")</f>
        <v>-0.43519896704463434</v>
      </c>
      <c r="O4">
        <v>2</v>
      </c>
      <c r="P4">
        <v>1</v>
      </c>
      <c r="Q4">
        <f>100*75288/157455</f>
        <v>47.81556635229113</v>
      </c>
      <c r="R4">
        <f>100*73099/241342</f>
        <v>30.28855317350482</v>
      </c>
      <c r="S4">
        <f>IF(COUNT(Q4:R4)=2,R4-Q4,"")</f>
        <v>-17.52701317878631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100*135330/604680</f>
        <v>22.380432625520935</v>
      </c>
      <c r="E5">
        <f>IF(COUNT(C5:D5)=2,D5-C5,"")</f>
        <v>-15.840838621306549</v>
      </c>
      <c r="H5">
        <v>3</v>
      </c>
      <c r="I5">
        <v>2</v>
      </c>
      <c r="J5">
        <f>100*62705/328831</f>
        <v>19.069065872743142</v>
      </c>
      <c r="K5">
        <f>100*68651/449894</f>
        <v>15.259372207675586</v>
      </c>
      <c r="L5">
        <f>IF(COUNT(J5:K5)=2,K5-J5,"")</f>
        <v>-3.809693665067556</v>
      </c>
      <c r="O5">
        <v>3</v>
      </c>
      <c r="P5">
        <v>2</v>
      </c>
      <c r="Q5">
        <f>100*141348/334791</f>
        <v>42.21977293296415</v>
      </c>
      <c r="R5">
        <f>100*103529/327632</f>
        <v>31.59917224202764</v>
      </c>
      <c r="S5">
        <f>IF(COUNT(Q5:R5)=2,R5-Q5,"")</f>
        <v>-10.620600690936506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100*21485/340088</f>
        <v>6.317482533932394</v>
      </c>
      <c r="E6">
        <f>IF(COUNT(C6:D6)=2,D6-C6,"")</f>
        <v>2.839894127297985</v>
      </c>
      <c r="H6">
        <v>4</v>
      </c>
      <c r="I6">
        <v>3</v>
      </c>
      <c r="J6">
        <f>100*69099/464767</f>
        <v>14.867449711360747</v>
      </c>
      <c r="K6">
        <f>100*19643/432780</f>
        <v>4.538795692961782</v>
      </c>
      <c r="L6">
        <f>IF(COUNT(J6:K6)=2,K6-J6,"")</f>
        <v>-10.328654018398964</v>
      </c>
      <c r="O6">
        <v>4</v>
      </c>
      <c r="P6">
        <v>3</v>
      </c>
      <c r="Q6">
        <f>100*182044/470083</f>
        <v>38.72592712350798</v>
      </c>
      <c r="R6">
        <f>100*113534/490758</f>
        <v>23.134416555613967</v>
      </c>
      <c r="S6">
        <f>IF(COUNT(Q6:R6)=2,R6-Q6,"")</f>
        <v>-15.591510567894012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100*101003/379450</f>
        <v>26.61826327579391</v>
      </c>
      <c r="E7">
        <f>IF(COUNT(C7:D7)=2,D7-C7,"")</f>
        <v>-10.691893390846989</v>
      </c>
      <c r="H7">
        <v>5</v>
      </c>
      <c r="I7">
        <v>4</v>
      </c>
      <c r="J7">
        <f>100*106457/411240</f>
        <v>25.88683007489544</v>
      </c>
      <c r="K7">
        <f>100*115543/454258</f>
        <v>25.435545438935584</v>
      </c>
      <c r="L7">
        <f>IF(COUNT(J7:K7)=2,K7-J7,"")</f>
        <v>-0.4512846359598548</v>
      </c>
      <c r="O7">
        <v>5</v>
      </c>
      <c r="P7">
        <v>4</v>
      </c>
      <c r="Q7">
        <f>100*154964/442048</f>
        <v>35.055921528883744</v>
      </c>
      <c r="R7">
        <f>100*60928/347145</f>
        <v>17.55116737962523</v>
      </c>
      <c r="S7">
        <f>IF(COUNT(Q7:R7)=2,R7-Q7,"")</f>
        <v>-17.504754149258513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100*90622/411057</f>
        <v>22.046090931428</v>
      </c>
      <c r="E8">
        <f>IF(COUNT(C8:D8)=2,D8-C8,"")</f>
        <v>1.0550038179314996</v>
      </c>
      <c r="H8">
        <v>6</v>
      </c>
      <c r="I8">
        <v>5</v>
      </c>
      <c r="J8">
        <f>100*91696/324059</f>
        <v>28.29608188632317</v>
      </c>
      <c r="K8">
        <f>100*70199/321084</f>
        <v>21.863126160132552</v>
      </c>
      <c r="L8">
        <f>IF(COUNT(J8:K8)=2,K8-J8,"")</f>
        <v>-6.432955726190617</v>
      </c>
      <c r="O8">
        <v>6</v>
      </c>
      <c r="P8">
        <v>5</v>
      </c>
      <c r="Q8">
        <f>100*114455/487242</f>
        <v>23.49038055011678</v>
      </c>
      <c r="R8">
        <f>100*75117/463326</f>
        <v>16.212558759922818</v>
      </c>
      <c r="S8">
        <f>IF(COUNT(Q8:R8)=2,R8-Q8,"")</f>
        <v>-7.277821790193961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100*15302/265466</f>
        <v>5.764203325472942</v>
      </c>
      <c r="E9">
        <f>IF(COUNT(C9:D9)=2,D9-C9,"")</f>
        <v>-15.693554666833105</v>
      </c>
      <c r="H9">
        <v>7</v>
      </c>
      <c r="I9">
        <v>6</v>
      </c>
      <c r="J9">
        <f>100*2956/325191</f>
        <v>0.9090042467349957</v>
      </c>
      <c r="K9">
        <f>100*8128/341736</f>
        <v>2.37844417913243</v>
      </c>
      <c r="L9">
        <f>IF(COUNT(J9:K9)=2,K9-J9,"")</f>
        <v>1.469439932397434</v>
      </c>
      <c r="O9">
        <v>7</v>
      </c>
      <c r="P9">
        <v>6</v>
      </c>
      <c r="Q9">
        <f>100*198686/446837</f>
        <v>44.46498387555194</v>
      </c>
      <c r="R9">
        <f>100*67522/416303</f>
        <v>16.219436324023608</v>
      </c>
      <c r="S9">
        <f>IF(COUNT(Q9:R9)=2,R9-Q9,"")</f>
        <v>-28.24554755152833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100*8488/330722</f>
        <v>2.5665060080671984</v>
      </c>
      <c r="E10">
        <f>IF(COUNT(C10:D10)=2,D10-C10,"")</f>
        <v>2.1628619691607</v>
      </c>
      <c r="H10">
        <v>8</v>
      </c>
      <c r="I10">
        <v>7</v>
      </c>
      <c r="J10">
        <f>100*1179/376958</f>
        <v>0.31276693955294754</v>
      </c>
      <c r="K10">
        <f>100*15160/367962</f>
        <v>4.119990651208549</v>
      </c>
      <c r="L10">
        <f>IF(COUNT(J10:K10)=2,K10-J10,"")</f>
        <v>3.8072237116556016</v>
      </c>
      <c r="O10">
        <v>8</v>
      </c>
      <c r="P10">
        <v>7</v>
      </c>
      <c r="Q10">
        <f>100*140584/308785</f>
        <v>45.52811826999368</v>
      </c>
      <c r="R10">
        <f>100*112344/332546</f>
        <v>33.782995435217984</v>
      </c>
      <c r="S10">
        <f>IF(COUNT(Q10:R10)=2,R10-Q10,"")</f>
        <v>-11.7451228347757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100*154783/454420</f>
        <v>34.06166101844109</v>
      </c>
      <c r="E11">
        <f>IF(COUNT(C11:D11)=2,D11-C11,"")</f>
        <v>-4.443132323767671</v>
      </c>
      <c r="H11">
        <v>9</v>
      </c>
      <c r="I11">
        <v>8</v>
      </c>
      <c r="J11">
        <f>100*144131/422295</f>
        <v>34.13040646941119</v>
      </c>
      <c r="K11">
        <f>100*209622/566198</f>
        <v>37.022737628886006</v>
      </c>
      <c r="L11">
        <f>IF(COUNT(J11:K11)=2,K11-J11,"")</f>
        <v>2.8923311594748142</v>
      </c>
      <c r="O11">
        <v>9</v>
      </c>
      <c r="P11">
        <v>8</v>
      </c>
      <c r="Q11">
        <f>100*85958/184662</f>
        <v>46.54882975382049</v>
      </c>
      <c r="R11">
        <f>100*82322/208712</f>
        <v>39.44286864195638</v>
      </c>
      <c r="S11">
        <f>IF(COUNT(Q11:R11)=2,R11-Q11,"")</f>
        <v>-7.1059611118641115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100*42615/317796</f>
        <v>13.409545746327833</v>
      </c>
      <c r="E12">
        <f>IF(COUNT(C12:D12)=2,D12-C12,"")</f>
        <v>-4.743959602704397</v>
      </c>
      <c r="H12">
        <v>10</v>
      </c>
      <c r="I12">
        <v>9</v>
      </c>
      <c r="J12">
        <f>100*71311/426052</f>
        <v>16.737628270727516</v>
      </c>
      <c r="K12">
        <f>100*69636/485110</f>
        <v>14.354682443157222</v>
      </c>
      <c r="L12">
        <f>IF(COUNT(J12:K12)=2,K12-J12,"")</f>
        <v>-2.3829458275702944</v>
      </c>
      <c r="O12">
        <v>10</v>
      </c>
      <c r="P12">
        <v>9</v>
      </c>
      <c r="Q12">
        <f>100*199032/643646</f>
        <v>30.922587882158826</v>
      </c>
      <c r="R12">
        <f>100*4575/364957</f>
        <v>1.253572338659075</v>
      </c>
      <c r="S12">
        <f>IF(COUNT(Q12:R12)=2,R12-Q12,"")</f>
        <v>-29.66901554349975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100*20899/476553</f>
        <v>4.385451355882767</v>
      </c>
      <c r="E13">
        <f>IF(COUNT(C13:D13)=2,D13-C13,"")</f>
        <v>3.658475167154956</v>
      </c>
      <c r="H13">
        <v>11</v>
      </c>
      <c r="I13">
        <v>10</v>
      </c>
      <c r="J13">
        <f>100*28276/544111</f>
        <v>5.196733754693436</v>
      </c>
      <c r="K13">
        <f>100*51628/532591</f>
        <v>9.693742477811304</v>
      </c>
      <c r="L13">
        <f>IF(COUNT(J13:K13)=2,K13-J13,"")</f>
        <v>4.497008723117868</v>
      </c>
      <c r="O13">
        <v>11</v>
      </c>
      <c r="P13">
        <v>10</v>
      </c>
      <c r="Q13">
        <f>100*136848/421678</f>
        <v>32.453198886354045</v>
      </c>
      <c r="R13">
        <f>100*134366/467420</f>
        <v>28.746309528903343</v>
      </c>
      <c r="S13">
        <f>IF(COUNT(Q13:R13)=2,R13-Q13,"")</f>
        <v>-3.7068893574507022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100*22235/450733</f>
        <v>4.933075678949622</v>
      </c>
      <c r="E14">
        <f>IF(COUNT(C14:D14)=2,D14-C14,"")</f>
        <v>-33.31277521415726</v>
      </c>
      <c r="H14">
        <v>12</v>
      </c>
      <c r="I14">
        <v>11</v>
      </c>
      <c r="J14">
        <f>100*18702/461148</f>
        <v>4.05553097920841</v>
      </c>
      <c r="K14">
        <f>100*82117/528852</f>
        <v>15.527406533396867</v>
      </c>
      <c r="L14">
        <f>IF(COUNT(J14:K14)=2,K14-J14,"")</f>
        <v>11.471875554188458</v>
      </c>
      <c r="O14">
        <v>12</v>
      </c>
      <c r="P14">
        <v>11</v>
      </c>
      <c r="Q14">
        <f>100*91935/209068</f>
        <v>43.973731034878604</v>
      </c>
      <c r="R14">
        <f>100*61055/192418</f>
        <v>31.730399442879563</v>
      </c>
      <c r="S14">
        <f>IF(COUNT(Q14:R14)=2,R14-Q14,"")</f>
        <v>-12.243331591999041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100*70265/462658</f>
        <v>15.187244141460862</v>
      </c>
      <c r="E15">
        <f>IF(COUNT(C15:D15)=2,D15-C15,"")</f>
        <v>7.407978096281626</v>
      </c>
      <c r="H15">
        <v>13</v>
      </c>
      <c r="I15">
        <v>12</v>
      </c>
      <c r="J15">
        <f>100*226380/535721</f>
        <v>42.25707037805126</v>
      </c>
      <c r="K15">
        <f>100*70651/434947</f>
        <v>16.243588299264047</v>
      </c>
      <c r="L15">
        <f>IF(COUNT(J15:K15)=2,K15-J15,"")</f>
        <v>-26.013482078787213</v>
      </c>
      <c r="O15">
        <v>13</v>
      </c>
      <c r="P15">
        <v>12</v>
      </c>
      <c r="Q15">
        <f>100*165466/516479</f>
        <v>32.037314198641184</v>
      </c>
      <c r="R15">
        <f>100*67382/401049</f>
        <v>16.801438228246425</v>
      </c>
      <c r="S15">
        <f>IF(COUNT(Q15:R15)=2,R15-Q15,"")</f>
        <v>-15.235875970394758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100*24284/276490</f>
        <v>8.78295779232522</v>
      </c>
      <c r="E16">
        <f>IF(COUNT(C16:D16)=2,D16-C16,"")</f>
        <v>7.312493538728098</v>
      </c>
      <c r="H16">
        <v>14</v>
      </c>
      <c r="I16">
        <v>13</v>
      </c>
      <c r="J16">
        <f>100*44978/265308</f>
        <v>16.95312617787628</v>
      </c>
      <c r="K16">
        <f>100*36218/272167</f>
        <v>13.307270903526144</v>
      </c>
      <c r="L16">
        <f>IF(COUNT(J16:K16)=2,K16-J16,"")</f>
        <v>-3.6458552743501347</v>
      </c>
      <c r="O16">
        <v>14</v>
      </c>
      <c r="P16">
        <v>13</v>
      </c>
      <c r="Q16">
        <f>100*58109/351187</f>
        <v>16.546455307286433</v>
      </c>
      <c r="R16">
        <f>100*53568/572813</f>
        <v>9.351743064490506</v>
      </c>
      <c r="S16">
        <f>IF(COUNT(Q16:R16)=2,R16-Q16,"")</f>
        <v>-7.1947122427959265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100*91580/400948</f>
        <v>22.840867144866667</v>
      </c>
      <c r="E17">
        <f>IF(COUNT(C17:D17)=2,D17-C17,"")</f>
        <v>-10.189664267030931</v>
      </c>
      <c r="H17">
        <v>15</v>
      </c>
      <c r="I17">
        <v>14</v>
      </c>
      <c r="J17">
        <f>100*185252/403337</f>
        <v>45.92983038997166</v>
      </c>
      <c r="K17">
        <f>100*102848/449381</f>
        <v>22.886592891110215</v>
      </c>
      <c r="L17">
        <f>IF(COUNT(J17:K17)=2,K17-J17,"")</f>
        <v>-23.043237498861448</v>
      </c>
      <c r="O17">
        <v>15</v>
      </c>
      <c r="P17">
        <v>14</v>
      </c>
      <c r="Q17">
        <f>100*158493/377442</f>
        <v>41.99135231373297</v>
      </c>
      <c r="R17">
        <f>100*170744/476917</f>
        <v>35.80161747222263</v>
      </c>
      <c r="S17">
        <f>IF(COUNT(Q17:R17)=2,R17-Q17,"")</f>
        <v>-6.189734841510337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100*90094/399425</f>
        <v>22.55592414095262</v>
      </c>
      <c r="E18">
        <f>IF(COUNT(C18:D18)=2,D18-C18,"")</f>
        <v>-9.814156644390138</v>
      </c>
      <c r="H18">
        <v>16</v>
      </c>
      <c r="I18">
        <v>15</v>
      </c>
      <c r="J18">
        <f>100*116194/472598</f>
        <v>24.586223386472223</v>
      </c>
      <c r="K18">
        <f>100*59143/352952</f>
        <v>16.756669462136493</v>
      </c>
      <c r="L18">
        <f>IF(COUNT(J18:K18)=2,K18-J18,"")</f>
        <v>-7.82955392433573</v>
      </c>
      <c r="O18">
        <v>16</v>
      </c>
      <c r="P18">
        <v>15</v>
      </c>
      <c r="Q18">
        <f>100*130815/335348</f>
        <v>39.00873122845522</v>
      </c>
      <c r="R18">
        <f>100*113568/375026</f>
        <v>30.282700399438973</v>
      </c>
      <c r="S18">
        <f>IF(COUNT(Q18:R18)=2,R18-Q18,"")</f>
        <v>-8.726030829016246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100*71298/339521</f>
        <v>20.99958470904598</v>
      </c>
      <c r="E19">
        <f>IF(COUNT(C19:D19)=2,D19-C19,"")</f>
        <v>-1.1742494956746228</v>
      </c>
      <c r="H19">
        <v>17</v>
      </c>
      <c r="I19">
        <v>16</v>
      </c>
      <c r="J19">
        <f>100*147986/392782</f>
        <v>37.6763700984261</v>
      </c>
      <c r="K19">
        <f>100*96349/438942</f>
        <v>21.950280447075013</v>
      </c>
      <c r="L19">
        <f>IF(COUNT(J19:K19)=2,K19-J19,"")</f>
        <v>-15.726089651351085</v>
      </c>
      <c r="O19">
        <v>17</v>
      </c>
      <c r="P19">
        <v>16</v>
      </c>
      <c r="Q19">
        <f>100*17753/266611</f>
        <v>6.65876501719734</v>
      </c>
      <c r="R19">
        <f>100*4743/262739</f>
        <v>1.805213538911239</v>
      </c>
      <c r="S19">
        <f>IF(COUNT(Q19:R19)=2,R19-Q19,"")</f>
        <v>-4.853551478286102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100*30398/434677</f>
        <v>6.993238657669948</v>
      </c>
      <c r="E20">
        <f>IF(COUNT(C20:D20)=2,D20-C20,"")</f>
        <v>-26.375482978827634</v>
      </c>
      <c r="H20">
        <v>18</v>
      </c>
      <c r="I20">
        <v>17</v>
      </c>
      <c r="J20">
        <f>100*134558/617547</f>
        <v>21.78911078832866</v>
      </c>
      <c r="K20">
        <f>100*29135/390026</f>
        <v>7.470014819524852</v>
      </c>
      <c r="L20">
        <f>IF(COUNT(J20:K20)=2,K20-J20,"")</f>
        <v>-14.319095968803808</v>
      </c>
      <c r="O20">
        <v>18</v>
      </c>
      <c r="P20">
        <v>17</v>
      </c>
      <c r="Q20">
        <f>100*1405/276206</f>
        <v>0.5086783053228388</v>
      </c>
      <c r="R20">
        <f>100*2028/292773</f>
        <v>0.6926868256294125</v>
      </c>
      <c r="S20">
        <f>IF(COUNT(Q20:R20)=2,R20-Q20,"")</f>
        <v>0.18400852030657378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100*44186/502599</f>
        <v>8.791501773779892</v>
      </c>
      <c r="E21">
        <f>IF(COUNT(C21:D21)=2,D21-C21,"")</f>
        <v>-9.378723917679594</v>
      </c>
      <c r="H21">
        <v>19</v>
      </c>
      <c r="I21">
        <v>18</v>
      </c>
      <c r="J21">
        <f>100*48771/351007</f>
        <v>13.894594694692698</v>
      </c>
      <c r="K21">
        <f>100*52108/381307</f>
        <v>13.665629007597552</v>
      </c>
      <c r="L21">
        <f>IF(COUNT(J21:K21)=2,K21-J21,"")</f>
        <v>-0.22896568709514575</v>
      </c>
      <c r="O21">
        <v>19</v>
      </c>
      <c r="P21">
        <v>18</v>
      </c>
      <c r="Q21">
        <f>100*124085/311389</f>
        <v>39.84887070513088</v>
      </c>
      <c r="R21">
        <f>100*134508/360053</f>
        <v>37.35783343007835</v>
      </c>
      <c r="S21">
        <f>IF(COUNT(Q21:R21)=2,R21-Q21,"")</f>
        <v>-2.491037275052527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100*31457/461225</f>
        <v>6.820315464252805</v>
      </c>
      <c r="E22">
        <f>IF(COUNT(C22:D22)=2,D22-C22,"")</f>
        <v>-13.876380890050175</v>
      </c>
      <c r="H22">
        <v>20</v>
      </c>
      <c r="I22">
        <v>19</v>
      </c>
      <c r="J22">
        <f>100*42161/340805</f>
        <v>12.371003946538343</v>
      </c>
      <c r="K22">
        <f>100*21903/466752</f>
        <v>4.692641916906623</v>
      </c>
      <c r="L22">
        <f>IF(COUNT(J22:K22)=2,K22-J22,"")</f>
        <v>-7.67836202963172</v>
      </c>
      <c r="O22">
        <v>20</v>
      </c>
      <c r="P22">
        <v>19</v>
      </c>
      <c r="Q22">
        <f>100*139808/401311</f>
        <v>34.83781904806995</v>
      </c>
      <c r="R22">
        <f>100*123227/581989</f>
        <v>21.173424239977045</v>
      </c>
      <c r="S22">
        <f>IF(COUNT(Q22:R22)=2,R22-Q22,"")</f>
        <v>-13.664394808092908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100*48853/407592</f>
        <v>11.985760270073996</v>
      </c>
      <c r="E23">
        <f>IF(COUNT(C23:D23)=2,D23-C23,"")</f>
        <v>-14.704408328393878</v>
      </c>
      <c r="H23">
        <v>21</v>
      </c>
      <c r="I23">
        <v>20</v>
      </c>
      <c r="J23">
        <f>100*222992/523032</f>
        <v>42.63448507930681</v>
      </c>
      <c r="K23">
        <f>100*79007/482493</f>
        <v>16.374745333092914</v>
      </c>
      <c r="L23">
        <f>IF(COUNT(J23:K23)=2,K23-J23,"")</f>
        <v>-26.2597397462139</v>
      </c>
      <c r="O23">
        <v>21</v>
      </c>
      <c r="P23">
        <v>20</v>
      </c>
      <c r="Q23">
        <f>100*43636/293480</f>
        <v>14.86847485348235</v>
      </c>
      <c r="R23">
        <f>100*90587/343563</f>
        <v>26.366925425613353</v>
      </c>
      <c r="S23">
        <f>IF(COUNT(Q23:R23)=2,R23-Q23,"")</f>
        <v>11.498450572131002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100*57248/185624</f>
        <v>30.84083954661035</v>
      </c>
      <c r="E24">
        <f>IF(COUNT(C24:D24)=2,D24-C24,"")</f>
        <v>-7.307415310156198</v>
      </c>
      <c r="H24">
        <v>22</v>
      </c>
      <c r="I24">
        <v>21</v>
      </c>
      <c r="J24">
        <f>100*54639/207484</f>
        <v>26.334078772339073</v>
      </c>
      <c r="K24">
        <f>100*54047/204781</f>
        <v>26.392585249608118</v>
      </c>
      <c r="L24">
        <f>IF(COUNT(J24:K24)=2,K24-J24,"")</f>
        <v>0.05850647726904512</v>
      </c>
      <c r="O24">
        <v>22</v>
      </c>
      <c r="P24">
        <v>21</v>
      </c>
      <c r="Q24">
        <f>100*45197/105457</f>
        <v>42.85822657576074</v>
      </c>
      <c r="R24">
        <f>100*9849/32971</f>
        <v>29.87170543811228</v>
      </c>
      <c r="S24">
        <f>IF(COUNT(Q24:R24)=2,R24-Q24,"")</f>
        <v>-12.98652113764846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100*59390/419404</f>
        <v>14.160570714633145</v>
      </c>
      <c r="E25">
        <f>IF(COUNT(C25:D25)=2,D25-C25,"")</f>
        <v>-19.67065698867276</v>
      </c>
      <c r="H25">
        <v>23</v>
      </c>
      <c r="I25">
        <v>22</v>
      </c>
      <c r="J25">
        <f>100*82449/499533</f>
        <v>16.505215871624095</v>
      </c>
      <c r="K25">
        <f>100*74400/514984</f>
        <v>14.447050782160222</v>
      </c>
      <c r="L25">
        <f>IF(COUNT(J25:K25)=2,K25-J25,"")</f>
        <v>-2.0581650894638734</v>
      </c>
      <c r="O25">
        <v>23</v>
      </c>
      <c r="P25">
        <v>22</v>
      </c>
      <c r="Q25">
        <f>100*656/247400</f>
        <v>0.2651576394502829</v>
      </c>
      <c r="R25">
        <f>100*7950/517333</f>
        <v>1.5367277942833726</v>
      </c>
      <c r="S25">
        <f>IF(COUNT(Q25:R25)=2,R25-Q25,"")</f>
        <v>1.2715701548330895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100*57790/452448</f>
        <v>12.772738524648137</v>
      </c>
      <c r="E26">
        <f>IF(COUNT(C26:D26)=2,D26-C26,"")</f>
        <v>-11.6798441326582</v>
      </c>
      <c r="H26">
        <v>24</v>
      </c>
      <c r="I26">
        <v>23</v>
      </c>
      <c r="J26">
        <f>100*167481/558799</f>
        <v>29.971599806012538</v>
      </c>
      <c r="K26">
        <f>100*16439/508233</f>
        <v>3.2345400633174153</v>
      </c>
      <c r="L26">
        <f>IF(COUNT(J26:K26)=2,K26-J26,"")</f>
        <v>-26.737059742695124</v>
      </c>
      <c r="O26">
        <v>24</v>
      </c>
      <c r="P26">
        <v>23</v>
      </c>
      <c r="Q26">
        <f>100*53061/340117</f>
        <v>15.600807957261766</v>
      </c>
      <c r="R26">
        <f>100*14889/232899</f>
        <v>6.392899926577615</v>
      </c>
      <c r="S26">
        <f>IF(COUNT(Q26:R26)=2,R26-Q26,"")</f>
        <v>-9.207908030684152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100*32630/348990</f>
        <v>9.349838104243675</v>
      </c>
      <c r="E27">
        <f>IF(COUNT(C27:D27)=2,D27-C27,"")</f>
        <v>4.084050675177693</v>
      </c>
      <c r="H27">
        <v>25</v>
      </c>
      <c r="I27">
        <v>24</v>
      </c>
      <c r="J27">
        <f>100*67075/346916</f>
        <v>19.334651615953142</v>
      </c>
      <c r="K27">
        <f>100*1576/321136</f>
        <v>0.4907578097752977</v>
      </c>
      <c r="L27">
        <f>IF(COUNT(J27:K27)=2,K27-J27,"")</f>
        <v>-18.843893806177846</v>
      </c>
      <c r="O27">
        <v>25</v>
      </c>
      <c r="P27">
        <v>24</v>
      </c>
      <c r="Q27">
        <f>100*158561/348258</f>
        <v>45.52975093178046</v>
      </c>
      <c r="R27">
        <f>100*79874/269251</f>
        <v>29.665256582148256</v>
      </c>
      <c r="S27">
        <f>IF(COUNT(Q27:R27)=2,R27-Q27,"")</f>
        <v>-15.864494349632206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100*103061/483179</f>
        <v>21.329776335478154</v>
      </c>
      <c r="E28">
        <f>IF(COUNT(C28:D28)=2,D28-C28,"")</f>
        <v>-2.5754258591977255</v>
      </c>
      <c r="H28">
        <v>26</v>
      </c>
      <c r="I28">
        <v>25</v>
      </c>
      <c r="J28">
        <f>100*177325/563486</f>
        <v>31.469282289178437</v>
      </c>
      <c r="K28">
        <f>100*39980/351506</f>
        <v>11.373916803696096</v>
      </c>
      <c r="L28">
        <f>IF(COUNT(J28:K28)=2,K28-J28,"")</f>
        <v>-20.09536548548234</v>
      </c>
      <c r="O28">
        <v>26</v>
      </c>
      <c r="P28">
        <v>25</v>
      </c>
      <c r="Q28">
        <f>100*156244/369843</f>
        <v>42.246034127994854</v>
      </c>
      <c r="R28">
        <f>100*175370/585113</f>
        <v>29.97198831678667</v>
      </c>
      <c r="S28">
        <f>IF(COUNT(Q28:R28)=2,R28-Q28,"")</f>
        <v>-12.274045811208182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100*110400/570777</f>
        <v>19.34205477796057</v>
      </c>
      <c r="E29">
        <f>IF(COUNT(C29:D29)=2,D29-C29,"")</f>
        <v>-25.27417295241778</v>
      </c>
      <c r="H29">
        <v>27</v>
      </c>
      <c r="I29">
        <v>26</v>
      </c>
      <c r="J29">
        <f>100*35297/437184</f>
        <v>8.073717244912897</v>
      </c>
      <c r="K29">
        <f>100*66898/477855</f>
        <v>13.999644243546683</v>
      </c>
      <c r="L29">
        <f>IF(COUNT(J29:K29)=2,K29-J29,"")</f>
        <v>5.925926998633786</v>
      </c>
      <c r="O29">
        <v>27</v>
      </c>
      <c r="P29">
        <v>26</v>
      </c>
      <c r="Q29">
        <f>100*99207/334942</f>
        <v>29.619157943763398</v>
      </c>
      <c r="R29">
        <f>100*39973/164468</f>
        <v>24.304423960892088</v>
      </c>
      <c r="S29">
        <f>IF(COUNT(Q29:R29)=2,R29-Q29,"")</f>
        <v>-5.31473398287131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100*50535/256233</f>
        <v>19.72228401493953</v>
      </c>
      <c r="E30">
        <f>IF(COUNT(C30:D30)=2,D30-C30,"")</f>
        <v>-3.356344732131056</v>
      </c>
      <c r="H30">
        <v>28</v>
      </c>
      <c r="I30">
        <v>27</v>
      </c>
      <c r="J30">
        <f>100*111624/317500</f>
        <v>35.15716535433071</v>
      </c>
      <c r="K30">
        <f>100*42007/269162</f>
        <v>15.60658636806087</v>
      </c>
      <c r="L30">
        <f>IF(COUNT(J30:K30)=2,K30-J30,"")</f>
        <v>-19.550578986269837</v>
      </c>
      <c r="O30">
        <v>28</v>
      </c>
      <c r="P30">
        <v>27</v>
      </c>
      <c r="Q30">
        <f>100*258/245208</f>
        <v>0.10521679553685034</v>
      </c>
      <c r="R30">
        <f>100*372/243584</f>
        <v>0.15271939043615343</v>
      </c>
      <c r="S30">
        <f>IF(COUNT(Q30:R30)=2,R30-Q30,"")</f>
        <v>0.047502594899303086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100*59858/358003</f>
        <v>16.71997162034955</v>
      </c>
      <c r="E31">
        <f>IF(COUNT(C31:D31)=2,D31-C31,"")</f>
        <v>-29.85990110474007</v>
      </c>
      <c r="H31">
        <v>29</v>
      </c>
      <c r="I31">
        <v>28</v>
      </c>
      <c r="J31">
        <f>100*143049/329070</f>
        <v>43.47069012672076</v>
      </c>
      <c r="K31">
        <f>100*129913/387056</f>
        <v>33.56439378281179</v>
      </c>
      <c r="L31">
        <f>IF(COUNT(J31:K31)=2,K31-J31,"")</f>
        <v>-9.90629634390897</v>
      </c>
      <c r="O31">
        <v>29</v>
      </c>
      <c r="P31">
        <v>28</v>
      </c>
      <c r="Q31">
        <f>100*106682/252496</f>
        <v>42.25096635194221</v>
      </c>
      <c r="R31">
        <f>100*71321/240416</f>
        <v>29.665662851058165</v>
      </c>
      <c r="S31">
        <f>IF(COUNT(Q31:R31)=2,R31-Q31,"")</f>
        <v>-12.585303500884045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100*51237/438154</f>
        <v>11.69383367491795</v>
      </c>
      <c r="E32">
        <f>IF(COUNT(C32:D32)=2,D32-C32,"")</f>
        <v>-7.6191934555948215</v>
      </c>
      <c r="H32">
        <v>30</v>
      </c>
      <c r="I32">
        <v>29</v>
      </c>
      <c r="J32">
        <f>100*71699/295601</f>
        <v>24.25533066532251</v>
      </c>
      <c r="K32">
        <f>100*76323/382462</f>
        <v>19.955708018051467</v>
      </c>
      <c r="L32">
        <f>IF(COUNT(J32:K32)=2,K32-J32,"")</f>
        <v>-4.299622647271043</v>
      </c>
      <c r="O32">
        <v>30</v>
      </c>
      <c r="P32">
        <v>29</v>
      </c>
      <c r="Q32">
        <f>100*220230/481156</f>
        <v>45.771018131333705</v>
      </c>
      <c r="R32">
        <f>100*88229/385947</f>
        <v>22.86039274822709</v>
      </c>
      <c r="S32">
        <f>IF(COUNT(Q32:R32)=2,R32-Q32,"")</f>
        <v>-22.910625383106616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100*84250/289833</f>
        <v>29.068463563500362</v>
      </c>
      <c r="E33">
        <f>IF(COUNT(C33:D33)=2,D33-C33,"")</f>
        <v>3.4701586294020714</v>
      </c>
      <c r="H33">
        <v>31</v>
      </c>
      <c r="I33">
        <v>30</v>
      </c>
      <c r="J33">
        <f>100*58413/325415</f>
        <v>17.950309604658667</v>
      </c>
      <c r="K33">
        <f>100*123151/431244</f>
        <v>28.55715094007105</v>
      </c>
      <c r="L33">
        <f>IF(COUNT(J33:K33)=2,K33-J33,"")</f>
        <v>10.606841335412383</v>
      </c>
      <c r="O33">
        <v>31</v>
      </c>
      <c r="P33">
        <v>30</v>
      </c>
      <c r="Q33">
        <f>100*3974/273650</f>
        <v>1.4522199890370913</v>
      </c>
      <c r="R33">
        <f>100*12087/263600</f>
        <v>4.585356600910471</v>
      </c>
      <c r="S33">
        <f>IF(COUNT(Q33:R33)=2,R33-Q33,"")</f>
        <v>3.1331366118733794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15.603533055416921</v>
      </c>
      <c r="E34">
        <f>IF(COUNT(E3:E33)&gt;0,AVERAGE(E3:E33),"")</f>
        <v>-9.262586189979732</v>
      </c>
      <c r="H34" t="s">
        <v>5</v>
      </c>
      <c r="J34">
        <f>IF(COUNT(J3:J33)&gt;0,AVERAGE(J3:J33),"")</f>
        <v>22.873960622545518</v>
      </c>
      <c r="K34">
        <f>IF(COUNT(K3:K33)&gt;0,AVERAGE(K3:K33),"")</f>
        <v>15.720404445250347</v>
      </c>
      <c r="L34">
        <f>IF(COUNT(L3:L33)&gt;0,AVERAGE(L3:L33),"")</f>
        <v>-7.153556177295171</v>
      </c>
      <c r="O34" t="s">
        <v>5</v>
      </c>
      <c r="Q34">
        <f>IF(COUNT(Q3:Q33)&gt;0,AVERAGE(Q3:Q33),"")</f>
        <v>30.285258327658585</v>
      </c>
      <c r="R34">
        <f>IF(COUNT(R3:R33)&gt;0,AVERAGE(R3:R33),"")</f>
        <v>20.685326062835564</v>
      </c>
      <c r="S34">
        <f>IF(COUNT(S3:S33)&gt;0,AVERAGE(S3:S33),"")</f>
        <v>-9.599932264823021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100*152069/661584</f>
        <v>22.985592154586566</v>
      </c>
      <c r="E39">
        <f>IF(COUNT(C39:D39)=2,D39-C39,"")</f>
        <v>7.6642399658902285</v>
      </c>
      <c r="H39">
        <v>1</v>
      </c>
      <c r="I39">
        <v>0</v>
      </c>
      <c r="J39">
        <f>100*211130/713250</f>
        <v>29.601121626358218</v>
      </c>
      <c r="K39">
        <f>100*83381/502767</f>
        <v>16.58442180970509</v>
      </c>
      <c r="L39">
        <f>IF(COUNT(J39:K39)=2,K39-J39,"")</f>
        <v>-13.016699816653126</v>
      </c>
      <c r="O39">
        <v>1</v>
      </c>
      <c r="P39">
        <v>0</v>
      </c>
      <c r="Q39">
        <f>100*33559/419154</f>
        <v>8.00636520228842</v>
      </c>
      <c r="R39">
        <f>100*10271/436413</f>
        <v>2.3535045931262357</v>
      </c>
      <c r="S39">
        <f>IF(COUNT(Q39:R39)=2,R39-Q39,"")</f>
        <v>-5.652860609162184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100*117303/422015</f>
        <v>27.795931424238475</v>
      </c>
      <c r="E40">
        <f>IF(COUNT(C40:D40)=2,D40-C40,"")</f>
        <v>-20.75912162351873</v>
      </c>
      <c r="H40">
        <v>2</v>
      </c>
      <c r="I40">
        <v>1</v>
      </c>
      <c r="J40">
        <f>100*221110/594344</f>
        <v>37.20236092229416</v>
      </c>
      <c r="K40">
        <f>100*69692/428628</f>
        <v>16.259320436369066</v>
      </c>
      <c r="L40">
        <f>IF(COUNT(J40:K40)=2,K40-J40,"")</f>
        <v>-20.943040485925096</v>
      </c>
      <c r="O40">
        <v>2</v>
      </c>
      <c r="P40">
        <v>1</v>
      </c>
      <c r="Q40">
        <f>100*83755/209991</f>
        <v>39.88504269230586</v>
      </c>
      <c r="R40">
        <f>100*130508/344354</f>
        <v>37.89937099612608</v>
      </c>
      <c r="S40">
        <f>IF(COUNT(Q40:R40)=2,R40-Q40,"")</f>
        <v>-1.9856716961797787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100*185385/777570</f>
        <v>23.841583394421082</v>
      </c>
      <c r="E41">
        <f>IF(COUNT(C41:D41)=2,D41-C41,"")</f>
        <v>-17.382678372987396</v>
      </c>
      <c r="H41">
        <v>3</v>
      </c>
      <c r="I41">
        <v>2</v>
      </c>
      <c r="J41">
        <f>100*328651/1001588</f>
        <v>32.812992967168135</v>
      </c>
      <c r="K41">
        <f>100*10355/375465</f>
        <v>2.757913520567829</v>
      </c>
      <c r="L41">
        <f>IF(COUNT(J41:K41)=2,K41-J41,"")</f>
        <v>-30.055079446600306</v>
      </c>
      <c r="O41">
        <v>3</v>
      </c>
      <c r="P41">
        <v>2</v>
      </c>
      <c r="Q41">
        <f>100*165549/320834</f>
        <v>51.59958109177955</v>
      </c>
      <c r="R41">
        <f>100*207506/574642</f>
        <v>36.11048270053355</v>
      </c>
      <c r="S41">
        <f>IF(COUNT(Q41:R41)=2,R41-Q41,"")</f>
        <v>-15.489098391245996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100*135592/599899</f>
        <v>22.602471416021697</v>
      </c>
      <c r="E42">
        <f>IF(COUNT(C42:D42)=2,D42-C42,"")</f>
        <v>16.710230897329943</v>
      </c>
      <c r="H42">
        <v>4</v>
      </c>
      <c r="I42">
        <v>3</v>
      </c>
      <c r="J42">
        <f>100*38325/584626</f>
        <v>6.555473071673172</v>
      </c>
      <c r="K42">
        <f>100*46442/547370</f>
        <v>8.484571679120156</v>
      </c>
      <c r="L42">
        <f>IF(COUNT(J42:K42)=2,K42-J42,"")</f>
        <v>1.929098607446984</v>
      </c>
      <c r="O42">
        <v>4</v>
      </c>
      <c r="P42">
        <v>3</v>
      </c>
      <c r="Q42">
        <f>100*265499/612068</f>
        <v>43.37736983472425</v>
      </c>
      <c r="R42">
        <f>100*168/280</f>
        <v>60.0</v>
      </c>
      <c r="S42">
        <f>IF(COUNT(Q42:R42)=2,R42-Q42,"")</f>
        <v>16.62263016527575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100*143668/468614</f>
        <v>30.65806826087142</v>
      </c>
      <c r="E43">
        <f>IF(COUNT(C43:D43)=2,D43-C43,"")</f>
        <v>-10.718016012211795</v>
      </c>
      <c r="H43">
        <v>5</v>
      </c>
      <c r="I43">
        <v>4</v>
      </c>
      <c r="J43">
        <f>100*86329/200432</f>
        <v>43.071465634230066</v>
      </c>
      <c r="K43">
        <f>100*180916/573334</f>
        <v>31.555079587116758</v>
      </c>
      <c r="L43">
        <f>IF(COUNT(J43:K43)=2,K43-J43,"")</f>
        <v>-11.516386047113308</v>
      </c>
      <c r="O43">
        <v>5</v>
      </c>
      <c r="P43">
        <v>4</v>
      </c>
      <c r="Q43">
        <f>100*80681/472324</f>
        <v>17.08170662511327</v>
      </c>
      <c r="R43">
        <f>100*80806/538499</f>
        <v>15.005784597557284</v>
      </c>
      <c r="S43">
        <f>IF(COUNT(Q43:R43)=2,R43-Q43,"")</f>
        <v>-2.075922027555986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100*113460/600520</f>
        <v>18.893625524545396</v>
      </c>
      <c r="E44">
        <f>IF(COUNT(C44:D44)=2,D44-C44,"")</f>
        <v>10.827335644167384</v>
      </c>
      <c r="H44">
        <v>6</v>
      </c>
      <c r="I44">
        <v>5</v>
      </c>
      <c r="J44">
        <f>100*143171/458928</f>
        <v>31.19683261862427</v>
      </c>
      <c r="K44">
        <f>100*187590/633676</f>
        <v>29.60345665608292</v>
      </c>
      <c r="L44">
        <f>IF(COUNT(J44:K44)=2,K44-J44,"")</f>
        <v>-1.5933759625413515</v>
      </c>
      <c r="O44">
        <v>6</v>
      </c>
      <c r="P44">
        <v>5</v>
      </c>
      <c r="Q44">
        <f>100*332039/690960</f>
        <v>48.05473544054649</v>
      </c>
      <c r="R44">
        <f>100*181728/712676</f>
        <v>25.49938541497118</v>
      </c>
      <c r="S44">
        <f>IF(COUNT(Q44:R44)=2,R44-Q44,"")</f>
        <v>-22.555350025575308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100*32577/721584</f>
        <v>4.514651100911329</v>
      </c>
      <c r="E45">
        <f>IF(COUNT(C45:D45)=2,D45-C45,"")</f>
        <v>2.4210914396213847</v>
      </c>
      <c r="H45">
        <v>7</v>
      </c>
      <c r="I45">
        <v>6</v>
      </c>
      <c r="J45">
        <f>100*1474/516628</f>
        <v>0.28531167493825343</v>
      </c>
      <c r="K45">
        <f>100*14580/504745</f>
        <v>2.8885873064616785</v>
      </c>
      <c r="L45">
        <f>IF(COUNT(J45:K45)=2,K45-J45,"")</f>
        <v>2.603275631523425</v>
      </c>
      <c r="O45">
        <v>7</v>
      </c>
      <c r="P45">
        <v>6</v>
      </c>
      <c r="Q45">
        <f>100*255047/462709</f>
        <v>55.12038884050234</v>
      </c>
      <c r="R45">
        <f>100*202372/637200</f>
        <v>31.759573132454488</v>
      </c>
      <c r="S45">
        <f>IF(COUNT(Q45:R45)=2,R45-Q45,"")</f>
        <v>-23.360815708047856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100*6466/573782</f>
        <v>1.1269088260001185</v>
      </c>
      <c r="E46">
        <f>IF(COUNT(C46:D46)=2,D46-C46,"")</f>
        <v>-1.0898207115807754</v>
      </c>
      <c r="H46">
        <v>8</v>
      </c>
      <c r="I46">
        <v>7</v>
      </c>
      <c r="J46">
        <f>100*2387/421854</f>
        <v>0.5658355734448411</v>
      </c>
      <c r="K46">
        <f>100*207/757760</f>
        <v>0.027317356418918918</v>
      </c>
      <c r="L46">
        <f>IF(COUNT(J46:K46)=2,K46-J46,"")</f>
        <v>-0.5385182170259222</v>
      </c>
      <c r="O46">
        <v>8</v>
      </c>
      <c r="P46">
        <v>7</v>
      </c>
      <c r="Q46">
        <f>100*174551/400003</f>
        <v>43.63742271932961</v>
      </c>
      <c r="R46">
        <f>100*193870/567087</f>
        <v>34.18699423545241</v>
      </c>
      <c r="S46">
        <f>IF(COUNT(Q46:R46)=2,R46-Q46,"")</f>
        <v>-9.450428483877197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100*201746/425610</f>
        <v>47.40161180423392</v>
      </c>
      <c r="E47">
        <f>IF(COUNT(C47:D47)=2,D47-C47,"")</f>
        <v>-10.250516229533225</v>
      </c>
      <c r="H47">
        <v>9</v>
      </c>
      <c r="I47">
        <v>8</v>
      </c>
      <c r="J47">
        <f>100*195875/433696</f>
        <v>45.16412417914853</v>
      </c>
      <c r="K47">
        <f>100*174642/616327</f>
        <v>28.335932062038495</v>
      </c>
      <c r="L47">
        <f>IF(COUNT(J47:K47)=2,K47-J47,"")</f>
        <v>-16.828192117110035</v>
      </c>
      <c r="O47">
        <v>9</v>
      </c>
      <c r="P47">
        <v>8</v>
      </c>
      <c r="Q47">
        <f>100*68616/113213</f>
        <v>60.60788072041197</v>
      </c>
      <c r="R47">
        <f>100*150538/360596</f>
        <v>41.746996638897826</v>
      </c>
      <c r="S47">
        <f>IF(COUNT(Q47:R47)=2,R47-Q47,"")</f>
        <v>-18.860884081514143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100*27496/610334</f>
        <v>4.505074270809098</v>
      </c>
      <c r="E48">
        <f>IF(COUNT(C48:D48)=2,D48-C48,"")</f>
        <v>-17.45423135099056</v>
      </c>
      <c r="H48">
        <v>10</v>
      </c>
      <c r="I48">
        <v>9</v>
      </c>
      <c r="J48">
        <f>100*319115/716304</f>
        <v>44.550218901472</v>
      </c>
      <c r="K48">
        <f>100*155260/666233</f>
        <v>23.304159355660857</v>
      </c>
      <c r="L48">
        <f>IF(COUNT(J48:K48)=2,K48-J48,"")</f>
        <v>-21.246059545811143</v>
      </c>
      <c r="O48">
        <v>10</v>
      </c>
      <c r="P48">
        <v>9</v>
      </c>
      <c r="Q48">
        <f>100*144975/663380</f>
        <v>21.85399017154572</v>
      </c>
      <c r="R48">
        <f>100*2708/436914</f>
        <v>0.6198016085545439</v>
      </c>
      <c r="S48">
        <f>IF(COUNT(Q48:R48)=2,R48-Q48,"")</f>
        <v>-21.23418856299118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100*46338/202103</f>
        <v>22.927912994859057</v>
      </c>
      <c r="E49">
        <f>IF(COUNT(C49:D49)=2,D49-C49,"")</f>
        <v>-21.6998070265348</v>
      </c>
      <c r="H49">
        <v>11</v>
      </c>
      <c r="I49">
        <v>10</v>
      </c>
      <c r="J49">
        <f>100*298304/894387</f>
        <v>33.352899807354085</v>
      </c>
      <c r="K49">
        <f>100*122451/746168</f>
        <v>16.410647468130502</v>
      </c>
      <c r="L49">
        <f>IF(COUNT(J49:K49)=2,K49-J49,"")</f>
        <v>-16.942252339223582</v>
      </c>
      <c r="O49">
        <v>11</v>
      </c>
      <c r="P49">
        <v>10</v>
      </c>
      <c r="Q49">
        <f>100*252271/540552</f>
        <v>46.66914561411298</v>
      </c>
      <c r="R49">
        <f>100*275851/701273</f>
        <v>39.33575084168363</v>
      </c>
      <c r="S49">
        <f>IF(COUNT(Q49:R49)=2,R49-Q49,"")</f>
        <v>-7.333394772429351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100*23447/637604</f>
        <v>3.6773608697561495</v>
      </c>
      <c r="E50">
        <f>IF(COUNT(C50:D50)=2,D50-C50,"")</f>
        <v>-38.83758766414916</v>
      </c>
      <c r="H50">
        <v>12</v>
      </c>
      <c r="I50">
        <v>11</v>
      </c>
      <c r="K50">
        <f>100*40865/764270</f>
        <v>5.346932366833711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100*116942/306085</f>
        <v>38.205727167290135</v>
      </c>
      <c r="S50">
        <f>IF(COUNT(Q50:R50)=2,R50-Q50,"")</f>
        <v>-9.466245740208507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100*17073/358920</f>
        <v>4.756770310932798</v>
      </c>
      <c r="E51">
        <f>IF(COUNT(C51:D51)=2,D51-C51,"")</f>
        <v>2.6057119802416886</v>
      </c>
      <c r="H51">
        <v>13</v>
      </c>
      <c r="I51">
        <v>12</v>
      </c>
      <c r="J51">
        <f>100*63849/654587</f>
        <v>9.75408921961481</v>
      </c>
      <c r="K51">
        <f>100*46182/552890</f>
        <v>8.352836911501385</v>
      </c>
      <c r="L51">
        <f>IF(COUNT(J51:K51)=2,K51-J51,"")</f>
        <v>-1.4012523081134258</v>
      </c>
      <c r="O51">
        <v>13</v>
      </c>
      <c r="P51">
        <v>12</v>
      </c>
      <c r="Q51">
        <f>100*326273/687294</f>
        <v>47.47211528108786</v>
      </c>
      <c r="R51">
        <f>100*129963/757171</f>
        <v>17.164286535009925</v>
      </c>
      <c r="S51">
        <f>IF(COUNT(Q51:R51)=2,R51-Q51,"")</f>
        <v>-30.307828746077934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100*5504/395072</f>
        <v>1.3931637777417787</v>
      </c>
      <c r="E52">
        <f>IF(COUNT(C52:D52)=2,D52-C52,"")</f>
        <v>-11.047896193493667</v>
      </c>
      <c r="H52">
        <v>14</v>
      </c>
      <c r="I52">
        <v>13</v>
      </c>
      <c r="J52">
        <f>100*46518/257005</f>
        <v>18.100036964261395</v>
      </c>
      <c r="K52">
        <f>100*51412/346834</f>
        <v>14.823229556502534</v>
      </c>
      <c r="L52">
        <f>IF(COUNT(J52:K52)=2,K52-J52,"")</f>
        <v>-3.276807407758861</v>
      </c>
      <c r="O52">
        <v>14</v>
      </c>
      <c r="P52">
        <v>13</v>
      </c>
      <c r="Q52">
        <f>100*2347/627958</f>
        <v>0.37375111074307515</v>
      </c>
      <c r="R52">
        <f>100*23027/429044</f>
        <v>5.36704860107588</v>
      </c>
      <c r="S52">
        <f>IF(COUNT(Q52:R52)=2,R52-Q52,"")</f>
        <v>4.993297490332805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100*123772/505358</f>
        <v>24.4919443246174</v>
      </c>
      <c r="E53">
        <f>IF(COUNT(C53:D53)=2,D53-C53,"")</f>
        <v>-29.43559822186345</v>
      </c>
      <c r="H53">
        <v>15</v>
      </c>
      <c r="I53">
        <v>14</v>
      </c>
      <c r="J53">
        <f>100*175137/618371</f>
        <v>28.322317831851752</v>
      </c>
      <c r="K53">
        <f>100*169040/602606</f>
        <v>28.051496334254885</v>
      </c>
      <c r="L53">
        <f>IF(COUNT(J53:K53)=2,K53-J53,"")</f>
        <v>-0.2708214975968666</v>
      </c>
      <c r="O53">
        <v>15</v>
      </c>
      <c r="P53">
        <v>14</v>
      </c>
      <c r="Q53">
        <f>100*146769/359086</f>
        <v>40.872938516121486</v>
      </c>
      <c r="R53">
        <f>100*200555/511685</f>
        <v>39.19501255655335</v>
      </c>
      <c r="S53">
        <f>IF(COUNT(Q53:R53)=2,R53-Q53,"")</f>
        <v>-1.6779259595681353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100*46951/581255</f>
        <v>8.077521913789989</v>
      </c>
      <c r="E54">
        <f>IF(COUNT(C54:D54)=2,D54-C54,"")</f>
        <v>-43.38021207635779</v>
      </c>
      <c r="H54">
        <v>16</v>
      </c>
      <c r="I54">
        <v>15</v>
      </c>
      <c r="J54">
        <f>100*262686/530062</f>
        <v>49.55759892239021</v>
      </c>
      <c r="K54">
        <f>100*41336/160123</f>
        <v>25.815154599901327</v>
      </c>
      <c r="L54">
        <f>IF(COUNT(J54:K54)=2,K54-J54,"")</f>
        <v>-23.742444322488886</v>
      </c>
      <c r="O54">
        <v>16</v>
      </c>
      <c r="P54">
        <v>15</v>
      </c>
      <c r="Q54">
        <f>100*161630/350468</f>
        <v>46.11833320017805</v>
      </c>
      <c r="R54">
        <f>100*93184/304964</f>
        <v>30.55573772642017</v>
      </c>
      <c r="S54">
        <f>IF(COUNT(Q54:R54)=2,R54-Q54,"")</f>
        <v>-15.56259547375788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100*229080/702762</f>
        <v>32.59709546048307</v>
      </c>
      <c r="E55">
        <f>IF(COUNT(C55:D55)=2,D55-C55,"")</f>
        <v>2.1402255683504485</v>
      </c>
      <c r="H55">
        <v>17</v>
      </c>
      <c r="I55">
        <v>16</v>
      </c>
      <c r="J55">
        <f>100*201035/472489</f>
        <v>42.5480804844134</v>
      </c>
      <c r="K55">
        <f>100*133984/638973</f>
        <v>20.968648127542167</v>
      </c>
      <c r="L55">
        <f>IF(COUNT(J55:K55)=2,K55-J55,"")</f>
        <v>-21.57943235687123</v>
      </c>
      <c r="O55">
        <v>17</v>
      </c>
      <c r="P55">
        <v>16</v>
      </c>
      <c r="Q55">
        <f>100*10845/444486</f>
        <v>2.4398968696426886</v>
      </c>
      <c r="R55">
        <f>100*8356/339114</f>
        <v>2.4640681304811953</v>
      </c>
      <c r="S55">
        <f>IF(COUNT(Q55:R55)=2,R55-Q55,"")</f>
        <v>0.024171260838506736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100*20085/486859</f>
        <v>4.125424404190946</v>
      </c>
      <c r="E56">
        <f>IF(COUNT(C56:D56)=2,D56-C56,"")</f>
        <v>-45.33539413203936</v>
      </c>
      <c r="H56">
        <v>18</v>
      </c>
      <c r="I56">
        <v>17</v>
      </c>
      <c r="K56">
        <f>100*123873/889805</f>
        <v>13.921364793409792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100*3594/376796</f>
        <v>0.9538317816537331</v>
      </c>
      <c r="S56">
        <f>IF(COUNT(Q56:R56)=2,R56-Q56,"")</f>
        <v>-8.84946675479534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100*59053/730938</f>
        <v>8.079071001918082</v>
      </c>
      <c r="E57">
        <f>IF(COUNT(C57:D57)=2,D57-C57,"")</f>
        <v>-30.63966103365167</v>
      </c>
      <c r="H57">
        <v>19</v>
      </c>
      <c r="I57">
        <v>18</v>
      </c>
      <c r="J57">
        <f>100*171180/560014</f>
        <v>30.567092965533003</v>
      </c>
      <c r="K57">
        <f>100*99822/656761</f>
        <v>15.199136367719763</v>
      </c>
      <c r="L57">
        <f>IF(COUNT(J57:K57)=2,K57-J57,"")</f>
        <v>-15.36795659781324</v>
      </c>
      <c r="O57">
        <v>19</v>
      </c>
      <c r="P57">
        <v>18</v>
      </c>
      <c r="Q57">
        <f>100*169030/384674</f>
        <v>43.94110337584552</v>
      </c>
      <c r="R57">
        <f>100*209601/468159</f>
        <v>44.77132768995149</v>
      </c>
      <c r="S57">
        <f>IF(COUNT(Q57:R57)=2,R57-Q57,"")</f>
        <v>0.8302243141059691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100*87966/525816</f>
        <v>16.729426263179516</v>
      </c>
      <c r="E58">
        <f>IF(COUNT(C58:D58)=2,D58-C58,"")</f>
        <v>-24.697069302021465</v>
      </c>
      <c r="H58">
        <v>20</v>
      </c>
      <c r="I58">
        <v>19</v>
      </c>
      <c r="J58">
        <f>100*284748/588066</f>
        <v>48.42109559131118</v>
      </c>
      <c r="K58">
        <f>100*95494/826133</f>
        <v>11.559155729162253</v>
      </c>
      <c r="L58">
        <f>IF(COUNT(J58:K58)=2,K58-J58,"")</f>
        <v>-36.86193986214893</v>
      </c>
      <c r="O58">
        <v>20</v>
      </c>
      <c r="P58">
        <v>19</v>
      </c>
      <c r="Q58">
        <f>100*276241/622059</f>
        <v>44.40752404514684</v>
      </c>
      <c r="R58">
        <f>100*201477/683459</f>
        <v>29.47901776112393</v>
      </c>
      <c r="S58">
        <f>IF(COUNT(Q58:R58)=2,R58-Q58,"")</f>
        <v>-14.928506284022912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100*176267/704332</f>
        <v>25.02612404377481</v>
      </c>
      <c r="E59">
        <f>IF(COUNT(C59:D59)=2,D59-C59,"")</f>
        <v>-21.9619179137804</v>
      </c>
      <c r="H59">
        <v>21</v>
      </c>
      <c r="I59">
        <v>20</v>
      </c>
      <c r="J59">
        <f>100*380768/887907</f>
        <v>42.88377048497196</v>
      </c>
      <c r="K59">
        <f>100*95543/720614</f>
        <v>13.258554510459136</v>
      </c>
      <c r="L59">
        <f>IF(COUNT(J59:K59)=2,K59-J59,"")</f>
        <v>-29.625215974512827</v>
      </c>
      <c r="O59">
        <v>21</v>
      </c>
      <c r="P59">
        <v>20</v>
      </c>
      <c r="Q59">
        <f>100*102616/414261</f>
        <v>24.7708570200912</v>
      </c>
      <c r="R59">
        <f>100*73910/390832</f>
        <v>18.910938715355957</v>
      </c>
      <c r="S59">
        <f>IF(COUNT(Q59:R59)=2,R59-Q59,"")</f>
        <v>-5.859918304735242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100*65/106</f>
        <v>61.320754716981135</v>
      </c>
      <c r="E60">
        <f>IF(COUNT(C60:D60)=2,D60-C60,"")</f>
        <v>17.251666213515207</v>
      </c>
      <c r="H60">
        <v>22</v>
      </c>
      <c r="I60">
        <v>21</v>
      </c>
      <c r="J60">
        <f>100*139592/266933</f>
        <v>52.29477059786538</v>
      </c>
      <c r="K60">
        <f>100*92854/239642</f>
        <v>38.7469642216306</v>
      </c>
      <c r="L60">
        <f>IF(COUNT(J60:K60)=2,K60-J60,"")</f>
        <v>-13.547806376234782</v>
      </c>
      <c r="O60">
        <v>22</v>
      </c>
      <c r="P60">
        <v>21</v>
      </c>
      <c r="Q60">
        <f>100*93353/177560</f>
        <v>52.57546744762334</v>
      </c>
      <c r="R60">
        <f>100*105020/287075</f>
        <v>36.58277453627101</v>
      </c>
      <c r="S60">
        <f>IF(COUNT(Q60:R60)=2,R60-Q60,"")</f>
        <v>-15.992692911352329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100*76693/641867</f>
        <v>11.948425452624921</v>
      </c>
      <c r="E61">
        <f>IF(COUNT(C61:D61)=2,D61-C61,"")</f>
        <v>-34.30923114689958</v>
      </c>
      <c r="H61">
        <v>23</v>
      </c>
      <c r="I61">
        <v>22</v>
      </c>
      <c r="J61">
        <f>100*307788/547933</f>
        <v>56.1725612438017</v>
      </c>
      <c r="K61">
        <f>100*284637/913389</f>
        <v>31.162735701875103</v>
      </c>
      <c r="L61">
        <f>IF(COUNT(J61:K61)=2,K61-J61,"")</f>
        <v>-25.0098255419266</v>
      </c>
      <c r="O61">
        <v>23</v>
      </c>
      <c r="P61">
        <v>22</v>
      </c>
      <c r="Q61">
        <f>100*1420/340312</f>
        <v>0.41726415759655844</v>
      </c>
      <c r="R61">
        <f>100*3779/603422</f>
        <v>0.6262615549317062</v>
      </c>
      <c r="S61">
        <f>IF(COUNT(Q61:R61)=2,R61-Q61,"")</f>
        <v>0.20899739733514777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100*88853/767032</f>
        <v>11.584001710489263</v>
      </c>
      <c r="E62">
        <f>IF(COUNT(C62:D62)=2,D62-C62,"")</f>
        <v>-10.01366017480259</v>
      </c>
      <c r="H62">
        <v>24</v>
      </c>
      <c r="I62">
        <v>23</v>
      </c>
      <c r="J62">
        <f>100*403224/842602</f>
        <v>47.85462175499227</v>
      </c>
      <c r="K62">
        <f>100*2707/112109</f>
        <v>2.4146143485358</v>
      </c>
      <c r="L62">
        <f>IF(COUNT(J62:K62)=2,K62-J62,"")</f>
        <v>-45.44000740645647</v>
      </c>
      <c r="O62">
        <v>24</v>
      </c>
      <c r="P62">
        <v>23</v>
      </c>
      <c r="Q62">
        <f>100*127073/681026</f>
        <v>18.659052664655974</v>
      </c>
      <c r="R62">
        <f>100*154198/815239</f>
        <v>18.91445330755766</v>
      </c>
      <c r="S62">
        <f>IF(COUNT(Q62:R62)=2,R62-Q62,"")</f>
        <v>0.2554006429016873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100*152480/861126</f>
        <v>17.707048678126082</v>
      </c>
      <c r="E63">
        <f>IF(COUNT(C63:D63)=2,D63-C63,"")</f>
        <v>-27.04372951573772</v>
      </c>
      <c r="H63">
        <v>25</v>
      </c>
      <c r="I63">
        <v>24</v>
      </c>
      <c r="J63">
        <f>100*334373/832460</f>
        <v>40.16685486389736</v>
      </c>
      <c r="K63">
        <f>100*32710/602275</f>
        <v>5.4310738450043585</v>
      </c>
      <c r="L63">
        <f>IF(COUNT(J63:K63)=2,K63-J63,"")</f>
        <v>-34.73578101889301</v>
      </c>
      <c r="O63">
        <v>25</v>
      </c>
      <c r="P63">
        <v>24</v>
      </c>
      <c r="Q63">
        <f>100*69231/149628</f>
        <v>46.26874649129842</v>
      </c>
      <c r="R63">
        <f>100*160619/404324</f>
        <v>39.72531929838446</v>
      </c>
      <c r="S63">
        <f>IF(COUNT(Q63:R63)=2,R63-Q63,"")</f>
        <v>-6.54342719291396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100*46985/480688</f>
        <v>9.774531504843058</v>
      </c>
      <c r="E64">
        <f>IF(COUNT(C64:D64)=2,D64-C64,"")</f>
        <v>-36.419337436752514</v>
      </c>
      <c r="H64">
        <v>26</v>
      </c>
      <c r="I64">
        <v>25</v>
      </c>
      <c r="J64">
        <f>100*93173/499879</f>
        <v>18.639110664780876</v>
      </c>
      <c r="K64">
        <f>100*94952/580829</f>
        <v>16.347668590927796</v>
      </c>
      <c r="L64">
        <f>IF(COUNT(J64:K64)=2,K64-J64,"")</f>
        <v>-2.29144207385308</v>
      </c>
      <c r="O64">
        <v>26</v>
      </c>
      <c r="P64">
        <v>25</v>
      </c>
      <c r="Q64">
        <f>100*287382/566887</f>
        <v>50.69475927301208</v>
      </c>
      <c r="R64">
        <f>100*245880/626669</f>
        <v>39.23602412118678</v>
      </c>
      <c r="S64">
        <f>IF(COUNT(Q64:R64)=2,R64-Q64,"")</f>
        <v>-11.458735151825302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100*140023/745955</f>
        <v>18.770971439295938</v>
      </c>
      <c r="E65">
        <f>IF(COUNT(C65:D65)=2,D65-C65,"")</f>
        <v>-6.494564800645332</v>
      </c>
      <c r="H65">
        <v>27</v>
      </c>
      <c r="I65">
        <v>26</v>
      </c>
      <c r="J65">
        <f>100*244313/656873</f>
        <v>37.19333874280112</v>
      </c>
      <c r="K65">
        <f>100*219269/785920</f>
        <v>27.899658998371336</v>
      </c>
      <c r="L65">
        <f>IF(COUNT(J65:K65)=2,K65-J65,"")</f>
        <v>-9.293679744429781</v>
      </c>
      <c r="O65">
        <v>27</v>
      </c>
      <c r="P65">
        <v>26</v>
      </c>
      <c r="Q65">
        <f>100*89767/349739</f>
        <v>25.6668544257289</v>
      </c>
      <c r="R65">
        <f>100*130238/415497</f>
        <v>31.345111998401915</v>
      </c>
      <c r="S65">
        <f>IF(COUNT(Q65:R65)=2,R65-Q65,"")</f>
        <v>5.678257572673015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100*112324/400072</f>
        <v>28.07594632966066</v>
      </c>
      <c r="E66">
        <f>IF(COUNT(C66:D66)=2,D66-C66,"")</f>
        <v>2.006218565138358</v>
      </c>
      <c r="H66">
        <v>28</v>
      </c>
      <c r="I66">
        <v>27</v>
      </c>
      <c r="J66">
        <f>100*138608/347102</f>
        <v>39.93293037781402</v>
      </c>
      <c r="K66">
        <f>100*78986/437737</f>
        <v>18.0441680735236</v>
      </c>
      <c r="L66">
        <f>IF(COUNT(J66:K66)=2,K66-J66,"")</f>
        <v>-21.888762304290417</v>
      </c>
      <c r="O66">
        <v>28</v>
      </c>
      <c r="P66">
        <v>27</v>
      </c>
      <c r="Q66">
        <f>100*334/323134</f>
        <v>0.10336269163876287</v>
      </c>
      <c r="R66">
        <f>100*3126/337089</f>
        <v>0.9273515303080195</v>
      </c>
      <c r="S66">
        <f>IF(COUNT(Q66:R66)=2,R66-Q66,"")</f>
        <v>0.8239888386692567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100*109616/494642</f>
        <v>22.160673780228933</v>
      </c>
      <c r="E67">
        <f>IF(COUNT(C67:D67)=2,D67-C67,"")</f>
        <v>-22.79311252694083</v>
      </c>
      <c r="H67">
        <v>29</v>
      </c>
      <c r="I67">
        <v>28</v>
      </c>
      <c r="J67">
        <f>100*198367/384779</f>
        <v>51.553489145717414</v>
      </c>
      <c r="K67">
        <f>100*160568/572525</f>
        <v>28.045587528928866</v>
      </c>
      <c r="L67">
        <f>IF(COUNT(J67:K67)=2,K67-J67,"")</f>
        <v>-23.507901616788548</v>
      </c>
      <c r="O67">
        <v>29</v>
      </c>
      <c r="P67">
        <v>28</v>
      </c>
      <c r="Q67">
        <f>100*145808/355081</f>
        <v>41.063306682137316</v>
      </c>
      <c r="R67">
        <f>100*164391/469145</f>
        <v>35.04055249443136</v>
      </c>
      <c r="S67">
        <f>IF(COUNT(Q67:R67)=2,R67-Q67,"")</f>
        <v>-6.0227541877059565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100*41830/460995</f>
        <v>9.073851126367964</v>
      </c>
      <c r="E68">
        <f>IF(COUNT(C68:D68)=2,D68-C68,"")</f>
        <v>5.21485904072663</v>
      </c>
      <c r="H68">
        <v>30</v>
      </c>
      <c r="I68">
        <v>29</v>
      </c>
      <c r="J68">
        <f>100*78716/427068</f>
        <v>18.431725158522763</v>
      </c>
      <c r="K68">
        <f>100*94468/572184</f>
        <v>16.510073682591614</v>
      </c>
      <c r="L68">
        <f>IF(COUNT(J68:K68)=2,K68-J68,"")</f>
        <v>-1.9216514759311494</v>
      </c>
      <c r="O68">
        <v>30</v>
      </c>
      <c r="P68">
        <v>29</v>
      </c>
      <c r="Q68">
        <f>100*234882/519580</f>
        <v>45.20612802648293</v>
      </c>
      <c r="R68">
        <f>100*228456/680289</f>
        <v>33.582198154019835</v>
      </c>
      <c r="S68">
        <f>IF(COUNT(Q68:R68)=2,R68-Q68,"")</f>
        <v>-11.623929872463094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100*61788/469421</f>
        <v>13.162598179459376</v>
      </c>
      <c r="E69">
        <f>IF(COUNT(C69:D69)=2,D69-C69,"")</f>
        <v>-12.419938110524338</v>
      </c>
      <c r="H69">
        <v>31</v>
      </c>
      <c r="I69">
        <v>30</v>
      </c>
      <c r="J69">
        <f>100*150446/466352</f>
        <v>32.26018115071877</v>
      </c>
      <c r="K69">
        <f>100*63893/689176</f>
        <v>9.270926439690296</v>
      </c>
      <c r="L69">
        <f>IF(COUNT(J69:K69)=2,K69-J69,"")</f>
        <v>-22.989254711028476</v>
      </c>
      <c r="O69">
        <v>31</v>
      </c>
      <c r="P69">
        <v>30</v>
      </c>
      <c r="Q69">
        <f>100*3881/600979</f>
        <v>0.6457796362268898</v>
      </c>
      <c r="R69">
        <f>100*68586/522722</f>
        <v>13.120932350274142</v>
      </c>
      <c r="S69">
        <f>IF(COUNT(Q69:R69)=2,R69-Q69,"")</f>
        <v>12.475152714047253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18.057617305159997</v>
      </c>
      <c r="E70">
        <f>IF(COUNT(E39:E69)&gt;0,AVERAGE(E39:E69),"")</f>
        <v>-13.785210395549544</v>
      </c>
      <c r="H70" t="s">
        <v>5</v>
      </c>
      <c r="J70">
        <f>IF(COUNT(J39:J69)&gt;0,AVERAGE(J39:J69),"")</f>
        <v>33.41421734972294</v>
      </c>
      <c r="K70">
        <f>IF(COUNT(K39:K69)&gt;0,AVERAGE(K39:K69),"")</f>
        <v>17.01230283761415</v>
      </c>
      <c r="L70">
        <f>IF(COUNT(L39:L69)&gt;0,AVERAGE(L39:L69),"")</f>
        <v>-15.89307628745414</v>
      </c>
      <c r="O70" t="s">
        <v>5</v>
      </c>
      <c r="Q70">
        <f>IF(COUNT(Q39:Q69)&gt;0,AVERAGE(Q39:Q69),"")</f>
        <v>33.06664971973761</v>
      </c>
      <c r="R70">
        <f>IF(COUNT(R39:R69)&gt;0,AVERAGE(R39:R69),"")</f>
        <v>25.828568411936768</v>
      </c>
      <c r="S70">
        <f>IF(COUNT(S39:S69)&gt;0,AVERAGE(S39:S69),"")</f>
        <v>-7.238081307800845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100*326865/909055</f>
        <v>35.95657028452624</v>
      </c>
      <c r="E75">
        <f>IF(COUNT(C75:D75)=2,D75-C75,"")</f>
        <v>-14.659000734649126</v>
      </c>
      <c r="H75">
        <v>1</v>
      </c>
      <c r="I75">
        <v>0</v>
      </c>
      <c r="J75">
        <f>100*432733/796677</f>
        <v>54.317245257488295</v>
      </c>
      <c r="K75">
        <f>100*235773/822435</f>
        <v>28.66767586496197</v>
      </c>
      <c r="L75">
        <f>IF(COUNT(J75:K75)=2,K75-J75,"")</f>
        <v>-25.649569392526324</v>
      </c>
      <c r="O75">
        <v>1</v>
      </c>
      <c r="P75">
        <v>0</v>
      </c>
      <c r="Q75">
        <f>100*20655/569971</f>
        <v>3.623868582787545</v>
      </c>
      <c r="R75">
        <f>100*35626/535928</f>
        <v>6.647534743473003</v>
      </c>
      <c r="S75">
        <f>IF(COUNT(Q75:R75)=2,R75-Q75,"")</f>
        <v>3.0236661606854582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100*223429/560160</f>
        <v>39.88663953156241</v>
      </c>
      <c r="E76">
        <f>IF(COUNT(C76:D76)=2,D76-C76,"")</f>
        <v>-11.08352673835487</v>
      </c>
      <c r="H76">
        <v>2</v>
      </c>
      <c r="I76">
        <v>1</v>
      </c>
      <c r="J76">
        <f>100*305577/591060</f>
        <v>51.69982742868744</v>
      </c>
      <c r="K76">
        <f>100*217117/563931</f>
        <v>38.50063216953847</v>
      </c>
      <c r="L76">
        <f>IF(COUNT(J76:K76)=2,K76-J76,"")</f>
        <v>-13.199195259148972</v>
      </c>
      <c r="O76">
        <v>2</v>
      </c>
      <c r="P76">
        <v>1</v>
      </c>
      <c r="Q76">
        <f>100*111778/257794</f>
        <v>43.35942651884838</v>
      </c>
      <c r="R76">
        <f>100*134610/367398</f>
        <v>36.63874054839711</v>
      </c>
      <c r="S76">
        <f>IF(COUNT(Q76:R76)=2,R76-Q76,"")</f>
        <v>-6.720685970451271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100*30196/397601</f>
        <v>7.594548303449941</v>
      </c>
      <c r="E77">
        <f>IF(COUNT(C77:D77)=2,D77-C77,"")</f>
        <v>3.343115507109083</v>
      </c>
      <c r="H77">
        <v>3</v>
      </c>
      <c r="I77">
        <v>2</v>
      </c>
      <c r="J77">
        <f>100*244646/584205</f>
        <v>41.87673847365223</v>
      </c>
      <c r="K77">
        <f>100*152670/836955</f>
        <v>18.241124074771044</v>
      </c>
      <c r="L77">
        <f>IF(COUNT(J77:K77)=2,K77-J77,"")</f>
        <v>-23.635614398881188</v>
      </c>
      <c r="O77">
        <v>3</v>
      </c>
      <c r="P77">
        <v>2</v>
      </c>
      <c r="Q77">
        <f>100*92329/194806</f>
        <v>47.395357432522616</v>
      </c>
      <c r="R77">
        <f>100*127682/314587</f>
        <v>40.587182559991355</v>
      </c>
      <c r="S77">
        <f>IF(COUNT(Q77:R77)=2,R77-Q77,"")</f>
        <v>-6.808174872531261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100*44755/661490</f>
        <v>6.765786330859121</v>
      </c>
      <c r="E78">
        <f>IF(COUNT(C78:D78)=2,D78-C78,"")</f>
        <v>-47.99818623965962</v>
      </c>
      <c r="H78">
        <v>4</v>
      </c>
      <c r="I78">
        <v>3</v>
      </c>
      <c r="J78">
        <f>100*316744/731828</f>
        <v>43.281208152735346</v>
      </c>
      <c r="K78">
        <f>100*39478/679566</f>
        <v>5.809295932992527</v>
      </c>
      <c r="L78">
        <f>IF(COUNT(J78:K78)=2,K78-J78,"")</f>
        <v>-37.47191221974282</v>
      </c>
      <c r="O78">
        <v>4</v>
      </c>
      <c r="P78">
        <v>3</v>
      </c>
      <c r="Q78">
        <f>100*240086/489338</f>
        <v>49.06342855040892</v>
      </c>
      <c r="R78">
        <f>100*333246/818742</f>
        <v>40.70219922759551</v>
      </c>
      <c r="S78">
        <f>IF(COUNT(Q78:R78)=2,R78-Q78,"")</f>
        <v>-8.361229322813415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100*148441/565477</f>
        <v>26.25058136758878</v>
      </c>
      <c r="E79">
        <f>IF(COUNT(C79:D79)=2,D79-C79,"")</f>
        <v>-9.902093984945218</v>
      </c>
      <c r="H79">
        <v>5</v>
      </c>
      <c r="I79">
        <v>4</v>
      </c>
      <c r="J79">
        <f>100*174388/383201</f>
        <v>45.50823197225477</v>
      </c>
      <c r="K79">
        <f>100*123468/419259</f>
        <v>29.449099482658692</v>
      </c>
      <c r="L79">
        <f>IF(COUNT(J79:K79)=2,K79-J79,"")</f>
        <v>-16.059132489596077</v>
      </c>
      <c r="O79">
        <v>5</v>
      </c>
      <c r="P79">
        <v>4</v>
      </c>
      <c r="Q79">
        <f>100*426762/872765</f>
        <v>48.89769869323357</v>
      </c>
      <c r="R79">
        <f>100*144472/790235</f>
        <v>18.28215657367745</v>
      </c>
      <c r="S79">
        <f>IF(COUNT(Q79:R79)=2,R79-Q79,"")</f>
        <v>-30.61554211955612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100*110584/534777</f>
        <v>20.67852581543335</v>
      </c>
      <c r="E80">
        <f>IF(COUNT(C80:D80)=2,D80-C80,"")</f>
        <v>-13.88270102184924</v>
      </c>
      <c r="H80">
        <v>6</v>
      </c>
      <c r="I80">
        <v>5</v>
      </c>
      <c r="J80">
        <f>100*124193/417286</f>
        <v>29.76208164184756</v>
      </c>
      <c r="K80">
        <f>100*173410/722216</f>
        <v>24.010822247083976</v>
      </c>
      <c r="L80">
        <f>IF(COUNT(J80:K80)=2,K80-J80,"")</f>
        <v>-5.751259394763583</v>
      </c>
      <c r="O80">
        <v>6</v>
      </c>
      <c r="P80">
        <v>5</v>
      </c>
      <c r="Q80">
        <f>100*275977/710313</f>
        <v>38.85287190294983</v>
      </c>
      <c r="R80">
        <f>100*262636/959464</f>
        <v>27.37320003668715</v>
      </c>
      <c r="S80">
        <f>IF(COUNT(Q80:R80)=2,R80-Q80,"")</f>
        <v>-11.479671866262677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100*163777/951620</f>
        <v>17.21033605851075</v>
      </c>
      <c r="E81">
        <f>IF(COUNT(C81:D81)=2,D81-C81,"")</f>
        <v>15.27666341526318</v>
      </c>
      <c r="H81">
        <v>7</v>
      </c>
      <c r="I81">
        <v>6</v>
      </c>
      <c r="J81">
        <f>100*4575/667678</f>
        <v>0.6852105356174683</v>
      </c>
      <c r="K81">
        <f>100*74612/747122</f>
        <v>9.98658853574115</v>
      </c>
      <c r="L81">
        <f>IF(COUNT(J81:K81)=2,K81-J81,"")</f>
        <v>9.301378000123682</v>
      </c>
      <c r="O81">
        <v>7</v>
      </c>
      <c r="P81">
        <v>6</v>
      </c>
      <c r="Q81">
        <f>100*256619/495194</f>
        <v>51.82191222026115</v>
      </c>
      <c r="R81">
        <f>100*122575/554644</f>
        <v>22.09976128832188</v>
      </c>
      <c r="S81">
        <f>IF(COUNT(Q81:R81)=2,R81-Q81,"")</f>
        <v>-29.722150931939268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100*1482/433809</f>
        <v>0.34162500086443576</v>
      </c>
      <c r="E82">
        <f>IF(COUNT(C82:D82)=2,D82-C82,"")</f>
        <v>-0.5390120248767312</v>
      </c>
      <c r="H82">
        <v>8</v>
      </c>
      <c r="I82">
        <v>7</v>
      </c>
      <c r="J82">
        <f>100*7536/581531</f>
        <v>1.2958896430284885</v>
      </c>
      <c r="K82">
        <f>100*1502/436476</f>
        <v>0.34411972250478834</v>
      </c>
      <c r="L82">
        <f>IF(COUNT(J82:K82)=2,K82-J82,"")</f>
        <v>-0.9517699205237002</v>
      </c>
      <c r="O82">
        <v>8</v>
      </c>
      <c r="P82">
        <v>7</v>
      </c>
      <c r="Q82">
        <f>100*168583/355732</f>
        <v>47.39045123857286</v>
      </c>
      <c r="R82">
        <f>100*226970/563986</f>
        <v>40.24390676364307</v>
      </c>
      <c r="S82">
        <f>IF(COUNT(Q82:R82)=2,R82-Q82,"")</f>
        <v>-7.14654447492979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100*236339/545136</f>
        <v>43.35413548178803</v>
      </c>
      <c r="E83">
        <f>IF(COUNT(C83:D83)=2,D83-C83,"")</f>
        <v>-8.399122918307633</v>
      </c>
      <c r="H83">
        <v>9</v>
      </c>
      <c r="I83">
        <v>8</v>
      </c>
      <c r="J83">
        <f>100*224416/408350</f>
        <v>54.95677727439696</v>
      </c>
      <c r="K83">
        <f>100*342996/791347</f>
        <v>43.343312099496174</v>
      </c>
      <c r="L83">
        <f>IF(COUNT(J83:K83)=2,K83-J83,"")</f>
        <v>-11.613465174900789</v>
      </c>
      <c r="O83">
        <v>9</v>
      </c>
      <c r="P83">
        <v>8</v>
      </c>
      <c r="Q83">
        <f>100*66103/140560</f>
        <v>47.02831531018782</v>
      </c>
      <c r="R83">
        <f>100*164244/366530</f>
        <v>44.81052028483344</v>
      </c>
      <c r="S83">
        <f>IF(COUNT(Q83:R83)=2,R83-Q83,"")</f>
        <v>-2.217795025354384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100*154460/955684</f>
        <v>16.16224609808263</v>
      </c>
      <c r="E84">
        <f>IF(COUNT(C84:D84)=2,D84-C84,"")</f>
        <v>0.765237854629726</v>
      </c>
      <c r="H84">
        <v>10</v>
      </c>
      <c r="I84">
        <v>9</v>
      </c>
      <c r="J84">
        <f>100*472599/885198</f>
        <v>53.389072275355346</v>
      </c>
      <c r="K84">
        <f>100*6987/719000</f>
        <v>0.9717663421418637</v>
      </c>
      <c r="L84">
        <f>IF(COUNT(J84:K84)=2,K84-J84,"")</f>
        <v>-52.417305933213484</v>
      </c>
      <c r="O84">
        <v>10</v>
      </c>
      <c r="P84">
        <v>9</v>
      </c>
      <c r="Q84">
        <f>100*6243/543809</f>
        <v>1.1480133649866038</v>
      </c>
      <c r="R84">
        <f>100*48138/471837</f>
        <v>10.20225204890672</v>
      </c>
      <c r="S84">
        <f>IF(COUNT(Q84:R84)=2,R84-Q84,"")</f>
        <v>9.054238683920117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100*131592/886808</f>
        <v>14.838837719100415</v>
      </c>
      <c r="E85">
        <f>IF(COUNT(C85:D85)=2,D85-C85,"")</f>
        <v>-36.4201589343737</v>
      </c>
      <c r="H85">
        <v>11</v>
      </c>
      <c r="I85">
        <v>10</v>
      </c>
      <c r="J85">
        <f>100*370148/619144</f>
        <v>59.783830578992934</v>
      </c>
      <c r="K85">
        <f>100*53252/842462</f>
        <v>6.320997267532541</v>
      </c>
      <c r="L85">
        <f>IF(COUNT(J85:K85)=2,K85-J85,"")</f>
        <v>-53.46283331146039</v>
      </c>
      <c r="O85">
        <v>11</v>
      </c>
      <c r="P85">
        <v>10</v>
      </c>
      <c r="Q85">
        <f>100*225999/413085</f>
        <v>54.71004756890228</v>
      </c>
      <c r="R85">
        <f>100*984/2874</f>
        <v>34.23799582463466</v>
      </c>
      <c r="S85">
        <f>IF(COUNT(Q85:R85)=2,R85-Q85,"")</f>
        <v>-20.472051744267624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100*293443/1055321</f>
        <v>27.806041953111897</v>
      </c>
      <c r="E86">
        <f>IF(COUNT(C86:D86)=2,D86-C86,"")</f>
        <v>-25.812172009201067</v>
      </c>
      <c r="H86">
        <v>12</v>
      </c>
      <c r="I86">
        <v>11</v>
      </c>
      <c r="J86">
        <f>100*303732/544372</f>
        <v>55.79493434636609</v>
      </c>
      <c r="K86">
        <f>100*15975/911931</f>
        <v>1.7517772726225997</v>
      </c>
      <c r="L86">
        <f>IF(COUNT(J86:K86)=2,K86-J86,"")</f>
        <v>-54.043157073743494</v>
      </c>
      <c r="O86">
        <v>12</v>
      </c>
      <c r="P86">
        <v>11</v>
      </c>
      <c r="Q86">
        <f>100*176887/390857</f>
        <v>45.25619344159117</v>
      </c>
      <c r="R86">
        <f>100*227887/490918</f>
        <v>46.42058347829984</v>
      </c>
      <c r="S86">
        <f>IF(COUNT(Q86:R86)=2,R86-Q86,"")</f>
        <v>1.1643900367086673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100*26028/642319</f>
        <v>4.052192135060617</v>
      </c>
      <c r="E87">
        <f>IF(COUNT(C87:D87)=2,D87-C87,"")</f>
        <v>2.4931732963523365</v>
      </c>
      <c r="H87">
        <v>13</v>
      </c>
      <c r="I87">
        <v>12</v>
      </c>
      <c r="J87">
        <f>100*302007/670149</f>
        <v>45.06564957942189</v>
      </c>
      <c r="K87">
        <f>100*377307/1222039</f>
        <v>30.875201200616345</v>
      </c>
      <c r="L87">
        <f>IF(COUNT(J87:K87)=2,K87-J87,"")</f>
        <v>-14.190448378805542</v>
      </c>
      <c r="O87">
        <v>13</v>
      </c>
      <c r="P87">
        <v>12</v>
      </c>
      <c r="Q87">
        <f>100*187062/769706</f>
        <v>24.30304557844164</v>
      </c>
      <c r="R87">
        <f>100*74070/521843</f>
        <v>14.193924226251957</v>
      </c>
      <c r="S87">
        <f>IF(COUNT(Q87:R87)=2,R87-Q87,"")</f>
        <v>-10.109121352189684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100*18746/420630</f>
        <v>4.456648360792145</v>
      </c>
      <c r="E88">
        <f>IF(COUNT(C88:D88)=2,D88-C88,"")</f>
        <v>-1.6147132391391725</v>
      </c>
      <c r="H88">
        <v>14</v>
      </c>
      <c r="I88">
        <v>13</v>
      </c>
      <c r="J88">
        <f>100*112082/470769</f>
        <v>23.808279644581525</v>
      </c>
      <c r="K88">
        <f>100*3871/515659</f>
        <v>0.7506898939027535</v>
      </c>
      <c r="L88">
        <f>IF(COUNT(J88:K88)=2,K88-J88,"")</f>
        <v>-23.057589750678773</v>
      </c>
      <c r="O88">
        <v>14</v>
      </c>
      <c r="P88">
        <v>13</v>
      </c>
      <c r="Q88">
        <f>100*77933/602059</f>
        <v>12.94441242469592</v>
      </c>
      <c r="R88">
        <f>100*29734/446075</f>
        <v>6.665695230622653</v>
      </c>
      <c r="S88">
        <f>IF(COUNT(Q88:R88)=2,R88-Q88,"")</f>
        <v>-6.278717194073266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100*384548/1110646</f>
        <v>34.623813528342964</v>
      </c>
      <c r="E89">
        <f>IF(COUNT(C89:D89)=2,D89-C89,"")</f>
        <v>14.070677918435138</v>
      </c>
      <c r="H89">
        <v>15</v>
      </c>
      <c r="I89">
        <v>14</v>
      </c>
      <c r="J89">
        <f>100*79792/480516</f>
        <v>16.605482439710645</v>
      </c>
      <c r="K89">
        <f>100*199924/722762</f>
        <v>27.661111126484236</v>
      </c>
      <c r="L89">
        <f>IF(COUNT(J89:K89)=2,K89-J89,"")</f>
        <v>11.055628686773591</v>
      </c>
      <c r="O89">
        <v>15</v>
      </c>
      <c r="P89">
        <v>14</v>
      </c>
      <c r="Q89">
        <f>100*175395/343809</f>
        <v>51.015243929042</v>
      </c>
      <c r="R89">
        <f>100*158533/360683</f>
        <v>43.953554783563405</v>
      </c>
      <c r="S89">
        <f>IF(COUNT(Q89:R89)=2,R89-Q89,"")</f>
        <v>-7.061689145478596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100*138814/804811</f>
        <v>17.24802469151142</v>
      </c>
      <c r="E90">
        <f>IF(COUNT(C90:D90)=2,D90-C90,"")</f>
        <v>-40.33794503432115</v>
      </c>
      <c r="H90">
        <v>16</v>
      </c>
      <c r="I90">
        <v>15</v>
      </c>
      <c r="J90">
        <f>100*331166/636513</f>
        <v>52.028159676235994</v>
      </c>
      <c r="K90">
        <f>100*199340/1001041</f>
        <v>19.913270285632656</v>
      </c>
      <c r="L90">
        <f>IF(COUNT(J90:K90)=2,K90-J90,"")</f>
        <v>-32.11488939060334</v>
      </c>
      <c r="O90">
        <v>16</v>
      </c>
      <c r="P90">
        <v>15</v>
      </c>
      <c r="Q90">
        <f>100*123775/294038</f>
        <v>42.0948992987301</v>
      </c>
      <c r="R90">
        <f>100*208794/567819</f>
        <v>36.771224633201776</v>
      </c>
      <c r="S90">
        <f>IF(COUNT(Q90:R90)=2,R90-Q90,"")</f>
        <v>-5.323674665528323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100*135519/645076</f>
        <v>21.00822228698634</v>
      </c>
      <c r="E91">
        <f>IF(COUNT(C91:D91)=2,D91-C91,"")</f>
        <v>-20.12379266363788</v>
      </c>
      <c r="H91">
        <v>17</v>
      </c>
      <c r="I91">
        <v>16</v>
      </c>
      <c r="J91">
        <f>100*2558/107131</f>
        <v>2.3877309088872503</v>
      </c>
      <c r="K91">
        <f>100*172952/652756</f>
        <v>26.495658408348604</v>
      </c>
      <c r="L91">
        <f>IF(COUNT(J91:K91)=2,K91-J91,"")</f>
        <v>24.107927499461354</v>
      </c>
      <c r="O91">
        <v>17</v>
      </c>
      <c r="P91">
        <v>16</v>
      </c>
      <c r="Q91">
        <f>100*18236/388369</f>
        <v>4.695534401561401</v>
      </c>
      <c r="R91">
        <f>100*11672/420031</f>
        <v>2.7788425140049187</v>
      </c>
      <c r="S91">
        <f>IF(COUNT(Q91:R91)=2,R91-Q91,"")</f>
        <v>-1.9166918875564827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100*119988/949023</f>
        <v>12.643318444336966</v>
      </c>
      <c r="E92">
        <f>IF(COUNT(C92:D92)=2,D92-C92,"")</f>
        <v>-38.87100913774549</v>
      </c>
      <c r="H92">
        <v>18</v>
      </c>
      <c r="I92">
        <v>17</v>
      </c>
      <c r="K92">
        <f>100*189547/862553</f>
        <v>21.97511341332069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100*9308/472060</f>
        <v>1.971783247892217</v>
      </c>
      <c r="S92">
        <f>IF(COUNT(Q92:R92)=2,R92-Q92,"")</f>
        <v>-16.042139799827442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100*139570/597905</f>
        <v>23.343173246585994</v>
      </c>
      <c r="E93">
        <f>IF(COUNT(C93:D93)=2,D93-C93,"")</f>
        <v>-25.765315954114204</v>
      </c>
      <c r="H93">
        <v>19</v>
      </c>
      <c r="I93">
        <v>18</v>
      </c>
      <c r="J93">
        <f>100*98670/626756</f>
        <v>15.742968555546337</v>
      </c>
      <c r="K93">
        <f>100*22394/460519</f>
        <v>4.8627743915017625</v>
      </c>
      <c r="L93">
        <f>IF(COUNT(J93:K93)=2,K93-J93,"")</f>
        <v>-10.880194164044575</v>
      </c>
      <c r="O93">
        <v>19</v>
      </c>
      <c r="P93">
        <v>18</v>
      </c>
      <c r="Q93">
        <f>100*176507/342598</f>
        <v>51.52014897927017</v>
      </c>
      <c r="R93">
        <f>100*288519/671107</f>
        <v>42.99150508041192</v>
      </c>
      <c r="S93">
        <f>IF(COUNT(Q93:R93)=2,R93-Q93,"")</f>
        <v>-8.528643898858249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100*156244/762260</f>
        <v>20.497468055519114</v>
      </c>
      <c r="E94">
        <f>IF(COUNT(C94:D94)=2,D94-C94,"")</f>
        <v>-29.684407872991734</v>
      </c>
      <c r="H94">
        <v>20</v>
      </c>
      <c r="I94">
        <v>19</v>
      </c>
      <c r="J94">
        <f>100*63724/294932</f>
        <v>21.606336375842567</v>
      </c>
      <c r="K94">
        <f>100*181295/814005</f>
        <v>22.271976216362308</v>
      </c>
      <c r="L94">
        <f>IF(COUNT(J94:K94)=2,K94-J94,"")</f>
        <v>0.6656398405197415</v>
      </c>
      <c r="O94">
        <v>20</v>
      </c>
      <c r="P94">
        <v>19</v>
      </c>
      <c r="Q94">
        <f>100*271008/594768</f>
        <v>45.565329674763944</v>
      </c>
      <c r="R94">
        <f>100*226231/890605</f>
        <v>25.401945868258093</v>
      </c>
      <c r="S94">
        <f>IF(COUNT(Q94:R94)=2,R94-Q94,"")</f>
        <v>-20.163383806505852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100*3690/232664</f>
        <v>1.58597806278582</v>
      </c>
      <c r="E95">
        <f>IF(COUNT(C95:D95)=2,D95-C95,"")</f>
        <v>-53.11972343688965</v>
      </c>
      <c r="H95">
        <v>21</v>
      </c>
      <c r="I95">
        <v>20</v>
      </c>
      <c r="J95">
        <f>100*465002/826011</f>
        <v>56.29489195664465</v>
      </c>
      <c r="K95">
        <f>100*363183/812054</f>
        <v>44.723996187445664</v>
      </c>
      <c r="L95">
        <f>IF(COUNT(J95:K95)=2,K95-J95,"")</f>
        <v>-11.570895769198984</v>
      </c>
      <c r="O95">
        <v>21</v>
      </c>
      <c r="P95">
        <v>20</v>
      </c>
      <c r="Q95">
        <f>100*230728/471359</f>
        <v>48.9495267938026</v>
      </c>
      <c r="R95">
        <f>100*161914/524245</f>
        <v>30.88517773178571</v>
      </c>
      <c r="S95">
        <f>IF(COUNT(Q95:R95)=2,R95-Q95,"")</f>
        <v>-18.064349062016888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100*77409/230947</f>
        <v>33.518079905779246</v>
      </c>
      <c r="E96">
        <f>IF(COUNT(C96:D96)=2,D96-C96,"")</f>
        <v>-7.538718064888741</v>
      </c>
      <c r="H96">
        <v>22</v>
      </c>
      <c r="I96">
        <v>21</v>
      </c>
      <c r="J96">
        <f>100*144864/290419</f>
        <v>49.881033954390034</v>
      </c>
      <c r="K96">
        <f>100*64793/170177</f>
        <v>38.073887775668865</v>
      </c>
      <c r="L96">
        <f>IF(COUNT(J96:K96)=2,K96-J96,"")</f>
        <v>-11.807146178721169</v>
      </c>
      <c r="O96">
        <v>22</v>
      </c>
      <c r="P96">
        <v>21</v>
      </c>
      <c r="Q96">
        <f>100*25278/69101</f>
        <v>36.58123616156061</v>
      </c>
      <c r="R96">
        <f>100*162832/405508</f>
        <v>40.155064758278506</v>
      </c>
      <c r="S96">
        <f>IF(COUNT(Q96:R96)=2,R96-Q96,"")</f>
        <v>3.5738285967178953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100*330088/864358</f>
        <v>38.18880602713227</v>
      </c>
      <c r="E97">
        <f>IF(COUNT(C97:D97)=2,D97-C97,"")</f>
        <v>-5.294496244868498</v>
      </c>
      <c r="H97">
        <v>23</v>
      </c>
      <c r="I97">
        <v>22</v>
      </c>
      <c r="J97">
        <f>100*455714/839395</f>
        <v>54.29076894668184</v>
      </c>
      <c r="K97">
        <f>100*406284/1012763</f>
        <v>40.11639445753843</v>
      </c>
      <c r="L97">
        <f>IF(COUNT(J97:K97)=2,K97-J97,"")</f>
        <v>-14.174374489143403</v>
      </c>
      <c r="O97">
        <v>23</v>
      </c>
      <c r="P97">
        <v>22</v>
      </c>
      <c r="Q97">
        <f>100*745/388450</f>
        <v>0.1917878748873729</v>
      </c>
      <c r="R97">
        <f>100*5070/352065</f>
        <v>1.4400749861531252</v>
      </c>
      <c r="S97">
        <f>IF(COUNT(Q97:R97)=2,R97-Q97,"")</f>
        <v>1.2482871112657523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100*148234/730318</f>
        <v>20.297185609556387</v>
      </c>
      <c r="E98">
        <f>IF(COUNT(C98:D98)=2,D98-C98,"")</f>
        <v>-5.983584405871124</v>
      </c>
      <c r="H98">
        <v>24</v>
      </c>
      <c r="I98">
        <v>23</v>
      </c>
      <c r="J98">
        <f>100*361494/762974</f>
        <v>47.37959615924002</v>
      </c>
      <c r="K98">
        <f>100*18846/722077</f>
        <v>2.6099709587758646</v>
      </c>
      <c r="L98">
        <f>IF(COUNT(J98:K98)=2,K98-J98,"")</f>
        <v>-44.76962520046416</v>
      </c>
      <c r="O98">
        <v>24</v>
      </c>
      <c r="P98">
        <v>23</v>
      </c>
      <c r="Q98">
        <f>100*292810/722778</f>
        <v>40.51174772890155</v>
      </c>
      <c r="R98">
        <f>100*195263/951366</f>
        <v>20.52448794680491</v>
      </c>
      <c r="S98">
        <f>IF(COUNT(Q98:R98)=2,R98-Q98,"")</f>
        <v>-19.987259782096636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100*250871/1161603</f>
        <v>21.59696557257514</v>
      </c>
      <c r="E99">
        <f>IF(COUNT(C99:D99)=2,D99-C99,"")</f>
        <v>-20.971105525154247</v>
      </c>
      <c r="H99">
        <v>25</v>
      </c>
      <c r="I99">
        <v>24</v>
      </c>
      <c r="J99">
        <f>100*297339/579923</f>
        <v>51.27215164771875</v>
      </c>
      <c r="K99">
        <f>100*66462/844675</f>
        <v>7.868351732915026</v>
      </c>
      <c r="L99">
        <f>IF(COUNT(J99:K99)=2,K99-J99,"")</f>
        <v>-43.40379991480373</v>
      </c>
      <c r="O99">
        <v>25</v>
      </c>
      <c r="P99">
        <v>24</v>
      </c>
      <c r="Q99">
        <f>100*194348/434877</f>
        <v>44.69033772767932</v>
      </c>
      <c r="R99">
        <f>100*188381/440518</f>
        <v>42.76351931135618</v>
      </c>
      <c r="S99">
        <f>IF(COUNT(Q99:R99)=2,R99-Q99,"")</f>
        <v>-1.9268184163231439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100*165327/733518</f>
        <v>22.53891520044498</v>
      </c>
      <c r="E100">
        <f>IF(COUNT(C100:D100)=2,D100-C100,"")</f>
        <v>-37.04904908663559</v>
      </c>
      <c r="H100">
        <v>26</v>
      </c>
      <c r="I100">
        <v>25</v>
      </c>
      <c r="J100">
        <f>100*30617/503886</f>
        <v>6.076175960435496</v>
      </c>
      <c r="K100">
        <f>100*152723/779616</f>
        <v>19.589515864220335</v>
      </c>
      <c r="L100">
        <f>IF(COUNT(J100:K100)=2,K100-J100,"")</f>
        <v>13.51333990378484</v>
      </c>
      <c r="O100">
        <v>26</v>
      </c>
      <c r="P100">
        <v>25</v>
      </c>
      <c r="Q100">
        <f>100*196342/383537</f>
        <v>51.19245340084529</v>
      </c>
      <c r="R100">
        <f>100*323012/763110</f>
        <v>42.328366814744925</v>
      </c>
      <c r="S100">
        <f>IF(COUNT(Q100:R100)=2,R100-Q100,"")</f>
        <v>-8.864086586100363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100*305565/904321</f>
        <v>33.78943981174826</v>
      </c>
      <c r="E101">
        <f>IF(COUNT(C101:D101)=2,D101-C101,"")</f>
        <v>15.339525660419703</v>
      </c>
      <c r="H101">
        <v>27</v>
      </c>
      <c r="I101">
        <v>26</v>
      </c>
      <c r="J101">
        <f>100*110948/559494</f>
        <v>19.830060733448438</v>
      </c>
      <c r="K101">
        <f>100*272762/803037</f>
        <v>33.96630541307561</v>
      </c>
      <c r="L101">
        <f>IF(COUNT(J101:K101)=2,K101-J101,"")</f>
        <v>14.136244679627172</v>
      </c>
      <c r="O101">
        <v>27</v>
      </c>
      <c r="P101">
        <v>26</v>
      </c>
      <c r="Q101">
        <f>100*186316/322263</f>
        <v>57.81489032250057</v>
      </c>
      <c r="R101">
        <f>100*158595/490601</f>
        <v>32.32667687183679</v>
      </c>
      <c r="S101">
        <f>IF(COUNT(Q101:R101)=2,R101-Q101,"")</f>
        <v>-25.48821345066378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100*162112/598901</f>
        <v>27.06824667182055</v>
      </c>
      <c r="E102">
        <f>IF(COUNT(C102:D102)=2,D102-C102,"")</f>
        <v>-1.5259320816094792</v>
      </c>
      <c r="H102">
        <v>28</v>
      </c>
      <c r="I102">
        <v>27</v>
      </c>
      <c r="J102">
        <f>100*139061/401357</f>
        <v>34.6477076517913</v>
      </c>
      <c r="K102">
        <f>100*210372/684876</f>
        <v>30.71680128957651</v>
      </c>
      <c r="L102">
        <f>IF(COUNT(J102:K102)=2,K102-J102,"")</f>
        <v>-3.9309063622147917</v>
      </c>
      <c r="O102">
        <v>28</v>
      </c>
      <c r="P102">
        <v>27</v>
      </c>
      <c r="Q102">
        <f>100*1759/765634</f>
        <v>0.22974423810854794</v>
      </c>
      <c r="R102">
        <f>100*593/381682</f>
        <v>0.15536493730382883</v>
      </c>
      <c r="S102">
        <f>IF(COUNT(Q102:R102)=2,R102-Q102,"")</f>
        <v>-0.0743793008047191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100*212879/875264</f>
        <v>24.321690369991227</v>
      </c>
      <c r="E103">
        <f>IF(COUNT(C103:D103)=2,D103-C103,"")</f>
        <v>-26.84480127562561</v>
      </c>
      <c r="H103">
        <v>29</v>
      </c>
      <c r="I103">
        <v>28</v>
      </c>
      <c r="J103">
        <f>100*239541/426383</f>
        <v>56.17977264571993</v>
      </c>
      <c r="K103">
        <f>100*271168/697192</f>
        <v>38.89430745045841</v>
      </c>
      <c r="L103">
        <f>IF(COUNT(J103:K103)=2,K103-J103,"")</f>
        <v>-17.285465195261516</v>
      </c>
      <c r="O103">
        <v>29</v>
      </c>
      <c r="P103">
        <v>28</v>
      </c>
      <c r="Q103">
        <f>100*180468/321414</f>
        <v>56.14814538259068</v>
      </c>
      <c r="R103">
        <f>100*214378/557030</f>
        <v>38.48589842557851</v>
      </c>
      <c r="S103">
        <f>IF(COUNT(Q103:R103)=2,R103-Q103,"")</f>
        <v>-17.662246957012165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100*2984/443216</f>
        <v>0.6732608931085521</v>
      </c>
      <c r="E104">
        <f>IF(COUNT(C104:D104)=2,D104-C104,"")</f>
        <v>-0.729834140804288</v>
      </c>
      <c r="H104">
        <v>30</v>
      </c>
      <c r="I104">
        <v>29</v>
      </c>
      <c r="J104">
        <f>100*176819/628999</f>
        <v>28.111173467684367</v>
      </c>
      <c r="K104">
        <f>100*10064/652747</f>
        <v>1.5417918427813533</v>
      </c>
      <c r="L104">
        <f>IF(COUNT(J104:K104)=2,K104-J104,"")</f>
        <v>-26.569381624903013</v>
      </c>
      <c r="O104">
        <v>30</v>
      </c>
      <c r="P104">
        <v>29</v>
      </c>
      <c r="Q104">
        <f>100*273685/521227</f>
        <v>52.5078324798984</v>
      </c>
      <c r="R104">
        <f>100*366655/807197</f>
        <v>45.42323621123468</v>
      </c>
      <c r="S104">
        <f>IF(COUNT(Q104:R104)=2,R104-Q104,"")</f>
        <v>-7.0845962686637165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100*85679/628781</f>
        <v>13.62620689874535</v>
      </c>
      <c r="E105">
        <f>IF(COUNT(C105:D105)=2,D105-C105,"")</f>
        <v>-25.866951073433796</v>
      </c>
      <c r="H105">
        <v>31</v>
      </c>
      <c r="I105">
        <v>30</v>
      </c>
      <c r="J105">
        <f>100*69915/403117</f>
        <v>17.343599997023198</v>
      </c>
      <c r="K105">
        <f>100*200789/705768</f>
        <v>28.44971718751771</v>
      </c>
      <c r="L105">
        <f>IF(COUNT(J105:K105)=2,K105-J105,"")</f>
        <v>11.106117190494512</v>
      </c>
      <c r="O105">
        <v>31</v>
      </c>
      <c r="P105">
        <v>30</v>
      </c>
      <c r="Q105">
        <f>100*141232/628600</f>
        <v>22.467706013363028</v>
      </c>
      <c r="R105">
        <f>100*13420/811997</f>
        <v>1.6527154656975334</v>
      </c>
      <c r="S105">
        <f>IF(COUNT(Q105:R105)=2,R105-Q105,"")</f>
        <v>-20.814990547665495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20.3846293457323</v>
      </c>
      <c r="E106">
        <f>IF(COUNT(E75:E105)&gt;0,AVERAGE(E75:E105),"")</f>
        <v>-14.797708393281896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20.927549874457707</v>
      </c>
      <c r="L106">
        <f>IF(COUNT(L75:L105)&gt;0,AVERAGE(L75:L105),"")</f>
        <v>-15.470788506218632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27.068228787852988</v>
      </c>
      <c r="S106">
        <f>IF(COUNT(S75:S105)&gt;0,AVERAGE(S75:S105),"")</f>
        <v>-9.705497995489443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F8F6-3B8D-4726-8776-C031942D7746}">
  <dimension ref="A1:S106"/>
  <sheetViews>
    <sheetView topLeftCell="A58" workbookViewId="0">
      <selection activeCell="A73" sqref="A73:XFD73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100*75459/493763</f>
        <v>15.282433070116635</v>
      </c>
      <c r="E3">
        <f>IF(COUNT(C3:D3)=2,D3-C3,"")</f>
        <v>-19.742567153498964</v>
      </c>
      <c r="H3">
        <v>1</v>
      </c>
      <c r="I3">
        <v>0</v>
      </c>
      <c r="J3">
        <f>100*58251/215009</f>
        <v>27.09235427354204</v>
      </c>
      <c r="K3">
        <f>100*73641/368625</f>
        <v>19.977212614445573</v>
      </c>
      <c r="L3">
        <f>IF(COUNT(J3:K3)=2,K3-J3,"")</f>
        <v>-7.115141659096466</v>
      </c>
      <c r="O3">
        <v>1</v>
      </c>
      <c r="P3">
        <v>0</v>
      </c>
      <c r="Q3">
        <f>100*45645/291867</f>
        <v>15.638972545714315</v>
      </c>
      <c r="R3">
        <f>100*55009/379261</f>
        <v>14.504259599589728</v>
      </c>
      <c r="S3">
        <f>IF(COUNT(Q3:R3)=2,R3-Q3,"")</f>
        <v>-1.134712946124587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100*60846/279950</f>
        <v>21.73459546347562</v>
      </c>
      <c r="E4">
        <f>IF(COUNT(C4:D4)=2,D4-C4,"")</f>
        <v>-16.058364592582024</v>
      </c>
      <c r="H4">
        <v>2</v>
      </c>
      <c r="I4">
        <v>1</v>
      </c>
      <c r="J4">
        <f>100*64971/296332</f>
        <v>21.925070529001257</v>
      </c>
      <c r="K4">
        <f>100*41423/298023</f>
        <v>13.899262808575177</v>
      </c>
      <c r="L4">
        <f>IF(COUNT(J4:K4)=2,K4-J4,"")</f>
        <v>-8.02580772042608</v>
      </c>
      <c r="O4">
        <v>2</v>
      </c>
      <c r="P4">
        <v>1</v>
      </c>
      <c r="Q4">
        <f>100*75288/157455</f>
        <v>47.81556635229113</v>
      </c>
      <c r="R4">
        <f>100*40327/134010</f>
        <v>30.092530408178494</v>
      </c>
      <c r="S4">
        <f>IF(COUNT(Q4:R4)=2,R4-Q4,"")</f>
        <v>-17.723035944112635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100*81332/508021</f>
        <v>16.009574407357174</v>
      </c>
      <c r="E5">
        <f>IF(COUNT(C5:D5)=2,D5-C5,"")</f>
        <v>-22.21169683947031</v>
      </c>
      <c r="H5">
        <v>3</v>
      </c>
      <c r="I5">
        <v>2</v>
      </c>
      <c r="J5">
        <f>100*62705/328831</f>
        <v>19.069065872743142</v>
      </c>
      <c r="K5">
        <f>100*32638/445003</f>
        <v>7.334332577533186</v>
      </c>
      <c r="L5">
        <f>IF(COUNT(J5:K5)=2,K5-J5,"")</f>
        <v>-11.734733295209956</v>
      </c>
      <c r="O5">
        <v>3</v>
      </c>
      <c r="P5">
        <v>2</v>
      </c>
      <c r="Q5">
        <f>100*141348/334791</f>
        <v>42.21977293296415</v>
      </c>
      <c r="R5">
        <f>100*89178/378091</f>
        <v>23.586385288197814</v>
      </c>
      <c r="S5">
        <f>IF(COUNT(Q5:R5)=2,R5-Q5,"")</f>
        <v>-18.633387644766334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100*34451/445917</f>
        <v>7.725877237243703</v>
      </c>
      <c r="E6">
        <f>IF(COUNT(C6:D6)=2,D6-C6,"")</f>
        <v>4.248288830609294</v>
      </c>
      <c r="H6">
        <v>4</v>
      </c>
      <c r="I6">
        <v>3</v>
      </c>
      <c r="J6">
        <f>100*69099/464767</f>
        <v>14.867449711360747</v>
      </c>
      <c r="K6">
        <f>100*21735/384967</f>
        <v>5.6459384830388055</v>
      </c>
      <c r="L6">
        <f>IF(COUNT(J6:K6)=2,K6-J6,"")</f>
        <v>-9.22151122832194</v>
      </c>
      <c r="O6">
        <v>4</v>
      </c>
      <c r="P6">
        <v>3</v>
      </c>
      <c r="Q6">
        <f>100*182044/470083</f>
        <v>38.72592712350798</v>
      </c>
      <c r="R6">
        <f>100*18927/463666</f>
        <v>4.082033187682513</v>
      </c>
      <c r="S6">
        <f>IF(COUNT(Q6:R6)=2,R6-Q6,"")</f>
        <v>-34.64389393582547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100*88231/321637</f>
        <v>27.43185640955487</v>
      </c>
      <c r="E7">
        <f>IF(COUNT(C7:D7)=2,D7-C7,"")</f>
        <v>-9.878300257086028</v>
      </c>
      <c r="H7">
        <v>5</v>
      </c>
      <c r="I7">
        <v>4</v>
      </c>
      <c r="J7">
        <f>100*106457/411240</f>
        <v>25.88683007489544</v>
      </c>
      <c r="K7">
        <f>100*98061/440371</f>
        <v>22.267815092274468</v>
      </c>
      <c r="L7">
        <f>IF(COUNT(J7:K7)=2,K7-J7,"")</f>
        <v>-3.619014982620971</v>
      </c>
      <c r="O7">
        <v>5</v>
      </c>
      <c r="P7">
        <v>4</v>
      </c>
      <c r="Q7">
        <f>100*154964/442048</f>
        <v>35.055921528883744</v>
      </c>
      <c r="R7">
        <f>100*33071/427623</f>
        <v>7.733681303391071</v>
      </c>
      <c r="S7">
        <f>IF(COUNT(Q7:R7)=2,R7-Q7,"")</f>
        <v>-27.32224022549267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100*58048/397441</f>
        <v>14.605438291469678</v>
      </c>
      <c r="E8">
        <f>IF(COUNT(C8:D8)=2,D8-C8,"")</f>
        <v>-6.385648822026823</v>
      </c>
      <c r="H8">
        <v>6</v>
      </c>
      <c r="I8">
        <v>5</v>
      </c>
      <c r="J8">
        <f>100*91696/324059</f>
        <v>28.29608188632317</v>
      </c>
      <c r="K8">
        <f>100*79846/348790</f>
        <v>22.892284755870296</v>
      </c>
      <c r="L8">
        <f>IF(COUNT(J8:K8)=2,K8-J8,"")</f>
        <v>-5.4037971304528725</v>
      </c>
      <c r="O8">
        <v>6</v>
      </c>
      <c r="P8">
        <v>5</v>
      </c>
      <c r="Q8">
        <f>100*114455/487242</f>
        <v>23.49038055011678</v>
      </c>
      <c r="R8">
        <f>100*101301/500119</f>
        <v>20.255379219745702</v>
      </c>
      <c r="S8">
        <f>IF(COUNT(Q8:R8)=2,R8-Q8,"")</f>
        <v>-3.2350013303710767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100*28274/446070</f>
        <v>6.338467056739973</v>
      </c>
      <c r="E9">
        <f>IF(COUNT(C9:D9)=2,D9-C9,"")</f>
        <v>-15.119290935566074</v>
      </c>
      <c r="H9">
        <v>7</v>
      </c>
      <c r="I9">
        <v>6</v>
      </c>
      <c r="J9">
        <f>100*2956/325191</f>
        <v>0.9090042467349957</v>
      </c>
      <c r="K9">
        <f>100*1998/298397</f>
        <v>0.6695777772564737</v>
      </c>
      <c r="L9">
        <f>IF(COUNT(J9:K9)=2,K9-J9,"")</f>
        <v>-0.23942646947852197</v>
      </c>
      <c r="O9">
        <v>7</v>
      </c>
      <c r="P9">
        <v>6</v>
      </c>
      <c r="Q9">
        <f>100*198686/446837</f>
        <v>44.46498387555194</v>
      </c>
      <c r="R9">
        <f>100*93496/480754</f>
        <v>19.447784105800473</v>
      </c>
      <c r="S9">
        <f>IF(COUNT(Q9:R9)=2,R9-Q9,"")</f>
        <v>-25.017199769751464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100*2631/352049</f>
        <v>0.7473391488116711</v>
      </c>
      <c r="E10">
        <f>IF(COUNT(C10:D10)=2,D10-C10,"")</f>
        <v>0.3436951099051729</v>
      </c>
      <c r="H10">
        <v>8</v>
      </c>
      <c r="I10">
        <v>7</v>
      </c>
      <c r="J10">
        <f>100*1179/376958</f>
        <v>0.31276693955294754</v>
      </c>
      <c r="K10">
        <f>100*10840/396868</f>
        <v>2.731386758317627</v>
      </c>
      <c r="L10">
        <f>IF(COUNT(J10:K10)=2,K10-J10,"")</f>
        <v>2.4186198187646797</v>
      </c>
      <c r="O10">
        <v>8</v>
      </c>
      <c r="P10">
        <v>7</v>
      </c>
      <c r="Q10">
        <f>100*140584/308785</f>
        <v>45.52811826999368</v>
      </c>
      <c r="R10">
        <f>100*91458/338842</f>
        <v>26.991341097030475</v>
      </c>
      <c r="S10">
        <f>IF(COUNT(Q10:R10)=2,R10-Q10,"")</f>
        <v>-18.53677717296321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100*168074/493453</f>
        <v>34.060792010586624</v>
      </c>
      <c r="E11">
        <f>IF(COUNT(C11:D11)=2,D11-C11,"")</f>
        <v>-4.44400133162214</v>
      </c>
      <c r="H11">
        <v>9</v>
      </c>
      <c r="I11">
        <v>8</v>
      </c>
      <c r="J11">
        <f>100*144131/422295</f>
        <v>34.13040646941119</v>
      </c>
      <c r="K11">
        <f>100*125872/473701</f>
        <v>26.572035946725887</v>
      </c>
      <c r="L11">
        <f>IF(COUNT(J11:K11)=2,K11-J11,"")</f>
        <v>-7.558370522685305</v>
      </c>
      <c r="O11">
        <v>9</v>
      </c>
      <c r="P11">
        <v>8</v>
      </c>
      <c r="Q11">
        <f>100*85958/184662</f>
        <v>46.54882975382049</v>
      </c>
      <c r="R11">
        <f>100*51641/156532</f>
        <v>32.99069838755015</v>
      </c>
      <c r="S11">
        <f>IF(COUNT(Q11:R11)=2,R11-Q11,"")</f>
        <v>-13.558131366270345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100*18758/404010</f>
        <v>4.642954382317269</v>
      </c>
      <c r="E12">
        <f>IF(COUNT(C12:D12)=2,D12-C12,"")</f>
        <v>-13.51055096671496</v>
      </c>
      <c r="H12">
        <v>10</v>
      </c>
      <c r="I12">
        <v>9</v>
      </c>
      <c r="J12">
        <f>100*71311/426052</f>
        <v>16.737628270727516</v>
      </c>
      <c r="K12">
        <f>100*29028/323414</f>
        <v>8.97549271212749</v>
      </c>
      <c r="L12">
        <f>IF(COUNT(J12:K12)=2,K12-J12,"")</f>
        <v>-7.762135558600026</v>
      </c>
      <c r="O12">
        <v>10</v>
      </c>
      <c r="P12">
        <v>9</v>
      </c>
      <c r="Q12">
        <f>100*199032/643646</f>
        <v>30.922587882158826</v>
      </c>
      <c r="R12">
        <f>100*11629/463390</f>
        <v>2.50954919182546</v>
      </c>
      <c r="S12">
        <f>IF(COUNT(Q12:R12)=2,R12-Q12,"")</f>
        <v>-28.413038690333366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100*112788/619657</f>
        <v>18.201682543729838</v>
      </c>
      <c r="E13">
        <f>IF(COUNT(C13:D13)=2,D13-C13,"")</f>
        <v>17.474706355002027</v>
      </c>
      <c r="H13">
        <v>11</v>
      </c>
      <c r="I13">
        <v>10</v>
      </c>
      <c r="J13">
        <f>100*28276/544111</f>
        <v>5.196733754693436</v>
      </c>
      <c r="K13">
        <f>100*40606/561904</f>
        <v>7.226501324069592</v>
      </c>
      <c r="L13">
        <f>IF(COUNT(J13:K13)=2,K13-J13,"")</f>
        <v>2.0297675693761565</v>
      </c>
      <c r="O13">
        <v>11</v>
      </c>
      <c r="P13">
        <v>10</v>
      </c>
      <c r="Q13">
        <f>100*136848/421678</f>
        <v>32.453198886354045</v>
      </c>
      <c r="R13">
        <f>100*152902/540210</f>
        <v>28.304178004849966</v>
      </c>
      <c r="S13">
        <f>IF(COUNT(Q13:R13)=2,R13-Q13,"")</f>
        <v>-4.149020881504079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100*43794/479202</f>
        <v>9.13894349355804</v>
      </c>
      <c r="E14">
        <f>IF(COUNT(C14:D14)=2,D14-C14,"")</f>
        <v>-29.106907399548845</v>
      </c>
      <c r="H14">
        <v>12</v>
      </c>
      <c r="I14">
        <v>11</v>
      </c>
      <c r="J14">
        <f>100*18702/461148</f>
        <v>4.05553097920841</v>
      </c>
      <c r="K14">
        <f>100*31592/526468</f>
        <v>6.000744584666115</v>
      </c>
      <c r="L14">
        <f>IF(COUNT(J14:K14)=2,K14-J14,"")</f>
        <v>1.9452136054577043</v>
      </c>
      <c r="O14">
        <v>12</v>
      </c>
      <c r="P14">
        <v>11</v>
      </c>
      <c r="Q14">
        <f>100*91935/209068</f>
        <v>43.973731034878604</v>
      </c>
      <c r="R14">
        <f>100*97165/337654</f>
        <v>28.776499019706563</v>
      </c>
      <c r="S14">
        <f>IF(COUNT(Q14:R14)=2,R14-Q14,"")</f>
        <v>-15.197232015172041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100*47482/547306</f>
        <v>8.675585504270007</v>
      </c>
      <c r="E15">
        <f>IF(COUNT(C15:D15)=2,D15-C15,"")</f>
        <v>0.8963194590907708</v>
      </c>
      <c r="H15">
        <v>13</v>
      </c>
      <c r="I15">
        <v>12</v>
      </c>
      <c r="J15">
        <f>100*226380/535721</f>
        <v>42.25707037805126</v>
      </c>
      <c r="K15">
        <f>100*98362/616692</f>
        <v>15.949939353842762</v>
      </c>
      <c r="L15">
        <f>IF(COUNT(J15:K15)=2,K15-J15,"")</f>
        <v>-26.3071310242085</v>
      </c>
      <c r="O15">
        <v>13</v>
      </c>
      <c r="P15">
        <v>12</v>
      </c>
      <c r="Q15">
        <f>100*165466/516479</f>
        <v>32.037314198641184</v>
      </c>
      <c r="R15">
        <f>100*21261/472731</f>
        <v>4.497483769839507</v>
      </c>
      <c r="S15">
        <f>IF(COUNT(Q15:R15)=2,R15-Q15,"")</f>
        <v>-27.53983042880168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100*34036/301809</f>
        <v>11.277331027239082</v>
      </c>
      <c r="E16">
        <f>IF(COUNT(C16:D16)=2,D16-C16,"")</f>
        <v>9.80686677364196</v>
      </c>
      <c r="H16">
        <v>14</v>
      </c>
      <c r="I16">
        <v>13</v>
      </c>
      <c r="J16">
        <f>100*44978/265308</f>
        <v>16.95312617787628</v>
      </c>
      <c r="K16">
        <f>100*350/103228</f>
        <v>0.33905529507497967</v>
      </c>
      <c r="L16">
        <f>IF(COUNT(J16:K16)=2,K16-J16,"")</f>
        <v>-16.6140708828013</v>
      </c>
      <c r="O16">
        <v>14</v>
      </c>
      <c r="P16">
        <v>13</v>
      </c>
      <c r="Q16">
        <f>100*58109/351187</f>
        <v>16.546455307286433</v>
      </c>
      <c r="R16">
        <f>100*2074/443959</f>
        <v>0.46716025578938597</v>
      </c>
      <c r="S16">
        <f>IF(COUNT(Q16:R16)=2,R16-Q16,"")</f>
        <v>-16.079295051497045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100*131141/548263</f>
        <v>23.919359869259825</v>
      </c>
      <c r="E17">
        <f>IF(COUNT(C17:D17)=2,D17-C17,"")</f>
        <v>-9.111171542637774</v>
      </c>
      <c r="H17">
        <v>15</v>
      </c>
      <c r="I17">
        <v>14</v>
      </c>
      <c r="J17">
        <f>100*185252/403337</f>
        <v>45.92983038997166</v>
      </c>
      <c r="K17">
        <f>100*94069/471176</f>
        <v>19.96472655653089</v>
      </c>
      <c r="L17">
        <f>IF(COUNT(J17:K17)=2,K17-J17,"")</f>
        <v>-25.96510383344077</v>
      </c>
      <c r="O17">
        <v>15</v>
      </c>
      <c r="P17">
        <v>14</v>
      </c>
      <c r="Q17">
        <f>100*158493/377442</f>
        <v>41.99135231373297</v>
      </c>
      <c r="R17">
        <f>100*37522/179704</f>
        <v>20.879891376930953</v>
      </c>
      <c r="S17">
        <f>IF(COUNT(Q17:R17)=2,R17-Q17,"")</f>
        <v>-21.111460936802015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100*43321/456161</f>
        <v>9.49686623801684</v>
      </c>
      <c r="E18">
        <f>IF(COUNT(C18:D18)=2,D18-C18,"")</f>
        <v>-22.873214547325915</v>
      </c>
      <c r="H18">
        <v>16</v>
      </c>
      <c r="I18">
        <v>15</v>
      </c>
      <c r="J18">
        <f>100*116194/472598</f>
        <v>24.586223386472223</v>
      </c>
      <c r="K18">
        <f>100*48569/455908</f>
        <v>10.653245830299095</v>
      </c>
      <c r="L18">
        <f>IF(COUNT(J18:K18)=2,K18-J18,"")</f>
        <v>-13.932977556173128</v>
      </c>
      <c r="O18">
        <v>16</v>
      </c>
      <c r="P18">
        <v>15</v>
      </c>
      <c r="Q18">
        <f>100*130815/335348</f>
        <v>39.00873122845522</v>
      </c>
      <c r="R18">
        <f>100*111403/355455</f>
        <v>31.34095736450465</v>
      </c>
      <c r="S18">
        <f>IF(COUNT(Q18:R18)=2,R18-Q18,"")</f>
        <v>-7.667773863950568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100*79786/368937</f>
        <v>21.625914451518824</v>
      </c>
      <c r="E19">
        <f>IF(COUNT(C19:D19)=2,D19-C19,"")</f>
        <v>-0.5479197532017785</v>
      </c>
      <c r="H19">
        <v>17</v>
      </c>
      <c r="I19">
        <v>16</v>
      </c>
      <c r="J19">
        <f>100*147986/392782</f>
        <v>37.6763700984261</v>
      </c>
      <c r="K19">
        <f>100*91379/495170</f>
        <v>18.454066280267384</v>
      </c>
      <c r="L19">
        <f>IF(COUNT(J19:K19)=2,K19-J19,"")</f>
        <v>-19.222303818158714</v>
      </c>
      <c r="O19">
        <v>17</v>
      </c>
      <c r="P19">
        <v>16</v>
      </c>
      <c r="Q19">
        <f>100*17753/266611</f>
        <v>6.65876501719734</v>
      </c>
      <c r="R19">
        <f>100*8950/288233</f>
        <v>3.1051267550904997</v>
      </c>
      <c r="S19">
        <f>IF(COUNT(Q19:R19)=2,R19-Q19,"")</f>
        <v>-3.5536382621068405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100*26047/479797</f>
        <v>5.428754243982351</v>
      </c>
      <c r="E20">
        <f>IF(COUNT(C20:D20)=2,D20-C20,"")</f>
        <v>-27.939967392515232</v>
      </c>
      <c r="H20">
        <v>18</v>
      </c>
      <c r="I20">
        <v>17</v>
      </c>
      <c r="J20">
        <f>100*134558/617547</f>
        <v>21.78911078832866</v>
      </c>
      <c r="K20">
        <f>100*52948/447256</f>
        <v>11.838410216967464</v>
      </c>
      <c r="L20">
        <f>IF(COUNT(J20:K20)=2,K20-J20,"")</f>
        <v>-9.950700571361196</v>
      </c>
      <c r="O20">
        <v>18</v>
      </c>
      <c r="P20">
        <v>17</v>
      </c>
      <c r="Q20">
        <f>100*1405/276206</f>
        <v>0.5086783053228388</v>
      </c>
      <c r="R20">
        <f>100*5490/222683</f>
        <v>2.4653880179447913</v>
      </c>
      <c r="S20">
        <f>IF(COUNT(Q20:R20)=2,R20-Q20,"")</f>
        <v>1.9567097126219526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100*26564/456550</f>
        <v>5.818420764428868</v>
      </c>
      <c r="E21">
        <f>IF(COUNT(C21:D21)=2,D21-C21,"")</f>
        <v>-12.351804927030617</v>
      </c>
      <c r="H21">
        <v>19</v>
      </c>
      <c r="I21">
        <v>18</v>
      </c>
      <c r="J21">
        <f>100*48771/351007</f>
        <v>13.894594694692698</v>
      </c>
      <c r="K21">
        <f>100*45899/341597</f>
        <v>13.436593412705616</v>
      </c>
      <c r="L21">
        <f>IF(COUNT(J21:K21)=2,K21-J21,"")</f>
        <v>-0.458001281987082</v>
      </c>
      <c r="O21">
        <v>19</v>
      </c>
      <c r="P21">
        <v>18</v>
      </c>
      <c r="Q21">
        <f>100*124085/311389</f>
        <v>39.84887070513088</v>
      </c>
      <c r="R21">
        <f>100*134780/428778</f>
        <v>31.43351571209344</v>
      </c>
      <c r="S21">
        <f>IF(COUNT(Q21:R21)=2,R21-Q21,"")</f>
        <v>-8.41535499303744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100*8656/369262</f>
        <v>2.3441350585762954</v>
      </c>
      <c r="E22">
        <f>IF(COUNT(C22:D22)=2,D22-C22,"")</f>
        <v>-18.352561295726684</v>
      </c>
      <c r="H22">
        <v>20</v>
      </c>
      <c r="I22">
        <v>19</v>
      </c>
      <c r="J22">
        <f>100*42161/340805</f>
        <v>12.371003946538343</v>
      </c>
      <c r="K22">
        <f>100*15549/172482</f>
        <v>9.014853723866839</v>
      </c>
      <c r="L22">
        <f>IF(COUNT(J22:K22)=2,K22-J22,"")</f>
        <v>-3.356150222671504</v>
      </c>
      <c r="O22">
        <v>20</v>
      </c>
      <c r="P22">
        <v>19</v>
      </c>
      <c r="Q22">
        <f>100*139808/401311</f>
        <v>34.83781904806995</v>
      </c>
      <c r="R22">
        <f>100*104590/516066</f>
        <v>20.266787581433384</v>
      </c>
      <c r="S22">
        <f>IF(COUNT(Q22:R22)=2,R22-Q22,"")</f>
        <v>-14.571031466636569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100*53948/415018</f>
        <v>12.998954262224771</v>
      </c>
      <c r="E23">
        <f>IF(COUNT(C23:D23)=2,D23-C23,"")</f>
        <v>-13.691214336243103</v>
      </c>
      <c r="H23">
        <v>21</v>
      </c>
      <c r="I23">
        <v>20</v>
      </c>
      <c r="J23">
        <f>100*222992/523032</f>
        <v>42.63448507930681</v>
      </c>
      <c r="K23">
        <f>100*50869/351481</f>
        <v>14.472759551725414</v>
      </c>
      <c r="L23">
        <f>IF(COUNT(J23:K23)=2,K23-J23,"")</f>
        <v>-28.1617255275814</v>
      </c>
      <c r="O23">
        <v>21</v>
      </c>
      <c r="P23">
        <v>20</v>
      </c>
      <c r="Q23">
        <f>100*43636/293480</f>
        <v>14.86847485348235</v>
      </c>
      <c r="R23">
        <f>100*62125/404656</f>
        <v>15.352546360365347</v>
      </c>
      <c r="S23">
        <f>IF(COUNT(Q23:R23)=2,R23-Q23,"")</f>
        <v>0.48407150688299616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100*38058/162510</f>
        <v>23.418866531290384</v>
      </c>
      <c r="E24">
        <f>IF(COUNT(C24:D24)=2,D24-C24,"")</f>
        <v>-14.729388325476165</v>
      </c>
      <c r="H24">
        <v>22</v>
      </c>
      <c r="I24">
        <v>21</v>
      </c>
      <c r="J24">
        <f>100*54639/207484</f>
        <v>26.334078772339073</v>
      </c>
      <c r="K24">
        <f>100*119830/384269</f>
        <v>31.183884206116026</v>
      </c>
      <c r="L24">
        <f>IF(COUNT(J24:K24)=2,K24-J24,"")</f>
        <v>4.849805433776954</v>
      </c>
      <c r="O24">
        <v>22</v>
      </c>
      <c r="P24">
        <v>21</v>
      </c>
      <c r="Q24">
        <f>100*45197/105457</f>
        <v>42.85822657576074</v>
      </c>
      <c r="R24">
        <f>100*68872/204262</f>
        <v>33.71748049074228</v>
      </c>
      <c r="S24">
        <f>IF(COUNT(Q24:R24)=2,R24-Q24,"")</f>
        <v>-9.140746085018456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100*88054/643680</f>
        <v>13.67977877206065</v>
      </c>
      <c r="E25">
        <f>IF(COUNT(C25:D25)=2,D25-C25,"")</f>
        <v>-20.151448931245255</v>
      </c>
      <c r="H25">
        <v>23</v>
      </c>
      <c r="I25">
        <v>22</v>
      </c>
      <c r="J25">
        <f>100*82449/499533</f>
        <v>16.505215871624095</v>
      </c>
      <c r="K25">
        <f>100*13905/364572</f>
        <v>3.8140614199664262</v>
      </c>
      <c r="L25">
        <f>IF(COUNT(J25:K25)=2,K25-J25,"")</f>
        <v>-12.691154451657669</v>
      </c>
      <c r="O25">
        <v>23</v>
      </c>
      <c r="P25">
        <v>22</v>
      </c>
      <c r="Q25">
        <f>100*656/247400</f>
        <v>0.2651576394502829</v>
      </c>
      <c r="R25">
        <f>100*581/251598</f>
        <v>0.23092393421251362</v>
      </c>
      <c r="S25">
        <f>IF(COUNT(Q25:R25)=2,R25-Q25,"")</f>
        <v>-0.03423370523776931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100*17909/393443</f>
        <v>4.5518664711279655</v>
      </c>
      <c r="E26">
        <f>IF(COUNT(C26:D26)=2,D26-C26,"")</f>
        <v>-19.90071618617837</v>
      </c>
      <c r="H26">
        <v>24</v>
      </c>
      <c r="I26">
        <v>23</v>
      </c>
      <c r="J26">
        <f>100*167481/558799</f>
        <v>29.971599806012538</v>
      </c>
      <c r="K26">
        <f>100*63517/510358</f>
        <v>12.445577418204476</v>
      </c>
      <c r="L26">
        <f>IF(COUNT(J26:K26)=2,K26-J26,"")</f>
        <v>-17.526022387808062</v>
      </c>
      <c r="O26">
        <v>24</v>
      </c>
      <c r="P26">
        <v>23</v>
      </c>
      <c r="Q26">
        <f>100*53061/340117</f>
        <v>15.600807957261766</v>
      </c>
      <c r="R26">
        <f>100*14148/351583</f>
        <v>4.024085351111971</v>
      </c>
      <c r="S26">
        <f>IF(COUNT(Q26:R26)=2,R26-Q26,"")</f>
        <v>-11.576722606149795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100*31978/457250</f>
        <v>6.993548387096774</v>
      </c>
      <c r="E27">
        <f>IF(COUNT(C27:D27)=2,D27-C27,"")</f>
        <v>1.7277609580307915</v>
      </c>
      <c r="H27">
        <v>25</v>
      </c>
      <c r="I27">
        <v>24</v>
      </c>
      <c r="J27">
        <f>100*67075/346916</f>
        <v>19.334651615953142</v>
      </c>
      <c r="K27">
        <f>100*35720/307526</f>
        <v>11.615278057790235</v>
      </c>
      <c r="L27">
        <f>IF(COUNT(J27:K27)=2,K27-J27,"")</f>
        <v>-7.719373558162907</v>
      </c>
      <c r="O27">
        <v>25</v>
      </c>
      <c r="P27">
        <v>24</v>
      </c>
      <c r="Q27">
        <f>100*158561/348258</f>
        <v>45.52975093178046</v>
      </c>
      <c r="R27">
        <f>100*32197/225298</f>
        <v>14.290850340437999</v>
      </c>
      <c r="S27">
        <f>IF(COUNT(Q27:R27)=2,R27-Q27,"")</f>
        <v>-31.238900591342464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100*85061/489391</f>
        <v>17.380989842477693</v>
      </c>
      <c r="E28">
        <f>IF(COUNT(C28:D28)=2,D28-C28,"")</f>
        <v>-6.524212352198187</v>
      </c>
      <c r="H28">
        <v>26</v>
      </c>
      <c r="I28">
        <v>25</v>
      </c>
      <c r="J28">
        <f>100*177325/563486</f>
        <v>31.469282289178437</v>
      </c>
      <c r="K28">
        <f>100*90756/506154</f>
        <v>17.930511267321805</v>
      </c>
      <c r="L28">
        <f>IF(COUNT(J28:K28)=2,K28-J28,"")</f>
        <v>-13.538771021856633</v>
      </c>
      <c r="O28">
        <v>26</v>
      </c>
      <c r="P28">
        <v>25</v>
      </c>
      <c r="Q28">
        <f>100*156244/369843</f>
        <v>42.246034127994854</v>
      </c>
      <c r="R28">
        <f>100*100593/424840</f>
        <v>23.677855192543074</v>
      </c>
      <c r="S28">
        <f>IF(COUNT(Q28:R28)=2,R28-Q28,"")</f>
        <v>-18.56817893545178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100*86658/515869</f>
        <v>16.798450769478297</v>
      </c>
      <c r="E29">
        <f>IF(COUNT(C29:D29)=2,D29-C29,"")</f>
        <v>-27.81777696090005</v>
      </c>
      <c r="H29">
        <v>27</v>
      </c>
      <c r="I29">
        <v>26</v>
      </c>
      <c r="J29">
        <f>100*35297/437184</f>
        <v>8.073717244912897</v>
      </c>
      <c r="K29">
        <f>100*42598/439343</f>
        <v>9.695841290290275</v>
      </c>
      <c r="L29">
        <f>IF(COUNT(J29:K29)=2,K29-J29,"")</f>
        <v>1.6221240453773778</v>
      </c>
      <c r="O29">
        <v>27</v>
      </c>
      <c r="P29">
        <v>26</v>
      </c>
      <c r="Q29">
        <f>100*99207/334942</f>
        <v>29.619157943763398</v>
      </c>
      <c r="R29">
        <f>100*111907/373697</f>
        <v>29.945918752358192</v>
      </c>
      <c r="S29">
        <f>IF(COUNT(Q29:R29)=2,R29-Q29,"")</f>
        <v>0.32676080859479484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100*17521/242079</f>
        <v>7.2377199178780485</v>
      </c>
      <c r="E30">
        <f>IF(COUNT(C30:D30)=2,D30-C30,"")</f>
        <v>-15.840908829192536</v>
      </c>
      <c r="H30">
        <v>28</v>
      </c>
      <c r="I30">
        <v>27</v>
      </c>
      <c r="J30">
        <f>100*111624/317500</f>
        <v>35.15716535433071</v>
      </c>
      <c r="K30">
        <f>100*41017/258171</f>
        <v>15.887531907146814</v>
      </c>
      <c r="L30">
        <f>IF(COUNT(J30:K30)=2,K30-J30,"")</f>
        <v>-19.269633447183892</v>
      </c>
      <c r="O30">
        <v>28</v>
      </c>
      <c r="P30">
        <v>27</v>
      </c>
      <c r="Q30">
        <f>100*258/245208</f>
        <v>0.10521679553685034</v>
      </c>
      <c r="R30">
        <f>100*315/243160</f>
        <v>0.12954433294949827</v>
      </c>
      <c r="S30">
        <f>IF(COUNT(Q30:R30)=2,R30-Q30,"")</f>
        <v>0.024327537412647926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100*62012/436437</f>
        <v>14.208694496571097</v>
      </c>
      <c r="E31">
        <f>IF(COUNT(C31:D31)=2,D31-C31,"")</f>
        <v>-32.371178228518524</v>
      </c>
      <c r="H31">
        <v>29</v>
      </c>
      <c r="I31">
        <v>28</v>
      </c>
      <c r="J31">
        <f>100*143049/329070</f>
        <v>43.47069012672076</v>
      </c>
      <c r="K31">
        <f>100*84909/426475</f>
        <v>19.90949059147664</v>
      </c>
      <c r="L31">
        <f>IF(COUNT(J31:K31)=2,K31-J31,"")</f>
        <v>-23.56119953524412</v>
      </c>
      <c r="O31">
        <v>29</v>
      </c>
      <c r="P31">
        <v>28</v>
      </c>
      <c r="Q31">
        <f>100*106682/252496</f>
        <v>42.25096635194221</v>
      </c>
      <c r="R31">
        <f>100*125535/363620</f>
        <v>34.52367856553545</v>
      </c>
      <c r="S31">
        <f>IF(COUNT(Q31:R31)=2,R31-Q31,"")</f>
        <v>-7.727287786406762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100*14786/351734</f>
        <v>4.2037448753887885</v>
      </c>
      <c r="E32">
        <f>IF(COUNT(C32:D32)=2,D32-C32,"")</f>
        <v>-15.109282255123983</v>
      </c>
      <c r="H32">
        <v>30</v>
      </c>
      <c r="I32">
        <v>29</v>
      </c>
      <c r="J32">
        <f>100*71699/295601</f>
        <v>24.25533066532251</v>
      </c>
      <c r="K32">
        <f>100*34891/292117</f>
        <v>11.944186747091063</v>
      </c>
      <c r="L32">
        <f>IF(COUNT(J32:K32)=2,K32-J32,"")</f>
        <v>-12.311143918231448</v>
      </c>
      <c r="O32">
        <v>30</v>
      </c>
      <c r="P32">
        <v>29</v>
      </c>
      <c r="Q32">
        <f>100*220230/481156</f>
        <v>45.771018131333705</v>
      </c>
      <c r="R32">
        <f>100*95349/503936</f>
        <v>18.92085502921006</v>
      </c>
      <c r="S32">
        <f>IF(COUNT(Q32:R32)=2,R32-Q32,"")</f>
        <v>-26.850163102123645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100*108638/384727</f>
        <v>28.237685423690046</v>
      </c>
      <c r="E33">
        <f>IF(COUNT(C33:D33)=2,D33-C33,"")</f>
        <v>2.6393804895917548</v>
      </c>
      <c r="H33">
        <v>31</v>
      </c>
      <c r="I33">
        <v>30</v>
      </c>
      <c r="J33">
        <f>100*58413/325415</f>
        <v>17.950309604658667</v>
      </c>
      <c r="K33">
        <f>100*86001/365572</f>
        <v>23.525051152714102</v>
      </c>
      <c r="L33">
        <f>IF(COUNT(J33:K33)=2,K33-J33,"")</f>
        <v>5.574741548055435</v>
      </c>
      <c r="O33">
        <v>31</v>
      </c>
      <c r="P33">
        <v>30</v>
      </c>
      <c r="Q33">
        <f>100*3974/273650</f>
        <v>1.4522199890370913</v>
      </c>
      <c r="R33">
        <f>100*2474/477460</f>
        <v>0.5181585892011896</v>
      </c>
      <c r="S33">
        <f>IF(COUNT(Q33:R33)=2,R33-Q33,"")</f>
        <v>-0.9340613998359016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13.361826465210891</v>
      </c>
      <c r="E34">
        <f>IF(COUNT(E3:E33)&gt;0,AVERAGE(E3:E33),"")</f>
        <v>-11.50429278018576</v>
      </c>
      <c r="H34" t="s">
        <v>5</v>
      </c>
      <c r="J34">
        <f>IF(COUNT(J3:J33)&gt;0,AVERAGE(J3:J33),"")</f>
        <v>22.873960622545518</v>
      </c>
      <c r="K34">
        <f>IF(COUNT(K3:K33)&gt;0,AVERAGE(K3:K33),"")</f>
        <v>13.42798870046126</v>
      </c>
      <c r="L34">
        <f>IF(COUNT(L3:L33)&gt;0,AVERAGE(L3:L33),"")</f>
        <v>-9.445971922084262</v>
      </c>
      <c r="O34" t="s">
        <v>5</v>
      </c>
      <c r="Q34">
        <f>IF(COUNT(Q3:Q33)&gt;0,AVERAGE(Q3:Q33),"")</f>
        <v>30.285258327658585</v>
      </c>
      <c r="R34">
        <f>IF(COUNT(R3:R33)&gt;0,AVERAGE(R3:R33),"")</f>
        <v>17.06653311567234</v>
      </c>
      <c r="S34">
        <f>IF(COUNT(S3:S33)&gt;0,AVERAGE(S3:S33),"")</f>
        <v>-13.218725211986246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100*1121/4864</f>
        <v>23.046875</v>
      </c>
      <c r="E39">
        <f>IF(COUNT(C39:D39)=2,D39-C39,"")</f>
        <v>7.725522811303662</v>
      </c>
      <c r="H39">
        <v>1</v>
      </c>
      <c r="I39">
        <v>0</v>
      </c>
      <c r="J39">
        <f>100*211130/713250</f>
        <v>29.601121626358218</v>
      </c>
      <c r="K39">
        <f>100*19268/410497</f>
        <v>4.693822366545919</v>
      </c>
      <c r="L39">
        <f>IF(COUNT(J39:K39)=2,K39-J39,"")</f>
        <v>-24.907299259812298</v>
      </c>
      <c r="O39">
        <v>1</v>
      </c>
      <c r="P39">
        <v>0</v>
      </c>
      <c r="Q39">
        <f>100*33559/419154</f>
        <v>8.00636520228842</v>
      </c>
      <c r="R39">
        <f>100*15460/419459</f>
        <v>3.6856999134599566</v>
      </c>
      <c r="S39">
        <f>IF(COUNT(Q39:R39)=2,R39-Q39,"")</f>
        <v>-4.320665288828463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100*973/2033</f>
        <v>47.86030496802755</v>
      </c>
      <c r="E40">
        <f>IF(COUNT(C40:D40)=2,D40-C40,"")</f>
        <v>-0.6947480797296564</v>
      </c>
      <c r="H40">
        <v>2</v>
      </c>
      <c r="I40">
        <v>1</v>
      </c>
      <c r="J40">
        <f>100*221110/594344</f>
        <v>37.20236092229416</v>
      </c>
      <c r="K40">
        <f>100*150332/540853</f>
        <v>27.79535289625832</v>
      </c>
      <c r="L40">
        <f>IF(COUNT(J40:K40)=2,K40-J40,"")</f>
        <v>-9.407008026035843</v>
      </c>
      <c r="O40">
        <v>2</v>
      </c>
      <c r="P40">
        <v>1</v>
      </c>
      <c r="Q40">
        <f>100*83755/209991</f>
        <v>39.88504269230586</v>
      </c>
      <c r="R40">
        <f>100*103441/294264</f>
        <v>35.15244814180464</v>
      </c>
      <c r="S40">
        <f>IF(COUNT(Q40:R40)=2,R40-Q40,"")</f>
        <v>-4.732594550501219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100*61040/526901</f>
        <v>11.584718950998385</v>
      </c>
      <c r="E41">
        <f>IF(COUNT(C41:D41)=2,D41-C41,"")</f>
        <v>-29.639542816410092</v>
      </c>
      <c r="H41">
        <v>3</v>
      </c>
      <c r="I41">
        <v>2</v>
      </c>
      <c r="J41">
        <f>100*328651/1001588</f>
        <v>32.812992967168135</v>
      </c>
      <c r="K41">
        <f>100*97965/740482</f>
        <v>13.229896202743618</v>
      </c>
      <c r="L41">
        <f>IF(COUNT(J41:K41)=2,K41-J41,"")</f>
        <v>-19.583096764424518</v>
      </c>
      <c r="O41">
        <v>3</v>
      </c>
      <c r="P41">
        <v>2</v>
      </c>
      <c r="Q41">
        <f>100*165549/320834</f>
        <v>51.59958109177955</v>
      </c>
      <c r="R41">
        <f>100*179740/508456</f>
        <v>35.350158125776865</v>
      </c>
      <c r="S41">
        <f>IF(COUNT(Q41:R41)=2,R41-Q41,"")</f>
        <v>-16.249422966002683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100*11184/623182</f>
        <v>1.79466030790363</v>
      </c>
      <c r="E42">
        <f>IF(COUNT(C42:D42)=2,D42-C42,"")</f>
        <v>-4.097580210788125</v>
      </c>
      <c r="H42">
        <v>4</v>
      </c>
      <c r="I42">
        <v>3</v>
      </c>
      <c r="J42">
        <f>100*38325/584626</f>
        <v>6.555473071673172</v>
      </c>
      <c r="K42">
        <f>100*38907/438059</f>
        <v>8.881680321600514</v>
      </c>
      <c r="L42">
        <f>IF(COUNT(J42:K42)=2,K42-J42,"")</f>
        <v>2.326207249927342</v>
      </c>
      <c r="O42">
        <v>4</v>
      </c>
      <c r="P42">
        <v>3</v>
      </c>
      <c r="Q42">
        <f>100*265499/612068</f>
        <v>43.37736983472425</v>
      </c>
      <c r="R42">
        <f>100*246610/757628</f>
        <v>32.55027533301303</v>
      </c>
      <c r="S42">
        <f>IF(COUNT(Q42:R42)=2,R42-Q42,"")</f>
        <v>-10.827094501711215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100*178259/623520</f>
        <v>28.589139081344623</v>
      </c>
      <c r="E43">
        <f>IF(COUNT(C43:D43)=2,D43-C43,"")</f>
        <v>-12.786945191738592</v>
      </c>
      <c r="H43">
        <v>5</v>
      </c>
      <c r="I43">
        <v>4</v>
      </c>
      <c r="J43">
        <f>100*86329/200432</f>
        <v>43.071465634230066</v>
      </c>
      <c r="K43">
        <f>100*171924/563884</f>
        <v>30.489249561966645</v>
      </c>
      <c r="L43">
        <f>IF(COUNT(J43:K43)=2,K43-J43,"")</f>
        <v>-12.58221607226342</v>
      </c>
      <c r="O43">
        <v>5</v>
      </c>
      <c r="P43">
        <v>4</v>
      </c>
      <c r="Q43">
        <f>100*80681/472324</f>
        <v>17.08170662511327</v>
      </c>
      <c r="R43">
        <f>100*75768/674460</f>
        <v>11.233875989680634</v>
      </c>
      <c r="S43">
        <f>IF(COUNT(Q43:R43)=2,R43-Q43,"")</f>
        <v>-5.847830635432636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100*64612/623905</f>
        <v>10.356063823819332</v>
      </c>
      <c r="E44">
        <f>IF(COUNT(C44:D44)=2,D44-C44,"")</f>
        <v>2.28977394344132</v>
      </c>
      <c r="H44">
        <v>6</v>
      </c>
      <c r="I44">
        <v>5</v>
      </c>
      <c r="J44">
        <f>100*143171/458928</f>
        <v>31.19683261862427</v>
      </c>
      <c r="K44">
        <f>100*204010/595222</f>
        <v>34.274606785367475</v>
      </c>
      <c r="L44">
        <f>IF(COUNT(J44:K44)=2,K44-J44,"")</f>
        <v>3.077774166743204</v>
      </c>
      <c r="O44">
        <v>6</v>
      </c>
      <c r="P44">
        <v>5</v>
      </c>
      <c r="Q44">
        <f>100*332039/690960</f>
        <v>48.05473544054649</v>
      </c>
      <c r="R44">
        <f>100*8918/373202</f>
        <v>2.3895906238444597</v>
      </c>
      <c r="S44">
        <f>IF(COUNT(Q44:R44)=2,R44-Q44,"")</f>
        <v>-45.665144816702025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100*39575/777805</f>
        <v>5.08803620444713</v>
      </c>
      <c r="E45">
        <f>IF(COUNT(C45:D45)=2,D45-C45,"")</f>
        <v>2.994476543157186</v>
      </c>
      <c r="H45">
        <v>7</v>
      </c>
      <c r="I45">
        <v>6</v>
      </c>
      <c r="J45">
        <f>100*1474/516628</f>
        <v>0.28531167493825343</v>
      </c>
      <c r="K45">
        <f>100*26896/472949</f>
        <v>5.686871100266625</v>
      </c>
      <c r="L45">
        <f>IF(COUNT(J45:K45)=2,K45-J45,"")</f>
        <v>5.401559425328371</v>
      </c>
      <c r="O45">
        <v>7</v>
      </c>
      <c r="P45">
        <v>6</v>
      </c>
      <c r="Q45">
        <f>100*255047/462709</f>
        <v>55.12038884050234</v>
      </c>
      <c r="R45">
        <f>100*118882/672203</f>
        <v>17.68543133547455</v>
      </c>
      <c r="S45">
        <f>IF(COUNT(Q45:R45)=2,R45-Q45,"")</f>
        <v>-37.434957505027796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100*2777/415171</f>
        <v>0.6688810152924939</v>
      </c>
      <c r="E46">
        <f>IF(COUNT(C46:D46)=2,D46-C46,"")</f>
        <v>-1.5478485222884002</v>
      </c>
      <c r="H46">
        <v>8</v>
      </c>
      <c r="I46">
        <v>7</v>
      </c>
      <c r="J46">
        <f>100*2387/421854</f>
        <v>0.5658355734448411</v>
      </c>
      <c r="K46">
        <f>100*13/372391</f>
        <v>0.003490954400079486</v>
      </c>
      <c r="L46">
        <f>IF(COUNT(J46:K46)=2,K46-J46,"")</f>
        <v>-0.5623446190447616</v>
      </c>
      <c r="O46">
        <v>8</v>
      </c>
      <c r="P46">
        <v>7</v>
      </c>
      <c r="Q46">
        <f>100*174551/400003</f>
        <v>43.63742271932961</v>
      </c>
      <c r="R46">
        <f>100*135401/434086</f>
        <v>31.192206152697853</v>
      </c>
      <c r="S46">
        <f>IF(COUNT(Q46:R46)=2,R46-Q46,"")</f>
        <v>-12.445216566631753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100*75471/288376</f>
        <v>26.17104058590174</v>
      </c>
      <c r="E47">
        <f>IF(COUNT(C47:D47)=2,D47-C47,"")</f>
        <v>-31.48108744786541</v>
      </c>
      <c r="H47">
        <v>9</v>
      </c>
      <c r="I47">
        <v>8</v>
      </c>
      <c r="J47">
        <f>100*195875/433696</f>
        <v>45.16412417914853</v>
      </c>
      <c r="K47">
        <f>100*158728/618161</f>
        <v>25.67745296128355</v>
      </c>
      <c r="L47">
        <f>IF(COUNT(J47:K47)=2,K47-J47,"")</f>
        <v>-19.48667121786498</v>
      </c>
      <c r="O47">
        <v>9</v>
      </c>
      <c r="P47">
        <v>8</v>
      </c>
      <c r="Q47">
        <f>100*68616/113213</f>
        <v>60.60788072041197</v>
      </c>
      <c r="R47">
        <f>100*133039/337056</f>
        <v>39.47088911041489</v>
      </c>
      <c r="S47">
        <f>IF(COUNT(Q47:R47)=2,R47-Q47,"")</f>
        <v>-21.136991609997082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100*63308/734954</f>
        <v>8.613872432832531</v>
      </c>
      <c r="E48">
        <f>IF(COUNT(C48:D48)=2,D48-C48,"")</f>
        <v>-13.34543318896713</v>
      </c>
      <c r="H48">
        <v>10</v>
      </c>
      <c r="I48">
        <v>9</v>
      </c>
      <c r="J48">
        <f>100*319115/716304</f>
        <v>44.550218901472</v>
      </c>
      <c r="K48">
        <f>100*184537/801035</f>
        <v>23.037320466646275</v>
      </c>
      <c r="L48">
        <f>IF(COUNT(J48:K48)=2,K48-J48,"")</f>
        <v>-21.512898434825726</v>
      </c>
      <c r="O48">
        <v>10</v>
      </c>
      <c r="P48">
        <v>9</v>
      </c>
      <c r="Q48">
        <f>100*144975/663380</f>
        <v>21.85399017154572</v>
      </c>
      <c r="R48">
        <f>100*5152/625606</f>
        <v>0.8235215135404712</v>
      </c>
      <c r="S48">
        <f>IF(COUNT(Q48:R48)=2,R48-Q48,"")</f>
        <v>-21.03046865800525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100*99557/696665</f>
        <v>14.290512656728843</v>
      </c>
      <c r="E49">
        <f>IF(COUNT(C49:D49)=2,D49-C49,"")</f>
        <v>-30.337207364665012</v>
      </c>
      <c r="H49">
        <v>11</v>
      </c>
      <c r="I49">
        <v>10</v>
      </c>
      <c r="J49">
        <f>100*298304/894387</f>
        <v>33.352899807354085</v>
      </c>
      <c r="K49">
        <f>100*53997/499612</f>
        <v>10.80778684258985</v>
      </c>
      <c r="L49">
        <f>IF(COUNT(J49:K49)=2,K49-J49,"")</f>
        <v>-22.545112964764236</v>
      </c>
      <c r="O49">
        <v>11</v>
      </c>
      <c r="P49">
        <v>10</v>
      </c>
      <c r="Q49">
        <f>100*252271/540552</f>
        <v>46.66914561411298</v>
      </c>
      <c r="R49">
        <f>100*91216/567883</f>
        <v>16.062463570841178</v>
      </c>
      <c r="S49">
        <f>IF(COUNT(Q49:R49)=2,R49-Q49,"")</f>
        <v>-30.6066820432718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100*43486/568840</f>
        <v>7.644680402222066</v>
      </c>
      <c r="E50">
        <f>IF(COUNT(C50:D50)=2,D50-C50,"")</f>
        <v>-34.87026813168325</v>
      </c>
      <c r="H50">
        <v>12</v>
      </c>
      <c r="I50">
        <v>11</v>
      </c>
      <c r="K50">
        <f>100*1710/5804</f>
        <v>29.462439696760853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100*151549/494410</f>
        <v>30.652494892902652</v>
      </c>
      <c r="S50">
        <f>IF(COUNT(Q50:R50)=2,R50-Q50,"")</f>
        <v>-17.01947801459599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100*16661/572067</f>
        <v>2.912421097528786</v>
      </c>
      <c r="E51">
        <f>IF(COUNT(C51:D51)=2,D51-C51,"")</f>
        <v>0.7613627668376766</v>
      </c>
      <c r="H51">
        <v>13</v>
      </c>
      <c r="I51">
        <v>12</v>
      </c>
      <c r="J51">
        <f>100*63849/654587</f>
        <v>9.75408921961481</v>
      </c>
      <c r="K51">
        <f>100*29738/431087</f>
        <v>6.898375501928845</v>
      </c>
      <c r="L51">
        <f>IF(COUNT(J51:K51)=2,K51-J51,"")</f>
        <v>-2.8557137176859655</v>
      </c>
      <c r="O51">
        <v>13</v>
      </c>
      <c r="P51">
        <v>12</v>
      </c>
      <c r="Q51">
        <f>100*326273/687294</f>
        <v>47.47211528108786</v>
      </c>
      <c r="R51">
        <f>100*40516/629040</f>
        <v>6.440925855271525</v>
      </c>
      <c r="S51">
        <f>IF(COUNT(Q51:R51)=2,R51-Q51,"")</f>
        <v>-41.031189425816336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100*2487/389063</f>
        <v>0.6392280941646983</v>
      </c>
      <c r="E52">
        <f>IF(COUNT(C52:D52)=2,D52-C52,"")</f>
        <v>-11.801831877070747</v>
      </c>
      <c r="H52">
        <v>14</v>
      </c>
      <c r="I52">
        <v>13</v>
      </c>
      <c r="J52">
        <f>100*46518/257005</f>
        <v>18.100036964261395</v>
      </c>
      <c r="K52">
        <f>100*56455/395410</f>
        <v>14.277585291216711</v>
      </c>
      <c r="L52">
        <f>IF(COUNT(J52:K52)=2,K52-J52,"")</f>
        <v>-3.822451673044684</v>
      </c>
      <c r="O52">
        <v>14</v>
      </c>
      <c r="P52">
        <v>13</v>
      </c>
      <c r="Q52">
        <f>100*2347/627958</f>
        <v>0.37375111074307515</v>
      </c>
      <c r="R52">
        <f>100*3700/539280</f>
        <v>0.6860999851654057</v>
      </c>
      <c r="S52">
        <f>IF(COUNT(Q52:R52)=2,R52-Q52,"")</f>
        <v>0.31234887442233056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100*173129/621792</f>
        <v>27.84355540116309</v>
      </c>
      <c r="E53">
        <f>IF(COUNT(C53:D53)=2,D53-C53,"")</f>
        <v>-26.08398714531776</v>
      </c>
      <c r="H53">
        <v>15</v>
      </c>
      <c r="I53">
        <v>14</v>
      </c>
      <c r="J53">
        <f>100*175137/618371</f>
        <v>28.322317831851752</v>
      </c>
      <c r="K53">
        <f>100*199540/754085</f>
        <v>26.46120795401049</v>
      </c>
      <c r="L53">
        <f>IF(COUNT(J53:K53)=2,K53-J53,"")</f>
        <v>-1.8611098778412618</v>
      </c>
      <c r="O53">
        <v>15</v>
      </c>
      <c r="P53">
        <v>14</v>
      </c>
      <c r="Q53">
        <f>100*146769/359086</f>
        <v>40.872938516121486</v>
      </c>
      <c r="R53">
        <f>100*140525/453287</f>
        <v>31.001330283021574</v>
      </c>
      <c r="S53">
        <f>IF(COUNT(Q53:R53)=2,R53-Q53,"")</f>
        <v>-9.871608233099913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100*65833/718393</f>
        <v>9.16392559504338</v>
      </c>
      <c r="E54">
        <f>IF(COUNT(C54:D54)=2,D54-C54,"")</f>
        <v>-42.2938083951044</v>
      </c>
      <c r="H54">
        <v>16</v>
      </c>
      <c r="I54">
        <v>15</v>
      </c>
      <c r="J54">
        <f>100*262686/530062</f>
        <v>49.55759892239021</v>
      </c>
      <c r="K54">
        <f>100*28694/602757</f>
        <v>4.760459024117513</v>
      </c>
      <c r="L54">
        <f>IF(COUNT(J54:K54)=2,K54-J54,"")</f>
        <v>-44.7971398982727</v>
      </c>
      <c r="O54">
        <v>16</v>
      </c>
      <c r="P54">
        <v>15</v>
      </c>
      <c r="Q54">
        <f>100*161630/350468</f>
        <v>46.11833320017805</v>
      </c>
      <c r="R54">
        <f>100*210750/606110</f>
        <v>34.77091617033212</v>
      </c>
      <c r="S54">
        <f>IF(COUNT(Q54:R54)=2,R54-Q54,"")</f>
        <v>-11.347417029845928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100*120832/521213</f>
        <v>23.182844633575908</v>
      </c>
      <c r="E55">
        <f>IF(COUNT(C55:D55)=2,D55-C55,"")</f>
        <v>-7.274025258556712</v>
      </c>
      <c r="H55">
        <v>17</v>
      </c>
      <c r="I55">
        <v>16</v>
      </c>
      <c r="J55">
        <f>100*201035/472489</f>
        <v>42.5480804844134</v>
      </c>
      <c r="K55">
        <f>100*67844/463039</f>
        <v>14.651897572342719</v>
      </c>
      <c r="L55">
        <f>IF(COUNT(J55:K55)=2,K55-J55,"")</f>
        <v>-27.896182912070678</v>
      </c>
      <c r="O55">
        <v>17</v>
      </c>
      <c r="P55">
        <v>16</v>
      </c>
      <c r="Q55">
        <f>100*10845/444486</f>
        <v>2.4398968696426886</v>
      </c>
      <c r="R55">
        <f>100*13794/412845</f>
        <v>3.3412055371870797</v>
      </c>
      <c r="S55">
        <f>IF(COUNT(Q55:R55)=2,R55-Q55,"")</f>
        <v>0.9013086675443911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100*18590/457571</f>
        <v>4.062757473703535</v>
      </c>
      <c r="E56">
        <f>IF(COUNT(C56:D56)=2,D56-C56,"")</f>
        <v>-45.39806106252677</v>
      </c>
      <c r="H56">
        <v>18</v>
      </c>
      <c r="I56">
        <v>17</v>
      </c>
      <c r="K56">
        <f>100*15319/538807</f>
        <v>2.8431330699118607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100*5781/336039</f>
        <v>1.7203360324248078</v>
      </c>
      <c r="S56">
        <f>IF(COUNT(Q56:R56)=2,R56-Q56,"")</f>
        <v>-8.082962504024266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100*64872/557078</f>
        <v>11.645047910705502</v>
      </c>
      <c r="E57">
        <f>IF(COUNT(C57:D57)=2,D57-C57,"")</f>
        <v>-27.07368412486425</v>
      </c>
      <c r="H57">
        <v>19</v>
      </c>
      <c r="I57">
        <v>18</v>
      </c>
      <c r="J57">
        <f>100*171180/560014</f>
        <v>30.567092965533003</v>
      </c>
      <c r="K57">
        <f>100*216966/892247</f>
        <v>24.31680913469028</v>
      </c>
      <c r="L57">
        <f>IF(COUNT(J57:K57)=2,K57-J57,"")</f>
        <v>-6.250283830842722</v>
      </c>
      <c r="O57">
        <v>19</v>
      </c>
      <c r="P57">
        <v>18</v>
      </c>
      <c r="Q57">
        <f>100*169030/384674</f>
        <v>43.94110337584552</v>
      </c>
      <c r="R57">
        <f>100*171706/500415</f>
        <v>34.31272044203311</v>
      </c>
      <c r="S57">
        <f>IF(COUNT(Q57:R57)=2,R57-Q57,"")</f>
        <v>-9.62838293381241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100*146692/829682</f>
        <v>17.68050891787456</v>
      </c>
      <c r="E58">
        <f>IF(COUNT(C58:D58)=2,D58-C58,"")</f>
        <v>-23.745986647326422</v>
      </c>
      <c r="H58">
        <v>20</v>
      </c>
      <c r="I58">
        <v>19</v>
      </c>
      <c r="J58">
        <f>100*284748/588066</f>
        <v>48.42109559131118</v>
      </c>
      <c r="K58">
        <f>100*76238/488023</f>
        <v>15.621804710023913</v>
      </c>
      <c r="L58">
        <f>IF(COUNT(J58:K58)=2,K58-J58,"")</f>
        <v>-32.79929088128726</v>
      </c>
      <c r="O58">
        <v>20</v>
      </c>
      <c r="P58">
        <v>19</v>
      </c>
      <c r="Q58">
        <f>100*276241/622059</f>
        <v>44.40752404514684</v>
      </c>
      <c r="R58">
        <f>100*207683/728976</f>
        <v>28.489689646847083</v>
      </c>
      <c r="S58">
        <f>IF(COUNT(Q58:R58)=2,R58-Q58,"")</f>
        <v>-15.91783439829976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100*54705/560890</f>
        <v>9.753249300219295</v>
      </c>
      <c r="E59">
        <f>IF(COUNT(C59:D59)=2,D59-C59,"")</f>
        <v>-37.234792657335916</v>
      </c>
      <c r="H59">
        <v>21</v>
      </c>
      <c r="I59">
        <v>20</v>
      </c>
      <c r="J59">
        <f>100*380768/887907</f>
        <v>42.88377048497196</v>
      </c>
      <c r="K59">
        <f>100*17770/447386</f>
        <v>3.9719615723335107</v>
      </c>
      <c r="L59">
        <f>IF(COUNT(J59:K59)=2,K59-J59,"")</f>
        <v>-38.91180891263845</v>
      </c>
      <c r="O59">
        <v>21</v>
      </c>
      <c r="P59">
        <v>20</v>
      </c>
      <c r="Q59">
        <f>100*102616/414261</f>
        <v>24.7708570200912</v>
      </c>
      <c r="R59">
        <f>100*84081/358532</f>
        <v>23.451463188780917</v>
      </c>
      <c r="S59">
        <f>IF(COUNT(Q59:R59)=2,R59-Q59,"")</f>
        <v>-1.3193938313102826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100*119533/303024</f>
        <v>39.44671049157822</v>
      </c>
      <c r="E60">
        <f>IF(COUNT(C60:D60)=2,D60-C60,"")</f>
        <v>-4.6223780118877045</v>
      </c>
      <c r="H60">
        <v>22</v>
      </c>
      <c r="I60">
        <v>21</v>
      </c>
      <c r="J60">
        <f>100*139592/266933</f>
        <v>52.29477059786538</v>
      </c>
      <c r="K60">
        <f>100*78358/350789</f>
        <v>22.337644566961906</v>
      </c>
      <c r="L60">
        <f>IF(COUNT(J60:K60)=2,K60-J60,"")</f>
        <v>-29.957126030903474</v>
      </c>
      <c r="O60">
        <v>22</v>
      </c>
      <c r="P60">
        <v>21</v>
      </c>
      <c r="Q60">
        <f>100*93353/177560</f>
        <v>52.57546744762334</v>
      </c>
      <c r="R60">
        <f>100*101886/309970</f>
        <v>32.86963254508501</v>
      </c>
      <c r="S60">
        <f>IF(COUNT(Q60:R60)=2,R60-Q60,"")</f>
        <v>-19.705834902538328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100*72183/698177</f>
        <v>10.338782285867337</v>
      </c>
      <c r="E61">
        <f>IF(COUNT(C61:D61)=2,D61-C61,"")</f>
        <v>-35.91887431365716</v>
      </c>
      <c r="H61">
        <v>23</v>
      </c>
      <c r="I61">
        <v>22</v>
      </c>
      <c r="J61">
        <f>100*307788/547933</f>
        <v>56.1725612438017</v>
      </c>
      <c r="K61">
        <f>100*106866/744563</f>
        <v>14.352848583665855</v>
      </c>
      <c r="L61">
        <f>IF(COUNT(J61:K61)=2,K61-J61,"")</f>
        <v>-41.81971266013585</v>
      </c>
      <c r="O61">
        <v>23</v>
      </c>
      <c r="P61">
        <v>22</v>
      </c>
      <c r="Q61">
        <f>100*1420/340312</f>
        <v>0.41726415759655844</v>
      </c>
      <c r="R61">
        <f>100*573/331359</f>
        <v>0.1729242302155668</v>
      </c>
      <c r="S61">
        <f>IF(COUNT(Q61:R61)=2,R61-Q61,"")</f>
        <v>-0.24433992738099164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100*9661/688995</f>
        <v>1.4021872437390692</v>
      </c>
      <c r="E62">
        <f>IF(COUNT(C62:D62)=2,D62-C62,"")</f>
        <v>-20.195474641552785</v>
      </c>
      <c r="H62">
        <v>24</v>
      </c>
      <c r="I62">
        <v>23</v>
      </c>
      <c r="J62">
        <f>100*403224/842602</f>
        <v>47.85462175499227</v>
      </c>
      <c r="K62">
        <f>100*151944/837140</f>
        <v>18.15036911388776</v>
      </c>
      <c r="L62">
        <f>IF(COUNT(J62:K62)=2,K62-J62,"")</f>
        <v>-29.704252641104514</v>
      </c>
      <c r="O62">
        <v>24</v>
      </c>
      <c r="P62">
        <v>23</v>
      </c>
      <c r="Q62">
        <f>100*127073/681026</f>
        <v>18.659052664655974</v>
      </c>
      <c r="R62">
        <f>100*113740/825595</f>
        <v>13.77673072147966</v>
      </c>
      <c r="S62">
        <f>IF(COUNT(Q62:R62)=2,R62-Q62,"")</f>
        <v>-4.882321943176313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100*48924/617088</f>
        <v>7.928204729309272</v>
      </c>
      <c r="E63">
        <f>IF(COUNT(C63:D63)=2,D63-C63,"")</f>
        <v>-36.82257346455453</v>
      </c>
      <c r="H63">
        <v>25</v>
      </c>
      <c r="I63">
        <v>24</v>
      </c>
      <c r="J63">
        <f>100*334373/832460</f>
        <v>40.16685486389736</v>
      </c>
      <c r="K63">
        <f>100*52570/524197</f>
        <v>10.028672426587715</v>
      </c>
      <c r="L63">
        <f>IF(COUNT(J63:K63)=2,K63-J63,"")</f>
        <v>-30.13818243730965</v>
      </c>
      <c r="O63">
        <v>25</v>
      </c>
      <c r="P63">
        <v>24</v>
      </c>
      <c r="Q63">
        <f>100*69231/149628</f>
        <v>46.26874649129842</v>
      </c>
      <c r="R63">
        <f>100*88391/300527</f>
        <v>29.41199958739148</v>
      </c>
      <c r="S63">
        <f>IF(COUNT(Q63:R63)=2,R63-Q63,"")</f>
        <v>-16.85674690390694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100*94352/428024</f>
        <v>22.04362372203428</v>
      </c>
      <c r="E64">
        <f>IF(COUNT(C64:D64)=2,D64-C64,"")</f>
        <v>-24.150245219561295</v>
      </c>
      <c r="H64">
        <v>26</v>
      </c>
      <c r="I64">
        <v>25</v>
      </c>
      <c r="J64">
        <f>100*93173/499879</f>
        <v>18.639110664780876</v>
      </c>
      <c r="K64">
        <f>100*29551/382408</f>
        <v>7.727610301039727</v>
      </c>
      <c r="L64">
        <f>IF(COUNT(J64:K64)=2,K64-J64,"")</f>
        <v>-10.91150036374115</v>
      </c>
      <c r="O64">
        <v>26</v>
      </c>
      <c r="P64">
        <v>25</v>
      </c>
      <c r="Q64">
        <f>100*287382/566887</f>
        <v>50.69475927301208</v>
      </c>
      <c r="R64">
        <f>100*1441/3620</f>
        <v>39.806629834254146</v>
      </c>
      <c r="S64">
        <f>IF(COUNT(Q64:R64)=2,R64-Q64,"")</f>
        <v>-10.888129438757936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100*83831/608179</f>
        <v>13.78393532167339</v>
      </c>
      <c r="E65">
        <f>IF(COUNT(C65:D65)=2,D65-C65,"")</f>
        <v>-11.48160091826788</v>
      </c>
      <c r="H65">
        <v>27</v>
      </c>
      <c r="I65">
        <v>26</v>
      </c>
      <c r="J65">
        <f>100*244313/656873</f>
        <v>37.19333874280112</v>
      </c>
      <c r="K65">
        <f>100*189376/680723</f>
        <v>27.819832736663813</v>
      </c>
      <c r="L65">
        <f>IF(COUNT(J65:K65)=2,K65-J65,"")</f>
        <v>-9.373506006137305</v>
      </c>
      <c r="O65">
        <v>27</v>
      </c>
      <c r="P65">
        <v>26</v>
      </c>
      <c r="Q65">
        <f>100*89767/349739</f>
        <v>25.6668544257289</v>
      </c>
      <c r="R65">
        <f>100*44430/180062</f>
        <v>24.67483422376737</v>
      </c>
      <c r="S65">
        <f>IF(COUNT(Q65:R65)=2,R65-Q65,"")</f>
        <v>-0.9920202019615303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100*48783/352222</f>
        <v>13.850071829698315</v>
      </c>
      <c r="E66">
        <f>IF(COUNT(C66:D66)=2,D66-C66,"")</f>
        <v>-12.219655934823987</v>
      </c>
      <c r="H66">
        <v>28</v>
      </c>
      <c r="I66">
        <v>27</v>
      </c>
      <c r="J66">
        <f>100*138608/347102</f>
        <v>39.93293037781402</v>
      </c>
      <c r="K66">
        <f>100*139289/448702</f>
        <v>31.042651915970957</v>
      </c>
      <c r="L66">
        <f>IF(COUNT(J66:K66)=2,K66-J66,"")</f>
        <v>-8.89027846184306</v>
      </c>
      <c r="O66">
        <v>28</v>
      </c>
      <c r="P66">
        <v>27</v>
      </c>
      <c r="Q66">
        <f>100*334/323134</f>
        <v>0.10336269163876287</v>
      </c>
      <c r="R66">
        <f>100*13404/636648</f>
        <v>2.105402043201267</v>
      </c>
      <c r="S66">
        <f>IF(COUNT(Q66:R66)=2,R66-Q66,"")</f>
        <v>2.002039351562504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100*178913/697354</f>
        <v>25.65597960289896</v>
      </c>
      <c r="E67">
        <f>IF(COUNT(C67:D67)=2,D67-C67,"")</f>
        <v>-19.297806704270805</v>
      </c>
      <c r="H67">
        <v>29</v>
      </c>
      <c r="I67">
        <v>28</v>
      </c>
      <c r="J67">
        <f>100*198367/384779</f>
        <v>51.553489145717414</v>
      </c>
      <c r="K67">
        <f>100*262645/702203</f>
        <v>37.40300169609073</v>
      </c>
      <c r="L67">
        <f>IF(COUNT(J67:K67)=2,K67-J67,"")</f>
        <v>-14.15048744962668</v>
      </c>
      <c r="O67">
        <v>29</v>
      </c>
      <c r="P67">
        <v>28</v>
      </c>
      <c r="Q67">
        <f>100*145808/355081</f>
        <v>41.063306682137316</v>
      </c>
      <c r="R67">
        <f>100*121836/420607</f>
        <v>28.966707639197637</v>
      </c>
      <c r="S67">
        <f>IF(COUNT(Q67:R67)=2,R67-Q67,"")</f>
        <v>-12.09659904293968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100*5782/414850</f>
        <v>1.3937567795588768</v>
      </c>
      <c r="E68">
        <f>IF(COUNT(C68:D68)=2,D68-C68,"")</f>
        <v>-2.465235306082458</v>
      </c>
      <c r="H68">
        <v>30</v>
      </c>
      <c r="I68">
        <v>29</v>
      </c>
      <c r="J68">
        <f>100*78716/427068</f>
        <v>18.431725158522763</v>
      </c>
      <c r="K68">
        <f>100*108048/616580</f>
        <v>17.523760096013493</v>
      </c>
      <c r="L68">
        <f>IF(COUNT(J68:K68)=2,K68-J68,"")</f>
        <v>-0.9079650625092697</v>
      </c>
      <c r="O68">
        <v>30</v>
      </c>
      <c r="P68">
        <v>29</v>
      </c>
      <c r="Q68">
        <f>100*234882/519580</f>
        <v>45.20612802648293</v>
      </c>
      <c r="R68">
        <f>100*103688/550810</f>
        <v>18.824640075525135</v>
      </c>
      <c r="S68">
        <f>IF(COUNT(Q68:R68)=2,R68-Q68,"")</f>
        <v>-26.381487950957794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100*60893/374866</f>
        <v>16.24393783378594</v>
      </c>
      <c r="E69">
        <f>IF(COUNT(C69:D69)=2,D69-C69,"")</f>
        <v>-9.338598456197776</v>
      </c>
      <c r="H69">
        <v>31</v>
      </c>
      <c r="I69">
        <v>30</v>
      </c>
      <c r="J69">
        <f>100*150446/466352</f>
        <v>32.26018115071877</v>
      </c>
      <c r="K69">
        <f>100*65010/522149</f>
        <v>12.450469118967957</v>
      </c>
      <c r="L69">
        <f>IF(COUNT(J69:K69)=2,K69-J69,"")</f>
        <v>-19.809712031750813</v>
      </c>
      <c r="O69">
        <v>31</v>
      </c>
      <c r="P69">
        <v>30</v>
      </c>
      <c r="Q69">
        <f>100*3881/600979</f>
        <v>0.6457796362268898</v>
      </c>
      <c r="R69">
        <f>100*2550/618852</f>
        <v>0.4120532857613775</v>
      </c>
      <c r="S69">
        <f>IF(COUNT(Q69:R69)=2,R69-Q69,"")</f>
        <v>-0.23372635046551232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14.344500441730348</v>
      </c>
      <c r="E70">
        <f>IF(COUNT(E39:E69)&gt;0,AVERAGE(E39:E69),"")</f>
        <v>-17.498327258979202</v>
      </c>
      <c r="H70" t="s">
        <v>5</v>
      </c>
      <c r="J70">
        <f>IF(COUNT(J39:J69)&gt;0,AVERAGE(J39:J69),"")</f>
        <v>33.41421734972294</v>
      </c>
      <c r="K70">
        <f>IF(COUNT(K39:K69)&gt;0,AVERAGE(K39:K69),"")</f>
        <v>16.989679501382433</v>
      </c>
      <c r="L70">
        <f>IF(COUNT(L39:L69)&gt;0,AVERAGE(L39:L69),"")</f>
        <v>-16.366821081578703</v>
      </c>
      <c r="O70" t="s">
        <v>5</v>
      </c>
      <c r="Q70">
        <f>IF(COUNT(Q39:Q69)&gt;0,AVERAGE(Q39:Q69),"")</f>
        <v>33.06664971973761</v>
      </c>
      <c r="R70">
        <f>IF(COUNT(R39:R69)&gt;0,AVERAGE(R39:R69),"")</f>
        <v>19.725332130012696</v>
      </c>
      <c r="S70">
        <f>IF(COUNT(S39:S69)&gt;0,AVERAGE(S39:S69),"")</f>
        <v>-13.34131758972492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100*127601/672475</f>
        <v>18.974831778133016</v>
      </c>
      <c r="E75">
        <f>IF(COUNT(C75:D75)=2,D75-C75,"")</f>
        <v>-31.640739241042347</v>
      </c>
      <c r="H75">
        <v>1</v>
      </c>
      <c r="I75">
        <v>0</v>
      </c>
      <c r="J75">
        <f>100*432733/796677</f>
        <v>54.317245257488295</v>
      </c>
      <c r="K75">
        <f>100*211814/775248</f>
        <v>27.322095639072916</v>
      </c>
      <c r="L75">
        <f>IF(COUNT(J75:K75)=2,K75-J75,"")</f>
        <v>-26.99514961841538</v>
      </c>
      <c r="O75">
        <v>1</v>
      </c>
      <c r="P75">
        <v>0</v>
      </c>
      <c r="Q75">
        <f>100*20655/569971</f>
        <v>3.623868582787545</v>
      </c>
      <c r="R75">
        <f>100*37629/586872</f>
        <v>6.411789964421543</v>
      </c>
      <c r="S75">
        <f>IF(COUNT(Q75:R75)=2,R75-Q75,"")</f>
        <v>2.787921381633998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100*170413/611121</f>
        <v>27.885312401308415</v>
      </c>
      <c r="E76">
        <f>IF(COUNT(C76:D76)=2,D76-C76,"")</f>
        <v>-23.084853868608864</v>
      </c>
      <c r="H76">
        <v>2</v>
      </c>
      <c r="I76">
        <v>1</v>
      </c>
      <c r="J76">
        <f>100*305577/591060</f>
        <v>51.69982742868744</v>
      </c>
      <c r="K76">
        <f>100*110982/709127</f>
        <v>15.650511121421127</v>
      </c>
      <c r="L76">
        <f>IF(COUNT(J76:K76)=2,K76-J76,"")</f>
        <v>-36.04931630726632</v>
      </c>
      <c r="O76">
        <v>2</v>
      </c>
      <c r="P76">
        <v>1</v>
      </c>
      <c r="Q76">
        <f>100*111778/257794</f>
        <v>43.35942651884838</v>
      </c>
      <c r="R76">
        <f>100*144929/421864</f>
        <v>34.35443650086284</v>
      </c>
      <c r="S76">
        <f>IF(COUNT(Q76:R76)=2,R76-Q76,"")</f>
        <v>-9.004990017985541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100*188863/795840</f>
        <v>23.731277643747486</v>
      </c>
      <c r="E77">
        <f>IF(COUNT(C77:D77)=2,D77-C77,"")</f>
        <v>19.47984484740663</v>
      </c>
      <c r="H77">
        <v>3</v>
      </c>
      <c r="I77">
        <v>2</v>
      </c>
      <c r="J77">
        <f>100*244646/584205</f>
        <v>41.87673847365223</v>
      </c>
      <c r="K77">
        <f>100*163898/962406</f>
        <v>17.03002682859417</v>
      </c>
      <c r="L77">
        <f>IF(COUNT(J77:K77)=2,K77-J77,"")</f>
        <v>-24.84671164505806</v>
      </c>
      <c r="O77">
        <v>3</v>
      </c>
      <c r="P77">
        <v>2</v>
      </c>
      <c r="Q77">
        <f>100*92329/194806</f>
        <v>47.395357432522616</v>
      </c>
      <c r="R77">
        <f>100*145056/389831</f>
        <v>37.20997047438505</v>
      </c>
      <c r="S77">
        <f>IF(COUNT(Q77:R77)=2,R77-Q77,"")</f>
        <v>-10.185386958137563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100*20262/516373</f>
        <v>3.923907717870609</v>
      </c>
      <c r="E78">
        <f>IF(COUNT(C78:D78)=2,D78-C78,"")</f>
        <v>-50.840064852648126</v>
      </c>
      <c r="H78">
        <v>4</v>
      </c>
      <c r="I78">
        <v>3</v>
      </c>
      <c r="J78">
        <f>100*316744/731828</f>
        <v>43.281208152735346</v>
      </c>
      <c r="K78">
        <f>100*19397/458502</f>
        <v>4.2305158974224755</v>
      </c>
      <c r="L78">
        <f>IF(COUNT(J78:K78)=2,K78-J78,"")</f>
        <v>-39.05069225531287</v>
      </c>
      <c r="O78">
        <v>4</v>
      </c>
      <c r="P78">
        <v>3</v>
      </c>
      <c r="Q78">
        <f>100*240086/489338</f>
        <v>49.06342855040892</v>
      </c>
      <c r="R78">
        <f>100*198563/624034</f>
        <v>31.8192598480211</v>
      </c>
      <c r="S78">
        <f>IF(COUNT(Q78:R78)=2,R78-Q78,"")</f>
        <v>-17.24416870238782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100*197136/561813</f>
        <v>35.08925567760091</v>
      </c>
      <c r="E79">
        <f>IF(COUNT(C79:D79)=2,D79-C79,"")</f>
        <v>-1.0634196749330869</v>
      </c>
      <c r="H79">
        <v>5</v>
      </c>
      <c r="I79">
        <v>4</v>
      </c>
      <c r="J79">
        <f>100*174388/383201</f>
        <v>45.50823197225477</v>
      </c>
      <c r="K79">
        <f>100*176944/573239</f>
        <v>30.867404346180216</v>
      </c>
      <c r="L79">
        <f>IF(COUNT(J79:K79)=2,K79-J79,"")</f>
        <v>-14.640827626074554</v>
      </c>
      <c r="O79">
        <v>5</v>
      </c>
      <c r="P79">
        <v>4</v>
      </c>
      <c r="Q79">
        <f>100*426762/872765</f>
        <v>48.89769869323357</v>
      </c>
      <c r="R79">
        <f>100*53824/664640</f>
        <v>8.09821858449687</v>
      </c>
      <c r="S79">
        <f>IF(COUNT(Q79:R79)=2,R79-Q79,"")</f>
        <v>-40.7994801087367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100*83103/591484</f>
        <v>14.049915128727067</v>
      </c>
      <c r="E80">
        <f>IF(COUNT(C80:D80)=2,D80-C80,"")</f>
        <v>-20.511311708555525</v>
      </c>
      <c r="H80">
        <v>6</v>
      </c>
      <c r="I80">
        <v>5</v>
      </c>
      <c r="J80">
        <f>100*124193/417286</f>
        <v>29.76208164184756</v>
      </c>
      <c r="K80">
        <f>100*113243/566252</f>
        <v>19.99869316134866</v>
      </c>
      <c r="L80">
        <f>IF(COUNT(J80:K80)=2,K80-J80,"")</f>
        <v>-9.7633884804989</v>
      </c>
      <c r="O80">
        <v>6</v>
      </c>
      <c r="P80">
        <v>5</v>
      </c>
      <c r="Q80">
        <f>100*275977/710313</f>
        <v>38.85287190294983</v>
      </c>
      <c r="R80">
        <f>100*133199/717428</f>
        <v>18.566183644909316</v>
      </c>
      <c r="S80">
        <f>IF(COUNT(Q80:R80)=2,R80-Q80,"")</f>
        <v>-20.286688258040513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100*56658/600990</f>
        <v>9.42744471621824</v>
      </c>
      <c r="E81">
        <f>IF(COUNT(C81:D81)=2,D81-C81,"")</f>
        <v>7.493772072970668</v>
      </c>
      <c r="H81">
        <v>7</v>
      </c>
      <c r="I81">
        <v>6</v>
      </c>
      <c r="J81">
        <f>100*4575/667678</f>
        <v>0.6852105356174683</v>
      </c>
      <c r="K81">
        <f>100*14601/874750</f>
        <v>1.6691626178908259</v>
      </c>
      <c r="L81">
        <f>IF(COUNT(J81:K81)=2,K81-J81,"")</f>
        <v>0.9839520822733576</v>
      </c>
      <c r="O81">
        <v>7</v>
      </c>
      <c r="P81">
        <v>6</v>
      </c>
      <c r="Q81">
        <f>100*256619/495194</f>
        <v>51.82191222026115</v>
      </c>
      <c r="R81">
        <f>100*206010/702852</f>
        <v>29.310580321319424</v>
      </c>
      <c r="S81">
        <f>IF(COUNT(Q81:R81)=2,R81-Q81,"")</f>
        <v>-22.511331898941723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100*4808/560880</f>
        <v>0.8572243617173014</v>
      </c>
      <c r="E82">
        <f>IF(COUNT(C82:D82)=2,D82-C82,"")</f>
        <v>-0.023412664023865437</v>
      </c>
      <c r="H82">
        <v>8</v>
      </c>
      <c r="I82">
        <v>7</v>
      </c>
      <c r="J82">
        <f>100*7536/581531</f>
        <v>1.2958896430284885</v>
      </c>
      <c r="K82">
        <f>100*4734/941570</f>
        <v>0.5027772762513674</v>
      </c>
      <c r="L82">
        <f>IF(COUNT(J82:K82)=2,K82-J82,"")</f>
        <v>-0.7931123667771212</v>
      </c>
      <c r="O82">
        <v>8</v>
      </c>
      <c r="P82">
        <v>7</v>
      </c>
      <c r="Q82">
        <f>100*168583/355732</f>
        <v>47.39045123857286</v>
      </c>
      <c r="R82">
        <f>100*155569/566317</f>
        <v>27.470303734480865</v>
      </c>
      <c r="S82">
        <f>IF(COUNT(Q82:R82)=2,R82-Q82,"")</f>
        <v>-19.920147504091993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100*125976/313320</f>
        <v>40.206817311374955</v>
      </c>
      <c r="E83">
        <f>IF(COUNT(C83:D83)=2,D83-C83,"")</f>
        <v>-11.546441088720705</v>
      </c>
      <c r="H83">
        <v>9</v>
      </c>
      <c r="I83">
        <v>8</v>
      </c>
      <c r="J83">
        <f>100*224416/408350</f>
        <v>54.95677727439696</v>
      </c>
      <c r="K83">
        <f>100*27456/110594</f>
        <v>24.825939924408196</v>
      </c>
      <c r="L83">
        <f>IF(COUNT(J83:K83)=2,K83-J83,"")</f>
        <v>-30.130837349988767</v>
      </c>
      <c r="O83">
        <v>9</v>
      </c>
      <c r="P83">
        <v>8</v>
      </c>
      <c r="Q83">
        <f>100*66103/140560</f>
        <v>47.02831531018782</v>
      </c>
      <c r="R83">
        <f>100*17441/86229</f>
        <v>20.226373957717243</v>
      </c>
      <c r="S83">
        <f>IF(COUNT(Q83:R83)=2,R83-Q83,"")</f>
        <v>-26.80194135247058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100*49619/767389</f>
        <v>6.46595142750287</v>
      </c>
      <c r="E84">
        <f>IF(COUNT(C84:D84)=2,D84-C84,"")</f>
        <v>-8.931056815950033</v>
      </c>
      <c r="H84">
        <v>10</v>
      </c>
      <c r="I84">
        <v>9</v>
      </c>
      <c r="J84">
        <f>100*472599/885198</f>
        <v>53.389072275355346</v>
      </c>
      <c r="K84">
        <f>100*81555/821212</f>
        <v>9.931053126354705</v>
      </c>
      <c r="L84">
        <f>IF(COUNT(J84:K84)=2,K84-J84,"")</f>
        <v>-43.45801914900064</v>
      </c>
      <c r="O84">
        <v>10</v>
      </c>
      <c r="P84">
        <v>9</v>
      </c>
      <c r="Q84">
        <f>100*6243/543809</f>
        <v>1.1480133649866038</v>
      </c>
      <c r="R84">
        <f>100*8816/714264</f>
        <v>1.23427752203667</v>
      </c>
      <c r="S84">
        <f>IF(COUNT(Q84:R84)=2,R84-Q84,"")</f>
        <v>0.08626415705006618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100*36559/418311</f>
        <v>8.739669767230602</v>
      </c>
      <c r="E85">
        <f>IF(COUNT(C85:D85)=2,D85-C85,"")</f>
        <v>-42.51932688624352</v>
      </c>
      <c r="H85">
        <v>11</v>
      </c>
      <c r="I85">
        <v>10</v>
      </c>
      <c r="J85">
        <f>100*370148/619144</f>
        <v>59.783830578992934</v>
      </c>
      <c r="K85">
        <f>100*218569/1029693</f>
        <v>21.226618030811125</v>
      </c>
      <c r="L85">
        <f>IF(COUNT(J85:K85)=2,K85-J85,"")</f>
        <v>-38.55721254818181</v>
      </c>
      <c r="O85">
        <v>11</v>
      </c>
      <c r="P85">
        <v>10</v>
      </c>
      <c r="Q85">
        <f>100*225999/413085</f>
        <v>54.71004756890228</v>
      </c>
      <c r="R85">
        <f>100*286269/838655</f>
        <v>34.134298370605315</v>
      </c>
      <c r="S85">
        <f>IF(COUNT(Q85:R85)=2,R85-Q85,"")</f>
        <v>-20.57574919829697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100*144596/997716</f>
        <v>14.492701329837349</v>
      </c>
      <c r="E86">
        <f>IF(COUNT(C86:D86)=2,D86-C86,"")</f>
        <v>-39.12551263247562</v>
      </c>
      <c r="H86">
        <v>12</v>
      </c>
      <c r="I86">
        <v>11</v>
      </c>
      <c r="J86">
        <f>100*303732/544372</f>
        <v>55.79493434636609</v>
      </c>
      <c r="K86">
        <f>100*6688/592699</f>
        <v>1.1283973821450686</v>
      </c>
      <c r="L86">
        <f>IF(COUNT(J86:K86)=2,K86-J86,"")</f>
        <v>-54.666536964221024</v>
      </c>
      <c r="O86">
        <v>12</v>
      </c>
      <c r="P86">
        <v>11</v>
      </c>
      <c r="Q86">
        <f>100*176887/390857</f>
        <v>45.25619344159117</v>
      </c>
      <c r="R86">
        <f>100*179198/472040</f>
        <v>37.962460808406064</v>
      </c>
      <c r="S86">
        <f>IF(COUNT(Q86:R86)=2,R86-Q86,"")</f>
        <v>-7.293732633185108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100*12144/684707</f>
        <v>1.7736053523623974</v>
      </c>
      <c r="E87">
        <f>IF(COUNT(C87:D87)=2,D87-C87,"")</f>
        <v>0.21458651365411718</v>
      </c>
      <c r="H87">
        <v>13</v>
      </c>
      <c r="I87">
        <v>12</v>
      </c>
      <c r="J87">
        <f>100*302007/670149</f>
        <v>45.06564957942189</v>
      </c>
      <c r="K87">
        <f>100*11430/865093</f>
        <v>1.3212452302815998</v>
      </c>
      <c r="L87">
        <f>IF(COUNT(J87:K87)=2,K87-J87,"")</f>
        <v>-43.74440434914029</v>
      </c>
      <c r="O87">
        <v>13</v>
      </c>
      <c r="P87">
        <v>12</v>
      </c>
      <c r="Q87">
        <f>100*187062/769706</f>
        <v>24.30304557844164</v>
      </c>
      <c r="R87">
        <f>100*126988/707057</f>
        <v>17.960079597543054</v>
      </c>
      <c r="S87">
        <f>IF(COUNT(Q87:R87)=2,R87-Q87,"")</f>
        <v>-6.342965980898587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100*35401/436884</f>
        <v>8.103066260151436</v>
      </c>
      <c r="E88">
        <f>IF(COUNT(C88:D88)=2,D88-C88,"")</f>
        <v>2.031704660220119</v>
      </c>
      <c r="H88">
        <v>14</v>
      </c>
      <c r="I88">
        <v>13</v>
      </c>
      <c r="J88">
        <f>100*112082/470769</f>
        <v>23.808279644581525</v>
      </c>
      <c r="K88">
        <f>100*12749/291860</f>
        <v>4.368190228191598</v>
      </c>
      <c r="L88">
        <f>IF(COUNT(J88:K88)=2,K88-J88,"")</f>
        <v>-19.440089416389927</v>
      </c>
      <c r="O88">
        <v>14</v>
      </c>
      <c r="P88">
        <v>13</v>
      </c>
      <c r="Q88">
        <f>100*77933/602059</f>
        <v>12.94441242469592</v>
      </c>
      <c r="R88">
        <f>100*15676/742424</f>
        <v>2.1114619139467474</v>
      </c>
      <c r="S88">
        <f>IF(COUNT(Q88:R88)=2,R88-Q88,"")</f>
        <v>-10.832950510749171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100*103922/817726</f>
        <v>12.708657912308034</v>
      </c>
      <c r="E89">
        <f>IF(COUNT(C89:D89)=2,D89-C89,"")</f>
        <v>-7.8444776975997925</v>
      </c>
      <c r="H89">
        <v>15</v>
      </c>
      <c r="I89">
        <v>14</v>
      </c>
      <c r="J89">
        <f>100*79792/480516</f>
        <v>16.605482439710645</v>
      </c>
      <c r="K89">
        <f>100*5122/56886</f>
        <v>9.003972857996695</v>
      </c>
      <c r="L89">
        <f>IF(COUNT(J89:K89)=2,K89-J89,"")</f>
        <v>-7.60150958171395</v>
      </c>
      <c r="O89">
        <v>15</v>
      </c>
      <c r="P89">
        <v>14</v>
      </c>
      <c r="Q89">
        <f>100*175395/343809</f>
        <v>51.015243929042</v>
      </c>
      <c r="R89">
        <f>100*86415/352328</f>
        <v>24.526861333757182</v>
      </c>
      <c r="S89">
        <f>IF(COUNT(Q89:R89)=2,R89-Q89,"")</f>
        <v>-26.48838259528482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100*44977/790362</f>
        <v>5.690683509581685</v>
      </c>
      <c r="E90">
        <f>IF(COUNT(C90:D90)=2,D90-C90,"")</f>
        <v>-51.895286216250895</v>
      </c>
      <c r="H90">
        <v>16</v>
      </c>
      <c r="I90">
        <v>15</v>
      </c>
      <c r="J90">
        <f>100*331166/636513</f>
        <v>52.028159676235994</v>
      </c>
      <c r="K90">
        <f>100*33294/686916</f>
        <v>4.846880841325577</v>
      </c>
      <c r="L90">
        <f>IF(COUNT(J90:K90)=2,K90-J90,"")</f>
        <v>-47.181278834910415</v>
      </c>
      <c r="O90">
        <v>16</v>
      </c>
      <c r="P90">
        <v>15</v>
      </c>
      <c r="Q90">
        <f>100*123775/294038</f>
        <v>42.0948992987301</v>
      </c>
      <c r="R90">
        <f>100*127986/424539</f>
        <v>30.14705362758192</v>
      </c>
      <c r="S90">
        <f>IF(COUNT(Q90:R90)=2,R90-Q90,"")</f>
        <v>-11.94784567114818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100*158610/659958</f>
        <v>24.03334757666397</v>
      </c>
      <c r="E91">
        <f>IF(COUNT(C91:D91)=2,D91-C91,"")</f>
        <v>-17.098667373960247</v>
      </c>
      <c r="H91">
        <v>17</v>
      </c>
      <c r="I91">
        <v>16</v>
      </c>
      <c r="J91">
        <f>100*2558/107131</f>
        <v>2.3877309088872503</v>
      </c>
      <c r="K91">
        <f>100*166625/561938</f>
        <v>29.65184771273699</v>
      </c>
      <c r="L91">
        <f>IF(COUNT(J91:K91)=2,K91-J91,"")</f>
        <v>27.264116803849742</v>
      </c>
      <c r="O91">
        <v>17</v>
      </c>
      <c r="P91">
        <v>16</v>
      </c>
      <c r="Q91">
        <f>100*18236/388369</f>
        <v>4.695534401561401</v>
      </c>
      <c r="R91">
        <f>100*4048/395288</f>
        <v>1.024063467648904</v>
      </c>
      <c r="S91">
        <f>IF(COUNT(Q91:R91)=2,R91-Q91,"")</f>
        <v>-3.6714709339124973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100*93484/1890828</f>
        <v>4.944077409473522</v>
      </c>
      <c r="E92">
        <f>IF(COUNT(C92:D92)=2,D92-C92,"")</f>
        <v>-46.57025017260893</v>
      </c>
      <c r="H92">
        <v>18</v>
      </c>
      <c r="I92">
        <v>17</v>
      </c>
      <c r="K92">
        <f>100*28150/512941</f>
        <v>5.4879606036561706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100*4968/465386</f>
        <v>1.0675009561955022</v>
      </c>
      <c r="S92">
        <f>IF(COUNT(Q92:R92)=2,R92-Q92,"")</f>
        <v>-16.946422091524155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100*38241/915000</f>
        <v>4.179344262295082</v>
      </c>
      <c r="E93">
        <f>IF(COUNT(C93:D93)=2,D93-C93,"")</f>
        <v>-44.929144938405116</v>
      </c>
      <c r="H93">
        <v>19</v>
      </c>
      <c r="I93">
        <v>18</v>
      </c>
      <c r="J93">
        <f>100*98670/626756</f>
        <v>15.742968555546337</v>
      </c>
      <c r="K93">
        <f>100*17919/707688</f>
        <v>2.532048021161868</v>
      </c>
      <c r="L93">
        <f>IF(COUNT(J93:K93)=2,K93-J93,"")</f>
        <v>-13.210920534384469</v>
      </c>
      <c r="O93">
        <v>19</v>
      </c>
      <c r="P93">
        <v>18</v>
      </c>
      <c r="Q93">
        <f>100*176507/342598</f>
        <v>51.52014897927017</v>
      </c>
      <c r="R93">
        <f>100*250925/698906</f>
        <v>35.9025391111251</v>
      </c>
      <c r="S93">
        <f>IF(COUNT(Q93:R93)=2,R93-Q93,"")</f>
        <v>-15.617609868145067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100*200254/873703</f>
        <v>22.92014563301259</v>
      </c>
      <c r="E94">
        <f>IF(COUNT(C94:D94)=2,D94-C94,"")</f>
        <v>-27.261730295498257</v>
      </c>
      <c r="H94">
        <v>20</v>
      </c>
      <c r="I94">
        <v>19</v>
      </c>
      <c r="J94">
        <f>100*63724/294932</f>
        <v>21.606336375842567</v>
      </c>
      <c r="K94">
        <f>100*89611/654541</f>
        <v>13.690662617009476</v>
      </c>
      <c r="L94">
        <f>IF(COUNT(J94:K94)=2,K94-J94,"")</f>
        <v>-7.9156737588330905</v>
      </c>
      <c r="O94">
        <v>20</v>
      </c>
      <c r="P94">
        <v>19</v>
      </c>
      <c r="Q94">
        <f>100*271008/594768</f>
        <v>45.565329674763944</v>
      </c>
      <c r="R94">
        <f>100*188638/720186</f>
        <v>26.19295570866415</v>
      </c>
      <c r="S94">
        <f>IF(COUNT(Q94:R94)=2,R94-Q94,"")</f>
        <v>-19.372373966099794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100*250192/832526</f>
        <v>30.052154527306055</v>
      </c>
      <c r="E95">
        <f>IF(COUNT(C95:D95)=2,D95-C95,"")</f>
        <v>-24.653546972369416</v>
      </c>
      <c r="H95">
        <v>21</v>
      </c>
      <c r="I95">
        <v>20</v>
      </c>
      <c r="J95">
        <f>100*465002/826011</f>
        <v>56.29489195664465</v>
      </c>
      <c r="K95">
        <f>100*30739/565079</f>
        <v>5.439770368390969</v>
      </c>
      <c r="L95">
        <f>IF(COUNT(J95:K95)=2,K95-J95,"")</f>
        <v>-50.85512158825368</v>
      </c>
      <c r="O95">
        <v>21</v>
      </c>
      <c r="P95">
        <v>20</v>
      </c>
      <c r="Q95">
        <f>100*230728/471359</f>
        <v>48.9495267938026</v>
      </c>
      <c r="R95">
        <f>100*76031/591664</f>
        <v>12.85036777630547</v>
      </c>
      <c r="S95">
        <f>IF(COUNT(Q95:R95)=2,R95-Q95,"")</f>
        <v>-36.09915901749713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100*51545/165998</f>
        <v>31.05157893468596</v>
      </c>
      <c r="E96">
        <f>IF(COUNT(C96:D96)=2,D96-C96,"")</f>
        <v>-10.005219035982027</v>
      </c>
      <c r="H96">
        <v>22</v>
      </c>
      <c r="I96">
        <v>21</v>
      </c>
      <c r="J96">
        <f>100*144864/290419</f>
        <v>49.881033954390034</v>
      </c>
      <c r="K96">
        <f>100*123736/381280</f>
        <v>32.45279060008393</v>
      </c>
      <c r="L96">
        <f>IF(COUNT(J96:K96)=2,K96-J96,"")</f>
        <v>-17.428243354306105</v>
      </c>
      <c r="O96">
        <v>22</v>
      </c>
      <c r="P96">
        <v>21</v>
      </c>
      <c r="Q96">
        <f>100*25278/69101</f>
        <v>36.58123616156061</v>
      </c>
      <c r="R96">
        <f>100*116327/333143</f>
        <v>34.918038199812095</v>
      </c>
      <c r="S96">
        <f>IF(COUNT(Q96:R96)=2,R96-Q96,"")</f>
        <v>-1.6631979617485158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100*158953/559562</f>
        <v>28.406682369424658</v>
      </c>
      <c r="E97">
        <f>IF(COUNT(C97:D97)=2,D97-C97,"")</f>
        <v>-15.076619902576113</v>
      </c>
      <c r="H97">
        <v>23</v>
      </c>
      <c r="I97">
        <v>22</v>
      </c>
      <c r="J97">
        <f>100*455714/839395</f>
        <v>54.29076894668184</v>
      </c>
      <c r="K97">
        <f>100*109392/812704</f>
        <v>13.460251210772926</v>
      </c>
      <c r="L97">
        <f>IF(COUNT(J97:K97)=2,K97-J97,"")</f>
        <v>-40.83051773590891</v>
      </c>
      <c r="O97">
        <v>23</v>
      </c>
      <c r="P97">
        <v>22</v>
      </c>
      <c r="Q97">
        <f>100*745/388450</f>
        <v>0.1917878748873729</v>
      </c>
      <c r="R97">
        <f>100*6239/679546</f>
        <v>0.9181129754277121</v>
      </c>
      <c r="S97">
        <f>IF(COUNT(Q97:R97)=2,R97-Q97,"")</f>
        <v>0.7263251005403392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100*23053/475073</f>
        <v>4.852517402588655</v>
      </c>
      <c r="E98">
        <f>IF(COUNT(C98:D98)=2,D98-C98,"")</f>
        <v>-21.428252612838854</v>
      </c>
      <c r="H98">
        <v>24</v>
      </c>
      <c r="I98">
        <v>23</v>
      </c>
      <c r="J98">
        <f>100*361494/762974</f>
        <v>47.37959615924002</v>
      </c>
      <c r="K98">
        <f>100*161356/893214</f>
        <v>18.064651919920646</v>
      </c>
      <c r="L98">
        <f>IF(COUNT(J98:K98)=2,K98-J98,"")</f>
        <v>-29.314944239319377</v>
      </c>
      <c r="O98">
        <v>24</v>
      </c>
      <c r="P98">
        <v>23</v>
      </c>
      <c r="Q98">
        <f>100*292810/722778</f>
        <v>40.51174772890155</v>
      </c>
      <c r="R98">
        <f>100*75802/883609</f>
        <v>8.578681294554492</v>
      </c>
      <c r="S98">
        <f>IF(COUNT(Q98:R98)=2,R98-Q98,"")</f>
        <v>-31.933066434347054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100*18940/791576</f>
        <v>2.3926950791838055</v>
      </c>
      <c r="E99">
        <f>IF(COUNT(C99:D99)=2,D99-C99,"")</f>
        <v>-40.175376018545585</v>
      </c>
      <c r="H99">
        <v>25</v>
      </c>
      <c r="I99">
        <v>24</v>
      </c>
      <c r="J99">
        <f>100*297339/579923</f>
        <v>51.27215164771875</v>
      </c>
      <c r="K99">
        <f>100*23560/492188</f>
        <v>4.786788788024088</v>
      </c>
      <c r="L99">
        <f>IF(COUNT(J99:K99)=2,K99-J99,"")</f>
        <v>-46.48536285969466</v>
      </c>
      <c r="O99">
        <v>25</v>
      </c>
      <c r="P99">
        <v>24</v>
      </c>
      <c r="Q99">
        <f>100*194348/434877</f>
        <v>44.69033772767932</v>
      </c>
      <c r="R99">
        <f>100*184514/508757</f>
        <v>36.26760909432205</v>
      </c>
      <c r="S99">
        <f>IF(COUNT(Q99:R99)=2,R99-Q99,"")</f>
        <v>-8.422728633357274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100*189112/785903</f>
        <v>24.063020499985367</v>
      </c>
      <c r="E100">
        <f>IF(COUNT(C100:D100)=2,D100-C100,"")</f>
        <v>-35.52494378709521</v>
      </c>
      <c r="H100">
        <v>26</v>
      </c>
      <c r="I100">
        <v>25</v>
      </c>
      <c r="J100">
        <f>100*30617/503886</f>
        <v>6.076175960435496</v>
      </c>
      <c r="K100">
        <f>100*36811/670922</f>
        <v>5.486628848062815</v>
      </c>
      <c r="L100">
        <f>IF(COUNT(J100:K100)=2,K100-J100,"")</f>
        <v>-0.5895471123726805</v>
      </c>
      <c r="O100">
        <v>26</v>
      </c>
      <c r="P100">
        <v>25</v>
      </c>
      <c r="Q100">
        <f>100*196342/383537</f>
        <v>51.19245340084529</v>
      </c>
      <c r="R100">
        <f>100*192064/716159</f>
        <v>26.818625472834942</v>
      </c>
      <c r="S100">
        <f>IF(COUNT(Q100:R100)=2,R100-Q100,"")</f>
        <v>-24.373827928010346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100*91513/711624</f>
        <v>12.85974053713759</v>
      </c>
      <c r="E101">
        <f>IF(COUNT(C101:D101)=2,D101-C101,"")</f>
        <v>-5.590173614190967</v>
      </c>
      <c r="H101">
        <v>27</v>
      </c>
      <c r="I101">
        <v>26</v>
      </c>
      <c r="J101">
        <f>100*110948/559494</f>
        <v>19.830060733448438</v>
      </c>
      <c r="K101">
        <f>100*41819/534707</f>
        <v>7.820918746154436</v>
      </c>
      <c r="L101">
        <f>IF(COUNT(J101:K101)=2,K101-J101,"")</f>
        <v>-12.009141987294</v>
      </c>
      <c r="O101">
        <v>27</v>
      </c>
      <c r="P101">
        <v>26</v>
      </c>
      <c r="Q101">
        <f>100*186316/322263</f>
        <v>57.81489032250057</v>
      </c>
      <c r="R101">
        <f>100*210589/571954</f>
        <v>36.8192197274606</v>
      </c>
      <c r="S101">
        <f>IF(COUNT(Q101:R101)=2,R101-Q101,"")</f>
        <v>-20.995670595039968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100*96746/486325</f>
        <v>19.89328124196782</v>
      </c>
      <c r="E102">
        <f>IF(COUNT(C102:D102)=2,D102-C102,"")</f>
        <v>-8.700897511462209</v>
      </c>
      <c r="H102">
        <v>28</v>
      </c>
      <c r="I102">
        <v>27</v>
      </c>
      <c r="J102">
        <f>100*139061/401357</f>
        <v>34.6477076517913</v>
      </c>
      <c r="K102">
        <f>100*148850/614016</f>
        <v>24.242039295392953</v>
      </c>
      <c r="L102">
        <f>IF(COUNT(J102:K102)=2,K102-J102,"")</f>
        <v>-10.405668356398348</v>
      </c>
      <c r="O102">
        <v>28</v>
      </c>
      <c r="P102">
        <v>27</v>
      </c>
      <c r="Q102">
        <f>100*1759/765634</f>
        <v>0.22974423810854794</v>
      </c>
      <c r="R102">
        <f>100*2291/759397</f>
        <v>0.30168673302633536</v>
      </c>
      <c r="S102">
        <f>IF(COUNT(Q102:R102)=2,R102-Q102,"")</f>
        <v>0.07194249491778743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100*289346/741587</f>
        <v>39.0171348742629</v>
      </c>
      <c r="E103">
        <f>IF(COUNT(C103:D103)=2,D103-C103,"")</f>
        <v>-12.149356771353936</v>
      </c>
      <c r="H103">
        <v>29</v>
      </c>
      <c r="I103">
        <v>28</v>
      </c>
      <c r="J103">
        <f>100*239541/426383</f>
        <v>56.17977264571993</v>
      </c>
      <c r="K103">
        <f>100*249635/754685</f>
        <v>33.078039181910334</v>
      </c>
      <c r="L103">
        <f>IF(COUNT(J103:K103)=2,K103-J103,"")</f>
        <v>-23.101733463809595</v>
      </c>
      <c r="O103">
        <v>29</v>
      </c>
      <c r="P103">
        <v>28</v>
      </c>
      <c r="Q103">
        <f>100*180468/321414</f>
        <v>56.14814538259068</v>
      </c>
      <c r="R103">
        <f>100*212938/585161</f>
        <v>36.38964319221547</v>
      </c>
      <c r="S103">
        <f>IF(COUNT(Q103:R103)=2,R103-Q103,"")</f>
        <v>-19.758502190375204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100*7595/599813</f>
        <v>1.2662279743853502</v>
      </c>
      <c r="E104">
        <f>IF(COUNT(C104:D104)=2,D104-C104,"")</f>
        <v>-0.1368670595274899</v>
      </c>
      <c r="H104">
        <v>30</v>
      </c>
      <c r="I104">
        <v>29</v>
      </c>
      <c r="J104">
        <f>100*176819/628999</f>
        <v>28.111173467684367</v>
      </c>
      <c r="K104">
        <f>100*18531/552528</f>
        <v>3.353857180088611</v>
      </c>
      <c r="L104">
        <f>IF(COUNT(J104:K104)=2,K104-J104,"")</f>
        <v>-24.757316287595756</v>
      </c>
      <c r="O104">
        <v>30</v>
      </c>
      <c r="P104">
        <v>29</v>
      </c>
      <c r="Q104">
        <f>100*273685/521227</f>
        <v>52.5078324798984</v>
      </c>
      <c r="R104">
        <f>100*210465/744186</f>
        <v>28.28123614257726</v>
      </c>
      <c r="S104">
        <f>IF(COUNT(Q104:R104)=2,R104-Q104,"")</f>
        <v>-24.226596337321137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100*193259/749586</f>
        <v>25.78209838497517</v>
      </c>
      <c r="E105">
        <f>IF(COUNT(C105:D105)=2,D105-C105,"")</f>
        <v>-13.711059587203977</v>
      </c>
      <c r="H105">
        <v>31</v>
      </c>
      <c r="I105">
        <v>30</v>
      </c>
      <c r="J105">
        <f>100*69915/403117</f>
        <v>17.343599997023198</v>
      </c>
      <c r="K105">
        <f>100*131987/554954</f>
        <v>23.78341267924909</v>
      </c>
      <c r="L105">
        <f>IF(COUNT(J105:K105)=2,K105-J105,"")</f>
        <v>6.439812682225892</v>
      </c>
      <c r="O105">
        <v>31</v>
      </c>
      <c r="P105">
        <v>30</v>
      </c>
      <c r="Q105">
        <f>100*141232/628600</f>
        <v>22.467706013363028</v>
      </c>
      <c r="R105">
        <f>100*18697/771332</f>
        <v>2.4239886326510502</v>
      </c>
      <c r="S105">
        <f>IF(COUNT(Q105:R105)=2,R105-Q105,"")</f>
        <v>-20.04371738071198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16.381753838807125</v>
      </c>
      <c r="E106">
        <f>IF(COUNT(E75:E105)&gt;0,AVERAGE(E75:E105),"")</f>
        <v>-18.80058390020707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13.459843622010052</v>
      </c>
      <c r="L106">
        <f>IF(COUNT(L75:L105)&gt;0,AVERAGE(L75:L105),"")</f>
        <v>-22.63784654009239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20.97735092546169</v>
      </c>
      <c r="S106">
        <f>IF(COUNT(S75:S105)&gt;0,AVERAGE(S75:S105),"")</f>
        <v>-15.796375857880754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B744-6BF9-447B-BBB0-BEAAB5AF9E1C}">
  <dimension ref="A1:S106"/>
  <sheetViews>
    <sheetView tabSelected="1" topLeftCell="A52" workbookViewId="0">
      <selection activeCell="G68" sqref="G68"/>
    </sheetView>
  </sheetViews>
  <sheetFormatPr defaultRowHeight="16.5" x14ac:dyDescent="0.3"/>
  <sheetData>
    <row r="1" spans="1:19" s="2" customFormat="1" ht="17.25" customHeight="1" x14ac:dyDescent="0.3">
      <c r="A1" s="1" t="s">
        <v>6</v>
      </c>
      <c r="B1" s="1"/>
      <c r="C1" s="1"/>
      <c r="D1" s="1"/>
      <c r="E1" s="1"/>
      <c r="H1" s="1" t="s">
        <v>7</v>
      </c>
      <c r="I1" s="1"/>
      <c r="J1" s="1"/>
      <c r="K1" s="1"/>
      <c r="L1" s="1"/>
      <c r="O1" s="1" t="s">
        <v>8</v>
      </c>
      <c r="P1" s="1"/>
      <c r="Q1" s="1"/>
      <c r="R1" s="1"/>
      <c r="S1" s="1"/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</row>
    <row r="3" spans="1:19" x14ac:dyDescent="0.3">
      <c r="A3">
        <v>1</v>
      </c>
      <c r="B3">
        <v>0</v>
      </c>
      <c r="C3">
        <f>100*195788/558995</f>
        <v>35.0250002236156</v>
      </c>
      <c r="D3">
        <f>100*31997/386300</f>
        <v>8.282940719647941</v>
      </c>
      <c r="E3">
        <f>IF(COUNT(C3:D3)=2,D3-C3,"")</f>
        <v>-26.74205950396766</v>
      </c>
      <c r="H3">
        <v>1</v>
      </c>
      <c r="I3">
        <v>0</v>
      </c>
      <c r="J3">
        <f>100*58251/215009</f>
        <v>27.09235427354204</v>
      </c>
      <c r="K3">
        <f>100*39966/327634</f>
        <v>12.198367690776903</v>
      </c>
      <c r="L3">
        <f>IF(COUNT(J3:K3)=2,K3-J3,"")</f>
        <v>-14.893986582765136</v>
      </c>
      <c r="O3">
        <v>1</v>
      </c>
      <c r="P3">
        <v>0</v>
      </c>
      <c r="Q3">
        <f>100*45645/291867</f>
        <v>15.638972545714315</v>
      </c>
      <c r="R3">
        <f>100*16730/325491</f>
        <v>5.1399270640355645</v>
      </c>
      <c r="S3">
        <f>IF(COUNT(Q3:R3)=2,R3-Q3,"")</f>
        <v>-10.49904548167875</v>
      </c>
    </row>
    <row r="4" spans="1:19" x14ac:dyDescent="0.3">
      <c r="A4">
        <v>2</v>
      </c>
      <c r="B4">
        <v>1</v>
      </c>
      <c r="C4">
        <f>100*131600/348213</f>
        <v>37.792960056057645</v>
      </c>
      <c r="D4">
        <f>100*52930/260523</f>
        <v>20.31682423432864</v>
      </c>
      <c r="E4">
        <f>IF(COUNT(C4:D4)=2,D4-C4,"")</f>
        <v>-17.476135821729006</v>
      </c>
      <c r="H4">
        <v>2</v>
      </c>
      <c r="I4">
        <v>1</v>
      </c>
      <c r="J4">
        <f>100*64971/296332</f>
        <v>21.925070529001257</v>
      </c>
      <c r="K4">
        <f>100*70654/332371</f>
        <v>21.257570606340504</v>
      </c>
      <c r="L4">
        <f>IF(COUNT(J4:K4)=2,K4-J4,"")</f>
        <v>-0.6674999226607525</v>
      </c>
      <c r="O4">
        <v>2</v>
      </c>
      <c r="P4">
        <v>1</v>
      </c>
      <c r="Q4">
        <f>100*75288/157455</f>
        <v>47.81556635229113</v>
      </c>
      <c r="R4">
        <f>100*60090/212397</f>
        <v>28.291360047458298</v>
      </c>
      <c r="S4">
        <f>IF(COUNT(Q4:R4)=2,R4-Q4,"")</f>
        <v>-19.52420630483283</v>
      </c>
    </row>
    <row r="5" spans="1:19" x14ac:dyDescent="0.3">
      <c r="A5">
        <v>3</v>
      </c>
      <c r="B5">
        <v>2</v>
      </c>
      <c r="C5">
        <f>100*190955/499604</f>
        <v>38.221271246827484</v>
      </c>
      <c r="D5">
        <f>100*68970/366136</f>
        <v>18.837262656499224</v>
      </c>
      <c r="E5">
        <f>IF(COUNT(C5:D5)=2,D5-C5,"")</f>
        <v>-19.38400859032826</v>
      </c>
      <c r="H5">
        <v>3</v>
      </c>
      <c r="I5">
        <v>2</v>
      </c>
      <c r="J5">
        <f>100*62705/328831</f>
        <v>19.069065872743142</v>
      </c>
      <c r="K5">
        <f>100*156618/669083</f>
        <v>23.40785821788926</v>
      </c>
      <c r="L5">
        <f>IF(COUNT(J5:K5)=2,K5-J5,"")</f>
        <v>4.338792345146118</v>
      </c>
      <c r="O5">
        <v>3</v>
      </c>
      <c r="P5">
        <v>2</v>
      </c>
      <c r="Q5">
        <f>100*141348/334791</f>
        <v>42.21977293296415</v>
      </c>
      <c r="R5">
        <f>100*55994/237620</f>
        <v>23.564514771483882</v>
      </c>
      <c r="S5">
        <f>IF(COUNT(Q5:R5)=2,R5-Q5,"")</f>
        <v>-18.655258161480265</v>
      </c>
    </row>
    <row r="6" spans="1:19" x14ac:dyDescent="0.3">
      <c r="A6">
        <v>4</v>
      </c>
      <c r="B6">
        <v>3</v>
      </c>
      <c r="C6">
        <f>100*11557/332328</f>
        <v>3.477588406634409</v>
      </c>
      <c r="D6">
        <f>100*26557/399738</f>
        <v>6.643601559021159</v>
      </c>
      <c r="E6">
        <f>IF(COUNT(C6:D6)=2,D6-C6,"")</f>
        <v>3.1660131523867494</v>
      </c>
      <c r="H6">
        <v>4</v>
      </c>
      <c r="I6">
        <v>3</v>
      </c>
      <c r="J6">
        <f>100*69099/464767</f>
        <v>14.867449711360747</v>
      </c>
      <c r="K6">
        <f>100*14784/239427</f>
        <v>6.174742196995326</v>
      </c>
      <c r="L6">
        <f>IF(COUNT(J6:K6)=2,K6-J6,"")</f>
        <v>-8.69270751436542</v>
      </c>
      <c r="O6">
        <v>4</v>
      </c>
      <c r="P6">
        <v>3</v>
      </c>
      <c r="Q6">
        <f>100*182044/470083</f>
        <v>38.72592712350798</v>
      </c>
      <c r="R6">
        <f>100*176525/556432</f>
        <v>31.72445150530523</v>
      </c>
      <c r="S6">
        <f>IF(COUNT(Q6:R6)=2,R6-Q6,"")</f>
        <v>-7.00147561820275</v>
      </c>
    </row>
    <row r="7" spans="1:19" x14ac:dyDescent="0.3">
      <c r="A7">
        <v>5</v>
      </c>
      <c r="B7">
        <v>4</v>
      </c>
      <c r="C7">
        <f>100*96546/258766</f>
        <v>37.3101566666409</v>
      </c>
      <c r="D7">
        <f>100*59059/295691</f>
        <v>19.973215282169562</v>
      </c>
      <c r="E7">
        <f>IF(COUNT(C7:D7)=2,D7-C7,"")</f>
        <v>-17.336941384471338</v>
      </c>
      <c r="H7">
        <v>5</v>
      </c>
      <c r="I7">
        <v>4</v>
      </c>
      <c r="J7">
        <f>100*106457/411240</f>
        <v>25.88683007489544</v>
      </c>
      <c r="K7">
        <f>100*86810/416114</f>
        <v>20.862071451573367</v>
      </c>
      <c r="L7">
        <f>IF(COUNT(J7:K7)=2,K7-J7,"")</f>
        <v>-5.024758623322072</v>
      </c>
      <c r="O7">
        <v>5</v>
      </c>
      <c r="P7">
        <v>4</v>
      </c>
      <c r="Q7">
        <f>100*154964/442048</f>
        <v>35.055921528883744</v>
      </c>
      <c r="R7">
        <f>100*31518/504129</f>
        <v>6.251971221651601</v>
      </c>
      <c r="S7">
        <f>IF(COUNT(Q7:R7)=2,R7-Q7,"")</f>
        <v>-28.803950307232142</v>
      </c>
    </row>
    <row r="8" spans="1:19" x14ac:dyDescent="0.3">
      <c r="A8">
        <v>6</v>
      </c>
      <c r="B8">
        <v>5</v>
      </c>
      <c r="C8">
        <f>100*77908/371148</f>
        <v>20.9910871134965</v>
      </c>
      <c r="D8">
        <f>100*36338/282425</f>
        <v>12.86642471452598</v>
      </c>
      <c r="E8">
        <f>IF(COUNT(C8:D8)=2,D8-C8,"")</f>
        <v>-8.124662398970521</v>
      </c>
      <c r="H8">
        <v>6</v>
      </c>
      <c r="I8">
        <v>5</v>
      </c>
      <c r="J8">
        <f>100*91696/324059</f>
        <v>28.29608188632317</v>
      </c>
      <c r="K8">
        <f>100*50282/253432</f>
        <v>19.840430569146754</v>
      </c>
      <c r="L8">
        <f>IF(COUNT(J8:K8)=2,K8-J8,"")</f>
        <v>-8.455651317176414</v>
      </c>
      <c r="O8">
        <v>6</v>
      </c>
      <c r="P8">
        <v>5</v>
      </c>
      <c r="Q8">
        <f>100*114455/487242</f>
        <v>23.49038055011678</v>
      </c>
      <c r="R8">
        <f>100*54923/383608</f>
        <v>14.317480344518362</v>
      </c>
      <c r="S8">
        <f>IF(COUNT(Q8:R8)=2,R8-Q8,"")</f>
        <v>-9.172900205598417</v>
      </c>
    </row>
    <row r="9" spans="1:19" x14ac:dyDescent="0.3">
      <c r="A9">
        <v>7</v>
      </c>
      <c r="B9">
        <v>6</v>
      </c>
      <c r="C9">
        <f>100*93317/434887</f>
        <v>21.457757992306046</v>
      </c>
      <c r="D9">
        <f>100*27034/499432</f>
        <v>5.4129491101891745</v>
      </c>
      <c r="E9">
        <f>IF(COUNT(C9:D9)=2,D9-C9,"")</f>
        <v>-16.04480888211687</v>
      </c>
      <c r="H9">
        <v>7</v>
      </c>
      <c r="I9">
        <v>6</v>
      </c>
      <c r="J9">
        <f>100*2956/325191</f>
        <v>0.9090042467349957</v>
      </c>
      <c r="K9">
        <f>100*12451/483261</f>
        <v>2.5764545452664294</v>
      </c>
      <c r="L9">
        <f>IF(COUNT(J9:K9)=2,K9-J9,"")</f>
        <v>1.6674502985314337</v>
      </c>
      <c r="O9">
        <v>7</v>
      </c>
      <c r="P9">
        <v>6</v>
      </c>
      <c r="Q9">
        <f>100*198686/446837</f>
        <v>44.46498387555194</v>
      </c>
      <c r="R9">
        <f>100*77724/368742</f>
        <v>21.078152203980018</v>
      </c>
      <c r="S9">
        <f>IF(COUNT(Q9:R9)=2,R9-Q9,"")</f>
        <v>-23.38683167157192</v>
      </c>
    </row>
    <row r="10" spans="1:19" x14ac:dyDescent="0.3">
      <c r="A10">
        <v>8</v>
      </c>
      <c r="B10">
        <v>7</v>
      </c>
      <c r="C10">
        <f>100*1113/275738</f>
        <v>0.4036440389064982</v>
      </c>
      <c r="D10">
        <f>100*5724/316170</f>
        <v>1.8104184457728438</v>
      </c>
      <c r="E10">
        <f>IF(COUNT(C10:D10)=2,D10-C10,"")</f>
        <v>1.4067744068663457</v>
      </c>
      <c r="H10">
        <v>8</v>
      </c>
      <c r="I10">
        <v>7</v>
      </c>
      <c r="J10">
        <f>100*1179/376958</f>
        <v>0.31276693955294754</v>
      </c>
      <c r="K10">
        <f>100*320/274495</f>
        <v>0.11657771544108271</v>
      </c>
      <c r="L10">
        <f>IF(COUNT(J10:K10)=2,K10-J10,"")</f>
        <v>-0.19618922411186485</v>
      </c>
      <c r="O10">
        <v>8</v>
      </c>
      <c r="P10">
        <v>7</v>
      </c>
      <c r="Q10">
        <f>100*140584/308785</f>
        <v>45.52811826999368</v>
      </c>
      <c r="R10">
        <f>100*96636/387948</f>
        <v>24.909523956818955</v>
      </c>
      <c r="S10">
        <f>IF(COUNT(Q10:R10)=2,R10-Q10,"")</f>
        <v>-20.61859431317473</v>
      </c>
    </row>
    <row r="11" spans="1:19" x14ac:dyDescent="0.3">
      <c r="A11">
        <v>9</v>
      </c>
      <c r="B11">
        <v>8</v>
      </c>
      <c r="C11">
        <f>100*126680/328998</f>
        <v>38.504793342208764</v>
      </c>
      <c r="D11">
        <f>100*61117/309578</f>
        <v>19.74203593278592</v>
      </c>
      <c r="E11">
        <f>IF(COUNT(C11:D11)=2,D11-C11,"")</f>
        <v>-18.762757409422843</v>
      </c>
      <c r="H11">
        <v>9</v>
      </c>
      <c r="I11">
        <v>8</v>
      </c>
      <c r="J11">
        <f>100*144131/422295</f>
        <v>34.13040646941119</v>
      </c>
      <c r="K11">
        <f>100*70216/325138</f>
        <v>21.595753187877147</v>
      </c>
      <c r="L11">
        <f>IF(COUNT(J11:K11)=2,K11-J11,"")</f>
        <v>-12.534653281534045</v>
      </c>
      <c r="O11">
        <v>9</v>
      </c>
      <c r="P11">
        <v>8</v>
      </c>
      <c r="Q11">
        <f>100*85958/184662</f>
        <v>46.54882975382049</v>
      </c>
      <c r="R11">
        <f>100*60629/214361</f>
        <v>28.283596363144415</v>
      </c>
      <c r="S11">
        <f>IF(COUNT(Q11:R11)=2,R11-Q11,"")</f>
        <v>-18.265233390676077</v>
      </c>
    </row>
    <row r="12" spans="1:19" x14ac:dyDescent="0.3">
      <c r="A12">
        <v>10</v>
      </c>
      <c r="B12">
        <v>9</v>
      </c>
      <c r="C12">
        <f>100*74901/412598</f>
        <v>18.15350534903223</v>
      </c>
      <c r="D12">
        <f>100*33541/487932</f>
        <v>6.874113605994278</v>
      </c>
      <c r="E12">
        <f>IF(COUNT(C12:D12)=2,D12-C12,"")</f>
        <v>-11.279391743037952</v>
      </c>
      <c r="H12">
        <v>10</v>
      </c>
      <c r="I12">
        <v>9</v>
      </c>
      <c r="J12">
        <f>100*71311/426052</f>
        <v>16.737628270727516</v>
      </c>
      <c r="K12">
        <f>100*7563/490450</f>
        <v>1.5420532164338872</v>
      </c>
      <c r="L12">
        <f>IF(COUNT(J12:K12)=2,K12-J12,"")</f>
        <v>-15.195575054293629</v>
      </c>
      <c r="O12">
        <v>10</v>
      </c>
      <c r="P12">
        <v>9</v>
      </c>
      <c r="Q12">
        <f>100*199032/643646</f>
        <v>30.922587882158826</v>
      </c>
      <c r="R12">
        <f>100*6994/367916</f>
        <v>1.9009773970145358</v>
      </c>
      <c r="S12">
        <f>IF(COUNT(Q12:R12)=2,R12-Q12,"")</f>
        <v>-29.02161048514429</v>
      </c>
    </row>
    <row r="13" spans="1:19" x14ac:dyDescent="0.3">
      <c r="A13">
        <v>11</v>
      </c>
      <c r="B13">
        <v>10</v>
      </c>
      <c r="C13">
        <f>100*3762/517486</f>
        <v>0.726976188727811</v>
      </c>
      <c r="D13">
        <f>100*91268/565448</f>
        <v>16.140829926005573</v>
      </c>
      <c r="E13">
        <f>IF(COUNT(C13:D13)=2,D13-C13,"")</f>
        <v>15.413853737277762</v>
      </c>
      <c r="H13">
        <v>11</v>
      </c>
      <c r="I13">
        <v>10</v>
      </c>
      <c r="J13">
        <f>100*28276/544111</f>
        <v>5.196733754693436</v>
      </c>
      <c r="K13">
        <f>100*32749/459979</f>
        <v>7.11967285463032</v>
      </c>
      <c r="L13">
        <f>IF(COUNT(J13:K13)=2,K13-J13,"")</f>
        <v>1.922939099936884</v>
      </c>
      <c r="O13">
        <v>11</v>
      </c>
      <c r="P13">
        <v>10</v>
      </c>
      <c r="Q13">
        <f>100*136848/421678</f>
        <v>32.453198886354045</v>
      </c>
      <c r="R13">
        <f>100*135457/423583</f>
        <v>31.978856564120846</v>
      </c>
      <c r="S13">
        <f>IF(COUNT(Q13:R13)=2,R13-Q13,"")</f>
        <v>-0.4743423222331984</v>
      </c>
    </row>
    <row r="14" spans="1:19" x14ac:dyDescent="0.3">
      <c r="A14">
        <v>12</v>
      </c>
      <c r="B14">
        <v>11</v>
      </c>
      <c r="C14">
        <f>100*244757/639957</f>
        <v>38.24585089310688</v>
      </c>
      <c r="D14">
        <f>100*38573/515386</f>
        <v>7.484293325779125</v>
      </c>
      <c r="E14">
        <f>IF(COUNT(C14:D14)=2,D14-C14,"")</f>
        <v>-30.76155756732776</v>
      </c>
      <c r="H14">
        <v>12</v>
      </c>
      <c r="I14">
        <v>11</v>
      </c>
      <c r="J14">
        <f>100*18702/461148</f>
        <v>4.05553097920841</v>
      </c>
      <c r="K14">
        <f>100*50880/571447</f>
        <v>8.903712855260418</v>
      </c>
      <c r="L14">
        <f>IF(COUNT(J14:K14)=2,K14-J14,"")</f>
        <v>4.848181876052007</v>
      </c>
      <c r="O14">
        <v>12</v>
      </c>
      <c r="P14">
        <v>11</v>
      </c>
      <c r="Q14">
        <f>100*91935/209068</f>
        <v>43.973731034878604</v>
      </c>
      <c r="R14">
        <f>100*51053/222685</f>
        <v>22.926106383456453</v>
      </c>
      <c r="S14">
        <f>IF(COUNT(Q14:R14)=2,R14-Q14,"")</f>
        <v>-21.04762465142215</v>
      </c>
    </row>
    <row r="15" spans="1:19" x14ac:dyDescent="0.3">
      <c r="A15">
        <v>13</v>
      </c>
      <c r="B15">
        <v>12</v>
      </c>
      <c r="C15">
        <f>100*31827/409126</f>
        <v>7.779266045179236</v>
      </c>
      <c r="D15">
        <f>100*83462/513378</f>
        <v>16.257416562454956</v>
      </c>
      <c r="E15">
        <f>IF(COUNT(C15:D15)=2,D15-C15,"")</f>
        <v>8.47815051727572</v>
      </c>
      <c r="H15">
        <v>13</v>
      </c>
      <c r="I15">
        <v>12</v>
      </c>
      <c r="J15">
        <f>100*226380/535721</f>
        <v>42.25707037805126</v>
      </c>
      <c r="K15">
        <f>100*87456/467545</f>
        <v>18.70536525895903</v>
      </c>
      <c r="L15">
        <f>IF(COUNT(J15:K15)=2,K15-J15,"")</f>
        <v>-23.55170511909223</v>
      </c>
      <c r="O15">
        <v>13</v>
      </c>
      <c r="P15">
        <v>12</v>
      </c>
      <c r="Q15">
        <f>100*165466/516479</f>
        <v>32.037314198641184</v>
      </c>
      <c r="R15">
        <f>100*14259/363138</f>
        <v>3.9266064140905113</v>
      </c>
      <c r="S15">
        <f>IF(COUNT(Q15:R15)=2,R15-Q15,"")</f>
        <v>-28.110707784550673</v>
      </c>
    </row>
    <row r="16" spans="1:19" x14ac:dyDescent="0.3">
      <c r="A16">
        <v>14</v>
      </c>
      <c r="B16">
        <v>13</v>
      </c>
      <c r="C16">
        <f>100*4186/284672</f>
        <v>1.4704642535971224</v>
      </c>
      <c r="D16">
        <f>100*25915/261696</f>
        <v>9.902711543164587</v>
      </c>
      <c r="E16">
        <f>IF(COUNT(C16:D16)=2,D16-C16,"")</f>
        <v>8.432247289567465</v>
      </c>
      <c r="H16">
        <v>14</v>
      </c>
      <c r="I16">
        <v>13</v>
      </c>
      <c r="J16">
        <f>100*44978/265308</f>
        <v>16.95312617787628</v>
      </c>
      <c r="K16">
        <f>100*30475/237195</f>
        <v>12.848078585130377</v>
      </c>
      <c r="L16">
        <f>IF(COUNT(J16:K16)=2,K16-J16,"")</f>
        <v>-4.105047592745901</v>
      </c>
      <c r="O16">
        <v>14</v>
      </c>
      <c r="P16">
        <v>13</v>
      </c>
      <c r="Q16">
        <f>100*58109/351187</f>
        <v>16.546455307286433</v>
      </c>
      <c r="R16">
        <f>100*12031/485022</f>
        <v>2.480506038901328</v>
      </c>
      <c r="S16">
        <f>IF(COUNT(Q16:R16)=2,R16-Q16,"")</f>
        <v>-14.065949268385104</v>
      </c>
    </row>
    <row r="17" spans="1:19" x14ac:dyDescent="0.3">
      <c r="A17">
        <v>15</v>
      </c>
      <c r="B17">
        <v>14</v>
      </c>
      <c r="C17">
        <f>100*181005/547993</f>
        <v>33.0305314118976</v>
      </c>
      <c r="D17">
        <f>100*47428/391428</f>
        <v>12.116660024321204</v>
      </c>
      <c r="E17">
        <f>IF(COUNT(C17:D17)=2,D17-C17,"")</f>
        <v>-20.913871387576393</v>
      </c>
      <c r="H17">
        <v>15</v>
      </c>
      <c r="I17">
        <v>14</v>
      </c>
      <c r="J17">
        <f>100*185252/403337</f>
        <v>45.92983038997166</v>
      </c>
      <c r="K17">
        <f>100*108435/586688</f>
        <v>18.4825665430348</v>
      </c>
      <c r="L17">
        <f>IF(COUNT(J17:K17)=2,K17-J17,"")</f>
        <v>-27.447263846936863</v>
      </c>
      <c r="O17">
        <v>15</v>
      </c>
      <c r="P17">
        <v>14</v>
      </c>
      <c r="Q17">
        <f>100*158493/377442</f>
        <v>41.99135231373297</v>
      </c>
      <c r="R17">
        <f>100*119595/400643</f>
        <v>29.850764895430597</v>
      </c>
      <c r="S17">
        <f>IF(COUNT(Q17:R17)=2,R17-Q17,"")</f>
        <v>-12.14058741830237</v>
      </c>
    </row>
    <row r="18" spans="1:19" x14ac:dyDescent="0.3">
      <c r="A18">
        <v>16</v>
      </c>
      <c r="B18">
        <v>15</v>
      </c>
      <c r="C18">
        <f>100*145812/450453</f>
        <v>32.37008078534276</v>
      </c>
      <c r="D18">
        <f>100*65894/452345</f>
        <v>14.56719981430103</v>
      </c>
      <c r="E18">
        <f>IF(COUNT(C18:D18)=2,D18-C18,"")</f>
        <v>-17.802880971041727</v>
      </c>
      <c r="H18">
        <v>16</v>
      </c>
      <c r="I18">
        <v>15</v>
      </c>
      <c r="J18">
        <f>100*116194/472598</f>
        <v>24.586223386472223</v>
      </c>
      <c r="K18">
        <f>100*19798/422212</f>
        <v>4.689113525906417</v>
      </c>
      <c r="L18">
        <f>IF(COUNT(J18:K18)=2,K18-J18,"")</f>
        <v>-19.897109860565806</v>
      </c>
      <c r="O18">
        <v>16</v>
      </c>
      <c r="P18">
        <v>15</v>
      </c>
      <c r="Q18">
        <f>100*130815/335348</f>
        <v>39.00873122845522</v>
      </c>
      <c r="R18">
        <f>100*77501/320831</f>
        <v>24.156331526566948</v>
      </c>
      <c r="S18">
        <f>IF(COUNT(Q18:R18)=2,R18-Q18,"")</f>
        <v>-14.85239970188827</v>
      </c>
    </row>
    <row r="19" spans="1:19" x14ac:dyDescent="0.3">
      <c r="A19">
        <v>17</v>
      </c>
      <c r="B19">
        <v>16</v>
      </c>
      <c r="C19">
        <f>100*73371/330890</f>
        <v>22.173834204720603</v>
      </c>
      <c r="D19">
        <f>100*70982/410444</f>
        <v>17.293954839149798</v>
      </c>
      <c r="E19">
        <f>IF(COUNT(C19:D19)=2,D19-C19,"")</f>
        <v>-4.879879365570805</v>
      </c>
      <c r="H19">
        <v>17</v>
      </c>
      <c r="I19">
        <v>16</v>
      </c>
      <c r="J19">
        <f>100*147986/392782</f>
        <v>37.6763700984261</v>
      </c>
      <c r="K19">
        <f>100*66766/334366</f>
        <v>19.967939323974328</v>
      </c>
      <c r="L19">
        <f>IF(COUNT(J19:K19)=2,K19-J19,"")</f>
        <v>-17.70843077445177</v>
      </c>
      <c r="O19">
        <v>17</v>
      </c>
      <c r="P19">
        <v>16</v>
      </c>
      <c r="Q19">
        <f>100*17753/266611</f>
        <v>6.65876501719734</v>
      </c>
      <c r="R19">
        <f>100*13145/283426</f>
        <v>4.637894900256152</v>
      </c>
      <c r="S19">
        <f>IF(COUNT(Q19:R19)=2,R19-Q19,"")</f>
        <v>-2.0208701169411887</v>
      </c>
    </row>
    <row r="20" spans="1:19" x14ac:dyDescent="0.3">
      <c r="A20">
        <v>18</v>
      </c>
      <c r="B20">
        <v>17</v>
      </c>
      <c r="C20">
        <f>100*149926/449301</f>
        <v>33.36872163649758</v>
      </c>
      <c r="D20">
        <f>100*60403/493560</f>
        <v>12.238228381554421</v>
      </c>
      <c r="E20">
        <f>IF(COUNT(C20:D20)=2,D20-C20,"")</f>
        <v>-21.13049325494316</v>
      </c>
      <c r="H20">
        <v>18</v>
      </c>
      <c r="I20">
        <v>17</v>
      </c>
      <c r="J20">
        <f>100*134558/617547</f>
        <v>21.78911078832866</v>
      </c>
      <c r="K20">
        <f>100*29552/449909</f>
        <v>6.568439395522206</v>
      </c>
      <c r="L20">
        <f>IF(COUNT(J20:K20)=2,K20-J20,"")</f>
        <v>-15.220671392806455</v>
      </c>
      <c r="O20">
        <v>18</v>
      </c>
      <c r="P20">
        <v>17</v>
      </c>
      <c r="Q20">
        <f>100*1405/276206</f>
        <v>0.5086783053228388</v>
      </c>
      <c r="R20">
        <f>100*4034/281574</f>
        <v>1.4326606860008382</v>
      </c>
      <c r="S20">
        <f>IF(COUNT(Q20:R20)=2,R20-Q20,"")</f>
        <v>0.9239823806779994</v>
      </c>
    </row>
    <row r="21" spans="1:19" x14ac:dyDescent="0.3">
      <c r="A21">
        <v>19</v>
      </c>
      <c r="B21">
        <v>18</v>
      </c>
      <c r="C21">
        <f>100*63409/348972</f>
        <v>18.170225691459486</v>
      </c>
      <c r="D21">
        <f>100*65033/468281</f>
        <v>13.887601675062623</v>
      </c>
      <c r="E21">
        <f>IF(COUNT(C21:D21)=2,D21-C21,"")</f>
        <v>-4.282624016396863</v>
      </c>
      <c r="H21">
        <v>19</v>
      </c>
      <c r="I21">
        <v>18</v>
      </c>
      <c r="J21">
        <f>100*48771/351007</f>
        <v>13.894594694692698</v>
      </c>
      <c r="K21">
        <f>100*39870/485418</f>
        <v>8.213539670963995</v>
      </c>
      <c r="L21">
        <f>IF(COUNT(J21:K21)=2,K21-J21,"")</f>
        <v>-5.681055023728703</v>
      </c>
      <c r="O21">
        <v>19</v>
      </c>
      <c r="P21">
        <v>18</v>
      </c>
      <c r="Q21">
        <f>100*124085/311389</f>
        <v>39.84887070513088</v>
      </c>
      <c r="R21">
        <f>100*80424/319091</f>
        <v>25.20409538344861</v>
      </c>
      <c r="S21">
        <f>IF(COUNT(Q21:R21)=2,R21-Q21,"")</f>
        <v>-14.644775321682268</v>
      </c>
    </row>
    <row r="22" spans="1:19" x14ac:dyDescent="0.3">
      <c r="A22">
        <v>20</v>
      </c>
      <c r="B22">
        <v>19</v>
      </c>
      <c r="C22">
        <f>100*79870/385907</f>
        <v>20.69669635430298</v>
      </c>
      <c r="D22">
        <f>100*39604/492682</f>
        <v>8.03845076540243</v>
      </c>
      <c r="E22">
        <f>IF(COUNT(C22:D22)=2,D22-C22,"")</f>
        <v>-12.658245588900549</v>
      </c>
      <c r="H22">
        <v>20</v>
      </c>
      <c r="I22">
        <v>19</v>
      </c>
      <c r="J22">
        <f>100*42161/340805</f>
        <v>12.371003946538343</v>
      </c>
      <c r="K22">
        <f>100*25107/252135</f>
        <v>9.957760723421977</v>
      </c>
      <c r="L22">
        <f>IF(COUNT(J22:K22)=2,K22-J22,"")</f>
        <v>-2.413243223116366</v>
      </c>
      <c r="O22">
        <v>20</v>
      </c>
      <c r="P22">
        <v>19</v>
      </c>
      <c r="Q22">
        <f>100*139808/401311</f>
        <v>34.83781904806995</v>
      </c>
      <c r="R22">
        <f>100*66816/389469</f>
        <v>17.155665791115595</v>
      </c>
      <c r="S22">
        <f>IF(COUNT(Q22:R22)=2,R22-Q22,"")</f>
        <v>-17.682153256954358</v>
      </c>
    </row>
    <row r="23" spans="1:19" x14ac:dyDescent="0.3">
      <c r="A23">
        <v>21</v>
      </c>
      <c r="B23">
        <v>20</v>
      </c>
      <c r="C23">
        <f>100*98878/370466</f>
        <v>26.690168598467874</v>
      </c>
      <c r="D23">
        <f>100*100990/531133</f>
        <v>19.01406992222287</v>
      </c>
      <c r="E23">
        <f>IF(COUNT(C23:D23)=2,D23-C23,"")</f>
        <v>-7.6760986762450045</v>
      </c>
      <c r="H23">
        <v>21</v>
      </c>
      <c r="I23">
        <v>20</v>
      </c>
      <c r="J23">
        <f>100*222992/523032</f>
        <v>42.63448507930681</v>
      </c>
      <c r="K23">
        <f>100*61177/380139</f>
        <v>16.093323757888562</v>
      </c>
      <c r="L23">
        <f>IF(COUNT(J23:K23)=2,K23-J23,"")</f>
        <v>-26.54116132141825</v>
      </c>
      <c r="O23">
        <v>21</v>
      </c>
      <c r="P23">
        <v>20</v>
      </c>
      <c r="Q23">
        <f>100*43636/293480</f>
        <v>14.86847485348235</v>
      </c>
      <c r="R23">
        <f>100*53980/317124</f>
        <v>17.021732823753485</v>
      </c>
      <c r="S23">
        <f>IF(COUNT(Q23:R23)=2,R23-Q23,"")</f>
        <v>2.1532579702711345</v>
      </c>
    </row>
    <row r="24" spans="1:19" x14ac:dyDescent="0.3">
      <c r="A24">
        <v>22</v>
      </c>
      <c r="B24">
        <v>21</v>
      </c>
      <c r="C24">
        <f>100*37074/97184</f>
        <v>38.14825485676655</v>
      </c>
      <c r="D24">
        <f>100*30460/128396</f>
        <v>23.723480482258015</v>
      </c>
      <c r="E24">
        <f>IF(COUNT(C24:D24)=2,D24-C24,"")</f>
        <v>-14.424774374508534</v>
      </c>
      <c r="H24">
        <v>22</v>
      </c>
      <c r="I24">
        <v>21</v>
      </c>
      <c r="J24">
        <f>100*54639/207484</f>
        <v>26.334078772339073</v>
      </c>
      <c r="K24">
        <f>100*53245/236116</f>
        <v>22.550356604380898</v>
      </c>
      <c r="L24">
        <f>IF(COUNT(J24:K24)=2,K24-J24,"")</f>
        <v>-3.7837221679581745</v>
      </c>
      <c r="O24">
        <v>22</v>
      </c>
      <c r="P24">
        <v>21</v>
      </c>
      <c r="Q24">
        <f>100*45197/105457</f>
        <v>42.85822657576074</v>
      </c>
      <c r="R24">
        <f>100*27723/108600</f>
        <v>25.527624309392266</v>
      </c>
      <c r="S24">
        <f>IF(COUNT(Q24:R24)=2,R24-Q24,"")</f>
        <v>-17.330602266368473</v>
      </c>
    </row>
    <row r="25" spans="1:19" x14ac:dyDescent="0.3">
      <c r="A25">
        <v>23</v>
      </c>
      <c r="B25">
        <v>22</v>
      </c>
      <c r="C25">
        <f>100*194786/575758</f>
        <v>33.831227703305906</v>
      </c>
      <c r="D25">
        <f>100*71619/450401</f>
        <v>15.901163629743273</v>
      </c>
      <c r="E25">
        <f>IF(COUNT(C25:D25)=2,D25-C25,"")</f>
        <v>-17.930064073562633</v>
      </c>
      <c r="H25">
        <v>23</v>
      </c>
      <c r="I25">
        <v>22</v>
      </c>
      <c r="J25">
        <f>100*82449/499533</f>
        <v>16.505215871624095</v>
      </c>
      <c r="K25">
        <f>100*39570/455938</f>
        <v>8.678811592804285</v>
      </c>
      <c r="L25">
        <f>IF(COUNT(J25:K25)=2,K25-J25,"")</f>
        <v>-7.82640427881981</v>
      </c>
      <c r="O25">
        <v>23</v>
      </c>
      <c r="P25">
        <v>22</v>
      </c>
      <c r="Q25">
        <f>100*656/247400</f>
        <v>0.2651576394502829</v>
      </c>
      <c r="R25">
        <f>100*647/249847</f>
        <v>0.2589584825913459</v>
      </c>
      <c r="S25">
        <f>IF(COUNT(Q25:R25)=2,R25-Q25,"")</f>
        <v>-0.006199156858937016</v>
      </c>
    </row>
    <row r="26" spans="1:19" x14ac:dyDescent="0.3">
      <c r="A26">
        <v>24</v>
      </c>
      <c r="B26">
        <v>23</v>
      </c>
      <c r="C26">
        <f>100*137480/562231</f>
        <v>24.452582657306337</v>
      </c>
      <c r="D26">
        <f>100*30364/409967</f>
        <v>7.406449787421915</v>
      </c>
      <c r="E26">
        <f>IF(COUNT(C26:D26)=2,D26-C26,"")</f>
        <v>-17.046132869884424</v>
      </c>
      <c r="H26">
        <v>24</v>
      </c>
      <c r="I26">
        <v>23</v>
      </c>
      <c r="J26">
        <f>100*167481/558799</f>
        <v>29.971599806012538</v>
      </c>
      <c r="K26">
        <f>100*57813/523843</f>
        <v>11.036321951424377</v>
      </c>
      <c r="L26">
        <f>IF(COUNT(J26:K26)=2,K26-J26,"")</f>
        <v>-18.93527785458816</v>
      </c>
      <c r="O26">
        <v>24</v>
      </c>
      <c r="P26">
        <v>23</v>
      </c>
      <c r="Q26">
        <f>100*53061/340117</f>
        <v>15.600807957261766</v>
      </c>
      <c r="R26">
        <f>100*11052/499832</f>
        <v>2.2111429440291936</v>
      </c>
      <c r="S26">
        <f>IF(COUNT(Q26:R26)=2,R26-Q26,"")</f>
        <v>-13.389665013232573</v>
      </c>
    </row>
    <row r="27" spans="1:19" x14ac:dyDescent="0.3">
      <c r="A27">
        <v>25</v>
      </c>
      <c r="B27">
        <v>24</v>
      </c>
      <c r="C27">
        <f>100*26771/508395</f>
        <v>5.265787429065982</v>
      </c>
      <c r="D27">
        <f>100*27489/432799</f>
        <v>6.3514472075952115</v>
      </c>
      <c r="E27">
        <f>IF(COUNT(C27:D27)=2,D27-C27,"")</f>
        <v>1.0856597785292292</v>
      </c>
      <c r="H27">
        <v>25</v>
      </c>
      <c r="I27">
        <v>24</v>
      </c>
      <c r="J27">
        <f>100*67075/346916</f>
        <v>19.334651615953142</v>
      </c>
      <c r="K27">
        <f>100*12158/441090</f>
        <v>2.7563535786347457</v>
      </c>
      <c r="L27">
        <f>IF(COUNT(J27:K27)=2,K27-J27,"")</f>
        <v>-16.578298037318397</v>
      </c>
      <c r="O27">
        <v>25</v>
      </c>
      <c r="P27">
        <v>24</v>
      </c>
      <c r="Q27">
        <f>100*158561/348258</f>
        <v>45.52975093178046</v>
      </c>
      <c r="R27">
        <f>100*89536/396909</f>
        <v>22.558319413266013</v>
      </c>
      <c r="S27">
        <f>IF(COUNT(Q27:R27)=2,R27-Q27,"")</f>
        <v>-22.97143151851445</v>
      </c>
    </row>
    <row r="28" spans="1:19" x14ac:dyDescent="0.3">
      <c r="A28">
        <v>26</v>
      </c>
      <c r="B28">
        <v>25</v>
      </c>
      <c r="C28">
        <f>100*122343/511784</f>
        <v>23.90520219467588</v>
      </c>
      <c r="D28">
        <f>100*45570/428240</f>
        <v>10.64122921726135</v>
      </c>
      <c r="E28">
        <f>IF(COUNT(C28:D28)=2,D28-C28,"")</f>
        <v>-13.26397297741453</v>
      </c>
      <c r="H28">
        <v>26</v>
      </c>
      <c r="I28">
        <v>25</v>
      </c>
      <c r="J28">
        <f>100*177325/563486</f>
        <v>31.469282289178437</v>
      </c>
      <c r="K28">
        <f>100*80958/488787</f>
        <v>16.563042797783083</v>
      </c>
      <c r="L28">
        <f>IF(COUNT(J28:K28)=2,K28-J28,"")</f>
        <v>-14.906239491395354</v>
      </c>
      <c r="O28">
        <v>26</v>
      </c>
      <c r="P28">
        <v>25</v>
      </c>
      <c r="Q28">
        <f>100*156244/369843</f>
        <v>42.246034127994854</v>
      </c>
      <c r="R28">
        <f>100*5723/30095</f>
        <v>19.016447914936037</v>
      </c>
      <c r="S28">
        <f>IF(COUNT(Q28:R28)=2,R28-Q28,"")</f>
        <v>-23.229586213058816</v>
      </c>
    </row>
    <row r="29" spans="1:19" x14ac:dyDescent="0.3">
      <c r="A29">
        <v>27</v>
      </c>
      <c r="B29">
        <v>26</v>
      </c>
      <c r="C29">
        <f>100*273547/613111</f>
        <v>44.61622773037835</v>
      </c>
      <c r="D29">
        <f>100*68597/371817</f>
        <v>18.449129544910534</v>
      </c>
      <c r="E29">
        <f>IF(COUNT(C29:D29)=2,D29-C29,"")</f>
        <v>-26.167098185467815</v>
      </c>
      <c r="H29">
        <v>27</v>
      </c>
      <c r="I29">
        <v>26</v>
      </c>
      <c r="J29">
        <f>100*35297/437184</f>
        <v>8.073717244912897</v>
      </c>
      <c r="K29">
        <f>100*54159/421616</f>
        <v>12.845575120488785</v>
      </c>
      <c r="L29">
        <f>IF(COUNT(J29:K29)=2,K29-J29,"")</f>
        <v>4.771857875575888</v>
      </c>
      <c r="O29">
        <v>27</v>
      </c>
      <c r="P29">
        <v>26</v>
      </c>
      <c r="Q29">
        <f>100*99207/334942</f>
        <v>29.619157943763398</v>
      </c>
      <c r="R29">
        <f>100*52146/270762</f>
        <v>19.258980211403372</v>
      </c>
      <c r="S29">
        <f>IF(COUNT(Q29:R29)=2,R29-Q29,"")</f>
        <v>-10.360177732360025</v>
      </c>
    </row>
    <row r="30" spans="1:19" x14ac:dyDescent="0.3">
      <c r="A30">
        <v>28</v>
      </c>
      <c r="B30">
        <v>27</v>
      </c>
      <c r="C30">
        <f>100*60367/261571</f>
        <v>23.078628747070585</v>
      </c>
      <c r="D30">
        <f>100*30226/398895</f>
        <v>7.577432657716943</v>
      </c>
      <c r="E30">
        <f>IF(COUNT(C30:D30)=2,D30-C30,"")</f>
        <v>-15.501196089353641</v>
      </c>
      <c r="H30">
        <v>28</v>
      </c>
      <c r="I30">
        <v>27</v>
      </c>
      <c r="J30">
        <f>100*111624/317500</f>
        <v>35.15716535433071</v>
      </c>
      <c r="K30">
        <f>100*62546/385266</f>
        <v>16.234497723650673</v>
      </c>
      <c r="L30">
        <f>IF(COUNT(J30:K30)=2,K30-J30,"")</f>
        <v>-18.922667630680035</v>
      </c>
      <c r="O30">
        <v>28</v>
      </c>
      <c r="P30">
        <v>27</v>
      </c>
      <c r="Q30">
        <f>100*258/245208</f>
        <v>0.10521679553685034</v>
      </c>
      <c r="R30">
        <f>100*317/244372</f>
        <v>0.1297202625505377</v>
      </c>
      <c r="S30">
        <f>IF(COUNT(Q30:R30)=2,R30-Q30,"")</f>
        <v>0.024503467013687358</v>
      </c>
    </row>
    <row r="31" spans="1:19" x14ac:dyDescent="0.3">
      <c r="A31">
        <v>29</v>
      </c>
      <c r="B31">
        <v>28</v>
      </c>
      <c r="C31">
        <f>100*135778/291495</f>
        <v>46.57987272508962</v>
      </c>
      <c r="D31">
        <f>100*62491/354807</f>
        <v>17.612673932588702</v>
      </c>
      <c r="E31">
        <f>IF(COUNT(C31:D31)=2,D31-C31,"")</f>
        <v>-28.96719879250092</v>
      </c>
      <c r="H31">
        <v>29</v>
      </c>
      <c r="I31">
        <v>28</v>
      </c>
      <c r="J31">
        <f>100*143049/329070</f>
        <v>43.47069012672076</v>
      </c>
      <c r="K31">
        <f>100*62586/378208</f>
        <v>16.54803705897284</v>
      </c>
      <c r="L31">
        <f>IF(COUNT(J31:K31)=2,K31-J31,"")</f>
        <v>-26.92265306774792</v>
      </c>
      <c r="O31">
        <v>29</v>
      </c>
      <c r="P31">
        <v>28</v>
      </c>
      <c r="Q31">
        <f>100*106682/252496</f>
        <v>42.25096635194221</v>
      </c>
      <c r="R31">
        <f>100*89817/331719</f>
        <v>27.07623018277518</v>
      </c>
      <c r="S31">
        <f>IF(COUNT(Q31:R31)=2,R31-Q31,"")</f>
        <v>-15.17473616916703</v>
      </c>
    </row>
    <row r="32" spans="1:19" x14ac:dyDescent="0.3">
      <c r="A32">
        <v>30</v>
      </c>
      <c r="B32">
        <v>29</v>
      </c>
      <c r="C32">
        <f>100*67185/347874</f>
        <v>19.313027130512772</v>
      </c>
      <c r="D32">
        <f>100*71780/448695</f>
        <v>15.9975038723409</v>
      </c>
      <c r="E32">
        <f>IF(COUNT(C32:D32)=2,D32-C32,"")</f>
        <v>-3.315523258171872</v>
      </c>
      <c r="H32">
        <v>30</v>
      </c>
      <c r="I32">
        <v>29</v>
      </c>
      <c r="J32">
        <f>100*71699/295601</f>
        <v>24.25533066532251</v>
      </c>
      <c r="K32">
        <f>100*61492/403090</f>
        <v>15.255153935845593</v>
      </c>
      <c r="L32">
        <f>IF(COUNT(J32:K32)=2,K32-J32,"")</f>
        <v>-9.000176729476918</v>
      </c>
      <c r="O32">
        <v>30</v>
      </c>
      <c r="P32">
        <v>29</v>
      </c>
      <c r="Q32">
        <f>100*220230/481156</f>
        <v>45.771018131333705</v>
      </c>
      <c r="R32">
        <f>100*88475/466883</f>
        <v>18.950143826183435</v>
      </c>
      <c r="S32">
        <f>IF(COUNT(Q32:R32)=2,R32-Q32,"")</f>
        <v>-26.82087430515027</v>
      </c>
    </row>
    <row r="33" spans="1:19" x14ac:dyDescent="0.3">
      <c r="A33">
        <v>31</v>
      </c>
      <c r="B33">
        <v>30</v>
      </c>
      <c r="C33">
        <f>100*89281/348777</f>
        <v>25.59830493409829</v>
      </c>
      <c r="D33">
        <f>100*45858/299614</f>
        <v>15.30569332541203</v>
      </c>
      <c r="E33">
        <f>IF(COUNT(C33:D33)=2,D33-C33,"")</f>
        <v>-10.292611608686261</v>
      </c>
      <c r="H33">
        <v>31</v>
      </c>
      <c r="I33">
        <v>30</v>
      </c>
      <c r="J33">
        <f>100*58413/325415</f>
        <v>17.950309604658667</v>
      </c>
      <c r="K33">
        <f>100*52020/289515</f>
        <v>17.967980933630383</v>
      </c>
      <c r="L33">
        <f>IF(COUNT(J33:K33)=2,K33-J33,"")</f>
        <v>0.01767132897171564</v>
      </c>
      <c r="O33">
        <v>31</v>
      </c>
      <c r="P33">
        <v>30</v>
      </c>
      <c r="Q33">
        <f>100*3974/273650</f>
        <v>1.4522199890370913</v>
      </c>
      <c r="R33">
        <f>100*2252/471922</f>
        <v>0.4771975029771869</v>
      </c>
      <c r="S33">
        <f>IF(COUNT(Q33:R33)=2,R33-Q33,"")</f>
        <v>-0.9750224860599044</v>
      </c>
    </row>
    <row r="34" spans="1:19" x14ac:dyDescent="0.3">
      <c r="A34" t="s">
        <v>5</v>
      </c>
      <c r="C34">
        <f>IF(COUNT(C3:C33)&gt;0,AVERAGE(C3:C33),"")</f>
        <v>24.86611924539666</v>
      </c>
      <c r="D34">
        <f>IF(COUNT(D3:D33)&gt;0,AVERAGE(D3:D33),"")</f>
        <v>13.118303441858135</v>
      </c>
      <c r="E34">
        <f>IF(COUNT(E3:E33)&gt;0,AVERAGE(E3:E33),"")</f>
        <v>-11.747815803538519</v>
      </c>
      <c r="H34" t="s">
        <v>5</v>
      </c>
      <c r="J34">
        <f>IF(COUNT(J3:J33)&gt;0,AVERAGE(J3:J33),"")</f>
        <v>22.873960622545518</v>
      </c>
      <c r="K34">
        <f>IF(COUNT(K3:K33)&gt;0,AVERAGE(K3:K33),"")</f>
        <v>12.953468490001573</v>
      </c>
      <c r="L34">
        <f>IF(COUNT(L3:L33)&gt;0,AVERAGE(L3:L33),"")</f>
        <v>-9.920492132543949</v>
      </c>
      <c r="O34" t="s">
        <v>5</v>
      </c>
      <c r="Q34">
        <f>IF(COUNT(Q3:Q33)&gt;0,AVERAGE(Q3:Q33),"")</f>
        <v>30.285258327658585</v>
      </c>
      <c r="R34">
        <f>IF(COUNT(R3:R33)&gt;0,AVERAGE(R3:R33),"")</f>
        <v>16.183804559117956</v>
      </c>
      <c r="S34">
        <f>IF(COUNT(S3:S33)&gt;0,AVERAGE(S3:S33),"")</f>
        <v>-14.101453768540628</v>
      </c>
    </row>
    <row r="37" spans="1:19" s="2" customFormat="1" x14ac:dyDescent="0.3">
      <c r="A37" s="1" t="s">
        <v>9</v>
      </c>
      <c r="B37" s="1"/>
      <c r="C37" s="1"/>
      <c r="D37" s="1"/>
      <c r="E37" s="1"/>
      <c r="H37" s="1" t="s">
        <v>10</v>
      </c>
      <c r="I37" s="1"/>
      <c r="J37" s="1"/>
      <c r="K37" s="1"/>
      <c r="L37" s="1"/>
      <c r="O37" s="1" t="s">
        <v>11</v>
      </c>
      <c r="P37" s="1"/>
      <c r="Q37" s="1"/>
      <c r="R37" s="1"/>
      <c r="S37" s="1"/>
    </row>
    <row r="38" spans="1:19" x14ac:dyDescent="0.3">
      <c r="A38" t="s">
        <v>0</v>
      </c>
      <c r="B38" t="s">
        <v>1</v>
      </c>
      <c r="C38" t="s">
        <v>2</v>
      </c>
      <c r="D38" t="s">
        <v>3</v>
      </c>
      <c r="E38" t="s">
        <v>4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O38" t="s">
        <v>0</v>
      </c>
      <c r="P38" t="s">
        <v>1</v>
      </c>
      <c r="Q38" t="s">
        <v>2</v>
      </c>
      <c r="R38" t="s">
        <v>3</v>
      </c>
      <c r="S38" t="s">
        <v>4</v>
      </c>
    </row>
    <row r="39" spans="1:19" x14ac:dyDescent="0.3">
      <c r="A39">
        <v>1</v>
      </c>
      <c r="B39">
        <v>0</v>
      </c>
      <c r="C39">
        <f>100*80163/523211</f>
        <v>15.321352188696338</v>
      </c>
      <c r="D39">
        <f>100*15021/244982</f>
        <v>6.13147088357512</v>
      </c>
      <c r="E39">
        <f>IF(COUNT(C39:D39)=2,D39-C39,"")</f>
        <v>-9.189881305121219</v>
      </c>
      <c r="H39">
        <v>1</v>
      </c>
      <c r="I39">
        <v>0</v>
      </c>
      <c r="J39">
        <f>100*211130/713250</f>
        <v>29.601121626358218</v>
      </c>
      <c r="K39">
        <f>100*20529/476023</f>
        <v>4.312606743791791</v>
      </c>
      <c r="L39">
        <f>IF(COUNT(J39:K39)=2,K39-J39,"")</f>
        <v>-25.288514882566425</v>
      </c>
      <c r="O39">
        <v>1</v>
      </c>
      <c r="P39">
        <v>0</v>
      </c>
      <c r="Q39">
        <f>100*33559/419154</f>
        <v>8.00636520228842</v>
      </c>
      <c r="R39">
        <f>100*45373/448316</f>
        <v>10.12076303321764</v>
      </c>
      <c r="S39">
        <f>IF(COUNT(Q39:R39)=2,R39-Q39,"")</f>
        <v>2.114397830929221</v>
      </c>
    </row>
    <row r="40" spans="1:19" x14ac:dyDescent="0.3">
      <c r="A40">
        <v>2</v>
      </c>
      <c r="B40">
        <v>1</v>
      </c>
      <c r="C40">
        <f>100*204846/421884</f>
        <v>48.555053047757205</v>
      </c>
      <c r="D40">
        <f>100*55255/442865</f>
        <v>12.47671412281395</v>
      </c>
      <c r="E40">
        <f>IF(COUNT(C40:D40)=2,D40-C40,"")</f>
        <v>-36.07833892494325</v>
      </c>
      <c r="H40">
        <v>2</v>
      </c>
      <c r="I40">
        <v>1</v>
      </c>
      <c r="J40">
        <f>100*221110/594344</f>
        <v>37.20236092229416</v>
      </c>
      <c r="K40">
        <f>100*65958/428573</f>
        <v>15.390143569473578</v>
      </c>
      <c r="L40">
        <f>IF(COUNT(J40:K40)=2,K40-J40,"")</f>
        <v>-21.812217352820582</v>
      </c>
      <c r="O40">
        <v>2</v>
      </c>
      <c r="P40">
        <v>1</v>
      </c>
      <c r="Q40">
        <f>100*83755/209991</f>
        <v>39.88504269230586</v>
      </c>
      <c r="R40">
        <f>100*41667/180054</f>
        <v>23.141390916058516</v>
      </c>
      <c r="S40">
        <f>IF(COUNT(Q40:R40)=2,R40-Q40,"")</f>
        <v>-16.743651776247344</v>
      </c>
    </row>
    <row r="41" spans="1:19" x14ac:dyDescent="0.3">
      <c r="A41">
        <v>3</v>
      </c>
      <c r="B41">
        <v>2</v>
      </c>
      <c r="C41">
        <f>100*303277/735676</f>
        <v>41.22426176740848</v>
      </c>
      <c r="D41">
        <f>100*52299/654128</f>
        <v>7.9952241763080005</v>
      </c>
      <c r="E41">
        <f>IF(COUNT(C41:D41)=2,D41-C41,"")</f>
        <v>-33.22903759110048</v>
      </c>
      <c r="H41">
        <v>3</v>
      </c>
      <c r="I41">
        <v>2</v>
      </c>
      <c r="J41">
        <f>100*328651/1001588</f>
        <v>32.812992967168135</v>
      </c>
      <c r="K41">
        <f>100*57356/566020</f>
        <v>10.133210840606338</v>
      </c>
      <c r="L41">
        <f>IF(COUNT(J41:K41)=2,K41-J41,"")</f>
        <v>-22.679782126561797</v>
      </c>
      <c r="O41">
        <v>3</v>
      </c>
      <c r="P41">
        <v>2</v>
      </c>
      <c r="Q41">
        <f>100*165549/320834</f>
        <v>51.59958109177955</v>
      </c>
      <c r="R41">
        <f>100*88057/511096</f>
        <v>17.22905285895409</v>
      </c>
      <c r="S41">
        <f>IF(COUNT(Q41:R41)=2,R41-Q41,"")</f>
        <v>-34.37052823282546</v>
      </c>
    </row>
    <row r="42" spans="1:19" x14ac:dyDescent="0.3">
      <c r="A42">
        <v>4</v>
      </c>
      <c r="B42">
        <v>3</v>
      </c>
      <c r="C42">
        <f>100*38069/646087</f>
        <v>5.8922405186917555</v>
      </c>
      <c r="D42">
        <f>100*24447/558397</f>
        <v>4.378067933746062</v>
      </c>
      <c r="E42">
        <f>IF(COUNT(C42:D42)=2,D42-C42,"")</f>
        <v>-1.514172584945693</v>
      </c>
      <c r="H42">
        <v>4</v>
      </c>
      <c r="I42">
        <v>3</v>
      </c>
      <c r="J42">
        <f>100*38325/584626</f>
        <v>6.555473071673172</v>
      </c>
      <c r="K42">
        <f>100*31185/666278</f>
        <v>4.680478719093231</v>
      </c>
      <c r="L42">
        <f>IF(COUNT(J42:K42)=2,K42-J42,"")</f>
        <v>-1.8749943525799413</v>
      </c>
      <c r="O42">
        <v>4</v>
      </c>
      <c r="P42">
        <v>3</v>
      </c>
      <c r="Q42">
        <f>100*265499/612068</f>
        <v>43.37736983472425</v>
      </c>
      <c r="R42">
        <f>100*112941/631559</f>
        <v>17.882889801269556</v>
      </c>
      <c r="S42">
        <f>IF(COUNT(Q42:R42)=2,R42-Q42,"")</f>
        <v>-25.494480033454693</v>
      </c>
    </row>
    <row r="43" spans="1:19" x14ac:dyDescent="0.3">
      <c r="A43">
        <v>5</v>
      </c>
      <c r="B43">
        <v>4</v>
      </c>
      <c r="C43">
        <f>100*148157/358074</f>
        <v>41.376084273083215</v>
      </c>
      <c r="D43">
        <f>100*147089/564517</f>
        <v>26.055725514023493</v>
      </c>
      <c r="E43">
        <f>IF(COUNT(C43:D43)=2,D43-C43,"")</f>
        <v>-15.320358759059722</v>
      </c>
      <c r="H43">
        <v>5</v>
      </c>
      <c r="I43">
        <v>4</v>
      </c>
      <c r="J43">
        <f>100*86329/200432</f>
        <v>43.071465634230066</v>
      </c>
      <c r="K43">
        <f>100*44292/348485</f>
        <v>12.70987273483794</v>
      </c>
      <c r="L43">
        <f>IF(COUNT(J43:K43)=2,K43-J43,"")</f>
        <v>-30.361592899392125</v>
      </c>
      <c r="O43">
        <v>5</v>
      </c>
      <c r="P43">
        <v>4</v>
      </c>
      <c r="Q43">
        <f>100*80681/472324</f>
        <v>17.08170662511327</v>
      </c>
      <c r="R43">
        <f>100*20774/645110</f>
        <v>3.2202260079676335</v>
      </c>
      <c r="S43">
        <f>IF(COUNT(Q43:R43)=2,R43-Q43,"")</f>
        <v>-13.861480617145636</v>
      </c>
    </row>
    <row r="44" spans="1:19" x14ac:dyDescent="0.3">
      <c r="A44">
        <v>6</v>
      </c>
      <c r="B44">
        <v>5</v>
      </c>
      <c r="C44">
        <f>100*52664/652890</f>
        <v>8.066289880378012</v>
      </c>
      <c r="D44">
        <f>100*90675/585742</f>
        <v>15.480365075408628</v>
      </c>
      <c r="E44">
        <f>IF(COUNT(C44:D44)=2,D44-C44,"")</f>
        <v>7.414075195030616</v>
      </c>
      <c r="H44">
        <v>6</v>
      </c>
      <c r="I44">
        <v>5</v>
      </c>
      <c r="J44">
        <f>100*143171/458928</f>
        <v>31.19683261862427</v>
      </c>
      <c r="K44">
        <f>100*102902/611342</f>
        <v>16.8321495987516</v>
      </c>
      <c r="L44">
        <f>IF(COUNT(J44:K44)=2,K44-J44,"")</f>
        <v>-14.364683019872672</v>
      </c>
      <c r="O44">
        <v>6</v>
      </c>
      <c r="P44">
        <v>5</v>
      </c>
      <c r="Q44">
        <f>100*332039/690960</f>
        <v>48.05473544054649</v>
      </c>
      <c r="R44">
        <f>100*132954/712230</f>
        <v>18.66728444463165</v>
      </c>
      <c r="S44">
        <f>IF(COUNT(Q44:R44)=2,R44-Q44,"")</f>
        <v>-29.387450995914836</v>
      </c>
    </row>
    <row r="45" spans="1:19" x14ac:dyDescent="0.3">
      <c r="A45">
        <v>7</v>
      </c>
      <c r="B45">
        <v>6</v>
      </c>
      <c r="C45">
        <f>100*13388/639485</f>
        <v>2.093559661289944</v>
      </c>
      <c r="D45">
        <f>100*88719/753538</f>
        <v>11.773659722535559</v>
      </c>
      <c r="E45">
        <f>IF(COUNT(C45:D45)=2,D45-C45,"")</f>
        <v>9.680100061245614</v>
      </c>
      <c r="H45">
        <v>7</v>
      </c>
      <c r="I45">
        <v>6</v>
      </c>
      <c r="J45">
        <f>100*1474/516628</f>
        <v>0.28531167493825343</v>
      </c>
      <c r="K45">
        <f>100*13958/639787</f>
        <v>2.1816635849118535</v>
      </c>
      <c r="L45">
        <f>IF(COUNT(J45:K45)=2,K45-J45,"")</f>
        <v>1.8963519099736001</v>
      </c>
      <c r="O45">
        <v>7</v>
      </c>
      <c r="P45">
        <v>6</v>
      </c>
      <c r="Q45">
        <f>100*255047/462709</f>
        <v>55.12038884050234</v>
      </c>
      <c r="R45">
        <f>100*44191/167878</f>
        <v>26.323282383635735</v>
      </c>
      <c r="S45">
        <f>IF(COUNT(Q45:R45)=2,R45-Q45,"")</f>
        <v>-28.797106456866608</v>
      </c>
    </row>
    <row r="46" spans="1:19" x14ac:dyDescent="0.3">
      <c r="A46">
        <v>8</v>
      </c>
      <c r="B46">
        <v>7</v>
      </c>
      <c r="C46">
        <f>100*9937/448273</f>
        <v>2.216729537580894</v>
      </c>
      <c r="D46">
        <f>100*6630/651970</f>
        <v>1.0169179563476847</v>
      </c>
      <c r="E46">
        <f>IF(COUNT(C46:D46)=2,D46-C46,"")</f>
        <v>-1.1998115812332093</v>
      </c>
      <c r="H46">
        <v>8</v>
      </c>
      <c r="I46">
        <v>7</v>
      </c>
      <c r="J46">
        <f>100*2387/421854</f>
        <v>0.5658355734448411</v>
      </c>
      <c r="K46">
        <f>100*5963/376898</f>
        <v>1.5821256679526026</v>
      </c>
      <c r="L46">
        <f>IF(COUNT(J46:K46)=2,K46-J46,"")</f>
        <v>1.0162900945077613</v>
      </c>
      <c r="O46">
        <v>8</v>
      </c>
      <c r="P46">
        <v>7</v>
      </c>
      <c r="Q46">
        <f>100*174551/400003</f>
        <v>43.63742271932961</v>
      </c>
      <c r="R46">
        <f>100*154248/519915</f>
        <v>29.667926487983614</v>
      </c>
      <c r="S46">
        <f>IF(COUNT(Q46:R46)=2,R46-Q46,"")</f>
        <v>-13.969496231345992</v>
      </c>
    </row>
    <row r="47" spans="1:19" x14ac:dyDescent="0.3">
      <c r="A47">
        <v>9</v>
      </c>
      <c r="B47">
        <v>8</v>
      </c>
      <c r="C47">
        <f>100*196686/341160</f>
        <v>57.65212803376715</v>
      </c>
      <c r="D47">
        <f>100*102777/377725</f>
        <v>27.209477794691907</v>
      </c>
      <c r="E47">
        <f>IF(COUNT(C47:D47)=2,D47-C47,"")</f>
        <v>-30.442650239075242</v>
      </c>
      <c r="H47">
        <v>9</v>
      </c>
      <c r="I47">
        <v>8</v>
      </c>
      <c r="J47">
        <f>100*195875/433696</f>
        <v>45.16412417914853</v>
      </c>
      <c r="K47">
        <f>100*215176/688267</f>
        <v>31.26344863258009</v>
      </c>
      <c r="L47">
        <f>IF(COUNT(J47:K47)=2,K47-J47,"")</f>
        <v>-13.90067554656844</v>
      </c>
      <c r="O47">
        <v>9</v>
      </c>
      <c r="P47">
        <v>8</v>
      </c>
      <c r="Q47">
        <f>100*68616/113213</f>
        <v>60.60788072041197</v>
      </c>
      <c r="R47">
        <f>100*80230/244283</f>
        <v>32.843054981312655</v>
      </c>
      <c r="S47">
        <f>IF(COUNT(Q47:R47)=2,R47-Q47,"")</f>
        <v>-27.764825739099315</v>
      </c>
    </row>
    <row r="48" spans="1:19" x14ac:dyDescent="0.3">
      <c r="A48">
        <v>10</v>
      </c>
      <c r="B48">
        <v>9</v>
      </c>
      <c r="C48">
        <f>100*122007/555605</f>
        <v>21.95930562179966</v>
      </c>
      <c r="D48">
        <f>100*11078/514674</f>
        <v>2.15243047055029</v>
      </c>
      <c r="E48">
        <f>IF(COUNT(C48:D48)=2,D48-C48,"")</f>
        <v>-19.806875151249372</v>
      </c>
      <c r="H48">
        <v>10</v>
      </c>
      <c r="I48">
        <v>9</v>
      </c>
      <c r="J48">
        <f>100*319115/716304</f>
        <v>44.550218901472</v>
      </c>
      <c r="K48">
        <f>100*28049/720294</f>
        <v>3.894104351834112</v>
      </c>
      <c r="L48">
        <f>IF(COUNT(J48:K48)=2,K48-J48,"")</f>
        <v>-40.65611454963789</v>
      </c>
      <c r="O48">
        <v>10</v>
      </c>
      <c r="P48">
        <v>9</v>
      </c>
      <c r="Q48">
        <f>100*144975/663380</f>
        <v>21.85399017154572</v>
      </c>
      <c r="R48">
        <f>100*9950/474811</f>
        <v>2.095570658641017</v>
      </c>
      <c r="S48">
        <f>IF(COUNT(Q48:R48)=2,R48-Q48,"")</f>
        <v>-19.758419512904705</v>
      </c>
    </row>
    <row r="49" spans="1:19" x14ac:dyDescent="0.3">
      <c r="A49">
        <v>11</v>
      </c>
      <c r="B49">
        <v>10</v>
      </c>
      <c r="C49">
        <f>100*381322/854451</f>
        <v>44.627720021393856</v>
      </c>
      <c r="D49">
        <f>100*26959/789337</f>
        <v>3.4153979859046264</v>
      </c>
      <c r="E49">
        <f>IF(COUNT(C49:D49)=2,D49-C49,"")</f>
        <v>-41.21232203548923</v>
      </c>
      <c r="H49">
        <v>11</v>
      </c>
      <c r="I49">
        <v>10</v>
      </c>
      <c r="J49">
        <f>100*298304/894387</f>
        <v>33.352899807354085</v>
      </c>
      <c r="K49">
        <f>100*85394/948018</f>
        <v>9.007634876131045</v>
      </c>
      <c r="L49">
        <f>IF(COUNT(J49:K49)=2,K49-J49,"")</f>
        <v>-24.345264931223042</v>
      </c>
      <c r="O49">
        <v>11</v>
      </c>
      <c r="P49">
        <v>10</v>
      </c>
      <c r="Q49">
        <f>100*252271/540552</f>
        <v>46.66914561411298</v>
      </c>
      <c r="R49">
        <f>100*279905/758231</f>
        <v>36.915531018911125</v>
      </c>
      <c r="S49">
        <f>IF(COUNT(Q49:R49)=2,R49-Q49,"")</f>
        <v>-9.753614595201853</v>
      </c>
    </row>
    <row r="50" spans="1:19" x14ac:dyDescent="0.3">
      <c r="A50">
        <v>12</v>
      </c>
      <c r="B50">
        <v>11</v>
      </c>
      <c r="C50">
        <f>100*390280/917983</f>
        <v>42.51494853390531</v>
      </c>
      <c r="D50">
        <f>100*20843/491985</f>
        <v>4.236511275750277</v>
      </c>
      <c r="E50">
        <f>IF(COUNT(C50:D50)=2,D50-C50,"")</f>
        <v>-38.27843725815504</v>
      </c>
      <c r="H50">
        <v>12</v>
      </c>
      <c r="I50">
        <v>11</v>
      </c>
      <c r="K50">
        <f>100*118895/812041</f>
        <v>14.641502091643156</v>
      </c>
      <c r="L50" t="str">
        <f>IF(COUNT(J50:K50)=2,K50-J50,"")</f>
        <v/>
      </c>
      <c r="O50">
        <v>12</v>
      </c>
      <c r="P50">
        <v>11</v>
      </c>
      <c r="Q50">
        <f>100*152311/319498</f>
        <v>47.67197290749864</v>
      </c>
      <c r="R50">
        <f>100*119894/379494</f>
        <v>31.59312136687273</v>
      </c>
      <c r="S50">
        <f>IF(COUNT(Q50:R50)=2,R50-Q50,"")</f>
        <v>-16.078851540625912</v>
      </c>
    </row>
    <row r="51" spans="1:19" x14ac:dyDescent="0.3">
      <c r="A51">
        <v>13</v>
      </c>
      <c r="B51">
        <v>12</v>
      </c>
      <c r="C51">
        <f>100*11194/520395</f>
        <v>2.1510583306911095</v>
      </c>
      <c r="D51">
        <f>100*47273/689256</f>
        <v>6.85855473147858</v>
      </c>
      <c r="E51">
        <f>IF(COUNT(C51:D51)=2,D51-C51,"")</f>
        <v>4.70749640078747</v>
      </c>
      <c r="H51">
        <v>13</v>
      </c>
      <c r="I51">
        <v>12</v>
      </c>
      <c r="J51">
        <f>100*63849/654587</f>
        <v>9.75408921961481</v>
      </c>
      <c r="K51">
        <f>100*11450/839165</f>
        <v>1.3644515679276423</v>
      </c>
      <c r="L51">
        <f>IF(COUNT(J51:K51)=2,K51-J51,"")</f>
        <v>-8.389637651687169</v>
      </c>
      <c r="O51">
        <v>13</v>
      </c>
      <c r="P51">
        <v>12</v>
      </c>
      <c r="Q51">
        <f>100*326273/687294</f>
        <v>47.47211528108786</v>
      </c>
      <c r="R51">
        <f>100*84967/498278</f>
        <v>17.05212752720369</v>
      </c>
      <c r="S51">
        <f>IF(COUNT(Q51:R51)=2,R51-Q51,"")</f>
        <v>-30.41998775388417</v>
      </c>
    </row>
    <row r="52" spans="1:19" x14ac:dyDescent="0.3">
      <c r="A52">
        <v>14</v>
      </c>
      <c r="B52">
        <v>13</v>
      </c>
      <c r="C52">
        <f>100*47836/384501</f>
        <v>12.441059971235445</v>
      </c>
      <c r="D52">
        <f>100*38923/340760</f>
        <v>11.422408733419415</v>
      </c>
      <c r="E52">
        <f>IF(COUNT(C52:D52)=2,D52-C52,"")</f>
        <v>-1.0186512378160302</v>
      </c>
      <c r="H52">
        <v>14</v>
      </c>
      <c r="I52">
        <v>13</v>
      </c>
      <c r="J52">
        <f>100*46518/257005</f>
        <v>18.100036964261395</v>
      </c>
      <c r="K52">
        <f>100*54092/321855</f>
        <v>16.80632582995448</v>
      </c>
      <c r="L52">
        <f>IF(COUNT(J52:K52)=2,K52-J52,"")</f>
        <v>-1.293711134306914</v>
      </c>
      <c r="O52">
        <v>14</v>
      </c>
      <c r="P52">
        <v>13</v>
      </c>
      <c r="Q52">
        <f>100*2347/627958</f>
        <v>0.37375111074307515</v>
      </c>
      <c r="R52">
        <f>100*11137/660591</f>
        <v>1.6859145825480517</v>
      </c>
      <c r="S52">
        <f>IF(COUNT(Q52:R52)=2,R52-Q52,"")</f>
        <v>1.3121634718049766</v>
      </c>
    </row>
    <row r="53" spans="1:19" x14ac:dyDescent="0.3">
      <c r="A53">
        <v>15</v>
      </c>
      <c r="B53">
        <v>14</v>
      </c>
      <c r="C53">
        <f>100*248778/461319</f>
        <v>53.92754254648085</v>
      </c>
      <c r="D53">
        <f>100*60896/484828</f>
        <v>12.560330673970975</v>
      </c>
      <c r="E53">
        <f>IF(COUNT(C53:D53)=2,D53-C53,"")</f>
        <v>-41.36721187250988</v>
      </c>
      <c r="H53">
        <v>15</v>
      </c>
      <c r="I53">
        <v>14</v>
      </c>
      <c r="J53">
        <f>100*175137/618371</f>
        <v>28.322317831851752</v>
      </c>
      <c r="K53">
        <f>100*126706/712364</f>
        <v>17.78669331970734</v>
      </c>
      <c r="L53">
        <f>IF(COUNT(J53:K53)=2,K53-J53,"")</f>
        <v>-10.535624512144413</v>
      </c>
      <c r="O53">
        <v>15</v>
      </c>
      <c r="P53">
        <v>14</v>
      </c>
      <c r="Q53">
        <f>100*146769/359086</f>
        <v>40.872938516121486</v>
      </c>
      <c r="R53">
        <f>100*216067/603185</f>
        <v>35.821016769316216</v>
      </c>
      <c r="S53">
        <f>IF(COUNT(Q53:R53)=2,R53-Q53,"")</f>
        <v>-5.05192174680527</v>
      </c>
    </row>
    <row r="54" spans="1:19" x14ac:dyDescent="0.3">
      <c r="A54">
        <v>16</v>
      </c>
      <c r="B54">
        <v>15</v>
      </c>
      <c r="C54">
        <f>100*326435/634375</f>
        <v>51.45773399014778</v>
      </c>
      <c r="D54">
        <f>100*25116/500746</f>
        <v>5.015716550906048</v>
      </c>
      <c r="E54">
        <f>IF(COUNT(C54:D54)=2,D54-C54,"")</f>
        <v>-46.44201743924173</v>
      </c>
      <c r="H54">
        <v>16</v>
      </c>
      <c r="I54">
        <v>15</v>
      </c>
      <c r="J54">
        <f>100*262686/530062</f>
        <v>49.55759892239021</v>
      </c>
      <c r="K54">
        <f>100*6779/307788</f>
        <v>2.202490025602038</v>
      </c>
      <c r="L54">
        <f>IF(COUNT(J54:K54)=2,K54-J54,"")</f>
        <v>-47.355108896788174</v>
      </c>
      <c r="O54">
        <v>16</v>
      </c>
      <c r="P54">
        <v>15</v>
      </c>
      <c r="Q54">
        <f>100*161630/350468</f>
        <v>46.11833320017805</v>
      </c>
      <c r="R54">
        <f>100*76453/375454</f>
        <v>20.362814086412715</v>
      </c>
      <c r="S54">
        <f>IF(COUNT(Q54:R54)=2,R54-Q54,"")</f>
        <v>-25.755519113765335</v>
      </c>
    </row>
    <row r="55" spans="1:19" x14ac:dyDescent="0.3">
      <c r="A55">
        <v>17</v>
      </c>
      <c r="B55">
        <v>16</v>
      </c>
      <c r="C55">
        <f>100*180820/593692</f>
        <v>30.45686989213262</v>
      </c>
      <c r="D55">
        <f>100*108143/489667</f>
        <v>22.085008791689045</v>
      </c>
      <c r="E55">
        <f>IF(COUNT(C55:D55)=2,D55-C55,"")</f>
        <v>-8.371861100443574</v>
      </c>
      <c r="H55">
        <v>17</v>
      </c>
      <c r="I55">
        <v>16</v>
      </c>
      <c r="J55">
        <f>100*201035/472489</f>
        <v>42.5480804844134</v>
      </c>
      <c r="K55">
        <f>100*97275/606954</f>
        <v>16.02674996787236</v>
      </c>
      <c r="L55">
        <f>IF(COUNT(J55:K55)=2,K55-J55,"")</f>
        <v>-26.52133051654104</v>
      </c>
      <c r="O55">
        <v>17</v>
      </c>
      <c r="P55">
        <v>16</v>
      </c>
      <c r="Q55">
        <f>100*10845/444486</f>
        <v>2.4398968696426886</v>
      </c>
      <c r="R55">
        <f>100*8472/334684</f>
        <v>2.5313429981714095</v>
      </c>
      <c r="S55">
        <f>IF(COUNT(Q55:R55)=2,R55-Q55,"")</f>
        <v>0.09144612852872092</v>
      </c>
    </row>
    <row r="56" spans="1:19" x14ac:dyDescent="0.3">
      <c r="A56">
        <v>18</v>
      </c>
      <c r="B56">
        <v>17</v>
      </c>
      <c r="C56">
        <f>100*349274/706163</f>
        <v>49.460818536230306</v>
      </c>
      <c r="D56">
        <f>100*25396/456030</f>
        <v>5.5689318685174225</v>
      </c>
      <c r="E56">
        <f>IF(COUNT(C56:D56)=2,D56-C56,"")</f>
        <v>-43.89188666771288</v>
      </c>
      <c r="H56">
        <v>18</v>
      </c>
      <c r="I56">
        <v>17</v>
      </c>
      <c r="K56">
        <f>100*58445/837613</f>
        <v>6.97756601198883</v>
      </c>
      <c r="L56" t="str">
        <f>IF(COUNT(J56:K56)=2,K56-J56,"")</f>
        <v/>
      </c>
      <c r="O56">
        <v>18</v>
      </c>
      <c r="P56">
        <v>17</v>
      </c>
      <c r="Q56">
        <f>100*35789/365071</f>
        <v>9.803298536449073</v>
      </c>
      <c r="R56">
        <f>100*51332/450687</f>
        <v>11.389722800968299</v>
      </c>
      <c r="S56">
        <f>IF(COUNT(Q56:R56)=2,R56-Q56,"")</f>
        <v>1.5864242645192252</v>
      </c>
    </row>
    <row r="57" spans="1:19" x14ac:dyDescent="0.3">
      <c r="A57">
        <v>19</v>
      </c>
      <c r="B57">
        <v>18</v>
      </c>
      <c r="C57">
        <f>100*270086/697559</f>
        <v>38.71873203556975</v>
      </c>
      <c r="D57">
        <f>100*139286/892681</f>
        <v>15.603110181576621</v>
      </c>
      <c r="E57">
        <f>IF(COUNT(C57:D57)=2,D57-C57,"")</f>
        <v>-23.11562185399313</v>
      </c>
      <c r="H57">
        <v>19</v>
      </c>
      <c r="I57">
        <v>18</v>
      </c>
      <c r="J57">
        <f>100*171180/560014</f>
        <v>30.567092965533003</v>
      </c>
      <c r="K57">
        <f>100*43422/493038</f>
        <v>8.807029072809804</v>
      </c>
      <c r="L57">
        <f>IF(COUNT(J57:K57)=2,K57-J57,"")</f>
        <v>-21.7600638927232</v>
      </c>
      <c r="O57">
        <v>19</v>
      </c>
      <c r="P57">
        <v>18</v>
      </c>
      <c r="Q57">
        <f>100*169030/384674</f>
        <v>43.94110337584552</v>
      </c>
      <c r="R57">
        <f>100*73435/377941</f>
        <v>19.43028144604581</v>
      </c>
      <c r="S57">
        <f>IF(COUNT(Q57:R57)=2,R57-Q57,"")</f>
        <v>-24.51082192979971</v>
      </c>
    </row>
    <row r="58" spans="1:19" x14ac:dyDescent="0.3">
      <c r="A58">
        <v>20</v>
      </c>
      <c r="B58">
        <v>19</v>
      </c>
      <c r="C58">
        <f>100*219519/529900</f>
        <v>41.42649556520098</v>
      </c>
      <c r="D58">
        <f>100*150080/832280</f>
        <v>18.03239294468208</v>
      </c>
      <c r="E58">
        <f>IF(COUNT(C58:D58)=2,D58-C58,"")</f>
        <v>-23.3941026205189</v>
      </c>
      <c r="H58">
        <v>20</v>
      </c>
      <c r="I58">
        <v>19</v>
      </c>
      <c r="J58">
        <f>100*284748/588066</f>
        <v>48.42109559131118</v>
      </c>
      <c r="K58">
        <f>100*30334/579876</f>
        <v>5.231118377032331</v>
      </c>
      <c r="L58">
        <f>IF(COUNT(J58:K58)=2,K58-J58,"")</f>
        <v>-43.18997721427885</v>
      </c>
      <c r="O58">
        <v>20</v>
      </c>
      <c r="P58">
        <v>19</v>
      </c>
      <c r="Q58">
        <f>100*276241/622059</f>
        <v>44.40752404514684</v>
      </c>
      <c r="R58">
        <f>100*31282/476421</f>
        <v>6.566041379368248</v>
      </c>
      <c r="S58">
        <f>IF(COUNT(Q58:R58)=2,R58-Q58,"")</f>
        <v>-37.84148266577859</v>
      </c>
    </row>
    <row r="59" spans="1:19" x14ac:dyDescent="0.3">
      <c r="A59">
        <v>21</v>
      </c>
      <c r="B59">
        <v>20</v>
      </c>
      <c r="C59">
        <f>100*270029/574676</f>
        <v>46.98804195755521</v>
      </c>
      <c r="D59">
        <f>100*115487/568241</f>
        <v>20.323595094334973</v>
      </c>
      <c r="E59">
        <f>IF(COUNT(C59:D59)=2,D59-C59,"")</f>
        <v>-26.66444686322024</v>
      </c>
      <c r="H59">
        <v>21</v>
      </c>
      <c r="I59">
        <v>20</v>
      </c>
      <c r="J59">
        <f>100*380768/887907</f>
        <v>42.88377048497196</v>
      </c>
      <c r="K59">
        <f>100*186831/768419</f>
        <v>24.3136882351946</v>
      </c>
      <c r="L59">
        <f>IF(COUNT(J59:K59)=2,K59-J59,"")</f>
        <v>-18.57008224977736</v>
      </c>
      <c r="O59">
        <v>21</v>
      </c>
      <c r="P59">
        <v>20</v>
      </c>
      <c r="Q59">
        <f>100*102616/414261</f>
        <v>24.7708570200912</v>
      </c>
      <c r="R59">
        <f>100*27838/353064</f>
        <v>7.884689461400765</v>
      </c>
      <c r="S59">
        <f>IF(COUNT(Q59:R59)=2,R59-Q59,"")</f>
        <v>-16.886167558690435</v>
      </c>
    </row>
    <row r="60" spans="1:19" x14ac:dyDescent="0.3">
      <c r="A60">
        <v>22</v>
      </c>
      <c r="B60">
        <v>21</v>
      </c>
      <c r="C60">
        <f>100*61286/139068</f>
        <v>44.06908850346593</v>
      </c>
      <c r="D60">
        <f>100*18953/74283</f>
        <v>25.51458610987709</v>
      </c>
      <c r="E60">
        <f>IF(COUNT(C60:D60)=2,D60-C60,"")</f>
        <v>-18.554502393588837</v>
      </c>
      <c r="H60">
        <v>22</v>
      </c>
      <c r="I60">
        <v>21</v>
      </c>
      <c r="J60">
        <f>100*139592/266933</f>
        <v>52.29477059786538</v>
      </c>
      <c r="K60">
        <f>100*153713/439069</f>
        <v>35.00884826758437</v>
      </c>
      <c r="L60">
        <f>IF(COUNT(J60:K60)=2,K60-J60,"")</f>
        <v>-17.28592233028101</v>
      </c>
      <c r="O60">
        <v>22</v>
      </c>
      <c r="P60">
        <v>21</v>
      </c>
      <c r="Q60">
        <f>100*93353/177560</f>
        <v>52.57546744762334</v>
      </c>
      <c r="R60">
        <f>100*39888/160601</f>
        <v>24.83670711888469</v>
      </c>
      <c r="S60">
        <f>IF(COUNT(Q60:R60)=2,R60-Q60,"")</f>
        <v>-27.73876032873865</v>
      </c>
    </row>
    <row r="61" spans="1:19" x14ac:dyDescent="0.3">
      <c r="A61">
        <v>23</v>
      </c>
      <c r="B61">
        <v>22</v>
      </c>
      <c r="C61">
        <f>100*276476/597687</f>
        <v>46.2576565995245</v>
      </c>
      <c r="D61">
        <f>100*251014/765898</f>
        <v>32.77381583448449</v>
      </c>
      <c r="E61">
        <f>IF(COUNT(C61:D61)=2,D61-C61,"")</f>
        <v>-13.483840765040014</v>
      </c>
      <c r="H61">
        <v>23</v>
      </c>
      <c r="I61">
        <v>22</v>
      </c>
      <c r="J61">
        <f>100*307788/547933</f>
        <v>56.1725612438017</v>
      </c>
      <c r="K61">
        <f>100*126924/911954</f>
        <v>13.917807257822215</v>
      </c>
      <c r="L61">
        <f>IF(COUNT(J61:K61)=2,K61-J61,"")</f>
        <v>-42.25475398597949</v>
      </c>
      <c r="O61">
        <v>23</v>
      </c>
      <c r="P61">
        <v>22</v>
      </c>
      <c r="Q61">
        <f>100*1420/340312</f>
        <v>0.41726415759655844</v>
      </c>
      <c r="R61">
        <f>100*1008/453764</f>
        <v>0.22214190636542344</v>
      </c>
      <c r="S61">
        <f>IF(COUNT(Q61:R61)=2,R61-Q61,"")</f>
        <v>-0.195122251231135</v>
      </c>
    </row>
    <row r="62" spans="1:19" x14ac:dyDescent="0.3">
      <c r="A62">
        <v>24</v>
      </c>
      <c r="B62">
        <v>23</v>
      </c>
      <c r="C62">
        <f>100*144470/668915</f>
        <v>21.597661885291853</v>
      </c>
      <c r="D62">
        <f>100*23587/502816</f>
        <v>4.690980398396232</v>
      </c>
      <c r="E62">
        <f>IF(COUNT(C62:D62)=2,D62-C62,"")</f>
        <v>-16.90668148689562</v>
      </c>
      <c r="H62">
        <v>24</v>
      </c>
      <c r="I62">
        <v>23</v>
      </c>
      <c r="J62">
        <f>100*403224/842602</f>
        <v>47.85462175499227</v>
      </c>
      <c r="K62">
        <f>100*76731/592939</f>
        <v>12.940791548540407</v>
      </c>
      <c r="L62">
        <f>IF(COUNT(J62:K62)=2,K62-J62,"")</f>
        <v>-34.91383020645186</v>
      </c>
      <c r="O62">
        <v>24</v>
      </c>
      <c r="P62">
        <v>23</v>
      </c>
      <c r="Q62">
        <f>100*127073/681026</f>
        <v>18.659052664655974</v>
      </c>
      <c r="R62">
        <f>100*33961/722058</f>
        <v>4.7033617798016225</v>
      </c>
      <c r="S62">
        <f>IF(COUNT(Q62:R62)=2,R62-Q62,"")</f>
        <v>-13.955690884854352</v>
      </c>
    </row>
    <row r="63" spans="1:19" x14ac:dyDescent="0.3">
      <c r="A63">
        <v>25</v>
      </c>
      <c r="B63">
        <v>24</v>
      </c>
      <c r="C63">
        <f>100*246413/550634</f>
        <v>44.7507781938638</v>
      </c>
      <c r="D63">
        <f>100*31102/591138</f>
        <v>5.261377208029259</v>
      </c>
      <c r="E63">
        <f>IF(COUNT(C63:D63)=2,D63-C63,"")</f>
        <v>-39.48940098583454</v>
      </c>
      <c r="H63">
        <v>25</v>
      </c>
      <c r="I63">
        <v>24</v>
      </c>
      <c r="J63">
        <f>100*334373/832460</f>
        <v>40.16685486389736</v>
      </c>
      <c r="K63">
        <f>100*9778/551464</f>
        <v>1.7730985159502706</v>
      </c>
      <c r="L63">
        <f>IF(COUNT(J63:K63)=2,K63-J63,"")</f>
        <v>-38.39375634794709</v>
      </c>
      <c r="O63">
        <v>25</v>
      </c>
      <c r="P63">
        <v>24</v>
      </c>
      <c r="Q63">
        <f>100*69231/149628</f>
        <v>46.26874649129842</v>
      </c>
      <c r="R63">
        <f>100*134680/444757</f>
        <v>30.281704391386757</v>
      </c>
      <c r="S63">
        <f>IF(COUNT(Q63:R63)=2,R63-Q63,"")</f>
        <v>-15.987042099911665</v>
      </c>
    </row>
    <row r="64" spans="1:19" x14ac:dyDescent="0.3">
      <c r="A64">
        <v>26</v>
      </c>
      <c r="B64">
        <v>25</v>
      </c>
      <c r="C64">
        <f>100*325215/704022</f>
        <v>46.193868941595575</v>
      </c>
      <c r="D64">
        <f>100*50325/397160</f>
        <v>12.671215630979958</v>
      </c>
      <c r="E64">
        <f>IF(COUNT(C64:D64)=2,D64-C64,"")</f>
        <v>-33.52265331061562</v>
      </c>
      <c r="H64">
        <v>26</v>
      </c>
      <c r="I64">
        <v>25</v>
      </c>
      <c r="J64">
        <f>100*93173/499879</f>
        <v>18.639110664780876</v>
      </c>
      <c r="K64">
        <f>100*102213/715044</f>
        <v>14.294644805074933</v>
      </c>
      <c r="L64">
        <f>IF(COUNT(J64:K64)=2,K64-J64,"")</f>
        <v>-4.344465859705943</v>
      </c>
      <c r="O64">
        <v>26</v>
      </c>
      <c r="P64">
        <v>25</v>
      </c>
      <c r="Q64">
        <f>100*287382/566887</f>
        <v>50.69475927301208</v>
      </c>
      <c r="R64">
        <f>100*176855/665957</f>
        <v>26.55651941491718</v>
      </c>
      <c r="S64">
        <f>IF(COUNT(Q64:R64)=2,R64-Q64,"")</f>
        <v>-24.138239858094902</v>
      </c>
    </row>
    <row r="65" spans="1:19" x14ac:dyDescent="0.3">
      <c r="A65">
        <v>27</v>
      </c>
      <c r="B65">
        <v>26</v>
      </c>
      <c r="C65">
        <f>100*177239/701505</f>
        <v>25.26553623994127</v>
      </c>
      <c r="D65">
        <f>100*53559/412988</f>
        <v>12.968657684969054</v>
      </c>
      <c r="E65">
        <f>IF(COUNT(C65:D65)=2,D65-C65,"")</f>
        <v>-12.296878554972215</v>
      </c>
      <c r="H65">
        <v>27</v>
      </c>
      <c r="I65">
        <v>26</v>
      </c>
      <c r="J65">
        <f>100*244313/656873</f>
        <v>37.19333874280112</v>
      </c>
      <c r="K65">
        <f>100*111846/683019</f>
        <v>16.375239927439793</v>
      </c>
      <c r="L65">
        <f>IF(COUNT(J65:K65)=2,K65-J65,"")</f>
        <v>-20.818098815361324</v>
      </c>
      <c r="O65">
        <v>27</v>
      </c>
      <c r="P65">
        <v>26</v>
      </c>
      <c r="Q65">
        <f>100*89767/349739</f>
        <v>25.6668544257289</v>
      </c>
      <c r="R65">
        <f>100*55814/262888</f>
        <v>21.231094610632663</v>
      </c>
      <c r="S65">
        <f>IF(COUNT(Q65:R65)=2,R65-Q65,"")</f>
        <v>-4.435759815096237</v>
      </c>
    </row>
    <row r="66" spans="1:19" x14ac:dyDescent="0.3">
      <c r="A66">
        <v>28</v>
      </c>
      <c r="B66">
        <v>27</v>
      </c>
      <c r="C66">
        <f>100*80526/308887</f>
        <v>26.069727764522302</v>
      </c>
      <c r="D66">
        <f>100*83015/521652</f>
        <v>15.913865948946807</v>
      </c>
      <c r="E66">
        <f>IF(COUNT(C66:D66)=2,D66-C66,"")</f>
        <v>-10.155861815575495</v>
      </c>
      <c r="H66">
        <v>28</v>
      </c>
      <c r="I66">
        <v>27</v>
      </c>
      <c r="J66">
        <f>100*138608/347102</f>
        <v>39.93293037781402</v>
      </c>
      <c r="K66">
        <f>100*115451/467553</f>
        <v>24.692601694353367</v>
      </c>
      <c r="L66">
        <f>IF(COUNT(J66:K66)=2,K66-J66,"")</f>
        <v>-15.24032868346065</v>
      </c>
      <c r="O66">
        <v>28</v>
      </c>
      <c r="P66">
        <v>27</v>
      </c>
      <c r="Q66">
        <f>100*334/323134</f>
        <v>0.10336269163876287</v>
      </c>
      <c r="R66">
        <f>100*3484/414342</f>
        <v>0.8408512774471331</v>
      </c>
      <c r="S66">
        <f>IF(COUNT(Q66:R66)=2,R66-Q66,"")</f>
        <v>0.7374885858083702</v>
      </c>
    </row>
    <row r="67" spans="1:19" x14ac:dyDescent="0.3">
      <c r="A67">
        <v>29</v>
      </c>
      <c r="B67">
        <v>28</v>
      </c>
      <c r="C67">
        <f>100*201308/447811</f>
        <v>44.953786307169764</v>
      </c>
      <c r="D67">
        <f>100*143378/645046</f>
        <v>22.227562065341075</v>
      </c>
      <c r="E67">
        <f>IF(COUNT(C67:D67)=2,D67-C67,"")</f>
        <v>-22.72622424182869</v>
      </c>
      <c r="H67">
        <v>29</v>
      </c>
      <c r="I67">
        <v>28</v>
      </c>
      <c r="J67">
        <f>100*198367/384779</f>
        <v>51.553489145717414</v>
      </c>
      <c r="K67">
        <f>100*97195/406652</f>
        <v>23.901271849148657</v>
      </c>
      <c r="L67">
        <f>IF(COUNT(J67:K67)=2,K67-J67,"")</f>
        <v>-27.652217296568757</v>
      </c>
      <c r="O67">
        <v>29</v>
      </c>
      <c r="P67">
        <v>28</v>
      </c>
      <c r="Q67">
        <f>100*145808/355081</f>
        <v>41.063306682137316</v>
      </c>
      <c r="R67">
        <f>100*108598/427420</f>
        <v>25.40779561087455</v>
      </c>
      <c r="S67">
        <f>IF(COUNT(Q67:R67)=2,R67-Q67,"")</f>
        <v>-15.655511071262765</v>
      </c>
    </row>
    <row r="68" spans="1:19" x14ac:dyDescent="0.3">
      <c r="A68">
        <v>30</v>
      </c>
      <c r="B68">
        <v>29</v>
      </c>
      <c r="C68">
        <f>100*18197/471548</f>
        <v>3.8589920856413347</v>
      </c>
      <c r="D68">
        <f>100*55911/467262</f>
        <v>11.965663803176804</v>
      </c>
      <c r="E68">
        <f>IF(COUNT(C68:D68)=2,D68-C68,"")</f>
        <v>8.10667171753547</v>
      </c>
      <c r="H68">
        <v>30</v>
      </c>
      <c r="I68">
        <v>29</v>
      </c>
      <c r="J68">
        <f>100*78716/427068</f>
        <v>18.431725158522763</v>
      </c>
      <c r="K68">
        <f>100*73618/646307</f>
        <v>11.390562070347373</v>
      </c>
      <c r="L68">
        <f>IF(COUNT(J68:K68)=2,K68-J68,"")</f>
        <v>-7.04116308817539</v>
      </c>
      <c r="O68">
        <v>30</v>
      </c>
      <c r="P68">
        <v>29</v>
      </c>
      <c r="Q68">
        <f>100*234882/519580</f>
        <v>45.20612802648293</v>
      </c>
      <c r="R68">
        <f>100*151401/693243</f>
        <v>21.839528130828583</v>
      </c>
      <c r="S68">
        <f>IF(COUNT(Q68:R68)=2,R68-Q68,"")</f>
        <v>-23.366599895654346</v>
      </c>
    </row>
    <row r="69" spans="1:19" x14ac:dyDescent="0.3">
      <c r="A69">
        <v>31</v>
      </c>
      <c r="B69">
        <v>30</v>
      </c>
      <c r="C69">
        <f>100*112633/440273</f>
        <v>25.582536289983715</v>
      </c>
      <c r="D69">
        <f>100*53463/341170</f>
        <v>15.670486854061025</v>
      </c>
      <c r="E69">
        <f>IF(COUNT(C69:D69)=2,D69-C69,"")</f>
        <v>-9.91204943592269</v>
      </c>
      <c r="H69">
        <v>31</v>
      </c>
      <c r="I69">
        <v>30</v>
      </c>
      <c r="J69">
        <f>100*150446/466352</f>
        <v>32.26018115071877</v>
      </c>
      <c r="K69">
        <f>100*99956/481999</f>
        <v>20.73780236058581</v>
      </c>
      <c r="L69">
        <f>IF(COUNT(J69:K69)=2,K69-J69,"")</f>
        <v>-11.522378790132962</v>
      </c>
      <c r="O69">
        <v>31</v>
      </c>
      <c r="P69">
        <v>30</v>
      </c>
      <c r="Q69">
        <f>100*3881/600979</f>
        <v>0.6457796362268898</v>
      </c>
      <c r="R69">
        <f>100*16335/547502</f>
        <v>2.9835507450201093</v>
      </c>
      <c r="S69">
        <f>IF(COUNT(Q69:R69)=2,R69-Q69,"")</f>
        <v>2.3377711087932194</v>
      </c>
    </row>
    <row r="70" spans="1:19" x14ac:dyDescent="0.3">
      <c r="A70" t="s">
        <v>5</v>
      </c>
      <c r="C70">
        <f>IF(COUNT(C39:C69)&gt;0,AVERAGE(C39:C69),"")</f>
        <v>31.84282770070955</v>
      </c>
      <c r="D70">
        <f>IF(COUNT(D39:D69)&gt;0,AVERAGE(D39:D69),"")</f>
        <v>12.885491097435247</v>
      </c>
      <c r="E70">
        <f>IF(COUNT(E39:E69)&gt;0,AVERAGE(E39:E69),"")</f>
        <v>-18.957336603274296</v>
      </c>
      <c r="H70" t="s">
        <v>5</v>
      </c>
      <c r="J70">
        <f>IF(COUNT(J39:J69)&gt;0,AVERAGE(J39:J69),"")</f>
        <v>33.41421734972294</v>
      </c>
      <c r="K70">
        <f>IF(COUNT(K39:K69)&gt;0,AVERAGE(K39:K69),"")</f>
        <v>12.941216842469158</v>
      </c>
      <c r="L70">
        <f>IF(COUNT(L39:L69)&gt;0,AVERAGE(L39:L69),"")</f>
        <v>-20.32598790100183</v>
      </c>
      <c r="O70" t="s">
        <v>5</v>
      </c>
      <c r="Q70">
        <f>IF(COUNT(Q39:Q69)&gt;0,AVERAGE(Q39:Q69),"")</f>
        <v>33.06664971973761</v>
      </c>
      <c r="R70">
        <f>IF(COUNT(R39:R69)&gt;0,AVERAGE(R39:R69),"")</f>
        <v>17.139590322485482</v>
      </c>
      <c r="S70">
        <f>IF(COUNT(S39:S69)&gt;0,AVERAGE(S39:S69),"")</f>
        <v>-15.927059397252135</v>
      </c>
    </row>
    <row r="73" spans="1:19" s="2" customFormat="1" x14ac:dyDescent="0.3">
      <c r="A73" s="1" t="s">
        <v>12</v>
      </c>
      <c r="B73" s="1"/>
      <c r="C73" s="1"/>
      <c r="D73" s="1"/>
      <c r="E73" s="1"/>
      <c r="H73" s="1" t="s">
        <v>13</v>
      </c>
      <c r="I73" s="1"/>
      <c r="J73" s="1"/>
      <c r="K73" s="1"/>
      <c r="L73" s="1"/>
      <c r="O73" s="1" t="s">
        <v>14</v>
      </c>
      <c r="P73" s="1"/>
      <c r="Q73" s="1"/>
      <c r="R73" s="1"/>
      <c r="S73" s="1"/>
    </row>
    <row r="74" spans="1:19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O74" t="s">
        <v>0</v>
      </c>
      <c r="P74" t="s">
        <v>1</v>
      </c>
      <c r="Q74" t="s">
        <v>2</v>
      </c>
      <c r="R74" t="s">
        <v>3</v>
      </c>
      <c r="S74" t="s">
        <v>4</v>
      </c>
    </row>
    <row r="75" spans="1:19" x14ac:dyDescent="0.3">
      <c r="A75">
        <v>1</v>
      </c>
      <c r="B75">
        <v>0</v>
      </c>
      <c r="C75">
        <f>100*261929/517487</f>
        <v>50.61557101917536</v>
      </c>
      <c r="D75">
        <f>100*337947/1157143</f>
        <v>29.205292690704606</v>
      </c>
      <c r="E75">
        <f>IF(COUNT(C75:D75)=2,D75-C75,"")</f>
        <v>-21.410278328470756</v>
      </c>
      <c r="H75">
        <v>1</v>
      </c>
      <c r="I75">
        <v>0</v>
      </c>
      <c r="J75">
        <f>100*432733/796677</f>
        <v>54.317245257488295</v>
      </c>
      <c r="K75">
        <f>100*92702/754807</f>
        <v>12.281550118109662</v>
      </c>
      <c r="L75">
        <f>IF(COUNT(J75:K75)=2,K75-J75,"")</f>
        <v>-42.03569513937863</v>
      </c>
      <c r="O75">
        <v>1</v>
      </c>
      <c r="P75">
        <v>0</v>
      </c>
      <c r="Q75">
        <f>100*20655/569971</f>
        <v>3.623868582787545</v>
      </c>
      <c r="R75">
        <f>100*57321/486328</f>
        <v>11.786489776447171</v>
      </c>
      <c r="S75">
        <f>IF(COUNT(Q75:R75)=2,R75-Q75,"")</f>
        <v>8.162621193659625</v>
      </c>
    </row>
    <row r="76" spans="1:19" x14ac:dyDescent="0.3">
      <c r="A76">
        <v>2</v>
      </c>
      <c r="B76">
        <v>1</v>
      </c>
      <c r="C76">
        <f>100*279421/548205</f>
        <v>50.97016626991728</v>
      </c>
      <c r="D76">
        <f>100*164742/547010</f>
        <v>30.11681687720517</v>
      </c>
      <c r="E76">
        <f>IF(COUNT(C76:D76)=2,D76-C76,"")</f>
        <v>-20.853349392712108</v>
      </c>
      <c r="H76">
        <v>2</v>
      </c>
      <c r="I76">
        <v>1</v>
      </c>
      <c r="J76">
        <f>100*305577/591060</f>
        <v>51.69982742868744</v>
      </c>
      <c r="K76">
        <f>100*94867/605834</f>
        <v>15.658909866399046</v>
      </c>
      <c r="L76">
        <f>IF(COUNT(J76:K76)=2,K76-J76,"")</f>
        <v>-36.0409175622884</v>
      </c>
      <c r="O76">
        <v>2</v>
      </c>
      <c r="P76">
        <v>1</v>
      </c>
      <c r="Q76">
        <f>100*111778/257794</f>
        <v>43.35942651884838</v>
      </c>
      <c r="R76">
        <f>100*87908/297453</f>
        <v>29.553576531418408</v>
      </c>
      <c r="S76">
        <f>IF(COUNT(Q76:R76)=2,R76-Q76,"")</f>
        <v>-13.805849987429973</v>
      </c>
    </row>
    <row r="77" spans="1:19" x14ac:dyDescent="0.3">
      <c r="A77">
        <v>3</v>
      </c>
      <c r="B77">
        <v>2</v>
      </c>
      <c r="C77">
        <f>100*37031/871024</f>
        <v>4.2514327963408585</v>
      </c>
      <c r="D77">
        <f>100*174634/817771</f>
        <v>21.3548780771145</v>
      </c>
      <c r="E77">
        <f>IF(COUNT(C77:D77)=2,D77-C77,"")</f>
        <v>17.10344528077364</v>
      </c>
      <c r="H77">
        <v>3</v>
      </c>
      <c r="I77">
        <v>2</v>
      </c>
      <c r="J77">
        <f>100*244646/584205</f>
        <v>41.87673847365223</v>
      </c>
      <c r="K77">
        <f>100*113937/918097</f>
        <v>12.410126598823435</v>
      </c>
      <c r="L77">
        <f>IF(COUNT(J77:K77)=2,K77-J77,"")</f>
        <v>-29.466611874828796</v>
      </c>
      <c r="O77">
        <v>3</v>
      </c>
      <c r="P77">
        <v>2</v>
      </c>
      <c r="Q77">
        <f>100*92329/194806</f>
        <v>47.395357432522616</v>
      </c>
      <c r="R77">
        <f>100*104261/366553</f>
        <v>28.443635708887935</v>
      </c>
      <c r="S77">
        <f>IF(COUNT(Q77:R77)=2,R77-Q77,"")</f>
        <v>-18.95172172363468</v>
      </c>
    </row>
    <row r="78" spans="1:19" x14ac:dyDescent="0.3">
      <c r="A78">
        <v>4</v>
      </c>
      <c r="B78">
        <v>3</v>
      </c>
      <c r="C78">
        <f>100*363210/663228</f>
        <v>54.76397257051874</v>
      </c>
      <c r="D78">
        <f>100*71788/772986</f>
        <v>9.287102224361114</v>
      </c>
      <c r="E78">
        <f>IF(COUNT(C78:D78)=2,D78-C78,"")</f>
        <v>-45.476870346157625</v>
      </c>
      <c r="H78">
        <v>4</v>
      </c>
      <c r="I78">
        <v>3</v>
      </c>
      <c r="J78">
        <f>100*316744/731828</f>
        <v>43.281208152735346</v>
      </c>
      <c r="K78">
        <f>100*4563/581248</f>
        <v>0.7850349592600748</v>
      </c>
      <c r="L78">
        <f>IF(COUNT(J78:K78)=2,K78-J78,"")</f>
        <v>-42.49617319347527</v>
      </c>
      <c r="O78">
        <v>4</v>
      </c>
      <c r="P78">
        <v>3</v>
      </c>
      <c r="Q78">
        <f>100*240086/489338</f>
        <v>49.06342855040892</v>
      </c>
      <c r="R78">
        <f>100*244558/841282</f>
        <v>29.069681747618514</v>
      </c>
      <c r="S78">
        <f>IF(COUNT(Q78:R78)=2,R78-Q78,"")</f>
        <v>-19.993746802790408</v>
      </c>
    </row>
    <row r="79" spans="1:19" x14ac:dyDescent="0.3">
      <c r="A79">
        <v>5</v>
      </c>
      <c r="B79">
        <v>4</v>
      </c>
      <c r="C79">
        <f>100*116626/322593</f>
        <v>36.152675352534</v>
      </c>
      <c r="D79">
        <f>100*143625/541703</f>
        <v>26.513606164263443</v>
      </c>
      <c r="E79">
        <f>IF(COUNT(C79:D79)=2,D79-C79,"")</f>
        <v>-9.639069188270554</v>
      </c>
      <c r="H79">
        <v>5</v>
      </c>
      <c r="I79">
        <v>4</v>
      </c>
      <c r="J79">
        <f>100*174388/383201</f>
        <v>45.50823197225477</v>
      </c>
      <c r="K79">
        <f>100*1494/4116</f>
        <v>36.29737609329446</v>
      </c>
      <c r="L79">
        <f>IF(COUNT(J79:K79)=2,K79-J79,"")</f>
        <v>-9.21085587896031</v>
      </c>
      <c r="O79">
        <v>5</v>
      </c>
      <c r="P79">
        <v>4</v>
      </c>
      <c r="Q79">
        <f>100*426762/872765</f>
        <v>48.89769869323357</v>
      </c>
      <c r="R79">
        <f>100*11399/600220</f>
        <v>1.8991369831061944</v>
      </c>
      <c r="S79">
        <f>IF(COUNT(Q79:R79)=2,R79-Q79,"")</f>
        <v>-46.998561710127376</v>
      </c>
    </row>
    <row r="80" spans="1:19" x14ac:dyDescent="0.3">
      <c r="A80">
        <v>6</v>
      </c>
      <c r="B80">
        <v>5</v>
      </c>
      <c r="C80">
        <f>100*159245/460762</f>
        <v>34.56122683728259</v>
      </c>
      <c r="D80">
        <f>100*77858/705755</f>
        <v>11.031873667207458</v>
      </c>
      <c r="E80">
        <f>IF(COUNT(C80:D80)=2,D80-C80,"")</f>
        <v>-23.529353170075133</v>
      </c>
      <c r="H80">
        <v>6</v>
      </c>
      <c r="I80">
        <v>5</v>
      </c>
      <c r="J80">
        <f>100*124193/417286</f>
        <v>29.76208164184756</v>
      </c>
      <c r="K80">
        <f>100*37171/544223</f>
        <v>6.830104571104124</v>
      </c>
      <c r="L80">
        <f>IF(COUNT(J80:K80)=2,K80-J80,"")</f>
        <v>-22.931977070743436</v>
      </c>
      <c r="O80">
        <v>6</v>
      </c>
      <c r="P80">
        <v>5</v>
      </c>
      <c r="Q80">
        <f>100*275977/710313</f>
        <v>38.85287190294983</v>
      </c>
      <c r="R80">
        <f>100*182919/981969</f>
        <v>18.62777745529645</v>
      </c>
      <c r="S80">
        <f>IF(COUNT(Q80:R80)=2,R80-Q80,"")</f>
        <v>-20.22509444765338</v>
      </c>
    </row>
    <row r="81" spans="1:19" x14ac:dyDescent="0.3">
      <c r="A81">
        <v>7</v>
      </c>
      <c r="B81">
        <v>6</v>
      </c>
      <c r="C81">
        <f>100*8837/457006</f>
        <v>1.9336726432475722</v>
      </c>
      <c r="D81">
        <f>100*57297/863714</f>
        <v>6.63379313059647</v>
      </c>
      <c r="E81">
        <f>IF(COUNT(C81:D81)=2,D81-C81,"")</f>
        <v>4.700120487348898</v>
      </c>
      <c r="H81">
        <v>7</v>
      </c>
      <c r="I81">
        <v>6</v>
      </c>
      <c r="J81">
        <f>100*4575/667678</f>
        <v>0.6852105356174683</v>
      </c>
      <c r="K81">
        <f>100*33066/885802</f>
        <v>3.7328883881499477</v>
      </c>
      <c r="L81">
        <f>IF(COUNT(J81:K81)=2,K81-J81,"")</f>
        <v>3.0476778525324795</v>
      </c>
      <c r="O81">
        <v>7</v>
      </c>
      <c r="P81">
        <v>6</v>
      </c>
      <c r="Q81">
        <f>100*256619/495194</f>
        <v>51.82191222026115</v>
      </c>
      <c r="R81">
        <f>100*90813/548276</f>
        <v>16.563373191604228</v>
      </c>
      <c r="S81">
        <f>IF(COUNT(Q81:R81)=2,R81-Q81,"")</f>
        <v>-35.25853902865692</v>
      </c>
    </row>
    <row r="82" spans="1:19" x14ac:dyDescent="0.3">
      <c r="A82">
        <v>8</v>
      </c>
      <c r="B82">
        <v>7</v>
      </c>
      <c r="C82">
        <f>100*5105/579694</f>
        <v>0.8806370257411669</v>
      </c>
      <c r="D82">
        <f>100*13834/597668</f>
        <v>2.3146629901550693</v>
      </c>
      <c r="E82">
        <f>IF(COUNT(C82:D82)=2,D82-C82,"")</f>
        <v>1.4340259644139024</v>
      </c>
      <c r="H82">
        <v>8</v>
      </c>
      <c r="I82">
        <v>7</v>
      </c>
      <c r="J82">
        <f>100*7536/581531</f>
        <v>1.2958896430284885</v>
      </c>
      <c r="K82">
        <f>100*1522/472526</f>
        <v>0.32209867816797383</v>
      </c>
      <c r="L82">
        <f>IF(COUNT(J82:K82)=2,K82-J82,"")</f>
        <v>-0.9737909648605148</v>
      </c>
      <c r="O82">
        <v>8</v>
      </c>
      <c r="P82">
        <v>7</v>
      </c>
      <c r="Q82">
        <f>100*168583/355732</f>
        <v>47.39045123857286</v>
      </c>
      <c r="R82">
        <f>100*145607/506928</f>
        <v>28.723408452482403</v>
      </c>
      <c r="S82">
        <f>IF(COUNT(Q82:R82)=2,R82-Q82,"")</f>
        <v>-18.667042786090455</v>
      </c>
    </row>
    <row r="83" spans="1:19" x14ac:dyDescent="0.3">
      <c r="A83">
        <v>9</v>
      </c>
      <c r="B83">
        <v>8</v>
      </c>
      <c r="C83">
        <f>100*207750/401424</f>
        <v>51.75325840009566</v>
      </c>
      <c r="D83">
        <f>100*152543/457289</f>
        <v>33.35811707694696</v>
      </c>
      <c r="E83">
        <f>IF(COUNT(C83:D83)=2,D83-C83,"")</f>
        <v>-18.3951413231487</v>
      </c>
      <c r="H83">
        <v>9</v>
      </c>
      <c r="I83">
        <v>8</v>
      </c>
      <c r="J83">
        <f>100*224416/408350</f>
        <v>54.95677727439696</v>
      </c>
      <c r="K83">
        <f>100*58707/328881</f>
        <v>17.850529522836528</v>
      </c>
      <c r="L83">
        <f>IF(COUNT(J83:K83)=2,K83-J83,"")</f>
        <v>-37.10624775156043</v>
      </c>
      <c r="O83">
        <v>9</v>
      </c>
      <c r="P83">
        <v>8</v>
      </c>
      <c r="Q83">
        <f>100*66103/140560</f>
        <v>47.02831531018782</v>
      </c>
      <c r="R83">
        <f>100*77374/263159</f>
        <v>29.40199651161465</v>
      </c>
      <c r="S83">
        <f>IF(COUNT(Q83:R83)=2,R83-Q83,"")</f>
        <v>-17.62631879857317</v>
      </c>
    </row>
    <row r="84" spans="1:19" x14ac:dyDescent="0.3">
      <c r="A84">
        <v>10</v>
      </c>
      <c r="B84">
        <v>9</v>
      </c>
      <c r="C84">
        <f>100*131791/855952</f>
        <v>15.397008243452904</v>
      </c>
      <c r="D84">
        <f>100*88211/562486</f>
        <v>15.682345871719473</v>
      </c>
      <c r="E84">
        <f>IF(COUNT(C84:D84)=2,D84-C84,"")</f>
        <v>0.2853376282665696</v>
      </c>
      <c r="H84">
        <v>10</v>
      </c>
      <c r="I84">
        <v>9</v>
      </c>
      <c r="J84">
        <f>100*472599/885198</f>
        <v>53.389072275355346</v>
      </c>
      <c r="K84">
        <f>100*3682/83894</f>
        <v>4.388871671394855</v>
      </c>
      <c r="L84">
        <f>IF(COUNT(J84:K84)=2,K84-J84,"")</f>
        <v>-49.000200603960494</v>
      </c>
      <c r="O84">
        <v>10</v>
      </c>
      <c r="P84">
        <v>9</v>
      </c>
      <c r="Q84">
        <f>100*6243/543809</f>
        <v>1.1480133649866038</v>
      </c>
      <c r="R84">
        <f>100*110104/839604</f>
        <v>13.113801268216921</v>
      </c>
      <c r="S84">
        <f>IF(COUNT(Q84:R84)=2,R84-Q84,"")</f>
        <v>11.965787903230318</v>
      </c>
    </row>
    <row r="85" spans="1:19" x14ac:dyDescent="0.3">
      <c r="A85">
        <v>11</v>
      </c>
      <c r="B85">
        <v>10</v>
      </c>
      <c r="C85">
        <f>100*335444/654410</f>
        <v>51.25899665347412</v>
      </c>
      <c r="D85">
        <f>100*33232/819062</f>
        <v>4.057324109774352</v>
      </c>
      <c r="E85">
        <f>IF(COUNT(C85:D85)=2,D85-C85,"")</f>
        <v>-47.20167254369977</v>
      </c>
      <c r="H85">
        <v>11</v>
      </c>
      <c r="I85">
        <v>10</v>
      </c>
      <c r="J85">
        <f>100*370148/619144</f>
        <v>59.783830578992934</v>
      </c>
      <c r="K85">
        <f>100*84396/873439</f>
        <v>9.662495033997795</v>
      </c>
      <c r="L85">
        <f>IF(COUNT(J85:K85)=2,K85-J85,"")</f>
        <v>-50.12133554499514</v>
      </c>
      <c r="O85">
        <v>11</v>
      </c>
      <c r="P85">
        <v>10</v>
      </c>
      <c r="Q85">
        <f>100*225999/413085</f>
        <v>54.71004756890228</v>
      </c>
      <c r="R85">
        <f>100*217978/753879</f>
        <v>28.914189147064715</v>
      </c>
      <c r="S85">
        <f>IF(COUNT(Q85:R85)=2,R85-Q85,"")</f>
        <v>-25.79585842183757</v>
      </c>
    </row>
    <row r="86" spans="1:19" x14ac:dyDescent="0.3">
      <c r="A86">
        <v>12</v>
      </c>
      <c r="B86">
        <v>11</v>
      </c>
      <c r="C86">
        <f>100*373038/695730</f>
        <v>53.618213962312964</v>
      </c>
      <c r="D86">
        <f>100*29867/854090</f>
        <v>3.496938261775691</v>
      </c>
      <c r="E86">
        <f>IF(COUNT(C86:D86)=2,D86-C86,"")</f>
        <v>-50.121275700537275</v>
      </c>
      <c r="H86">
        <v>12</v>
      </c>
      <c r="I86">
        <v>11</v>
      </c>
      <c r="J86">
        <f>100*303732/544372</f>
        <v>55.79493434636609</v>
      </c>
      <c r="K86">
        <f>100*35776/885374</f>
        <v>4.040778247384721</v>
      </c>
      <c r="L86">
        <f>IF(COUNT(J86:K86)=2,K86-J86,"")</f>
        <v>-51.75415609898137</v>
      </c>
      <c r="O86">
        <v>12</v>
      </c>
      <c r="P86">
        <v>11</v>
      </c>
      <c r="Q86">
        <f>100*176887/390857</f>
        <v>45.25619344159117</v>
      </c>
      <c r="R86">
        <f>100*103930/395694</f>
        <v>26.265245366368962</v>
      </c>
      <c r="S86">
        <f>IF(COUNT(Q86:R86)=2,R86-Q86,"")</f>
        <v>-18.99094807522221</v>
      </c>
    </row>
    <row r="87" spans="1:19" x14ac:dyDescent="0.3">
      <c r="A87">
        <v>13</v>
      </c>
      <c r="B87">
        <v>12</v>
      </c>
      <c r="C87">
        <f>100*11518/738798</f>
        <v>1.5590188387082802</v>
      </c>
      <c r="D87">
        <f>100*10838/683571</f>
        <v>1.5854973367799394</v>
      </c>
      <c r="E87">
        <f>IF(COUNT(C87:D87)=2,D87-C87,"")</f>
        <v>0.02647849807165925</v>
      </c>
      <c r="H87">
        <v>13</v>
      </c>
      <c r="I87">
        <v>12</v>
      </c>
      <c r="J87">
        <f>100*302007/670149</f>
        <v>45.06564957942189</v>
      </c>
      <c r="K87">
        <f>100*15290/750920</f>
        <v>2.0361689660682893</v>
      </c>
      <c r="L87">
        <f>IF(COUNT(J87:K87)=2,K87-J87,"")</f>
        <v>-43.0294806133536</v>
      </c>
      <c r="O87">
        <v>13</v>
      </c>
      <c r="P87">
        <v>12</v>
      </c>
      <c r="Q87">
        <f>100*187062/769706</f>
        <v>24.30304557844164</v>
      </c>
      <c r="R87">
        <f>100*75758/844976</f>
        <v>8.965698434038364</v>
      </c>
      <c r="S87">
        <f>IF(COUNT(Q87:R87)=2,R87-Q87,"")</f>
        <v>-15.337347144403276</v>
      </c>
    </row>
    <row r="88" spans="1:19" x14ac:dyDescent="0.3">
      <c r="A88">
        <v>14</v>
      </c>
      <c r="B88">
        <v>13</v>
      </c>
      <c r="C88">
        <f>100*26873/442619</f>
        <v>6.0713615999313175</v>
      </c>
      <c r="D88">
        <f>100*2217/466214</f>
        <v>0.47553269528585584</v>
      </c>
      <c r="E88">
        <f>IF(COUNT(C88:D88)=2,D88-C88,"")</f>
        <v>-5.595828904645462</v>
      </c>
      <c r="H88">
        <v>14</v>
      </c>
      <c r="I88">
        <v>13</v>
      </c>
      <c r="J88">
        <f>100*112082/470769</f>
        <v>23.808279644581525</v>
      </c>
      <c r="K88">
        <f>100*2586/472363</f>
        <v>0.547460321828763</v>
      </c>
      <c r="L88">
        <f>IF(COUNT(J88:K88)=2,K88-J88,"")</f>
        <v>-23.260819322752763</v>
      </c>
      <c r="O88">
        <v>14</v>
      </c>
      <c r="P88">
        <v>13</v>
      </c>
      <c r="Q88">
        <f>100*77933/602059</f>
        <v>12.94441242469592</v>
      </c>
      <c r="R88">
        <f>100*5166/339504</f>
        <v>1.5216315566237806</v>
      </c>
      <c r="S88">
        <f>IF(COUNT(Q88:R88)=2,R88-Q88,"")</f>
        <v>-11.422780868072138</v>
      </c>
    </row>
    <row r="89" spans="1:19" x14ac:dyDescent="0.3">
      <c r="A89">
        <v>15</v>
      </c>
      <c r="B89">
        <v>14</v>
      </c>
      <c r="C89">
        <f>100*163872/797309</f>
        <v>20.553135609907827</v>
      </c>
      <c r="D89">
        <f>100*163595/1044541</f>
        <v>15.661903170866438</v>
      </c>
      <c r="E89">
        <f>IF(COUNT(C89:D89)=2,D89-C89,"")</f>
        <v>-4.891232439041389</v>
      </c>
      <c r="H89">
        <v>15</v>
      </c>
      <c r="I89">
        <v>14</v>
      </c>
      <c r="J89">
        <f>100*79792/480516</f>
        <v>16.605482439710645</v>
      </c>
      <c r="K89">
        <f>100*105919/797451</f>
        <v>13.282195395077565</v>
      </c>
      <c r="L89">
        <f>IF(COUNT(J89:K89)=2,K89-J89,"")</f>
        <v>-3.32328704463308</v>
      </c>
      <c r="O89">
        <v>15</v>
      </c>
      <c r="P89">
        <v>14</v>
      </c>
      <c r="Q89">
        <f>100*175395/343809</f>
        <v>51.015243929042</v>
      </c>
      <c r="R89">
        <f>100*212578/655804</f>
        <v>32.41486785685967</v>
      </c>
      <c r="S89">
        <f>IF(COUNT(Q89:R89)=2,R89-Q89,"")</f>
        <v>-18.60037607218233</v>
      </c>
    </row>
    <row r="90" spans="1:19" x14ac:dyDescent="0.3">
      <c r="A90">
        <v>16</v>
      </c>
      <c r="B90">
        <v>15</v>
      </c>
      <c r="C90">
        <f>100*308947/536497</f>
        <v>57.58596972583258</v>
      </c>
      <c r="D90">
        <f>100*92807/769705</f>
        <v>12.057476565697248</v>
      </c>
      <c r="E90">
        <f>IF(COUNT(C90:D90)=2,D90-C90,"")</f>
        <v>-45.528493160135326</v>
      </c>
      <c r="H90">
        <v>16</v>
      </c>
      <c r="I90">
        <v>15</v>
      </c>
      <c r="J90">
        <f>100*331166/636513</f>
        <v>52.028159676235994</v>
      </c>
      <c r="K90">
        <f>100*29586/719656</f>
        <v>4.1111308736396275</v>
      </c>
      <c r="L90">
        <f>IF(COUNT(J90:K90)=2,K90-J90,"")</f>
        <v>-47.91702880259636</v>
      </c>
      <c r="O90">
        <v>16</v>
      </c>
      <c r="P90">
        <v>15</v>
      </c>
      <c r="Q90">
        <f>100*123775/294038</f>
        <v>42.0948992987301</v>
      </c>
      <c r="R90">
        <f>100*114959/479773</f>
        <v>23.96112328121841</v>
      </c>
      <c r="S90">
        <f>IF(COUNT(Q90:R90)=2,R90-Q90,"")</f>
        <v>-18.13377601751169</v>
      </c>
    </row>
    <row r="91" spans="1:19" x14ac:dyDescent="0.3">
      <c r="A91">
        <v>17</v>
      </c>
      <c r="B91">
        <v>16</v>
      </c>
      <c r="C91">
        <f>100*210301/511283</f>
        <v>41.13201495062422</v>
      </c>
      <c r="D91">
        <f>100*91980/630433</f>
        <v>14.58997228888716</v>
      </c>
      <c r="E91">
        <f>IF(COUNT(C91:D91)=2,D91-C91,"")</f>
        <v>-26.542042661737057</v>
      </c>
      <c r="H91">
        <v>17</v>
      </c>
      <c r="I91">
        <v>16</v>
      </c>
      <c r="J91">
        <f>100*2558/107131</f>
        <v>2.3877309088872503</v>
      </c>
      <c r="K91">
        <f>100*254608/827112</f>
        <v>30.782771861610037</v>
      </c>
      <c r="L91">
        <f>IF(COUNT(J91:K91)=2,K91-J91,"")</f>
        <v>28.395040952722788</v>
      </c>
      <c r="O91">
        <v>17</v>
      </c>
      <c r="P91">
        <v>16</v>
      </c>
      <c r="Q91">
        <f>100*18236/388369</f>
        <v>4.695534401561401</v>
      </c>
      <c r="R91">
        <f>100*8075/407035</f>
        <v>1.9838588819143317</v>
      </c>
      <c r="S91">
        <f>IF(COUNT(Q91:R91)=2,R91-Q91,"")</f>
        <v>-2.71167551964707</v>
      </c>
    </row>
    <row r="92" spans="1:19" x14ac:dyDescent="0.3">
      <c r="A92">
        <v>18</v>
      </c>
      <c r="B92">
        <v>17</v>
      </c>
      <c r="C92">
        <f>100*394081/764993</f>
        <v>51.51432758208245</v>
      </c>
      <c r="D92">
        <f>100*59241/813757</f>
        <v>7.2799373768827795</v>
      </c>
      <c r="E92">
        <f>IF(COUNT(C92:D92)=2,D92-C92,"")</f>
        <v>-44.234390205199674</v>
      </c>
      <c r="H92">
        <v>18</v>
      </c>
      <c r="I92">
        <v>17</v>
      </c>
      <c r="K92">
        <f>100*254/14557</f>
        <v>1.7448650133956172</v>
      </c>
      <c r="L92" t="str">
        <f>IF(COUNT(J92:K92)=2,K92-J92,"")</f>
        <v/>
      </c>
      <c r="O92">
        <v>18</v>
      </c>
      <c r="P92">
        <v>17</v>
      </c>
      <c r="Q92">
        <f>100*87307/484664</f>
        <v>18.013923047719658</v>
      </c>
      <c r="R92">
        <f>100*2521/438681</f>
        <v>0.5746772711833884</v>
      </c>
      <c r="S92">
        <f>IF(COUNT(Q92:R92)=2,R92-Q92,"")</f>
        <v>-17.439245776536268</v>
      </c>
    </row>
    <row r="93" spans="1:19" x14ac:dyDescent="0.3">
      <c r="A93">
        <v>19</v>
      </c>
      <c r="B93">
        <v>18</v>
      </c>
      <c r="C93">
        <f>100*356287/725510</f>
        <v>49.1084892007002</v>
      </c>
      <c r="D93">
        <f>100*19664/921674</f>
        <v>2.133509245134397</v>
      </c>
      <c r="E93">
        <f>IF(COUNT(C93:D93)=2,D93-C93,"")</f>
        <v>-46.9749799555658</v>
      </c>
      <c r="H93">
        <v>19</v>
      </c>
      <c r="I93">
        <v>18</v>
      </c>
      <c r="J93">
        <f>100*98670/626756</f>
        <v>15.742968555546337</v>
      </c>
      <c r="K93">
        <f>100*50744/616059</f>
        <v>8.236873416344864</v>
      </c>
      <c r="L93">
        <f>IF(COUNT(J93:K93)=2,K93-J93,"")</f>
        <v>-7.506095139201474</v>
      </c>
      <c r="O93">
        <v>19</v>
      </c>
      <c r="P93">
        <v>18</v>
      </c>
      <c r="Q93">
        <f>100*176507/342598</f>
        <v>51.52014897927017</v>
      </c>
      <c r="R93">
        <f>100*98101/398570</f>
        <v>24.6132423413704</v>
      </c>
      <c r="S93">
        <f>IF(COUNT(Q93:R93)=2,R93-Q93,"")</f>
        <v>-26.90690663789977</v>
      </c>
    </row>
    <row r="94" spans="1:19" x14ac:dyDescent="0.3">
      <c r="A94">
        <v>20</v>
      </c>
      <c r="B94">
        <v>19</v>
      </c>
      <c r="C94">
        <f>100*436080/868999</f>
        <v>50.18187592851085</v>
      </c>
      <c r="D94">
        <f>100*133023/930833</f>
        <v>14.290748179318953</v>
      </c>
      <c r="E94">
        <f>IF(COUNT(C94:D94)=2,D94-C94,"")</f>
        <v>-35.891127749191895</v>
      </c>
      <c r="H94">
        <v>20</v>
      </c>
      <c r="I94">
        <v>19</v>
      </c>
      <c r="J94">
        <f>100*63724/294932</f>
        <v>21.606336375842567</v>
      </c>
      <c r="K94">
        <f>100*89180/460377</f>
        <v>19.371080657808708</v>
      </c>
      <c r="L94">
        <f>IF(COUNT(J94:K94)=2,K94-J94,"")</f>
        <v>-2.2352557180338586</v>
      </c>
      <c r="O94">
        <v>20</v>
      </c>
      <c r="P94">
        <v>19</v>
      </c>
      <c r="Q94">
        <f>100*271008/594768</f>
        <v>45.565329674763944</v>
      </c>
      <c r="R94">
        <f>100*171705/857755</f>
        <v>20.017953844629293</v>
      </c>
      <c r="S94">
        <f>IF(COUNT(Q94:R94)=2,R94-Q94,"")</f>
        <v>-25.54737583013465</v>
      </c>
    </row>
    <row r="95" spans="1:19" x14ac:dyDescent="0.3">
      <c r="A95">
        <v>21</v>
      </c>
      <c r="B95">
        <v>20</v>
      </c>
      <c r="C95">
        <f>100*288252/526914</f>
        <v>54.70570149967547</v>
      </c>
      <c r="D95">
        <f>100*15530/231983</f>
        <v>6.694456059280206</v>
      </c>
      <c r="E95">
        <f>IF(COUNT(C95:D95)=2,D95-C95,"")</f>
        <v>-48.011245440395264</v>
      </c>
      <c r="H95">
        <v>21</v>
      </c>
      <c r="I95">
        <v>20</v>
      </c>
      <c r="J95">
        <f>100*465002/826011</f>
        <v>56.29489195664465</v>
      </c>
      <c r="K95">
        <f>100*39967/581296</f>
        <v>6.875498885249511</v>
      </c>
      <c r="L95">
        <f>IF(COUNT(J95:K95)=2,K95-J95,"")</f>
        <v>-49.419393071395135</v>
      </c>
      <c r="O95">
        <v>21</v>
      </c>
      <c r="P95">
        <v>20</v>
      </c>
      <c r="Q95">
        <f>100*230728/471359</f>
        <v>48.9495267938026</v>
      </c>
      <c r="R95">
        <f>100*113822/555617</f>
        <v>20.48569428221239</v>
      </c>
      <c r="S95">
        <f>IF(COUNT(Q95:R95)=2,R95-Q95,"")</f>
        <v>-28.46383251159021</v>
      </c>
    </row>
    <row r="96" spans="1:19" x14ac:dyDescent="0.3">
      <c r="A96">
        <v>22</v>
      </c>
      <c r="B96">
        <v>21</v>
      </c>
      <c r="C96">
        <f>100*56325/137188</f>
        <v>41.056797970667986</v>
      </c>
      <c r="D96">
        <f>100*46888/181275</f>
        <v>25.865673700179286</v>
      </c>
      <c r="E96">
        <f>IF(COUNT(C96:D96)=2,D96-C96,"")</f>
        <v>-15.1911242704887</v>
      </c>
      <c r="H96">
        <v>22</v>
      </c>
      <c r="I96">
        <v>21</v>
      </c>
      <c r="J96">
        <f>100*144864/290419</f>
        <v>49.881033954390034</v>
      </c>
      <c r="K96">
        <f>100*66859/378533</f>
        <v>17.66266085123358</v>
      </c>
      <c r="L96">
        <f>IF(COUNT(J96:K96)=2,K96-J96,"")</f>
        <v>-32.21837310315645</v>
      </c>
      <c r="O96">
        <v>22</v>
      </c>
      <c r="P96">
        <v>21</v>
      </c>
      <c r="Q96">
        <f>100*25278/69101</f>
        <v>36.58123616156061</v>
      </c>
      <c r="R96">
        <f>100*96772/306175</f>
        <v>31.60676083938924</v>
      </c>
      <c r="S96">
        <f>IF(COUNT(Q96:R96)=2,R96-Q96,"")</f>
        <v>-4.974475322171372</v>
      </c>
    </row>
    <row r="97" spans="1:19" x14ac:dyDescent="0.3">
      <c r="A97">
        <v>23</v>
      </c>
      <c r="B97">
        <v>22</v>
      </c>
      <c r="C97">
        <f>100*288383/663204</f>
        <v>43.48330227200077</v>
      </c>
      <c r="D97">
        <f>100*176654/704075</f>
        <v>25.090224762986896</v>
      </c>
      <c r="E97">
        <f>IF(COUNT(C97:D97)=2,D97-C97,"")</f>
        <v>-18.393077509013875</v>
      </c>
      <c r="H97">
        <v>23</v>
      </c>
      <c r="I97">
        <v>22</v>
      </c>
      <c r="J97">
        <f>100*455714/839395</f>
        <v>54.29076894668184</v>
      </c>
      <c r="K97">
        <f>100*151768/951204</f>
        <v>15.955357630960341</v>
      </c>
      <c r="L97">
        <f>IF(COUNT(J97:K97)=2,K97-J97,"")</f>
        <v>-38.335411315721494</v>
      </c>
      <c r="O97">
        <v>23</v>
      </c>
      <c r="P97">
        <v>22</v>
      </c>
      <c r="Q97">
        <f>100*745/388450</f>
        <v>0.1917878748873729</v>
      </c>
      <c r="R97">
        <f>100*2497/416143</f>
        <v>0.6000341228856427</v>
      </c>
      <c r="S97">
        <f>IF(COUNT(Q97:R97)=2,R97-Q97,"")</f>
        <v>0.4082462479982698</v>
      </c>
    </row>
    <row r="98" spans="1:19" x14ac:dyDescent="0.3">
      <c r="A98">
        <v>24</v>
      </c>
      <c r="B98">
        <v>23</v>
      </c>
      <c r="C98">
        <f>100*197095/749959</f>
        <v>26.28077001542751</v>
      </c>
      <c r="D98">
        <f>100*114515/809296</f>
        <v>14.149952551353275</v>
      </c>
      <c r="E98">
        <f>IF(COUNT(C98:D98)=2,D98-C98,"")</f>
        <v>-12.130817464074235</v>
      </c>
      <c r="H98">
        <v>24</v>
      </c>
      <c r="I98">
        <v>23</v>
      </c>
      <c r="J98">
        <f>100*361494/762974</f>
        <v>47.37959615924002</v>
      </c>
      <c r="K98">
        <f>100*23451/878790</f>
        <v>2.668555627624347</v>
      </c>
      <c r="L98">
        <f>IF(COUNT(J98:K98)=2,K98-J98,"")</f>
        <v>-44.71104053161567</v>
      </c>
      <c r="O98">
        <v>24</v>
      </c>
      <c r="P98">
        <v>23</v>
      </c>
      <c r="Q98">
        <f>100*292810/722778</f>
        <v>40.51174772890155</v>
      </c>
      <c r="R98">
        <f>100*22657/797698</f>
        <v>2.840297957372339</v>
      </c>
      <c r="S98">
        <f>IF(COUNT(Q98:R98)=2,R98-Q98,"")</f>
        <v>-37.67144977152921</v>
      </c>
    </row>
    <row r="99" spans="1:19" x14ac:dyDescent="0.3">
      <c r="A99">
        <v>25</v>
      </c>
      <c r="B99">
        <v>24</v>
      </c>
      <c r="C99">
        <f>100*283892/666913</f>
        <v>42.56807109772939</v>
      </c>
      <c r="D99">
        <f>100*118335/869374</f>
        <v>13.611518172846209</v>
      </c>
      <c r="E99">
        <f>IF(COUNT(C99:D99)=2,D99-C99,"")</f>
        <v>-28.956552924883177</v>
      </c>
      <c r="H99">
        <v>25</v>
      </c>
      <c r="I99">
        <v>24</v>
      </c>
      <c r="J99">
        <f>100*297339/579923</f>
        <v>51.27215164771875</v>
      </c>
      <c r="K99">
        <f>100*48597/498161</f>
        <v>9.755279919544083</v>
      </c>
      <c r="L99">
        <f>IF(COUNT(J99:K99)=2,K99-J99,"")</f>
        <v>-41.516871728174664</v>
      </c>
      <c r="O99">
        <v>25</v>
      </c>
      <c r="P99">
        <v>24</v>
      </c>
      <c r="Q99">
        <f>100*194348/434877</f>
        <v>44.69033772767932</v>
      </c>
      <c r="R99">
        <f>100*76377/326207</f>
        <v>23.41366065105899</v>
      </c>
      <c r="S99">
        <f>IF(COUNT(Q99:R99)=2,R99-Q99,"")</f>
        <v>-21.27667707662033</v>
      </c>
    </row>
    <row r="100" spans="1:19" x14ac:dyDescent="0.3">
      <c r="A100">
        <v>26</v>
      </c>
      <c r="B100">
        <v>25</v>
      </c>
      <c r="C100">
        <f>100*327098/548933</f>
        <v>59.587964287080574</v>
      </c>
      <c r="D100">
        <f>100*90560/578808</f>
        <v>15.645948224627166</v>
      </c>
      <c r="E100">
        <f>IF(COUNT(C100:D100)=2,D100-C100,"")</f>
        <v>-43.942016062453405</v>
      </c>
      <c r="H100">
        <v>26</v>
      </c>
      <c r="I100">
        <v>25</v>
      </c>
      <c r="J100">
        <f>100*30617/503886</f>
        <v>6.076175960435496</v>
      </c>
      <c r="K100">
        <f>100*182276/730844</f>
        <v>24.94047977406943</v>
      </c>
      <c r="L100">
        <f>IF(COUNT(J100:K100)=2,K100-J100,"")</f>
        <v>18.864303813633935</v>
      </c>
      <c r="O100">
        <v>26</v>
      </c>
      <c r="P100">
        <v>25</v>
      </c>
      <c r="Q100">
        <f>100*196342/383537</f>
        <v>51.19245340084529</v>
      </c>
      <c r="R100">
        <f>100*1661/4245</f>
        <v>39.1283863368669</v>
      </c>
      <c r="S100">
        <f>IF(COUNT(Q100:R100)=2,R100-Q100,"")</f>
        <v>-12.064067063978385</v>
      </c>
    </row>
    <row r="101" spans="1:19" x14ac:dyDescent="0.3">
      <c r="A101">
        <v>27</v>
      </c>
      <c r="B101">
        <v>26</v>
      </c>
      <c r="C101">
        <f>100*131956/715212</f>
        <v>18.449914151328556</v>
      </c>
      <c r="D101">
        <f>100*79666/767537</f>
        <v>10.37943447677441</v>
      </c>
      <c r="E101">
        <f>IF(COUNT(C101:D101)=2,D101-C101,"")</f>
        <v>-8.070479674554146</v>
      </c>
      <c r="H101">
        <v>27</v>
      </c>
      <c r="I101">
        <v>26</v>
      </c>
      <c r="J101">
        <f>100*110948/559494</f>
        <v>19.830060733448438</v>
      </c>
      <c r="K101">
        <f>100*131750/682297</f>
        <v>19.309772723608635</v>
      </c>
      <c r="L101">
        <f>IF(COUNT(J101:K101)=2,K101-J101,"")</f>
        <v>-0.5202880098398026</v>
      </c>
      <c r="O101">
        <v>27</v>
      </c>
      <c r="P101">
        <v>26</v>
      </c>
      <c r="Q101">
        <f>100*186316/322263</f>
        <v>57.81489032250057</v>
      </c>
      <c r="R101">
        <f>100*206515/678609</f>
        <v>30.432104496108952</v>
      </c>
      <c r="S101">
        <f>IF(COUNT(Q101:R101)=2,R101-Q101,"")</f>
        <v>-27.382785826391615</v>
      </c>
    </row>
    <row r="102" spans="1:19" x14ac:dyDescent="0.3">
      <c r="A102">
        <v>28</v>
      </c>
      <c r="B102">
        <v>27</v>
      </c>
      <c r="C102">
        <f>100*93368/326528</f>
        <v>28.59417875343003</v>
      </c>
      <c r="D102">
        <f>100*113571/479791</f>
        <v>23.670931718185628</v>
      </c>
      <c r="E102">
        <f>IF(COUNT(C102:D102)=2,D102-C102,"")</f>
        <v>-4.923247035244401</v>
      </c>
      <c r="H102">
        <v>28</v>
      </c>
      <c r="I102">
        <v>27</v>
      </c>
      <c r="J102">
        <f>100*139061/401357</f>
        <v>34.6477076517913</v>
      </c>
      <c r="K102">
        <f>100*83837/577172</f>
        <v>14.525479406485415</v>
      </c>
      <c r="L102">
        <f>IF(COUNT(J102:K102)=2,K102-J102,"")</f>
        <v>-20.122228245305884</v>
      </c>
      <c r="O102">
        <v>28</v>
      </c>
      <c r="P102">
        <v>27</v>
      </c>
      <c r="Q102">
        <f>100*1759/765634</f>
        <v>0.22974423810854794</v>
      </c>
      <c r="R102">
        <f>100*3133/745928</f>
        <v>0.4200137278664965</v>
      </c>
      <c r="S102">
        <f>IF(COUNT(Q102:R102)=2,R102-Q102,"")</f>
        <v>0.19026948975794855</v>
      </c>
    </row>
    <row r="103" spans="1:19" x14ac:dyDescent="0.3">
      <c r="A103">
        <v>29</v>
      </c>
      <c r="B103">
        <v>28</v>
      </c>
      <c r="C103">
        <f>100*252391/493274</f>
        <v>51.16649164561684</v>
      </c>
      <c r="D103">
        <f>100*111507/678332</f>
        <v>16.438410689750743</v>
      </c>
      <c r="E103">
        <f>IF(COUNT(C103:D103)=2,D103-C103,"")</f>
        <v>-34.72808095586609</v>
      </c>
      <c r="H103">
        <v>29</v>
      </c>
      <c r="I103">
        <v>28</v>
      </c>
      <c r="J103">
        <f>100*239541/426383</f>
        <v>56.17977264571993</v>
      </c>
      <c r="K103">
        <f>100*176916/773941</f>
        <v>22.859106831140874</v>
      </c>
      <c r="L103">
        <f>IF(COUNT(J103:K103)=2,K103-J103,"")</f>
        <v>-33.32066581457906</v>
      </c>
      <c r="O103">
        <v>29</v>
      </c>
      <c r="P103">
        <v>28</v>
      </c>
      <c r="Q103">
        <f>100*180468/321414</f>
        <v>56.14814538259068</v>
      </c>
      <c r="R103">
        <f>100*159302/527613</f>
        <v>30.19296340310038</v>
      </c>
      <c r="S103">
        <f>IF(COUNT(Q103:R103)=2,R103-Q103,"")</f>
        <v>-25.9551819794903</v>
      </c>
    </row>
    <row r="104" spans="1:19" x14ac:dyDescent="0.3">
      <c r="A104">
        <v>30</v>
      </c>
      <c r="B104">
        <v>29</v>
      </c>
      <c r="C104">
        <f>100*7199/513080</f>
        <v>1.40309503391284</v>
      </c>
      <c r="D104">
        <f>100*16023/633391</f>
        <v>2.5297170310282273</v>
      </c>
      <c r="E104">
        <f>IF(COUNT(C104:D104)=2,D104-C104,"")</f>
        <v>1.1266219971153872</v>
      </c>
      <c r="H104">
        <v>30</v>
      </c>
      <c r="I104">
        <v>29</v>
      </c>
      <c r="J104">
        <f>100*176819/628999</f>
        <v>28.111173467684367</v>
      </c>
      <c r="K104">
        <f>100*11717/536382</f>
        <v>2.184450634063037</v>
      </c>
      <c r="L104">
        <f>IF(COUNT(J104:K104)=2,K104-J104,"")</f>
        <v>-25.92672283362133</v>
      </c>
      <c r="O104">
        <v>30</v>
      </c>
      <c r="P104">
        <v>29</v>
      </c>
      <c r="Q104">
        <f>100*273685/521227</f>
        <v>52.5078324798984</v>
      </c>
      <c r="R104">
        <f>100*105373/604913</f>
        <v>17.41952975055917</v>
      </c>
      <c r="S104">
        <f>IF(COUNT(Q104:R104)=2,R104-Q104,"")</f>
        <v>-35.088302729339226</v>
      </c>
    </row>
    <row r="105" spans="1:19" x14ac:dyDescent="0.3">
      <c r="A105">
        <v>31</v>
      </c>
      <c r="B105">
        <v>30</v>
      </c>
      <c r="C105">
        <f>100*174463/441755</f>
        <v>39.49315797217915</v>
      </c>
      <c r="D105">
        <f>100*44343/728002</f>
        <v>6.091054694904685</v>
      </c>
      <c r="E105">
        <f>IF(COUNT(C105:D105)=2,D105-C105,"")</f>
        <v>-33.40210327727446</v>
      </c>
      <c r="H105">
        <v>31</v>
      </c>
      <c r="I105">
        <v>30</v>
      </c>
      <c r="J105">
        <f>100*69915/403117</f>
        <v>17.343599997023198</v>
      </c>
      <c r="K105">
        <f>100*171476/571462</f>
        <v>30.006544617139898</v>
      </c>
      <c r="L105">
        <f>IF(COUNT(J105:K105)=2,K105-J105,"")</f>
        <v>12.6629446201167</v>
      </c>
      <c r="O105">
        <v>31</v>
      </c>
      <c r="P105">
        <v>30</v>
      </c>
      <c r="Q105">
        <f>100*141232/628600</f>
        <v>22.467706013363028</v>
      </c>
      <c r="R105">
        <f>100*2465/416731</f>
        <v>0.5915086710611882</v>
      </c>
      <c r="S105">
        <f>IF(COUNT(Q105:R105)=2,R105-Q105,"")</f>
        <v>-21.87619734230184</v>
      </c>
    </row>
    <row r="106" spans="1:19" x14ac:dyDescent="0.3">
      <c r="A106" t="s">
        <v>5</v>
      </c>
      <c r="C106">
        <f>IF(COUNT(C75:C105)&gt;0,AVERAGE(C75:C105),"")</f>
        <v>35.1823377390142</v>
      </c>
      <c r="D106">
        <f>IF(COUNT(D75:D105)&gt;0,AVERAGE(D75:D105),"")</f>
        <v>13.590150002664314</v>
      </c>
      <c r="E106">
        <f>IF(COUNT(E75:E105)&gt;0,AVERAGE(E75:E105),"")</f>
        <v>-21.592187736349878</v>
      </c>
      <c r="H106" t="s">
        <v>5</v>
      </c>
      <c r="J106">
        <f>IF(COUNT(J75:J105)&gt;0,AVERAGE(J75:J105),"")</f>
        <v>36.36341959604758</v>
      </c>
      <c r="K106">
        <f>IF(COUNT(K75:K105)&gt;0,AVERAGE(K75:K105),"")</f>
        <v>11.971499908252106</v>
      </c>
      <c r="L106">
        <f>IF(COUNT(L75:L105)&gt;0,AVERAGE(L75:L105),"")</f>
        <v>-24.051031857966912</v>
      </c>
      <c r="O106" t="s">
        <v>5</v>
      </c>
      <c r="Q106">
        <f>IF(COUNT(Q75:Q105)&gt;0,AVERAGE(Q75:Q105),"")</f>
        <v>36.77372678334244</v>
      </c>
      <c r="R106">
        <f>IF(COUNT(R75:R105)&gt;0,AVERAGE(R75:R105),"")</f>
        <v>18.501494188595032</v>
      </c>
      <c r="S106">
        <f>IF(COUNT(S75:S105)&gt;0,AVERAGE(S75:S105),"")</f>
        <v>-18.272232594747404</v>
      </c>
    </row>
  </sheetData>
  <mergeCells count="9">
    <mergeCell ref="A73:E73"/>
    <mergeCell ref="H73:L73"/>
    <mergeCell ref="O73:S73"/>
    <mergeCell ref="A1:E1"/>
    <mergeCell ref="H1:L1"/>
    <mergeCell ref="O1:S1"/>
    <mergeCell ref="A37:E37"/>
    <mergeCell ref="H37:L37"/>
    <mergeCell ref="O37:S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LCC(RREQ, q_1)</vt:lpstr>
      <vt:lpstr>LCC(RREQ, q_2)</vt:lpstr>
      <vt:lpstr>LCC(RREQ, q_3)</vt:lpstr>
      <vt:lpstr>LCC(RREQ, q_4)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2026-09-14T05:20:47Z</dcterms:modified>
</cp:coreProperties>
</file>