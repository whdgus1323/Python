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Q, q_1)" sheetId="1" r:id="rId1"/>
    <sheet name="LCC(RREQ, q_2)" sheetId="2" r:id="rId2"/>
    <sheet name="LCC(RREQ, q_3)" sheetId="4" r:id="rId3"/>
    <sheet name="LCC(RREQ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<sst xmlns="http://schemas.openxmlformats.org/spreadsheetml/2006/main" count="252" uniqueCount="15">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</sst>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100*66441/386163</f>
        <v>17.205428795612214</v>
      </c>
      <c r="E3">
        <f>IF(COUNT(C3:D3)=2,D3-C3,"")</f>
        <v>-17.819571428003385</v>
      </c>
      <c r="H3">
        <v>1</v>
      </c>
      <c r="I3">
        <v>0</v>
      </c>
      <c r="J3">
        <f>100*58251/215009</f>
        <v>27.09235427354204</v>
      </c>
      <c r="K3">
        <f>100*85750/334272</f>
        <v>25.652761822707255</v>
      </c>
      <c r="L3">
        <f>IF(COUNT(J3:K3)=2,K3-J3,"")</f>
        <v>-1.439592450834784</v>
      </c>
      <c r="O3">
        <v>1</v>
      </c>
      <c r="P3">
        <v>0</v>
      </c>
      <c r="Q3">
        <f>100*45645/291867</f>
        <v>15.638972545714315</v>
      </c>
      <c r="R3">
        <f>100*47279/324303</f>
        <v>14.578650212918166</v>
      </c>
      <c r="S3">
        <f>IF(COUNT(Q3:R3)=2,R3-Q3,"")</f>
        <v>-1.060322332796149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100*143670/492227</f>
        <v>29.18775280510821</v>
      </c>
      <c r="E4">
        <f>IF(COUNT(C4:D4)=2,D4-C4,"")</f>
        <v>-8.605207250949434</v>
      </c>
      <c r="H4">
        <v>2</v>
      </c>
      <c r="I4">
        <v>1</v>
      </c>
      <c r="J4">
        <f>100*64971/296332</f>
        <v>21.925070529001257</v>
      </c>
      <c r="K4">
        <f>100*80945/384151</f>
        <v>21.071141296000793</v>
      </c>
      <c r="L4">
        <f>IF(COUNT(J4:K4)=2,K4-J4,"")</f>
        <v>-0.8539292330004642</v>
      </c>
      <c r="O4">
        <v>2</v>
      </c>
      <c r="P4">
        <v>1</v>
      </c>
      <c r="Q4">
        <f>100*75288/157455</f>
        <v>47.81556635229113</v>
      </c>
      <c r="R4">
        <f>100*86278/230043</f>
        <v>37.50516207839404</v>
      </c>
      <c r="S4">
        <f>IF(COUNT(Q4:R4)=2,R4-Q4,"")</f>
        <v>-10.310404273897092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100*169858/599493</f>
        <v>28.333608565904857</v>
      </c>
      <c r="E5">
        <f>IF(COUNT(C5:D5)=2,D5-C5,"")</f>
        <v>-9.887662680922627</v>
      </c>
      <c r="H5">
        <v>3</v>
      </c>
      <c r="I5">
        <v>2</v>
      </c>
      <c r="J5">
        <f>100*62705/328831</f>
        <v>19.069065872743142</v>
      </c>
      <c r="K5">
        <f>100*36364/388888</f>
        <v>9.35076423031824</v>
      </c>
      <c r="L5">
        <f>IF(COUNT(J5:K5)=2,K5-J5,"")</f>
        <v>-9.718301642424901</v>
      </c>
      <c r="O5">
        <v>3</v>
      </c>
      <c r="P5">
        <v>2</v>
      </c>
      <c r="Q5">
        <f>100*141348/334791</f>
        <v>42.21977293296415</v>
      </c>
      <c r="R5">
        <f>100*8941/107164</f>
        <v>8.343286924713523</v>
      </c>
      <c r="S5">
        <f>IF(COUNT(Q5:R5)=2,R5-Q5,"")</f>
        <v>-33.87648600825062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100*62344/431318</f>
        <v>14.454300539277284</v>
      </c>
      <c r="E6">
        <f>IF(COUNT(C6:D6)=2,D6-C6,"")</f>
        <v>10.976712132642875</v>
      </c>
      <c r="H6">
        <v>4</v>
      </c>
      <c r="I6">
        <v>3</v>
      </c>
      <c r="J6">
        <f>100*69099/464767</f>
        <v>14.867449711360747</v>
      </c>
      <c r="K6">
        <f>100*87735/570102</f>
        <v>15.389351379226875</v>
      </c>
      <c r="L6">
        <f>IF(COUNT(J6:K6)=2,K6-J6,"")</f>
        <v>0.5219016678661283</v>
      </c>
      <c r="O6">
        <v>4</v>
      </c>
      <c r="P6">
        <v>3</v>
      </c>
      <c r="Q6">
        <f>100*182044/470083</f>
        <v>38.72592712350798</v>
      </c>
      <c r="R6">
        <f>100*160615/491514</f>
        <v>32.6776043001827</v>
      </c>
      <c r="S6">
        <f>IF(COUNT(Q6:R6)=2,R6-Q6,"")</f>
        <v>-6.048322823325279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100*129919/390406</f>
        <v>33.277920933592206</v>
      </c>
      <c r="E7">
        <f>IF(COUNT(C7:D7)=2,D7-C7,"")</f>
        <v>-4.032235733048694</v>
      </c>
      <c r="H7">
        <v>5</v>
      </c>
      <c r="I7">
        <v>4</v>
      </c>
      <c r="J7">
        <f>100*106457/411240</f>
        <v>25.88683007489544</v>
      </c>
      <c r="K7">
        <f>100*94614/390190</f>
        <v>24.2481867807991</v>
      </c>
      <c r="L7">
        <f>IF(COUNT(J7:K7)=2,K7-J7,"")</f>
        <v>-1.6386432940963402</v>
      </c>
      <c r="O7">
        <v>5</v>
      </c>
      <c r="P7">
        <v>4</v>
      </c>
      <c r="Q7">
        <f>100*154964/442048</f>
        <v>35.055921528883744</v>
      </c>
      <c r="R7">
        <f>100*83178/492201</f>
        <v>16.899193622117792</v>
      </c>
      <c r="S7">
        <f>IF(COUNT(Q7:R7)=2,R7-Q7,"")</f>
        <v>-18.15672790676595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100*68867/389285</f>
        <v>17.69063796447333</v>
      </c>
      <c r="E8">
        <f>IF(COUNT(C8:D8)=2,D8-C8,"")</f>
        <v>-3.300449149023173</v>
      </c>
      <c r="H8">
        <v>6</v>
      </c>
      <c r="I8">
        <v>5</v>
      </c>
      <c r="J8">
        <f>100*91696/324059</f>
        <v>28.29608188632317</v>
      </c>
      <c r="K8">
        <f>100*66495/330868</f>
        <v>20.097138435871706</v>
      </c>
      <c r="L8">
        <f>IF(COUNT(J8:K8)=2,K8-J8,"")</f>
        <v>-8.198943450451463</v>
      </c>
      <c r="O8">
        <v>6</v>
      </c>
      <c r="P8">
        <v>5</v>
      </c>
      <c r="Q8">
        <f>100*114455/487242</f>
        <v>23.49038055011678</v>
      </c>
      <c r="R8">
        <f>100*64805/404237</f>
        <v>16.031437003540002</v>
      </c>
      <c r="S8">
        <f>IF(COUNT(Q8:R8)=2,R8-Q8,"")</f>
        <v>-7.458943546576776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100*44684/400899</f>
        <v>11.145949478546965</v>
      </c>
      <c r="E9">
        <f>IF(COUNT(C9:D9)=2,D9-C9,"")</f>
        <v>-10.31180851375908</v>
      </c>
      <c r="H9">
        <v>7</v>
      </c>
      <c r="I9">
        <v>6</v>
      </c>
      <c r="J9">
        <f>100*2956/325191</f>
        <v>0.9090042467349957</v>
      </c>
      <c r="K9">
        <f>100*2318/316437</f>
        <v>0.7325312779479012</v>
      </c>
      <c r="L9">
        <f>IF(COUNT(J9:K9)=2,K9-J9,"")</f>
        <v>-0.1764729687870945</v>
      </c>
      <c r="O9">
        <v>7</v>
      </c>
      <c r="P9">
        <v>6</v>
      </c>
      <c r="Q9">
        <f>100*198686/446837</f>
        <v>44.46498387555194</v>
      </c>
      <c r="R9">
        <f>100*83240/351526</f>
        <v>23.679614025705067</v>
      </c>
      <c r="S9">
        <f>IF(COUNT(Q9:R9)=2,R9-Q9,"")</f>
        <v>-20.78536984984687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100*1113/275738</f>
        <v>0.4036440389064982</v>
      </c>
      <c r="E10">
        <f>IF(COUNT(C10:D10)=2,D10-C10,"")</f>
        <v>0.0</v>
      </c>
      <c r="H10">
        <v>8</v>
      </c>
      <c r="I10">
        <v>7</v>
      </c>
      <c r="J10">
        <f>100*1179/376958</f>
        <v>0.31276693955294754</v>
      </c>
      <c r="K10">
        <f>100*1179/376958</f>
        <v>0.31276693955294754</v>
      </c>
      <c r="L10">
        <f>IF(COUNT(J10:K10)=2,K10-J10,"")</f>
        <v>0.0</v>
      </c>
      <c r="O10">
        <v>8</v>
      </c>
      <c r="P10">
        <v>7</v>
      </c>
      <c r="Q10">
        <f>100*140584/308785</f>
        <v>45.52811826999368</v>
      </c>
      <c r="R10">
        <f>100*135804/442125</f>
        <v>30.716200169635282</v>
      </c>
      <c r="S10">
        <f>IF(COUNT(Q10:R10)=2,R10-Q10,"")</f>
        <v>-14.811918100358401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100*130068/461040</f>
        <v>28.21186881832379</v>
      </c>
      <c r="E11">
        <f>IF(COUNT(C11:D11)=2,D11-C11,"")</f>
        <v>-10.292924523884974</v>
      </c>
      <c r="H11">
        <v>9</v>
      </c>
      <c r="I11">
        <v>8</v>
      </c>
      <c r="J11">
        <f>100*144131/422295</f>
        <v>34.13040646941119</v>
      </c>
      <c r="K11">
        <f>100*61351/326032</f>
        <v>18.8174780389655</v>
      </c>
      <c r="L11">
        <f>IF(COUNT(J11:K11)=2,K11-J11,"")</f>
        <v>-15.312928430445691</v>
      </c>
      <c r="O11">
        <v>9</v>
      </c>
      <c r="P11">
        <v>8</v>
      </c>
      <c r="Q11">
        <f>100*85958/184662</f>
        <v>46.54882975382049</v>
      </c>
      <c r="R11">
        <f>100*41590/117168</f>
        <v>35.49603987436843</v>
      </c>
      <c r="S11">
        <f>IF(COUNT(Q11:R11)=2,R11-Q11,"")</f>
        <v>-11.052789879452064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100*18784/392858</f>
        <v>4.781371386098794</v>
      </c>
      <c r="E12">
        <f>IF(COUNT(C12:D12)=2,D12-C12,"")</f>
        <v>-13.372133962933436</v>
      </c>
      <c r="H12">
        <v>10</v>
      </c>
      <c r="I12">
        <v>9</v>
      </c>
      <c r="J12">
        <f>100*71311/426052</f>
        <v>16.737628270727516</v>
      </c>
      <c r="K12">
        <f>100*51902/472570</f>
        <v>10.982923164822143</v>
      </c>
      <c r="L12">
        <f>IF(COUNT(J12:K12)=2,K12-J12,"")</f>
        <v>-5.754705105905373</v>
      </c>
      <c r="O12">
        <v>10</v>
      </c>
      <c r="P12">
        <v>9</v>
      </c>
      <c r="Q12">
        <f>100*199032/643646</f>
        <v>30.922587882158826</v>
      </c>
      <c r="R12">
        <f>100*6508/367614</f>
        <v>1.7703351885401535</v>
      </c>
      <c r="S12">
        <f>IF(COUNT(Q12:R12)=2,R12-Q12,"")</f>
        <v>-29.15225269361867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100*3762/517486</f>
        <v>0.726976188727811</v>
      </c>
      <c r="E13">
        <f>IF(COUNT(C13:D13)=2,D13-C13,"")</f>
        <v>0.0</v>
      </c>
      <c r="H13">
        <v>11</v>
      </c>
      <c r="I13">
        <v>10</v>
      </c>
      <c r="J13">
        <f>100*28276/544111</f>
        <v>5.196733754693436</v>
      </c>
      <c r="K13">
        <f>100*31974/475994</f>
        <v>6.717311562750791</v>
      </c>
      <c r="L13">
        <f>IF(COUNT(J13:K13)=2,K13-J13,"")</f>
        <v>1.5205778080573555</v>
      </c>
      <c r="O13">
        <v>11</v>
      </c>
      <c r="P13">
        <v>10</v>
      </c>
      <c r="Q13">
        <f>100*136848/421678</f>
        <v>32.453198886354045</v>
      </c>
      <c r="R13">
        <f>100*164324/466432</f>
        <v>35.23000137211855</v>
      </c>
      <c r="S13">
        <f>IF(COUNT(Q13:R13)=2,R13-Q13,"")</f>
        <v>2.776802485764506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100*34400/540799</f>
        <v>6.360958507689548</v>
      </c>
      <c r="E14">
        <f>IF(COUNT(C14:D14)=2,D14-C14,"")</f>
        <v>-31.884892385417334</v>
      </c>
      <c r="H14">
        <v>12</v>
      </c>
      <c r="I14">
        <v>11</v>
      </c>
      <c r="J14">
        <f>100*18702/461148</f>
        <v>4.05553097920841</v>
      </c>
      <c r="K14">
        <f>100*64122/578825</f>
        <v>11.077959659655336</v>
      </c>
      <c r="L14">
        <f>IF(COUNT(J14:K14)=2,K14-J14,"")</f>
        <v>7.022428680446926</v>
      </c>
      <c r="O14">
        <v>12</v>
      </c>
      <c r="P14">
        <v>11</v>
      </c>
      <c r="Q14">
        <f>100*91935/209068</f>
        <v>43.973731034878604</v>
      </c>
      <c r="R14">
        <f>100*95357/264574</f>
        <v>36.041712337569074</v>
      </c>
      <c r="S14">
        <f>IF(COUNT(Q14:R14)=2,R14-Q14,"")</f>
        <v>-7.93201869730953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100*21831/381601</f>
        <v>5.720896957817197</v>
      </c>
      <c r="E15">
        <f>IF(COUNT(C15:D15)=2,D15-C15,"")</f>
        <v>-2.0583690873620393</v>
      </c>
      <c r="H15">
        <v>13</v>
      </c>
      <c r="I15">
        <v>12</v>
      </c>
      <c r="J15">
        <f>100*226380/535721</f>
        <v>42.25707037805126</v>
      </c>
      <c r="K15">
        <f>100*139787/491888</f>
        <v>28.418461113098918</v>
      </c>
      <c r="L15">
        <f>IF(COUNT(J15:K15)=2,K15-J15,"")</f>
        <v>-13.838609264952343</v>
      </c>
      <c r="O15">
        <v>13</v>
      </c>
      <c r="P15">
        <v>12</v>
      </c>
      <c r="Q15">
        <f>100*165466/516479</f>
        <v>32.037314198641184</v>
      </c>
      <c r="R15">
        <f>100*19180/416550</f>
        <v>4.6044892569919575</v>
      </c>
      <c r="S15">
        <f>IF(COUNT(Q15:R15)=2,R15-Q15,"")</f>
        <v>-27.432824941649226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100*4186/284672</f>
        <v>1.4704642535971224</v>
      </c>
      <c r="E16">
        <f>IF(COUNT(C16:D16)=2,D16-C16,"")</f>
        <v>0.0</v>
      </c>
      <c r="H16">
        <v>14</v>
      </c>
      <c r="I16">
        <v>13</v>
      </c>
      <c r="J16">
        <f>100*44978/265308</f>
        <v>16.95312617787628</v>
      </c>
      <c r="K16">
        <f>100*55950/292137</f>
        <v>19.151973218044958</v>
      </c>
      <c r="L16">
        <f>IF(COUNT(J16:K16)=2,K16-J16,"")</f>
        <v>2.1988470401686797</v>
      </c>
      <c r="O16">
        <v>14</v>
      </c>
      <c r="P16">
        <v>13</v>
      </c>
      <c r="Q16">
        <f>100*58109/351187</f>
        <v>16.546455307286433</v>
      </c>
      <c r="R16">
        <f>100*33966/347009</f>
        <v>9.788218749369612</v>
      </c>
      <c r="S16">
        <f>IF(COUNT(Q16:R16)=2,R16-Q16,"")</f>
        <v>-6.75823655791682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100*88051/442949</f>
        <v>19.878360714213148</v>
      </c>
      <c r="E17">
        <f>IF(COUNT(C17:D17)=2,D17-C17,"")</f>
        <v>-13.15217069768445</v>
      </c>
      <c r="H17">
        <v>15</v>
      </c>
      <c r="I17">
        <v>14</v>
      </c>
      <c r="J17">
        <f>100*185252/403337</f>
        <v>45.92983038997166</v>
      </c>
      <c r="K17">
        <f>100*96024/432221</f>
        <v>22.21641243715599</v>
      </c>
      <c r="L17">
        <f>IF(COUNT(J17:K17)=2,K17-J17,"")</f>
        <v>-23.71341795281567</v>
      </c>
      <c r="O17">
        <v>15</v>
      </c>
      <c r="P17">
        <v>14</v>
      </c>
      <c r="Q17">
        <f>100*158493/377442</f>
        <v>41.99135231373297</v>
      </c>
      <c r="R17">
        <f>100*84884/305789</f>
        <v>27.759010297950546</v>
      </c>
      <c r="S17">
        <f>IF(COUNT(Q17:R17)=2,R17-Q17,"")</f>
        <v>-14.232342015782422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100*10804/429001</f>
        <v>2.518409047997557</v>
      </c>
      <c r="E18">
        <f>IF(COUNT(C18:D18)=2,D18-C18,"")</f>
        <v>-29.8516717373452</v>
      </c>
      <c r="H18">
        <v>16</v>
      </c>
      <c r="I18">
        <v>15</v>
      </c>
      <c r="J18">
        <f>100*116194/472598</f>
        <v>24.586223386472223</v>
      </c>
      <c r="K18">
        <f>100*74122/435507</f>
        <v>17.019703472045226</v>
      </c>
      <c r="L18">
        <f>IF(COUNT(J18:K18)=2,K18-J18,"")</f>
        <v>-7.566519914426998</v>
      </c>
      <c r="O18">
        <v>16</v>
      </c>
      <c r="P18">
        <v>15</v>
      </c>
      <c r="Q18">
        <f>100*130815/335348</f>
        <v>39.00873122845522</v>
      </c>
      <c r="R18">
        <f>100*86992/322070</f>
        <v>27.010277268916695</v>
      </c>
      <c r="S18">
        <f>IF(COUNT(Q18:R18)=2,R18-Q18,"")</f>
        <v>-11.998453959538523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100*90993/430105</f>
        <v>21.15599679148115</v>
      </c>
      <c r="E19">
        <f>IF(COUNT(C19:D19)=2,D19-C19,"")</f>
        <v>-1.0178374132394516</v>
      </c>
      <c r="H19">
        <v>17</v>
      </c>
      <c r="I19">
        <v>16</v>
      </c>
      <c r="J19">
        <f>100*147986/392782</f>
        <v>37.6763700984261</v>
      </c>
      <c r="K19">
        <f>100*80060/362931</f>
        <v>22.059289506820857</v>
      </c>
      <c r="L19">
        <f>IF(COUNT(J19:K19)=2,K19-J19,"")</f>
        <v>-15.61708059160524</v>
      </c>
      <c r="O19">
        <v>17</v>
      </c>
      <c r="P19">
        <v>16</v>
      </c>
      <c r="Q19">
        <f>100*17753/266611</f>
        <v>6.65876501719734</v>
      </c>
      <c r="R19">
        <f>100*11084/279234</f>
        <v>3.969430656725184</v>
      </c>
      <c r="S19">
        <f>IF(COUNT(Q19:R19)=2,R19-Q19,"")</f>
        <v>-2.6893343604721562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100*103898/652373</f>
        <v>15.926164939382838</v>
      </c>
      <c r="E20">
        <f>IF(COUNT(C20:D20)=2,D20-C20,"")</f>
        <v>-17.442556697114746</v>
      </c>
      <c r="H20">
        <v>18</v>
      </c>
      <c r="I20">
        <v>17</v>
      </c>
      <c r="J20">
        <f>100*134558/617547</f>
        <v>21.78911078832866</v>
      </c>
      <c r="K20">
        <f>100*39191/409651</f>
        <v>9.566924040219602</v>
      </c>
      <c r="L20">
        <f>IF(COUNT(J20:K20)=2,K20-J20,"")</f>
        <v>-12.222186748109058</v>
      </c>
      <c r="O20">
        <v>18</v>
      </c>
      <c r="P20">
        <v>17</v>
      </c>
      <c r="Q20">
        <f>100*1405/276206</f>
        <v>0.5086783053228388</v>
      </c>
      <c r="R20">
        <f>100*1405/276206</f>
        <v>0.5086783053228388</v>
      </c>
      <c r="S20">
        <f>IF(COUNT(Q20:R20)=2,R20-Q20,"")</f>
        <v>0.0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100*72056/422928</f>
        <v>17.037415352022094</v>
      </c>
      <c r="E21">
        <f>IF(COUNT(C21:D21)=2,D21-C21,"")</f>
        <v>-1.1328103394373912</v>
      </c>
      <c r="H21">
        <v>19</v>
      </c>
      <c r="I21">
        <v>18</v>
      </c>
      <c r="J21">
        <f>100*48771/351007</f>
        <v>13.894594694692698</v>
      </c>
      <c r="K21">
        <f>100*43281/402476</f>
        <v>10.753684691758018</v>
      </c>
      <c r="L21">
        <f>IF(COUNT(J21:K21)=2,K21-J21,"")</f>
        <v>-3.14091000293468</v>
      </c>
      <c r="O21">
        <v>19</v>
      </c>
      <c r="P21">
        <v>18</v>
      </c>
      <c r="Q21">
        <f>100*124085/311389</f>
        <v>39.84887070513088</v>
      </c>
      <c r="R21">
        <f>100*155397/429964</f>
        <v>36.14186303969635</v>
      </c>
      <c r="S21">
        <f>IF(COUNT(Q21:R21)=2,R21-Q21,"")</f>
        <v>-3.7070076654345314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100*70908/464674</f>
        <v>15.259730477711255</v>
      </c>
      <c r="E22">
        <f>IF(COUNT(C22:D22)=2,D22-C22,"")</f>
        <v>-5.436965876591724</v>
      </c>
      <c r="H22">
        <v>20</v>
      </c>
      <c r="I22">
        <v>19</v>
      </c>
      <c r="J22">
        <f>100*42161/340805</f>
        <v>12.371003946538343</v>
      </c>
      <c r="K22">
        <f>100*68258/534284</f>
        <v>12.775602488564134</v>
      </c>
      <c r="L22">
        <f>IF(COUNT(J22:K22)=2,K22-J22,"")</f>
        <v>0.4045985420257914</v>
      </c>
      <c r="O22">
        <v>20</v>
      </c>
      <c r="P22">
        <v>19</v>
      </c>
      <c r="Q22">
        <f>100*139808/401311</f>
        <v>34.83781904806995</v>
      </c>
      <c r="R22">
        <f>100*34775/497630</f>
        <v>6.988123706368185</v>
      </c>
      <c r="S22">
        <f>IF(COUNT(Q22:R22)=2,R22-Q22,"")</f>
        <v>-27.849695341701768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100*118545/483719</f>
        <v>24.50699683080466</v>
      </c>
      <c r="E23">
        <f>IF(COUNT(C23:D23)=2,D23-C23,"")</f>
        <v>-2.1831717676632145</v>
      </c>
      <c r="H23">
        <v>21</v>
      </c>
      <c r="I23">
        <v>20</v>
      </c>
      <c r="J23">
        <f>100*222992/523032</f>
        <v>42.63448507930681</v>
      </c>
      <c r="K23">
        <f>100*70131/369219</f>
        <v>18.994417947072062</v>
      </c>
      <c r="L23">
        <f>IF(COUNT(J23:K23)=2,K23-J23,"")</f>
        <v>-23.64006713223475</v>
      </c>
      <c r="O23">
        <v>21</v>
      </c>
      <c r="P23">
        <v>20</v>
      </c>
      <c r="Q23">
        <f>100*43636/293480</f>
        <v>14.86847485348235</v>
      </c>
      <c r="R23">
        <f>100*23360/263344</f>
        <v>8.870526763472872</v>
      </c>
      <c r="S23">
        <f>IF(COUNT(Q23:R23)=2,R23-Q23,"")</f>
        <v>-5.997948090009478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100*35325/130696</f>
        <v>27.028371181979555</v>
      </c>
      <c r="E24">
        <f>IF(COUNT(C24:D24)=2,D24-C24,"")</f>
        <v>-11.119883674786994</v>
      </c>
      <c r="H24">
        <v>22</v>
      </c>
      <c r="I24">
        <v>21</v>
      </c>
      <c r="J24">
        <f>100*54639/207484</f>
        <v>26.334078772339073</v>
      </c>
      <c r="K24">
        <f>100*97585/294451</f>
        <v>33.141337607955144</v>
      </c>
      <c r="L24">
        <f>IF(COUNT(J24:K24)=2,K24-J24,"")</f>
        <v>6.8072588356160715</v>
      </c>
      <c r="O24">
        <v>22</v>
      </c>
      <c r="P24">
        <v>21</v>
      </c>
      <c r="Q24">
        <f>100*45197/105457</f>
        <v>42.85822657576074</v>
      </c>
      <c r="R24">
        <f>100*78856/213998</f>
        <v>36.84894251348143</v>
      </c>
      <c r="S24">
        <f>IF(COUNT(Q24:R24)=2,R24-Q24,"")</f>
        <v>-6.009284062279306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100*152413/686826</f>
        <v>22.19091880621875</v>
      </c>
      <c r="E25">
        <f>IF(COUNT(C25:D25)=2,D25-C25,"")</f>
        <v>-11.640308897087156</v>
      </c>
      <c r="H25">
        <v>23</v>
      </c>
      <c r="I25">
        <v>22</v>
      </c>
      <c r="J25">
        <f>100*82449/499533</f>
        <v>16.505215871624095</v>
      </c>
      <c r="K25">
        <f>100*61048/578586</f>
        <v>10.551240437895144</v>
      </c>
      <c r="L25">
        <f>IF(COUNT(J25:K25)=2,K25-J25,"")</f>
        <v>-5.953975433728951</v>
      </c>
      <c r="O25">
        <v>23</v>
      </c>
      <c r="P25">
        <v>22</v>
      </c>
      <c r="Q25">
        <f>100*656/247400</f>
        <v>0.2651576394502829</v>
      </c>
      <c r="R25">
        <f>100*656/247400</f>
        <v>0.2651576394502829</v>
      </c>
      <c r="S25">
        <f>IF(COUNT(Q25:R25)=2,R25-Q25,"")</f>
        <v>0.0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100*47565/506356</f>
        <v>9.393588700440006</v>
      </c>
      <c r="E26">
        <f>IF(COUNT(C26:D26)=2,D26-C26,"")</f>
        <v>-15.058993956866331</v>
      </c>
      <c r="H26">
        <v>24</v>
      </c>
      <c r="I26">
        <v>23</v>
      </c>
      <c r="J26">
        <f>100*167481/558799</f>
        <v>29.971599806012538</v>
      </c>
      <c r="K26">
        <f>100*29775/487368</f>
        <v>6.109346530752942</v>
      </c>
      <c r="L26">
        <f>IF(COUNT(J26:K26)=2,K26-J26,"")</f>
        <v>-23.862253275259597</v>
      </c>
      <c r="O26">
        <v>24</v>
      </c>
      <c r="P26">
        <v>23</v>
      </c>
      <c r="Q26">
        <f>100*53061/340117</f>
        <v>15.600807957261766</v>
      </c>
      <c r="R26">
        <f>100*78324/568899</f>
        <v>13.767645926605601</v>
      </c>
      <c r="S26">
        <f>IF(COUNT(Q26:R26)=2,R26-Q26,"")</f>
        <v>-1.8331620306561653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100*43799/422222</f>
        <v>10.373452828133068</v>
      </c>
      <c r="E27">
        <f>IF(COUNT(C27:D27)=2,D27-C27,"")</f>
        <v>5.107665399067086</v>
      </c>
      <c r="H27">
        <v>25</v>
      </c>
      <c r="I27">
        <v>24</v>
      </c>
      <c r="J27">
        <f>100*67075/346916</f>
        <v>19.334651615953142</v>
      </c>
      <c r="K27">
        <f>100*40582/295330</f>
        <v>13.741238614431314</v>
      </c>
      <c r="L27">
        <f>IF(COUNT(J27:K27)=2,K27-J27,"")</f>
        <v>-5.593413001521828</v>
      </c>
      <c r="O27">
        <v>25</v>
      </c>
      <c r="P27">
        <v>24</v>
      </c>
      <c r="Q27">
        <f>100*158561/348258</f>
        <v>45.52975093178046</v>
      </c>
      <c r="R27">
        <f>100*131118/382778</f>
        <v>34.254319736243986</v>
      </c>
      <c r="S27">
        <f>IF(COUNT(Q27:R27)=2,R27-Q27,"")</f>
        <v>-11.275431195536477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100*54898/452658</f>
        <v>12.12791997490379</v>
      </c>
      <c r="E28">
        <f>IF(COUNT(C28:D28)=2,D28-C28,"")</f>
        <v>-11.77728221977209</v>
      </c>
      <c r="H28">
        <v>26</v>
      </c>
      <c r="I28">
        <v>25</v>
      </c>
      <c r="J28">
        <f>100*177325/563486</f>
        <v>31.469282289178437</v>
      </c>
      <c r="K28">
        <f>100*73562/436334</f>
        <v>16.85910334743568</v>
      </c>
      <c r="L28">
        <f>IF(COUNT(J28:K28)=2,K28-J28,"")</f>
        <v>-14.610178941742756</v>
      </c>
      <c r="O28">
        <v>26</v>
      </c>
      <c r="P28">
        <v>25</v>
      </c>
      <c r="Q28">
        <f>100*156244/369843</f>
        <v>42.246034127994854</v>
      </c>
      <c r="R28">
        <f>100*143162/452284</f>
        <v>31.653120605637167</v>
      </c>
      <c r="S28">
        <f>IF(COUNT(Q28:R28)=2,R28-Q28,"")</f>
        <v>-10.592913522357687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100*78487/518083</f>
        <v>15.149503071901606</v>
      </c>
      <c r="E29">
        <f>IF(COUNT(C29:D29)=2,D29-C29,"")</f>
        <v>-29.466724658476743</v>
      </c>
      <c r="H29">
        <v>27</v>
      </c>
      <c r="I29">
        <v>26</v>
      </c>
      <c r="J29">
        <f>100*35297/437184</f>
        <v>8.073717244912897</v>
      </c>
      <c r="K29">
        <f>100*121054/554126</f>
        <v>21.84593395725882</v>
      </c>
      <c r="L29">
        <f>IF(COUNT(J29:K29)=2,K29-J29,"")</f>
        <v>13.772216712345921</v>
      </c>
      <c r="O29">
        <v>27</v>
      </c>
      <c r="P29">
        <v>26</v>
      </c>
      <c r="Q29">
        <f>100*99207/334942</f>
        <v>29.619157943763398</v>
      </c>
      <c r="R29">
        <f>100*93704/326203</f>
        <v>28.725670824609217</v>
      </c>
      <c r="S29">
        <f>IF(COUNT(Q29:R29)=2,R29-Q29,"")</f>
        <v>-0.8934871191541802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100*66242/312430</f>
        <v>21.20218929040105</v>
      </c>
      <c r="E30">
        <f>IF(COUNT(C30:D30)=2,D30-C30,"")</f>
        <v>-1.8764394566695337</v>
      </c>
      <c r="H30">
        <v>28</v>
      </c>
      <c r="I30">
        <v>27</v>
      </c>
      <c r="J30">
        <f>100*111624/317500</f>
        <v>35.15716535433071</v>
      </c>
      <c r="K30">
        <f>100*91434/342301</f>
        <v>26.711578406139626</v>
      </c>
      <c r="L30">
        <f>IF(COUNT(J30:K30)=2,K30-J30,"")</f>
        <v>-8.445586948191082</v>
      </c>
      <c r="O30">
        <v>28</v>
      </c>
      <c r="P30">
        <v>27</v>
      </c>
      <c r="Q30">
        <f>100*258/245208</f>
        <v>0.10521679553685034</v>
      </c>
      <c r="R30">
        <f>100*258/245208</f>
        <v>0.10521679553685034</v>
      </c>
      <c r="S30">
        <f>IF(COUNT(Q30:R30)=2,R30-Q30,"")</f>
        <v>0.0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100*177228/456481</f>
        <v>38.8248360829914</v>
      </c>
      <c r="E31">
        <f>IF(COUNT(C31:D31)=2,D31-C31,"")</f>
        <v>-7.755036642098219</v>
      </c>
      <c r="H31">
        <v>29</v>
      </c>
      <c r="I31">
        <v>28</v>
      </c>
      <c r="J31">
        <f>100*143049/329070</f>
        <v>43.47069012672076</v>
      </c>
      <c r="K31">
        <f>100*73328/289453</f>
        <v>25.333301088605058</v>
      </c>
      <c r="L31">
        <f>IF(COUNT(J31:K31)=2,K31-J31,"")</f>
        <v>-18.137389038115703</v>
      </c>
      <c r="O31">
        <v>29</v>
      </c>
      <c r="P31">
        <v>28</v>
      </c>
      <c r="Q31">
        <f>100*106682/252496</f>
        <v>42.25096635194221</v>
      </c>
      <c r="R31">
        <f>100*106065/300331</f>
        <v>35.31603464177857</v>
      </c>
      <c r="S31">
        <f>IF(COUNT(Q31:R31)=2,R31-Q31,"")</f>
        <v>-6.934931710163639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100*85233/517960</f>
        <v>16.45551780060236</v>
      </c>
      <c r="E32">
        <f>IF(COUNT(C32:D32)=2,D32-C32,"")</f>
        <v>-2.8575093299104104</v>
      </c>
      <c r="H32">
        <v>30</v>
      </c>
      <c r="I32">
        <v>29</v>
      </c>
      <c r="J32">
        <f>100*71699/295601</f>
        <v>24.25533066532251</v>
      </c>
      <c r="K32">
        <f>100*86364/384881</f>
        <v>22.43914352747992</v>
      </c>
      <c r="L32">
        <f>IF(COUNT(J32:K32)=2,K32-J32,"")</f>
        <v>-1.81618713784259</v>
      </c>
      <c r="O32">
        <v>30</v>
      </c>
      <c r="P32">
        <v>29</v>
      </c>
      <c r="Q32">
        <f>100*220230/481156</f>
        <v>45.771018131333705</v>
      </c>
      <c r="R32">
        <f>100*88525/433591</f>
        <v>20.416706066315953</v>
      </c>
      <c r="S32">
        <f>IF(COUNT(Q32:R32)=2,R32-Q32,"")</f>
        <v>-25.35431206501775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100*94412/399718</f>
        <v>23.619651854557464</v>
      </c>
      <c r="E33">
        <f>IF(COUNT(C33:D33)=2,D33-C33,"")</f>
        <v>-1.9786530795408268</v>
      </c>
      <c r="H33">
        <v>31</v>
      </c>
      <c r="I33">
        <v>30</v>
      </c>
      <c r="J33">
        <f>100*58413/325415</f>
        <v>17.950309604658667</v>
      </c>
      <c r="K33">
        <f>100*77204/356500</f>
        <v>21.65610098176718</v>
      </c>
      <c r="L33">
        <f>IF(COUNT(J33:K33)=2,K33-J33,"")</f>
        <v>3.7057913771085147</v>
      </c>
      <c r="O33">
        <v>31</v>
      </c>
      <c r="P33">
        <v>30</v>
      </c>
      <c r="Q33">
        <f>100*3974/273650</f>
        <v>1.4522199890370913</v>
      </c>
      <c r="R33">
        <f>100*3974/273650</f>
        <v>1.4522199890370913</v>
      </c>
      <c r="S33">
        <f>IF(COUNT(Q33:R33)=2,R33-Q33,"")</f>
        <v>0.0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16.50389687030379</v>
      </c>
      <c r="E34">
        <f>IF(COUNT(E3:E33)&gt;0,AVERAGE(E3:E33),"")</f>
        <v>-8.36222237509286</v>
      </c>
      <c r="H34" t="s">
        <v>5</v>
      </c>
      <c r="J34">
        <f>IF(COUNT(J3:J33)&gt;0,AVERAGE(J3:J33),"")</f>
        <v>22.873960622545518</v>
      </c>
      <c r="K34">
        <f>IF(COUNT(K3:K33)&gt;0,AVERAGE(K3:K33),"")</f>
        <v>16.896616387197394</v>
      </c>
      <c r="L34">
        <f>IF(COUNT(L3:L33)&gt;0,AVERAGE(L3:L33),"")</f>
        <v>-5.97734423534813</v>
      </c>
      <c r="O34" t="s">
        <v>5</v>
      </c>
      <c r="Q34">
        <f>IF(COUNT(Q3:Q33)&gt;0,AVERAGE(Q3:Q33),"")</f>
        <v>30.285258327658585</v>
      </c>
      <c r="R34">
        <f>IF(COUNT(R3:R33)&gt;0,AVERAGE(R3:R33),"")</f>
        <v>19.916609351397206</v>
      </c>
      <c r="S34">
        <f>IF(COUNT(S3:S33)&gt;0,AVERAGE(S3:S33),"")</f>
        <v>-10.36864897626139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100*56205/438698</f>
        <v>12.811774842830376</v>
      </c>
      <c r="E39">
        <f>IF(COUNT(C39:D39)=2,D39-C39,"")</f>
        <v>-2.509577345865962</v>
      </c>
      <c r="H39">
        <v>1</v>
      </c>
      <c r="I39">
        <v>0</v>
      </c>
      <c r="J39">
        <f>100*211130/713250</f>
        <v>29.601121626358218</v>
      </c>
      <c r="K39">
        <f>100*84712/490232</f>
        <v>17.279981722939343</v>
      </c>
      <c r="L39">
        <f>IF(COUNT(J39:K39)=2,K39-J39,"")</f>
        <v>-12.321139903418874</v>
      </c>
      <c r="O39">
        <v>1</v>
      </c>
      <c r="P39">
        <v>0</v>
      </c>
      <c r="Q39">
        <f>100*33559/419154</f>
        <v>8.00636520228842</v>
      </c>
      <c r="R39">
        <f>100*50019/464179</f>
        <v>10.775799853073922</v>
      </c>
      <c r="S39">
        <f>IF(COUNT(Q39:R39)=2,R39-Q39,"")</f>
        <v>2.7694346507855023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100*138062/508152</f>
        <v>27.169429619483935</v>
      </c>
      <c r="E40">
        <f>IF(COUNT(C40:D40)=2,D40-C40,"")</f>
        <v>-21.38562342827327</v>
      </c>
      <c r="H40">
        <v>2</v>
      </c>
      <c r="I40">
        <v>1</v>
      </c>
      <c r="J40">
        <f>100*221110/594344</f>
        <v>37.20236092229416</v>
      </c>
      <c r="K40">
        <f>100*215184/744263</f>
        <v>28.912360281244666</v>
      </c>
      <c r="L40">
        <f>IF(COUNT(J40:K40)=2,K40-J40,"")</f>
        <v>-8.290000641049495</v>
      </c>
      <c r="O40">
        <v>2</v>
      </c>
      <c r="P40">
        <v>1</v>
      </c>
      <c r="Q40">
        <f>100*83755/209991</f>
        <v>39.88504269230586</v>
      </c>
      <c r="R40">
        <f>100*87337/250944</f>
        <v>34.80338242795205</v>
      </c>
      <c r="S40">
        <f>IF(COUNT(Q40:R40)=2,R40-Q40,"")</f>
        <v>-5.081660264353808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100*190979/752614</f>
        <v>25.375424852580473</v>
      </c>
      <c r="E41">
        <f>IF(COUNT(C41:D41)=2,D41-C41,"")</f>
        <v>-15.848836914828006</v>
      </c>
      <c r="H41">
        <v>3</v>
      </c>
      <c r="I41">
        <v>2</v>
      </c>
      <c r="J41">
        <f>100*328651/1001588</f>
        <v>32.812992967168135</v>
      </c>
      <c r="K41">
        <f>100*86750/832051</f>
        <v>10.426043595885348</v>
      </c>
      <c r="L41">
        <f>IF(COUNT(J41:K41)=2,K41-J41,"")</f>
        <v>-22.38694937128279</v>
      </c>
      <c r="O41">
        <v>3</v>
      </c>
      <c r="P41">
        <v>2</v>
      </c>
      <c r="Q41">
        <f>100*165549/320834</f>
        <v>51.59958109177955</v>
      </c>
      <c r="R41">
        <f>100*106735/330246</f>
        <v>32.31984641751906</v>
      </c>
      <c r="S41">
        <f>IF(COUNT(Q41:R41)=2,R41-Q41,"")</f>
        <v>-19.27973467426049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100*16186/766058</f>
        <v>2.1128948460821504</v>
      </c>
      <c r="E42">
        <f>IF(COUNT(C42:D42)=2,D42-C42,"")</f>
        <v>-3.779345672609605</v>
      </c>
      <c r="H42">
        <v>4</v>
      </c>
      <c r="I42">
        <v>3</v>
      </c>
      <c r="J42">
        <f>100*38325/584626</f>
        <v>6.555473071673172</v>
      </c>
      <c r="K42">
        <f>100*37741/571320</f>
        <v>6.605930126724077</v>
      </c>
      <c r="L42">
        <f>IF(COUNT(J42:K42)=2,K42-J42,"")</f>
        <v>0.05045705505090492</v>
      </c>
      <c r="O42">
        <v>4</v>
      </c>
      <c r="P42">
        <v>3</v>
      </c>
      <c r="Q42">
        <f>100*265499/612068</f>
        <v>43.37736983472425</v>
      </c>
      <c r="R42">
        <f>100*249560/682107</f>
        <v>36.586635234647936</v>
      </c>
      <c r="S42">
        <f>IF(COUNT(Q42:R42)=2,R42-Q42,"")</f>
        <v>-6.790734600076313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100*226959/577430</f>
        <v>39.305023985591326</v>
      </c>
      <c r="E43">
        <f>IF(COUNT(C43:D43)=2,D43-C43,"")</f>
        <v>-2.071060287491889</v>
      </c>
      <c r="H43">
        <v>5</v>
      </c>
      <c r="I43">
        <v>4</v>
      </c>
      <c r="J43">
        <f>100*86329/200432</f>
        <v>43.071465634230066</v>
      </c>
      <c r="K43">
        <f>100*195198/624377</f>
        <v>31.26284280170474</v>
      </c>
      <c r="L43">
        <f>IF(COUNT(J43:K43)=2,K43-J43,"")</f>
        <v>-11.808622832525327</v>
      </c>
      <c r="O43">
        <v>5</v>
      </c>
      <c r="P43">
        <v>4</v>
      </c>
      <c r="Q43">
        <f>100*80681/472324</f>
        <v>17.08170662511327</v>
      </c>
      <c r="R43">
        <f>100*54867/511189</f>
        <v>10.733212177883328</v>
      </c>
      <c r="S43">
        <f>IF(COUNT(Q43:R43)=2,R43-Q43,"")</f>
        <v>-6.3484944472299425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100*50131/692928</f>
        <v>7.234662187124781</v>
      </c>
      <c r="E44">
        <f>IF(COUNT(C44:D44)=2,D44-C44,"")</f>
        <v>-0.8316276932532309</v>
      </c>
      <c r="H44">
        <v>6</v>
      </c>
      <c r="I44">
        <v>5</v>
      </c>
      <c r="J44">
        <f>100*143171/458928</f>
        <v>31.19683261862427</v>
      </c>
      <c r="K44">
        <f>100*163340/603605</f>
        <v>27.060743366936986</v>
      </c>
      <c r="L44">
        <f>IF(COUNT(J44:K44)=2,K44-J44,"")</f>
        <v>-4.1360892516872845</v>
      </c>
      <c r="O44">
        <v>6</v>
      </c>
      <c r="P44">
        <v>5</v>
      </c>
      <c r="Q44">
        <f>100*332039/690960</f>
        <v>48.05473544054649</v>
      </c>
      <c r="R44">
        <f>100*158586/734231</f>
        <v>21.598924589127943</v>
      </c>
      <c r="S44">
        <f>IF(COUNT(Q44:R44)=2,R44-Q44,"")</f>
        <v>-26.455810851418544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100*38272/431019</f>
        <v>8.879422948872323</v>
      </c>
      <c r="E45">
        <f>IF(COUNT(C45:D45)=2,D45-C45,"")</f>
        <v>6.785863287582378</v>
      </c>
      <c r="H45">
        <v>7</v>
      </c>
      <c r="I45">
        <v>6</v>
      </c>
      <c r="J45">
        <f>100*1474/516628</f>
        <v>0.28531167493825343</v>
      </c>
      <c r="K45">
        <f>100*1474/516628</f>
        <v>0.28531167493825343</v>
      </c>
      <c r="L45">
        <f>IF(COUNT(J45:K45)=2,K45-J45,"")</f>
        <v>0.0</v>
      </c>
      <c r="O45">
        <v>7</v>
      </c>
      <c r="P45">
        <v>6</v>
      </c>
      <c r="Q45">
        <f>100*255047/462709</f>
        <v>55.12038884050234</v>
      </c>
      <c r="R45">
        <f>100*170288/498918</f>
        <v>34.13146048047976</v>
      </c>
      <c r="S45">
        <f>IF(COUNT(Q45:R45)=2,R45-Q45,"")</f>
        <v>-20.988928360022584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100*28715/834663</f>
        <v>3.44031064034227</v>
      </c>
      <c r="E46">
        <f>IF(COUNT(C46:D46)=2,D46-C46,"")</f>
        <v>1.223581102761376</v>
      </c>
      <c r="H46">
        <v>8</v>
      </c>
      <c r="I46">
        <v>7</v>
      </c>
      <c r="J46">
        <f>100*2387/421854</f>
        <v>0.5658355734448411</v>
      </c>
      <c r="K46">
        <f>100*2387/421854</f>
        <v>0.5658355734448411</v>
      </c>
      <c r="L46">
        <f>IF(COUNT(J46:K46)=2,K46-J46,"")</f>
        <v>0.0</v>
      </c>
      <c r="O46">
        <v>8</v>
      </c>
      <c r="P46">
        <v>7</v>
      </c>
      <c r="Q46">
        <f>100*174551/400003</f>
        <v>43.63742271932961</v>
      </c>
      <c r="R46">
        <f>100*120681/387569</f>
        <v>31.137939308871452</v>
      </c>
      <c r="S46">
        <f>IF(COUNT(Q46:R46)=2,R46-Q46,"")</f>
        <v>-12.499483410458154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100*172086/519812</f>
        <v>33.105430424845906</v>
      </c>
      <c r="E47">
        <f>IF(COUNT(C47:D47)=2,D47-C47,"")</f>
        <v>-24.546697608921242</v>
      </c>
      <c r="H47">
        <v>9</v>
      </c>
      <c r="I47">
        <v>8</v>
      </c>
      <c r="J47">
        <f>100*195875/433696</f>
        <v>45.16412417914853</v>
      </c>
      <c r="K47">
        <f>100*119970/486150</f>
        <v>24.677568651650724</v>
      </c>
      <c r="L47">
        <f>IF(COUNT(J47:K47)=2,K47-J47,"")</f>
        <v>-20.486555527497806</v>
      </c>
      <c r="O47">
        <v>9</v>
      </c>
      <c r="P47">
        <v>8</v>
      </c>
      <c r="Q47">
        <f>100*68616/113213</f>
        <v>60.60788072041197</v>
      </c>
      <c r="R47">
        <f>100*140166/329854</f>
        <v>42.4933455407544</v>
      </c>
      <c r="S47">
        <f>IF(COUNT(Q47:R47)=2,R47-Q47,"")</f>
        <v>-18.114535179657572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100*38456/413642</f>
        <v>9.296928261636875</v>
      </c>
      <c r="E48">
        <f>IF(COUNT(C48:D48)=2,D48-C48,"")</f>
        <v>-12.662377360162786</v>
      </c>
      <c r="H48">
        <v>10</v>
      </c>
      <c r="I48">
        <v>9</v>
      </c>
      <c r="J48">
        <f>100*319115/716304</f>
        <v>44.550218901472</v>
      </c>
      <c r="K48">
        <f>100*159701/677208</f>
        <v>23.58226719117317</v>
      </c>
      <c r="L48">
        <f>IF(COUNT(J48:K48)=2,K48-J48,"")</f>
        <v>-20.96795171029883</v>
      </c>
      <c r="O48">
        <v>10</v>
      </c>
      <c r="P48">
        <v>9</v>
      </c>
      <c r="Q48">
        <f>100*144975/663380</f>
        <v>21.85399017154572</v>
      </c>
      <c r="R48">
        <f>100*106658/647957</f>
        <v>16.46066019813043</v>
      </c>
      <c r="S48">
        <f>IF(COUNT(Q48:R48)=2,R48-Q48,"")</f>
        <v>-5.393329973415291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100*160123/811334</f>
        <v>19.735768499779375</v>
      </c>
      <c r="E49">
        <f>IF(COUNT(C49:D49)=2,D49-C49,"")</f>
        <v>-24.89195152161448</v>
      </c>
      <c r="H49">
        <v>11</v>
      </c>
      <c r="I49">
        <v>10</v>
      </c>
      <c r="J49">
        <f>100*298304/894387</f>
        <v>33.352899807354085</v>
      </c>
      <c r="K49">
        <f>100*91888/831371</f>
        <v>11.052586630998675</v>
      </c>
      <c r="L49">
        <f>IF(COUNT(J49:K49)=2,K49-J49,"")</f>
        <v>-22.30031317635541</v>
      </c>
      <c r="O49">
        <v>11</v>
      </c>
      <c r="P49">
        <v>10</v>
      </c>
      <c r="Q49">
        <f>100*252271/540552</f>
        <v>46.66914561411298</v>
      </c>
      <c r="R49">
        <f>100*228769/622486</f>
        <v>36.7508666861584</v>
      </c>
      <c r="S49">
        <f>IF(COUNT(Q49:R49)=2,R49-Q49,"")</f>
        <v>-9.918278927954574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100*31927/595535</f>
        <v>5.361061902323121</v>
      </c>
      <c r="E50">
        <f>IF(COUNT(C50:D50)=2,D50-C50,"")</f>
        <v>-37.15388663158219</v>
      </c>
      <c r="H50">
        <v>12</v>
      </c>
      <c r="I50">
        <v>11</v>
      </c>
      <c r="K50">
        <f>100*21886/805789</f>
        <v>2.716095652832193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100*85600/276298</f>
        <v>30.981042208050727</v>
      </c>
      <c r="S50">
        <f>IF(COUNT(Q50:R50)=2,R50-Q50,"")</f>
        <v>-16.690930699447915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100*43346/803781</f>
        <v>5.392762456440249</v>
      </c>
      <c r="E51">
        <f>IF(COUNT(C51:D51)=2,D51-C51,"")</f>
        <v>3.24170412574914</v>
      </c>
      <c r="H51">
        <v>13</v>
      </c>
      <c r="I51">
        <v>12</v>
      </c>
      <c r="J51">
        <f>100*63849/654587</f>
        <v>9.75408921961481</v>
      </c>
      <c r="K51">
        <f>100*30521/595695</f>
        <v>5.123595128379456</v>
      </c>
      <c r="L51">
        <f>IF(COUNT(J51:K51)=2,K51-J51,"")</f>
        <v>-4.630494091235354</v>
      </c>
      <c r="O51">
        <v>13</v>
      </c>
      <c r="P51">
        <v>12</v>
      </c>
      <c r="Q51">
        <f>100*326273/687294</f>
        <v>47.47211528108786</v>
      </c>
      <c r="R51">
        <f>100*26591/650679</f>
        <v>4.086654095183647</v>
      </c>
      <c r="S51">
        <f>IF(COUNT(Q51:R51)=2,R51-Q51,"")</f>
        <v>-43.38546118590421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100*41489/398302</f>
        <v>10.416467906262083</v>
      </c>
      <c r="E52">
        <f>IF(COUNT(C52:D52)=2,D52-C52,"")</f>
        <v>-2.024592064973362</v>
      </c>
      <c r="H52">
        <v>14</v>
      </c>
      <c r="I52">
        <v>13</v>
      </c>
      <c r="J52">
        <f>100*46518/257005</f>
        <v>18.100036964261395</v>
      </c>
      <c r="K52">
        <f>100*59223/302828</f>
        <v>19.55664601688087</v>
      </c>
      <c r="L52">
        <f>IF(COUNT(J52:K52)=2,K52-J52,"")</f>
        <v>1.4566090526194735</v>
      </c>
      <c r="O52">
        <v>14</v>
      </c>
      <c r="P52">
        <v>13</v>
      </c>
      <c r="Q52">
        <f>100*2347/627958</f>
        <v>0.37375111074307515</v>
      </c>
      <c r="R52">
        <f>100*2347/627958</f>
        <v>0.37375111074307515</v>
      </c>
      <c r="S52">
        <f>IF(COUNT(Q52:R52)=2,R52-Q52,"")</f>
        <v>0.0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100*184361/733495</f>
        <v>25.134595327848178</v>
      </c>
      <c r="E53">
        <f>IF(COUNT(C53:D53)=2,D53-C53,"")</f>
        <v>-28.792947218632673</v>
      </c>
      <c r="H53">
        <v>15</v>
      </c>
      <c r="I53">
        <v>14</v>
      </c>
      <c r="J53">
        <f>100*175137/618371</f>
        <v>28.322317831851752</v>
      </c>
      <c r="K53">
        <f>100*143919/613417</f>
        <v>23.46185384493746</v>
      </c>
      <c r="L53">
        <f>IF(COUNT(J53:K53)=2,K53-J53,"")</f>
        <v>-4.860463986914294</v>
      </c>
      <c r="O53">
        <v>15</v>
      </c>
      <c r="P53">
        <v>14</v>
      </c>
      <c r="Q53">
        <f>100*146769/359086</f>
        <v>40.872938516121486</v>
      </c>
      <c r="R53">
        <f>100*196356/506866</f>
        <v>38.73923285444279</v>
      </c>
      <c r="S53">
        <f>IF(COUNT(Q53:R53)=2,R53-Q53,"")</f>
        <v>-2.1337056616786967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100*71824/490361</f>
        <v>14.64716810676216</v>
      </c>
      <c r="E54">
        <f>IF(COUNT(C54:D54)=2,D54-C54,"")</f>
        <v>-36.81056588338562</v>
      </c>
      <c r="H54">
        <v>16</v>
      </c>
      <c r="I54">
        <v>15</v>
      </c>
      <c r="J54">
        <f>100*262686/530062</f>
        <v>49.55759892239021</v>
      </c>
      <c r="K54">
        <f>100*58563/550070</f>
        <v>10.646463177413784</v>
      </c>
      <c r="L54">
        <f>IF(COUNT(J54:K54)=2,K54-J54,"")</f>
        <v>-38.91113574497643</v>
      </c>
      <c r="O54">
        <v>16</v>
      </c>
      <c r="P54">
        <v>15</v>
      </c>
      <c r="Q54">
        <f>100*161630/350468</f>
        <v>46.11833320017805</v>
      </c>
      <c r="R54">
        <f>100*176453/499808</f>
        <v>35.304156796209746</v>
      </c>
      <c r="S54">
        <f>IF(COUNT(Q54:R54)=2,R54-Q54,"")</f>
        <v>-10.814176403968304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100*84490/519337</f>
        <v>16.26881966815382</v>
      </c>
      <c r="E55">
        <f>IF(COUNT(C55:D55)=2,D55-C55,"")</f>
        <v>-14.188050223978799</v>
      </c>
      <c r="H55">
        <v>17</v>
      </c>
      <c r="I55">
        <v>16</v>
      </c>
      <c r="J55">
        <f>100*201035/472489</f>
        <v>42.5480804844134</v>
      </c>
      <c r="K55">
        <f>100*211847/661976</f>
        <v>32.002217603055094</v>
      </c>
      <c r="L55">
        <f>IF(COUNT(J55:K55)=2,K55-J55,"")</f>
        <v>-10.545862881358303</v>
      </c>
      <c r="O55">
        <v>17</v>
      </c>
      <c r="P55">
        <v>16</v>
      </c>
      <c r="Q55">
        <f>100*10845/444486</f>
        <v>2.4398968696426886</v>
      </c>
      <c r="R55">
        <f>100*8890/434181</f>
        <v>2.0475331716496115</v>
      </c>
      <c r="S55">
        <f>IF(COUNT(Q55:R55)=2,R55-Q55,"")</f>
        <v>-0.39236369799307713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100*136435/798202</f>
        <v>17.09279104788011</v>
      </c>
      <c r="E56">
        <f>IF(COUNT(C56:D56)=2,D56-C56,"")</f>
        <v>-32.368027488350194</v>
      </c>
      <c r="H56">
        <v>18</v>
      </c>
      <c r="I56">
        <v>17</v>
      </c>
      <c r="K56">
        <f>100*204787/816751</f>
        <v>25.073369974447537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100*38245/415831</f>
        <v>9.197245996570722</v>
      </c>
      <c r="S56">
        <f>IF(COUNT(Q56:R56)=2,R56-Q56,"")</f>
        <v>-0.6060525398783518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100*30431/608988</f>
        <v>4.9969785939952835</v>
      </c>
      <c r="E57">
        <f>IF(COUNT(C57:D57)=2,D57-C57,"")</f>
        <v>-33.721753441574464</v>
      </c>
      <c r="H57">
        <v>19</v>
      </c>
      <c r="I57">
        <v>18</v>
      </c>
      <c r="J57">
        <f>100*171180/560014</f>
        <v>30.567092965533003</v>
      </c>
      <c r="K57">
        <f>100*122305/642665</f>
        <v>19.030910349871238</v>
      </c>
      <c r="L57">
        <f>IF(COUNT(J57:K57)=2,K57-J57,"")</f>
        <v>-11.536182615661765</v>
      </c>
      <c r="O57">
        <v>19</v>
      </c>
      <c r="P57">
        <v>18</v>
      </c>
      <c r="Q57">
        <f>100*169030/384674</f>
        <v>43.94110337584552</v>
      </c>
      <c r="R57">
        <f>100*161105/419021</f>
        <v>38.447953682512335</v>
      </c>
      <c r="S57">
        <f>IF(COUNT(Q57:R57)=2,R57-Q57,"")</f>
        <v>-5.493149693333187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100*92060/559266</f>
        <v>16.460861200215998</v>
      </c>
      <c r="E58">
        <f>IF(COUNT(C58:D58)=2,D58-C58,"")</f>
        <v>-24.965634364984982</v>
      </c>
      <c r="H58">
        <v>20</v>
      </c>
      <c r="I58">
        <v>19</v>
      </c>
      <c r="J58">
        <f>100*284748/588066</f>
        <v>48.42109559131118</v>
      </c>
      <c r="K58">
        <f>100*62725/568005</f>
        <v>11.043036592987738</v>
      </c>
      <c r="L58">
        <f>IF(COUNT(J58:K58)=2,K58-J58,"")</f>
        <v>-37.37805899832344</v>
      </c>
      <c r="O58">
        <v>20</v>
      </c>
      <c r="P58">
        <v>19</v>
      </c>
      <c r="Q58">
        <f>100*276241/622059</f>
        <v>44.40752404514684</v>
      </c>
      <c r="R58">
        <f>100*97515/491677</f>
        <v>19.833142489886654</v>
      </c>
      <c r="S58">
        <f>IF(COUNT(Q58:R58)=2,R58-Q58,"")</f>
        <v>-24.57438155526019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100*58677/192654</f>
        <v>30.457192687408515</v>
      </c>
      <c r="E59">
        <f>IF(COUNT(C59:D59)=2,D59-C59,"")</f>
        <v>-16.530849270146696</v>
      </c>
      <c r="H59">
        <v>21</v>
      </c>
      <c r="I59">
        <v>20</v>
      </c>
      <c r="J59">
        <f>100*380768/887907</f>
        <v>42.88377048497196</v>
      </c>
      <c r="K59">
        <f>100*255774/842297</f>
        <v>30.366248484798117</v>
      </c>
      <c r="L59">
        <f>IF(COUNT(J59:K59)=2,K59-J59,"")</f>
        <v>-12.517522000173845</v>
      </c>
      <c r="O59">
        <v>21</v>
      </c>
      <c r="P59">
        <v>20</v>
      </c>
      <c r="Q59">
        <f>100*102616/414261</f>
        <v>24.7708570200912</v>
      </c>
      <c r="R59">
        <f>100*76886/395897</f>
        <v>19.4207079114012</v>
      </c>
      <c r="S59">
        <f>IF(COUNT(Q59:R59)=2,R59-Q59,"")</f>
        <v>-5.350149108690001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100*83801/263305</f>
        <v>31.826588936784336</v>
      </c>
      <c r="E60">
        <f>IF(COUNT(C60:D60)=2,D60-C60,"")</f>
        <v>-12.242499566681591</v>
      </c>
      <c r="H60">
        <v>22</v>
      </c>
      <c r="I60">
        <v>21</v>
      </c>
      <c r="J60">
        <f>100*139592/266933</f>
        <v>52.29477059786538</v>
      </c>
      <c r="K60">
        <f>100*118283/337061</f>
        <v>35.092461008541484</v>
      </c>
      <c r="L60">
        <f>IF(COUNT(J60:K60)=2,K60-J60,"")</f>
        <v>-17.202309589323896</v>
      </c>
      <c r="O60">
        <v>22</v>
      </c>
      <c r="P60">
        <v>21</v>
      </c>
      <c r="Q60">
        <f>100*93353/177560</f>
        <v>52.57546744762334</v>
      </c>
      <c r="R60">
        <f>100*65314/178478</f>
        <v>36.5949864969352</v>
      </c>
      <c r="S60">
        <f>IF(COUNT(Q60:R60)=2,R60-Q60,"")</f>
        <v>-15.98048095068814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100*173834/629863</f>
        <v>27.598700034769465</v>
      </c>
      <c r="E61">
        <f>IF(COUNT(C61:D61)=2,D61-C61,"")</f>
        <v>-18.658956564755037</v>
      </c>
      <c r="H61">
        <v>23</v>
      </c>
      <c r="I61">
        <v>22</v>
      </c>
      <c r="J61">
        <f>100*307788/547933</f>
        <v>56.1725612438017</v>
      </c>
      <c r="K61">
        <f>100*99344/692414</f>
        <v>14.347485752743301</v>
      </c>
      <c r="L61">
        <f>IF(COUNT(J61:K61)=2,K61-J61,"")</f>
        <v>-41.8250754910584</v>
      </c>
      <c r="O61">
        <v>23</v>
      </c>
      <c r="P61">
        <v>22</v>
      </c>
      <c r="Q61">
        <f>100*1420/340312</f>
        <v>0.41726415759655844</v>
      </c>
      <c r="R61">
        <f>100*1420/340312</f>
        <v>0.41726415759655844</v>
      </c>
      <c r="S61">
        <f>IF(COUNT(Q61:R61)=2,R61-Q61,"")</f>
        <v>0.0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100*131924/831219</f>
        <v>15.871148277409443</v>
      </c>
      <c r="E62">
        <f>IF(COUNT(C62:D62)=2,D62-C62,"")</f>
        <v>-5.72651360788241</v>
      </c>
      <c r="H62">
        <v>24</v>
      </c>
      <c r="I62">
        <v>23</v>
      </c>
      <c r="J62">
        <f>100*403224/842602</f>
        <v>47.85462175499227</v>
      </c>
      <c r="K62">
        <f>100*172325/885032</f>
        <v>19.471047374558207</v>
      </c>
      <c r="L62">
        <f>IF(COUNT(J62:K62)=2,K62-J62,"")</f>
        <v>-28.383574380434066</v>
      </c>
      <c r="O62">
        <v>24</v>
      </c>
      <c r="P62">
        <v>23</v>
      </c>
      <c r="Q62">
        <f>100*127073/681026</f>
        <v>18.659052664655974</v>
      </c>
      <c r="R62">
        <f>100*13565/301053</f>
        <v>4.5058511292031636</v>
      </c>
      <c r="S62">
        <f>IF(COUNT(Q62:R62)=2,R62-Q62,"")</f>
        <v>-14.15320153545281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100*257468/722679</f>
        <v>35.62688275153976</v>
      </c>
      <c r="E63">
        <f>IF(COUNT(C63:D63)=2,D63-C63,"")</f>
        <v>-9.123895442324041</v>
      </c>
      <c r="H63">
        <v>25</v>
      </c>
      <c r="I63">
        <v>24</v>
      </c>
      <c r="J63">
        <f>100*334373/832460</f>
        <v>40.16685486389736</v>
      </c>
      <c r="K63">
        <f>100*43678/573664</f>
        <v>7.613864561834105</v>
      </c>
      <c r="L63">
        <f>IF(COUNT(J63:K63)=2,K63-J63,"")</f>
        <v>-32.55299030206326</v>
      </c>
      <c r="O63">
        <v>25</v>
      </c>
      <c r="P63">
        <v>24</v>
      </c>
      <c r="Q63">
        <f>100*69231/149628</f>
        <v>46.26874649129842</v>
      </c>
      <c r="R63">
        <f>100*163487/377651</f>
        <v>43.290498370188345</v>
      </c>
      <c r="S63">
        <f>IF(COUNT(Q63:R63)=2,R63-Q63,"")</f>
        <v>-2.9782481211100773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100*145648/728124</f>
        <v>20.003186270470415</v>
      </c>
      <c r="E64">
        <f>IF(COUNT(C64:D64)=2,D64-C64,"")</f>
        <v>-26.19068267112516</v>
      </c>
      <c r="H64">
        <v>26</v>
      </c>
      <c r="I64">
        <v>25</v>
      </c>
      <c r="J64">
        <f>100*93173/499879</f>
        <v>18.639110664780876</v>
      </c>
      <c r="K64">
        <f>100*34246/455717</f>
        <v>7.514751479536642</v>
      </c>
      <c r="L64">
        <f>IF(COUNT(J64:K64)=2,K64-J64,"")</f>
        <v>-11.124359185244234</v>
      </c>
      <c r="O64">
        <v>26</v>
      </c>
      <c r="P64">
        <v>25</v>
      </c>
      <c r="Q64">
        <f>100*287382/566887</f>
        <v>50.69475927301208</v>
      </c>
      <c r="R64">
        <f>100*188025/580338</f>
        <v>32.399222522047495</v>
      </c>
      <c r="S64">
        <f>IF(COUNT(Q64:R64)=2,R64-Q64,"")</f>
        <v>-18.295536750964587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100*100231/684219</f>
        <v>14.648964732052164</v>
      </c>
      <c r="E65">
        <f>IF(COUNT(C65:D65)=2,D65-C65,"")</f>
        <v>-10.616571507889105</v>
      </c>
      <c r="H65">
        <v>27</v>
      </c>
      <c r="I65">
        <v>26</v>
      </c>
      <c r="J65">
        <f>100*244313/656873</f>
        <v>37.19333874280112</v>
      </c>
      <c r="K65">
        <f>100*94058/582961</f>
        <v>16.13452700952551</v>
      </c>
      <c r="L65">
        <f>IF(COUNT(J65:K65)=2,K65-J65,"")</f>
        <v>-21.058811733275608</v>
      </c>
      <c r="O65">
        <v>27</v>
      </c>
      <c r="P65">
        <v>26</v>
      </c>
      <c r="Q65">
        <f>100*89767/349739</f>
        <v>25.6668544257289</v>
      </c>
      <c r="R65">
        <f>100*101750/427567</f>
        <v>23.797439933390557</v>
      </c>
      <c r="S65">
        <f>IF(COUNT(Q65:R65)=2,R65-Q65,"")</f>
        <v>-1.8694144923383433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100*111939/466972</f>
        <v>23.971244528579874</v>
      </c>
      <c r="E66">
        <f>IF(COUNT(C66:D66)=2,D66-C66,"")</f>
        <v>-2.098483235942428</v>
      </c>
      <c r="H66">
        <v>28</v>
      </c>
      <c r="I66">
        <v>27</v>
      </c>
      <c r="J66">
        <f>100*138608/347102</f>
        <v>39.93293037781402</v>
      </c>
      <c r="K66">
        <f>100*183851/560254</f>
        <v>32.81565147236789</v>
      </c>
      <c r="L66">
        <f>IF(COUNT(J66:K66)=2,K66-J66,"")</f>
        <v>-7.117278905446128</v>
      </c>
      <c r="O66">
        <v>28</v>
      </c>
      <c r="P66">
        <v>27</v>
      </c>
      <c r="Q66">
        <f>100*334/323134</f>
        <v>0.10336269163876287</v>
      </c>
      <c r="R66">
        <f>100*334/323134</f>
        <v>0.10336269163876287</v>
      </c>
      <c r="S66">
        <f>IF(COUNT(Q66:R66)=2,R66-Q66,"")</f>
        <v>0.0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100*212484/718968</f>
        <v>29.554027439329705</v>
      </c>
      <c r="E67">
        <f>IF(COUNT(C67:D67)=2,D67-C67,"")</f>
        <v>-15.39975886784006</v>
      </c>
      <c r="H67">
        <v>29</v>
      </c>
      <c r="I67">
        <v>28</v>
      </c>
      <c r="J67">
        <f>100*198367/384779</f>
        <v>51.553489145717414</v>
      </c>
      <c r="K67">
        <f>100*215848/671524</f>
        <v>32.143006057862415</v>
      </c>
      <c r="L67">
        <f>IF(COUNT(J67:K67)=2,K67-J67,"")</f>
        <v>-19.410483087855</v>
      </c>
      <c r="O67">
        <v>29</v>
      </c>
      <c r="P67">
        <v>28</v>
      </c>
      <c r="Q67">
        <f>100*145808/355081</f>
        <v>41.063306682137316</v>
      </c>
      <c r="R67">
        <f>100*133536/367537</f>
        <v>36.332668547656425</v>
      </c>
      <c r="S67">
        <f>IF(COUNT(Q67:R67)=2,R67-Q67,"")</f>
        <v>-4.730638134480891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100*20220/682573</f>
        <v>2.9623205137032964</v>
      </c>
      <c r="E68">
        <f>IF(COUNT(C68:D68)=2,D68-C68,"")</f>
        <v>-0.8966715719380383</v>
      </c>
      <c r="H68">
        <v>30</v>
      </c>
      <c r="I68">
        <v>29</v>
      </c>
      <c r="J68">
        <f>100*78716/427068</f>
        <v>18.431725158522763</v>
      </c>
      <c r="K68">
        <f>100*115871/590237</f>
        <v>19.63126676233445</v>
      </c>
      <c r="L68">
        <f>IF(COUNT(J68:K68)=2,K68-J68,"")</f>
        <v>1.1995416038116886</v>
      </c>
      <c r="O68">
        <v>30</v>
      </c>
      <c r="P68">
        <v>29</v>
      </c>
      <c r="Q68">
        <f>100*234882/519580</f>
        <v>45.20612802648293</v>
      </c>
      <c r="R68">
        <f>100*151227/617022</f>
        <v>24.50917471338137</v>
      </c>
      <c r="S68">
        <f>IF(COUNT(Q68:R68)=2,R68-Q68,"")</f>
        <v>-20.69695331310156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100*90577/434448</f>
        <v>20.848755202003463</v>
      </c>
      <c r="E69">
        <f>IF(COUNT(C69:D69)=2,D69-C69,"")</f>
        <v>-4.733781087980251</v>
      </c>
      <c r="H69">
        <v>31</v>
      </c>
      <c r="I69">
        <v>30</v>
      </c>
      <c r="J69">
        <f>100*150446/466352</f>
        <v>32.26018115071877</v>
      </c>
      <c r="K69">
        <f>100*111746/460735</f>
        <v>24.253855253019633</v>
      </c>
      <c r="L69">
        <f>IF(COUNT(J69:K69)=2,K69-J69,"")</f>
        <v>-8.006325897699138</v>
      </c>
      <c r="O69">
        <v>31</v>
      </c>
      <c r="P69">
        <v>30</v>
      </c>
      <c r="Q69">
        <f>100*3881/600979</f>
        <v>0.6457796362268898</v>
      </c>
      <c r="R69">
        <f>100*3881/600979</f>
        <v>0.6457796362268898</v>
      </c>
      <c r="S69">
        <f>IF(COUNT(Q69:R69)=2,R69-Q69,"")</f>
        <v>0.0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17.9873415707452</v>
      </c>
      <c r="E70">
        <f>IF(COUNT(E39:E69)&gt;0,AVERAGE(E39:E69),"")</f>
        <v>-13.855486129964342</v>
      </c>
      <c r="H70" t="s">
        <v>5</v>
      </c>
      <c r="J70">
        <f>IF(COUNT(J39:J69)&gt;0,AVERAGE(J39:J69),"")</f>
        <v>33.41421734972294</v>
      </c>
      <c r="K70">
        <f>IF(COUNT(K39:K69)&gt;0,AVERAGE(K39:K69),"")</f>
        <v>18.37902661856671</v>
      </c>
      <c r="L70">
        <f>IF(COUNT(L39:L69)&gt;0,AVERAGE(L39:L69),"")</f>
        <v>-14.725929089437134</v>
      </c>
      <c r="O70" t="s">
        <v>5</v>
      </c>
      <c r="Q70">
        <f>IF(COUNT(Q39:Q69)&gt;0,AVERAGE(Q39:Q69),"")</f>
        <v>33.06664971973761</v>
      </c>
      <c r="R70">
        <f>IF(COUNT(R39:R69)&gt;0,AVERAGE(R39:R69),"")</f>
        <v>22.86515294933916</v>
      </c>
      <c r="S70">
        <f>IF(COUNT(S39:S69)&gt;0,AVERAGE(S39:S69),"")</f>
        <v>-10.201496770398457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100*218224/749560</f>
        <v>29.11361331981429</v>
      </c>
      <c r="E75">
        <f>IF(COUNT(C75:D75)=2,D75-C75,"")</f>
        <v>-21.50195769936107</v>
      </c>
      <c r="H75">
        <v>1</v>
      </c>
      <c r="I75">
        <v>0</v>
      </c>
      <c r="J75">
        <f>100*432733/796677</f>
        <v>54.317245257488295</v>
      </c>
      <c r="K75">
        <f>100*49313/630641</f>
        <v>7.8195042821510174</v>
      </c>
      <c r="L75">
        <f>IF(COUNT(J75:K75)=2,K75-J75,"")</f>
        <v>-46.49774097533728</v>
      </c>
      <c r="O75">
        <v>1</v>
      </c>
      <c r="P75">
        <v>0</v>
      </c>
      <c r="Q75">
        <f>100*20655/569971</f>
        <v>3.623868582787545</v>
      </c>
      <c r="R75">
        <f>100*33846/563103</f>
        <v>6.010623278512102</v>
      </c>
      <c r="S75">
        <f>IF(COUNT(Q75:R75)=2,R75-Q75,"")</f>
        <v>2.386754695724557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100*168989/607972</f>
        <v>27.79552347805491</v>
      </c>
      <c r="E76">
        <f>IF(COUNT(C76:D76)=2,D76-C76,"")</f>
        <v>-23.174642791862368</v>
      </c>
      <c r="H76">
        <v>2</v>
      </c>
      <c r="I76">
        <v>1</v>
      </c>
      <c r="J76">
        <f>100*305577/591060</f>
        <v>51.69982742868744</v>
      </c>
      <c r="K76">
        <f>100*255315/763749</f>
        <v>33.42917633934709</v>
      </c>
      <c r="L76">
        <f>IF(COUNT(J76:K76)=2,K76-J76,"")</f>
        <v>-18.270651089340355</v>
      </c>
      <c r="O76">
        <v>2</v>
      </c>
      <c r="P76">
        <v>1</v>
      </c>
      <c r="Q76">
        <f>100*111778/257794</f>
        <v>43.35942651884838</v>
      </c>
      <c r="R76">
        <f>100*94107/252684</f>
        <v>37.24295958588593</v>
      </c>
      <c r="S76">
        <f>IF(COUNT(Q76:R76)=2,R76-Q76,"")</f>
        <v>-6.116466932962453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100*11302/945430</f>
        <v>1.1954348814825</v>
      </c>
      <c r="E77">
        <f>IF(COUNT(C77:D77)=2,D77-C77,"")</f>
        <v>-3.0559979148583585</v>
      </c>
      <c r="H77">
        <v>3</v>
      </c>
      <c r="I77">
        <v>2</v>
      </c>
      <c r="J77">
        <f>100*244646/584205</f>
        <v>41.87673847365223</v>
      </c>
      <c r="K77">
        <f>100*238257/910595</f>
        <v>26.164980040522956</v>
      </c>
      <c r="L77">
        <f>IF(COUNT(J77:K77)=2,K77-J77,"")</f>
        <v>-15.711758433129276</v>
      </c>
      <c r="O77">
        <v>3</v>
      </c>
      <c r="P77">
        <v>2</v>
      </c>
      <c r="Q77">
        <f>100*92329/194806</f>
        <v>47.395357432522616</v>
      </c>
      <c r="R77">
        <f>100*19001/65541</f>
        <v>28.991013258876123</v>
      </c>
      <c r="S77">
        <f>IF(COUNT(Q77:R77)=2,R77-Q77,"")</f>
        <v>-18.404344173646493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100*266019/1023951</f>
        <v>25.979661136128584</v>
      </c>
      <c r="E78">
        <f>IF(COUNT(C78:D78)=2,D78-C78,"")</f>
        <v>-28.784311434390155</v>
      </c>
      <c r="H78">
        <v>4</v>
      </c>
      <c r="I78">
        <v>3</v>
      </c>
      <c r="J78">
        <f>100*316744/731828</f>
        <v>43.281208152735346</v>
      </c>
      <c r="K78">
        <f>100*162782/851522</f>
        <v>19.116593581845212</v>
      </c>
      <c r="L78">
        <f>IF(COUNT(J78:K78)=2,K78-J78,"")</f>
        <v>-24.164614570890134</v>
      </c>
      <c r="O78">
        <v>4</v>
      </c>
      <c r="P78">
        <v>3</v>
      </c>
      <c r="Q78">
        <f>100*240086/489338</f>
        <v>49.06342855040892</v>
      </c>
      <c r="R78">
        <f>100*213151/676999</f>
        <v>31.484684615486877</v>
      </c>
      <c r="S78">
        <f>IF(COUNT(Q78:R78)=2,R78-Q78,"")</f>
        <v>-17.578743934922045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100*162304/567214</f>
        <v>28.614244359271808</v>
      </c>
      <c r="E79">
        <f>IF(COUNT(C79:D79)=2,D79-C79,"")</f>
        <v>-7.538430993262189</v>
      </c>
      <c r="H79">
        <v>5</v>
      </c>
      <c r="I79">
        <v>4</v>
      </c>
      <c r="J79">
        <f>100*174388/383201</f>
        <v>45.50823197225477</v>
      </c>
      <c r="K79">
        <f>100*169208/571127</f>
        <v>29.627035668073827</v>
      </c>
      <c r="L79">
        <f>IF(COUNT(J79:K79)=2,K79-J79,"")</f>
        <v>-15.881196304180943</v>
      </c>
      <c r="O79">
        <v>5</v>
      </c>
      <c r="P79">
        <v>4</v>
      </c>
      <c r="Q79">
        <f>100*426762/872765</f>
        <v>48.89769869323357</v>
      </c>
      <c r="R79">
        <f>100*36569/503099</f>
        <v>7.268748298048695</v>
      </c>
      <c r="S79">
        <f>IF(COUNT(Q79:R79)=2,R79-Q79,"")</f>
        <v>-41.62895039518488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100*61989/587750</f>
        <v>10.546831135686942</v>
      </c>
      <c r="E80">
        <f>IF(COUNT(C80:D80)=2,D80-C80,"")</f>
        <v>-24.014395701595646</v>
      </c>
      <c r="H80">
        <v>6</v>
      </c>
      <c r="I80">
        <v>5</v>
      </c>
      <c r="J80">
        <f>100*124193/417286</f>
        <v>29.76208164184756</v>
      </c>
      <c r="K80">
        <f>100*122010/443975</f>
        <v>27.481277098935752</v>
      </c>
      <c r="L80">
        <f>IF(COUNT(J80:K80)=2,K80-J80,"")</f>
        <v>-2.280804542911806</v>
      </c>
      <c r="O80">
        <v>6</v>
      </c>
      <c r="P80">
        <v>5</v>
      </c>
      <c r="Q80">
        <f>100*275977/710313</f>
        <v>38.85287190294983</v>
      </c>
      <c r="R80">
        <f>100*188868/667086</f>
        <v>28.312391505742887</v>
      </c>
      <c r="S80">
        <f>IF(COUNT(Q80:R80)=2,R80-Q80,"")</f>
        <v>-10.540480397206942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100*22487/509775</f>
        <v>4.41116178706292</v>
      </c>
      <c r="E81">
        <f>IF(COUNT(C81:D81)=2,D81-C81,"")</f>
        <v>2.4774891438153475</v>
      </c>
      <c r="H81">
        <v>7</v>
      </c>
      <c r="I81">
        <v>6</v>
      </c>
      <c r="J81">
        <f>100*4575/667678</f>
        <v>0.6852105356174683</v>
      </c>
      <c r="K81">
        <f>100*5224/814410</f>
        <v>0.6414459547402414</v>
      </c>
      <c r="L81">
        <f>IF(COUNT(J81:K81)=2,K81-J81,"")</f>
        <v>-0.0437645808772269</v>
      </c>
      <c r="O81">
        <v>7</v>
      </c>
      <c r="P81">
        <v>6</v>
      </c>
      <c r="Q81">
        <f>100*256619/495194</f>
        <v>51.82191222026115</v>
      </c>
      <c r="R81">
        <f>100*190177/602602</f>
        <v>31.55930448289252</v>
      </c>
      <c r="S81">
        <f>IF(COUNT(Q81:R81)=2,R81-Q81,"")</f>
        <v>-20.262607737368626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100*13197/589000</f>
        <v>2.240577249575552</v>
      </c>
      <c r="E82">
        <f>IF(COUNT(C82:D82)=2,D82-C82,"")</f>
        <v>1.359940223834385</v>
      </c>
      <c r="H82">
        <v>8</v>
      </c>
      <c r="I82">
        <v>7</v>
      </c>
      <c r="J82">
        <f>100*7536/581531</f>
        <v>1.2958896430284885</v>
      </c>
      <c r="K82">
        <f>100*6417/508042</f>
        <v>1.2630845481279107</v>
      </c>
      <c r="L82">
        <f>IF(COUNT(J82:K82)=2,K82-J82,"")</f>
        <v>-0.032805094900577814</v>
      </c>
      <c r="O82">
        <v>8</v>
      </c>
      <c r="P82">
        <v>7</v>
      </c>
      <c r="Q82">
        <f>100*168583/355732</f>
        <v>47.39045123857286</v>
      </c>
      <c r="R82">
        <f>100*178726/505621</f>
        <v>35.34781980969936</v>
      </c>
      <c r="S82">
        <f>IF(COUNT(Q82:R82)=2,R82-Q82,"")</f>
        <v>-12.042631428873499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100*177251/491813</f>
        <v>36.04032426959027</v>
      </c>
      <c r="E83">
        <f>IF(COUNT(C83:D83)=2,D83-C83,"")</f>
        <v>-15.712934130505388</v>
      </c>
      <c r="H83">
        <v>9</v>
      </c>
      <c r="I83">
        <v>8</v>
      </c>
      <c r="J83">
        <f>100*224416/408350</f>
        <v>54.95677727439696</v>
      </c>
      <c r="K83">
        <f>100*231862/762085</f>
        <v>30.424690159234206</v>
      </c>
      <c r="L83">
        <f>IF(COUNT(J83:K83)=2,K83-J83,"")</f>
        <v>-24.532087115162756</v>
      </c>
      <c r="O83">
        <v>9</v>
      </c>
      <c r="P83">
        <v>8</v>
      </c>
      <c r="Q83">
        <f>100*66103/140560</f>
        <v>47.02831531018782</v>
      </c>
      <c r="R83">
        <f>100*158760/399188</f>
        <v>39.770734591220176</v>
      </c>
      <c r="S83">
        <f>IF(COUNT(Q83:R83)=2,R83-Q83,"")</f>
        <v>-7.257580718967645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100*12911/808653</f>
        <v>1.596605713451876</v>
      </c>
      <c r="E84">
        <f>IF(COUNT(C84:D84)=2,D84-C84,"")</f>
        <v>-13.800402530001028</v>
      </c>
      <c r="H84">
        <v>10</v>
      </c>
      <c r="I84">
        <v>9</v>
      </c>
      <c r="J84">
        <f>100*472599/885198</f>
        <v>53.389072275355346</v>
      </c>
      <c r="K84">
        <f>100*128645/938027</f>
        <v>13.714423998456335</v>
      </c>
      <c r="L84">
        <f>IF(COUNT(J84:K84)=2,K84-J84,"")</f>
        <v>-39.67464827689901</v>
      </c>
      <c r="O84">
        <v>10</v>
      </c>
      <c r="P84">
        <v>9</v>
      </c>
      <c r="Q84">
        <f>100*6243/543809</f>
        <v>1.1480133649866038</v>
      </c>
      <c r="R84">
        <f>100*6243/543809</f>
        <v>1.1480133649866038</v>
      </c>
      <c r="S84">
        <f>IF(COUNT(Q84:R84)=2,R84-Q84,"")</f>
        <v>0.0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100*11107/699274</f>
        <v>1.5883616436475545</v>
      </c>
      <c r="E85">
        <f>IF(COUNT(C85:D85)=2,D85-C85,"")</f>
        <v>-49.67063500982657</v>
      </c>
      <c r="H85">
        <v>11</v>
      </c>
      <c r="I85">
        <v>10</v>
      </c>
      <c r="J85">
        <f>100*370148/619144</f>
        <v>59.783830578992934</v>
      </c>
      <c r="K85">
        <f>100*31936/673461</f>
        <v>4.7420711815532</v>
      </c>
      <c r="L85">
        <f>IF(COUNT(J85:K85)=2,K85-J85,"")</f>
        <v>-55.04175939743973</v>
      </c>
      <c r="O85">
        <v>11</v>
      </c>
      <c r="P85">
        <v>10</v>
      </c>
      <c r="Q85">
        <f>100*225999/413085</f>
        <v>54.71004756890228</v>
      </c>
      <c r="R85">
        <f>100*264754/800962</f>
        <v>33.05450196139142</v>
      </c>
      <c r="S85">
        <f>IF(COUNT(Q85:R85)=2,R85-Q85,"")</f>
        <v>-21.65554560751086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100*50270/843005</f>
        <v>5.963191202899153</v>
      </c>
      <c r="E86">
        <f>IF(COUNT(C86:D86)=2,D86-C86,"")</f>
        <v>-47.65502275941381</v>
      </c>
      <c r="H86">
        <v>12</v>
      </c>
      <c r="I86">
        <v>11</v>
      </c>
      <c r="J86">
        <f>100*303732/544372</f>
        <v>55.79493434636609</v>
      </c>
      <c r="K86">
        <f>100*215654/786964</f>
        <v>27.403286554404012</v>
      </c>
      <c r="L86">
        <f>IF(COUNT(J86:K86)=2,K86-J86,"")</f>
        <v>-28.39164779196208</v>
      </c>
      <c r="O86">
        <v>12</v>
      </c>
      <c r="P86">
        <v>11</v>
      </c>
      <c r="Q86">
        <f>100*176887/390857</f>
        <v>45.25619344159117</v>
      </c>
      <c r="R86">
        <f>100*178539/449289</f>
        <v>39.73811956224168</v>
      </c>
      <c r="S86">
        <f>IF(COUNT(Q86:R86)=2,R86-Q86,"")</f>
        <v>-5.518073879349494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100*11518/738798</f>
        <v>1.5590188387082802</v>
      </c>
      <c r="E87">
        <f>IF(COUNT(C87:D87)=2,D87-C87,"")</f>
        <v>0.0</v>
      </c>
      <c r="H87">
        <v>13</v>
      </c>
      <c r="I87">
        <v>12</v>
      </c>
      <c r="J87">
        <f>100*302007/670149</f>
        <v>45.06564957942189</v>
      </c>
      <c r="K87">
        <f>100*74532/700422</f>
        <v>10.641013560396447</v>
      </c>
      <c r="L87">
        <f>IF(COUNT(J87:K87)=2,K87-J87,"")</f>
        <v>-34.42463601902544</v>
      </c>
      <c r="O87">
        <v>13</v>
      </c>
      <c r="P87">
        <v>12</v>
      </c>
      <c r="Q87">
        <f>100*187062/769706</f>
        <v>24.30304557844164</v>
      </c>
      <c r="R87">
        <f>100*112418/589532</f>
        <v>19.06902424295882</v>
      </c>
      <c r="S87">
        <f>IF(COUNT(Q87:R87)=2,R87-Q87,"")</f>
        <v>-5.234021335482819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100*15666/431457</f>
        <v>3.6309527948323934</v>
      </c>
      <c r="E88">
        <f>IF(COUNT(C88:D88)=2,D88-C88,"")</f>
        <v>-2.440408805098924</v>
      </c>
      <c r="H88">
        <v>14</v>
      </c>
      <c r="I88">
        <v>13</v>
      </c>
      <c r="J88">
        <f>100*112082/470769</f>
        <v>23.808279644581525</v>
      </c>
      <c r="K88">
        <f>100*65376/414316</f>
        <v>15.77926027476612</v>
      </c>
      <c r="L88">
        <f>IF(COUNT(J88:K88)=2,K88-J88,"")</f>
        <v>-8.029019369815405</v>
      </c>
      <c r="O88">
        <v>14</v>
      </c>
      <c r="P88">
        <v>13</v>
      </c>
      <c r="Q88">
        <f>100*77933/602059</f>
        <v>12.94441242469592</v>
      </c>
      <c r="R88">
        <f>100*125051/795009</f>
        <v>15.729507464695368</v>
      </c>
      <c r="S88">
        <f>IF(COUNT(Q88:R88)=2,R88-Q88,"")</f>
        <v>2.785095039999449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100*71812/810917</f>
        <v>8.855653537908319</v>
      </c>
      <c r="E89">
        <f>IF(COUNT(C89:D89)=2,D89-C89,"")</f>
        <v>-11.697482071999508</v>
      </c>
      <c r="H89">
        <v>15</v>
      </c>
      <c r="I89">
        <v>14</v>
      </c>
      <c r="J89">
        <f>100*79792/480516</f>
        <v>16.605482439710645</v>
      </c>
      <c r="K89">
        <f>100*145394/632964</f>
        <v>22.97034270511435</v>
      </c>
      <c r="L89">
        <f>IF(COUNT(J89:K89)=2,K89-J89,"")</f>
        <v>6.364860265403706</v>
      </c>
      <c r="O89">
        <v>15</v>
      </c>
      <c r="P89">
        <v>14</v>
      </c>
      <c r="Q89">
        <f>100*175395/343809</f>
        <v>51.015243929042</v>
      </c>
      <c r="R89">
        <f>100*228297/576753</f>
        <v>39.58314911235832</v>
      </c>
      <c r="S89">
        <f>IF(COUNT(Q89:R89)=2,R89-Q89,"")</f>
        <v>-11.43209481668368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100*266487/1004088</f>
        <v>26.540203647489065</v>
      </c>
      <c r="E90">
        <f>IF(COUNT(C90:D90)=2,D90-C90,"")</f>
        <v>-31.04576607834351</v>
      </c>
      <c r="H90">
        <v>16</v>
      </c>
      <c r="I90">
        <v>15</v>
      </c>
      <c r="J90">
        <f>100*331166/636513</f>
        <v>52.028159676235994</v>
      </c>
      <c r="K90">
        <f>100*102812/783776</f>
        <v>13.117523374025232</v>
      </c>
      <c r="L90">
        <f>IF(COUNT(J90:K90)=2,K90-J90,"")</f>
        <v>-38.91063630221076</v>
      </c>
      <c r="O90">
        <v>16</v>
      </c>
      <c r="P90">
        <v>15</v>
      </c>
      <c r="Q90">
        <f>100*123775/294038</f>
        <v>42.0948992987301</v>
      </c>
      <c r="R90">
        <f>100*219699/524839</f>
        <v>41.86026571958258</v>
      </c>
      <c r="S90">
        <f>IF(COUNT(Q90:R90)=2,R90-Q90,"")</f>
        <v>-0.2346335791475198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100*275019/843977</f>
        <v>32.58607758268294</v>
      </c>
      <c r="E91">
        <f>IF(COUNT(C91:D91)=2,D91-C91,"")</f>
        <v>-8.545937367941278</v>
      </c>
      <c r="H91">
        <v>17</v>
      </c>
      <c r="I91">
        <v>16</v>
      </c>
      <c r="J91">
        <f>100*2558/107131</f>
        <v>2.3877309088872503</v>
      </c>
      <c r="K91">
        <f>100*2558/107131</f>
        <v>2.3877309088872503</v>
      </c>
      <c r="L91">
        <f>IF(COUNT(J91:K91)=2,K91-J91,"")</f>
        <v>0.0</v>
      </c>
      <c r="O91">
        <v>17</v>
      </c>
      <c r="P91">
        <v>16</v>
      </c>
      <c r="Q91">
        <f>100*18236/388369</f>
        <v>4.695534401561401</v>
      </c>
      <c r="R91">
        <f>100*24992/444521</f>
        <v>5.622231570611962</v>
      </c>
      <c r="S91">
        <f>IF(COUNT(Q91:R91)=2,R91-Q91,"")</f>
        <v>0.926697169050561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100*191879/1116087</f>
        <v>17.19211853556219</v>
      </c>
      <c r="E92">
        <f>IF(COUNT(C92:D92)=2,D92-C92,"")</f>
        <v>-34.32220904652026</v>
      </c>
      <c r="H92">
        <v>18</v>
      </c>
      <c r="I92">
        <v>17</v>
      </c>
      <c r="K92">
        <f>100*54423/594344</f>
        <v>9.156818273592398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100*80786/511061</f>
        <v>15.807506344643791</v>
      </c>
      <c r="S92">
        <f>IF(COUNT(Q92:R92)=2,R92-Q92,"")</f>
        <v>-2.206416703075867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100*132803/923167</f>
        <v>14.385587873050055</v>
      </c>
      <c r="E93">
        <f>IF(COUNT(C93:D93)=2,D93-C93,"")</f>
        <v>-34.72290132765014</v>
      </c>
      <c r="H93">
        <v>19</v>
      </c>
      <c r="I93">
        <v>18</v>
      </c>
      <c r="J93">
        <f>100*98670/626756</f>
        <v>15.742968555546337</v>
      </c>
      <c r="K93">
        <f>100*40048/711633</f>
        <v>5.627619854616073</v>
      </c>
      <c r="L93">
        <f>IF(COUNT(J93:K93)=2,K93-J93,"")</f>
        <v>-10.115348700930264</v>
      </c>
      <c r="O93">
        <v>19</v>
      </c>
      <c r="P93">
        <v>18</v>
      </c>
      <c r="Q93">
        <f>100*176507/342598</f>
        <v>51.52014897927017</v>
      </c>
      <c r="R93">
        <f>100*163781/409365</f>
        <v>40.00854982717135</v>
      </c>
      <c r="S93">
        <f>IF(COUNT(Q93:R93)=2,R93-Q93,"")</f>
        <v>-11.511599152098817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100*195320/875032</f>
        <v>22.321469386262446</v>
      </c>
      <c r="E94">
        <f>IF(COUNT(C94:D94)=2,D94-C94,"")</f>
        <v>-27.860406542248402</v>
      </c>
      <c r="H94">
        <v>20</v>
      </c>
      <c r="I94">
        <v>19</v>
      </c>
      <c r="J94">
        <f>100*63724/294932</f>
        <v>21.606336375842567</v>
      </c>
      <c r="K94">
        <f>100*81012/511583</f>
        <v>15.835553566088006</v>
      </c>
      <c r="L94">
        <f>IF(COUNT(J94:K94)=2,K94-J94,"")</f>
        <v>-5.770782809754561</v>
      </c>
      <c r="O94">
        <v>20</v>
      </c>
      <c r="P94">
        <v>19</v>
      </c>
      <c r="Q94">
        <f>100*271008/594768</f>
        <v>45.565329674763944</v>
      </c>
      <c r="R94">
        <f>100*131480/490512</f>
        <v>26.804644942427505</v>
      </c>
      <c r="S94">
        <f>IF(COUNT(Q94:R94)=2,R94-Q94,"")</f>
        <v>-18.76068473233644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100*236516/937663</f>
        <v>25.223987722667953</v>
      </c>
      <c r="E95">
        <f>IF(COUNT(C95:D95)=2,D95-C95,"")</f>
        <v>-29.481713777007517</v>
      </c>
      <c r="H95">
        <v>21</v>
      </c>
      <c r="I95">
        <v>20</v>
      </c>
      <c r="J95">
        <f>100*465002/826011</f>
        <v>56.29489195664465</v>
      </c>
      <c r="K95">
        <f>100*164008/799470</f>
        <v>20.51459091648217</v>
      </c>
      <c r="L95">
        <f>IF(COUNT(J95:K95)=2,K95-J95,"")</f>
        <v>-35.78030104016248</v>
      </c>
      <c r="O95">
        <v>21</v>
      </c>
      <c r="P95">
        <v>20</v>
      </c>
      <c r="Q95">
        <f>100*230728/471359</f>
        <v>48.9495267938026</v>
      </c>
      <c r="R95">
        <f>100*96664/505309</f>
        <v>19.129681046646706</v>
      </c>
      <c r="S95">
        <f>IF(COUNT(Q95:R95)=2,R95-Q95,"")</f>
        <v>-29.81984574715589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100*86173/255445</f>
        <v>33.73446338742195</v>
      </c>
      <c r="E96">
        <f>IF(COUNT(C96:D96)=2,D96-C96,"")</f>
        <v>-7.32233458324604</v>
      </c>
      <c r="H96">
        <v>22</v>
      </c>
      <c r="I96">
        <v>21</v>
      </c>
      <c r="J96">
        <f>100*144864/290419</f>
        <v>49.881033954390034</v>
      </c>
      <c r="K96">
        <f>100*174384/491656</f>
        <v>35.46870169386726</v>
      </c>
      <c r="L96">
        <f>IF(COUNT(J96:K96)=2,K96-J96,"")</f>
        <v>-14.412332260522774</v>
      </c>
      <c r="O96">
        <v>22</v>
      </c>
      <c r="P96">
        <v>21</v>
      </c>
      <c r="Q96">
        <f>100*25278/69101</f>
        <v>36.58123616156061</v>
      </c>
      <c r="R96">
        <f>100*139612/418878</f>
        <v>33.32999107138594</v>
      </c>
      <c r="S96">
        <f>IF(COUNT(Q96:R96)=2,R96-Q96,"")</f>
        <v>-3.2512450901746703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100*204304/919917</f>
        <v>22.208960156188002</v>
      </c>
      <c r="E97">
        <f>IF(COUNT(C97:D97)=2,D97-C97,"")</f>
        <v>-21.274342115812768</v>
      </c>
      <c r="H97">
        <v>23</v>
      </c>
      <c r="I97">
        <v>22</v>
      </c>
      <c r="J97">
        <f>100*455714/839395</f>
        <v>54.29076894668184</v>
      </c>
      <c r="K97">
        <f>100*359946/1204421</f>
        <v>29.885397215757614</v>
      </c>
      <c r="L97">
        <f>IF(COUNT(J97:K97)=2,K97-J97,"")</f>
        <v>-24.405371730924223</v>
      </c>
      <c r="O97">
        <v>23</v>
      </c>
      <c r="P97">
        <v>22</v>
      </c>
      <c r="Q97">
        <f>100*745/388450</f>
        <v>0.1917878748873729</v>
      </c>
      <c r="R97">
        <f>100*745/388450</f>
        <v>0.1917878748873729</v>
      </c>
      <c r="S97">
        <f>IF(COUNT(Q97:R97)=2,R97-Q97,"")</f>
        <v>0.0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100*226118/1057154</f>
        <v>21.389315085597747</v>
      </c>
      <c r="E98">
        <f>IF(COUNT(C98:D98)=2,D98-C98,"")</f>
        <v>-4.891454929829763</v>
      </c>
      <c r="H98">
        <v>24</v>
      </c>
      <c r="I98">
        <v>23</v>
      </c>
      <c r="J98">
        <f>100*361494/762974</f>
        <v>47.37959615924002</v>
      </c>
      <c r="K98">
        <f>100*64350/852680</f>
        <v>7.546793638879767</v>
      </c>
      <c r="L98">
        <f>IF(COUNT(J98:K98)=2,K98-J98,"")</f>
        <v>-39.832802520360254</v>
      </c>
      <c r="O98">
        <v>24</v>
      </c>
      <c r="P98">
        <v>23</v>
      </c>
      <c r="Q98">
        <f>100*292810/722778</f>
        <v>40.51174772890155</v>
      </c>
      <c r="R98">
        <f>100*6970/666988</f>
        <v>1.0449963117777232</v>
      </c>
      <c r="S98">
        <f>IF(COUNT(Q98:R98)=2,R98-Q98,"")</f>
        <v>-39.466751417123824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100*66521/472906</f>
        <v>14.066431806743834</v>
      </c>
      <c r="E99">
        <f>IF(COUNT(C99:D99)=2,D99-C99,"")</f>
        <v>-28.50163929098555</v>
      </c>
      <c r="H99">
        <v>25</v>
      </c>
      <c r="I99">
        <v>24</v>
      </c>
      <c r="J99">
        <f>100*297339/579923</f>
        <v>51.27215164771875</v>
      </c>
      <c r="K99">
        <f>100*122307/625816</f>
        <v>19.543603870786303</v>
      </c>
      <c r="L99">
        <f>IF(COUNT(J99:K99)=2,K99-J99,"")</f>
        <v>-31.728547776932448</v>
      </c>
      <c r="O99">
        <v>25</v>
      </c>
      <c r="P99">
        <v>24</v>
      </c>
      <c r="Q99">
        <f>100*194348/434877</f>
        <v>44.69033772767932</v>
      </c>
      <c r="R99">
        <f>100*158402/475704</f>
        <v>33.29843768393791</v>
      </c>
      <c r="S99">
        <f>IF(COUNT(Q99:R99)=2,R99-Q99,"")</f>
        <v>-11.391900043741408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100*166566/848282</f>
        <v>19.635687188930095</v>
      </c>
      <c r="E100">
        <f>IF(COUNT(C100:D100)=2,D100-C100,"")</f>
        <v>-39.952277098150475</v>
      </c>
      <c r="H100">
        <v>26</v>
      </c>
      <c r="I100">
        <v>25</v>
      </c>
      <c r="J100">
        <f>100*30617/503886</f>
        <v>6.076175960435496</v>
      </c>
      <c r="K100">
        <f>100*78016/593756</f>
        <v>13.13940406496945</v>
      </c>
      <c r="L100">
        <f>IF(COUNT(J100:K100)=2,K100-J100,"")</f>
        <v>7.0632281045339536</v>
      </c>
      <c r="O100">
        <v>26</v>
      </c>
      <c r="P100">
        <v>25</v>
      </c>
      <c r="Q100">
        <f>100*196342/383537</f>
        <v>51.19245340084529</v>
      </c>
      <c r="R100">
        <f>100*205047/565154</f>
        <v>36.281615276544095</v>
      </c>
      <c r="S100">
        <f>IF(COUNT(Q100:R100)=2,R100-Q100,"")</f>
        <v>-14.910838124301193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100*155392/784039</f>
        <v>19.819422248127964</v>
      </c>
      <c r="E101">
        <f>IF(COUNT(C101:D101)=2,D101-C101,"")</f>
        <v>1.3695080967994073</v>
      </c>
      <c r="H101">
        <v>27</v>
      </c>
      <c r="I101">
        <v>26</v>
      </c>
      <c r="J101">
        <f>100*110948/559494</f>
        <v>19.830060733448438</v>
      </c>
      <c r="K101">
        <f>100*169087/584443</f>
        <v>28.9313072446757</v>
      </c>
      <c r="L101">
        <f>IF(COUNT(J101:K101)=2,K101-J101,"")</f>
        <v>9.101246511227263</v>
      </c>
      <c r="O101">
        <v>27</v>
      </c>
      <c r="P101">
        <v>26</v>
      </c>
      <c r="Q101">
        <f>100*186316/322263</f>
        <v>57.81489032250057</v>
      </c>
      <c r="R101">
        <f>100*204973/540381</f>
        <v>37.93120039379623</v>
      </c>
      <c r="S101">
        <f>IF(COUNT(Q101:R101)=2,R101-Q101,"")</f>
        <v>-19.883689928704335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100*43974/228566</f>
        <v>19.239081928195795</v>
      </c>
      <c r="E102">
        <f>IF(COUNT(C102:D102)=2,D102-C102,"")</f>
        <v>-9.355096825234234</v>
      </c>
      <c r="H102">
        <v>28</v>
      </c>
      <c r="I102">
        <v>27</v>
      </c>
      <c r="J102">
        <f>100*139061/401357</f>
        <v>34.6477076517913</v>
      </c>
      <c r="K102">
        <f>100*155494/518404</f>
        <v>29.994753126904886</v>
      </c>
      <c r="L102">
        <f>IF(COUNT(J102:K102)=2,K102-J102,"")</f>
        <v>-4.652954524886415</v>
      </c>
      <c r="O102">
        <v>28</v>
      </c>
      <c r="P102">
        <v>27</v>
      </c>
      <c r="Q102">
        <f>100*1759/765634</f>
        <v>0.22974423810854794</v>
      </c>
      <c r="R102">
        <f>100*1759/765634</f>
        <v>0.22974423810854794</v>
      </c>
      <c r="S102">
        <f>IF(COUNT(Q102:R102)=2,R102-Q102,"")</f>
        <v>0.0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100*202893/802723</f>
        <v>25.275593199646703</v>
      </c>
      <c r="E103">
        <f>IF(COUNT(C103:D103)=2,D103-C103,"")</f>
        <v>-25.890898445970134</v>
      </c>
      <c r="H103">
        <v>29</v>
      </c>
      <c r="I103">
        <v>28</v>
      </c>
      <c r="J103">
        <f>100*239541/426383</f>
        <v>56.17977264571993</v>
      </c>
      <c r="K103">
        <f>100*285452/753826</f>
        <v>37.867093997819126</v>
      </c>
      <c r="L103">
        <f>IF(COUNT(J103:K103)=2,K103-J103,"")</f>
        <v>-18.312678647900803</v>
      </c>
      <c r="O103">
        <v>29</v>
      </c>
      <c r="P103">
        <v>28</v>
      </c>
      <c r="Q103">
        <f>100*180468/321414</f>
        <v>56.14814538259068</v>
      </c>
      <c r="R103">
        <f>100*203473/557034</f>
        <v>36.52793186771364</v>
      </c>
      <c r="S103">
        <f>IF(COUNT(Q103:R103)=2,R103-Q103,"")</f>
        <v>-19.620213514877037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100*7400/514258</f>
        <v>1.438966433191122</v>
      </c>
      <c r="E104">
        <f>IF(COUNT(C104:D104)=2,D104-C104,"")</f>
        <v>0.03587139927828198</v>
      </c>
      <c r="H104">
        <v>30</v>
      </c>
      <c r="I104">
        <v>29</v>
      </c>
      <c r="J104">
        <f>100*176819/628999</f>
        <v>28.111173467684367</v>
      </c>
      <c r="K104">
        <f>100*106116/530225</f>
        <v>20.013390541751143</v>
      </c>
      <c r="L104">
        <f>IF(COUNT(J104:K104)=2,K104-J104,"")</f>
        <v>-8.097782925933224</v>
      </c>
      <c r="O104">
        <v>30</v>
      </c>
      <c r="P104">
        <v>29</v>
      </c>
      <c r="Q104">
        <f>100*273685/521227</f>
        <v>52.5078324798984</v>
      </c>
      <c r="R104">
        <f>100*310305/865043</f>
        <v>35.871627190787045</v>
      </c>
      <c r="S104">
        <f>IF(COUNT(Q104:R104)=2,R104-Q104,"")</f>
        <v>-16.636205289111352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100*96261/390250</f>
        <v>24.66649583600256</v>
      </c>
      <c r="E105">
        <f>IF(COUNT(C105:D105)=2,D105-C105,"")</f>
        <v>-14.826662136176587</v>
      </c>
      <c r="H105">
        <v>31</v>
      </c>
      <c r="I105">
        <v>30</v>
      </c>
      <c r="J105">
        <f>100*69915/403117</f>
        <v>17.343599997023198</v>
      </c>
      <c r="K105">
        <f>100*36758/697541</f>
        <v>5.26965440024314</v>
      </c>
      <c r="L105">
        <f>IF(COUNT(J105:K105)=2,K105-J105,"")</f>
        <v>-12.073945596780057</v>
      </c>
      <c r="O105">
        <v>31</v>
      </c>
      <c r="P105">
        <v>30</v>
      </c>
      <c r="Q105">
        <f>100*141232/628600</f>
        <v>22.467706013363028</v>
      </c>
      <c r="R105">
        <f>100*15828/605072</f>
        <v>2.61588703493138</v>
      </c>
      <c r="S105">
        <f>IF(COUNT(Q105:R105)=2,R105-Q105,"")</f>
        <v>-19.85181897843165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17.059839269866963</v>
      </c>
      <c r="E106">
        <f>IF(COUNT(E75:E105)&gt;0,AVERAGE(E75:E105),"")</f>
        <v>-18.12249846914723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18.24252008506497</v>
      </c>
      <c r="L106">
        <f>IF(COUNT(L75:L105)&gt;0,AVERAGE(L75:L105),"")</f>
        <v>-17.81804278393351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24.54408688806292</v>
      </c>
      <c r="S106">
        <f>IF(COUNT(S75:S105)&gt;0,AVERAGE(S75:S105),"")</f>
        <v>-12.229639895279512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100*61236/379601</f>
        <v>16.13167510096127</v>
      </c>
      <c r="E3">
        <f>IF(COUNT(C3:D3)=2,D3-C3,"")</f>
        <v>-18.89332512265433</v>
      </c>
      <c r="H3">
        <v>1</v>
      </c>
      <c r="I3">
        <v>0</v>
      </c>
      <c r="J3">
        <f>100*58251/215009</f>
        <v>27.09235427354204</v>
      </c>
      <c r="K3">
        <f>100*77245/349624</f>
        <v>22.093734983868384</v>
      </c>
      <c r="L3">
        <f>IF(COUNT(J3:K3)=2,K3-J3,"")</f>
        <v>-4.998619289673655</v>
      </c>
      <c r="O3">
        <v>1</v>
      </c>
      <c r="P3">
        <v>0</v>
      </c>
      <c r="Q3">
        <f>100*45645/291867</f>
        <v>15.638972545714315</v>
      </c>
      <c r="R3">
        <f>100*25362/328353</f>
        <v>7.724004348978082</v>
      </c>
      <c r="S3">
        <f>IF(COUNT(Q3:R3)=2,R3-Q3,"")</f>
        <v>-7.9149681967362335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100*77432/293693</f>
        <v>26.364945708614098</v>
      </c>
      <c r="E4">
        <f>IF(COUNT(C4:D4)=2,D4-C4,"")</f>
        <v>-11.428014347443547</v>
      </c>
      <c r="H4">
        <v>2</v>
      </c>
      <c r="I4">
        <v>1</v>
      </c>
      <c r="J4">
        <f>100*64971/296332</f>
        <v>21.925070529001257</v>
      </c>
      <c r="K4">
        <f>100*65678/313097</f>
        <v>20.97688575744897</v>
      </c>
      <c r="L4">
        <f>IF(COUNT(J4:K4)=2,K4-J4,"")</f>
        <v>-0.9481847715522882</v>
      </c>
      <c r="O4">
        <v>2</v>
      </c>
      <c r="P4">
        <v>1</v>
      </c>
      <c r="Q4">
        <f>100*75288/157455</f>
        <v>47.81556635229113</v>
      </c>
      <c r="R4">
        <f>100*41555/114547</f>
        <v>36.277685142343316</v>
      </c>
      <c r="S4">
        <f>IF(COUNT(Q4:R4)=2,R4-Q4,"")</f>
        <v>-11.537881209947813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100*50200/327034</f>
        <v>15.350085923787741</v>
      </c>
      <c r="E5">
        <f>IF(COUNT(C5:D5)=2,D5-C5,"")</f>
        <v>-22.871185323039743</v>
      </c>
      <c r="H5">
        <v>3</v>
      </c>
      <c r="I5">
        <v>2</v>
      </c>
      <c r="J5">
        <f>100*62705/328831</f>
        <v>19.069065872743142</v>
      </c>
      <c r="K5">
        <f>100*74665/523930</f>
        <v>14.250949554329777</v>
      </c>
      <c r="L5">
        <f>IF(COUNT(J5:K5)=2,K5-J5,"")</f>
        <v>-4.818116318413365</v>
      </c>
      <c r="O5">
        <v>3</v>
      </c>
      <c r="P5">
        <v>2</v>
      </c>
      <c r="Q5">
        <f>100*141348/334791</f>
        <v>42.21977293296415</v>
      </c>
      <c r="R5">
        <f>100*137976/410618</f>
        <v>33.602034007276835</v>
      </c>
      <c r="S5">
        <f>IF(COUNT(Q5:R5)=2,R5-Q5,"")</f>
        <v>-8.617738925687313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100*32274/308331</f>
        <v>10.467322455413177</v>
      </c>
      <c r="E6">
        <f>IF(COUNT(C6:D6)=2,D6-C6,"")</f>
        <v>6.989734048778768</v>
      </c>
      <c r="H6">
        <v>4</v>
      </c>
      <c r="I6">
        <v>3</v>
      </c>
      <c r="J6">
        <f>100*69099/464767</f>
        <v>14.867449711360747</v>
      </c>
      <c r="K6">
        <f>100*17564/411325</f>
        <v>4.270102716829758</v>
      </c>
      <c r="L6">
        <f>IF(COUNT(J6:K6)=2,K6-J6,"")</f>
        <v>-10.597346994530989</v>
      </c>
      <c r="O6">
        <v>4</v>
      </c>
      <c r="P6">
        <v>3</v>
      </c>
      <c r="Q6">
        <f>100*182044/470083</f>
        <v>38.72592712350798</v>
      </c>
      <c r="R6">
        <f>100*194498/583054</f>
        <v>33.35848823608105</v>
      </c>
      <c r="S6">
        <f>IF(COUNT(Q6:R6)=2,R6-Q6,"")</f>
        <v>-5.367438887426928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100*127164/408168</f>
        <v>31.154818604104193</v>
      </c>
      <c r="E7">
        <f>IF(COUNT(C7:D7)=2,D7-C7,"")</f>
        <v>-6.155338062536707</v>
      </c>
      <c r="H7">
        <v>5</v>
      </c>
      <c r="I7">
        <v>4</v>
      </c>
      <c r="J7">
        <f>100*106457/411240</f>
        <v>25.88683007489544</v>
      </c>
      <c r="K7">
        <f>100*74919/311908</f>
        <v>24.019582697462074</v>
      </c>
      <c r="L7">
        <f>IF(COUNT(J7:K7)=2,K7-J7,"")</f>
        <v>-1.8672473774333653</v>
      </c>
      <c r="O7">
        <v>5</v>
      </c>
      <c r="P7">
        <v>4</v>
      </c>
      <c r="Q7">
        <f>100*154964/442048</f>
        <v>35.055921528883744</v>
      </c>
      <c r="R7">
        <f>100*57055/406650</f>
        <v>14.030493052993975</v>
      </c>
      <c r="S7">
        <f>IF(COUNT(Q7:R7)=2,R7-Q7,"")</f>
        <v>-21.02542847588977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100*73763/319134</f>
        <v>23.113488377922753</v>
      </c>
      <c r="E8">
        <f>IF(COUNT(C8:D8)=2,D8-C8,"")</f>
        <v>2.1224012644262515</v>
      </c>
      <c r="H8">
        <v>6</v>
      </c>
      <c r="I8">
        <v>5</v>
      </c>
      <c r="J8">
        <f>100*91696/324059</f>
        <v>28.29608188632317</v>
      </c>
      <c r="K8">
        <f>100*49660/278389</f>
        <v>17.83834849796508</v>
      </c>
      <c r="L8">
        <f>IF(COUNT(J8:K8)=2,K8-J8,"")</f>
        <v>-10.45773338835809</v>
      </c>
      <c r="O8">
        <v>6</v>
      </c>
      <c r="P8">
        <v>5</v>
      </c>
      <c r="Q8">
        <f>100*114455/487242</f>
        <v>23.49038055011678</v>
      </c>
      <c r="R8">
        <f>100*112919/513392</f>
        <v>21.994694112880605</v>
      </c>
      <c r="S8">
        <f>IF(COUNT(Q8:R8)=2,R8-Q8,"")</f>
        <v>-1.4956864372361736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100*19122/274383</f>
        <v>6.969090650659844</v>
      </c>
      <c r="E9">
        <f>IF(COUNT(C9:D9)=2,D9-C9,"")</f>
        <v>-14.488667341646202</v>
      </c>
      <c r="H9">
        <v>7</v>
      </c>
      <c r="I9">
        <v>6</v>
      </c>
      <c r="J9">
        <f>100*2956/325191</f>
        <v>0.9090042467349957</v>
      </c>
      <c r="K9">
        <f>100*18846/360674</f>
        <v>5.22521723218197</v>
      </c>
      <c r="L9">
        <f>IF(COUNT(J9:K9)=2,K9-J9,"")</f>
        <v>4.316212985446975</v>
      </c>
      <c r="O9">
        <v>7</v>
      </c>
      <c r="P9">
        <v>6</v>
      </c>
      <c r="Q9">
        <f>100*198686/446837</f>
        <v>44.46498387555194</v>
      </c>
      <c r="R9">
        <f>100*151343/481223</f>
        <v>31.449660552384238</v>
      </c>
      <c r="S9">
        <f>IF(COUNT(Q9:R9)=2,R9-Q9,"")</f>
        <v>-13.0153233231677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100*13332/317650</f>
        <v>4.197072249331025</v>
      </c>
      <c r="E10">
        <f>IF(COUNT(C10:D10)=2,D10-C10,"")</f>
        <v>3.7934282104245263</v>
      </c>
      <c r="H10">
        <v>8</v>
      </c>
      <c r="I10">
        <v>7</v>
      </c>
      <c r="J10">
        <f>100*1179/376958</f>
        <v>0.31276693955294754</v>
      </c>
      <c r="K10">
        <f>100*14260/319946</f>
        <v>4.4570021191075995</v>
      </c>
      <c r="L10">
        <f>IF(COUNT(J10:K10)=2,K10-J10,"")</f>
        <v>4.144235179554652</v>
      </c>
      <c r="O10">
        <v>8</v>
      </c>
      <c r="P10">
        <v>7</v>
      </c>
      <c r="Q10">
        <f>100*140584/308785</f>
        <v>45.52811826999368</v>
      </c>
      <c r="R10">
        <f>100*91624/306682</f>
        <v>29.875897509472352</v>
      </c>
      <c r="S10">
        <f>IF(COUNT(Q10:R10)=2,R10-Q10,"")</f>
        <v>-15.652220760521331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100*8040/108085</f>
        <v>7.438589998612203</v>
      </c>
      <c r="E11">
        <f>IF(COUNT(C11:D11)=2,D11-C11,"")</f>
        <v>-31.066203343596563</v>
      </c>
      <c r="H11">
        <v>9</v>
      </c>
      <c r="I11">
        <v>8</v>
      </c>
      <c r="J11">
        <f>100*144131/422295</f>
        <v>34.13040646941119</v>
      </c>
      <c r="K11">
        <f>100*168378/501276</f>
        <v>33.58987862973691</v>
      </c>
      <c r="L11">
        <f>IF(COUNT(J11:K11)=2,K11-J11,"")</f>
        <v>-0.540527839674283</v>
      </c>
      <c r="O11">
        <v>9</v>
      </c>
      <c r="P11">
        <v>8</v>
      </c>
      <c r="Q11">
        <f>100*85958/184662</f>
        <v>46.54882975382049</v>
      </c>
      <c r="R11">
        <f>100*24223/73966</f>
        <v>32.748830543763354</v>
      </c>
      <c r="S11">
        <f>IF(COUNT(Q11:R11)=2,R11-Q11,"")</f>
        <v>-13.799999210057138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100*122996/441283</f>
        <v>27.872363086726658</v>
      </c>
      <c r="E12">
        <f>IF(COUNT(C12:D12)=2,D12-C12,"")</f>
        <v>9.718857737694428</v>
      </c>
      <c r="H12">
        <v>10</v>
      </c>
      <c r="I12">
        <v>9</v>
      </c>
      <c r="J12">
        <f>100*71311/426052</f>
        <v>16.737628270727516</v>
      </c>
      <c r="K12">
        <f>100*95210/533523</f>
        <v>17.8455286838618</v>
      </c>
      <c r="L12">
        <f>IF(COUNT(J12:K12)=2,K12-J12,"")</f>
        <v>1.107900413134285</v>
      </c>
      <c r="O12">
        <v>10</v>
      </c>
      <c r="P12">
        <v>9</v>
      </c>
      <c r="Q12">
        <f>100*199032/643646</f>
        <v>30.922587882158826</v>
      </c>
      <c r="R12">
        <f>100*3297/344858</f>
        <v>0.9560456767713088</v>
      </c>
      <c r="S12">
        <f>IF(COUNT(Q12:R12)=2,R12-Q12,"")</f>
        <v>-29.96654220538752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100*78343/564297</f>
        <v>13.883291954414076</v>
      </c>
      <c r="E13">
        <f>IF(COUNT(C13:D13)=2,D13-C13,"")</f>
        <v>13.156315765686266</v>
      </c>
      <c r="H13">
        <v>11</v>
      </c>
      <c r="I13">
        <v>10</v>
      </c>
      <c r="J13">
        <f>100*28276/544111</f>
        <v>5.196733754693436</v>
      </c>
      <c r="K13">
        <f>100*53708/555693</f>
        <v>9.665048866910327</v>
      </c>
      <c r="L13">
        <f>IF(COUNT(J13:K13)=2,K13-J13,"")</f>
        <v>4.468315112216891</v>
      </c>
      <c r="O13">
        <v>11</v>
      </c>
      <c r="P13">
        <v>10</v>
      </c>
      <c r="Q13">
        <f>100*136848/421678</f>
        <v>32.453198886354045</v>
      </c>
      <c r="R13">
        <f>100*131346/395612</f>
        <v>33.20071180853968</v>
      </c>
      <c r="S13">
        <f>IF(COUNT(Q13:R13)=2,R13-Q13,"")</f>
        <v>0.7475129221856349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100*18472/400980</f>
        <v>4.606713551798094</v>
      </c>
      <c r="E14">
        <f>IF(COUNT(C14:D14)=2,D14-C14,"")</f>
        <v>-33.63913734130879</v>
      </c>
      <c r="H14">
        <v>12</v>
      </c>
      <c r="I14">
        <v>11</v>
      </c>
      <c r="J14">
        <f>100*18702/461148</f>
        <v>4.05553097920841</v>
      </c>
      <c r="K14">
        <f>100*30916/463071</f>
        <v>6.676298019094264</v>
      </c>
      <c r="L14">
        <f>IF(COUNT(J14:K14)=2,K14-J14,"")</f>
        <v>2.6207670398858536</v>
      </c>
      <c r="O14">
        <v>12</v>
      </c>
      <c r="P14">
        <v>11</v>
      </c>
      <c r="Q14">
        <f>100*91935/209068</f>
        <v>43.973731034878604</v>
      </c>
      <c r="R14">
        <f>100*44516/169450</f>
        <v>26.270876364709355</v>
      </c>
      <c r="S14">
        <f>IF(COUNT(Q14:R14)=2,R14-Q14,"")</f>
        <v>-17.70285467016925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100*36295/407990</f>
        <v>8.89605137380818</v>
      </c>
      <c r="E15">
        <f>IF(COUNT(C15:D15)=2,D15-C15,"")</f>
        <v>1.1167853286289446</v>
      </c>
      <c r="H15">
        <v>13</v>
      </c>
      <c r="I15">
        <v>12</v>
      </c>
      <c r="J15">
        <f>100*226380/535721</f>
        <v>42.25707037805126</v>
      </c>
      <c r="K15">
        <f>100*97218/474893</f>
        <v>20.471558856416078</v>
      </c>
      <c r="L15">
        <f>IF(COUNT(J15:K15)=2,K15-J15,"")</f>
        <v>-21.785511521635183</v>
      </c>
      <c r="O15">
        <v>13</v>
      </c>
      <c r="P15">
        <v>12</v>
      </c>
      <c r="Q15">
        <f>100*165466/516479</f>
        <v>32.037314198641184</v>
      </c>
      <c r="R15">
        <f>100*9410/407831</f>
        <v>2.3073282805868116</v>
      </c>
      <c r="S15">
        <f>IF(COUNT(Q15:R15)=2,R15-Q15,"")</f>
        <v>-29.72998591805437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100*14247/245452</f>
        <v>5.804393527043985</v>
      </c>
      <c r="E16">
        <f>IF(COUNT(C16:D16)=2,D16-C16,"")</f>
        <v>4.333929273446862</v>
      </c>
      <c r="H16">
        <v>14</v>
      </c>
      <c r="I16">
        <v>13</v>
      </c>
      <c r="J16">
        <f>100*44978/265308</f>
        <v>16.95312617787628</v>
      </c>
      <c r="K16">
        <f>100*54375/293314</f>
        <v>18.53815365103609</v>
      </c>
      <c r="L16">
        <f>IF(COUNT(J16:K16)=2,K16-J16,"")</f>
        <v>1.585027473159812</v>
      </c>
      <c r="O16">
        <v>14</v>
      </c>
      <c r="P16">
        <v>13</v>
      </c>
      <c r="Q16">
        <f>100*58109/351187</f>
        <v>16.546455307286433</v>
      </c>
      <c r="R16">
        <f>100*30639/325454</f>
        <v>9.414233655140205</v>
      </c>
      <c r="S16">
        <f>IF(COUNT(Q16:R16)=2,R16-Q16,"")</f>
        <v>-7.132221652146228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100*157190/693824</f>
        <v>22.655601420533163</v>
      </c>
      <c r="E17">
        <f>IF(COUNT(C17:D17)=2,D17-C17,"")</f>
        <v>-10.374929991364436</v>
      </c>
      <c r="H17">
        <v>15</v>
      </c>
      <c r="I17">
        <v>14</v>
      </c>
      <c r="J17">
        <f>100*185252/403337</f>
        <v>45.92983038997166</v>
      </c>
      <c r="K17">
        <f>100*172173/563384</f>
        <v>30.560505800661716</v>
      </c>
      <c r="L17">
        <f>IF(COUNT(J17:K17)=2,K17-J17,"")</f>
        <v>-15.369324589309947</v>
      </c>
      <c r="O17">
        <v>15</v>
      </c>
      <c r="P17">
        <v>14</v>
      </c>
      <c r="Q17">
        <f>100*158493/377442</f>
        <v>41.99135231373297</v>
      </c>
      <c r="R17">
        <f>100*123029/377480</f>
        <v>32.592190314718664</v>
      </c>
      <c r="S17">
        <f>IF(COUNT(Q17:R17)=2,R17-Q17,"")</f>
        <v>-9.399161999014304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100*68280/473703</f>
        <v>14.414094907568666</v>
      </c>
      <c r="E18">
        <f>IF(COUNT(C18:D18)=2,D18-C18,"")</f>
        <v>-17.95598587777409</v>
      </c>
      <c r="H18">
        <v>16</v>
      </c>
      <c r="I18">
        <v>15</v>
      </c>
      <c r="J18">
        <f>100*116194/472598</f>
        <v>24.586223386472223</v>
      </c>
      <c r="K18">
        <f>100*57076/524656</f>
        <v>10.87874721722424</v>
      </c>
      <c r="L18">
        <f>IF(COUNT(J18:K18)=2,K18-J18,"")</f>
        <v>-13.707476169247984</v>
      </c>
      <c r="O18">
        <v>16</v>
      </c>
      <c r="P18">
        <v>15</v>
      </c>
      <c r="Q18">
        <f>100*130815/335348</f>
        <v>39.00873122845522</v>
      </c>
      <c r="R18">
        <f>100*135181/376954</f>
        <v>35.861404839847836</v>
      </c>
      <c r="S18">
        <f>IF(COUNT(Q18:R18)=2,R18-Q18,"")</f>
        <v>-3.1473263886073823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100*108214/362351</f>
        <v>29.86441323468129</v>
      </c>
      <c r="E19">
        <f>IF(COUNT(C19:D19)=2,D19-C19,"")</f>
        <v>7.690579029960688</v>
      </c>
      <c r="H19">
        <v>17</v>
      </c>
      <c r="I19">
        <v>16</v>
      </c>
      <c r="J19">
        <f>100*147986/392782</f>
        <v>37.6763700984261</v>
      </c>
      <c r="K19">
        <f>100*148028/459172</f>
        <v>32.23802845121218</v>
      </c>
      <c r="L19">
        <f>IF(COUNT(J19:K19)=2,K19-J19,"")</f>
        <v>-5.438341647213917</v>
      </c>
      <c r="O19">
        <v>17</v>
      </c>
      <c r="P19">
        <v>16</v>
      </c>
      <c r="Q19">
        <f>100*17753/266611</f>
        <v>6.65876501719734</v>
      </c>
      <c r="R19">
        <f>100*4380/252443</f>
        <v>1.7350451389026433</v>
      </c>
      <c r="S19">
        <f>IF(COUNT(Q19:R19)=2,R19-Q19,"")</f>
        <v>-4.923719878294697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100*32891/459382</f>
        <v>7.159836475961183</v>
      </c>
      <c r="E20">
        <f>IF(COUNT(C20:D20)=2,D20-C20,"")</f>
        <v>-26.2088851605364</v>
      </c>
      <c r="H20">
        <v>18</v>
      </c>
      <c r="I20">
        <v>17</v>
      </c>
      <c r="J20">
        <f>100*134558/617547</f>
        <v>21.78911078832866</v>
      </c>
      <c r="K20">
        <f>100*74480/471864</f>
        <v>15.784209009375584</v>
      </c>
      <c r="L20">
        <f>IF(COUNT(J20:K20)=2,K20-J20,"")</f>
        <v>-6.0049017789530765</v>
      </c>
      <c r="O20">
        <v>18</v>
      </c>
      <c r="P20">
        <v>17</v>
      </c>
      <c r="Q20">
        <f>100*1405/276206</f>
        <v>0.5086783053228388</v>
      </c>
      <c r="R20">
        <f>100*2581/289741</f>
        <v>0.8907955725975958</v>
      </c>
      <c r="S20">
        <f>IF(COUNT(Q20:R20)=2,R20-Q20,"")</f>
        <v>0.38211726727475703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100*32283/275798</f>
        <v>11.705306057331816</v>
      </c>
      <c r="E21">
        <f>IF(COUNT(C21:D21)=2,D21-C21,"")</f>
        <v>-6.46491963412767</v>
      </c>
      <c r="H21">
        <v>19</v>
      </c>
      <c r="I21">
        <v>18</v>
      </c>
      <c r="J21">
        <f>100*48771/351007</f>
        <v>13.894594694692698</v>
      </c>
      <c r="K21">
        <f>100*18934/254668</f>
        <v>7.4347778283883335</v>
      </c>
      <c r="L21">
        <f>IF(COUNT(J21:K21)=2,K21-J21,"")</f>
        <v>-6.459816866304364</v>
      </c>
      <c r="O21">
        <v>19</v>
      </c>
      <c r="P21">
        <v>18</v>
      </c>
      <c r="Q21">
        <f>100*124085/311389</f>
        <v>39.84887070513088</v>
      </c>
      <c r="R21">
        <f>100*43322/176741</f>
        <v>24.511573432310556</v>
      </c>
      <c r="S21">
        <f>IF(COUNT(Q21:R21)=2,R21-Q21,"")</f>
        <v>-15.337297272820322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100*5865/112353</f>
        <v>5.22015433499773</v>
      </c>
      <c r="E22">
        <f>IF(COUNT(C22:D22)=2,D22-C22,"")</f>
        <v>-15.47654201930525</v>
      </c>
      <c r="H22">
        <v>20</v>
      </c>
      <c r="I22">
        <v>19</v>
      </c>
      <c r="J22">
        <f>100*42161/340805</f>
        <v>12.371003946538343</v>
      </c>
      <c r="K22">
        <f>100*77706/465474</f>
        <v>16.693950682530065</v>
      </c>
      <c r="L22">
        <f>IF(COUNT(J22:K22)=2,K22-J22,"")</f>
        <v>4.322946735991723</v>
      </c>
      <c r="O22">
        <v>20</v>
      </c>
      <c r="P22">
        <v>19</v>
      </c>
      <c r="Q22">
        <f>100*139808/401311</f>
        <v>34.83781904806995</v>
      </c>
      <c r="R22">
        <f>100*122623/477623</f>
        <v>25.673596120789828</v>
      </c>
      <c r="S22">
        <f>IF(COUNT(Q22:R22)=2,R22-Q22,"")</f>
        <v>-9.164222927280125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100*127702/493809</f>
        <v>25.860606023786524</v>
      </c>
      <c r="E23">
        <f>IF(COUNT(C23:D23)=2,D23-C23,"")</f>
        <v>-0.8295625746813506</v>
      </c>
      <c r="H23">
        <v>21</v>
      </c>
      <c r="I23">
        <v>20</v>
      </c>
      <c r="J23">
        <f>100*222992/523032</f>
        <v>42.63448507930681</v>
      </c>
      <c r="K23">
        <f>100*76715/354017</f>
        <v>21.669863311648875</v>
      </c>
      <c r="L23">
        <f>IF(COUNT(J23:K23)=2,K23-J23,"")</f>
        <v>-20.96462176765794</v>
      </c>
      <c r="O23">
        <v>21</v>
      </c>
      <c r="P23">
        <v>20</v>
      </c>
      <c r="Q23">
        <f>100*43636/293480</f>
        <v>14.86847485348235</v>
      </c>
      <c r="R23">
        <f>100*43076/316711</f>
        <v>13.60104322236992</v>
      </c>
      <c r="S23">
        <f>IF(COUNT(Q23:R23)=2,R23-Q23,"")</f>
        <v>-1.26743163111243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100*66721/190827</f>
        <v>34.96412981391522</v>
      </c>
      <c r="E24">
        <f>IF(COUNT(C24:D24)=2,D24-C24,"")</f>
        <v>-3.1841250428513277</v>
      </c>
      <c r="H24">
        <v>22</v>
      </c>
      <c r="I24">
        <v>21</v>
      </c>
      <c r="J24">
        <f>100*54639/207484</f>
        <v>26.334078772339073</v>
      </c>
      <c r="K24">
        <f>100*103489/317011</f>
        <v>32.645239439640896</v>
      </c>
      <c r="L24">
        <f>IF(COUNT(J24:K24)=2,K24-J24,"")</f>
        <v>6.311160667301824</v>
      </c>
      <c r="O24">
        <v>22</v>
      </c>
      <c r="P24">
        <v>21</v>
      </c>
      <c r="Q24">
        <f>100*45197/105457</f>
        <v>42.85822657576074</v>
      </c>
      <c r="R24">
        <f>100*4534/27407</f>
        <v>16.543218885686137</v>
      </c>
      <c r="S24">
        <f>IF(COUNT(Q24:R24)=2,R24-Q24,"")</f>
        <v>-26.3150076900746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100*52453/445814</f>
        <v>11.765669090697017</v>
      </c>
      <c r="E25">
        <f>IF(COUNT(C25:D25)=2,D25-C25,"")</f>
        <v>-22.06555861260889</v>
      </c>
      <c r="H25">
        <v>23</v>
      </c>
      <c r="I25">
        <v>22</v>
      </c>
      <c r="J25">
        <f>100*82449/499533</f>
        <v>16.505215871624095</v>
      </c>
      <c r="K25">
        <f>100*80383/455394</f>
        <v>17.65130853722271</v>
      </c>
      <c r="L25">
        <f>IF(COUNT(J25:K25)=2,K25-J25,"")</f>
        <v>1.1460926655986157</v>
      </c>
      <c r="O25">
        <v>23</v>
      </c>
      <c r="P25">
        <v>22</v>
      </c>
      <c r="Q25">
        <f>100*656/247400</f>
        <v>0.2651576394502829</v>
      </c>
      <c r="R25">
        <f>100*2659/265992</f>
        <v>0.9996541249360883</v>
      </c>
      <c r="S25">
        <f>IF(COUNT(Q25:R25)=2,R25-Q25,"")</f>
        <v>0.7344964854858054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100*10845/431544</f>
        <v>2.5130693509815916</v>
      </c>
      <c r="E26">
        <f>IF(COUNT(C26:D26)=2,D26-C26,"")</f>
        <v>-21.939513306324745</v>
      </c>
      <c r="H26">
        <v>24</v>
      </c>
      <c r="I26">
        <v>23</v>
      </c>
      <c r="J26">
        <f>100*167481/558799</f>
        <v>29.971599806012538</v>
      </c>
      <c r="K26">
        <f>100*32215/454551</f>
        <v>7.087213535994861</v>
      </c>
      <c r="L26">
        <f>IF(COUNT(J26:K26)=2,K26-J26,"")</f>
        <v>-22.88438627001768</v>
      </c>
      <c r="O26">
        <v>24</v>
      </c>
      <c r="P26">
        <v>23</v>
      </c>
      <c r="Q26">
        <f>100*53061/340117</f>
        <v>15.600807957261766</v>
      </c>
      <c r="R26">
        <f>100*67565/494011</f>
        <v>13.676820961476567</v>
      </c>
      <c r="S26">
        <f>IF(COUNT(Q26:R26)=2,R26-Q26,"")</f>
        <v>-1.9239869957851994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100*32744/464767</f>
        <v>7.045250630961321</v>
      </c>
      <c r="E27">
        <f>IF(COUNT(C27:D27)=2,D27-C27,"")</f>
        <v>1.7794632018953385</v>
      </c>
      <c r="H27">
        <v>25</v>
      </c>
      <c r="I27">
        <v>24</v>
      </c>
      <c r="J27">
        <f>100*67075/346916</f>
        <v>19.334651615953142</v>
      </c>
      <c r="K27">
        <f>100*1576/321136</f>
        <v>0.4907578097752977</v>
      </c>
      <c r="L27">
        <f>IF(COUNT(J27:K27)=2,K27-J27,"")</f>
        <v>-18.843893806177846</v>
      </c>
      <c r="O27">
        <v>25</v>
      </c>
      <c r="P27">
        <v>24</v>
      </c>
      <c r="Q27">
        <f>100*158561/348258</f>
        <v>45.52975093178046</v>
      </c>
      <c r="R27">
        <f>100*163898/427078</f>
        <v>38.376596312617366</v>
      </c>
      <c r="S27">
        <f>IF(COUNT(Q27:R27)=2,R27-Q27,"")</f>
        <v>-7.153154619163097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100*84846/428987</f>
        <v>19.778221717674427</v>
      </c>
      <c r="E28">
        <f>IF(COUNT(C28:D28)=2,D28-C28,"")</f>
        <v>-4.126980477001453</v>
      </c>
      <c r="H28">
        <v>26</v>
      </c>
      <c r="I28">
        <v>25</v>
      </c>
      <c r="J28">
        <f>100*177325/563486</f>
        <v>31.469282289178437</v>
      </c>
      <c r="K28">
        <f>100*108467/547438</f>
        <v>19.81356792915362</v>
      </c>
      <c r="L28">
        <f>IF(COUNT(J28:K28)=2,K28-J28,"")</f>
        <v>-11.655714360024817</v>
      </c>
      <c r="O28">
        <v>26</v>
      </c>
      <c r="P28">
        <v>25</v>
      </c>
      <c r="Q28">
        <f>100*156244/369843</f>
        <v>42.246034127994854</v>
      </c>
      <c r="R28">
        <f>100*152117/456123</f>
        <v>33.34999550559827</v>
      </c>
      <c r="S28">
        <f>IF(COUNT(Q28:R28)=2,R28-Q28,"")</f>
        <v>-8.896038622396581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100*43315/321248</f>
        <v>13.483352425540392</v>
      </c>
      <c r="E29">
        <f>IF(COUNT(C29:D29)=2,D29-C29,"")</f>
        <v>-31.132875304837956</v>
      </c>
      <c r="H29">
        <v>27</v>
      </c>
      <c r="I29">
        <v>26</v>
      </c>
      <c r="J29">
        <f>100*35297/437184</f>
        <v>8.073717244912897</v>
      </c>
      <c r="K29">
        <f>100*62077/463093</f>
        <v>13.404866841001699</v>
      </c>
      <c r="L29">
        <f>IF(COUNT(J29:K29)=2,K29-J29,"")</f>
        <v>5.331149596088801</v>
      </c>
      <c r="O29">
        <v>27</v>
      </c>
      <c r="P29">
        <v>26</v>
      </c>
      <c r="Q29">
        <f>100*99207/334942</f>
        <v>29.619157943763398</v>
      </c>
      <c r="R29">
        <f>100*134051/382004</f>
        <v>35.0915173663103</v>
      </c>
      <c r="S29">
        <f>IF(COUNT(Q29:R29)=2,R29-Q29,"")</f>
        <v>5.472359422546901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100*33949/185194</f>
        <v>18.33158741643898</v>
      </c>
      <c r="E30">
        <f>IF(COUNT(C30:D30)=2,D30-C30,"")</f>
        <v>-4.747041330631607</v>
      </c>
      <c r="H30">
        <v>28</v>
      </c>
      <c r="I30">
        <v>27</v>
      </c>
      <c r="J30">
        <f>100*111624/317500</f>
        <v>35.15716535433071</v>
      </c>
      <c r="K30">
        <f>100*84607/345645</f>
        <v>24.478004889409654</v>
      </c>
      <c r="L30">
        <f>IF(COUNT(J30:K30)=2,K30-J30,"")</f>
        <v>-10.679160464921054</v>
      </c>
      <c r="O30">
        <v>28</v>
      </c>
      <c r="P30">
        <v>27</v>
      </c>
      <c r="Q30">
        <f>100*258/245208</f>
        <v>0.10521679553685034</v>
      </c>
      <c r="R30">
        <f>100*372/243584</f>
        <v>0.15271939043615343</v>
      </c>
      <c r="S30">
        <f>IF(COUNT(Q30:R30)=2,R30-Q30,"")</f>
        <v>0.047502594899303086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100*133445/325180</f>
        <v>41.03727166492404</v>
      </c>
      <c r="E31">
        <f>IF(COUNT(C31:D31)=2,D31-C31,"")</f>
        <v>-5.54260106016558</v>
      </c>
      <c r="H31">
        <v>29</v>
      </c>
      <c r="I31">
        <v>28</v>
      </c>
      <c r="J31">
        <f>100*143049/329070</f>
        <v>43.47069012672076</v>
      </c>
      <c r="K31">
        <f>100*134978/445367</f>
        <v>30.307139954239986</v>
      </c>
      <c r="L31">
        <f>IF(COUNT(J31:K31)=2,K31-J31,"")</f>
        <v>-13.163550172480775</v>
      </c>
      <c r="O31">
        <v>29</v>
      </c>
      <c r="P31">
        <v>28</v>
      </c>
      <c r="Q31">
        <f>100*106682/252496</f>
        <v>42.25096635194221</v>
      </c>
      <c r="R31">
        <f>100*91329/253528</f>
        <v>36.023240036603454</v>
      </c>
      <c r="S31">
        <f>IF(COUNT(Q31:R31)=2,R31-Q31,"")</f>
        <v>-6.2277263153387565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100*22700/391283</f>
        <v>5.8014276112174565</v>
      </c>
      <c r="E32">
        <f>IF(COUNT(C32:D32)=2,D32-C32,"")</f>
        <v>-13.511599519295316</v>
      </c>
      <c r="H32">
        <v>30</v>
      </c>
      <c r="I32">
        <v>29</v>
      </c>
      <c r="J32">
        <f>100*71699/295601</f>
        <v>24.25533066532251</v>
      </c>
      <c r="K32">
        <f>100*18627/369273</f>
        <v>5.044235565557189</v>
      </c>
      <c r="L32">
        <f>IF(COUNT(J32:K32)=2,K32-J32,"")</f>
        <v>-19.211095099765323</v>
      </c>
      <c r="O32">
        <v>30</v>
      </c>
      <c r="P32">
        <v>29</v>
      </c>
      <c r="Q32">
        <f>100*220230/481156</f>
        <v>45.771018131333705</v>
      </c>
      <c r="R32">
        <f>100*87757/402866</f>
        <v>21.78317356143234</v>
      </c>
      <c r="S32">
        <f>IF(COUNT(Q32:R32)=2,R32-Q32,"")</f>
        <v>-23.987844569901366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100*80111/313660</f>
        <v>25.54071287381241</v>
      </c>
      <c r="E33">
        <f>IF(COUNT(C33:D33)=2,D33-C33,"")</f>
        <v>-0.05759206028588082</v>
      </c>
      <c r="H33">
        <v>31</v>
      </c>
      <c r="I33">
        <v>30</v>
      </c>
      <c r="J33">
        <f>100*58413/325415</f>
        <v>17.950309604658667</v>
      </c>
      <c r="K33">
        <f>100*95000/400532</f>
        <v>23.718454455574086</v>
      </c>
      <c r="L33">
        <f>IF(COUNT(J33:K33)=2,K33-J33,"")</f>
        <v>5.768144850915419</v>
      </c>
      <c r="O33">
        <v>31</v>
      </c>
      <c r="P33">
        <v>30</v>
      </c>
      <c r="Q33">
        <f>100*3974/273650</f>
        <v>1.4522199890370913</v>
      </c>
      <c r="R33">
        <f>100*22441/562755</f>
        <v>3.9877033522580874</v>
      </c>
      <c r="S33">
        <f>IF(COUNT(Q33:R33)=2,R33-Q33,"")</f>
        <v>2.535483363220996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16.109374439168406</v>
      </c>
      <c r="E34">
        <f>IF(COUNT(E3:E33)&gt;0,AVERAGE(E3:E33),"")</f>
        <v>-8.75674480622825</v>
      </c>
      <c r="H34" t="s">
        <v>5</v>
      </c>
      <c r="J34">
        <f>IF(COUNT(J3:J33)&gt;0,AVERAGE(J3:J33),"")</f>
        <v>22.873960622545518</v>
      </c>
      <c r="K34">
        <f>IF(COUNT(K3:K33)&gt;0,AVERAGE(K3:K33),"")</f>
        <v>17.090940694350326</v>
      </c>
      <c r="L34">
        <f>IF(COUNT(L3:L33)&gt;0,AVERAGE(L3:L33),"")</f>
        <v>-5.783019928195197</v>
      </c>
      <c r="O34" t="s">
        <v>5</v>
      </c>
      <c r="Q34">
        <f>IF(COUNT(Q3:Q33)&gt;0,AVERAGE(Q3:Q33),"")</f>
        <v>30.285258327658585</v>
      </c>
      <c r="R34">
        <f>IF(COUNT(R3:R33)&gt;0,AVERAGE(R3:R33),"")</f>
        <v>20.90520230421977</v>
      </c>
      <c r="S34">
        <f>IF(COUNT(S3:S33)&gt;0,AVERAGE(S3:S33),"")</f>
        <v>-9.380056023438815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100*321581/856531</f>
        <v>37.54458390881357</v>
      </c>
      <c r="E39">
        <f>IF(COUNT(C39:D39)=2,D39-C39,"")</f>
        <v>22.223231720117234</v>
      </c>
      <c r="H39">
        <v>1</v>
      </c>
      <c r="I39">
        <v>0</v>
      </c>
      <c r="J39">
        <f>100*211130/713250</f>
        <v>29.601121626358218</v>
      </c>
      <c r="K39">
        <f>100*184124/645232</f>
        <v>28.536092444268107</v>
      </c>
      <c r="L39">
        <f>IF(COUNT(J39:K39)=2,K39-J39,"")</f>
        <v>-1.065029182090111</v>
      </c>
      <c r="O39">
        <v>1</v>
      </c>
      <c r="P39">
        <v>0</v>
      </c>
      <c r="Q39">
        <f>100*33559/419154</f>
        <v>8.00636520228842</v>
      </c>
      <c r="R39">
        <f>100*26716/402871</f>
        <v>6.631403104219465</v>
      </c>
      <c r="S39">
        <f>IF(COUNT(Q39:R39)=2,R39-Q39,"")</f>
        <v>-1.3749620980689548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100*192980/495797</f>
        <v>38.92318832102655</v>
      </c>
      <c r="E40">
        <f>IF(COUNT(C40:D40)=2,D40-C40,"")</f>
        <v>-9.631864726730655</v>
      </c>
      <c r="H40">
        <v>2</v>
      </c>
      <c r="I40">
        <v>1</v>
      </c>
      <c r="J40">
        <f>100*221110/594344</f>
        <v>37.20236092229416</v>
      </c>
      <c r="K40">
        <f>100*113457/422388</f>
        <v>26.86084831955453</v>
      </c>
      <c r="L40">
        <f>IF(COUNT(J40:K40)=2,K40-J40,"")</f>
        <v>-10.34151260273963</v>
      </c>
      <c r="O40">
        <v>2</v>
      </c>
      <c r="P40">
        <v>1</v>
      </c>
      <c r="Q40">
        <f>100*83755/209991</f>
        <v>39.88504269230586</v>
      </c>
      <c r="R40">
        <f>100*71203/213865</f>
        <v>33.29343277301101</v>
      </c>
      <c r="S40">
        <f>IF(COUNT(Q40:R40)=2,R40-Q40,"")</f>
        <v>-6.5916099192948465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100*162647/851208</f>
        <v>19.107785641112397</v>
      </c>
      <c r="E41">
        <f>IF(COUNT(C41:D41)=2,D41-C41,"")</f>
        <v>-22.11647612629608</v>
      </c>
      <c r="H41">
        <v>3</v>
      </c>
      <c r="I41">
        <v>2</v>
      </c>
      <c r="J41">
        <f>100*328651/1001588</f>
        <v>32.812992967168135</v>
      </c>
      <c r="K41">
        <f>100*10355/375465</f>
        <v>2.757913520567829</v>
      </c>
      <c r="L41">
        <f>IF(COUNT(J41:K41)=2,K41-J41,"")</f>
        <v>-30.055079446600306</v>
      </c>
      <c r="O41">
        <v>3</v>
      </c>
      <c r="P41">
        <v>2</v>
      </c>
      <c r="Q41">
        <f>100*165549/320834</f>
        <v>51.59958109177955</v>
      </c>
      <c r="R41">
        <f>100*185763/464615</f>
        <v>39.98213574680111</v>
      </c>
      <c r="S41">
        <f>IF(COUNT(Q41:R41)=2,R41-Q41,"")</f>
        <v>-11.617445344978435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100*106057/559879</f>
        <v>18.942843007149758</v>
      </c>
      <c r="E42">
        <f>IF(COUNT(C42:D42)=2,D42-C42,"")</f>
        <v>13.050602488458003</v>
      </c>
      <c r="H42">
        <v>4</v>
      </c>
      <c r="I42">
        <v>3</v>
      </c>
      <c r="J42">
        <f>100*38325/584626</f>
        <v>6.555473071673172</v>
      </c>
      <c r="K42">
        <f>100*43603/406350</f>
        <v>10.73040482342808</v>
      </c>
      <c r="L42">
        <f>IF(COUNT(J42:K42)=2,K42-J42,"")</f>
        <v>4.174931751754907</v>
      </c>
      <c r="O42">
        <v>4</v>
      </c>
      <c r="P42">
        <v>3</v>
      </c>
      <c r="Q42">
        <f>100*265499/612068</f>
        <v>43.37736983472425</v>
      </c>
      <c r="R42">
        <f>100*168/280</f>
        <v>60.0</v>
      </c>
      <c r="S42">
        <f>IF(COUNT(Q42:R42)=2,R42-Q42,"")</f>
        <v>16.62263016527575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100*140150/401842</f>
        <v>34.876891912741826</v>
      </c>
      <c r="E43">
        <f>IF(COUNT(C43:D43)=2,D43-C43,"")</f>
        <v>-6.4991923603413895</v>
      </c>
      <c r="H43">
        <v>5</v>
      </c>
      <c r="I43">
        <v>4</v>
      </c>
      <c r="J43">
        <f>100*86329/200432</f>
        <v>43.071465634230066</v>
      </c>
      <c r="K43">
        <f>100*222533/603364</f>
        <v>36.88204798430135</v>
      </c>
      <c r="L43">
        <f>IF(COUNT(J43:K43)=2,K43-J43,"")</f>
        <v>-6.189417649928714</v>
      </c>
      <c r="O43">
        <v>5</v>
      </c>
      <c r="P43">
        <v>4</v>
      </c>
      <c r="Q43">
        <f>100*80681/472324</f>
        <v>17.08170662511327</v>
      </c>
      <c r="R43">
        <f>100*228831/721218</f>
        <v>31.728409440696154</v>
      </c>
      <c r="S43">
        <f>IF(COUNT(Q43:R43)=2,R43-Q43,"")</f>
        <v>14.646702815582884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100*73025/425245</f>
        <v>17.172453526790438</v>
      </c>
      <c r="E44">
        <f>IF(COUNT(C44:D44)=2,D44-C44,"")</f>
        <v>9.106163646412426</v>
      </c>
      <c r="H44">
        <v>6</v>
      </c>
      <c r="I44">
        <v>5</v>
      </c>
      <c r="J44">
        <f>100*143171/458928</f>
        <v>31.19683261862427</v>
      </c>
      <c r="K44">
        <f>100*35980/193744</f>
        <v>18.570897679412006</v>
      </c>
      <c r="L44">
        <f>IF(COUNT(J44:K44)=2,K44-J44,"")</f>
        <v>-12.625934939212264</v>
      </c>
      <c r="O44">
        <v>6</v>
      </c>
      <c r="P44">
        <v>5</v>
      </c>
      <c r="Q44">
        <f>100*332039/690960</f>
        <v>48.05473544054649</v>
      </c>
      <c r="R44">
        <f>100*180592/729267</f>
        <v>24.763495400175792</v>
      </c>
      <c r="S44">
        <f>IF(COUNT(Q44:R44)=2,R44-Q44,"")</f>
        <v>-23.291240040370695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100*12018/348537</f>
        <v>3.4481274584907773</v>
      </c>
      <c r="E45">
        <f>IF(COUNT(C45:D45)=2,D45-C45,"")</f>
        <v>1.3545677972008332</v>
      </c>
      <c r="H45">
        <v>7</v>
      </c>
      <c r="I45">
        <v>6</v>
      </c>
      <c r="J45">
        <f>100*1474/516628</f>
        <v>0.28531167493825343</v>
      </c>
      <c r="K45">
        <f>100*31939/566395</f>
        <v>5.638997519399006</v>
      </c>
      <c r="L45">
        <f>IF(COUNT(J45:K45)=2,K45-J45,"")</f>
        <v>5.3536858444607525</v>
      </c>
      <c r="O45">
        <v>7</v>
      </c>
      <c r="P45">
        <v>6</v>
      </c>
      <c r="Q45">
        <f>100*255047/462709</f>
        <v>55.12038884050234</v>
      </c>
      <c r="R45">
        <f>100*160324/529758</f>
        <v>30.263629808327575</v>
      </c>
      <c r="S45">
        <f>IF(COUNT(Q45:R45)=2,R45-Q45,"")</f>
        <v>-24.856759032174768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100*1540/359493</f>
        <v>0.42838108113370776</v>
      </c>
      <c r="E46">
        <f>IF(COUNT(C46:D46)=2,D46-C46,"")</f>
        <v>-1.7883484564471863</v>
      </c>
      <c r="H46">
        <v>8</v>
      </c>
      <c r="I46">
        <v>7</v>
      </c>
      <c r="J46">
        <f>100*2387/421854</f>
        <v>0.5658355734448411</v>
      </c>
      <c r="K46">
        <f>100*207/757760</f>
        <v>0.027317356418918918</v>
      </c>
      <c r="L46">
        <f>IF(COUNT(J46:K46)=2,K46-J46,"")</f>
        <v>-0.5385182170259222</v>
      </c>
      <c r="O46">
        <v>8</v>
      </c>
      <c r="P46">
        <v>7</v>
      </c>
      <c r="Q46">
        <f>100*174551/400003</f>
        <v>43.63742271932961</v>
      </c>
      <c r="R46">
        <f>100*62090/324303</f>
        <v>19.145675494830453</v>
      </c>
      <c r="S46">
        <f>IF(COUNT(Q46:R46)=2,R46-Q46,"")</f>
        <v>-24.491747224499154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100*107239/322824</f>
        <v>33.21902956409684</v>
      </c>
      <c r="E47">
        <f>IF(COUNT(C47:D47)=2,D47-C47,"")</f>
        <v>-24.433098469670306</v>
      </c>
      <c r="H47">
        <v>9</v>
      </c>
      <c r="I47">
        <v>8</v>
      </c>
      <c r="J47">
        <f>100*195875/433696</f>
        <v>45.16412417914853</v>
      </c>
      <c r="K47">
        <f>100*238658/621742</f>
        <v>38.385375284281906</v>
      </c>
      <c r="L47">
        <f>IF(COUNT(J47:K47)=2,K47-J47,"")</f>
        <v>-6.778748894866624</v>
      </c>
      <c r="O47">
        <v>9</v>
      </c>
      <c r="P47">
        <v>8</v>
      </c>
      <c r="Q47">
        <f>100*68616/113213</f>
        <v>60.60788072041197</v>
      </c>
      <c r="R47">
        <f>100*36311/132843</f>
        <v>27.33376993895049</v>
      </c>
      <c r="S47">
        <f>IF(COUNT(Q47:R47)=2,R47-Q47,"")</f>
        <v>-33.27411078146148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100*113177/631345</f>
        <v>17.92633187876676</v>
      </c>
      <c r="E48">
        <f>IF(COUNT(C48:D48)=2,D48-C48,"")</f>
        <v>-4.032973743032901</v>
      </c>
      <c r="H48">
        <v>10</v>
      </c>
      <c r="I48">
        <v>9</v>
      </c>
      <c r="J48">
        <f>100*319115/716304</f>
        <v>44.550218901472</v>
      </c>
      <c r="K48">
        <f>100*11380/589696</f>
        <v>1.9298079010201867</v>
      </c>
      <c r="L48">
        <f>IF(COUNT(J48:K48)=2,K48-J48,"")</f>
        <v>-42.62041100045181</v>
      </c>
      <c r="O48">
        <v>10</v>
      </c>
      <c r="P48">
        <v>9</v>
      </c>
      <c r="Q48">
        <f>100*144975/663380</f>
        <v>21.85399017154572</v>
      </c>
      <c r="R48">
        <f>100*10713/434610</f>
        <v>2.464968592531235</v>
      </c>
      <c r="S48">
        <f>IF(COUNT(Q48:R48)=2,R48-Q48,"")</f>
        <v>-19.389021579014486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100*38811/566326</f>
        <v>6.853119934454713</v>
      </c>
      <c r="E49">
        <f>IF(COUNT(C49:D49)=2,D49-C49,"")</f>
        <v>-37.774600086939145</v>
      </c>
      <c r="H49">
        <v>11</v>
      </c>
      <c r="I49">
        <v>10</v>
      </c>
      <c r="J49">
        <f>100*298304/894387</f>
        <v>33.352899807354085</v>
      </c>
      <c r="K49">
        <f>100*22716/578537</f>
        <v>3.926455870583904</v>
      </c>
      <c r="L49">
        <f>IF(COUNT(J49:K49)=2,K49-J49,"")</f>
        <v>-29.42644393677018</v>
      </c>
      <c r="O49">
        <v>11</v>
      </c>
      <c r="P49">
        <v>10</v>
      </c>
      <c r="Q49">
        <f>100*252271/540552</f>
        <v>46.66914561411298</v>
      </c>
      <c r="R49">
        <f>100*188768/625155</f>
        <v>30.19539154289736</v>
      </c>
      <c r="S49">
        <f>IF(COUNT(Q49:R49)=2,R49-Q49,"")</f>
        <v>-16.473754071215616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100*94409/873910</f>
        <v>10.8030575230859</v>
      </c>
      <c r="E50">
        <f>IF(COUNT(C50:D50)=2,D50-C50,"")</f>
        <v>-31.71189101081941</v>
      </c>
      <c r="H50">
        <v>12</v>
      </c>
      <c r="I50">
        <v>11</v>
      </c>
      <c r="K50">
        <f>100*22273/614279</f>
        <v>3.6258768409794246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100*42186/148346</f>
        <v>28.437571623097355</v>
      </c>
      <c r="S50">
        <f>IF(COUNT(Q50:R50)=2,R50-Q50,"")</f>
        <v>-19.234401284401287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100*16601/559597</f>
        <v>2.9665991776224674</v>
      </c>
      <c r="E51">
        <f>IF(COUNT(C51:D51)=2,D51-C51,"")</f>
        <v>0.8155408469313579</v>
      </c>
      <c r="H51">
        <v>13</v>
      </c>
      <c r="I51">
        <v>12</v>
      </c>
      <c r="J51">
        <f>100*63849/654587</f>
        <v>9.75408921961481</v>
      </c>
      <c r="K51">
        <f>100*39900/544979</f>
        <v>7.3213830257679655</v>
      </c>
      <c r="L51">
        <f>IF(COUNT(J51:K51)=2,K51-J51,"")</f>
        <v>-2.432706193846845</v>
      </c>
      <c r="O51">
        <v>13</v>
      </c>
      <c r="P51">
        <v>12</v>
      </c>
      <c r="Q51">
        <f>100*326273/687294</f>
        <v>47.47211528108786</v>
      </c>
      <c r="R51">
        <f>100*215190/753629</f>
        <v>28.5538374982916</v>
      </c>
      <c r="S51">
        <f>IF(COUNT(Q51:R51)=2,R51-Q51,"")</f>
        <v>-18.91827778279626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100*6709/392120</f>
        <v>1.7109558298480056</v>
      </c>
      <c r="E52">
        <f>IF(COUNT(C52:D52)=2,D52-C52,"")</f>
        <v>-10.73010414138744</v>
      </c>
      <c r="H52">
        <v>14</v>
      </c>
      <c r="I52">
        <v>13</v>
      </c>
      <c r="J52">
        <f>100*46518/257005</f>
        <v>18.100036964261395</v>
      </c>
      <c r="K52">
        <f>100*42925/304279</f>
        <v>14.107118795579057</v>
      </c>
      <c r="L52">
        <f>IF(COUNT(J52:K52)=2,K52-J52,"")</f>
        <v>-3.9929181686823387</v>
      </c>
      <c r="O52">
        <v>14</v>
      </c>
      <c r="P52">
        <v>13</v>
      </c>
      <c r="Q52">
        <f>100*2347/627958</f>
        <v>0.37375111074307515</v>
      </c>
      <c r="R52">
        <f>100*15097/380610</f>
        <v>3.9665274165155933</v>
      </c>
      <c r="S52">
        <f>IF(COUNT(Q52:R52)=2,R52-Q52,"")</f>
        <v>3.592776305772518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100*136070/539373</f>
        <v>25.22744000904754</v>
      </c>
      <c r="E53">
        <f>IF(COUNT(C53:D53)=2,D53-C53,"")</f>
        <v>-28.70010253743331</v>
      </c>
      <c r="H53">
        <v>15</v>
      </c>
      <c r="I53">
        <v>14</v>
      </c>
      <c r="J53">
        <f>100*175137/618371</f>
        <v>28.322317831851752</v>
      </c>
      <c r="K53">
        <f>100*105974/640219</f>
        <v>16.552773347870026</v>
      </c>
      <c r="L53">
        <f>IF(COUNT(J53:K53)=2,K53-J53,"")</f>
        <v>-11.769544483981726</v>
      </c>
      <c r="O53">
        <v>15</v>
      </c>
      <c r="P53">
        <v>14</v>
      </c>
      <c r="Q53">
        <f>100*146769/359086</f>
        <v>40.872938516121486</v>
      </c>
      <c r="R53">
        <f>100*72991/209041</f>
        <v>34.917073684109816</v>
      </c>
      <c r="S53">
        <f>IF(COUNT(Q53:R53)=2,R53-Q53,"")</f>
        <v>-5.95586483201167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100*83564/682221</f>
        <v>12.248816732407827</v>
      </c>
      <c r="E54">
        <f>IF(COUNT(C54:D54)=2,D54-C54,"")</f>
        <v>-39.208917257739955</v>
      </c>
      <c r="H54">
        <v>16</v>
      </c>
      <c r="I54">
        <v>15</v>
      </c>
      <c r="J54">
        <f>100*262686/530062</f>
        <v>49.55759892239021</v>
      </c>
      <c r="K54">
        <f>100*162231/643114</f>
        <v>25.225854203142834</v>
      </c>
      <c r="L54">
        <f>IF(COUNT(J54:K54)=2,K54-J54,"")</f>
        <v>-24.33174471924738</v>
      </c>
      <c r="O54">
        <v>16</v>
      </c>
      <c r="P54">
        <v>15</v>
      </c>
      <c r="Q54">
        <f>100*161630/350468</f>
        <v>46.11833320017805</v>
      </c>
      <c r="R54">
        <f>100*161047/405662</f>
        <v>39.69979934033752</v>
      </c>
      <c r="S54">
        <f>IF(COUNT(Q54:R54)=2,R54-Q54,"")</f>
        <v>-6.4185338598405295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100*163421/637376</f>
        <v>25.639653830705893</v>
      </c>
      <c r="E55">
        <f>IF(COUNT(C55:D55)=2,D55-C55,"")</f>
        <v>-4.817216061426727</v>
      </c>
      <c r="H55">
        <v>17</v>
      </c>
      <c r="I55">
        <v>16</v>
      </c>
      <c r="J55">
        <f>100*201035/472489</f>
        <v>42.5480804844134</v>
      </c>
      <c r="K55">
        <f>100*17835/250341</f>
        <v>7.124282478699055</v>
      </c>
      <c r="L55">
        <f>IF(COUNT(J55:K55)=2,K55-J55,"")</f>
        <v>-35.423798005714346</v>
      </c>
      <c r="O55">
        <v>17</v>
      </c>
      <c r="P55">
        <v>16</v>
      </c>
      <c r="Q55">
        <f>100*10845/444486</f>
        <v>2.4398968696426886</v>
      </c>
      <c r="R55">
        <f>100*12342/353139</f>
        <v>3.4949410855215652</v>
      </c>
      <c r="S55">
        <f>IF(COUNT(Q55:R55)=2,R55-Q55,"")</f>
        <v>1.0550442158788766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100*33172/652275</f>
        <v>5.085585067647848</v>
      </c>
      <c r="E56">
        <f>IF(COUNT(C56:D56)=2,D56-C56,"")</f>
        <v>-44.37523346858246</v>
      </c>
      <c r="H56">
        <v>18</v>
      </c>
      <c r="I56">
        <v>17</v>
      </c>
      <c r="K56">
        <f>100*175324/814845</f>
        <v>21.51623928477195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100*4055/370638</f>
        <v>1.0940594326539643</v>
      </c>
      <c r="S56">
        <f>IF(COUNT(Q56:R56)=2,R56-Q56,"")</f>
        <v>-8.70923910379511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100*108120/696316</f>
        <v>15.52743294711022</v>
      </c>
      <c r="E57">
        <f>IF(COUNT(C57:D57)=2,D57-C57,"")</f>
        <v>-23.19129908845953</v>
      </c>
      <c r="H57">
        <v>19</v>
      </c>
      <c r="I57">
        <v>18</v>
      </c>
      <c r="J57">
        <f>100*171180/560014</f>
        <v>30.567092965533003</v>
      </c>
      <c r="K57">
        <f>100*115257/469593</f>
        <v>24.544020034370188</v>
      </c>
      <c r="L57">
        <f>IF(COUNT(J57:K57)=2,K57-J57,"")</f>
        <v>-6.023072931162815</v>
      </c>
      <c r="O57">
        <v>19</v>
      </c>
      <c r="P57">
        <v>18</v>
      </c>
      <c r="Q57">
        <f>100*169030/384674</f>
        <v>43.94110337584552</v>
      </c>
      <c r="R57">
        <f>100*259920/640924</f>
        <v>40.55395023434916</v>
      </c>
      <c r="S57">
        <f>IF(COUNT(Q57:R57)=2,R57-Q57,"")</f>
        <v>-3.3871531414963627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100*201868/817967</f>
        <v>24.679235225870972</v>
      </c>
      <c r="E58">
        <f>IF(COUNT(C58:D58)=2,D58-C58,"")</f>
        <v>-16.74726033933001</v>
      </c>
      <c r="H58">
        <v>20</v>
      </c>
      <c r="I58">
        <v>19</v>
      </c>
      <c r="J58">
        <f>100*284748/588066</f>
        <v>48.42109559131118</v>
      </c>
      <c r="K58">
        <f>100*140694/805146</f>
        <v>17.474346267633447</v>
      </c>
      <c r="L58">
        <f>IF(COUNT(J58:K58)=2,K58-J58,"")</f>
        <v>-30.946749323677732</v>
      </c>
      <c r="O58">
        <v>20</v>
      </c>
      <c r="P58">
        <v>19</v>
      </c>
      <c r="Q58">
        <f>100*276241/622059</f>
        <v>44.40752404514684</v>
      </c>
      <c r="R58">
        <f>100*177550/730396</f>
        <v>24.308731154058894</v>
      </c>
      <c r="S58">
        <f>IF(COUNT(Q58:R58)=2,R58-Q58,"")</f>
        <v>-20.09879289108795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100*267337/747439</f>
        <v>35.767065941167104</v>
      </c>
      <c r="E59">
        <f>IF(COUNT(C59:D59)=2,D59-C59,"")</f>
        <v>-11.220976016388107</v>
      </c>
      <c r="H59">
        <v>21</v>
      </c>
      <c r="I59">
        <v>20</v>
      </c>
      <c r="J59">
        <f>100*380768/887907</f>
        <v>42.88377048497196</v>
      </c>
      <c r="K59">
        <f>100*95052/518934</f>
        <v>18.31678016857635</v>
      </c>
      <c r="L59">
        <f>IF(COUNT(J59:K59)=2,K59-J59,"")</f>
        <v>-24.56699031639561</v>
      </c>
      <c r="O59">
        <v>21</v>
      </c>
      <c r="P59">
        <v>20</v>
      </c>
      <c r="Q59">
        <f>100*102616/414261</f>
        <v>24.7708570200912</v>
      </c>
      <c r="R59">
        <f>100*89726/399932</f>
        <v>22.435314003380576</v>
      </c>
      <c r="S59">
        <f>IF(COUNT(Q59:R59)=2,R59-Q59,"")</f>
        <v>-2.3355430167106235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100*65/106</f>
        <v>61.320754716981135</v>
      </c>
      <c r="E60">
        <f>IF(COUNT(C60:D60)=2,D60-C60,"")</f>
        <v>17.251666213515207</v>
      </c>
      <c r="H60">
        <v>22</v>
      </c>
      <c r="I60">
        <v>21</v>
      </c>
      <c r="J60">
        <f>100*139592/266933</f>
        <v>52.29477059786538</v>
      </c>
      <c r="K60">
        <f>100*88189/287961</f>
        <v>30.62532773535305</v>
      </c>
      <c r="L60">
        <f>IF(COUNT(J60:K60)=2,K60-J60,"")</f>
        <v>-21.66944286251233</v>
      </c>
      <c r="O60">
        <v>22</v>
      </c>
      <c r="P60">
        <v>21</v>
      </c>
      <c r="Q60">
        <f>100*93353/177560</f>
        <v>52.57546744762334</v>
      </c>
      <c r="R60">
        <f>100*100731/276914</f>
        <v>36.37627566681353</v>
      </c>
      <c r="S60">
        <f>IF(COUNT(Q60:R60)=2,R60-Q60,"")</f>
        <v>-16.199191780809812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100*259908/786516</f>
        <v>33.04548159223716</v>
      </c>
      <c r="E61">
        <f>IF(COUNT(C61:D61)=2,D61-C61,"")</f>
        <v>-13.212175007287343</v>
      </c>
      <c r="H61">
        <v>23</v>
      </c>
      <c r="I61">
        <v>22</v>
      </c>
      <c r="J61">
        <f>100*307788/547933</f>
        <v>56.1725612438017</v>
      </c>
      <c r="K61">
        <f>100*356027/986036</f>
        <v>36.10689670559696</v>
      </c>
      <c r="L61">
        <f>IF(COUNT(J61:K61)=2,K61-J61,"")</f>
        <v>-20.065664538204743</v>
      </c>
      <c r="O61">
        <v>23</v>
      </c>
      <c r="P61">
        <v>22</v>
      </c>
      <c r="Q61">
        <f>100*1420/340312</f>
        <v>0.41726415759655844</v>
      </c>
      <c r="R61">
        <f>100*3779/603422</f>
        <v>0.6262615549317062</v>
      </c>
      <c r="S61">
        <f>IF(COUNT(Q61:R61)=2,R61-Q61,"")</f>
        <v>0.20899739733514777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100*146192/826367</f>
        <v>17.690929090827684</v>
      </c>
      <c r="E62">
        <f>IF(COUNT(C62:D62)=2,D62-C62,"")</f>
        <v>-3.906732794464169</v>
      </c>
      <c r="H62">
        <v>24</v>
      </c>
      <c r="I62">
        <v>23</v>
      </c>
      <c r="J62">
        <f>100*403224/842602</f>
        <v>47.85462175499227</v>
      </c>
      <c r="K62">
        <f>100*2707/112109</f>
        <v>2.4146143485358</v>
      </c>
      <c r="L62">
        <f>IF(COUNT(J62:K62)=2,K62-J62,"")</f>
        <v>-45.44000740645647</v>
      </c>
      <c r="O62">
        <v>24</v>
      </c>
      <c r="P62">
        <v>23</v>
      </c>
      <c r="Q62">
        <f>100*127073/681026</f>
        <v>18.659052664655974</v>
      </c>
      <c r="R62">
        <f>100*35244/543875</f>
        <v>6.480165479200184</v>
      </c>
      <c r="S62">
        <f>IF(COUNT(Q62:R62)=2,R62-Q62,"")</f>
        <v>-12.178887185455789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100*188603/714266</f>
        <v>26.405148782106387</v>
      </c>
      <c r="E63">
        <f>IF(COUNT(C63:D63)=2,D63-C63,"")</f>
        <v>-18.345629411757415</v>
      </c>
      <c r="H63">
        <v>25</v>
      </c>
      <c r="I63">
        <v>24</v>
      </c>
      <c r="J63">
        <f>100*334373/832460</f>
        <v>40.16685486389736</v>
      </c>
      <c r="K63">
        <f>100*70886/670715</f>
        <v>10.568721439061301</v>
      </c>
      <c r="L63">
        <f>IF(COUNT(J63:K63)=2,K63-J63,"")</f>
        <v>-29.598133424836064</v>
      </c>
      <c r="O63">
        <v>25</v>
      </c>
      <c r="P63">
        <v>24</v>
      </c>
      <c r="Q63">
        <f>100*69231/149628</f>
        <v>46.26874649129842</v>
      </c>
      <c r="R63">
        <f>100*198423/538021</f>
        <v>36.88015895290332</v>
      </c>
      <c r="S63">
        <f>IF(COUNT(Q63:R63)=2,R63-Q63,"")</f>
        <v>-9.3885875383951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100*128163/646847</f>
        <v>19.813495308782446</v>
      </c>
      <c r="E64">
        <f>IF(COUNT(C64:D64)=2,D64-C64,"")</f>
        <v>-26.38037363281313</v>
      </c>
      <c r="H64">
        <v>26</v>
      </c>
      <c r="I64">
        <v>25</v>
      </c>
      <c r="J64">
        <f>100*93173/499879</f>
        <v>18.639110664780876</v>
      </c>
      <c r="K64">
        <f>100*137973/537452</f>
        <v>25.67168789026741</v>
      </c>
      <c r="L64">
        <f>IF(COUNT(J64:K64)=2,K64-J64,"")</f>
        <v>7.032577225486534</v>
      </c>
      <c r="O64">
        <v>26</v>
      </c>
      <c r="P64">
        <v>25</v>
      </c>
      <c r="Q64">
        <f>100*287382/566887</f>
        <v>50.69475927301208</v>
      </c>
      <c r="R64">
        <f>100*96849/515585</f>
        <v>18.78429356944054</v>
      </c>
      <c r="S64">
        <f>IF(COUNT(Q64:R64)=2,R64-Q64,"")</f>
        <v>-31.910465703571543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100*123260/782874</f>
        <v>15.744551485935157</v>
      </c>
      <c r="E65">
        <f>IF(COUNT(C65:D65)=2,D65-C65,"")</f>
        <v>-9.520984754006113</v>
      </c>
      <c r="H65">
        <v>27</v>
      </c>
      <c r="I65">
        <v>26</v>
      </c>
      <c r="J65">
        <f>100*244313/656873</f>
        <v>37.19333874280112</v>
      </c>
      <c r="K65">
        <f>100*179455/733616</f>
        <v>24.461707487295804</v>
      </c>
      <c r="L65">
        <f>IF(COUNT(J65:K65)=2,K65-J65,"")</f>
        <v>-12.731631255505313</v>
      </c>
      <c r="O65">
        <v>27</v>
      </c>
      <c r="P65">
        <v>26</v>
      </c>
      <c r="Q65">
        <f>100*89767/349739</f>
        <v>25.6668544257289</v>
      </c>
      <c r="R65">
        <f>100*104785/382079</f>
        <v>27.424956618919126</v>
      </c>
      <c r="S65">
        <f>IF(COUNT(Q65:R65)=2,R65-Q65,"")</f>
        <v>1.7581021931902256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100*129110/418117</f>
        <v>30.878916666865972</v>
      </c>
      <c r="E66">
        <f>IF(COUNT(C66:D66)=2,D66-C66,"")</f>
        <v>4.809188902343671</v>
      </c>
      <c r="H66">
        <v>28</v>
      </c>
      <c r="I66">
        <v>27</v>
      </c>
      <c r="J66">
        <f>100*138608/347102</f>
        <v>39.93293037781402</v>
      </c>
      <c r="K66">
        <f>100*143919/527757</f>
        <v>27.26993673224609</v>
      </c>
      <c r="L66">
        <f>IF(COUNT(J66:K66)=2,K66-J66,"")</f>
        <v>-12.662993645567926</v>
      </c>
      <c r="O66">
        <v>28</v>
      </c>
      <c r="P66">
        <v>27</v>
      </c>
      <c r="Q66">
        <f>100*334/323134</f>
        <v>0.10336269163876287</v>
      </c>
      <c r="R66">
        <f>100*3126/337089</f>
        <v>0.9273515303080195</v>
      </c>
      <c r="S66">
        <f>IF(COUNT(Q66:R66)=2,R66-Q66,"")</f>
        <v>0.8239888386692567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100*278120/799080</f>
        <v>34.80502577964659</v>
      </c>
      <c r="E67">
        <f>IF(COUNT(C67:D67)=2,D67-C67,"")</f>
        <v>-10.148760527523173</v>
      </c>
      <c r="H67">
        <v>29</v>
      </c>
      <c r="I67">
        <v>28</v>
      </c>
      <c r="J67">
        <f>100*198367/384779</f>
        <v>51.553489145717414</v>
      </c>
      <c r="K67">
        <f>100*131186/542305</f>
        <v>24.190446335549183</v>
      </c>
      <c r="L67">
        <f>IF(COUNT(J67:K67)=2,K67-J67,"")</f>
        <v>-27.36304281016823</v>
      </c>
      <c r="O67">
        <v>29</v>
      </c>
      <c r="P67">
        <v>28</v>
      </c>
      <c r="Q67">
        <f>100*145808/355081</f>
        <v>41.063306682137316</v>
      </c>
      <c r="R67">
        <f>100*153356/412794</f>
        <v>37.15073378004525</v>
      </c>
      <c r="S67">
        <f>IF(COUNT(Q67:R67)=2,R67-Q67,"")</f>
        <v>-3.912572902092066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100*115982/526285</f>
        <v>22.037869215349097</v>
      </c>
      <c r="E68">
        <f>IF(COUNT(C68:D68)=2,D68-C68,"")</f>
        <v>18.178877129707764</v>
      </c>
      <c r="H68">
        <v>30</v>
      </c>
      <c r="I68">
        <v>29</v>
      </c>
      <c r="J68">
        <f>100*78716/427068</f>
        <v>18.431725158522763</v>
      </c>
      <c r="K68">
        <f>100*67175/462393</f>
        <v>14.527685323956028</v>
      </c>
      <c r="L68">
        <f>IF(COUNT(J68:K68)=2,K68-J68,"")</f>
        <v>-3.904039834566735</v>
      </c>
      <c r="O68">
        <v>30</v>
      </c>
      <c r="P68">
        <v>29</v>
      </c>
      <c r="Q68">
        <f>100*234882/519580</f>
        <v>45.20612802648293</v>
      </c>
      <c r="R68">
        <f>100*202959/704988</f>
        <v>28.789000663841087</v>
      </c>
      <c r="S68">
        <f>IF(COUNT(Q68:R68)=2,R68-Q68,"")</f>
        <v>-16.417127362641843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100*171022/640142</f>
        <v>26.71625982985025</v>
      </c>
      <c r="E69">
        <f>IF(COUNT(C69:D69)=2,D69-C69,"")</f>
        <v>1.133723539866537</v>
      </c>
      <c r="H69">
        <v>31</v>
      </c>
      <c r="I69">
        <v>30</v>
      </c>
      <c r="J69">
        <f>100*150446/466352</f>
        <v>32.26018115071877</v>
      </c>
      <c r="K69">
        <f>100*57032/672680</f>
        <v>8.478325503954332</v>
      </c>
      <c r="L69">
        <f>IF(COUNT(J69:K69)=2,K69-J69,"")</f>
        <v>-23.78185564676444</v>
      </c>
      <c r="O69">
        <v>31</v>
      </c>
      <c r="P69">
        <v>30</v>
      </c>
      <c r="Q69">
        <f>100*3881/600979</f>
        <v>0.6457796362268898</v>
      </c>
      <c r="R69">
        <f>100*34390/446627</f>
        <v>7.6999375317658805</v>
      </c>
      <c r="S69">
        <f>IF(COUNT(Q69:R69)=2,R69-Q69,"")</f>
        <v>7.0541578955389905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21.824419709279777</v>
      </c>
      <c r="E70">
        <f>IF(COUNT(E39:E69)&gt;0,AVERAGE(E39:E69),"")</f>
        <v>-10.018407991429772</v>
      </c>
      <c r="H70" t="s">
        <v>5</v>
      </c>
      <c r="J70">
        <f>IF(COUNT(J39:J69)&gt;0,AVERAGE(J39:J69),"")</f>
        <v>33.41421734972294</v>
      </c>
      <c r="K70">
        <f>IF(COUNT(K39:K69)&gt;0,AVERAGE(K39:K69),"")</f>
        <v>17.237747827498133</v>
      </c>
      <c r="L70">
        <f>IF(COUNT(L39:L69)&gt;0,AVERAGE(L39:L69),"")</f>
        <v>-15.854628848802566</v>
      </c>
      <c r="O70" t="s">
        <v>5</v>
      </c>
      <c r="Q70">
        <f>IF(COUNT(Q39:Q69)&gt;0,AVERAGE(Q39:Q69),"")</f>
        <v>33.06664971973761</v>
      </c>
      <c r="R70">
        <f>IF(COUNT(R39:R69)&gt;0,AVERAGE(R39:R69),"")</f>
        <v>23.69042750525566</v>
      </c>
      <c r="S70">
        <f>IF(COUNT(S39:S69)&gt;0,AVERAGE(S39:S69),"")</f>
        <v>-9.37622221448196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100*160740/602522</f>
        <v>26.677864044798365</v>
      </c>
      <c r="E75">
        <f>IF(COUNT(C75:D75)=2,D75-C75,"")</f>
        <v>-23.937706974376997</v>
      </c>
      <c r="H75">
        <v>1</v>
      </c>
      <c r="I75">
        <v>0</v>
      </c>
      <c r="J75">
        <f>100*432733/796677</f>
        <v>54.317245257488295</v>
      </c>
      <c r="K75">
        <f>100*37931/520737</f>
        <v>7.284099267000425</v>
      </c>
      <c r="L75">
        <f>IF(COUNT(J75:K75)=2,K75-J75,"")</f>
        <v>-47.03314599048787</v>
      </c>
      <c r="O75">
        <v>1</v>
      </c>
      <c r="P75">
        <v>0</v>
      </c>
      <c r="Q75">
        <f>100*20655/569971</f>
        <v>3.623868582787545</v>
      </c>
      <c r="R75">
        <f>100*103883/485836</f>
        <v>21.382318313175638</v>
      </c>
      <c r="S75">
        <f>IF(COUNT(Q75:R75)=2,R75-Q75,"")</f>
        <v>17.758449730388094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100*258115/637808</f>
        <v>40.46907533301558</v>
      </c>
      <c r="E76">
        <f>IF(COUNT(C76:D76)=2,D76-C76,"")</f>
        <v>-10.501090936901697</v>
      </c>
      <c r="H76">
        <v>2</v>
      </c>
      <c r="I76">
        <v>1</v>
      </c>
      <c r="J76">
        <f>100*305577/591060</f>
        <v>51.69982742868744</v>
      </c>
      <c r="K76">
        <f>100*134445/369737</f>
        <v>36.36233322604987</v>
      </c>
      <c r="L76">
        <f>IF(COUNT(J76:K76)=2,K76-J76,"")</f>
        <v>-15.337494202637572</v>
      </c>
      <c r="O76">
        <v>2</v>
      </c>
      <c r="P76">
        <v>1</v>
      </c>
      <c r="Q76">
        <f>100*111778/257794</f>
        <v>43.35942651884838</v>
      </c>
      <c r="R76">
        <f>100*111493/246578</f>
        <v>45.21611822628134</v>
      </c>
      <c r="S76">
        <f>IF(COUNT(Q76:R76)=2,R76-Q76,"")</f>
        <v>1.856691707432958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100*300708/1069585</f>
        <v>28.11445560661378</v>
      </c>
      <c r="E77">
        <f>IF(COUNT(C77:D77)=2,D77-C77,"")</f>
        <v>23.863022810272923</v>
      </c>
      <c r="H77">
        <v>3</v>
      </c>
      <c r="I77">
        <v>2</v>
      </c>
      <c r="J77">
        <f>100*244646/584205</f>
        <v>41.87673847365223</v>
      </c>
      <c r="K77">
        <f>100*299031/795531</f>
        <v>37.588855745407784</v>
      </c>
      <c r="L77">
        <f>IF(COUNT(J77:K77)=2,K77-J77,"")</f>
        <v>-4.287882728244448</v>
      </c>
      <c r="O77">
        <v>3</v>
      </c>
      <c r="P77">
        <v>2</v>
      </c>
      <c r="Q77">
        <f>100*92329/194806</f>
        <v>47.395357432522616</v>
      </c>
      <c r="R77">
        <f>100*37793/113540</f>
        <v>33.286066584463626</v>
      </c>
      <c r="S77">
        <f>IF(COUNT(Q77:R77)=2,R77-Q77,"")</f>
        <v>-14.10929084805899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100*22170/689614</f>
        <v>3.214841926062986</v>
      </c>
      <c r="E78">
        <f>IF(COUNT(C78:D78)=2,D78-C78,"")</f>
        <v>-51.54913064445575</v>
      </c>
      <c r="H78">
        <v>4</v>
      </c>
      <c r="I78">
        <v>3</v>
      </c>
      <c r="J78">
        <f>100*316744/731828</f>
        <v>43.281208152735346</v>
      </c>
      <c r="K78">
        <f>100*39185/486436</f>
        <v>8.055530429491238</v>
      </c>
      <c r="L78">
        <f>IF(COUNT(J78:K78)=2,K78-J78,"")</f>
        <v>-35.225677723244104</v>
      </c>
      <c r="O78">
        <v>4</v>
      </c>
      <c r="P78">
        <v>3</v>
      </c>
      <c r="Q78">
        <f>100*240086/489338</f>
        <v>49.06342855040892</v>
      </c>
      <c r="R78">
        <f>100*197440/527598</f>
        <v>37.422431472446824</v>
      </c>
      <c r="S78">
        <f>IF(COUNT(Q78:R78)=2,R78-Q78,"")</f>
        <v>-11.640997077962098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100*246060/624773</f>
        <v>39.3839042340178</v>
      </c>
      <c r="E79">
        <f>IF(COUNT(C79:D79)=2,D79-C79,"")</f>
        <v>3.2312288814838013</v>
      </c>
      <c r="H79">
        <v>5</v>
      </c>
      <c r="I79">
        <v>4</v>
      </c>
      <c r="J79">
        <f>100*174388/383201</f>
        <v>45.50823197225477</v>
      </c>
      <c r="K79">
        <f>100*214295/439463</f>
        <v>48.76292202073895</v>
      </c>
      <c r="L79">
        <f>IF(COUNT(J79:K79)=2,K79-J79,"")</f>
        <v>3.2546900484841785</v>
      </c>
      <c r="O79">
        <v>5</v>
      </c>
      <c r="P79">
        <v>4</v>
      </c>
      <c r="Q79">
        <f>100*426762/872765</f>
        <v>48.89769869323357</v>
      </c>
      <c r="R79">
        <f>100*123984/871053</f>
        <v>14.233806668480563</v>
      </c>
      <c r="S79">
        <f>IF(COUNT(Q79:R79)=2,R79-Q79,"")</f>
        <v>-34.66389202475301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100*131147/581146</f>
        <v>22.5669625188851</v>
      </c>
      <c r="E80">
        <f>IF(COUNT(C80:D80)=2,D80-C80,"")</f>
        <v>-11.99426431839749</v>
      </c>
      <c r="H80">
        <v>6</v>
      </c>
      <c r="I80">
        <v>5</v>
      </c>
      <c r="J80">
        <f>100*124193/417286</f>
        <v>29.76208164184756</v>
      </c>
      <c r="K80">
        <f>100*131314/575834</f>
        <v>22.804141471326805</v>
      </c>
      <c r="L80">
        <f>IF(COUNT(J80:K80)=2,K80-J80,"")</f>
        <v>-6.957940170520754</v>
      </c>
      <c r="O80">
        <v>6</v>
      </c>
      <c r="P80">
        <v>5</v>
      </c>
      <c r="Q80">
        <f>100*275977/710313</f>
        <v>38.85287190294983</v>
      </c>
      <c r="R80">
        <f>100*182898/752811</f>
        <v>24.295341061700746</v>
      </c>
      <c r="S80">
        <f>IF(COUNT(Q80:R80)=2,R80-Q80,"")</f>
        <v>-14.557530841249083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100*141082/813085</f>
        <v>17.35144542083546</v>
      </c>
      <c r="E81">
        <f>IF(COUNT(C81:D81)=2,D81-C81,"")</f>
        <v>15.417772777587889</v>
      </c>
      <c r="H81">
        <v>7</v>
      </c>
      <c r="I81">
        <v>6</v>
      </c>
      <c r="J81">
        <f>100*4575/667678</f>
        <v>0.6852105356174683</v>
      </c>
      <c r="K81">
        <f>100*60795/613295</f>
        <v>9.912847813857931</v>
      </c>
      <c r="L81">
        <f>IF(COUNT(J81:K81)=2,K81-J81,"")</f>
        <v>9.227637278240463</v>
      </c>
      <c r="O81">
        <v>7</v>
      </c>
      <c r="P81">
        <v>6</v>
      </c>
      <c r="Q81">
        <f>100*256619/495194</f>
        <v>51.82191222026115</v>
      </c>
      <c r="R81">
        <f>100*152140/508881</f>
        <v>29.896970018530855</v>
      </c>
      <c r="S81">
        <f>IF(COUNT(Q81:R81)=2,R81-Q81,"")</f>
        <v>-21.924942201730293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100*1482/433809</f>
        <v>0.34162500086443576</v>
      </c>
      <c r="E82">
        <f>IF(COUNT(C82:D82)=2,D82-C82,"")</f>
        <v>-0.5390120248767312</v>
      </c>
      <c r="H82">
        <v>8</v>
      </c>
      <c r="I82">
        <v>7</v>
      </c>
      <c r="J82">
        <f>100*7536/581531</f>
        <v>1.2958896430284885</v>
      </c>
      <c r="K82">
        <f>100*1502/436476</f>
        <v>0.34411972250478834</v>
      </c>
      <c r="L82">
        <f>IF(COUNT(J82:K82)=2,K82-J82,"")</f>
        <v>-0.9517699205237002</v>
      </c>
      <c r="O82">
        <v>8</v>
      </c>
      <c r="P82">
        <v>7</v>
      </c>
      <c r="Q82">
        <f>100*168583/355732</f>
        <v>47.39045123857286</v>
      </c>
      <c r="R82">
        <f>100*197333/467964</f>
        <v>42.168414664375895</v>
      </c>
      <c r="S82">
        <f>IF(COUNT(Q82:R82)=2,R82-Q82,"")</f>
        <v>-5.222036574196963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100*257036/564530</f>
        <v>45.530972667528744</v>
      </c>
      <c r="E83">
        <f>IF(COUNT(C83:D83)=2,D83-C83,"")</f>
        <v>-6.222285732566917</v>
      </c>
      <c r="H83">
        <v>9</v>
      </c>
      <c r="I83">
        <v>8</v>
      </c>
      <c r="J83">
        <f>100*224416/408350</f>
        <v>54.95677727439696</v>
      </c>
      <c r="K83">
        <f>100*285987/683110</f>
        <v>41.86543894833921</v>
      </c>
      <c r="L83">
        <f>IF(COUNT(J83:K83)=2,K83-J83,"")</f>
        <v>-13.091338326057752</v>
      </c>
      <c r="O83">
        <v>9</v>
      </c>
      <c r="P83">
        <v>8</v>
      </c>
      <c r="Q83">
        <f>100*66103/140560</f>
        <v>47.02831531018782</v>
      </c>
      <c r="R83">
        <f>100*102086/241186</f>
        <v>42.326669043808515</v>
      </c>
      <c r="S83">
        <f>IF(COUNT(Q83:R83)=2,R83-Q83,"")</f>
        <v>-4.701646266379306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100*54736/651493</f>
        <v>8.401625190140185</v>
      </c>
      <c r="E84">
        <f>IF(COUNT(C84:D84)=2,D84-C84,"")</f>
        <v>-6.995383053312718</v>
      </c>
      <c r="H84">
        <v>10</v>
      </c>
      <c r="I84">
        <v>9</v>
      </c>
      <c r="J84">
        <f>100*472599/885198</f>
        <v>53.389072275355346</v>
      </c>
      <c r="K84">
        <f>100*47814/603572</f>
        <v>7.921838653880564</v>
      </c>
      <c r="L84">
        <f>IF(COUNT(J84:K84)=2,K84-J84,"")</f>
        <v>-45.46723362147478</v>
      </c>
      <c r="O84">
        <v>10</v>
      </c>
      <c r="P84">
        <v>9</v>
      </c>
      <c r="Q84">
        <f>100*6243/543809</f>
        <v>1.1480133649866038</v>
      </c>
      <c r="R84">
        <f>100*2555/36440</f>
        <v>7.01152579582876</v>
      </c>
      <c r="S84">
        <f>IF(COUNT(Q84:R84)=2,R84-Q84,"")</f>
        <v>5.863512430842157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100*354559/940334</f>
        <v>37.7056450154945</v>
      </c>
      <c r="E85">
        <f>IF(COUNT(C85:D85)=2,D85-C85,"")</f>
        <v>-13.553351637979624</v>
      </c>
      <c r="H85">
        <v>11</v>
      </c>
      <c r="I85">
        <v>10</v>
      </c>
      <c r="J85">
        <f>100*370148/619144</f>
        <v>59.783830578992934</v>
      </c>
      <c r="K85">
        <f>100*203690/885204</f>
        <v>23.010515090306868</v>
      </c>
      <c r="L85">
        <f>IF(COUNT(J85:K85)=2,K85-J85,"")</f>
        <v>-36.773315488686066</v>
      </c>
      <c r="O85">
        <v>11</v>
      </c>
      <c r="P85">
        <v>10</v>
      </c>
      <c r="Q85">
        <f>100*225999/413085</f>
        <v>54.71004756890228</v>
      </c>
      <c r="R85">
        <f>100*268224/688160</f>
        <v>38.9769820971867</v>
      </c>
      <c r="S85">
        <f>IF(COUNT(Q85:R85)=2,R85-Q85,"")</f>
        <v>-15.733065471715584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100*234376/950704</f>
        <v>24.65288880661068</v>
      </c>
      <c r="E86">
        <f>IF(COUNT(C86:D86)=2,D86-C86,"")</f>
        <v>-28.965325155702285</v>
      </c>
      <c r="H86">
        <v>12</v>
      </c>
      <c r="I86">
        <v>11</v>
      </c>
      <c r="J86">
        <f>100*303732/544372</f>
        <v>55.79493434636609</v>
      </c>
      <c r="K86">
        <f>100*50418/937257</f>
        <v>5.379314318271296</v>
      </c>
      <c r="L86">
        <f>IF(COUNT(J86:K86)=2,K86-J86,"")</f>
        <v>-50.41562002809479</v>
      </c>
      <c r="O86">
        <v>12</v>
      </c>
      <c r="P86">
        <v>11</v>
      </c>
      <c r="Q86">
        <f>100*176887/390857</f>
        <v>45.25619344159117</v>
      </c>
      <c r="R86">
        <f>100*165309/374350</f>
        <v>44.158942166421795</v>
      </c>
      <c r="S86">
        <f>IF(COUNT(Q86:R86)=2,R86-Q86,"")</f>
        <v>-1.097251275169377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100*52413/843946</f>
        <v>6.210468442293701</v>
      </c>
      <c r="E87">
        <f>IF(COUNT(C87:D87)=2,D87-C87,"")</f>
        <v>4.651449603585421</v>
      </c>
      <c r="H87">
        <v>13</v>
      </c>
      <c r="I87">
        <v>12</v>
      </c>
      <c r="J87">
        <f>100*302007/670149</f>
        <v>45.06564957942189</v>
      </c>
      <c r="K87">
        <f>100*362064/1045228</f>
        <v>34.63971497127899</v>
      </c>
      <c r="L87">
        <f>IF(COUNT(J87:K87)=2,K87-J87,"")</f>
        <v>-10.425934608142896</v>
      </c>
      <c r="O87">
        <v>13</v>
      </c>
      <c r="P87">
        <v>12</v>
      </c>
      <c r="Q87">
        <f>100*187062/769706</f>
        <v>24.30304557844164</v>
      </c>
      <c r="R87">
        <f>100*6748/638039</f>
        <v>1.0576156003002952</v>
      </c>
      <c r="S87">
        <f>IF(COUNT(Q87:R87)=2,R87-Q87,"")</f>
        <v>-23.245429978141345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100*37762/447232</f>
        <v>8.443492415569548</v>
      </c>
      <c r="E88">
        <f>IF(COUNT(C88:D88)=2,D88-C88,"")</f>
        <v>2.37213081563823</v>
      </c>
      <c r="H88">
        <v>14</v>
      </c>
      <c r="I88">
        <v>13</v>
      </c>
      <c r="J88">
        <f>100*112082/470769</f>
        <v>23.808279644581525</v>
      </c>
      <c r="K88">
        <f>100*3871/515659</f>
        <v>0.7506898939027535</v>
      </c>
      <c r="L88">
        <f>IF(COUNT(J88:K88)=2,K88-J88,"")</f>
        <v>-23.057589750678773</v>
      </c>
      <c r="O88">
        <v>14</v>
      </c>
      <c r="P88">
        <v>13</v>
      </c>
      <c r="Q88">
        <f>100*77933/602059</f>
        <v>12.94441242469592</v>
      </c>
      <c r="R88">
        <f>100*64341/736443</f>
        <v>8.7367250418566</v>
      </c>
      <c r="S88">
        <f>IF(COUNT(Q88:R88)=2,R88-Q88,"")</f>
        <v>-4.207687382839319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100*389083/1092286</f>
        <v>35.62098205048861</v>
      </c>
      <c r="E89">
        <f>IF(COUNT(C89:D89)=2,D89-C89,"")</f>
        <v>15.06784644058078</v>
      </c>
      <c r="H89">
        <v>15</v>
      </c>
      <c r="I89">
        <v>14</v>
      </c>
      <c r="J89">
        <f>100*79792/480516</f>
        <v>16.605482439710645</v>
      </c>
      <c r="K89">
        <f>100*108091/474776</f>
        <v>22.766736313545756</v>
      </c>
      <c r="L89">
        <f>IF(COUNT(J89:K89)=2,K89-J89,"")</f>
        <v>6.161253873835111</v>
      </c>
      <c r="O89">
        <v>15</v>
      </c>
      <c r="P89">
        <v>14</v>
      </c>
      <c r="Q89">
        <f>100*175395/343809</f>
        <v>51.015243929042</v>
      </c>
      <c r="R89">
        <f>100*242488/607150</f>
        <v>39.93873013258668</v>
      </c>
      <c r="S89">
        <f>IF(COUNT(Q89:R89)=2,R89-Q89,"")</f>
        <v>-11.076513796455323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100*136801/833665</f>
        <v>16.409588983584534</v>
      </c>
      <c r="E90">
        <f>IF(COUNT(C90:D90)=2,D90-C90,"")</f>
        <v>-41.17638074224804</v>
      </c>
      <c r="H90">
        <v>16</v>
      </c>
      <c r="I90">
        <v>15</v>
      </c>
      <c r="J90">
        <f>100*331166/636513</f>
        <v>52.028159676235994</v>
      </c>
      <c r="K90">
        <f>100*337216/847108</f>
        <v>39.8079111518248</v>
      </c>
      <c r="L90">
        <f>IF(COUNT(J90:K90)=2,K90-J90,"")</f>
        <v>-12.220248524411197</v>
      </c>
      <c r="O90">
        <v>16</v>
      </c>
      <c r="P90">
        <v>15</v>
      </c>
      <c r="Q90">
        <f>100*123775/294038</f>
        <v>42.0948992987301</v>
      </c>
      <c r="R90">
        <f>100*231390/541449</f>
        <v>42.73532687289108</v>
      </c>
      <c r="S90">
        <f>IF(COUNT(Q90:R90)=2,R90-Q90,"")</f>
        <v>0.6404275741609808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100*161399/641233</f>
        <v>25.170101975412994</v>
      </c>
      <c r="E91">
        <f>IF(COUNT(C91:D91)=2,D91-C91,"")</f>
        <v>-15.961912975211224</v>
      </c>
      <c r="H91">
        <v>17</v>
      </c>
      <c r="I91">
        <v>16</v>
      </c>
      <c r="J91">
        <f>100*2558/107131</f>
        <v>2.3877309088872503</v>
      </c>
      <c r="K91">
        <f>100*130952/570228</f>
        <v>22.964849148060075</v>
      </c>
      <c r="L91">
        <f>IF(COUNT(J91:K91)=2,K91-J91,"")</f>
        <v>20.577118239172826</v>
      </c>
      <c r="O91">
        <v>17</v>
      </c>
      <c r="P91">
        <v>16</v>
      </c>
      <c r="Q91">
        <f>100*18236/388369</f>
        <v>4.695534401561401</v>
      </c>
      <c r="R91">
        <f>100*10284/460823</f>
        <v>2.231659444081567</v>
      </c>
      <c r="S91">
        <f>IF(COUNT(Q91:R91)=2,R91-Q91,"")</f>
        <v>-2.463874957479834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100*35719/572123</f>
        <v>6.243237905135784</v>
      </c>
      <c r="E92">
        <f>IF(COUNT(C92:D92)=2,D92-C92,"")</f>
        <v>-45.271089676946666</v>
      </c>
      <c r="H92">
        <v>18</v>
      </c>
      <c r="I92">
        <v>17</v>
      </c>
      <c r="K92">
        <f>100*197348/1011243</f>
        <v>19.515388487237985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100*49871/557614</f>
        <v>8.943642017596401</v>
      </c>
      <c r="S92">
        <f>IF(COUNT(Q92:R92)=2,R92-Q92,"")</f>
        <v>-9.070281030123256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100*68131/627396</f>
        <v>10.859329673762664</v>
      </c>
      <c r="E93">
        <f>IF(COUNT(C93:D93)=2,D93-C93,"")</f>
        <v>-38.24915952693753</v>
      </c>
      <c r="H93">
        <v>19</v>
      </c>
      <c r="I93">
        <v>18</v>
      </c>
      <c r="J93">
        <f>100*98670/626756</f>
        <v>15.742968555546337</v>
      </c>
      <c r="K93">
        <f>100*53652/501209</f>
        <v>10.704516479153407</v>
      </c>
      <c r="L93">
        <f>IF(COUNT(J93:K93)=2,K93-J93,"")</f>
        <v>-5.038452076392931</v>
      </c>
      <c r="O93">
        <v>19</v>
      </c>
      <c r="P93">
        <v>18</v>
      </c>
      <c r="Q93">
        <f>100*176507/342598</f>
        <v>51.52014897927017</v>
      </c>
      <c r="R93">
        <f>100*244843/595541</f>
        <v>41.11270256791724</v>
      </c>
      <c r="S93">
        <f>IF(COUNT(Q93:R93)=2,R93-Q93,"")</f>
        <v>-10.407446411352929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100*176346/796046</f>
        <v>22.15273991703997</v>
      </c>
      <c r="E94">
        <f>IF(COUNT(C94:D94)=2,D94-C94,"")</f>
        <v>-28.02913601147088</v>
      </c>
      <c r="H94">
        <v>20</v>
      </c>
      <c r="I94">
        <v>19</v>
      </c>
      <c r="J94">
        <f>100*63724/294932</f>
        <v>21.606336375842567</v>
      </c>
      <c r="K94">
        <f>100*176106/674804</f>
        <v>26.097355676611283</v>
      </c>
      <c r="L94">
        <f>IF(COUNT(J94:K94)=2,K94-J94,"")</f>
        <v>4.491019300768716</v>
      </c>
      <c r="O94">
        <v>20</v>
      </c>
      <c r="P94">
        <v>19</v>
      </c>
      <c r="Q94">
        <f>100*271008/594768</f>
        <v>45.565329674763944</v>
      </c>
      <c r="R94">
        <f>100*252022/863361</f>
        <v>29.190801993604065</v>
      </c>
      <c r="S94">
        <f>IF(COUNT(Q94:R94)=2,R94-Q94,"")</f>
        <v>-16.37452768115988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100*13167/252068</f>
        <v>5.22359045971722</v>
      </c>
      <c r="E95">
        <f>IF(COUNT(C95:D95)=2,D95-C95,"")</f>
        <v>-49.48211103995825</v>
      </c>
      <c r="H95">
        <v>21</v>
      </c>
      <c r="I95">
        <v>20</v>
      </c>
      <c r="J95">
        <f>100*465002/826011</f>
        <v>56.29489195664465</v>
      </c>
      <c r="K95">
        <f>100*120690/390627</f>
        <v>30.89648181001313</v>
      </c>
      <c r="L95">
        <f>IF(COUNT(J95:K95)=2,K95-J95,"")</f>
        <v>-25.398410146631516</v>
      </c>
      <c r="O95">
        <v>21</v>
      </c>
      <c r="P95">
        <v>20</v>
      </c>
      <c r="Q95">
        <f>100*230728/471359</f>
        <v>48.9495267938026</v>
      </c>
      <c r="R95">
        <f>100*100556/499371</f>
        <v>20.136531756950244</v>
      </c>
      <c r="S95">
        <f>IF(COUNT(Q95:R95)=2,R95-Q95,"")</f>
        <v>-28.812995036852353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100*82055/237448</f>
        <v>34.55703985714767</v>
      </c>
      <c r="E96">
        <f>IF(COUNT(C96:D96)=2,D96-C96,"")</f>
        <v>-6.499758113520315</v>
      </c>
      <c r="H96">
        <v>22</v>
      </c>
      <c r="I96">
        <v>21</v>
      </c>
      <c r="J96">
        <f>100*144864/290419</f>
        <v>49.881033954390034</v>
      </c>
      <c r="K96">
        <f>100*95008/237084</f>
        <v>40.07356042584063</v>
      </c>
      <c r="L96">
        <f>IF(COUNT(J96:K96)=2,K96-J96,"")</f>
        <v>-9.807473528549401</v>
      </c>
      <c r="O96">
        <v>22</v>
      </c>
      <c r="P96">
        <v>21</v>
      </c>
      <c r="Q96">
        <f>100*25278/69101</f>
        <v>36.58123616156061</v>
      </c>
      <c r="R96">
        <f>100*41359/128509</f>
        <v>32.18373810394603</v>
      </c>
      <c r="S96">
        <f>IF(COUNT(Q96:R96)=2,R96-Q96,"")</f>
        <v>-4.397498057614584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100*331981/896745</f>
        <v>37.02066919804404</v>
      </c>
      <c r="E97">
        <f>IF(COUNT(C97:D97)=2,D97-C97,"")</f>
        <v>-6.462633073956731</v>
      </c>
      <c r="H97">
        <v>23</v>
      </c>
      <c r="I97">
        <v>22</v>
      </c>
      <c r="J97">
        <f>100*455714/839395</f>
        <v>54.29076894668184</v>
      </c>
      <c r="K97">
        <f>100*181162/948787</f>
        <v>19.09406431580534</v>
      </c>
      <c r="L97">
        <f>IF(COUNT(J97:K97)=2,K97-J97,"")</f>
        <v>-35.196704630876496</v>
      </c>
      <c r="O97">
        <v>23</v>
      </c>
      <c r="P97">
        <v>22</v>
      </c>
      <c r="Q97">
        <f>100*745/388450</f>
        <v>0.1917878748873729</v>
      </c>
      <c r="R97">
        <f>100*4062/359101</f>
        <v>1.1311580864436468</v>
      </c>
      <c r="S97">
        <f>IF(COUNT(Q97:R97)=2,R97-Q97,"")</f>
        <v>0.9393702115562739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100*152707/728328</f>
        <v>20.966789688162475</v>
      </c>
      <c r="E98">
        <f>IF(COUNT(C98:D98)=2,D98-C98,"")</f>
        <v>-5.313980327265035</v>
      </c>
      <c r="H98">
        <v>24</v>
      </c>
      <c r="I98">
        <v>23</v>
      </c>
      <c r="J98">
        <f>100*361494/762974</f>
        <v>47.37959615924002</v>
      </c>
      <c r="K98">
        <f>100*24881/782399</f>
        <v>3.1800909765988963</v>
      </c>
      <c r="L98">
        <f>IF(COUNT(J98:K98)=2,K98-J98,"")</f>
        <v>-44.199505182641126</v>
      </c>
      <c r="O98">
        <v>24</v>
      </c>
      <c r="P98">
        <v>23</v>
      </c>
      <c r="Q98">
        <f>100*292810/722778</f>
        <v>40.51174772890155</v>
      </c>
      <c r="R98">
        <f>100*135265/639680</f>
        <v>21.14572911455728</v>
      </c>
      <c r="S98">
        <f>IF(COUNT(Q98:R98)=2,R98-Q98,"")</f>
        <v>-19.366018614344267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100*58022/598154</f>
        <v>9.70017754625063</v>
      </c>
      <c r="E99">
        <f>IF(COUNT(C99:D99)=2,D99-C99,"")</f>
        <v>-32.86789355147876</v>
      </c>
      <c r="H99">
        <v>25</v>
      </c>
      <c r="I99">
        <v>24</v>
      </c>
      <c r="J99">
        <f>100*297339/579923</f>
        <v>51.27215164771875</v>
      </c>
      <c r="K99">
        <f>100*70087/819882</f>
        <v>8.548425261196124</v>
      </c>
      <c r="L99">
        <f>IF(COUNT(J99:K99)=2,K99-J99,"")</f>
        <v>-42.72372638652263</v>
      </c>
      <c r="O99">
        <v>25</v>
      </c>
      <c r="P99">
        <v>24</v>
      </c>
      <c r="Q99">
        <f>100*194348/434877</f>
        <v>44.69033772767932</v>
      </c>
      <c r="R99">
        <f>100*181652/436584</f>
        <v>41.60757150972093</v>
      </c>
      <c r="S99">
        <f>IF(COUNT(Q99:R99)=2,R99-Q99,"")</f>
        <v>-3.082766217958394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100*169793/639952</f>
        <v>26.53214616096207</v>
      </c>
      <c r="E100">
        <f>IF(COUNT(C100:D100)=2,D100-C100,"")</f>
        <v>-33.0558181261185</v>
      </c>
      <c r="H100">
        <v>26</v>
      </c>
      <c r="I100">
        <v>25</v>
      </c>
      <c r="J100">
        <f>100*30617/503886</f>
        <v>6.076175960435496</v>
      </c>
      <c r="K100">
        <f>100*217747/779869</f>
        <v>27.920971342622927</v>
      </c>
      <c r="L100">
        <f>IF(COUNT(J100:K100)=2,K100-J100,"")</f>
        <v>21.84479538218743</v>
      </c>
      <c r="O100">
        <v>26</v>
      </c>
      <c r="P100">
        <v>25</v>
      </c>
      <c r="Q100">
        <f>100*196342/383537</f>
        <v>51.19245340084529</v>
      </c>
      <c r="R100">
        <f>100*296907/650416</f>
        <v>45.64878477774224</v>
      </c>
      <c r="S100">
        <f>IF(COUNT(Q100:R100)=2,R100-Q100,"")</f>
        <v>-5.543668623103045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100*363678/1078165</f>
        <v>33.73120069748137</v>
      </c>
      <c r="E101">
        <f>IF(COUNT(C101:D101)=2,D101-C101,"")</f>
        <v>15.281286546152813</v>
      </c>
      <c r="H101">
        <v>27</v>
      </c>
      <c r="I101">
        <v>26</v>
      </c>
      <c r="J101">
        <f>100*110948/559494</f>
        <v>19.830060733448438</v>
      </c>
      <c r="K101">
        <f>100*214469/521604</f>
        <v>41.11720769012508</v>
      </c>
      <c r="L101">
        <f>IF(COUNT(J101:K101)=2,K101-J101,"")</f>
        <v>21.28714695667664</v>
      </c>
      <c r="O101">
        <v>27</v>
      </c>
      <c r="P101">
        <v>26</v>
      </c>
      <c r="Q101">
        <f>100*186316/322263</f>
        <v>57.81489032250057</v>
      </c>
      <c r="R101">
        <f>100*209268/483168</f>
        <v>43.31164315517584</v>
      </c>
      <c r="S101">
        <f>IF(COUNT(Q101:R101)=2,R101-Q101,"")</f>
        <v>-14.50324716732473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100*196875/628849</f>
        <v>31.307197753355734</v>
      </c>
      <c r="E102">
        <f>IF(COUNT(C102:D102)=2,D102-C102,"")</f>
        <v>2.713018999925705</v>
      </c>
      <c r="H102">
        <v>28</v>
      </c>
      <c r="I102">
        <v>27</v>
      </c>
      <c r="J102">
        <f>100*139061/401357</f>
        <v>34.6477076517913</v>
      </c>
      <c r="K102">
        <f>100*256828/664304</f>
        <v>38.66121534719044</v>
      </c>
      <c r="L102">
        <f>IF(COUNT(J102:K102)=2,K102-J102,"")</f>
        <v>4.0135076953991415</v>
      </c>
      <c r="O102">
        <v>28</v>
      </c>
      <c r="P102">
        <v>27</v>
      </c>
      <c r="Q102">
        <f>100*1759/765634</f>
        <v>0.22974423810854794</v>
      </c>
      <c r="R102">
        <f>100*593/381682</f>
        <v>0.15536493730382883</v>
      </c>
      <c r="S102">
        <f>IF(COUNT(Q102:R102)=2,R102-Q102,"")</f>
        <v>-0.0743793008047191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100*250297/674885</f>
        <v>37.08735562355068</v>
      </c>
      <c r="E103">
        <f>IF(COUNT(C103:D103)=2,D103-C103,"")</f>
        <v>-14.079136022066159</v>
      </c>
      <c r="H103">
        <v>29</v>
      </c>
      <c r="I103">
        <v>28</v>
      </c>
      <c r="J103">
        <f>100*239541/426383</f>
        <v>56.17977264571993</v>
      </c>
      <c r="K103">
        <f>100*276693/678265</f>
        <v>40.79423234281586</v>
      </c>
      <c r="L103">
        <f>IF(COUNT(J103:K103)=2,K103-J103,"")</f>
        <v>-15.385540302904069</v>
      </c>
      <c r="O103">
        <v>29</v>
      </c>
      <c r="P103">
        <v>28</v>
      </c>
      <c r="Q103">
        <f>100*180468/321414</f>
        <v>56.14814538259068</v>
      </c>
      <c r="R103">
        <f>100*212955/485169</f>
        <v>43.89295276491284</v>
      </c>
      <c r="S103">
        <f>IF(COUNT(Q103:R103)=2,R103-Q103,"")</f>
        <v>-12.255192617677835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100*2984/443216</f>
        <v>0.6732608931085521</v>
      </c>
      <c r="E104">
        <f>IF(COUNT(C104:D104)=2,D104-C104,"")</f>
        <v>-0.729834140804288</v>
      </c>
      <c r="H104">
        <v>30</v>
      </c>
      <c r="I104">
        <v>29</v>
      </c>
      <c r="J104">
        <f>100*176819/628999</f>
        <v>28.111173467684367</v>
      </c>
      <c r="K104">
        <f>100*20538/418182</f>
        <v>4.911258734235333</v>
      </c>
      <c r="L104">
        <f>IF(COUNT(J104:K104)=2,K104-J104,"")</f>
        <v>-23.199914733449035</v>
      </c>
      <c r="O104">
        <v>30</v>
      </c>
      <c r="P104">
        <v>29</v>
      </c>
      <c r="Q104">
        <f>100*273685/521227</f>
        <v>52.5078324798984</v>
      </c>
      <c r="R104">
        <f>100*241968/681658</f>
        <v>35.49697942369927</v>
      </c>
      <c r="S104">
        <f>IF(COUNT(Q104:R104)=2,R104-Q104,"")</f>
        <v>-17.010853056199124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100*79012/610462</f>
        <v>12.9429841660906</v>
      </c>
      <c r="E105">
        <f>IF(COUNT(C105:D105)=2,D105-C105,"")</f>
        <v>-26.550173806088548</v>
      </c>
      <c r="H105">
        <v>31</v>
      </c>
      <c r="I105">
        <v>30</v>
      </c>
      <c r="J105">
        <f>100*69915/403117</f>
        <v>17.343599997023198</v>
      </c>
      <c r="K105">
        <f>100*178236/531562</f>
        <v>33.53061355025378</v>
      </c>
      <c r="L105">
        <f>IF(COUNT(J105:K105)=2,K105-J105,"")</f>
        <v>16.187013553230585</v>
      </c>
      <c r="O105">
        <v>31</v>
      </c>
      <c r="P105">
        <v>30</v>
      </c>
      <c r="Q105">
        <f>100*141232/628600</f>
        <v>22.467706013363028</v>
      </c>
      <c r="R105">
        <f>100*6908/548604</f>
        <v>1.2591960685667622</v>
      </c>
      <c r="S105">
        <f>IF(COUNT(Q105:R105)=2,R105-Q105,"")</f>
        <v>-21.208509944796266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21.782698682968594</v>
      </c>
      <c r="E106">
        <f>IF(COUNT(E75:E105)&gt;0,AVERAGE(E75:E105),"")</f>
        <v>-13.3996390560456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23.07313679437059</v>
      </c>
      <c r="L106">
        <f>IF(COUNT(L75:L105)&gt;0,AVERAGE(L75:L105),"")</f>
        <v>-13.171691191439226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27.10620772524368</v>
      </c>
      <c r="S106">
        <f>IF(COUNT(S75:S105)&gt;0,AVERAGE(S75:S105),"")</f>
        <v>-9.667519058098755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100*19100/267409</f>
        <v>7.14261674064822</v>
      </c>
      <c r="E3">
        <f>IF(COUNT(C3:D3)=2,D3-C3,"")</f>
        <v>-27.882383482967377</v>
      </c>
      <c r="H3">
        <v>1</v>
      </c>
      <c r="I3">
        <v>0</v>
      </c>
      <c r="J3">
        <f>100*58251/215009</f>
        <v>27.09235427354204</v>
      </c>
      <c r="K3">
        <f>100*45001/247966</f>
        <v>18.148052555592297</v>
      </c>
      <c r="L3">
        <f>IF(COUNT(J3:K3)=2,K3-J3,"")</f>
        <v>-8.944301717949742</v>
      </c>
      <c r="O3">
        <v>1</v>
      </c>
      <c r="P3">
        <v>0</v>
      </c>
      <c r="Q3">
        <f>100*45645/291867</f>
        <v>15.638972545714315</v>
      </c>
      <c r="R3">
        <f>100*7213/323164</f>
        <v>2.231993662660445</v>
      </c>
      <c r="S3">
        <f>IF(COUNT(Q3:R3)=2,R3-Q3,"")</f>
        <v>-13.40697888305387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100*83318/349183</f>
        <v>23.860840877133192</v>
      </c>
      <c r="E4">
        <f>IF(COUNT(C4:D4)=2,D4-C4,"")</f>
        <v>-13.932119178924452</v>
      </c>
      <c r="H4">
        <v>2</v>
      </c>
      <c r="I4">
        <v>1</v>
      </c>
      <c r="J4">
        <f>100*64971/296332</f>
        <v>21.925070529001257</v>
      </c>
      <c r="K4">
        <f>100*80773/323103</f>
        <v>24.999148878221497</v>
      </c>
      <c r="L4">
        <f>IF(COUNT(J4:K4)=2,K4-J4,"")</f>
        <v>3.0740783492202404</v>
      </c>
      <c r="O4">
        <v>2</v>
      </c>
      <c r="P4">
        <v>1</v>
      </c>
      <c r="Q4">
        <f>100*75288/157455</f>
        <v>47.81556635229113</v>
      </c>
      <c r="R4">
        <f>100*48988/136654</f>
        <v>35.84820056493041</v>
      </c>
      <c r="S4">
        <f>IF(COUNT(Q4:R4)=2,R4-Q4,"")</f>
        <v>-11.96736578736072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100*87458/469652</f>
        <v>18.621873216764754</v>
      </c>
      <c r="E5">
        <f>IF(COUNT(C5:D5)=2,D5-C5,"")</f>
        <v>-19.59939803006273</v>
      </c>
      <c r="H5">
        <v>3</v>
      </c>
      <c r="I5">
        <v>2</v>
      </c>
      <c r="J5">
        <f>100*62705/328831</f>
        <v>19.069065872743142</v>
      </c>
      <c r="K5">
        <f>100*129752/585949</f>
        <v>22.143906722257398</v>
      </c>
      <c r="L5">
        <f>IF(COUNT(J5:K5)=2,K5-J5,"")</f>
        <v>3.0748408495142563</v>
      </c>
      <c r="O5">
        <v>3</v>
      </c>
      <c r="P5">
        <v>2</v>
      </c>
      <c r="Q5">
        <f>100*141348/334791</f>
        <v>42.21977293296415</v>
      </c>
      <c r="R5">
        <f>100*65194/306522</f>
        <v>21.26894643777608</v>
      </c>
      <c r="S5">
        <f>IF(COUNT(Q5:R5)=2,R5-Q5,"")</f>
        <v>-20.950826495188068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100*50878/502487</f>
        <v>10.125237070809792</v>
      </c>
      <c r="E6">
        <f>IF(COUNT(C6:D6)=2,D6-C6,"")</f>
        <v>6.647648664175383</v>
      </c>
      <c r="H6">
        <v>4</v>
      </c>
      <c r="I6">
        <v>3</v>
      </c>
      <c r="J6">
        <f>100*69099/464767</f>
        <v>14.867449711360747</v>
      </c>
      <c r="K6">
        <f>100*23212/381541</f>
        <v>6.0837498460191695</v>
      </c>
      <c r="L6">
        <f>IF(COUNT(J6:K6)=2,K6-J6,"")</f>
        <v>-8.783699865341578</v>
      </c>
      <c r="O6">
        <v>4</v>
      </c>
      <c r="P6">
        <v>3</v>
      </c>
      <c r="Q6">
        <f>100*182044/470083</f>
        <v>38.72592712350798</v>
      </c>
      <c r="R6">
        <f>100*167155/571904</f>
        <v>29.227807464189794</v>
      </c>
      <c r="S6">
        <f>IF(COUNT(Q6:R6)=2,R6-Q6,"")</f>
        <v>-9.498119659318185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100*83016/300720</f>
        <v>27.605746209098164</v>
      </c>
      <c r="E7">
        <f>IF(COUNT(C7:D7)=2,D7-C7,"")</f>
        <v>-9.704410457542735</v>
      </c>
      <c r="H7">
        <v>5</v>
      </c>
      <c r="I7">
        <v>4</v>
      </c>
      <c r="J7">
        <f>100*106457/411240</f>
        <v>25.88683007489544</v>
      </c>
      <c r="K7">
        <f>100*92708/489957</f>
        <v>18.921660472245524</v>
      </c>
      <c r="L7">
        <f>IF(COUNT(J7:K7)=2,K7-J7,"")</f>
        <v>-6.965169602649915</v>
      </c>
      <c r="O7">
        <v>5</v>
      </c>
      <c r="P7">
        <v>4</v>
      </c>
      <c r="Q7">
        <f>100*154964/442048</f>
        <v>35.055921528883744</v>
      </c>
      <c r="R7">
        <f>100*19622/347928</f>
        <v>5.639672575935251</v>
      </c>
      <c r="S7">
        <f>IF(COUNT(Q7:R7)=2,R7-Q7,"")</f>
        <v>-29.416248952948493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100*92077/433727</f>
        <v>21.22925250214997</v>
      </c>
      <c r="E8">
        <f>IF(COUNT(C8:D8)=2,D8-C8,"")</f>
        <v>0.23816538865346715</v>
      </c>
      <c r="H8">
        <v>6</v>
      </c>
      <c r="I8">
        <v>5</v>
      </c>
      <c r="J8">
        <f>100*91696/324059</f>
        <v>28.29608188632317</v>
      </c>
      <c r="K8">
        <f>100*89653/441325</f>
        <v>20.314507449158782</v>
      </c>
      <c r="L8">
        <f>IF(COUNT(J8:K8)=2,K8-J8,"")</f>
        <v>-7.981574437164387</v>
      </c>
      <c r="O8">
        <v>6</v>
      </c>
      <c r="P8">
        <v>5</v>
      </c>
      <c r="Q8">
        <f>100*114455/487242</f>
        <v>23.49038055011678</v>
      </c>
      <c r="R8">
        <f>100*24923/344289</f>
        <v>7.238976557485136</v>
      </c>
      <c r="S8">
        <f>IF(COUNT(Q8:R8)=2,R8-Q8,"")</f>
        <v>-16.251403992631644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100*52796/493677</f>
        <v>10.694441912424521</v>
      </c>
      <c r="E9">
        <f>IF(COUNT(C9:D9)=2,D9-C9,"")</f>
        <v>-10.763316079881525</v>
      </c>
      <c r="H9">
        <v>7</v>
      </c>
      <c r="I9">
        <v>6</v>
      </c>
      <c r="J9">
        <f>100*2956/325191</f>
        <v>0.9090042467349957</v>
      </c>
      <c r="K9">
        <f>100*10285/404983</f>
        <v>2.5396127738695204</v>
      </c>
      <c r="L9">
        <f>IF(COUNT(J9:K9)=2,K9-J9,"")</f>
        <v>1.6306085271345248</v>
      </c>
      <c r="O9">
        <v>7</v>
      </c>
      <c r="P9">
        <v>6</v>
      </c>
      <c r="Q9">
        <f>100*198686/446837</f>
        <v>44.46498387555194</v>
      </c>
      <c r="R9">
        <f>100*100771/324244</f>
        <v>31.078755505113435</v>
      </c>
      <c r="S9">
        <f>IF(COUNT(Q9:R9)=2,R9-Q9,"")</f>
        <v>-13.386228370438502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100*2595/280616</f>
        <v>0.9247512615103914</v>
      </c>
      <c r="E10">
        <f>IF(COUNT(C10:D10)=2,D10-C10,"")</f>
        <v>0.5211072226038933</v>
      </c>
      <c r="H10">
        <v>8</v>
      </c>
      <c r="I10">
        <v>7</v>
      </c>
      <c r="J10">
        <f>100*1179/376958</f>
        <v>0.31276693955294754</v>
      </c>
      <c r="K10">
        <f>100*14524/386586</f>
        <v>3.7569906825389436</v>
      </c>
      <c r="L10">
        <f>IF(COUNT(J10:K10)=2,K10-J10,"")</f>
        <v>3.4442237429859963</v>
      </c>
      <c r="O10">
        <v>8</v>
      </c>
      <c r="P10">
        <v>7</v>
      </c>
      <c r="Q10">
        <f>100*140584/308785</f>
        <v>45.52811826999368</v>
      </c>
      <c r="R10">
        <f>100*138778/380357</f>
        <v>36.486248445539324</v>
      </c>
      <c r="S10">
        <f>IF(COUNT(Q10:R10)=2,R10-Q10,"")</f>
        <v>-9.04186982445436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100*98211/384366</f>
        <v>25.55142754562058</v>
      </c>
      <c r="E11">
        <f>IF(COUNT(C11:D11)=2,D11-C11,"")</f>
        <v>-12.953365796588184</v>
      </c>
      <c r="H11">
        <v>9</v>
      </c>
      <c r="I11">
        <v>8</v>
      </c>
      <c r="J11">
        <f>100*144131/422295</f>
        <v>34.13040646941119</v>
      </c>
      <c r="K11">
        <f>100*115360/393609</f>
        <v>29.308272930751077</v>
      </c>
      <c r="L11">
        <f>IF(COUNT(J11:K11)=2,K11-J11,"")</f>
        <v>-4.822133538660115</v>
      </c>
      <c r="O11">
        <v>9</v>
      </c>
      <c r="P11">
        <v>8</v>
      </c>
      <c r="Q11">
        <f>100*85958/184662</f>
        <v>46.54882975382049</v>
      </c>
      <c r="R11">
        <f>100*93614/255270</f>
        <v>36.67254279782191</v>
      </c>
      <c r="S11">
        <f>IF(COUNT(Q11:R11)=2,R11-Q11,"")</f>
        <v>-9.87628695599858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100*58069/428596</f>
        <v>13.548656543691495</v>
      </c>
      <c r="E12">
        <f>IF(COUNT(C12:D12)=2,D12-C12,"")</f>
        <v>-4.604848805340735</v>
      </c>
      <c r="H12">
        <v>10</v>
      </c>
      <c r="I12">
        <v>9</v>
      </c>
      <c r="J12">
        <f>100*71311/426052</f>
        <v>16.737628270727516</v>
      </c>
      <c r="K12">
        <f>100*22964/342106</f>
        <v>6.712539388376702</v>
      </c>
      <c r="L12">
        <f>IF(COUNT(J12:K12)=2,K12-J12,"")</f>
        <v>-10.025088882350815</v>
      </c>
      <c r="O12">
        <v>10</v>
      </c>
      <c r="P12">
        <v>9</v>
      </c>
      <c r="Q12">
        <f>100*199032/643646</f>
        <v>30.922587882158826</v>
      </c>
      <c r="R12">
        <f>100*21616/429530</f>
        <v>5.032477358973762</v>
      </c>
      <c r="S12">
        <f>IF(COUNT(Q12:R12)=2,R12-Q12,"")</f>
        <v>-25.890110523185065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100*133585/534383</f>
        <v>24.997988334209733</v>
      </c>
      <c r="E13">
        <f>IF(COUNT(C13:D13)=2,D13-C13,"")</f>
        <v>24.271012145481922</v>
      </c>
      <c r="H13">
        <v>11</v>
      </c>
      <c r="I13">
        <v>10</v>
      </c>
      <c r="J13">
        <f>100*28276/544111</f>
        <v>5.196733754693436</v>
      </c>
      <c r="K13">
        <f>100*40432/511402</f>
        <v>7.906109088349283</v>
      </c>
      <c r="L13">
        <f>IF(COUNT(J13:K13)=2,K13-J13,"")</f>
        <v>2.7093753336558475</v>
      </c>
      <c r="O13">
        <v>11</v>
      </c>
      <c r="P13">
        <v>10</v>
      </c>
      <c r="Q13">
        <f>100*136848/421678</f>
        <v>32.453198886354045</v>
      </c>
      <c r="R13">
        <f>100*146582/430880</f>
        <v>34.019216487189006</v>
      </c>
      <c r="S13">
        <f>IF(COUNT(Q13:R13)=2,R13-Q13,"")</f>
        <v>1.5660176008349609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100*176992/699513</f>
        <v>25.302174512839645</v>
      </c>
      <c r="E14">
        <f>IF(COUNT(C14:D14)=2,D14-C14,"")</f>
        <v>-12.943676380267238</v>
      </c>
      <c r="H14">
        <v>12</v>
      </c>
      <c r="I14">
        <v>11</v>
      </c>
      <c r="J14">
        <f>100*18702/461148</f>
        <v>4.05553097920841</v>
      </c>
      <c r="K14">
        <f>100*7765/521428</f>
        <v>1.4891797141695498</v>
      </c>
      <c r="L14">
        <f>IF(COUNT(J14:K14)=2,K14-J14,"")</f>
        <v>-2.5663512650388607</v>
      </c>
      <c r="O14">
        <v>12</v>
      </c>
      <c r="P14">
        <v>11</v>
      </c>
      <c r="Q14">
        <f>100*91935/209068</f>
        <v>43.973731034878604</v>
      </c>
      <c r="R14">
        <f>100*109422/304155</f>
        <v>35.97573605562953</v>
      </c>
      <c r="S14">
        <f>IF(COUNT(Q14:R14)=2,R14-Q14,"")</f>
        <v>-7.997994979249071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100*17363/347864</f>
        <v>4.9913184462893545</v>
      </c>
      <c r="E15">
        <f>IF(COUNT(C15:D15)=2,D15-C15,"")</f>
        <v>-2.7879475988898816</v>
      </c>
      <c r="H15">
        <v>13</v>
      </c>
      <c r="I15">
        <v>12</v>
      </c>
      <c r="J15">
        <f>100*226380/535721</f>
        <v>42.25707037805126</v>
      </c>
      <c r="K15">
        <f>100*83241/575835</f>
        <v>14.455703456719373</v>
      </c>
      <c r="L15">
        <f>IF(COUNT(J15:K15)=2,K15-J15,"")</f>
        <v>-27.801366921331887</v>
      </c>
      <c r="O15">
        <v>13</v>
      </c>
      <c r="P15">
        <v>12</v>
      </c>
      <c r="Q15">
        <f>100*165466/516479</f>
        <v>32.037314198641184</v>
      </c>
      <c r="R15">
        <f>100*53590/420141</f>
        <v>12.755241692669841</v>
      </c>
      <c r="S15">
        <f>IF(COUNT(Q15:R15)=2,R15-Q15,"")</f>
        <v>-19.282072505971342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100*7664/213614</f>
        <v>3.587779827164886</v>
      </c>
      <c r="E16">
        <f>IF(COUNT(C16:D16)=2,D16-C16,"")</f>
        <v>2.1173155735677636</v>
      </c>
      <c r="H16">
        <v>14</v>
      </c>
      <c r="I16">
        <v>13</v>
      </c>
      <c r="J16">
        <f>100*44978/265308</f>
        <v>16.95312617787628</v>
      </c>
      <c r="K16">
        <f>100*350/103228</f>
        <v>0.33905529507497967</v>
      </c>
      <c r="L16">
        <f>IF(COUNT(J16:K16)=2,K16-J16,"")</f>
        <v>-16.6140708828013</v>
      </c>
      <c r="O16">
        <v>14</v>
      </c>
      <c r="P16">
        <v>13</v>
      </c>
      <c r="Q16">
        <f>100*58109/351187</f>
        <v>16.546455307286433</v>
      </c>
      <c r="R16">
        <f>100*2074/443959</f>
        <v>0.46716025578938597</v>
      </c>
      <c r="S16">
        <f>IF(COUNT(Q16:R16)=2,R16-Q16,"")</f>
        <v>-16.079295051497045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100*103407/395239</f>
        <v>26.163156975905718</v>
      </c>
      <c r="E17">
        <f>IF(COUNT(C17:D17)=2,D17-C17,"")</f>
        <v>-6.867374435991881</v>
      </c>
      <c r="H17">
        <v>15</v>
      </c>
      <c r="I17">
        <v>14</v>
      </c>
      <c r="J17">
        <f>100*185252/403337</f>
        <v>45.92983038997166</v>
      </c>
      <c r="K17">
        <f>100*84078/418438</f>
        <v>20.09329936573638</v>
      </c>
      <c r="L17">
        <f>IF(COUNT(J17:K17)=2,K17-J17,"")</f>
        <v>-25.83653102423528</v>
      </c>
      <c r="O17">
        <v>15</v>
      </c>
      <c r="P17">
        <v>14</v>
      </c>
      <c r="Q17">
        <f>100*158493/377442</f>
        <v>41.99135231373297</v>
      </c>
      <c r="R17">
        <f>100*82570/257848</f>
        <v>32.02274208060563</v>
      </c>
      <c r="S17">
        <f>IF(COUNT(Q17:R17)=2,R17-Q17,"")</f>
        <v>-9.968610233127336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100*41150/320359</f>
        <v>12.844964555389423</v>
      </c>
      <c r="E18">
        <f>IF(COUNT(C18:D18)=2,D18-C18,"")</f>
        <v>-19.525116229953333</v>
      </c>
      <c r="H18">
        <v>16</v>
      </c>
      <c r="I18">
        <v>15</v>
      </c>
      <c r="J18">
        <f>100*116194/472598</f>
        <v>24.586223386472223</v>
      </c>
      <c r="K18">
        <f>100*98564/518566</f>
        <v>19.00703092759649</v>
      </c>
      <c r="L18">
        <f>IF(COUNT(J18:K18)=2,K18-J18,"")</f>
        <v>-5.579192458875735</v>
      </c>
      <c r="O18">
        <v>16</v>
      </c>
      <c r="P18">
        <v>15</v>
      </c>
      <c r="Q18">
        <f>100*130815/335348</f>
        <v>39.00873122845522</v>
      </c>
      <c r="R18">
        <f>100*95807/303328</f>
        <v>31.5852806203186</v>
      </c>
      <c r="S18">
        <f>IF(COUNT(Q18:R18)=2,R18-Q18,"")</f>
        <v>-7.423450608136619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100*72328/343579</f>
        <v>21.0513448144386</v>
      </c>
      <c r="E19">
        <f>IF(COUNT(C19:D19)=2,D19-C19,"")</f>
        <v>-1.1224893902820021</v>
      </c>
      <c r="H19">
        <v>17</v>
      </c>
      <c r="I19">
        <v>16</v>
      </c>
      <c r="J19">
        <f>100*147986/392782</f>
        <v>37.6763700984261</v>
      </c>
      <c r="K19">
        <f>100*117877/541228</f>
        <v>21.779545773685026</v>
      </c>
      <c r="L19">
        <f>IF(COUNT(J19:K19)=2,K19-J19,"")</f>
        <v>-15.896824324741072</v>
      </c>
      <c r="O19">
        <v>17</v>
      </c>
      <c r="P19">
        <v>16</v>
      </c>
      <c r="Q19">
        <f>100*17753/266611</f>
        <v>6.65876501719734</v>
      </c>
      <c r="R19">
        <f>100*1669/236470</f>
        <v>0.7057977756163573</v>
      </c>
      <c r="S19">
        <f>IF(COUNT(Q19:R19)=2,R19-Q19,"")</f>
        <v>-5.952967241580983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100*21298/562728</f>
        <v>3.7847770148277675</v>
      </c>
      <c r="E20">
        <f>IF(COUNT(C20:D20)=2,D20-C20,"")</f>
        <v>-29.583944621669815</v>
      </c>
      <c r="H20">
        <v>18</v>
      </c>
      <c r="I20">
        <v>17</v>
      </c>
      <c r="J20">
        <f>100*134558/617547</f>
        <v>21.78911078832866</v>
      </c>
      <c r="K20">
        <f>100*15875/458444</f>
        <v>3.462800254774847</v>
      </c>
      <c r="L20">
        <f>IF(COUNT(J20:K20)=2,K20-J20,"")</f>
        <v>-18.326310533553812</v>
      </c>
      <c r="O20">
        <v>18</v>
      </c>
      <c r="P20">
        <v>17</v>
      </c>
      <c r="Q20">
        <f>100*1405/276206</f>
        <v>0.5086783053228388</v>
      </c>
      <c r="R20">
        <f>100*5195/285294</f>
        <v>1.8209285859499325</v>
      </c>
      <c r="S20">
        <f>IF(COUNT(Q20:R20)=2,R20-Q20,"")</f>
        <v>1.3122502806270937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100*62008/522147</f>
        <v>11.875582929711365</v>
      </c>
      <c r="E21">
        <f>IF(COUNT(C21:D21)=2,D21-C21,"")</f>
        <v>-6.29464276174812</v>
      </c>
      <c r="H21">
        <v>19</v>
      </c>
      <c r="I21">
        <v>18</v>
      </c>
      <c r="J21">
        <f>100*48771/351007</f>
        <v>13.894594694692698</v>
      </c>
      <c r="K21">
        <f>100*37352/358730</f>
        <v>10.412287793047696</v>
      </c>
      <c r="L21">
        <f>IF(COUNT(J21:K21)=2,K21-J21,"")</f>
        <v>-3.4823069016450017</v>
      </c>
      <c r="O21">
        <v>19</v>
      </c>
      <c r="P21">
        <v>18</v>
      </c>
      <c r="Q21">
        <f>100*124085/311389</f>
        <v>39.84887070513088</v>
      </c>
      <c r="R21">
        <f>100*111591/358114</f>
        <v>31.160747694868114</v>
      </c>
      <c r="S21">
        <f>IF(COUNT(Q21:R21)=2,R21-Q21,"")</f>
        <v>-8.688123010262764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100*26500/375562</f>
        <v>7.056091936883924</v>
      </c>
      <c r="E22">
        <f>IF(COUNT(C22:D22)=2,D22-C22,"")</f>
        <v>-13.640604417419055</v>
      </c>
      <c r="H22">
        <v>20</v>
      </c>
      <c r="I22">
        <v>19</v>
      </c>
      <c r="J22">
        <f>100*42161/340805</f>
        <v>12.371003946538343</v>
      </c>
      <c r="K22">
        <f>100*33440/234047</f>
        <v>14.28772853315787</v>
      </c>
      <c r="L22">
        <f>IF(COUNT(J22:K22)=2,K22-J22,"")</f>
        <v>1.9167245866195266</v>
      </c>
      <c r="O22">
        <v>20</v>
      </c>
      <c r="P22">
        <v>19</v>
      </c>
      <c r="Q22">
        <f>100*139808/401311</f>
        <v>34.83781904806995</v>
      </c>
      <c r="R22">
        <f>100*68928/371335</f>
        <v>18.56221471178316</v>
      </c>
      <c r="S22">
        <f>IF(COUNT(Q22:R22)=2,R22-Q22,"")</f>
        <v>-16.275604336286793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100*28719/182430</f>
        <v>15.742476566354219</v>
      </c>
      <c r="E23">
        <f>IF(COUNT(C23:D23)=2,D23-C23,"")</f>
        <v>-10.947692032113656</v>
      </c>
      <c r="H23">
        <v>21</v>
      </c>
      <c r="I23">
        <v>20</v>
      </c>
      <c r="J23">
        <f>100*222992/523032</f>
        <v>42.63448507930681</v>
      </c>
      <c r="K23">
        <f>100*28802/353738</f>
        <v>8.142184328514324</v>
      </c>
      <c r="L23">
        <f>IF(COUNT(J23:K23)=2,K23-J23,"")</f>
        <v>-34.49230075079249</v>
      </c>
      <c r="O23">
        <v>21</v>
      </c>
      <c r="P23">
        <v>20</v>
      </c>
      <c r="Q23">
        <f>100*43636/293480</f>
        <v>14.86847485348235</v>
      </c>
      <c r="R23">
        <f>100*55022/418418</f>
        <v>13.150007886849993</v>
      </c>
      <c r="S23">
        <f>IF(COUNT(Q23:R23)=2,R23-Q23,"")</f>
        <v>-1.7184669666323575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100*77203/204612</f>
        <v>37.731413602330264</v>
      </c>
      <c r="E24">
        <f>IF(COUNT(C24:D24)=2,D24-C24,"")</f>
        <v>-0.41684125443628517</v>
      </c>
      <c r="H24">
        <v>22</v>
      </c>
      <c r="I24">
        <v>21</v>
      </c>
      <c r="J24">
        <f>100*54639/207484</f>
        <v>26.334078772339073</v>
      </c>
      <c r="K24">
        <f>100*61764/274777</f>
        <v>22.477863867790973</v>
      </c>
      <c r="L24">
        <f>IF(COUNT(J24:K24)=2,K24-J24,"")</f>
        <v>-3.8562149045481</v>
      </c>
      <c r="O24">
        <v>22</v>
      </c>
      <c r="P24">
        <v>21</v>
      </c>
      <c r="Q24">
        <f>100*45197/105457</f>
        <v>42.85822657576074</v>
      </c>
      <c r="R24">
        <f>100*19685/63925</f>
        <v>30.79389910050841</v>
      </c>
      <c r="S24">
        <f>IF(COUNT(Q24:R24)=2,R24-Q24,"")</f>
        <v>-12.06432747525233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100*85880/407457</f>
        <v>21.07707070930184</v>
      </c>
      <c r="E25">
        <f>IF(COUNT(C25:D25)=2,D25-C25,"")</f>
        <v>-12.754156994004067</v>
      </c>
      <c r="H25">
        <v>23</v>
      </c>
      <c r="I25">
        <v>22</v>
      </c>
      <c r="J25">
        <f>100*82449/499533</f>
        <v>16.505215871624095</v>
      </c>
      <c r="K25">
        <f>100*38559/459844</f>
        <v>8.385234992736667</v>
      </c>
      <c r="L25">
        <f>IF(COUNT(J25:K25)=2,K25-J25,"")</f>
        <v>-8.119980878887429</v>
      </c>
      <c r="O25">
        <v>23</v>
      </c>
      <c r="P25">
        <v>22</v>
      </c>
      <c r="Q25">
        <f>100*656/247400</f>
        <v>0.2651576394502829</v>
      </c>
      <c r="R25">
        <f>100*581/251598</f>
        <v>0.23092393421251362</v>
      </c>
      <c r="S25">
        <f>IF(COUNT(Q25:R25)=2,R25-Q25,"")</f>
        <v>-0.03423370523776931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100*50797/485456</f>
        <v>10.463770146007054</v>
      </c>
      <c r="E26">
        <f>IF(COUNT(C26:D26)=2,D26-C26,"")</f>
        <v>-13.988812511299283</v>
      </c>
      <c r="H26">
        <v>24</v>
      </c>
      <c r="I26">
        <v>23</v>
      </c>
      <c r="J26">
        <f>100*167481/558799</f>
        <v>29.971599806012538</v>
      </c>
      <c r="K26">
        <f>100*87294/576353</f>
        <v>15.14592619453703</v>
      </c>
      <c r="L26">
        <f>IF(COUNT(J26:K26)=2,K26-J26,"")</f>
        <v>-14.825673611475509</v>
      </c>
      <c r="O26">
        <v>24</v>
      </c>
      <c r="P26">
        <v>23</v>
      </c>
      <c r="Q26">
        <f>100*53061/340117</f>
        <v>15.600807957261766</v>
      </c>
      <c r="R26">
        <f>100*18228/465068</f>
        <v>3.9194268365056293</v>
      </c>
      <c r="S26">
        <f>IF(COUNT(Q26:R26)=2,R26-Q26,"")</f>
        <v>-11.681381120756138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100*78908/490454</f>
        <v>16.08876673449498</v>
      </c>
      <c r="E27">
        <f>IF(COUNT(C27:D27)=2,D27-C27,"")</f>
        <v>10.822979305428996</v>
      </c>
      <c r="H27">
        <v>25</v>
      </c>
      <c r="I27">
        <v>24</v>
      </c>
      <c r="J27">
        <f>100*67075/346916</f>
        <v>19.334651615953142</v>
      </c>
      <c r="K27">
        <f>100*30982/355400</f>
        <v>8.717501406865503</v>
      </c>
      <c r="L27">
        <f>IF(COUNT(J27:K27)=2,K27-J27,"")</f>
        <v>-10.617150209087638</v>
      </c>
      <c r="O27">
        <v>25</v>
      </c>
      <c r="P27">
        <v>24</v>
      </c>
      <c r="Q27">
        <f>100*158561/348258</f>
        <v>45.52975093178046</v>
      </c>
      <c r="R27">
        <f>100*98259/285422</f>
        <v>34.425867662618856</v>
      </c>
      <c r="S27">
        <f>IF(COUNT(Q27:R27)=2,R27-Q27,"")</f>
        <v>-11.103883269161607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/>
      <c r="E28" t="str">
        <f>IF(COUNT(C28:D28)=2,D28-C28,"")</f>
        <v/>
      </c>
      <c r="H28">
        <v>26</v>
      </c>
      <c r="I28">
        <v>25</v>
      </c>
      <c r="J28">
        <f>100*177325/563486</f>
        <v>31.469282289178437</v>
      </c>
      <c r="K28">
        <f>100*182813/549535</f>
        <v>33.26685288471162</v>
      </c>
      <c r="L28">
        <f>IF(COUNT(J28:K28)=2,K28-J28,"")</f>
        <v>1.7975705955331804</v>
      </c>
      <c r="O28">
        <v>26</v>
      </c>
      <c r="P28">
        <v>25</v>
      </c>
      <c r="Q28">
        <f>100*156244/369843</f>
        <v>42.246034127994854</v>
      </c>
      <c r="R28">
        <f>100*162163/470026</f>
        <v>34.50085739937791</v>
      </c>
      <c r="S28">
        <f>IF(COUNT(Q28:R28)=2,R28-Q28,"")</f>
        <v>-7.745176728616947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100*66858/418246</f>
        <v>15.985329208169356</v>
      </c>
      <c r="E29">
        <f>IF(COUNT(C29:D29)=2,D29-C29,"")</f>
        <v>-28.630898522208994</v>
      </c>
      <c r="H29">
        <v>27</v>
      </c>
      <c r="I29">
        <v>26</v>
      </c>
      <c r="J29">
        <f>100*35297/437184</f>
        <v>8.073717244912897</v>
      </c>
      <c r="K29">
        <f>100*88893/496050</f>
        <v>17.92016933776837</v>
      </c>
      <c r="L29">
        <f>IF(COUNT(J29:K29)=2,K29-J29,"")</f>
        <v>9.846452092855474</v>
      </c>
      <c r="O29">
        <v>27</v>
      </c>
      <c r="P29">
        <v>26</v>
      </c>
      <c r="Q29">
        <f>100*99207/334942</f>
        <v>29.619157943763398</v>
      </c>
      <c r="R29">
        <f>100*97974/396440</f>
        <v>24.713449702350925</v>
      </c>
      <c r="S29">
        <f>IF(COUNT(Q29:R29)=2,R29-Q29,"")</f>
        <v>-4.905708241412473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100*27178/236036</f>
        <v>11.51434526936569</v>
      </c>
      <c r="E30">
        <f>IF(COUNT(C30:D30)=2,D30-C30,"")</f>
        <v>-11.564283477704896</v>
      </c>
      <c r="H30">
        <v>28</v>
      </c>
      <c r="I30">
        <v>27</v>
      </c>
      <c r="J30">
        <f>100*111624/317500</f>
        <v>35.15716535433071</v>
      </c>
      <c r="K30">
        <f>100*31108/203224</f>
        <v>15.30724717553045</v>
      </c>
      <c r="L30">
        <f>IF(COUNT(J30:K30)=2,K30-J30,"")</f>
        <v>-19.84991817880026</v>
      </c>
      <c r="O30">
        <v>28</v>
      </c>
      <c r="P30">
        <v>27</v>
      </c>
      <c r="Q30">
        <f>100*258/245208</f>
        <v>0.10521679553685034</v>
      </c>
      <c r="R30">
        <f>100*315/243160</f>
        <v>0.12954433294949827</v>
      </c>
      <c r="S30">
        <f>IF(COUNT(Q30:R30)=2,R30-Q30,"")</f>
        <v>0.024327537412647926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100*68879/401273</f>
        <v>17.165121999237428</v>
      </c>
      <c r="E31">
        <f>IF(COUNT(C31:D31)=2,D31-C31,"")</f>
        <v>-29.414750725852194</v>
      </c>
      <c r="H31">
        <v>29</v>
      </c>
      <c r="I31">
        <v>28</v>
      </c>
      <c r="J31">
        <f>100*143049/329070</f>
        <v>43.47069012672076</v>
      </c>
      <c r="K31">
        <f>100*67516/411253</f>
        <v>16.417144677364057</v>
      </c>
      <c r="L31">
        <f>IF(COUNT(J31:K31)=2,K31-J31,"")</f>
        <v>-27.053545449356704</v>
      </c>
      <c r="O31">
        <v>29</v>
      </c>
      <c r="P31">
        <v>28</v>
      </c>
      <c r="Q31">
        <f>100*106682/252496</f>
        <v>42.25096635194221</v>
      </c>
      <c r="R31">
        <f>100*89288/252535</f>
        <v>35.356683232027244</v>
      </c>
      <c r="S31">
        <f>IF(COUNT(Q31:R31)=2,R31-Q31,"")</f>
        <v>-6.894283119914967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100*32071/324627</f>
        <v>9.87933844073352</v>
      </c>
      <c r="E32">
        <f>IF(COUNT(C32:D32)=2,D32-C32,"")</f>
        <v>-9.433688689779252</v>
      </c>
      <c r="H32">
        <v>30</v>
      </c>
      <c r="I32">
        <v>29</v>
      </c>
      <c r="J32">
        <f>100*71699/295601</f>
        <v>24.25533066532251</v>
      </c>
      <c r="K32">
        <f>100*28318/284291</f>
        <v>9.96092032459698</v>
      </c>
      <c r="L32">
        <f>IF(COUNT(J32:K32)=2,K32-J32,"")</f>
        <v>-14.29441034072553</v>
      </c>
      <c r="O32">
        <v>30</v>
      </c>
      <c r="P32">
        <v>29</v>
      </c>
      <c r="Q32">
        <f>100*220230/481156</f>
        <v>45.771018131333705</v>
      </c>
      <c r="R32">
        <f>100*106422/418221</f>
        <v>25.446354917615327</v>
      </c>
      <c r="S32">
        <f>IF(COUNT(Q32:R32)=2,R32-Q32,"")</f>
        <v>-20.324663213718377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100*89750/371281</f>
        <v>24.173065683404214</v>
      </c>
      <c r="E33">
        <f>IF(COUNT(C33:D33)=2,D33-C33,"")</f>
        <v>-1.4252392506940765</v>
      </c>
      <c r="H33">
        <v>31</v>
      </c>
      <c r="I33">
        <v>30</v>
      </c>
      <c r="J33">
        <f>100*58413/325415</f>
        <v>17.950309604658667</v>
      </c>
      <c r="K33">
        <f>100*78912/302623</f>
        <v>26.07600876337886</v>
      </c>
      <c r="L33">
        <f>IF(COUNT(J33:K33)=2,K33-J33,"")</f>
        <v>8.125699158720192</v>
      </c>
      <c r="O33">
        <v>31</v>
      </c>
      <c r="P33">
        <v>30</v>
      </c>
      <c r="Q33">
        <f>100*3974/273650</f>
        <v>1.4522199890370913</v>
      </c>
      <c r="R33">
        <f>100*2474/477460</f>
        <v>0.5181585892011896</v>
      </c>
      <c r="S33">
        <f>IF(COUNT(Q33:R33)=2,R33-Q33,"")</f>
        <v>-0.9340613998359016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16.026024052897</v>
      </c>
      <c r="E34">
        <f>IF(COUNT(E3:E33)&gt;0,AVERAGE(E3:E33),"")</f>
        <v>-8.872125760857012</v>
      </c>
      <c r="H34" t="s">
        <v>5</v>
      </c>
      <c r="J34">
        <f>IF(COUNT(J3:J33)&gt;0,AVERAGE(J3:J33),"")</f>
        <v>22.873960622545518</v>
      </c>
      <c r="K34">
        <f>IF(COUNT(K3:K33)&gt;0,AVERAGE(K3:K33),"")</f>
        <v>14.450910834036684</v>
      </c>
      <c r="L34">
        <f>IF(COUNT(L3:L33)&gt;0,AVERAGE(L3:L33),"")</f>
        <v>-8.423049788508836</v>
      </c>
      <c r="O34" t="s">
        <v>5</v>
      </c>
      <c r="Q34">
        <f>IF(COUNT(Q3:Q33)&gt;0,AVERAGE(Q3:Q33),"")</f>
        <v>30.285258327658585</v>
      </c>
      <c r="R34">
        <f>IF(COUNT(R3:R33)&gt;0,AVERAGE(R3:R33),"")</f>
        <v>19.773737449195565</v>
      </c>
      <c r="S34">
        <f>IF(COUNT(S3:S33)&gt;0,AVERAGE(S3:S33),"")</f>
        <v>-10.51152087846302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100*1121/4864</f>
        <v>23.046875</v>
      </c>
      <c r="E39">
        <f>IF(COUNT(C39:D39)=2,D39-C39,"")</f>
        <v>7.725522811303662</v>
      </c>
      <c r="H39">
        <v>1</v>
      </c>
      <c r="I39">
        <v>0</v>
      </c>
      <c r="J39">
        <f>100*211130/713250</f>
        <v>29.601121626358218</v>
      </c>
      <c r="K39">
        <f>100*71399/702042</f>
        <v>10.170189247936733</v>
      </c>
      <c r="L39">
        <f>IF(COUNT(J39:K39)=2,K39-J39,"")</f>
        <v>-19.430932378421485</v>
      </c>
      <c r="O39">
        <v>1</v>
      </c>
      <c r="P39">
        <v>0</v>
      </c>
      <c r="Q39">
        <f>100*33559/419154</f>
        <v>8.00636520228842</v>
      </c>
      <c r="R39">
        <f>100*34437/333107</f>
        <v>10.33811958319699</v>
      </c>
      <c r="S39">
        <f>IF(COUNT(Q39:R39)=2,R39-Q39,"")</f>
        <v>2.3317543809085706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100*973/2033</f>
        <v>47.86030496802755</v>
      </c>
      <c r="E40">
        <f>IF(COUNT(C40:D40)=2,D40-C40,"")</f>
        <v>-0.6947480797296564</v>
      </c>
      <c r="H40">
        <v>2</v>
      </c>
      <c r="I40">
        <v>1</v>
      </c>
      <c r="J40">
        <f>100*221110/594344</f>
        <v>37.20236092229416</v>
      </c>
      <c r="K40">
        <f>100*177259/524606</f>
        <v>33.788976870260726</v>
      </c>
      <c r="L40">
        <f>IF(COUNT(J40:K40)=2,K40-J40,"")</f>
        <v>-3.413384052033436</v>
      </c>
      <c r="O40">
        <v>2</v>
      </c>
      <c r="P40">
        <v>1</v>
      </c>
      <c r="Q40">
        <f>100*83755/209991</f>
        <v>39.88504269230586</v>
      </c>
      <c r="R40">
        <f>100*80404/209413</f>
        <v>38.39494205230812</v>
      </c>
      <c r="S40">
        <f>IF(COUNT(Q40:R40)=2,R40-Q40,"")</f>
        <v>-1.490100639997742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100*40501/406416</f>
        <v>9.965404905318689</v>
      </c>
      <c r="E41">
        <f>IF(COUNT(C41:D41)=2,D41-C41,"")</f>
        <v>-31.25885686208979</v>
      </c>
      <c r="H41">
        <v>3</v>
      </c>
      <c r="I41">
        <v>2</v>
      </c>
      <c r="J41">
        <f>100*328651/1001588</f>
        <v>32.812992967168135</v>
      </c>
      <c r="K41">
        <f>100*244069/827122</f>
        <v>29.508222487130073</v>
      </c>
      <c r="L41">
        <f>IF(COUNT(J41:K41)=2,K41-J41,"")</f>
        <v>-3.304770480038062</v>
      </c>
      <c r="O41">
        <v>3</v>
      </c>
      <c r="P41">
        <v>2</v>
      </c>
      <c r="Q41">
        <f>100*165549/320834</f>
        <v>51.59958109177955</v>
      </c>
      <c r="R41">
        <f>100*132417/509236</f>
        <v>26.00307126754589</v>
      </c>
      <c r="S41">
        <f>IF(COUNT(Q41:R41)=2,R41-Q41,"")</f>
        <v>-25.596509824233657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100*6791/609994</f>
        <v>1.113289638914481</v>
      </c>
      <c r="E42">
        <f>IF(COUNT(C42:D42)=2,D42-C42,"")</f>
        <v>-4.778950879777274</v>
      </c>
      <c r="H42">
        <v>4</v>
      </c>
      <c r="I42">
        <v>3</v>
      </c>
      <c r="J42">
        <f>100*38325/584626</f>
        <v>6.555473071673172</v>
      </c>
      <c r="K42">
        <f>100*19519/377058</f>
        <v>5.1766571721061485</v>
      </c>
      <c r="L42">
        <f>IF(COUNT(J42:K42)=2,K42-J42,"")</f>
        <v>-1.3788158995670239</v>
      </c>
      <c r="O42">
        <v>4</v>
      </c>
      <c r="P42">
        <v>3</v>
      </c>
      <c r="Q42">
        <f>100*265499/612068</f>
        <v>43.37736983472425</v>
      </c>
      <c r="R42">
        <f>100*261383/752631</f>
        <v>34.7292365050071</v>
      </c>
      <c r="S42">
        <f>IF(COUNT(Q42:R42)=2,R42-Q42,"")</f>
        <v>-8.648133329717147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100*168613/542562</f>
        <v>31.077185648829072</v>
      </c>
      <c r="E43">
        <f>IF(COUNT(C43:D43)=2,D43-C43,"")</f>
        <v>-10.298898624254143</v>
      </c>
      <c r="H43">
        <v>5</v>
      </c>
      <c r="I43">
        <v>4</v>
      </c>
      <c r="J43">
        <f>100*86329/200432</f>
        <v>43.071465634230066</v>
      </c>
      <c r="K43">
        <f>100*108715/522758</f>
        <v>20.796429705523398</v>
      </c>
      <c r="L43">
        <f>IF(COUNT(J43:K43)=2,K43-J43,"")</f>
        <v>-22.275035928706668</v>
      </c>
      <c r="O43">
        <v>5</v>
      </c>
      <c r="P43">
        <v>4</v>
      </c>
      <c r="Q43">
        <f>100*80681/472324</f>
        <v>17.08170662511327</v>
      </c>
      <c r="R43">
        <f>100*23081/519015</f>
        <v>4.447077637447858</v>
      </c>
      <c r="S43">
        <f>IF(COUNT(Q43:R43)=2,R43-Q43,"")</f>
        <v>-12.634628987665412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100*87125/440685</f>
        <v>19.770357511601258</v>
      </c>
      <c r="E44">
        <f>IF(COUNT(C44:D44)=2,D44-C44,"")</f>
        <v>11.704067631223246</v>
      </c>
      <c r="H44">
        <v>6</v>
      </c>
      <c r="I44">
        <v>5</v>
      </c>
      <c r="J44">
        <f>100*143171/458928</f>
        <v>31.19683261862427</v>
      </c>
      <c r="K44">
        <f>100*111721/527020</f>
        <v>21.198626238093432</v>
      </c>
      <c r="L44">
        <f>IF(COUNT(J44:K44)=2,K44-J44,"")</f>
        <v>-9.998206380530839</v>
      </c>
      <c r="O44">
        <v>6</v>
      </c>
      <c r="P44">
        <v>5</v>
      </c>
      <c r="Q44">
        <f>100*332039/690960</f>
        <v>48.05473544054649</v>
      </c>
      <c r="R44">
        <f>100*73595/506702</f>
        <v>14.524316067432139</v>
      </c>
      <c r="S44">
        <f>IF(COUNT(Q44:R44)=2,R44-Q44,"")</f>
        <v>-33.53041937311435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100*40535/541426</f>
        <v>7.4867110186803</v>
      </c>
      <c r="E45">
        <f>IF(COUNT(C45:D45)=2,D45-C45,"")</f>
        <v>5.393151357390355</v>
      </c>
      <c r="H45">
        <v>7</v>
      </c>
      <c r="I45">
        <v>6</v>
      </c>
      <c r="J45">
        <f>100*1474/516628</f>
        <v>0.28531167493825343</v>
      </c>
      <c r="K45">
        <f>100*9599/783833</f>
        <v>1.2246231021148637</v>
      </c>
      <c r="L45">
        <f>IF(COUNT(J45:K45)=2,K45-J45,"")</f>
        <v>0.9393114271766103</v>
      </c>
      <c r="O45">
        <v>7</v>
      </c>
      <c r="P45">
        <v>6</v>
      </c>
      <c r="Q45">
        <f>100*255047/462709</f>
        <v>55.12038884050234</v>
      </c>
      <c r="R45">
        <f>100*172841/505762</f>
        <v>34.17437450816787</v>
      </c>
      <c r="S45">
        <f>IF(COUNT(Q45:R45)=2,R45-Q45,"")</f>
        <v>-20.94601433233447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100*4297/421021</f>
        <v>1.0206141736397947</v>
      </c>
      <c r="E46">
        <f>IF(COUNT(C46:D46)=2,D46-C46,"")</f>
        <v>-1.1961153639410993</v>
      </c>
      <c r="H46">
        <v>8</v>
      </c>
      <c r="I46">
        <v>7</v>
      </c>
      <c r="J46">
        <f>100*2387/421854</f>
        <v>0.5658355734448411</v>
      </c>
      <c r="K46">
        <f>100*13/372391</f>
        <v>0.003490954400079486</v>
      </c>
      <c r="L46">
        <f>IF(COUNT(J46:K46)=2,K46-J46,"")</f>
        <v>-0.5623446190447616</v>
      </c>
      <c r="O46">
        <v>8</v>
      </c>
      <c r="P46">
        <v>7</v>
      </c>
      <c r="Q46">
        <f>100*174551/400003</f>
        <v>43.63742271932961</v>
      </c>
      <c r="R46">
        <f>100*142503/380200</f>
        <v>37.4810625986323</v>
      </c>
      <c r="S46">
        <f>IF(COUNT(Q46:R46)=2,R46-Q46,"")</f>
        <v>-6.1563601206973075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100*160333/420811</f>
        <v>38.10095268422166</v>
      </c>
      <c r="E47">
        <f>IF(COUNT(C47:D47)=2,D47-C47,"")</f>
        <v>-19.55117534954549</v>
      </c>
      <c r="H47">
        <v>9</v>
      </c>
      <c r="I47">
        <v>8</v>
      </c>
      <c r="J47">
        <f>100*195875/433696</f>
        <v>45.16412417914853</v>
      </c>
      <c r="K47">
        <f>100*291389/727973</f>
        <v>40.027446072862595</v>
      </c>
      <c r="L47">
        <f>IF(COUNT(J47:K47)=2,K47-J47,"")</f>
        <v>-5.136678106285935</v>
      </c>
      <c r="O47">
        <v>9</v>
      </c>
      <c r="P47">
        <v>8</v>
      </c>
      <c r="Q47">
        <f>100*68616/113213</f>
        <v>60.60788072041197</v>
      </c>
      <c r="R47">
        <f>100*119698/319942</f>
        <v>37.412405998587246</v>
      </c>
      <c r="S47">
        <f>IF(COUNT(Q47:R47)=2,R47-Q47,"")</f>
        <v>-23.195474721824723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100*102904/651931</f>
        <v>15.78449253065125</v>
      </c>
      <c r="E48">
        <f>IF(COUNT(C48:D48)=2,D48-C48,"")</f>
        <v>-6.174813091148412</v>
      </c>
      <c r="H48">
        <v>10</v>
      </c>
      <c r="I48">
        <v>9</v>
      </c>
      <c r="J48">
        <f>100*319115/716304</f>
        <v>44.550218901472</v>
      </c>
      <c r="K48">
        <f>100*20187/673349</f>
        <v>2.997999551495584</v>
      </c>
      <c r="L48">
        <f>IF(COUNT(J48:K48)=2,K48-J48,"")</f>
        <v>-41.55221934997642</v>
      </c>
      <c r="O48">
        <v>10</v>
      </c>
      <c r="P48">
        <v>9</v>
      </c>
      <c r="Q48">
        <f>100*144975/663380</f>
        <v>21.85399017154572</v>
      </c>
      <c r="R48">
        <f>100*4902/435358</f>
        <v>1.1259698914456608</v>
      </c>
      <c r="S48">
        <f>IF(COUNT(Q48:R48)=2,R48-Q48,"")</f>
        <v>-20.72802028010006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100*136994/651460</f>
        <v>21.02876615601879</v>
      </c>
      <c r="E49">
        <f>IF(COUNT(C49:D49)=2,D49-C49,"")</f>
        <v>-23.598953865375066</v>
      </c>
      <c r="H49">
        <v>11</v>
      </c>
      <c r="I49">
        <v>10</v>
      </c>
      <c r="J49">
        <f>100*298304/894387</f>
        <v>33.352899807354085</v>
      </c>
      <c r="K49">
        <f>100*32125/700653</f>
        <v>4.585008556303905</v>
      </c>
      <c r="L49">
        <f>IF(COUNT(J49:K49)=2,K49-J49,"")</f>
        <v>-28.76789125105018</v>
      </c>
      <c r="O49">
        <v>11</v>
      </c>
      <c r="P49">
        <v>10</v>
      </c>
      <c r="Q49">
        <f>100*252271/540552</f>
        <v>46.66914561411298</v>
      </c>
      <c r="R49">
        <f>100*155478/590897</f>
        <v>26.312199926552342</v>
      </c>
      <c r="S49">
        <f>IF(COUNT(Q49:R49)=2,R49-Q49,"")</f>
        <v>-20.356945687560636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100*27729/558140</f>
        <v>4.9681083599097</v>
      </c>
      <c r="E50">
        <f>IF(COUNT(C50:D50)=2,D50-C50,"")</f>
        <v>-37.54684017399561</v>
      </c>
      <c r="H50">
        <v>12</v>
      </c>
      <c r="I50">
        <v>11</v>
      </c>
      <c r="K50">
        <f>100*1710/5804</f>
        <v>29.462439696760853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100*222260/516243</f>
        <v>43.05336827811709</v>
      </c>
      <c r="S50">
        <f>IF(COUNT(Q50:R50)=2,R50-Q50,"")</f>
        <v>-4.618604629381551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100*44903/858142</f>
        <v>5.23258388471838</v>
      </c>
      <c r="E51">
        <f>IF(COUNT(C51:D51)=2,D51-C51,"")</f>
        <v>3.081525554027271</v>
      </c>
      <c r="H51">
        <v>13</v>
      </c>
      <c r="I51">
        <v>12</v>
      </c>
      <c r="J51">
        <f>100*63849/654587</f>
        <v>9.75408921961481</v>
      </c>
      <c r="K51">
        <f>100*118703/699778</f>
        <v>16.962951107351188</v>
      </c>
      <c r="L51">
        <f>IF(COUNT(J51:K51)=2,K51-J51,"")</f>
        <v>7.2088618877363775</v>
      </c>
      <c r="O51">
        <v>13</v>
      </c>
      <c r="P51">
        <v>12</v>
      </c>
      <c r="Q51">
        <f>100*326273/687294</f>
        <v>47.47211528108786</v>
      </c>
      <c r="R51">
        <f>100*20102/590353</f>
        <v>3.4050813665722033</v>
      </c>
      <c r="S51">
        <f>IF(COUNT(Q51:R51)=2,R51-Q51,"")</f>
        <v>-44.067033914515655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100*5426/402449</f>
        <v>1.3482453677360362</v>
      </c>
      <c r="E52">
        <f>IF(COUNT(C52:D52)=2,D52-C52,"")</f>
        <v>-11.09281460349941</v>
      </c>
      <c r="H52">
        <v>14</v>
      </c>
      <c r="I52">
        <v>13</v>
      </c>
      <c r="J52">
        <f>100*46518/257005</f>
        <v>18.100036964261395</v>
      </c>
      <c r="K52">
        <f>100*91284/416403</f>
        <v>21.922032262015403</v>
      </c>
      <c r="L52">
        <f>IF(COUNT(J52:K52)=2,K52-J52,"")</f>
        <v>3.8219952977540075</v>
      </c>
      <c r="O52">
        <v>14</v>
      </c>
      <c r="P52">
        <v>13</v>
      </c>
      <c r="Q52">
        <f>100*2347/627958</f>
        <v>0.37375111074307515</v>
      </c>
      <c r="R52">
        <f>100*3700/539280</f>
        <v>0.6860999851654057</v>
      </c>
      <c r="S52">
        <f>IF(COUNT(Q52:R52)=2,R52-Q52,"")</f>
        <v>0.31234887442233056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100*146889/544500</f>
        <v>26.976859504132232</v>
      </c>
      <c r="E53">
        <f>IF(COUNT(C53:D53)=2,D53-C53,"")</f>
        <v>-26.95068304234862</v>
      </c>
      <c r="H53">
        <v>15</v>
      </c>
      <c r="I53">
        <v>14</v>
      </c>
      <c r="J53">
        <f>100*175137/618371</f>
        <v>28.322317831851752</v>
      </c>
      <c r="K53">
        <f>100*222115/715494</f>
        <v>31.04358666879107</v>
      </c>
      <c r="L53">
        <f>IF(COUNT(J53:K53)=2,K53-J53,"")</f>
        <v>2.72126883693932</v>
      </c>
      <c r="O53">
        <v>15</v>
      </c>
      <c r="P53">
        <v>14</v>
      </c>
      <c r="Q53">
        <f>100*146769/359086</f>
        <v>40.872938516121486</v>
      </c>
      <c r="R53">
        <f>100*174838/440737</f>
        <v>39.66946274081822</v>
      </c>
      <c r="S53">
        <f>IF(COUNT(Q53:R53)=2,R53-Q53,"")</f>
        <v>-1.2034757753032679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100*110795/705315</f>
        <v>15.708584107809985</v>
      </c>
      <c r="E54">
        <f>IF(COUNT(C54:D54)=2,D54-C54,"")</f>
        <v>-35.7491498823378</v>
      </c>
      <c r="H54">
        <v>16</v>
      </c>
      <c r="I54">
        <v>15</v>
      </c>
      <c r="J54">
        <f>100*262686/530062</f>
        <v>49.55759892239021</v>
      </c>
      <c r="K54">
        <f>100*55831/401273</f>
        <v>13.913470380514013</v>
      </c>
      <c r="L54">
        <f>IF(COUNT(J54:K54)=2,K54-J54,"")</f>
        <v>-35.6441285418762</v>
      </c>
      <c r="O54">
        <v>16</v>
      </c>
      <c r="P54">
        <v>15</v>
      </c>
      <c r="Q54">
        <f>100*161630/350468</f>
        <v>46.11833320017805</v>
      </c>
      <c r="R54">
        <f>100*90332/294736</f>
        <v>30.64844470984203</v>
      </c>
      <c r="S54">
        <f>IF(COUNT(Q54:R54)=2,R54-Q54,"")</f>
        <v>-15.469888490336022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100*134923/540520</f>
        <v>24.9617035447347</v>
      </c>
      <c r="E55">
        <f>IF(COUNT(C55:D55)=2,D55-C55,"")</f>
        <v>-5.4951663473979195</v>
      </c>
      <c r="H55">
        <v>17</v>
      </c>
      <c r="I55">
        <v>16</v>
      </c>
      <c r="J55">
        <f>100*201035/472489</f>
        <v>42.5480804844134</v>
      </c>
      <c r="K55">
        <f>100*130893/636455</f>
        <v>20.565947317563694</v>
      </c>
      <c r="L55">
        <f>IF(COUNT(J55:K55)=2,K55-J55,"")</f>
        <v>-21.982133166849703</v>
      </c>
      <c r="O55">
        <v>17</v>
      </c>
      <c r="P55">
        <v>16</v>
      </c>
      <c r="Q55">
        <f>100*10845/444486</f>
        <v>2.4398968696426886</v>
      </c>
      <c r="R55">
        <f>100*10362/515116</f>
        <v>2.0115857399110104</v>
      </c>
      <c r="S55">
        <f>IF(COUNT(Q55:R55)=2,R55-Q55,"")</f>
        <v>-0.4283111297316782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100*26676/427392</f>
        <v>6.241576819407008</v>
      </c>
      <c r="E56">
        <f>IF(COUNT(C56:D56)=2,D56-C56,"")</f>
        <v>-43.2192417168233</v>
      </c>
      <c r="H56">
        <v>18</v>
      </c>
      <c r="I56">
        <v>17</v>
      </c>
      <c r="K56">
        <f>100*19956/423847</f>
        <v>4.708302760194127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100*30051/398725</f>
        <v>7.53677346542103</v>
      </c>
      <c r="S56">
        <f>IF(COUNT(Q56:R56)=2,R56-Q56,"")</f>
        <v>-2.2665250710280436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100*41420/432911</f>
        <v>9.567786450332747</v>
      </c>
      <c r="E57">
        <f>IF(COUNT(C57:D57)=2,D57-C57,"")</f>
        <v>-29.150945585237004</v>
      </c>
      <c r="H57">
        <v>19</v>
      </c>
      <c r="I57">
        <v>18</v>
      </c>
      <c r="J57">
        <f>100*171180/560014</f>
        <v>30.567092965533003</v>
      </c>
      <c r="K57">
        <f>100*195821/757357</f>
        <v>25.855838131818945</v>
      </c>
      <c r="L57">
        <f>IF(COUNT(J57:K57)=2,K57-J57,"")</f>
        <v>-4.711254833714058</v>
      </c>
      <c r="O57">
        <v>19</v>
      </c>
      <c r="P57">
        <v>18</v>
      </c>
      <c r="Q57">
        <f>100*169030/384674</f>
        <v>43.94110337584552</v>
      </c>
      <c r="R57">
        <f>100*189773/522847</f>
        <v>36.29608661807374</v>
      </c>
      <c r="S57">
        <f>IF(COUNT(Q57:R57)=2,R57-Q57,"")</f>
        <v>-7.645016757771785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100*172878/826524</f>
        <v>20.916271033871976</v>
      </c>
      <c r="E58">
        <f>IF(COUNT(C58:D58)=2,D58-C58,"")</f>
        <v>-20.510224531329005</v>
      </c>
      <c r="H58">
        <v>20</v>
      </c>
      <c r="I58">
        <v>19</v>
      </c>
      <c r="J58">
        <f>100*284748/588066</f>
        <v>48.42109559131118</v>
      </c>
      <c r="K58">
        <f>100*174390/720337</f>
        <v>24.2095019414524</v>
      </c>
      <c r="L58">
        <f>IF(COUNT(J58:K58)=2,K58-J58,"")</f>
        <v>-24.211593649858777</v>
      </c>
      <c r="O58">
        <v>20</v>
      </c>
      <c r="P58">
        <v>19</v>
      </c>
      <c r="Q58">
        <f>100*276241/622059</f>
        <v>44.40752404514684</v>
      </c>
      <c r="R58">
        <f>100*231938/776540</f>
        <v>29.868133000231797</v>
      </c>
      <c r="S58">
        <f>IF(COUNT(Q58:R58)=2,R58-Q58,"")</f>
        <v>-14.539391044915046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100*90308/588538</f>
        <v>15.34446373895993</v>
      </c>
      <c r="E59">
        <f>IF(COUNT(C59:D59)=2,D59-C59,"")</f>
        <v>-31.64357821859528</v>
      </c>
      <c r="H59">
        <v>21</v>
      </c>
      <c r="I59">
        <v>20</v>
      </c>
      <c r="J59">
        <f>100*380768/887907</f>
        <v>42.88377048497196</v>
      </c>
      <c r="K59">
        <f>100*59096/773156</f>
        <v>7.643476866246915</v>
      </c>
      <c r="L59">
        <f>IF(COUNT(J59:K59)=2,K59-J59,"")</f>
        <v>-35.24029361872505</v>
      </c>
      <c r="O59">
        <v>21</v>
      </c>
      <c r="P59">
        <v>20</v>
      </c>
      <c r="Q59">
        <f>100*102616/414261</f>
        <v>24.7708570200912</v>
      </c>
      <c r="R59">
        <f>100*59573/373416</f>
        <v>15.953521006062942</v>
      </c>
      <c r="S59">
        <f>IF(COUNT(Q59:R59)=2,R59-Q59,"")</f>
        <v>-8.817336014028257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100*2015/6555</f>
        <v>30.739893211289093</v>
      </c>
      <c r="E60">
        <f>IF(COUNT(C60:D60)=2,D60-C60,"")</f>
        <v>-13.329195292176834</v>
      </c>
      <c r="H60">
        <v>22</v>
      </c>
      <c r="I60">
        <v>21</v>
      </c>
      <c r="J60">
        <f>100*139592/266933</f>
        <v>52.29477059786538</v>
      </c>
      <c r="K60">
        <f>100*130919/316339</f>
        <v>41.38566537796478</v>
      </c>
      <c r="L60">
        <f>IF(COUNT(J60:K60)=2,K60-J60,"")</f>
        <v>-10.909105219900603</v>
      </c>
      <c r="O60">
        <v>22</v>
      </c>
      <c r="P60">
        <v>21</v>
      </c>
      <c r="Q60">
        <f>100*93353/177560</f>
        <v>52.57546744762334</v>
      </c>
      <c r="R60">
        <f>100*73177/211117</f>
        <v>34.66182259126456</v>
      </c>
      <c r="S60">
        <f>IF(COUNT(Q60:R60)=2,R60-Q60,"")</f>
        <v>-17.91364485635878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100*253224/825114</f>
        <v>30.68957744020826</v>
      </c>
      <c r="E61">
        <f>IF(COUNT(C61:D61)=2,D61-C61,"")</f>
        <v>-15.568079159316241</v>
      </c>
      <c r="H61">
        <v>23</v>
      </c>
      <c r="I61">
        <v>22</v>
      </c>
      <c r="J61">
        <f>100*307788/547933</f>
        <v>56.1725612438017</v>
      </c>
      <c r="K61">
        <f>100*102947/569573</f>
        <v>18.07441715109389</v>
      </c>
      <c r="L61">
        <f>IF(COUNT(J61:K61)=2,K61-J61,"")</f>
        <v>-38.09814409270781</v>
      </c>
      <c r="O61">
        <v>23</v>
      </c>
      <c r="P61">
        <v>22</v>
      </c>
      <c r="Q61">
        <f>100*1420/340312</f>
        <v>0.41726415759655844</v>
      </c>
      <c r="R61">
        <f>100*903/331990</f>
        <v>0.2719961444621826</v>
      </c>
      <c r="S61">
        <f>IF(COUNT(Q61:R61)=2,R61-Q61,"")</f>
        <v>-0.14526801313437582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100*7391/561571</f>
        <v>1.3161292160741918</v>
      </c>
      <c r="E62">
        <f>IF(COUNT(C62:D62)=2,D62-C62,"")</f>
        <v>-20.28153266921766</v>
      </c>
      <c r="H62">
        <v>24</v>
      </c>
      <c r="I62">
        <v>23</v>
      </c>
      <c r="J62">
        <f>100*403224/842602</f>
        <v>47.85462175499227</v>
      </c>
      <c r="K62">
        <f>100*252046/858369</f>
        <v>29.36336237678667</v>
      </c>
      <c r="L62">
        <f>IF(COUNT(J62:K62)=2,K62-J62,"")</f>
        <v>-18.4912593782056</v>
      </c>
      <c r="O62">
        <v>24</v>
      </c>
      <c r="P62">
        <v>23</v>
      </c>
      <c r="Q62">
        <f>100*127073/681026</f>
        <v>18.659052664655974</v>
      </c>
      <c r="R62">
        <f>100*55714/364545</f>
        <v>15.283161200949129</v>
      </c>
      <c r="S62">
        <f>IF(COUNT(Q62:R62)=2,R62-Q62,"")</f>
        <v>-3.3758914637068447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100*56367/589657</f>
        <v>9.55928616127681</v>
      </c>
      <c r="E63">
        <f>IF(COUNT(C63:D63)=2,D63-C63,"")</f>
        <v>-35.19149203258699</v>
      </c>
      <c r="H63">
        <v>25</v>
      </c>
      <c r="I63">
        <v>24</v>
      </c>
      <c r="J63">
        <f>100*334373/832460</f>
        <v>40.16685486389736</v>
      </c>
      <c r="K63">
        <f>100*21295/533614</f>
        <v>3.990712387606022</v>
      </c>
      <c r="L63">
        <f>IF(COUNT(J63:K63)=2,K63-J63,"")</f>
        <v>-36.17614247629134</v>
      </c>
      <c r="O63">
        <v>25</v>
      </c>
      <c r="P63">
        <v>24</v>
      </c>
      <c r="Q63">
        <f>100*69231/149628</f>
        <v>46.26874649129842</v>
      </c>
      <c r="R63">
        <f>100*111681/328837</f>
        <v>33.96241907084665</v>
      </c>
      <c r="S63">
        <f>IF(COUNT(Q63:R63)=2,R63-Q63,"")</f>
        <v>-12.306327420451773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100*130591/523853</f>
        <v>24.92893998889001</v>
      </c>
      <c r="E64">
        <f>IF(COUNT(C64:D64)=2,D64-C64,"")</f>
        <v>-21.264928952705564</v>
      </c>
      <c r="H64">
        <v>26</v>
      </c>
      <c r="I64">
        <v>25</v>
      </c>
      <c r="J64">
        <f>100*93173/499879</f>
        <v>18.639110664780876</v>
      </c>
      <c r="K64">
        <f>100*294134/929311</f>
        <v>31.650760617274518</v>
      </c>
      <c r="L64">
        <f>IF(COUNT(J64:K64)=2,K64-J64,"")</f>
        <v>13.011649952493642</v>
      </c>
      <c r="O64">
        <v>26</v>
      </c>
      <c r="P64">
        <v>25</v>
      </c>
      <c r="Q64">
        <f>100*287382/566887</f>
        <v>50.69475927301208</v>
      </c>
      <c r="R64">
        <f>100*1441/3620</f>
        <v>39.806629834254146</v>
      </c>
      <c r="S64">
        <f>IF(COUNT(Q64:R64)=2,R64-Q64,"")</f>
        <v>-10.888129438757936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100*91278/478682</f>
        <v>19.06860922282434</v>
      </c>
      <c r="E65">
        <f>IF(COUNT(C65:D65)=2,D65-C65,"")</f>
        <v>-6.196927017116931</v>
      </c>
      <c r="H65">
        <v>27</v>
      </c>
      <c r="I65">
        <v>26</v>
      </c>
      <c r="J65">
        <f>100*244313/656873</f>
        <v>37.19333874280112</v>
      </c>
      <c r="K65">
        <f>100*116225/435083</f>
        <v>26.71329378532372</v>
      </c>
      <c r="L65">
        <f>IF(COUNT(J65:K65)=2,K65-J65,"")</f>
        <v>-10.480044957477396</v>
      </c>
      <c r="O65">
        <v>27</v>
      </c>
      <c r="P65">
        <v>26</v>
      </c>
      <c r="Q65">
        <f>100*89767/349739</f>
        <v>25.6668544257289</v>
      </c>
      <c r="R65">
        <f>100*122210/400634</f>
        <v>30.504150920790547</v>
      </c>
      <c r="S65">
        <f>IF(COUNT(Q65:R65)=2,R65-Q65,"")</f>
        <v>4.837296495061647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100*58862/356483</f>
        <v>16.51186732607165</v>
      </c>
      <c r="E66">
        <f>IF(COUNT(C66:D66)=2,D66-C66,"")</f>
        <v>-9.557860438450653</v>
      </c>
      <c r="H66">
        <v>28</v>
      </c>
      <c r="I66">
        <v>27</v>
      </c>
      <c r="J66">
        <f>100*138608/347102</f>
        <v>39.93293037781402</v>
      </c>
      <c r="K66">
        <f>100*138084/351223</f>
        <v>39.31519291162595</v>
      </c>
      <c r="L66">
        <f>IF(COUNT(J66:K66)=2,K66-J66,"")</f>
        <v>-0.6177374661880677</v>
      </c>
      <c r="O66">
        <v>28</v>
      </c>
      <c r="P66">
        <v>27</v>
      </c>
      <c r="Q66">
        <f>100*334/323134</f>
        <v>0.10336269163876287</v>
      </c>
      <c r="R66">
        <f>100*5471/362256</f>
        <v>1.510257939136964</v>
      </c>
      <c r="S66">
        <f>IF(COUNT(Q66:R66)=2,R66-Q66,"")</f>
        <v>1.406895247498201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100*234638/607554</f>
        <v>38.62010619632164</v>
      </c>
      <c r="E67">
        <f>IF(COUNT(C67:D67)=2,D67-C67,"")</f>
        <v>-6.333680110848121</v>
      </c>
      <c r="H67">
        <v>29</v>
      </c>
      <c r="I67">
        <v>28</v>
      </c>
      <c r="J67">
        <f>100*198367/384779</f>
        <v>51.553489145717414</v>
      </c>
      <c r="K67">
        <f>100*215102/616599</f>
        <v>34.885233352632746</v>
      </c>
      <c r="L67">
        <f>IF(COUNT(J67:K67)=2,K67-J67,"")</f>
        <v>-16.66825579308467</v>
      </c>
      <c r="O67">
        <v>29</v>
      </c>
      <c r="P67">
        <v>28</v>
      </c>
      <c r="Q67">
        <f>100*145808/355081</f>
        <v>41.063306682137316</v>
      </c>
      <c r="R67">
        <f>100*177453/468924</f>
        <v>37.84259282954167</v>
      </c>
      <c r="S67">
        <f>IF(COUNT(Q67:R67)=2,R67-Q67,"")</f>
        <v>-3.220713852595644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100*6015/417388</f>
        <v>1.4411051587491734</v>
      </c>
      <c r="E68">
        <f>IF(COUNT(C68:D68)=2,D68-C68,"")</f>
        <v>-2.4178869268921614</v>
      </c>
      <c r="H68">
        <v>30</v>
      </c>
      <c r="I68">
        <v>29</v>
      </c>
      <c r="J68">
        <f>100*78716/427068</f>
        <v>18.431725158522763</v>
      </c>
      <c r="K68">
        <f>100*114011/534331</f>
        <v>21.337148696220133</v>
      </c>
      <c r="L68">
        <f>IF(COUNT(J68:K68)=2,K68-J68,"")</f>
        <v>2.90542353769737</v>
      </c>
      <c r="O68">
        <v>30</v>
      </c>
      <c r="P68">
        <v>29</v>
      </c>
      <c r="Q68">
        <f>100*234882/519580</f>
        <v>45.20612802648293</v>
      </c>
      <c r="R68">
        <f>100*141441/566362</f>
        <v>24.97360345503406</v>
      </c>
      <c r="S68">
        <f>IF(COUNT(Q68:R68)=2,R68-Q68,"")</f>
        <v>-20.23252457144887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100*146694/511322</f>
        <v>28.68916260203942</v>
      </c>
      <c r="E69">
        <f>IF(COUNT(C69:D69)=2,D69-C69,"")</f>
        <v>3.106626312055706</v>
      </c>
      <c r="H69">
        <v>31</v>
      </c>
      <c r="I69">
        <v>30</v>
      </c>
      <c r="J69">
        <f>100*150446/466352</f>
        <v>32.26018115071877</v>
      </c>
      <c r="K69">
        <f>100*57535/519956</f>
        <v>11.065359376562633</v>
      </c>
      <c r="L69">
        <f>IF(COUNT(J69:K69)=2,K69-J69,"")</f>
        <v>-21.19482177415614</v>
      </c>
      <c r="O69">
        <v>31</v>
      </c>
      <c r="P69">
        <v>30</v>
      </c>
      <c r="Q69">
        <f>100*3881/600979</f>
        <v>0.6457796362268898</v>
      </c>
      <c r="R69">
        <f>100*21342/528152</f>
        <v>4.040882170284312</v>
      </c>
      <c r="S69">
        <f>IF(COUNT(Q69:R69)=2,R69-Q69,"")</f>
        <v>3.395102534057422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17.71244559907291</v>
      </c>
      <c r="E70">
        <f>IF(COUNT(E39:E69)&gt;0,AVERAGE(E39:E69),"")</f>
        <v>-14.130382101636638</v>
      </c>
      <c r="H70" t="s">
        <v>5</v>
      </c>
      <c r="J70">
        <f>IF(COUNT(J39:J69)&gt;0,AVERAGE(J39:J69),"")</f>
        <v>33.41421734972294</v>
      </c>
      <c r="K70">
        <f>IF(COUNT(K39:K69)&gt;0,AVERAGE(K39:K69),"")</f>
        <v>20.114398810452485</v>
      </c>
      <c r="L70">
        <f>IF(COUNT(L39:L69)&gt;0,AVERAGE(L39:L69),"")</f>
        <v>-13.090920085341136</v>
      </c>
      <c r="O70" t="s">
        <v>5</v>
      </c>
      <c r="Q70">
        <f>IF(COUNT(Q39:Q69)&gt;0,AVERAGE(Q39:Q69),"")</f>
        <v>33.06664971973761</v>
      </c>
      <c r="R70">
        <f>IF(COUNT(R39:R69)&gt;0,AVERAGE(R39:R69),"")</f>
        <v>22.48157577751946</v>
      </c>
      <c r="S70">
        <f>IF(COUNT(S39:S69)&gt;0,AVERAGE(S39:S69),"")</f>
        <v>-10.585073942218157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100*143531/753829</f>
        <v>19.040259793666735</v>
      </c>
      <c r="E75">
        <f>IF(COUNT(C75:D75)=2,D75-C75,"")</f>
        <v>-31.575311225508628</v>
      </c>
      <c r="H75">
        <v>1</v>
      </c>
      <c r="I75">
        <v>0</v>
      </c>
      <c r="J75">
        <f>100*432733/796677</f>
        <v>54.317245257488295</v>
      </c>
      <c r="K75">
        <f>100*171904/949712</f>
        <v>18.100645248243676</v>
      </c>
      <c r="L75">
        <f>IF(COUNT(J75:K75)=2,K75-J75,"")</f>
        <v>-36.216600009244615</v>
      </c>
      <c r="O75">
        <v>1</v>
      </c>
      <c r="P75">
        <v>0</v>
      </c>
      <c r="Q75">
        <f>100*20655/569971</f>
        <v>3.623868582787545</v>
      </c>
      <c r="R75">
        <f>100*103732/694939</f>
        <v>14.926777745960436</v>
      </c>
      <c r="S75">
        <f>IF(COUNT(Q75:R75)=2,R75-Q75,"")</f>
        <v>11.302909163172892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100*176336/542506</f>
        <v>32.50397230629707</v>
      </c>
      <c r="E76">
        <f>IF(COUNT(C76:D76)=2,D76-C76,"")</f>
        <v>-18.466193963620206</v>
      </c>
      <c r="H76">
        <v>2</v>
      </c>
      <c r="I76">
        <v>1</v>
      </c>
      <c r="J76">
        <f>100*305577/591060</f>
        <v>51.69982742868744</v>
      </c>
      <c r="K76">
        <f>100*167407/552868</f>
        <v>30.279741276398706</v>
      </c>
      <c r="L76">
        <f>IF(COUNT(J76:K76)=2,K76-J76,"")</f>
        <v>-21.420086152288736</v>
      </c>
      <c r="O76">
        <v>2</v>
      </c>
      <c r="P76">
        <v>1</v>
      </c>
      <c r="Q76">
        <f>100*111778/257794</f>
        <v>43.35942651884838</v>
      </c>
      <c r="R76">
        <f>100*128184/330306</f>
        <v>38.80765108717371</v>
      </c>
      <c r="S76">
        <f>IF(COUNT(Q76:R76)=2,R76-Q76,"")</f>
        <v>-4.55177543167467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100*221804/811296</f>
        <v>27.33946672977557</v>
      </c>
      <c r="E77">
        <f>IF(COUNT(C77:D77)=2,D77-C77,"")</f>
        <v>23.088033933434712</v>
      </c>
      <c r="H77">
        <v>3</v>
      </c>
      <c r="I77">
        <v>2</v>
      </c>
      <c r="J77">
        <f>100*244646/584205</f>
        <v>41.87673847365223</v>
      </c>
      <c r="K77">
        <f>100*55783/609377</f>
        <v>9.154103289096897</v>
      </c>
      <c r="L77">
        <f>IF(COUNT(J77:K77)=2,K77-J77,"")</f>
        <v>-32.72263518455534</v>
      </c>
      <c r="O77">
        <v>3</v>
      </c>
      <c r="P77">
        <v>2</v>
      </c>
      <c r="Q77">
        <f>100*92329/194806</f>
        <v>47.395357432522616</v>
      </c>
      <c r="R77">
        <f>100*113693/308835</f>
        <v>36.81350883157673</v>
      </c>
      <c r="S77">
        <f>IF(COUNT(Q77:R77)=2,R77-Q77,"")</f>
        <v>-10.581848600945882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100*177811/831090</f>
        <v>21.394915111480106</v>
      </c>
      <c r="E78">
        <f>IF(COUNT(C78:D78)=2,D78-C78,"")</f>
        <v>-33.36905745903863</v>
      </c>
      <c r="H78">
        <v>4</v>
      </c>
      <c r="I78">
        <v>3</v>
      </c>
      <c r="J78">
        <f>100*316744/731828</f>
        <v>43.281208152735346</v>
      </c>
      <c r="K78">
        <f>100*14742/742791</f>
        <v>1.9846767125611378</v>
      </c>
      <c r="L78">
        <f>IF(COUNT(J78:K78)=2,K78-J78,"")</f>
        <v>-41.296531440174206</v>
      </c>
      <c r="O78">
        <v>4</v>
      </c>
      <c r="P78">
        <v>3</v>
      </c>
      <c r="Q78">
        <f>100*240086/489338</f>
        <v>49.06342855040892</v>
      </c>
      <c r="R78">
        <f>100*194239/597672</f>
        <v>32.49926381025044</v>
      </c>
      <c r="S78">
        <f>IF(COUNT(Q78:R78)=2,R78-Q78,"")</f>
        <v>-16.564164740158482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100*98111/439595</f>
        <v>22.3184977081177</v>
      </c>
      <c r="E79">
        <f>IF(COUNT(C79:D79)=2,D79-C79,"")</f>
        <v>-13.834177644416297</v>
      </c>
      <c r="H79">
        <v>5</v>
      </c>
      <c r="I79">
        <v>4</v>
      </c>
      <c r="J79">
        <f>100*174388/383201</f>
        <v>45.50823197225477</v>
      </c>
      <c r="K79">
        <f>100*263515/751660</f>
        <v>35.05773887129819</v>
      </c>
      <c r="L79">
        <f>IF(COUNT(J79:K79)=2,K79-J79,"")</f>
        <v>-10.450493100956578</v>
      </c>
      <c r="O79">
        <v>5</v>
      </c>
      <c r="P79">
        <v>4</v>
      </c>
      <c r="Q79">
        <f>100*426762/872765</f>
        <v>48.89769869323357</v>
      </c>
      <c r="R79">
        <f>100*47406/608918</f>
        <v>7.785284718139388</v>
      </c>
      <c r="S79">
        <f>IF(COUNT(Q79:R79)=2,R79-Q79,"")</f>
        <v>-41.112413975094185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100*72489/623559</f>
        <v>11.625042698445537</v>
      </c>
      <c r="E80">
        <f>IF(COUNT(C80:D80)=2,D80-C80,"")</f>
        <v>-22.936184138837053</v>
      </c>
      <c r="H80">
        <v>6</v>
      </c>
      <c r="I80">
        <v>5</v>
      </c>
      <c r="J80">
        <f>100*124193/417286</f>
        <v>29.76208164184756</v>
      </c>
      <c r="K80">
        <f>100*168330/626464</f>
        <v>26.869860039842674</v>
      </c>
      <c r="L80">
        <f>IF(COUNT(J80:K80)=2,K80-J80,"")</f>
        <v>-2.8922216020048843</v>
      </c>
      <c r="O80">
        <v>6</v>
      </c>
      <c r="P80">
        <v>5</v>
      </c>
      <c r="Q80">
        <f>100*275977/710313</f>
        <v>38.85287190294983</v>
      </c>
      <c r="R80">
        <f>100*210931/919832</f>
        <v>22.931470094539</v>
      </c>
      <c r="S80">
        <f>IF(COUNT(Q80:R80)=2,R80-Q80,"")</f>
        <v>-15.921401808410828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100*27715/808665</f>
        <v>3.4272535598795546</v>
      </c>
      <c r="E81">
        <f>IF(COUNT(C81:D81)=2,D81-C81,"")</f>
        <v>1.4935809166319824</v>
      </c>
      <c r="H81">
        <v>7</v>
      </c>
      <c r="I81">
        <v>6</v>
      </c>
      <c r="J81">
        <f>100*4575/667678</f>
        <v>0.6852105356174683</v>
      </c>
      <c r="K81">
        <f>100*11552/552462</f>
        <v>2.0910035441351624</v>
      </c>
      <c r="L81">
        <f>IF(COUNT(J81:K81)=2,K81-J81,"")</f>
        <v>1.4057930085176942</v>
      </c>
      <c r="O81">
        <v>7</v>
      </c>
      <c r="P81">
        <v>6</v>
      </c>
      <c r="Q81">
        <f>100*256619/495194</f>
        <v>51.82191222026115</v>
      </c>
      <c r="R81">
        <f>100*202148/552289</f>
        <v>36.60185156684272</v>
      </c>
      <c r="S81">
        <f>IF(COUNT(Q81:R81)=2,R81-Q81,"")</f>
        <v>-15.220060653418429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100*7815/443599</f>
        <v>1.7617262437471681</v>
      </c>
      <c r="E82">
        <f>IF(COUNT(C82:D82)=2,D82-C82,"")</f>
        <v>0.8810892180060013</v>
      </c>
      <c r="H82">
        <v>8</v>
      </c>
      <c r="I82">
        <v>7</v>
      </c>
      <c r="J82">
        <f>100*7536/581531</f>
        <v>1.2958896430284885</v>
      </c>
      <c r="K82">
        <f>100*4734/941570</f>
        <v>0.5027772762513674</v>
      </c>
      <c r="L82">
        <f>IF(COUNT(J82:K82)=2,K82-J82,"")</f>
        <v>-0.7931123667771212</v>
      </c>
      <c r="O82">
        <v>8</v>
      </c>
      <c r="P82">
        <v>7</v>
      </c>
      <c r="Q82">
        <f>100*168583/355732</f>
        <v>47.39045123857286</v>
      </c>
      <c r="R82">
        <f>100*146688/416114</f>
        <v>35.25187809110003</v>
      </c>
      <c r="S82">
        <f>IF(COUNT(Q82:R82)=2,R82-Q82,"")</f>
        <v>-12.138573147472826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100*207449/538688</f>
        <v>38.510046631816564</v>
      </c>
      <c r="E83">
        <f>IF(COUNT(C83:D83)=2,D83-C83,"")</f>
        <v>-13.243211768279096</v>
      </c>
      <c r="H83">
        <v>9</v>
      </c>
      <c r="I83">
        <v>8</v>
      </c>
      <c r="J83">
        <f>100*224416/408350</f>
        <v>54.95677727439696</v>
      </c>
      <c r="K83">
        <f>100*281493/729392</f>
        <v>38.5928279992103</v>
      </c>
      <c r="L83">
        <f>IF(COUNT(J83:K83)=2,K83-J83,"")</f>
        <v>-16.363949275186663</v>
      </c>
      <c r="O83">
        <v>9</v>
      </c>
      <c r="P83">
        <v>8</v>
      </c>
      <c r="Q83">
        <f>100*66103/140560</f>
        <v>47.02831531018782</v>
      </c>
      <c r="R83">
        <f>100*81351/244653</f>
        <v>33.25158489779402</v>
      </c>
      <c r="S83">
        <f>IF(COUNT(Q83:R83)=2,R83-Q83,"")</f>
        <v>-13.776730412393803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100*139983/671838</f>
        <v>20.83582649388692</v>
      </c>
      <c r="E84">
        <f>IF(COUNT(C84:D84)=2,D84-C84,"")</f>
        <v>5.438818250434016</v>
      </c>
      <c r="H84">
        <v>10</v>
      </c>
      <c r="I84">
        <v>9</v>
      </c>
      <c r="J84">
        <f>100*472599/885198</f>
        <v>53.389072275355346</v>
      </c>
      <c r="K84">
        <f>100*279049/1002885</f>
        <v>27.824625954122357</v>
      </c>
      <c r="L84">
        <f>IF(COUNT(J84:K84)=2,K84-J84,"")</f>
        <v>-25.56444632123299</v>
      </c>
      <c r="O84">
        <v>10</v>
      </c>
      <c r="P84">
        <v>9</v>
      </c>
      <c r="Q84">
        <f>100*6243/543809</f>
        <v>1.1480133649866038</v>
      </c>
      <c r="R84">
        <f>100*38711/729507</f>
        <v>5.306460390373225</v>
      </c>
      <c r="S84">
        <f>IF(COUNT(Q84:R84)=2,R84-Q84,"")</f>
        <v>4.1584470253866215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100*113562/1004758</f>
        <v>11.302423071028048</v>
      </c>
      <c r="E85">
        <f>IF(COUNT(C85:D85)=2,D85-C85,"")</f>
        <v>-39.95657358244607</v>
      </c>
      <c r="H85">
        <v>11</v>
      </c>
      <c r="I85">
        <v>10</v>
      </c>
      <c r="J85">
        <f>100*370148/619144</f>
        <v>59.783830578992934</v>
      </c>
      <c r="K85">
        <f>100*91430/843990</f>
        <v>10.83306674249695</v>
      </c>
      <c r="L85">
        <f>IF(COUNT(J85:K85)=2,K85-J85,"")</f>
        <v>-48.95076383649598</v>
      </c>
      <c r="O85">
        <v>11</v>
      </c>
      <c r="P85">
        <v>10</v>
      </c>
      <c r="Q85">
        <f>100*225999/413085</f>
        <v>54.71004756890228</v>
      </c>
      <c r="R85">
        <f>100*230132/582953</f>
        <v>39.47693896420466</v>
      </c>
      <c r="S85">
        <f>IF(COUNT(Q85:R85)=2,R85-Q85,"")</f>
        <v>-15.23310860469762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100*112729/772480</f>
        <v>14.593128624689312</v>
      </c>
      <c r="E86">
        <f>IF(COUNT(C86:D86)=2,D86-C86,"")</f>
        <v>-39.02508533762365</v>
      </c>
      <c r="H86">
        <v>12</v>
      </c>
      <c r="I86">
        <v>11</v>
      </c>
      <c r="J86">
        <f>100*303732/544372</f>
        <v>55.79493434636609</v>
      </c>
      <c r="K86">
        <f>100*228848/870656</f>
        <v>26.28454866215819</v>
      </c>
      <c r="L86">
        <f>IF(COUNT(J86:K86)=2,K86-J86,"")</f>
        <v>-29.5103856842079</v>
      </c>
      <c r="O86">
        <v>12</v>
      </c>
      <c r="P86">
        <v>11</v>
      </c>
      <c r="Q86">
        <f>100*176887/390857</f>
        <v>45.25619344159117</v>
      </c>
      <c r="R86">
        <f>100*134042/336695</f>
        <v>39.811105006014344</v>
      </c>
      <c r="S86">
        <f>IF(COUNT(Q86:R86)=2,R86-Q86,"")</f>
        <v>-5.445088435576828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100*13242/682980</f>
        <v>1.9388561890538523</v>
      </c>
      <c r="E87">
        <f>IF(COUNT(C87:D87)=2,D87-C87,"")</f>
        <v>0.3798373503455721</v>
      </c>
      <c r="H87">
        <v>13</v>
      </c>
      <c r="I87">
        <v>12</v>
      </c>
      <c r="J87">
        <f>100*302007/670149</f>
        <v>45.06564957942189</v>
      </c>
      <c r="K87">
        <f>100*18877/718181</f>
        <v>2.6284460324068726</v>
      </c>
      <c r="L87">
        <f>IF(COUNT(J87:K87)=2,K87-J87,"")</f>
        <v>-42.43720354701502</v>
      </c>
      <c r="O87">
        <v>13</v>
      </c>
      <c r="P87">
        <v>12</v>
      </c>
      <c r="Q87">
        <f>100*187062/769706</f>
        <v>24.30304557844164</v>
      </c>
      <c r="R87">
        <f>100*33567/498399</f>
        <v>6.734965359079774</v>
      </c>
      <c r="S87">
        <f>IF(COUNT(Q87:R87)=2,R87-Q87,"")</f>
        <v>-17.568080219361867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100*66012/436480</f>
        <v>15.123717008797653</v>
      </c>
      <c r="E88">
        <f>IF(COUNT(C88:D88)=2,D88-C88,"")</f>
        <v>9.052355408866337</v>
      </c>
      <c r="H88">
        <v>14</v>
      </c>
      <c r="I88">
        <v>13</v>
      </c>
      <c r="J88">
        <f>100*112082/470769</f>
        <v>23.808279644581525</v>
      </c>
      <c r="K88">
        <f>100*71905/432767</f>
        <v>16.615176295789652</v>
      </c>
      <c r="L88">
        <f>IF(COUNT(J88:K88)=2,K88-J88,"")</f>
        <v>-7.1931033487918725</v>
      </c>
      <c r="O88">
        <v>14</v>
      </c>
      <c r="P88">
        <v>13</v>
      </c>
      <c r="Q88">
        <f>100*77933/602059</f>
        <v>12.94441242469592</v>
      </c>
      <c r="R88">
        <f>100*15964/663979</f>
        <v>2.404292906853982</v>
      </c>
      <c r="S88">
        <f>IF(COUNT(Q88:R88)=2,R88-Q88,"")</f>
        <v>-10.540119517841937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100*170924/735914</f>
        <v>23.226083482580844</v>
      </c>
      <c r="E89">
        <f>IF(COUNT(C89:D89)=2,D89-C89,"")</f>
        <v>2.672947872673017</v>
      </c>
      <c r="H89">
        <v>15</v>
      </c>
      <c r="I89">
        <v>14</v>
      </c>
      <c r="J89">
        <f>100*79792/480516</f>
        <v>16.605482439710645</v>
      </c>
      <c r="K89">
        <f>100*153385/739663</f>
        <v>20.73714651131664</v>
      </c>
      <c r="L89">
        <f>IF(COUNT(J89:K89)=2,K89-J89,"")</f>
        <v>4.1316640716059965</v>
      </c>
      <c r="O89">
        <v>15</v>
      </c>
      <c r="P89">
        <v>14</v>
      </c>
      <c r="Q89">
        <f>100*175395/343809</f>
        <v>51.015243929042</v>
      </c>
      <c r="R89">
        <f>100*196982/511284</f>
        <v>38.52692437079979</v>
      </c>
      <c r="S89">
        <f>IF(COUNT(Q89:R89)=2,R89-Q89,"")</f>
        <v>-12.48831955824221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100*101192/779236</f>
        <v>12.98605300576462</v>
      </c>
      <c r="E90">
        <f>IF(COUNT(C90:D90)=2,D90-C90,"")</f>
        <v>-44.59991672006795</v>
      </c>
      <c r="H90">
        <v>16</v>
      </c>
      <c r="I90">
        <v>15</v>
      </c>
      <c r="J90">
        <f>100*331166/636513</f>
        <v>52.028159676235994</v>
      </c>
      <c r="K90">
        <f>100*55403/815919</f>
        <v>6.790257366233658</v>
      </c>
      <c r="L90">
        <f>IF(COUNT(J90:K90)=2,K90-J90,"")</f>
        <v>-45.23790231000233</v>
      </c>
      <c r="O90">
        <v>16</v>
      </c>
      <c r="P90">
        <v>15</v>
      </c>
      <c r="Q90">
        <f>100*123775/294038</f>
        <v>42.0948992987301</v>
      </c>
      <c r="R90">
        <f>100*101139/440747</f>
        <v>22.94717831318194</v>
      </c>
      <c r="S90">
        <f>IF(COUNT(Q90:R90)=2,R90-Q90,"")</f>
        <v>-19.14772098554816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100*288633/686726</f>
        <v>42.03030029444058</v>
      </c>
      <c r="E91">
        <f>IF(COUNT(C91:D91)=2,D91-C91,"")</f>
        <v>0.8982853438163616</v>
      </c>
      <c r="H91">
        <v>17</v>
      </c>
      <c r="I91">
        <v>16</v>
      </c>
      <c r="J91">
        <f>100*2558/107131</f>
        <v>2.3877309088872503</v>
      </c>
      <c r="K91">
        <f>100*98337/326394</f>
        <v>30.12831118219085</v>
      </c>
      <c r="L91">
        <f>IF(COUNT(J91:K91)=2,K91-J91,"")</f>
        <v>27.7405802733036</v>
      </c>
      <c r="O91">
        <v>17</v>
      </c>
      <c r="P91">
        <v>16</v>
      </c>
      <c r="Q91">
        <f>100*18236/388369</f>
        <v>4.695534401561401</v>
      </c>
      <c r="R91">
        <f>100*7675/437427</f>
        <v>1.7545784782375116</v>
      </c>
      <c r="S91">
        <f>IF(COUNT(Q91:R91)=2,R91-Q91,"")</f>
        <v>-2.94095592332389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100*226711/954038</f>
        <v>23.763309218291095</v>
      </c>
      <c r="E92">
        <f>IF(COUNT(C92:D92)=2,D92-C92,"")</f>
        <v>-27.751018363791356</v>
      </c>
      <c r="H92">
        <v>18</v>
      </c>
      <c r="I92">
        <v>17</v>
      </c>
      <c r="K92">
        <f>100*44408/666953</f>
        <v>6.658340242865689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100*32021/409259</f>
        <v>7.8241407030755585</v>
      </c>
      <c r="S92">
        <f>IF(COUNT(Q92:R92)=2,R92-Q92,"")</f>
        <v>-10.1897823446441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100*147251/1054715</f>
        <v>13.96121227061339</v>
      </c>
      <c r="E93">
        <f>IF(COUNT(C93:D93)=2,D93-C93,"")</f>
        <v>-35.14727693008681</v>
      </c>
      <c r="H93">
        <v>19</v>
      </c>
      <c r="I93">
        <v>18</v>
      </c>
      <c r="J93">
        <f>100*98670/626756</f>
        <v>15.742968555546337</v>
      </c>
      <c r="K93">
        <f>100*26333/484998</f>
        <v>5.429506925801756</v>
      </c>
      <c r="L93">
        <f>IF(COUNT(J93:K93)=2,K93-J93,"")</f>
        <v>-10.31346162974458</v>
      </c>
      <c r="O93">
        <v>19</v>
      </c>
      <c r="P93">
        <v>18</v>
      </c>
      <c r="Q93">
        <f>100*176507/342598</f>
        <v>51.52014897927017</v>
      </c>
      <c r="R93">
        <f>100*195026/555892</f>
        <v>35.08343347268894</v>
      </c>
      <c r="S93">
        <f>IF(COUNT(Q93:R93)=2,R93-Q93,"")</f>
        <v>-16.43671550658123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100*133633/891236</f>
        <v>14.994120524754386</v>
      </c>
      <c r="E94">
        <f>IF(COUNT(C94:D94)=2,D94-C94,"")</f>
        <v>-35.18775540375646</v>
      </c>
      <c r="H94">
        <v>20</v>
      </c>
      <c r="I94">
        <v>19</v>
      </c>
      <c r="J94">
        <f>100*63724/294932</f>
        <v>21.606336375842567</v>
      </c>
      <c r="K94">
        <f>100*304280/1006051</f>
        <v>30.244987580152497</v>
      </c>
      <c r="L94">
        <f>IF(COUNT(J94:K94)=2,K94-J94,"")</f>
        <v>8.63865120430993</v>
      </c>
      <c r="O94">
        <v>20</v>
      </c>
      <c r="P94">
        <v>19</v>
      </c>
      <c r="Q94">
        <f>100*271008/594768</f>
        <v>45.565329674763944</v>
      </c>
      <c r="R94">
        <f>100*340865/1020131</f>
        <v>33.41384586881489</v>
      </c>
      <c r="S94">
        <f>IF(COUNT(Q94:R94)=2,R94-Q94,"")</f>
        <v>-12.151483805949056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100*21655/127666</f>
        <v>16.962229567778422</v>
      </c>
      <c r="E95">
        <f>IF(COUNT(C95:D95)=2,D95-C95,"")</f>
        <v>-37.74347193189705</v>
      </c>
      <c r="H95">
        <v>21</v>
      </c>
      <c r="I95">
        <v>20</v>
      </c>
      <c r="J95">
        <f>100*465002/826011</f>
        <v>56.29489195664465</v>
      </c>
      <c r="K95">
        <f>100*104609/658300</f>
        <v>15.890779279963542</v>
      </c>
      <c r="L95">
        <f>IF(COUNT(J95:K95)=2,K95-J95,"")</f>
        <v>-40.40411267668111</v>
      </c>
      <c r="O95">
        <v>21</v>
      </c>
      <c r="P95">
        <v>20</v>
      </c>
      <c r="Q95">
        <f>100*230728/471359</f>
        <v>48.9495267938026</v>
      </c>
      <c r="R95">
        <f>100*87384/588371</f>
        <v>14.851853677356633</v>
      </c>
      <c r="S95">
        <f>IF(COUNT(Q95:R95)=2,R95-Q95,"")</f>
        <v>-34.09767311644596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100*67331/204330</f>
        <v>32.952087309744044</v>
      </c>
      <c r="E96">
        <f>IF(COUNT(C96:D96)=2,D96-C96,"")</f>
        <v>-8.104710660923942</v>
      </c>
      <c r="H96">
        <v>22</v>
      </c>
      <c r="I96">
        <v>21</v>
      </c>
      <c r="J96">
        <f>100*144864/290419</f>
        <v>49.881033954390034</v>
      </c>
      <c r="K96">
        <f>100*91616/317082</f>
        <v>28.89347235100069</v>
      </c>
      <c r="L96">
        <f>IF(COUNT(J96:K96)=2,K96-J96,"")</f>
        <v>-20.987561603389345</v>
      </c>
      <c r="O96">
        <v>22</v>
      </c>
      <c r="P96">
        <v>21</v>
      </c>
      <c r="Q96">
        <f>100*25278/69101</f>
        <v>36.58123616156061</v>
      </c>
      <c r="R96">
        <f>100*135622/339950</f>
        <v>39.89469039564642</v>
      </c>
      <c r="S96">
        <f>IF(COUNT(Q96:R96)=2,R96-Q96,"")</f>
        <v>3.3134542340858104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100*290926/763263</f>
        <v>38.11608842561476</v>
      </c>
      <c r="E97">
        <f>IF(COUNT(C97:D97)=2,D97-C97,"")</f>
        <v>-5.367213846386008</v>
      </c>
      <c r="H97">
        <v>23</v>
      </c>
      <c r="I97">
        <v>22</v>
      </c>
      <c r="J97">
        <f>100*455714/839395</f>
        <v>54.29076894668184</v>
      </c>
      <c r="K97">
        <f>100*178489/681288</f>
        <v>26.198758821526287</v>
      </c>
      <c r="L97">
        <f>IF(COUNT(J97:K97)=2,K97-J97,"")</f>
        <v>-28.09201012515555</v>
      </c>
      <c r="O97">
        <v>23</v>
      </c>
      <c r="P97">
        <v>22</v>
      </c>
      <c r="Q97">
        <f>100*745/388450</f>
        <v>0.1917878748873729</v>
      </c>
      <c r="R97">
        <f>100*4606/419354</f>
        <v>1.0983560428659318</v>
      </c>
      <c r="S97">
        <f>IF(COUNT(Q97:R97)=2,R97-Q97,"")</f>
        <v>0.9065681679785589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100*265565/1002899</f>
        <v>26.479735247517446</v>
      </c>
      <c r="E98">
        <f>IF(COUNT(C98:D98)=2,D98-C98,"")</f>
        <v>0.198965232089936</v>
      </c>
      <c r="H98">
        <v>24</v>
      </c>
      <c r="I98">
        <v>23</v>
      </c>
      <c r="J98">
        <f>100*361494/762974</f>
        <v>47.37959615924002</v>
      </c>
      <c r="K98">
        <f>100*286568/1063770</f>
        <v>26.938905966515318</v>
      </c>
      <c r="L98">
        <f>IF(COUNT(J98:K98)=2,K98-J98,"")</f>
        <v>-20.440690192724706</v>
      </c>
      <c r="O98">
        <v>24</v>
      </c>
      <c r="P98">
        <v>23</v>
      </c>
      <c r="Q98">
        <f>100*292810/722778</f>
        <v>40.51174772890155</v>
      </c>
      <c r="R98">
        <f>100*144860/799097</f>
        <v>18.12796193703643</v>
      </c>
      <c r="S98">
        <f>IF(COUNT(Q98:R98)=2,R98-Q98,"")</f>
        <v>-22.383785791865115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100*200682/1001195</f>
        <v>20.044247124686</v>
      </c>
      <c r="E99">
        <f>IF(COUNT(C99:D99)=2,D99-C99,"")</f>
        <v>-22.52382397304339</v>
      </c>
      <c r="H99">
        <v>25</v>
      </c>
      <c r="I99">
        <v>24</v>
      </c>
      <c r="J99">
        <f>100*297339/579923</f>
        <v>51.27215164771875</v>
      </c>
      <c r="K99">
        <f>100*19810/782807</f>
        <v>2.530636542596068</v>
      </c>
      <c r="L99">
        <f>IF(COUNT(J99:K99)=2,K99-J99,"")</f>
        <v>-48.74151510512268</v>
      </c>
      <c r="O99">
        <v>25</v>
      </c>
      <c r="P99">
        <v>24</v>
      </c>
      <c r="Q99">
        <f>100*194348/434877</f>
        <v>44.69033772767932</v>
      </c>
      <c r="R99">
        <f>100*115863/320641</f>
        <v>36.13480496879688</v>
      </c>
      <c r="S99">
        <f>IF(COUNT(Q99:R99)=2,R99-Q99,"")</f>
        <v>-8.555532758882443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100*166134/779726</f>
        <v>21.30671543593519</v>
      </c>
      <c r="E100">
        <f>IF(COUNT(C100:D100)=2,D100-C100,"")</f>
        <v>-38.281248851145385</v>
      </c>
      <c r="H100">
        <v>26</v>
      </c>
      <c r="I100">
        <v>25</v>
      </c>
      <c r="J100">
        <f>100*30617/503886</f>
        <v>6.076175960435496</v>
      </c>
      <c r="K100">
        <f>100*73303/824789</f>
        <v>8.88748516287196</v>
      </c>
      <c r="L100">
        <f>IF(COUNT(J100:K100)=2,K100-J100,"")</f>
        <v>2.8113092024364637</v>
      </c>
      <c r="O100">
        <v>26</v>
      </c>
      <c r="P100">
        <v>25</v>
      </c>
      <c r="Q100">
        <f>100*196342/383537</f>
        <v>51.19245340084529</v>
      </c>
      <c r="R100">
        <f>100*206721/574272</f>
        <v>35.99705366098295</v>
      </c>
      <c r="S100">
        <f>IF(COUNT(Q100:R100)=2,R100-Q100,"")</f>
        <v>-15.195399739862339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100*205900/858293</f>
        <v>23.989476787064557</v>
      </c>
      <c r="E101">
        <f>IF(COUNT(C101:D101)=2,D101-C101,"")</f>
        <v>5.539562635736001</v>
      </c>
      <c r="H101">
        <v>27</v>
      </c>
      <c r="I101">
        <v>26</v>
      </c>
      <c r="J101">
        <f>100*110948/559494</f>
        <v>19.830060733448438</v>
      </c>
      <c r="K101">
        <f>100*47941/559089</f>
        <v>8.574842288079358</v>
      </c>
      <c r="L101">
        <f>IF(COUNT(J101:K101)=2,K101-J101,"")</f>
        <v>-11.25521844536908</v>
      </c>
      <c r="O101">
        <v>27</v>
      </c>
      <c r="P101">
        <v>26</v>
      </c>
      <c r="Q101">
        <f>100*186316/322263</f>
        <v>57.81489032250057</v>
      </c>
      <c r="R101">
        <f>100*206113/564110</f>
        <v>36.5377320026236</v>
      </c>
      <c r="S101">
        <f>IF(COUNT(Q101:R101)=2,R101-Q101,"")</f>
        <v>-21.277158319876968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100*112082/416739</f>
        <v>26.89501102608587</v>
      </c>
      <c r="E102">
        <f>IF(COUNT(C102:D102)=2,D102-C102,"")</f>
        <v>-1.6991677273441574</v>
      </c>
      <c r="H102">
        <v>28</v>
      </c>
      <c r="I102">
        <v>27</v>
      </c>
      <c r="J102">
        <f>100*139061/401357</f>
        <v>34.6477076517913</v>
      </c>
      <c r="K102">
        <f>100*101767/450348</f>
        <v>22.597413555739116</v>
      </c>
      <c r="L102">
        <f>IF(COUNT(J102:K102)=2,K102-J102,"")</f>
        <v>-12.050294096052184</v>
      </c>
      <c r="O102">
        <v>28</v>
      </c>
      <c r="P102">
        <v>27</v>
      </c>
      <c r="Q102">
        <f>100*1759/765634</f>
        <v>0.22974423810854794</v>
      </c>
      <c r="R102">
        <f>100*2291/759397</f>
        <v>0.30168673302633536</v>
      </c>
      <c r="S102">
        <f>IF(COUNT(Q102:R102)=2,R102-Q102,"")</f>
        <v>0.07194249491778743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100*279779/620849</f>
        <v>45.06393664159884</v>
      </c>
      <c r="E103">
        <f>IF(COUNT(C103:D103)=2,D103-C103,"")</f>
        <v>-6.102555004017994</v>
      </c>
      <c r="H103">
        <v>29</v>
      </c>
      <c r="I103">
        <v>28</v>
      </c>
      <c r="J103">
        <f>100*239541/426383</f>
        <v>56.17977264571993</v>
      </c>
      <c r="K103">
        <f>100*234122/589493</f>
        <v>39.71582359756604</v>
      </c>
      <c r="L103">
        <f>IF(COUNT(J103:K103)=2,K103-J103,"")</f>
        <v>-16.463949048153886</v>
      </c>
      <c r="O103">
        <v>29</v>
      </c>
      <c r="P103">
        <v>28</v>
      </c>
      <c r="Q103">
        <f>100*180468/321414</f>
        <v>56.14814538259068</v>
      </c>
      <c r="R103">
        <f>100*249933/566223</f>
        <v>44.14038285269231</v>
      </c>
      <c r="S103">
        <f>IF(COUNT(Q103:R103)=2,R103-Q103,"")</f>
        <v>-12.007762529898365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100*7014/570127</f>
        <v>1.2302522069644133</v>
      </c>
      <c r="E104">
        <f>IF(COUNT(C104:D104)=2,D104-C104,"")</f>
        <v>-0.1728428269484268</v>
      </c>
      <c r="H104">
        <v>30</v>
      </c>
      <c r="I104">
        <v>29</v>
      </c>
      <c r="J104">
        <f>100*176819/628999</f>
        <v>28.111173467684367</v>
      </c>
      <c r="K104">
        <f>100*16201/709641</f>
        <v>2.2829853404749727</v>
      </c>
      <c r="L104">
        <f>IF(COUNT(J104:K104)=2,K104-J104,"")</f>
        <v>-25.828188127209394</v>
      </c>
      <c r="O104">
        <v>30</v>
      </c>
      <c r="P104">
        <v>29</v>
      </c>
      <c r="Q104">
        <f>100*273685/521227</f>
        <v>52.5078324798984</v>
      </c>
      <c r="R104">
        <f>100*184578/667888</f>
        <v>27.63607071844381</v>
      </c>
      <c r="S104">
        <f>IF(COUNT(Q104:R104)=2,R104-Q104,"")</f>
        <v>-24.871761761454586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100*157793/660354</f>
        <v>23.895213779275963</v>
      </c>
      <c r="E105">
        <f>IF(COUNT(C105:D105)=2,D105-C105,"")</f>
        <v>-15.597944192903185</v>
      </c>
      <c r="H105">
        <v>31</v>
      </c>
      <c r="I105">
        <v>30</v>
      </c>
      <c r="J105">
        <f>100*69915/403117</f>
        <v>17.343599997023198</v>
      </c>
      <c r="K105">
        <f>100*138966/549329</f>
        <v>25.297408292662503</v>
      </c>
      <c r="L105">
        <f>IF(COUNT(J105:K105)=2,K105-J105,"")</f>
        <v>7.9538082956393055</v>
      </c>
      <c r="O105">
        <v>31</v>
      </c>
      <c r="P105">
        <v>30</v>
      </c>
      <c r="Q105">
        <f>100*141232/628600</f>
        <v>22.467706013363028</v>
      </c>
      <c r="R105">
        <f>100*2803/526512</f>
        <v>0.5323715318929103</v>
      </c>
      <c r="S105">
        <f>IF(COUNT(Q105:R105)=2,R105-Q105,"")</f>
        <v>-21.935334481470118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20.955200145786847</v>
      </c>
      <c r="E106">
        <f>IF(COUNT(E75:E105)&gt;0,AVERAGE(E75:E105),"")</f>
        <v>-14.227137593227349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17.890848353276418</v>
      </c>
      <c r="L106">
        <f>IF(COUNT(L75:L105)&gt;0,AVERAGE(L75:L105),"")</f>
        <v>-18.098154305757458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24.10987416767952</v>
      </c>
      <c r="S106">
        <f>IF(COUNT(S75:S105)&gt;0,AVERAGE(S75:S105),"")</f>
        <v>-12.663852615662911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100*81767/515979</f>
        <v>15.846962763988456</v>
      </c>
      <c r="E3">
        <f>IF(COUNT(C3:D3)=2,D3-C3,"")</f>
        <v>-19.17803745962714</v>
      </c>
      <c r="H3">
        <v>1</v>
      </c>
      <c r="I3">
        <v>0</v>
      </c>
      <c r="J3">
        <f>100*58251/215009</f>
        <v>27.09235427354204</v>
      </c>
      <c r="K3">
        <f>100*101181/402600</f>
        <v>25.13189269746647</v>
      </c>
      <c r="L3">
        <f>IF(COUNT(J3:K3)=2,K3-J3,"")</f>
        <v>-1.96046157607557</v>
      </c>
      <c r="O3">
        <v>1</v>
      </c>
      <c r="P3">
        <v>0</v>
      </c>
      <c r="Q3">
        <f>100*45645/291867</f>
        <v>15.638972545714315</v>
      </c>
      <c r="R3">
        <f>100*61182/353251</f>
        <v>17.319696193358265</v>
      </c>
      <c r="S3">
        <f>IF(COUNT(Q3:R3)=2,R3-Q3,"")</f>
        <v>1.6807236476439495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100*60001/283884</f>
        <v>21.135745586225358</v>
      </c>
      <c r="E4">
        <f>IF(COUNT(C4:D4)=2,D4-C4,"")</f>
        <v>-16.657214469832287</v>
      </c>
      <c r="H4">
        <v>2</v>
      </c>
      <c r="I4">
        <v>1</v>
      </c>
      <c r="J4">
        <f>100*64971/296332</f>
        <v>21.925070529001257</v>
      </c>
      <c r="K4">
        <f>100*11111/158351</f>
        <v>7.016690769240485</v>
      </c>
      <c r="L4">
        <f>IF(COUNT(J4:K4)=2,K4-J4,"")</f>
        <v>-14.908379759760772</v>
      </c>
      <c r="O4">
        <v>2</v>
      </c>
      <c r="P4">
        <v>1</v>
      </c>
      <c r="Q4">
        <f>100*75288/157455</f>
        <v>47.81556635229113</v>
      </c>
      <c r="R4">
        <f>100*62813/208908</f>
        <v>30.067302353188964</v>
      </c>
      <c r="S4">
        <f>IF(COUNT(Q4:R4)=2,R4-Q4,"")</f>
        <v>-17.748263999102164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100*129940/533230</f>
        <v>24.368471391332072</v>
      </c>
      <c r="E5">
        <f>IF(COUNT(C5:D5)=2,D5-C5,"")</f>
        <v>-13.852799855495412</v>
      </c>
      <c r="H5">
        <v>3</v>
      </c>
      <c r="I5">
        <v>2</v>
      </c>
      <c r="J5">
        <f>100*62705/328831</f>
        <v>19.069065872743142</v>
      </c>
      <c r="K5">
        <f>100*194257/643651</f>
        <v>30.180486008722117</v>
      </c>
      <c r="L5">
        <f>IF(COUNT(J5:K5)=2,K5-J5,"")</f>
        <v>11.111420135978975</v>
      </c>
      <c r="O5">
        <v>3</v>
      </c>
      <c r="P5">
        <v>2</v>
      </c>
      <c r="Q5">
        <f>100*141348/334791</f>
        <v>42.21977293296415</v>
      </c>
      <c r="R5">
        <f>100*93500/258409</f>
        <v>36.182950284239325</v>
      </c>
      <c r="S5">
        <f>IF(COUNT(Q5:R5)=2,R5-Q5,"")</f>
        <v>-6.036822648724822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100*26360/383419</f>
        <v>6.874985329365525</v>
      </c>
      <c r="E6">
        <f>IF(COUNT(C6:D6)=2,D6-C6,"")</f>
        <v>3.3973969227311156</v>
      </c>
      <c r="H6">
        <v>4</v>
      </c>
      <c r="I6">
        <v>3</v>
      </c>
      <c r="J6">
        <f>100*69099/464767</f>
        <v>14.867449711360747</v>
      </c>
      <c r="K6">
        <f>100*43814/347637</f>
        <v>12.60337651055555</v>
      </c>
      <c r="L6">
        <f>IF(COUNT(J6:K6)=2,K6-J6,"")</f>
        <v>-2.2640732008051963</v>
      </c>
      <c r="O6">
        <v>4</v>
      </c>
      <c r="P6">
        <v>3</v>
      </c>
      <c r="Q6">
        <f>100*182044/470083</f>
        <v>38.72592712350798</v>
      </c>
      <c r="R6">
        <f>100*123575/419861</f>
        <v>29.432359757157727</v>
      </c>
      <c r="S6">
        <f>IF(COUNT(Q6:R6)=2,R6-Q6,"")</f>
        <v>-9.293567366350253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100*74412/296647</f>
        <v>25.08435952495727</v>
      </c>
      <c r="E7">
        <f>IF(COUNT(C7:D7)=2,D7-C7,"")</f>
        <v>-12.225797141683628</v>
      </c>
      <c r="H7">
        <v>5</v>
      </c>
      <c r="I7">
        <v>4</v>
      </c>
      <c r="J7">
        <f>100*106457/411240</f>
        <v>25.88683007489544</v>
      </c>
      <c r="K7">
        <f>100*65501/278164</f>
        <v>23.547619390000143</v>
      </c>
      <c r="L7">
        <f>IF(COUNT(J7:K7)=2,K7-J7,"")</f>
        <v>-2.3392106848952956</v>
      </c>
      <c r="O7">
        <v>5</v>
      </c>
      <c r="P7">
        <v>4</v>
      </c>
      <c r="Q7">
        <f>100*154964/442048</f>
        <v>35.055921528883744</v>
      </c>
      <c r="R7">
        <f>100*134007/599942</f>
        <v>22.336659210390337</v>
      </c>
      <c r="S7">
        <f>IF(COUNT(Q7:R7)=2,R7-Q7,"")</f>
        <v>-12.719262318493406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100*65659/427443</f>
        <v>15.360878526493591</v>
      </c>
      <c r="E8">
        <f>IF(COUNT(C8:D8)=2,D8-C8,"")</f>
        <v>-5.63020858700291</v>
      </c>
      <c r="H8">
        <v>6</v>
      </c>
      <c r="I8">
        <v>5</v>
      </c>
      <c r="J8">
        <f>100*91696/324059</f>
        <v>28.29608188632317</v>
      </c>
      <c r="K8">
        <f>100*57219/294473</f>
        <v>19.430983485752513</v>
      </c>
      <c r="L8">
        <f>IF(COUNT(J8:K8)=2,K8-J8,"")</f>
        <v>-8.865098400570655</v>
      </c>
      <c r="O8">
        <v>6</v>
      </c>
      <c r="P8">
        <v>5</v>
      </c>
      <c r="Q8">
        <f>100*114455/487242</f>
        <v>23.49038055011678</v>
      </c>
      <c r="R8">
        <f>100*95189/479075</f>
        <v>19.869331524291603</v>
      </c>
      <c r="S8">
        <f>IF(COUNT(Q8:R8)=2,R8-Q8,"")</f>
        <v>-3.621049025825176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100*18779/396396</f>
        <v>4.737434282888828</v>
      </c>
      <c r="E9">
        <f>IF(COUNT(C9:D9)=2,D9-C9,"")</f>
        <v>-16.72032370941722</v>
      </c>
      <c r="H9">
        <v>7</v>
      </c>
      <c r="I9">
        <v>6</v>
      </c>
      <c r="J9">
        <f>100*2956/325191</f>
        <v>0.9090042467349957</v>
      </c>
      <c r="K9">
        <f>100*22766/362340</f>
        <v>6.283049069934316</v>
      </c>
      <c r="L9">
        <f>IF(COUNT(J9:K9)=2,K9-J9,"")</f>
        <v>5.374044823199321</v>
      </c>
      <c r="O9">
        <v>7</v>
      </c>
      <c r="P9">
        <v>6</v>
      </c>
      <c r="Q9">
        <f>100*198686/446837</f>
        <v>44.46498387555194</v>
      </c>
      <c r="R9">
        <f>100*109394/392681</f>
        <v>27.858236074574528</v>
      </c>
      <c r="S9">
        <f>IF(COUNT(Q9:R9)=2,R9-Q9,"")</f>
        <v>-16.60674780097741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100*8474/283012</f>
        <v>2.994219326388987</v>
      </c>
      <c r="E10">
        <f>IF(COUNT(C10:D10)=2,D10-C10,"")</f>
        <v>2.5905752874824888</v>
      </c>
      <c r="H10">
        <v>8</v>
      </c>
      <c r="I10">
        <v>7</v>
      </c>
      <c r="J10">
        <f>100*1179/376958</f>
        <v>0.31276693955294754</v>
      </c>
      <c r="K10">
        <f>100*320/274495</f>
        <v>0.11657771544108271</v>
      </c>
      <c r="L10">
        <f>IF(COUNT(J10:K10)=2,K10-J10,"")</f>
        <v>-0.19618922411186485</v>
      </c>
      <c r="O10">
        <v>8</v>
      </c>
      <c r="P10">
        <v>7</v>
      </c>
      <c r="Q10">
        <f>100*140584/308785</f>
        <v>45.52811826999368</v>
      </c>
      <c r="R10">
        <f>100*112375/348817</f>
        <v>32.21603304884796</v>
      </c>
      <c r="S10">
        <f>IF(COUNT(Q10:R10)=2,R10-Q10,"")</f>
        <v>-13.312085221145722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100*127311/394166</f>
        <v>32.298828412394776</v>
      </c>
      <c r="E11">
        <f>IF(COUNT(C11:D11)=2,D11-C11,"")</f>
        <v>-6.205964929813987</v>
      </c>
      <c r="H11">
        <v>9</v>
      </c>
      <c r="I11">
        <v>8</v>
      </c>
      <c r="J11">
        <f>100*144131/422295</f>
        <v>34.13040646941119</v>
      </c>
      <c r="K11">
        <f>100*142966/461276</f>
        <v>30.99359168914056</v>
      </c>
      <c r="L11">
        <f>IF(COUNT(J11:K11)=2,K11-J11,"")</f>
        <v>-3.136814780270633</v>
      </c>
      <c r="O11">
        <v>9</v>
      </c>
      <c r="P11">
        <v>8</v>
      </c>
      <c r="Q11">
        <f>100*85958/184662</f>
        <v>46.54882975382049</v>
      </c>
      <c r="R11">
        <f>100*53589/169082</f>
        <v>31.694089258466306</v>
      </c>
      <c r="S11">
        <f>IF(COUNT(Q11:R11)=2,R11-Q11,"")</f>
        <v>-14.854740495354186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100*13891/478767</f>
        <v>2.901411333696767</v>
      </c>
      <c r="E12">
        <f>IF(COUNT(C12:D12)=2,D12-C12,"")</f>
        <v>-15.252094015335462</v>
      </c>
      <c r="H12">
        <v>10</v>
      </c>
      <c r="I12">
        <v>9</v>
      </c>
      <c r="J12">
        <f>100*71311/426052</f>
        <v>16.737628270727516</v>
      </c>
      <c r="K12">
        <f>100*26174/334315</f>
        <v>7.829143173354471</v>
      </c>
      <c r="L12">
        <f>IF(COUNT(J12:K12)=2,K12-J12,"")</f>
        <v>-8.908485097373045</v>
      </c>
      <c r="O12">
        <v>10</v>
      </c>
      <c r="P12">
        <v>9</v>
      </c>
      <c r="Q12">
        <f>100*199032/643646</f>
        <v>30.922587882158826</v>
      </c>
      <c r="R12">
        <f>100*12717/482476</f>
        <v>2.635778774488265</v>
      </c>
      <c r="S12">
        <f>IF(COUNT(Q12:R12)=2,R12-Q12,"")</f>
        <v>-28.28680910767056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100*57703/545648</f>
        <v>10.575132686273935</v>
      </c>
      <c r="E13">
        <f>IF(COUNT(C13:D13)=2,D13-C13,"")</f>
        <v>9.848156497546125</v>
      </c>
      <c r="H13">
        <v>11</v>
      </c>
      <c r="I13">
        <v>10</v>
      </c>
      <c r="J13">
        <f>100*28276/544111</f>
        <v>5.196733754693436</v>
      </c>
      <c r="K13">
        <f>100*37655/404673</f>
        <v>9.305043825508497</v>
      </c>
      <c r="L13">
        <f>IF(COUNT(J13:K13)=2,K13-J13,"")</f>
        <v>4.108310070815061</v>
      </c>
      <c r="O13">
        <v>11</v>
      </c>
      <c r="P13">
        <v>10</v>
      </c>
      <c r="Q13">
        <f>100*136848/421678</f>
        <v>32.453198886354045</v>
      </c>
      <c r="R13">
        <f>100*140834/424273</f>
        <v>33.19419336134989</v>
      </c>
      <c r="S13">
        <f>IF(COUNT(Q13:R13)=2,R13-Q13,"")</f>
        <v>0.7409944749958441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100*30648/511269</f>
        <v>5.994496048068629</v>
      </c>
      <c r="E14">
        <f>IF(COUNT(C14:D14)=2,D14-C14,"")</f>
        <v>-32.25135484503826</v>
      </c>
      <c r="H14">
        <v>12</v>
      </c>
      <c r="I14">
        <v>11</v>
      </c>
      <c r="J14">
        <f>100*18702/461148</f>
        <v>4.05553097920841</v>
      </c>
      <c r="K14">
        <f>100*48917/499001</f>
        <v>9.802986366760788</v>
      </c>
      <c r="L14">
        <f>IF(COUNT(J14:K14)=2,K14-J14,"")</f>
        <v>5.747455387552377</v>
      </c>
      <c r="O14">
        <v>12</v>
      </c>
      <c r="P14">
        <v>11</v>
      </c>
      <c r="Q14">
        <f>100*91935/209068</f>
        <v>43.973731034878604</v>
      </c>
      <c r="R14">
        <f>100*100732/268646</f>
        <v>37.49618457002896</v>
      </c>
      <c r="S14">
        <f>IF(COUNT(Q14:R14)=2,R14-Q14,"")</f>
        <v>-6.477546464849645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100*145283/526259</f>
        <v>27.606748768192087</v>
      </c>
      <c r="E15">
        <f>IF(COUNT(C15:D15)=2,D15-C15,"")</f>
        <v>19.82748272301285</v>
      </c>
      <c r="H15">
        <v>13</v>
      </c>
      <c r="I15">
        <v>12</v>
      </c>
      <c r="J15">
        <f>100*226380/535721</f>
        <v>42.25707037805126</v>
      </c>
      <c r="K15">
        <f>100*72864/429033</f>
        <v>16.983308976232596</v>
      </c>
      <c r="L15">
        <f>IF(COUNT(J15:K15)=2,K15-J15,"")</f>
        <v>-25.273761401818664</v>
      </c>
      <c r="O15">
        <v>13</v>
      </c>
      <c r="P15">
        <v>12</v>
      </c>
      <c r="Q15">
        <f>100*165466/516479</f>
        <v>32.037314198641184</v>
      </c>
      <c r="R15">
        <f>100*51894/472539</f>
        <v>10.981950696133017</v>
      </c>
      <c r="S15">
        <f>IF(COUNT(Q15:R15)=2,R15-Q15,"")</f>
        <v>-21.055363502508165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100*44011/301197</f>
        <v>14.612031328333284</v>
      </c>
      <c r="E16">
        <f>IF(COUNT(C16:D16)=2,D16-C16,"")</f>
        <v>13.141567074736162</v>
      </c>
      <c r="H16">
        <v>14</v>
      </c>
      <c r="I16">
        <v>13</v>
      </c>
      <c r="J16">
        <f>100*44978/265308</f>
        <v>16.95312617787628</v>
      </c>
      <c r="K16">
        <f>100*42238/270355</f>
        <v>15.623162138669526</v>
      </c>
      <c r="L16">
        <f>IF(COUNT(J16:K16)=2,K16-J16,"")</f>
        <v>-1.329964039206752</v>
      </c>
      <c r="O16">
        <v>14</v>
      </c>
      <c r="P16">
        <v>13</v>
      </c>
      <c r="Q16">
        <f>100*58109/351187</f>
        <v>16.546455307286433</v>
      </c>
      <c r="R16">
        <f>100*20598/295079</f>
        <v>6.980503526174346</v>
      </c>
      <c r="S16">
        <f>IF(COUNT(Q16:R16)=2,R16-Q16,"")</f>
        <v>-9.565951781112087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100*135355/584398</f>
        <v>23.161441346479624</v>
      </c>
      <c r="E17">
        <f>IF(COUNT(C17:D17)=2,D17-C17,"")</f>
        <v>-9.869090065417975</v>
      </c>
      <c r="H17">
        <v>15</v>
      </c>
      <c r="I17">
        <v>14</v>
      </c>
      <c r="J17">
        <f>100*185252/403337</f>
        <v>45.92983038997166</v>
      </c>
      <c r="K17">
        <f>100*95403/516889</f>
        <v>18.457154243947926</v>
      </c>
      <c r="L17">
        <f>IF(COUNT(J17:K17)=2,K17-J17,"")</f>
        <v>-27.472676146023737</v>
      </c>
      <c r="O17">
        <v>15</v>
      </c>
      <c r="P17">
        <v>14</v>
      </c>
      <c r="Q17">
        <f>100*158493/377442</f>
        <v>41.99135231373297</v>
      </c>
      <c r="R17">
        <f>100*62189/214302</f>
        <v>29.019327864415636</v>
      </c>
      <c r="S17">
        <f>IF(COUNT(Q17:R17)=2,R17-Q17,"")</f>
        <v>-12.972024449317331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100*94007/405107</f>
        <v>23.205474109309392</v>
      </c>
      <c r="E18">
        <f>IF(COUNT(C18:D18)=2,D18-C18,"")</f>
        <v>-9.164606676033365</v>
      </c>
      <c r="H18">
        <v>16</v>
      </c>
      <c r="I18">
        <v>15</v>
      </c>
      <c r="J18">
        <f>100*116194/472598</f>
        <v>24.586223386472223</v>
      </c>
      <c r="K18">
        <f>100*19470/335472</f>
        <v>5.803763056231221</v>
      </c>
      <c r="L18">
        <f>IF(COUNT(J18:K18)=2,K18-J18,"")</f>
        <v>-18.782460330241</v>
      </c>
      <c r="O18">
        <v>16</v>
      </c>
      <c r="P18">
        <v>15</v>
      </c>
      <c r="Q18">
        <f>100*130815/335348</f>
        <v>39.00873122845522</v>
      </c>
      <c r="R18">
        <f>100*127505/355403</f>
        <v>35.876174371066085</v>
      </c>
      <c r="S18">
        <f>IF(COUNT(Q18:R18)=2,R18-Q18,"")</f>
        <v>-3.132556857389133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100*71274/337415</f>
        <v>21.123542225449373</v>
      </c>
      <c r="E19">
        <f>IF(COUNT(C19:D19)=2,D19-C19,"")</f>
        <v>-1.050291979271229</v>
      </c>
      <c r="H19">
        <v>17</v>
      </c>
      <c r="I19">
        <v>16</v>
      </c>
      <c r="J19">
        <f>100*147986/392782</f>
        <v>37.6763700984261</v>
      </c>
      <c r="K19">
        <f>100*77898/253217</f>
        <v>30.76333737466284</v>
      </c>
      <c r="L19">
        <f>IF(COUNT(J19:K19)=2,K19-J19,"")</f>
        <v>-6.9130327237632585</v>
      </c>
      <c r="O19">
        <v>17</v>
      </c>
      <c r="P19">
        <v>16</v>
      </c>
      <c r="Q19">
        <f>100*17753/266611</f>
        <v>6.65876501719734</v>
      </c>
      <c r="R19">
        <f>100*11179/285993</f>
        <v>3.9088369295751995</v>
      </c>
      <c r="S19">
        <f>IF(COUNT(Q19:R19)=2,R19-Q19,"")</f>
        <v>-2.749928087622141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100*78483/565613</f>
        <v>13.875741894192672</v>
      </c>
      <c r="E20">
        <f>IF(COUNT(C20:D20)=2,D20-C20,"")</f>
        <v>-19.49297974230491</v>
      </c>
      <c r="H20">
        <v>18</v>
      </c>
      <c r="I20">
        <v>17</v>
      </c>
      <c r="J20">
        <f>100*134558/617547</f>
        <v>21.78911078832866</v>
      </c>
      <c r="K20">
        <f>100*28720/422897</f>
        <v>6.791251770525683</v>
      </c>
      <c r="L20">
        <f>IF(COUNT(J20:K20)=2,K20-J20,"")</f>
        <v>-14.997859017802977</v>
      </c>
      <c r="O20">
        <v>18</v>
      </c>
      <c r="P20">
        <v>17</v>
      </c>
      <c r="Q20">
        <f>100*1405/276206</f>
        <v>0.5086783053228388</v>
      </c>
      <c r="R20">
        <f>100*4034/281574</f>
        <v>1.4326606860008382</v>
      </c>
      <c r="S20">
        <f>IF(COUNT(Q20:R20)=2,R20-Q20,"")</f>
        <v>0.9239823806779994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100*91985/366676</f>
        <v>25.08617962451865</v>
      </c>
      <c r="E21">
        <f>IF(COUNT(C21:D21)=2,D21-C21,"")</f>
        <v>6.915953933059164</v>
      </c>
      <c r="H21">
        <v>19</v>
      </c>
      <c r="I21">
        <v>18</v>
      </c>
      <c r="J21">
        <f>100*48771/351007</f>
        <v>13.894594694692698</v>
      </c>
      <c r="K21">
        <f>100*30401/345078</f>
        <v>8.809892256243517</v>
      </c>
      <c r="L21">
        <f>IF(COUNT(J21:K21)=2,K21-J21,"")</f>
        <v>-5.084702438449181</v>
      </c>
      <c r="O21">
        <v>19</v>
      </c>
      <c r="P21">
        <v>18</v>
      </c>
      <c r="Q21">
        <f>100*124085/311389</f>
        <v>39.84887070513088</v>
      </c>
      <c r="R21">
        <f>100*110832/338564</f>
        <v>32.73590812962985</v>
      </c>
      <c r="S21">
        <f>IF(COUNT(Q21:R21)=2,R21-Q21,"")</f>
        <v>-7.1129625755010295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100*75539/708637</f>
        <v>10.659759510158233</v>
      </c>
      <c r="E22">
        <f>IF(COUNT(C22:D22)=2,D22-C22,"")</f>
        <v>-10.036936844144746</v>
      </c>
      <c r="H22">
        <v>20</v>
      </c>
      <c r="I22">
        <v>19</v>
      </c>
      <c r="J22">
        <f>100*42161/340805</f>
        <v>12.371003946538343</v>
      </c>
      <c r="K22">
        <f>100*37174/270532</f>
        <v>13.741073144766608</v>
      </c>
      <c r="L22">
        <f>IF(COUNT(J22:K22)=2,K22-J22,"")</f>
        <v>1.370069198228265</v>
      </c>
      <c r="O22">
        <v>20</v>
      </c>
      <c r="P22">
        <v>19</v>
      </c>
      <c r="Q22">
        <f>100*139808/401311</f>
        <v>34.83781904806995</v>
      </c>
      <c r="R22">
        <f>100*79922/607090</f>
        <v>13.164769638768552</v>
      </c>
      <c r="S22">
        <f>IF(COUNT(Q22:R22)=2,R22-Q22,"")</f>
        <v>-21.6730494093014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100*102309/451289</f>
        <v>22.67039524561866</v>
      </c>
      <c r="E23">
        <f>IF(COUNT(C23:D23)=2,D23-C23,"")</f>
        <v>-4.019773352849214</v>
      </c>
      <c r="H23">
        <v>21</v>
      </c>
      <c r="I23">
        <v>20</v>
      </c>
      <c r="J23">
        <f>100*222992/523032</f>
        <v>42.63448507930681</v>
      </c>
      <c r="K23">
        <f>100*46042/343769</f>
        <v>13.39329607963487</v>
      </c>
      <c r="L23">
        <f>IF(COUNT(J23:K23)=2,K23-J23,"")</f>
        <v>-29.24118899967194</v>
      </c>
      <c r="O23">
        <v>21</v>
      </c>
      <c r="P23">
        <v>20</v>
      </c>
      <c r="Q23">
        <f>100*43636/293480</f>
        <v>14.86847485348235</v>
      </c>
      <c r="R23">
        <f>100*29011/274189</f>
        <v>10.580657867383447</v>
      </c>
      <c r="S23">
        <f>IF(COUNT(Q23:R23)=2,R23-Q23,"")</f>
        <v>-4.287816986098903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100*55631/169972</f>
        <v>32.729508389617116</v>
      </c>
      <c r="E24">
        <f>IF(COUNT(C24:D24)=2,D24-C24,"")</f>
        <v>-5.4187464671494325</v>
      </c>
      <c r="H24">
        <v>22</v>
      </c>
      <c r="I24">
        <v>21</v>
      </c>
      <c r="J24">
        <f>100*54639/207484</f>
        <v>26.334078772339073</v>
      </c>
      <c r="K24">
        <f>100*78009/241597</f>
        <v>32.28889431574068</v>
      </c>
      <c r="L24">
        <f>IF(COUNT(J24:K24)=2,K24-J24,"")</f>
        <v>5.954815543401605</v>
      </c>
      <c r="O24">
        <v>22</v>
      </c>
      <c r="P24">
        <v>21</v>
      </c>
      <c r="Q24">
        <f>100*45197/105457</f>
        <v>42.85822657576074</v>
      </c>
      <c r="R24">
        <f>100*65417/195404</f>
        <v>33.477820310740825</v>
      </c>
      <c r="S24">
        <f>IF(COUNT(Q24:R24)=2,R24-Q24,"")</f>
        <v>-9.380406265019914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100*34438/315017</f>
        <v>10.932108425894475</v>
      </c>
      <c r="E25">
        <f>IF(COUNT(C25:D25)=2,D25-C25,"")</f>
        <v>-22.89911927741143</v>
      </c>
      <c r="H25">
        <v>23</v>
      </c>
      <c r="I25">
        <v>22</v>
      </c>
      <c r="J25">
        <f>100*82449/499533</f>
        <v>16.505215871624095</v>
      </c>
      <c r="K25">
        <f>100*111974/510573</f>
        <v>21.9310460991866</v>
      </c>
      <c r="L25">
        <f>IF(COUNT(J25:K25)=2,K25-J25,"")</f>
        <v>5.425830227562503</v>
      </c>
      <c r="O25">
        <v>23</v>
      </c>
      <c r="P25">
        <v>22</v>
      </c>
      <c r="Q25">
        <f>100*656/247400</f>
        <v>0.2651576394502829</v>
      </c>
      <c r="R25">
        <f>100*647/249847</f>
        <v>0.2589584825913459</v>
      </c>
      <c r="S25">
        <f>IF(COUNT(Q25:R25)=2,R25-Q25,"")</f>
        <v>-0.006199156858937016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100*190026/656325</f>
        <v>28.953033938978404</v>
      </c>
      <c r="E26">
        <f>IF(COUNT(C26:D26)=2,D26-C26,"")</f>
        <v>4.500451281672067</v>
      </c>
      <c r="H26">
        <v>24</v>
      </c>
      <c r="I26">
        <v>23</v>
      </c>
      <c r="J26">
        <f>100*167481/558799</f>
        <v>29.971599806012538</v>
      </c>
      <c r="K26">
        <f>100*48537/470233</f>
        <v>10.321904247468808</v>
      </c>
      <c r="L26">
        <f>IF(COUNT(J26:K26)=2,K26-J26,"")</f>
        <v>-19.64969555854373</v>
      </c>
      <c r="O26">
        <v>24</v>
      </c>
      <c r="P26">
        <v>23</v>
      </c>
      <c r="Q26">
        <f>100*53061/340117</f>
        <v>15.600807957261766</v>
      </c>
      <c r="R26">
        <f>100*3854/512083</f>
        <v>0.7526123694791664</v>
      </c>
      <c r="S26">
        <f>IF(COUNT(Q26:R26)=2,R26-Q26,"")</f>
        <v>-14.8481955877826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100*37872/346356</f>
        <v>10.934414302047605</v>
      </c>
      <c r="E27">
        <f>IF(COUNT(C27:D27)=2,D27-C27,"")</f>
        <v>5.668626872981623</v>
      </c>
      <c r="H27">
        <v>25</v>
      </c>
      <c r="I27">
        <v>24</v>
      </c>
      <c r="J27">
        <f>100*67075/346916</f>
        <v>19.334651615953142</v>
      </c>
      <c r="K27">
        <f>100*9415/440522</f>
        <v>2.1372371867920332</v>
      </c>
      <c r="L27">
        <f>IF(COUNT(J27:K27)=2,K27-J27,"")</f>
        <v>-17.197414429161107</v>
      </c>
      <c r="O27">
        <v>25</v>
      </c>
      <c r="P27">
        <v>24</v>
      </c>
      <c r="Q27">
        <f>100*158561/348258</f>
        <v>45.52975093178046</v>
      </c>
      <c r="R27">
        <f>100*111344/363835</f>
        <v>30.60288317506562</v>
      </c>
      <c r="S27">
        <f>IF(COUNT(Q27:R27)=2,R27-Q27,"")</f>
        <v>-14.926867756714842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100*60385/443706</f>
        <v>13.609236746854899</v>
      </c>
      <c r="E28">
        <f>IF(COUNT(C28:D28)=2,D28-C28,"")</f>
        <v>-10.295965447820981</v>
      </c>
      <c r="H28">
        <v>26</v>
      </c>
      <c r="I28">
        <v>25</v>
      </c>
      <c r="J28">
        <f>100*177325/563486</f>
        <v>31.469282289178437</v>
      </c>
      <c r="K28">
        <f>100*72123/328312</f>
        <v>21.96782329004118</v>
      </c>
      <c r="L28">
        <f>IF(COUNT(J28:K28)=2,K28-J28,"")</f>
        <v>-9.501458999137256</v>
      </c>
      <c r="O28">
        <v>26</v>
      </c>
      <c r="P28">
        <v>25</v>
      </c>
      <c r="Q28">
        <f>100*156244/369843</f>
        <v>42.246034127994854</v>
      </c>
      <c r="R28">
        <f>100*100943/360506</f>
        <v>28.000366152019662</v>
      </c>
      <c r="S28">
        <f>IF(COUNT(Q28:R28)=2,R28-Q28,"")</f>
        <v>-14.245667975975191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100*89155/419188</f>
        <v>21.26850005248242</v>
      </c>
      <c r="E29">
        <f>IF(COUNT(C29:D29)=2,D29-C29,"")</f>
        <v>-23.34772767789593</v>
      </c>
      <c r="H29">
        <v>27</v>
      </c>
      <c r="I29">
        <v>26</v>
      </c>
      <c r="J29">
        <f>100*35297/437184</f>
        <v>8.073717244912897</v>
      </c>
      <c r="K29">
        <f>100*51477/423666</f>
        <v>12.150373171318916</v>
      </c>
      <c r="L29">
        <f>IF(COUNT(J29:K29)=2,K29-J29,"")</f>
        <v>4.076655926406019</v>
      </c>
      <c r="O29">
        <v>27</v>
      </c>
      <c r="P29">
        <v>26</v>
      </c>
      <c r="Q29">
        <f>100*99207/334942</f>
        <v>29.619157943763398</v>
      </c>
      <c r="R29">
        <f>100*116066/376128</f>
        <v>30.858112132040155</v>
      </c>
      <c r="S29">
        <f>IF(COUNT(Q29:R29)=2,R29-Q29,"")</f>
        <v>1.2389541882767574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100*55448/363259</f>
        <v>15.26404025777751</v>
      </c>
      <c r="E30">
        <f>IF(COUNT(C30:D30)=2,D30-C30,"")</f>
        <v>-7.814588489293076</v>
      </c>
      <c r="H30">
        <v>28</v>
      </c>
      <c r="I30">
        <v>27</v>
      </c>
      <c r="J30">
        <f>100*111624/317500</f>
        <v>35.15716535433071</v>
      </c>
      <c r="K30">
        <f>100*48044/343155</f>
        <v>14.000670251052732</v>
      </c>
      <c r="L30">
        <f>IF(COUNT(J30:K30)=2,K30-J30,"")</f>
        <v>-21.156495103277976</v>
      </c>
      <c r="O30">
        <v>28</v>
      </c>
      <c r="P30">
        <v>27</v>
      </c>
      <c r="Q30">
        <f>100*258/245208</f>
        <v>0.10521679553685034</v>
      </c>
      <c r="R30">
        <f>100*317/244372</f>
        <v>0.1297202625505377</v>
      </c>
      <c r="S30">
        <f>IF(COUNT(Q30:R30)=2,R30-Q30,"")</f>
        <v>0.024503467013687358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100*53169/264890</f>
        <v>20.07210540224244</v>
      </c>
      <c r="E31">
        <f>IF(COUNT(C31:D31)=2,D31-C31,"")</f>
        <v>-26.507767322847183</v>
      </c>
      <c r="H31">
        <v>29</v>
      </c>
      <c r="I31">
        <v>28</v>
      </c>
      <c r="J31">
        <f>100*143049/329070</f>
        <v>43.47069012672076</v>
      </c>
      <c r="K31">
        <f>100*106447/423999</f>
        <v>25.105483739348443</v>
      </c>
      <c r="L31">
        <f>IF(COUNT(J31:K31)=2,K31-J31,"")</f>
        <v>-18.365206387372318</v>
      </c>
      <c r="O31">
        <v>29</v>
      </c>
      <c r="P31">
        <v>28</v>
      </c>
      <c r="Q31">
        <f>100*106682/252496</f>
        <v>42.25096635194221</v>
      </c>
      <c r="R31">
        <f>100*80020/241084</f>
        <v>33.191750593154254</v>
      </c>
      <c r="S31">
        <f>IF(COUNT(Q31:R31)=2,R31-Q31,"")</f>
        <v>-9.059215758787957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100*44422/492752</f>
        <v>9.015082637919278</v>
      </c>
      <c r="E32">
        <f>IF(COUNT(C32:D32)=2,D32-C32,"")</f>
        <v>-10.297944492593494</v>
      </c>
      <c r="H32">
        <v>30</v>
      </c>
      <c r="I32">
        <v>29</v>
      </c>
      <c r="J32">
        <f>100*71699/295601</f>
        <v>24.25533066532251</v>
      </c>
      <c r="K32">
        <f>100*43178/334888</f>
        <v>12.893265808270227</v>
      </c>
      <c r="L32">
        <f>IF(COUNT(J32:K32)=2,K32-J32,"")</f>
        <v>-11.362064857052284</v>
      </c>
      <c r="O32">
        <v>30</v>
      </c>
      <c r="P32">
        <v>29</v>
      </c>
      <c r="Q32">
        <f>100*220230/481156</f>
        <v>45.771018131333705</v>
      </c>
      <c r="R32">
        <f>100*21131/102407</f>
        <v>20.63433163748572</v>
      </c>
      <c r="S32">
        <f>IF(COUNT(Q32:R32)=2,R32-Q32,"")</f>
        <v>-25.136686493847986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100*97996/430555</f>
        <v>22.760390658568593</v>
      </c>
      <c r="E33">
        <f>IF(COUNT(C33:D33)=2,D33-C33,"")</f>
        <v>-2.837914275529698</v>
      </c>
      <c r="H33">
        <v>31</v>
      </c>
      <c r="I33">
        <v>30</v>
      </c>
      <c r="J33">
        <f>100*58413/325415</f>
        <v>17.950309604658667</v>
      </c>
      <c r="K33">
        <f>100*90945/324665</f>
        <v>28.011950780034805</v>
      </c>
      <c r="L33">
        <f>IF(COUNT(J33:K33)=2,K33-J33,"")</f>
        <v>10.061641175376138</v>
      </c>
      <c r="O33">
        <v>31</v>
      </c>
      <c r="P33">
        <v>30</v>
      </c>
      <c r="Q33">
        <f>100*3974/273650</f>
        <v>1.4522199890370913</v>
      </c>
      <c r="R33">
        <f>100*2252/471922</f>
        <v>0.4771975029771869</v>
      </c>
      <c r="S33">
        <f>IF(COUNT(Q33:R33)=2,R33-Q33,"")</f>
        <v>-0.9750224860599044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17.281053550861575</v>
      </c>
      <c r="E34">
        <f>IF(COUNT(E3:E33)&gt;0,AVERAGE(E3:E33),"")</f>
        <v>-7.585065694535076</v>
      </c>
      <c r="H34" t="s">
        <v>5</v>
      </c>
      <c r="J34">
        <f>IF(COUNT(J3:J33)&gt;0,AVERAGE(J3:J33),"")</f>
        <v>22.873960622545518</v>
      </c>
      <c r="K34">
        <f>IF(COUNT(K3:K33)&gt;0,AVERAGE(K3:K33),"")</f>
        <v>15.91665576232407</v>
      </c>
      <c r="L34">
        <f>IF(COUNT(L3:L33)&gt;0,AVERAGE(L3:L33),"")</f>
        <v>-6.957304860221449</v>
      </c>
      <c r="O34" t="s">
        <v>5</v>
      </c>
      <c r="Q34">
        <f>IF(COUNT(Q3:Q33)&gt;0,AVERAGE(Q3:Q33),"")</f>
        <v>30.285258327658585</v>
      </c>
      <c r="R34">
        <f>IF(COUNT(R3:R33)&gt;0,AVERAGE(R3:R33),"")</f>
        <v>20.75378570121398</v>
      </c>
      <c r="S34">
        <f>IF(COUNT(S3:S33)&gt;0,AVERAGE(S3:S33),"")</f>
        <v>-9.531472626444602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100*171872/579502</f>
        <v>29.658568909166835</v>
      </c>
      <c r="E39">
        <f>IF(COUNT(C39:D39)=2,D39-C39,"")</f>
        <v>14.337216720470497</v>
      </c>
      <c r="H39">
        <v>1</v>
      </c>
      <c r="I39">
        <v>0</v>
      </c>
      <c r="J39">
        <f>100*211130/713250</f>
        <v>29.601121626358218</v>
      </c>
      <c r="K39">
        <f>100*177981/720649</f>
        <v>24.697321442200018</v>
      </c>
      <c r="L39">
        <f>IF(COUNT(J39:K39)=2,K39-J39,"")</f>
        <v>-4.9038001841582</v>
      </c>
      <c r="O39">
        <v>1</v>
      </c>
      <c r="P39">
        <v>0</v>
      </c>
      <c r="Q39">
        <f>100*33559/419154</f>
        <v>8.00636520228842</v>
      </c>
      <c r="R39">
        <f>100*26819/484364</f>
        <v>5.536951548835174</v>
      </c>
      <c r="S39">
        <f>IF(COUNT(Q39:R39)=2,R39-Q39,"")</f>
        <v>-2.4694136534532456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100*87103/422650</f>
        <v>20.60877794865728</v>
      </c>
      <c r="E40">
        <f>IF(COUNT(C40:D40)=2,D40-C40,"")</f>
        <v>-27.946275099099925</v>
      </c>
      <c r="H40">
        <v>2</v>
      </c>
      <c r="I40">
        <v>1</v>
      </c>
      <c r="J40">
        <f>100*221110/594344</f>
        <v>37.20236092229416</v>
      </c>
      <c r="K40">
        <f>100*194251/514389</f>
        <v>37.763443619517524</v>
      </c>
      <c r="L40">
        <f>IF(COUNT(J40:K40)=2,K40-J40,"")</f>
        <v>0.5610826972233625</v>
      </c>
      <c r="O40">
        <v>2</v>
      </c>
      <c r="P40">
        <v>1</v>
      </c>
      <c r="Q40">
        <f>100*83755/209991</f>
        <v>39.88504269230586</v>
      </c>
      <c r="R40">
        <f>100*49091/161837</f>
        <v>30.33360727151393</v>
      </c>
      <c r="S40">
        <f>IF(COUNT(Q40:R40)=2,R40-Q40,"")</f>
        <v>-9.551435420791929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100*136092/641816</f>
        <v>21.204208059630798</v>
      </c>
      <c r="E41">
        <f>IF(COUNT(C41:D41)=2,D41-C41,"")</f>
        <v>-20.02005370777768</v>
      </c>
      <c r="H41">
        <v>3</v>
      </c>
      <c r="I41">
        <v>2</v>
      </c>
      <c r="J41">
        <f>100*328651/1001588</f>
        <v>32.812992967168135</v>
      </c>
      <c r="K41">
        <f>100*10589/303368</f>
        <v>3.4904802088552516</v>
      </c>
      <c r="L41">
        <f>IF(COUNT(J41:K41)=2,K41-J41,"")</f>
        <v>-29.322512758312882</v>
      </c>
      <c r="O41">
        <v>3</v>
      </c>
      <c r="P41">
        <v>2</v>
      </c>
      <c r="Q41">
        <f>100*165549/320834</f>
        <v>51.59958109177955</v>
      </c>
      <c r="R41">
        <f>100*218874/545431</f>
        <v>40.1286322192908</v>
      </c>
      <c r="S41">
        <f>IF(COUNT(Q41:R41)=2,R41-Q41,"")</f>
        <v>-11.470948872488748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100*23507/559932</f>
        <v>4.198188351442675</v>
      </c>
      <c r="E42">
        <f>IF(COUNT(C42:D42)=2,D42-C42,"")</f>
        <v>-1.6940521672490805</v>
      </c>
      <c r="H42">
        <v>4</v>
      </c>
      <c r="I42">
        <v>3</v>
      </c>
      <c r="J42">
        <f>100*38325/584626</f>
        <v>6.555473071673172</v>
      </c>
      <c r="K42">
        <f>100*16896/460525</f>
        <v>3.6688561967319906</v>
      </c>
      <c r="L42">
        <f>IF(COUNT(J42:K42)=2,K42-J42,"")</f>
        <v>-2.886616874941182</v>
      </c>
      <c r="O42">
        <v>4</v>
      </c>
      <c r="P42">
        <v>3</v>
      </c>
      <c r="Q42">
        <f>100*265499/612068</f>
        <v>43.37736983472425</v>
      </c>
      <c r="R42">
        <f>100*136023/612010</f>
        <v>22.225617228476658</v>
      </c>
      <c r="S42">
        <f>IF(COUNT(Q42:R42)=2,R42-Q42,"")</f>
        <v>-21.15175260624759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100*136044/428136</f>
        <v>31.775884298447224</v>
      </c>
      <c r="E43">
        <f>IF(COUNT(C43:D43)=2,D43-C43,"")</f>
        <v>-9.600199974635991</v>
      </c>
      <c r="H43">
        <v>5</v>
      </c>
      <c r="I43">
        <v>4</v>
      </c>
      <c r="J43">
        <f>100*86329/200432</f>
        <v>43.071465634230066</v>
      </c>
      <c r="K43">
        <f>100*198834/669675</f>
        <v>29.69111882629634</v>
      </c>
      <c r="L43">
        <f>IF(COUNT(J43:K43)=2,K43-J43,"")</f>
        <v>-13.380346807933726</v>
      </c>
      <c r="O43">
        <v>5</v>
      </c>
      <c r="P43">
        <v>4</v>
      </c>
      <c r="Q43">
        <f>100*80681/472324</f>
        <v>17.08170662511327</v>
      </c>
      <c r="R43">
        <f>100*74770/658475</f>
        <v>11.355024868066366</v>
      </c>
      <c r="S43">
        <f>IF(COUNT(Q43:R43)=2,R43-Q43,"")</f>
        <v>-5.726681757046904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100*94565/509915</f>
        <v>18.545247737367994</v>
      </c>
      <c r="E44">
        <f>IF(COUNT(C44:D44)=2,D44-C44,"")</f>
        <v>10.478957856989982</v>
      </c>
      <c r="H44">
        <v>6</v>
      </c>
      <c r="I44">
        <v>5</v>
      </c>
      <c r="J44">
        <f>100*143171/458928</f>
        <v>31.19683261862427</v>
      </c>
      <c r="K44">
        <f>100*148794/544845</f>
        <v>27.309418274922226</v>
      </c>
      <c r="L44">
        <f>IF(COUNT(J44:K44)=2,K44-J44,"")</f>
        <v>-3.8874143437020443</v>
      </c>
      <c r="O44">
        <v>6</v>
      </c>
      <c r="P44">
        <v>5</v>
      </c>
      <c r="Q44">
        <f>100*332039/690960</f>
        <v>48.05473544054649</v>
      </c>
      <c r="R44">
        <f>100*122176/651834</f>
        <v>18.743422405090868</v>
      </c>
      <c r="S44">
        <f>IF(COUNT(Q44:R44)=2,R44-Q44,"")</f>
        <v>-29.31131303545562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100*49961/502920</f>
        <v>9.934184363318222</v>
      </c>
      <c r="E45">
        <f>IF(COUNT(C45:D45)=2,D45-C45,"")</f>
        <v>7.840624702028277</v>
      </c>
      <c r="H45">
        <v>7</v>
      </c>
      <c r="I45">
        <v>6</v>
      </c>
      <c r="J45">
        <f>100*1474/516628</f>
        <v>0.28531167493825343</v>
      </c>
      <c r="K45">
        <f>100*3919/528461</f>
        <v>0.7415873640628163</v>
      </c>
      <c r="L45">
        <f>IF(COUNT(J45:K45)=2,K45-J45,"")</f>
        <v>0.4562756891245629</v>
      </c>
      <c r="O45">
        <v>7</v>
      </c>
      <c r="P45">
        <v>6</v>
      </c>
      <c r="Q45">
        <f>100*255047/462709</f>
        <v>55.12038884050234</v>
      </c>
      <c r="R45">
        <f>100*194331/538844</f>
        <v>36.06442680998582</v>
      </c>
      <c r="S45">
        <f>IF(COUNT(Q45:R45)=2,R45-Q45,"")</f>
        <v>-19.055962030516525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100*12160/413214</f>
        <v>2.9427850944062883</v>
      </c>
      <c r="E46">
        <f>IF(COUNT(C46:D46)=2,D46-C46,"")</f>
        <v>0.7260555568253944</v>
      </c>
      <c r="H46">
        <v>8</v>
      </c>
      <c r="I46">
        <v>7</v>
      </c>
      <c r="J46">
        <f>100*2387/421854</f>
        <v>0.5658355734448411</v>
      </c>
      <c r="K46">
        <f>100*4547/373271</f>
        <v>1.2181498160853643</v>
      </c>
      <c r="L46">
        <f>IF(COUNT(J46:K46)=2,K46-J46,"")</f>
        <v>0.6523142426405232</v>
      </c>
      <c r="O46">
        <v>8</v>
      </c>
      <c r="P46">
        <v>7</v>
      </c>
      <c r="Q46">
        <f>100*174551/400003</f>
        <v>43.63742271932961</v>
      </c>
      <c r="R46">
        <f>100*95325/304203</f>
        <v>31.335982879853255</v>
      </c>
      <c r="S46">
        <f>IF(COUNT(Q46:R46)=2,R46-Q46,"")</f>
        <v>-12.301439839476352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100*183904/451015</f>
        <v>40.77558396062215</v>
      </c>
      <c r="E47">
        <f>IF(COUNT(C47:D47)=2,D47-C47,"")</f>
        <v>-16.876544073145</v>
      </c>
      <c r="H47">
        <v>9</v>
      </c>
      <c r="I47">
        <v>8</v>
      </c>
      <c r="J47">
        <f>100*195875/433696</f>
        <v>45.16412417914853</v>
      </c>
      <c r="K47">
        <f>100*239966/544727</f>
        <v>44.05252539345397</v>
      </c>
      <c r="L47">
        <f>IF(COUNT(J47:K47)=2,K47-J47,"")</f>
        <v>-1.1115987856945608</v>
      </c>
      <c r="O47">
        <v>9</v>
      </c>
      <c r="P47">
        <v>8</v>
      </c>
      <c r="Q47">
        <f>100*68616/113213</f>
        <v>60.60788072041197</v>
      </c>
      <c r="R47">
        <f>100*71080/188994</f>
        <v>37.609659565912146</v>
      </c>
      <c r="S47">
        <f>IF(COUNT(Q47:R47)=2,R47-Q47,"")</f>
        <v>-22.998221154499824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100*12550/518078</f>
        <v>2.422415157563147</v>
      </c>
      <c r="E48">
        <f>IF(COUNT(C48:D48)=2,D48-C48,"")</f>
        <v>-19.536890464236514</v>
      </c>
      <c r="H48">
        <v>10</v>
      </c>
      <c r="I48">
        <v>9</v>
      </c>
      <c r="J48">
        <f>100*319115/716304</f>
        <v>44.550218901472</v>
      </c>
      <c r="K48">
        <f>100*24635/667035</f>
        <v>3.693209501750283</v>
      </c>
      <c r="L48">
        <f>IF(COUNT(J48:K48)=2,K48-J48,"")</f>
        <v>-40.85700939972172</v>
      </c>
      <c r="O48">
        <v>10</v>
      </c>
      <c r="P48">
        <v>9</v>
      </c>
      <c r="Q48">
        <f>100*144975/663380</f>
        <v>21.85399017154572</v>
      </c>
      <c r="R48">
        <f>100*31623/640281</f>
        <v>4.938925253131047</v>
      </c>
      <c r="S48">
        <f>IF(COUNT(Q48:R48)=2,R48-Q48,"")</f>
        <v>-16.915064918414675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100*137618/750475</f>
        <v>18.337452946467238</v>
      </c>
      <c r="E49">
        <f>IF(COUNT(C49:D49)=2,D49-C49,"")</f>
        <v>-26.290267074926618</v>
      </c>
      <c r="H49">
        <v>11</v>
      </c>
      <c r="I49">
        <v>10</v>
      </c>
      <c r="J49">
        <f>100*298304/894387</f>
        <v>33.352899807354085</v>
      </c>
      <c r="K49">
        <f>100*27048/890210</f>
        <v>3.0383842014805493</v>
      </c>
      <c r="L49">
        <f>IF(COUNT(J49:K49)=2,K49-J49,"")</f>
        <v>-30.314515605873535</v>
      </c>
      <c r="O49">
        <v>11</v>
      </c>
      <c r="P49">
        <v>10</v>
      </c>
      <c r="Q49">
        <f>100*252271/540552</f>
        <v>46.66914561411298</v>
      </c>
      <c r="R49">
        <f>100*97928/514125</f>
        <v>19.04750790177486</v>
      </c>
      <c r="S49">
        <f>IF(COUNT(Q49:R49)=2,R49-Q49,"")</f>
        <v>-27.621637712338117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100*32715/438672</f>
        <v>7.457736076157129</v>
      </c>
      <c r="E50">
        <f>IF(COUNT(C50:D50)=2,D50-C50,"")</f>
        <v>-35.05721245774818</v>
      </c>
      <c r="H50">
        <v>12</v>
      </c>
      <c r="I50">
        <v>11</v>
      </c>
      <c r="K50">
        <f>100*158700/767599</f>
        <v>20.67485757537464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100*177120/449798</f>
        <v>39.37767620131704</v>
      </c>
      <c r="S50">
        <f>IF(COUNT(Q50:R50)=2,R50-Q50,"")</f>
        <v>-8.294296706181605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100*21217/587264</f>
        <v>3.6128555470793375</v>
      </c>
      <c r="E51">
        <f>IF(COUNT(C51:D51)=2,D51-C51,"")</f>
        <v>1.461797216388228</v>
      </c>
      <c r="H51">
        <v>13</v>
      </c>
      <c r="I51">
        <v>12</v>
      </c>
      <c r="J51">
        <f>100*63849/654587</f>
        <v>9.75408921961481</v>
      </c>
      <c r="K51">
        <f>100*17483/690807</f>
        <v>2.5308081707336494</v>
      </c>
      <c r="L51">
        <f>IF(COUNT(J51:K51)=2,K51-J51,"")</f>
        <v>-7.2232810488811605</v>
      </c>
      <c r="O51">
        <v>13</v>
      </c>
      <c r="P51">
        <v>12</v>
      </c>
      <c r="Q51">
        <f>100*326273/687294</f>
        <v>47.47211528108786</v>
      </c>
      <c r="R51">
        <f>100*123043/662063</f>
        <v>18.584787248343435</v>
      </c>
      <c r="S51">
        <f>IF(COUNT(Q51:R51)=2,R51-Q51,"")</f>
        <v>-28.887328032744424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100*54598/363972</f>
        <v>15.000604442099942</v>
      </c>
      <c r="E52">
        <f>IF(COUNT(C52:D52)=2,D52-C52,"")</f>
        <v>2.5595444708644965</v>
      </c>
      <c r="H52">
        <v>14</v>
      </c>
      <c r="I52">
        <v>13</v>
      </c>
      <c r="J52">
        <f>100*46518/257005</f>
        <v>18.100036964261395</v>
      </c>
      <c r="K52">
        <f>100*55095/304123</f>
        <v>18.116025423923872</v>
      </c>
      <c r="L52">
        <f>IF(COUNT(J52:K52)=2,K52-J52,"")</f>
        <v>0.015988459662477084</v>
      </c>
      <c r="O52">
        <v>14</v>
      </c>
      <c r="P52">
        <v>13</v>
      </c>
      <c r="Q52">
        <f>100*2347/627958</f>
        <v>0.37375111074307515</v>
      </c>
      <c r="R52">
        <f>100*9399/616070</f>
        <v>1.5256383203207429</v>
      </c>
      <c r="S52">
        <f>IF(COUNT(Q52:R52)=2,R52-Q52,"")</f>
        <v>1.1518872095776678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100*183736/616396</f>
        <v>29.80811037060591</v>
      </c>
      <c r="E53">
        <f>IF(COUNT(C53:D53)=2,D53-C53,"")</f>
        <v>-24.11943217587494</v>
      </c>
      <c r="H53">
        <v>15</v>
      </c>
      <c r="I53">
        <v>14</v>
      </c>
      <c r="J53">
        <f>100*175137/618371</f>
        <v>28.322317831851752</v>
      </c>
      <c r="K53">
        <f>100*204692/617593</f>
        <v>33.143510370098106</v>
      </c>
      <c r="L53">
        <f>IF(COUNT(J53:K53)=2,K53-J53,"")</f>
        <v>4.821192538246354</v>
      </c>
      <c r="O53">
        <v>15</v>
      </c>
      <c r="P53">
        <v>14</v>
      </c>
      <c r="Q53">
        <f>100*146769/359086</f>
        <v>40.872938516121486</v>
      </c>
      <c r="R53">
        <f>100*173936/481893</f>
        <v>36.094319693375915</v>
      </c>
      <c r="S53">
        <f>IF(COUNT(Q53:R53)=2,R53-Q53,"")</f>
        <v>-4.778618822745571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100*64190/588336</f>
        <v>10.910432134018656</v>
      </c>
      <c r="E54">
        <f>IF(COUNT(C54:D54)=2,D54-C54,"")</f>
        <v>-40.547301856129124</v>
      </c>
      <c r="H54">
        <v>16</v>
      </c>
      <c r="I54">
        <v>15</v>
      </c>
      <c r="J54">
        <f>100*262686/530062</f>
        <v>49.55759892239021</v>
      </c>
      <c r="K54">
        <f>100*5343/301803</f>
        <v>1.7703601355851333</v>
      </c>
      <c r="L54">
        <f>IF(COUNT(J54:K54)=2,K54-J54,"")</f>
        <v>-47.78723878680508</v>
      </c>
      <c r="O54">
        <v>16</v>
      </c>
      <c r="P54">
        <v>15</v>
      </c>
      <c r="Q54">
        <f>100*161630/350468</f>
        <v>46.11833320017805</v>
      </c>
      <c r="R54">
        <f>100*69565/313495</f>
        <v>22.190146573310578</v>
      </c>
      <c r="S54">
        <f>IF(COUNT(Q54:R54)=2,R54-Q54,"")</f>
        <v>-23.928186626867472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100*157548/505020</f>
        <v>31.196388261851016</v>
      </c>
      <c r="E55">
        <f>IF(COUNT(C55:D55)=2,D55-C55,"")</f>
        <v>0.7395183697183967</v>
      </c>
      <c r="H55">
        <v>17</v>
      </c>
      <c r="I55">
        <v>16</v>
      </c>
      <c r="J55">
        <f>100*201035/472489</f>
        <v>42.5480804844134</v>
      </c>
      <c r="K55">
        <f>100*125616/540874</f>
        <v>23.22463272407252</v>
      </c>
      <c r="L55">
        <f>IF(COUNT(J55:K55)=2,K55-J55,"")</f>
        <v>-19.323447760340876</v>
      </c>
      <c r="O55">
        <v>17</v>
      </c>
      <c r="P55">
        <v>16</v>
      </c>
      <c r="Q55">
        <f>100*10845/444486</f>
        <v>2.4398968696426886</v>
      </c>
      <c r="R55">
        <f>100*2062/306700</f>
        <v>0.6723182262797522</v>
      </c>
      <c r="S55">
        <f>IF(COUNT(Q55:R55)=2,R55-Q55,"")</f>
        <v>-1.7675786433629364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100*240685/776929</f>
        <v>30.979021249045925</v>
      </c>
      <c r="E56">
        <f>IF(COUNT(C56:D56)=2,D56-C56,"")</f>
        <v>-18.48179728718438</v>
      </c>
      <c r="H56">
        <v>18</v>
      </c>
      <c r="I56">
        <v>17</v>
      </c>
      <c r="K56">
        <f>100*280389/813605</f>
        <v>34.462546321617985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100*14783/333324</f>
        <v>4.435024180677059</v>
      </c>
      <c r="S56">
        <f>IF(COUNT(Q56:R56)=2,R56-Q56,"")</f>
        <v>-5.368274355772014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100*171652/727431</f>
        <v>23.597014699675984</v>
      </c>
      <c r="E57">
        <f>IF(COUNT(C57:D57)=2,D57-C57,"")</f>
        <v>-15.121717335893766</v>
      </c>
      <c r="H57">
        <v>19</v>
      </c>
      <c r="I57">
        <v>18</v>
      </c>
      <c r="J57">
        <f>100*171180/560014</f>
        <v>30.567092965533003</v>
      </c>
      <c r="K57">
        <f>100*56772/500103</f>
        <v>11.35206147533608</v>
      </c>
      <c r="L57">
        <f>IF(COUNT(J57:K57)=2,K57-J57,"")</f>
        <v>-19.21503149019692</v>
      </c>
      <c r="O57">
        <v>19</v>
      </c>
      <c r="P57">
        <v>18</v>
      </c>
      <c r="Q57">
        <f>100*169030/384674</f>
        <v>43.94110337584552</v>
      </c>
      <c r="R57">
        <f>100*187938/458842</f>
        <v>40.95919728359653</v>
      </c>
      <c r="S57">
        <f>IF(COUNT(Q57:R57)=2,R57-Q57,"")</f>
        <v>-2.981906092248991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100*26484/644436</f>
        <v>4.109640057352475</v>
      </c>
      <c r="E58">
        <f>IF(COUNT(C58:D58)=2,D58-C58,"")</f>
        <v>-37.3168555078485</v>
      </c>
      <c r="H58">
        <v>20</v>
      </c>
      <c r="I58">
        <v>19</v>
      </c>
      <c r="J58">
        <f>100*284748/588066</f>
        <v>48.42109559131118</v>
      </c>
      <c r="K58">
        <f>100*192838/772770</f>
        <v>24.95412606597047</v>
      </c>
      <c r="L58">
        <f>IF(COUNT(J58:K58)=2,K58-J58,"")</f>
        <v>-23.46696952534071</v>
      </c>
      <c r="O58">
        <v>20</v>
      </c>
      <c r="P58">
        <v>19</v>
      </c>
      <c r="Q58">
        <f>100*276241/622059</f>
        <v>44.40752404514684</v>
      </c>
      <c r="R58">
        <f>100*56910/662383</f>
        <v>8.591706006947643</v>
      </c>
      <c r="S58">
        <f>IF(COUNT(Q58:R58)=2,R58-Q58,"")</f>
        <v>-35.8158180381992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100*53048/422741</f>
        <v>12.548581755732233</v>
      </c>
      <c r="E59">
        <f>IF(COUNT(C59:D59)=2,D59-C59,"")</f>
        <v>-34.43946020182298</v>
      </c>
      <c r="H59">
        <v>21</v>
      </c>
      <c r="I59">
        <v>20</v>
      </c>
      <c r="J59">
        <f>100*380768/887907</f>
        <v>42.88377048497196</v>
      </c>
      <c r="K59">
        <f>100*185442/664213</f>
        <v>27.919056085924243</v>
      </c>
      <c r="L59">
        <f>IF(COUNT(J59:K59)=2,K59-J59,"")</f>
        <v>-14.964714399047718</v>
      </c>
      <c r="O59">
        <v>21</v>
      </c>
      <c r="P59">
        <v>20</v>
      </c>
      <c r="Q59">
        <f>100*102616/414261</f>
        <v>24.7708570200912</v>
      </c>
      <c r="R59">
        <f>100*84952/477396</f>
        <v>17.794870505827447</v>
      </c>
      <c r="S59">
        <f>IF(COUNT(Q59:R59)=2,R59-Q59,"")</f>
        <v>-6.975986514263752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100*55045/168639</f>
        <v>32.640729605844435</v>
      </c>
      <c r="E60">
        <f>IF(COUNT(C60:D60)=2,D60-C60,"")</f>
        <v>-11.428358897621493</v>
      </c>
      <c r="H60">
        <v>22</v>
      </c>
      <c r="I60">
        <v>21</v>
      </c>
      <c r="J60">
        <f>100*139592/266933</f>
        <v>52.29477059786538</v>
      </c>
      <c r="K60">
        <f>100*124862/472253</f>
        <v>26.43964146336815</v>
      </c>
      <c r="L60">
        <f>IF(COUNT(J60:K60)=2,K60-J60,"")</f>
        <v>-25.85512913449723</v>
      </c>
      <c r="O60">
        <v>22</v>
      </c>
      <c r="P60">
        <v>21</v>
      </c>
      <c r="Q60">
        <f>100*93353/177560</f>
        <v>52.57546744762334</v>
      </c>
      <c r="R60">
        <f>100*112922/312483</f>
        <v>36.13700585311841</v>
      </c>
      <c r="S60">
        <f>IF(COUNT(Q60:R60)=2,R60-Q60,"")</f>
        <v>-16.43846159450493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100*279496/730795</f>
        <v>38.2454723964997</v>
      </c>
      <c r="E61">
        <f>IF(COUNT(C61:D61)=2,D61-C61,"")</f>
        <v>-8.012184203024802</v>
      </c>
      <c r="H61">
        <v>23</v>
      </c>
      <c r="I61">
        <v>22</v>
      </c>
      <c r="J61">
        <f>100*307788/547933</f>
        <v>56.1725612438017</v>
      </c>
      <c r="K61">
        <f>100*66613/660798</f>
        <v>10.080690316859313</v>
      </c>
      <c r="L61">
        <f>IF(COUNT(J61:K61)=2,K61-J61,"")</f>
        <v>-46.09187092694239</v>
      </c>
      <c r="O61">
        <v>23</v>
      </c>
      <c r="P61">
        <v>22</v>
      </c>
      <c r="Q61">
        <f>100*1420/340312</f>
        <v>0.41726415759655844</v>
      </c>
      <c r="R61">
        <f>100*923/453428</f>
        <v>0.20356043296840953</v>
      </c>
      <c r="S61">
        <f>IF(COUNT(Q61:R61)=2,R61-Q61,"")</f>
        <v>-0.2137037246281489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100*57674/631308</f>
        <v>9.135635854448225</v>
      </c>
      <c r="E62">
        <f>IF(COUNT(C62:D62)=2,D62-C62,"")</f>
        <v>-12.462026030843628</v>
      </c>
      <c r="H62">
        <v>24</v>
      </c>
      <c r="I62">
        <v>23</v>
      </c>
      <c r="J62">
        <f>100*403224/842602</f>
        <v>47.85462175499227</v>
      </c>
      <c r="K62">
        <f>100*8368/675416</f>
        <v>1.2389401494782475</v>
      </c>
      <c r="L62">
        <f>IF(COUNT(J62:K62)=2,K62-J62,"")</f>
        <v>-46.61568160551403</v>
      </c>
      <c r="O62">
        <v>24</v>
      </c>
      <c r="P62">
        <v>23</v>
      </c>
      <c r="Q62">
        <f>100*127073/681026</f>
        <v>18.659052664655974</v>
      </c>
      <c r="R62">
        <f>100*8177/688895</f>
        <v>1.1869733413655201</v>
      </c>
      <c r="S62">
        <f>IF(COUNT(Q62:R62)=2,R62-Q62,"")</f>
        <v>-17.472079323290455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100*26934/494302</f>
        <v>5.448895614421953</v>
      </c>
      <c r="E63">
        <f>IF(COUNT(C63:D63)=2,D63-C63,"")</f>
        <v>-39.30188257944185</v>
      </c>
      <c r="H63">
        <v>25</v>
      </c>
      <c r="I63">
        <v>24</v>
      </c>
      <c r="J63">
        <f>100*334373/832460</f>
        <v>40.16685486389736</v>
      </c>
      <c r="K63">
        <f>100*23698/562360</f>
        <v>4.214026602176542</v>
      </c>
      <c r="L63">
        <f>IF(COUNT(J63:K63)=2,K63-J63,"")</f>
        <v>-35.952828261720825</v>
      </c>
      <c r="O63">
        <v>25</v>
      </c>
      <c r="P63">
        <v>24</v>
      </c>
      <c r="Q63">
        <f>100*69231/149628</f>
        <v>46.26874649129842</v>
      </c>
      <c r="R63">
        <f>100*103486/319104</f>
        <v>32.4301795026073</v>
      </c>
      <c r="S63">
        <f>IF(COUNT(Q63:R63)=2,R63-Q63,"")</f>
        <v>-13.83856698869112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100*110445/603880</f>
        <v>18.289229648274492</v>
      </c>
      <c r="E64">
        <f>IF(COUNT(C64:D64)=2,D64-C64,"")</f>
        <v>-27.904639293321083</v>
      </c>
      <c r="H64">
        <v>26</v>
      </c>
      <c r="I64">
        <v>25</v>
      </c>
      <c r="J64">
        <f>100*93173/499879</f>
        <v>18.639110664780876</v>
      </c>
      <c r="K64">
        <f>100*112512/615143</f>
        <v>18.290381260942578</v>
      </c>
      <c r="L64">
        <f>IF(COUNT(J64:K64)=2,K64-J64,"")</f>
        <v>-0.3487294038382984</v>
      </c>
      <c r="O64">
        <v>26</v>
      </c>
      <c r="P64">
        <v>25</v>
      </c>
      <c r="Q64">
        <f>100*287382/566887</f>
        <v>50.69475927301208</v>
      </c>
      <c r="R64">
        <f>100*174712/513950</f>
        <v>33.99396828485261</v>
      </c>
      <c r="S64">
        <f>IF(COUNT(Q64:R64)=2,R64-Q64,"")</f>
        <v>-16.70079098815947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100*172614/741616</f>
        <v>23.275387801773423</v>
      </c>
      <c r="E65">
        <f>IF(COUNT(C65:D65)=2,D65-C65,"")</f>
        <v>-1.9901484381678465</v>
      </c>
      <c r="H65">
        <v>27</v>
      </c>
      <c r="I65">
        <v>26</v>
      </c>
      <c r="J65">
        <f>100*244313/656873</f>
        <v>37.19333874280112</v>
      </c>
      <c r="K65">
        <f>100*176174/775731</f>
        <v>22.71070770666636</v>
      </c>
      <c r="L65">
        <f>IF(COUNT(J65:K65)=2,K65-J65,"")</f>
        <v>-14.482631036134759</v>
      </c>
      <c r="O65">
        <v>27</v>
      </c>
      <c r="P65">
        <v>26</v>
      </c>
      <c r="Q65">
        <f>100*89767/349739</f>
        <v>25.6668544257289</v>
      </c>
      <c r="R65">
        <f>100*179543/486246</f>
        <v>36.92431403034678</v>
      </c>
      <c r="S65">
        <f>IF(COUNT(Q65:R65)=2,R65-Q65,"")</f>
        <v>11.257459604617878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100*110023/480523</f>
        <v>22.896510676908285</v>
      </c>
      <c r="E66">
        <f>IF(COUNT(C66:D66)=2,D66-C66,"")</f>
        <v>-3.1732170876140167</v>
      </c>
      <c r="H66">
        <v>28</v>
      </c>
      <c r="I66">
        <v>27</v>
      </c>
      <c r="J66">
        <f>100*138608/347102</f>
        <v>39.93293037781402</v>
      </c>
      <c r="K66">
        <f>100*121898/473302</f>
        <v>25.754803486991392</v>
      </c>
      <c r="L66">
        <f>IF(COUNT(J66:K66)=2,K66-J66,"")</f>
        <v>-14.178126890822625</v>
      </c>
      <c r="O66">
        <v>28</v>
      </c>
      <c r="P66">
        <v>27</v>
      </c>
      <c r="Q66">
        <f>100*334/323134</f>
        <v>0.10336269163876287</v>
      </c>
      <c r="R66">
        <f>100*3484/414325</f>
        <v>0.840885778072769</v>
      </c>
      <c r="S66">
        <f>IF(COUNT(Q66:R66)=2,R66-Q66,"")</f>
        <v>0.7375230864340061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100*239242/659552</f>
        <v>36.27340982970259</v>
      </c>
      <c r="E67">
        <f>IF(COUNT(C67:D67)=2,D67-C67,"")</f>
        <v>-8.680376477467178</v>
      </c>
      <c r="H67">
        <v>29</v>
      </c>
      <c r="I67">
        <v>28</v>
      </c>
      <c r="J67">
        <f>100*198367/384779</f>
        <v>51.553489145717414</v>
      </c>
      <c r="K67">
        <f>100*179374/535125</f>
        <v>33.52001868722261</v>
      </c>
      <c r="L67">
        <f>IF(COUNT(J67:K67)=2,K67-J67,"")</f>
        <v>-18.033470458494804</v>
      </c>
      <c r="O67">
        <v>29</v>
      </c>
      <c r="P67">
        <v>28</v>
      </c>
      <c r="Q67">
        <f>100*145808/355081</f>
        <v>41.063306682137316</v>
      </c>
      <c r="R67">
        <f>100*166134/483827</f>
        <v>34.337480132361364</v>
      </c>
      <c r="S67">
        <f>IF(COUNT(Q67:R67)=2,R67-Q67,"")</f>
        <v>-6.725826549775952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100*106734/447958</f>
        <v>23.826787332741016</v>
      </c>
      <c r="E68">
        <f>IF(COUNT(C68:D68)=2,D68-C68,"")</f>
        <v>19.96779524709968</v>
      </c>
      <c r="H68">
        <v>30</v>
      </c>
      <c r="I68">
        <v>29</v>
      </c>
      <c r="J68">
        <f>100*78716/427068</f>
        <v>18.431725158522763</v>
      </c>
      <c r="K68">
        <f>100*40701/549795</f>
        <v>7.402941096226775</v>
      </c>
      <c r="L68">
        <f>IF(COUNT(J68:K68)=2,K68-J68,"")</f>
        <v>-11.028784062295987</v>
      </c>
      <c r="O68">
        <v>30</v>
      </c>
      <c r="P68">
        <v>29</v>
      </c>
      <c r="Q68">
        <f>100*234882/519580</f>
        <v>45.20612802648293</v>
      </c>
      <c r="R68">
        <f>100*206074/600813</f>
        <v>34.29919126250597</v>
      </c>
      <c r="S68">
        <f>IF(COUNT(Q68:R68)=2,R68-Q68,"")</f>
        <v>-10.906936763976958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100*32363/357596</f>
        <v>9.050157160594637</v>
      </c>
      <c r="E69">
        <f>IF(COUNT(C69:D69)=2,D69-C69,"")</f>
        <v>-16.532379129389078</v>
      </c>
      <c r="H69">
        <v>31</v>
      </c>
      <c r="I69">
        <v>30</v>
      </c>
      <c r="J69">
        <f>100*150446/466352</f>
        <v>32.26018115071877</v>
      </c>
      <c r="K69">
        <f>100*42407/379110</f>
        <v>11.18593548046741</v>
      </c>
      <c r="L69">
        <f>IF(COUNT(J69:K69)=2,K69-J69,"")</f>
        <v>-21.07424567025136</v>
      </c>
      <c r="O69">
        <v>31</v>
      </c>
      <c r="P69">
        <v>30</v>
      </c>
      <c r="Q69">
        <f>100*3881/600979</f>
        <v>0.6457796362268898</v>
      </c>
      <c r="R69">
        <f>100*3725/428550</f>
        <v>0.8692101271730254</v>
      </c>
      <c r="S69">
        <f>IF(COUNT(Q69:R69)=2,R69-Q69,"")</f>
        <v>0.22343049094613554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18.990512817481196</v>
      </c>
      <c r="E70">
        <f>IF(COUNT(E39:E69)&gt;0,AVERAGE(E39:E69),"")</f>
        <v>-12.852314883228345</v>
      </c>
      <c r="H70" t="s">
        <v>5</v>
      </c>
      <c r="J70">
        <f>IF(COUNT(J39:J69)&gt;0,AVERAGE(J39:J69),"")</f>
        <v>33.41421734972294</v>
      </c>
      <c r="K70">
        <f>IF(COUNT(K39:K69)&gt;0,AVERAGE(K39:K69),"")</f>
        <v>17.366147272399758</v>
      </c>
      <c r="L70">
        <f>IF(COUNT(L39:L69)&gt;0,AVERAGE(L39:L69),"")</f>
        <v>-16.75169453774363</v>
      </c>
      <c r="O70" t="s">
        <v>5</v>
      </c>
      <c r="Q70">
        <f>IF(COUNT(Q39:Q69)&gt;0,AVERAGE(Q39:Q69),"")</f>
        <v>33.06664971973761</v>
      </c>
      <c r="R70">
        <f>IF(COUNT(R39:R69)&gt;0,AVERAGE(R39:R69),"")</f>
        <v>21.250587449590295</v>
      </c>
      <c r="S70">
        <f>IF(COUNT(S39:S69)&gt;0,AVERAGE(S39:S69),"")</f>
        <v>-11.816062270147315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100*235371/886925</f>
        <v>26.537869605660006</v>
      </c>
      <c r="E75">
        <f>IF(COUNT(C75:D75)=2,D75-C75,"")</f>
        <v>-24.077701413515356</v>
      </c>
      <c r="H75">
        <v>1</v>
      </c>
      <c r="I75">
        <v>0</v>
      </c>
      <c r="J75">
        <f>100*432733/796677</f>
        <v>54.317245257488295</v>
      </c>
      <c r="K75">
        <f>100*146043/918965</f>
        <v>15.892117762918065</v>
      </c>
      <c r="L75">
        <f>IF(COUNT(J75:K75)=2,K75-J75,"")</f>
        <v>-38.42512749457023</v>
      </c>
      <c r="O75">
        <v>1</v>
      </c>
      <c r="P75">
        <v>0</v>
      </c>
      <c r="Q75">
        <f>100*20655/569971</f>
        <v>3.623868582787545</v>
      </c>
      <c r="R75">
        <f>100*80000/494854</f>
        <v>16.166384428538517</v>
      </c>
      <c r="S75">
        <f>IF(COUNT(Q75:R75)=2,R75-Q75,"")</f>
        <v>12.542515845750973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100*158548/387877</f>
        <v>40.87584466209649</v>
      </c>
      <c r="E76">
        <f>IF(COUNT(C76:D76)=2,D76-C76,"")</f>
        <v>-10.094321607820788</v>
      </c>
      <c r="H76">
        <v>2</v>
      </c>
      <c r="I76">
        <v>1</v>
      </c>
      <c r="J76">
        <f>100*305577/591060</f>
        <v>51.69982742868744</v>
      </c>
      <c r="K76">
        <f>100*142148/767381</f>
        <v>18.523784143730428</v>
      </c>
      <c r="L76">
        <f>IF(COUNT(J76:K76)=2,K76-J76,"")</f>
        <v>-33.17604328495702</v>
      </c>
      <c r="O76">
        <v>2</v>
      </c>
      <c r="P76">
        <v>1</v>
      </c>
      <c r="Q76">
        <f>100*111778/257794</f>
        <v>43.35942651884838</v>
      </c>
      <c r="R76">
        <f>100*6004/20455</f>
        <v>29.352236616964067</v>
      </c>
      <c r="S76">
        <f>IF(COUNT(Q76:R76)=2,R76-Q76,"")</f>
        <v>-14.007189901884313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100*187607/746820</f>
        <v>25.120778768645724</v>
      </c>
      <c r="E77">
        <f>IF(COUNT(C77:D77)=2,D77-C77,"")</f>
        <v>20.869345972304867</v>
      </c>
      <c r="H77">
        <v>3</v>
      </c>
      <c r="I77">
        <v>2</v>
      </c>
      <c r="J77">
        <f>100*244646/584205</f>
        <v>41.87673847365223</v>
      </c>
      <c r="K77">
        <f>100*166473/828604</f>
        <v>20.090779190059425</v>
      </c>
      <c r="L77">
        <f>IF(COUNT(J77:K77)=2,K77-J77,"")</f>
        <v>-21.785959283592806</v>
      </c>
      <c r="O77">
        <v>3</v>
      </c>
      <c r="P77">
        <v>2</v>
      </c>
      <c r="Q77">
        <f>100*92329/194806</f>
        <v>47.395357432522616</v>
      </c>
      <c r="R77">
        <f>100*153108/433599</f>
        <v>35.31096704558821</v>
      </c>
      <c r="S77">
        <f>IF(COUNT(Q77:R77)=2,R77-Q77,"")</f>
        <v>-12.084390386934409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100*197198/941059</f>
        <v>20.954902933822428</v>
      </c>
      <c r="E78">
        <f>IF(COUNT(C78:D78)=2,D78-C78,"")</f>
        <v>-33.80906963669631</v>
      </c>
      <c r="H78">
        <v>4</v>
      </c>
      <c r="I78">
        <v>3</v>
      </c>
      <c r="J78">
        <f>100*316744/731828</f>
        <v>43.281208152735346</v>
      </c>
      <c r="K78">
        <f>100*6092/565928</f>
        <v>1.0764620234376105</v>
      </c>
      <c r="L78">
        <f>IF(COUNT(J78:K78)=2,K78-J78,"")</f>
        <v>-42.20474612929773</v>
      </c>
      <c r="O78">
        <v>4</v>
      </c>
      <c r="P78">
        <v>3</v>
      </c>
      <c r="Q78">
        <f>100*240086/489338</f>
        <v>49.06342855040892</v>
      </c>
      <c r="R78">
        <f>100*326830/831638</f>
        <v>39.29955100656776</v>
      </c>
      <c r="S78">
        <f>IF(COUNT(Q78:R78)=2,R78-Q78,"")</f>
        <v>-9.763877543841161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100*61796/455452</f>
        <v>13.568059861412399</v>
      </c>
      <c r="E79">
        <f>IF(COUNT(C79:D79)=2,D79-C79,"")</f>
        <v>-22.584615491121596</v>
      </c>
      <c r="H79">
        <v>5</v>
      </c>
      <c r="I79">
        <v>4</v>
      </c>
      <c r="J79">
        <f>100*174388/383201</f>
        <v>45.50823197225477</v>
      </c>
      <c r="K79">
        <f>100*1494/4116</f>
        <v>36.29737609329446</v>
      </c>
      <c r="L79">
        <f>IF(COUNT(J79:K79)=2,K79-J79,"")</f>
        <v>-9.21085587896031</v>
      </c>
      <c r="O79">
        <v>5</v>
      </c>
      <c r="P79">
        <v>4</v>
      </c>
      <c r="Q79">
        <f>100*426762/872765</f>
        <v>48.89769869323357</v>
      </c>
      <c r="R79">
        <f>100*106120/614259</f>
        <v>17.276100146680797</v>
      </c>
      <c r="S79">
        <f>IF(COUNT(Q79:R79)=2,R79-Q79,"")</f>
        <v>-31.621598546552775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100*111879/766386</f>
        <v>14.598257275054607</v>
      </c>
      <c r="E80">
        <f>IF(COUNT(C80:D80)=2,D80-C80,"")</f>
        <v>-19.962969562227983</v>
      </c>
      <c r="H80">
        <v>6</v>
      </c>
      <c r="I80">
        <v>5</v>
      </c>
      <c r="J80">
        <f>100*124193/417286</f>
        <v>29.76208164184756</v>
      </c>
      <c r="K80">
        <f>100*101139/673226</f>
        <v>15.023038325911358</v>
      </c>
      <c r="L80">
        <f>IF(COUNT(J80:K80)=2,K80-J80,"")</f>
        <v>-14.7390433159362</v>
      </c>
      <c r="O80">
        <v>6</v>
      </c>
      <c r="P80">
        <v>5</v>
      </c>
      <c r="Q80">
        <f>100*275977/710313</f>
        <v>38.85287190294983</v>
      </c>
      <c r="R80">
        <f>100*178175/735390</f>
        <v>24.22864058526768</v>
      </c>
      <c r="S80">
        <f>IF(COUNT(Q80:R80)=2,R80-Q80,"")</f>
        <v>-14.624231317682149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100*37436/678044</f>
        <v>5.5211756169216155</v>
      </c>
      <c r="E81">
        <f>IF(COUNT(C81:D81)=2,D81-C81,"")</f>
        <v>3.5875029736740434</v>
      </c>
      <c r="H81">
        <v>7</v>
      </c>
      <c r="I81">
        <v>6</v>
      </c>
      <c r="J81">
        <f>100*4575/667678</f>
        <v>0.6852105356174683</v>
      </c>
      <c r="K81">
        <f>100*11385/518252</f>
        <v>2.1968077306021008</v>
      </c>
      <c r="L81">
        <f>IF(COUNT(J81:K81)=2,K81-J81,"")</f>
        <v>1.5115971949846325</v>
      </c>
      <c r="O81">
        <v>7</v>
      </c>
      <c r="P81">
        <v>6</v>
      </c>
      <c r="Q81">
        <f>100*256619/495194</f>
        <v>51.82191222026115</v>
      </c>
      <c r="R81">
        <f>100*184734/508412</f>
        <v>36.335491687843714</v>
      </c>
      <c r="S81">
        <f>IF(COUNT(Q81:R81)=2,R81-Q81,"")</f>
        <v>-15.486420532417434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100*64753/573405</f>
        <v>11.292716317437064</v>
      </c>
      <c r="E82">
        <f>IF(COUNT(C82:D82)=2,D82-C82,"")</f>
        <v>10.412079291695896</v>
      </c>
      <c r="H82">
        <v>8</v>
      </c>
      <c r="I82">
        <v>7</v>
      </c>
      <c r="J82">
        <f>100*7536/581531</f>
        <v>1.2958896430284885</v>
      </c>
      <c r="K82">
        <f>100*1360/473484</f>
        <v>0.28723251472066635</v>
      </c>
      <c r="L82">
        <f>IF(COUNT(J82:K82)=2,K82-J82,"")</f>
        <v>-1.008657128307822</v>
      </c>
      <c r="O82">
        <v>8</v>
      </c>
      <c r="P82">
        <v>7</v>
      </c>
      <c r="Q82">
        <f>100*168583/355732</f>
        <v>47.39045123857286</v>
      </c>
      <c r="R82">
        <f>100*190271/463046</f>
        <v>41.09116588848624</v>
      </c>
      <c r="S82">
        <f>IF(COUNT(Q82:R82)=2,R82-Q82,"")</f>
        <v>-6.29928535008662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100*239278/589945</f>
        <v>40.559374178948886</v>
      </c>
      <c r="E83">
        <f>IF(COUNT(C83:D83)=2,D83-C83,"")</f>
        <v>-11.193884221146774</v>
      </c>
      <c r="H83">
        <v>9</v>
      </c>
      <c r="I83">
        <v>8</v>
      </c>
      <c r="J83">
        <f>100*224416/408350</f>
        <v>54.95677727439696</v>
      </c>
      <c r="K83">
        <f>100*178253/470768</f>
        <v>37.86429833803487</v>
      </c>
      <c r="L83">
        <f>IF(COUNT(J83:K83)=2,K83-J83,"")</f>
        <v>-17.09247893636209</v>
      </c>
      <c r="O83">
        <v>9</v>
      </c>
      <c r="P83">
        <v>8</v>
      </c>
      <c r="Q83">
        <f>100*66103/140560</f>
        <v>47.02831531018782</v>
      </c>
      <c r="R83">
        <f>100*956/6068</f>
        <v>15.754779169413316</v>
      </c>
      <c r="S83">
        <f>IF(COUNT(Q83:R83)=2,R83-Q83,"")</f>
        <v>-31.273536140774503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100*56133/517553</f>
        <v>10.84584573947016</v>
      </c>
      <c r="E84">
        <f>IF(COUNT(C84:D84)=2,D84-C84,"")</f>
        <v>-4.551162503982743</v>
      </c>
      <c r="H84">
        <v>10</v>
      </c>
      <c r="I84">
        <v>9</v>
      </c>
      <c r="J84">
        <f>100*472599/885198</f>
        <v>53.389072275355346</v>
      </c>
      <c r="K84">
        <f>100*179451/689332</f>
        <v>26.032593873489116</v>
      </c>
      <c r="L84">
        <f>IF(COUNT(J84:K84)=2,K84-J84,"")</f>
        <v>-27.35647840186623</v>
      </c>
      <c r="O84">
        <v>10</v>
      </c>
      <c r="P84">
        <v>9</v>
      </c>
      <c r="Q84">
        <f>100*6243/543809</f>
        <v>1.1480133649866038</v>
      </c>
      <c r="R84">
        <f>100*43250/706587</f>
        <v>6.1209730719642454</v>
      </c>
      <c r="S84">
        <f>IF(COUNT(Q84:R84)=2,R84-Q84,"")</f>
        <v>4.972959706977642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100*140477/826363</f>
        <v>16.99943003256438</v>
      </c>
      <c r="E85">
        <f>IF(COUNT(C85:D85)=2,D85-C85,"")</f>
        <v>-34.25956662090974</v>
      </c>
      <c r="H85">
        <v>11</v>
      </c>
      <c r="I85">
        <v>10</v>
      </c>
      <c r="J85">
        <f>100*370148/619144</f>
        <v>59.783830578992934</v>
      </c>
      <c r="K85">
        <f>100*389563/967013</f>
        <v>40.28518747938239</v>
      </c>
      <c r="L85">
        <f>IF(COUNT(J85:K85)=2,K85-J85,"")</f>
        <v>-19.498643099610547</v>
      </c>
      <c r="O85">
        <v>11</v>
      </c>
      <c r="P85">
        <v>10</v>
      </c>
      <c r="Q85">
        <f>100*225999/413085</f>
        <v>54.71004756890228</v>
      </c>
      <c r="R85">
        <f>100*193405/684279</f>
        <v>28.264056035622897</v>
      </c>
      <c r="S85">
        <f>IF(COUNT(Q85:R85)=2,R85-Q85,"")</f>
        <v>-26.445991533279386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100*54961/1022693</f>
        <v>5.374144537999184</v>
      </c>
      <c r="E86">
        <f>IF(COUNT(C86:D86)=2,D86-C86,"")</f>
        <v>-48.24406942431378</v>
      </c>
      <c r="H86">
        <v>12</v>
      </c>
      <c r="I86">
        <v>11</v>
      </c>
      <c r="J86">
        <f>100*303732/544372</f>
        <v>55.79493434636609</v>
      </c>
      <c r="K86">
        <f>100*110838/1002714</f>
        <v>11.053799986835728</v>
      </c>
      <c r="L86">
        <f>IF(COUNT(J86:K86)=2,K86-J86,"")</f>
        <v>-44.74113435953036</v>
      </c>
      <c r="O86">
        <v>12</v>
      </c>
      <c r="P86">
        <v>11</v>
      </c>
      <c r="Q86">
        <f>100*176887/390857</f>
        <v>45.25619344159117</v>
      </c>
      <c r="R86">
        <f>100*164035/453353</f>
        <v>36.1826214892148</v>
      </c>
      <c r="S86">
        <f>IF(COUNT(Q86:R86)=2,R86-Q86,"")</f>
        <v>-9.07357195237637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100*10838/683571</f>
        <v>1.5854973367799394</v>
      </c>
      <c r="E87">
        <f>IF(COUNT(C87:D87)=2,D87-C87,"")</f>
        <v>0.02647849807165925</v>
      </c>
      <c r="H87">
        <v>13</v>
      </c>
      <c r="I87">
        <v>12</v>
      </c>
      <c r="J87">
        <f>100*302007/670149</f>
        <v>45.06564957942189</v>
      </c>
      <c r="K87">
        <f>100*30105/614813</f>
        <v>4.896610839393442</v>
      </c>
      <c r="L87">
        <f>IF(COUNT(J87:K87)=2,K87-J87,"")</f>
        <v>-40.16903874002845</v>
      </c>
      <c r="O87">
        <v>13</v>
      </c>
      <c r="P87">
        <v>12</v>
      </c>
      <c r="Q87">
        <f>100*187062/769706</f>
        <v>24.30304557844164</v>
      </c>
      <c r="R87">
        <f>100*103449/770130</f>
        <v>13.432667212029138</v>
      </c>
      <c r="S87">
        <f>IF(COUNT(Q87:R87)=2,R87-Q87,"")</f>
        <v>-10.870378366412503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100*2217/466214</f>
        <v>0.47553269528585584</v>
      </c>
      <c r="E88">
        <f>IF(COUNT(C88:D88)=2,D88-C88,"")</f>
        <v>-5.595828904645462</v>
      </c>
      <c r="H88">
        <v>14</v>
      </c>
      <c r="I88">
        <v>13</v>
      </c>
      <c r="J88">
        <f>100*112082/470769</f>
        <v>23.808279644581525</v>
      </c>
      <c r="K88">
        <f>100*2586/472363</f>
        <v>0.547460321828763</v>
      </c>
      <c r="L88">
        <f>IF(COUNT(J88:K88)=2,K88-J88,"")</f>
        <v>-23.260819322752763</v>
      </c>
      <c r="O88">
        <v>14</v>
      </c>
      <c r="P88">
        <v>13</v>
      </c>
      <c r="Q88">
        <f>100*77933/602059</f>
        <v>12.94441242469592</v>
      </c>
      <c r="R88">
        <f>100*3305/340589</f>
        <v>0.9703777867165411</v>
      </c>
      <c r="S88">
        <f>IF(COUNT(Q88:R88)=2,R88-Q88,"")</f>
        <v>-11.974034637979377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100*175582/844329</f>
        <v>20.795448219829</v>
      </c>
      <c r="E89">
        <f>IF(COUNT(C89:D89)=2,D89-C89,"")</f>
        <v>0.24231260992117498</v>
      </c>
      <c r="H89">
        <v>15</v>
      </c>
      <c r="I89">
        <v>14</v>
      </c>
      <c r="J89">
        <f>100*79792/480516</f>
        <v>16.605482439710645</v>
      </c>
      <c r="K89">
        <f>100*181150/715748</f>
        <v>25.30918703230746</v>
      </c>
      <c r="L89">
        <f>IF(COUNT(J89:K89)=2,K89-J89,"")</f>
        <v>8.703704592596814</v>
      </c>
      <c r="O89">
        <v>15</v>
      </c>
      <c r="P89">
        <v>14</v>
      </c>
      <c r="Q89">
        <f>100*175395/343809</f>
        <v>51.015243929042</v>
      </c>
      <c r="R89">
        <f>100*150535/450583</f>
        <v>33.40893908558468</v>
      </c>
      <c r="S89">
        <f>IF(COUNT(Q89:R89)=2,R89-Q89,"")</f>
        <v>-17.606304843457323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100*138359/758263</f>
        <v>18.24683520097908</v>
      </c>
      <c r="E90">
        <f>IF(COUNT(C90:D90)=2,D90-C90,"")</f>
        <v>-39.33913452485349</v>
      </c>
      <c r="H90">
        <v>16</v>
      </c>
      <c r="I90">
        <v>15</v>
      </c>
      <c r="J90">
        <f>100*331166/636513</f>
        <v>52.028159676235994</v>
      </c>
      <c r="K90">
        <f>100*384077/1053782</f>
        <v>36.44748154741683</v>
      </c>
      <c r="L90">
        <f>IF(COUNT(J90:K90)=2,K90-J90,"")</f>
        <v>-15.580678128819166</v>
      </c>
      <c r="O90">
        <v>16</v>
      </c>
      <c r="P90">
        <v>15</v>
      </c>
      <c r="Q90">
        <f>100*123775/294038</f>
        <v>42.0948992987301</v>
      </c>
      <c r="R90">
        <f>100*190705/466021</f>
        <v>40.92197561912446</v>
      </c>
      <c r="S90">
        <f>IF(COUNT(Q90:R90)=2,R90-Q90,"")</f>
        <v>-1.1729236796056384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100*126892/444616</f>
        <v>28.53968368209871</v>
      </c>
      <c r="E91">
        <f>IF(COUNT(C91:D91)=2,D91-C91,"")</f>
        <v>-12.592331268525509</v>
      </c>
      <c r="H91">
        <v>17</v>
      </c>
      <c r="I91">
        <v>16</v>
      </c>
      <c r="J91">
        <f>100*2558/107131</f>
        <v>2.3877309088872503</v>
      </c>
      <c r="K91">
        <f>100*308959/714930</f>
        <v>43.21527981760452</v>
      </c>
      <c r="L91">
        <f>IF(COUNT(J91:K91)=2,K91-J91,"")</f>
        <v>40.82754890871727</v>
      </c>
      <c r="O91">
        <v>17</v>
      </c>
      <c r="P91">
        <v>16</v>
      </c>
      <c r="Q91">
        <f>100*18236/388369</f>
        <v>4.695534401561401</v>
      </c>
      <c r="R91">
        <f>100*5974/427336</f>
        <v>1.3979631952374711</v>
      </c>
      <c r="S91">
        <f>IF(COUNT(Q91:R91)=2,R91-Q91,"")</f>
        <v>-3.29757120632393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100*21261/549533</f>
        <v>3.8689214296502668</v>
      </c>
      <c r="E92">
        <f>IF(COUNT(C92:D92)=2,D92-C92,"")</f>
        <v>-47.64540615243219</v>
      </c>
      <c r="H92">
        <v>18</v>
      </c>
      <c r="I92">
        <v>17</v>
      </c>
      <c r="K92">
        <f>100*254/14557</f>
        <v>1.7448650133956172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100*2521/438681</f>
        <v>0.5746772711833884</v>
      </c>
      <c r="S92">
        <f>IF(COUNT(Q92:R92)=2,R92-Q92,"")</f>
        <v>-17.439245776536268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100*38107/536450</f>
        <v>7.103551123124243</v>
      </c>
      <c r="E93">
        <f>IF(COUNT(C93:D93)=2,D93-C93,"")</f>
        <v>-42.00493807757596</v>
      </c>
      <c r="H93">
        <v>19</v>
      </c>
      <c r="I93">
        <v>18</v>
      </c>
      <c r="J93">
        <f>100*98670/626756</f>
        <v>15.742968555546337</v>
      </c>
      <c r="K93">
        <f>100*135581/659311</f>
        <v>20.56404337255104</v>
      </c>
      <c r="L93">
        <f>IF(COUNT(J93:K93)=2,K93-J93,"")</f>
        <v>4.821074817004703</v>
      </c>
      <c r="O93">
        <v>19</v>
      </c>
      <c r="P93">
        <v>18</v>
      </c>
      <c r="Q93">
        <f>100*176507/342598</f>
        <v>51.52014897927017</v>
      </c>
      <c r="R93">
        <f>100*254111/647649</f>
        <v>39.23591328018726</v>
      </c>
      <c r="S93">
        <f>IF(COUNT(Q93:R93)=2,R93-Q93,"")</f>
        <v>-12.284235699082906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100*184114/886413</f>
        <v>20.77067913038279</v>
      </c>
      <c r="E94">
        <f>IF(COUNT(C94:D94)=2,D94-C94,"")</f>
        <v>-29.41119679812806</v>
      </c>
      <c r="H94">
        <v>20</v>
      </c>
      <c r="I94">
        <v>19</v>
      </c>
      <c r="J94">
        <f>100*63724/294932</f>
        <v>21.606336375842567</v>
      </c>
      <c r="K94">
        <f>100*112605/455220</f>
        <v>24.736391195465927</v>
      </c>
      <c r="L94">
        <f>IF(COUNT(J94:K94)=2,K94-J94,"")</f>
        <v>3.1300548196233606</v>
      </c>
      <c r="O94">
        <v>20</v>
      </c>
      <c r="P94">
        <v>19</v>
      </c>
      <c r="Q94">
        <f>100*271008/594768</f>
        <v>45.565329674763944</v>
      </c>
      <c r="R94">
        <f>100*120838/699760</f>
        <v>17.268492054418658</v>
      </c>
      <c r="S94">
        <f>IF(COUNT(Q94:R94)=2,R94-Q94,"")</f>
        <v>-28.296837620345286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100*309629/861285</f>
        <v>35.94965661772816</v>
      </c>
      <c r="E95">
        <f>IF(COUNT(C95:D95)=2,D95-C95,"")</f>
        <v>-18.75604488194731</v>
      </c>
      <c r="H95">
        <v>21</v>
      </c>
      <c r="I95">
        <v>20</v>
      </c>
      <c r="J95">
        <f>100*465002/826011</f>
        <v>56.29489195664465</v>
      </c>
      <c r="K95">
        <f>100*78363/837944</f>
        <v>9.351818259931452</v>
      </c>
      <c r="L95">
        <f>IF(COUNT(J95:K95)=2,K95-J95,"")</f>
        <v>-46.9430736967132</v>
      </c>
      <c r="O95">
        <v>21</v>
      </c>
      <c r="P95">
        <v>20</v>
      </c>
      <c r="Q95">
        <f>100*230728/471359</f>
        <v>48.9495267938026</v>
      </c>
      <c r="R95">
        <f>100*67389/399622</f>
        <v>16.86318571049642</v>
      </c>
      <c r="S95">
        <f>IF(COUNT(Q95:R95)=2,R95-Q95,"")</f>
        <v>-32.08634108330618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100*30313/112295</f>
        <v>26.994078097867224</v>
      </c>
      <c r="E96">
        <f>IF(COUNT(C96:D96)=2,D96-C96,"")</f>
        <v>-14.062719872800763</v>
      </c>
      <c r="H96">
        <v>22</v>
      </c>
      <c r="I96">
        <v>21</v>
      </c>
      <c r="J96">
        <f>100*144864/290419</f>
        <v>49.881033954390034</v>
      </c>
      <c r="K96">
        <f>100*143357/343448</f>
        <v>41.740525494397986</v>
      </c>
      <c r="L96">
        <f>IF(COUNT(J96:K96)=2,K96-J96,"")</f>
        <v>-8.140508459992049</v>
      </c>
      <c r="O96">
        <v>22</v>
      </c>
      <c r="P96">
        <v>21</v>
      </c>
      <c r="Q96">
        <f>100*25278/69101</f>
        <v>36.58123616156061</v>
      </c>
      <c r="R96">
        <f>100*180206/424230</f>
        <v>42.4783725809113</v>
      </c>
      <c r="S96">
        <f>IF(COUNT(Q96:R96)=2,R96-Q96,"")</f>
        <v>5.897136419350687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100*286150/714880</f>
        <v>40.027696956132495</v>
      </c>
      <c r="E97">
        <f>IF(COUNT(C97:D97)=2,D97-C97,"")</f>
        <v>-3.455605315868276</v>
      </c>
      <c r="H97">
        <v>23</v>
      </c>
      <c r="I97">
        <v>22</v>
      </c>
      <c r="J97">
        <f>100*455714/839395</f>
        <v>54.29076894668184</v>
      </c>
      <c r="K97">
        <f>100*439555/1059985</f>
        <v>41.46803964207041</v>
      </c>
      <c r="L97">
        <f>IF(COUNT(J97:K97)=2,K97-J97,"")</f>
        <v>-12.822729304611428</v>
      </c>
      <c r="O97">
        <v>23</v>
      </c>
      <c r="P97">
        <v>22</v>
      </c>
      <c r="Q97">
        <f>100*745/388450</f>
        <v>0.1917878748873729</v>
      </c>
      <c r="R97">
        <f>100*3111/407971</f>
        <v>0.7625542011564548</v>
      </c>
      <c r="S97">
        <f>IF(COUNT(Q97:R97)=2,R97-Q97,"")</f>
        <v>0.5707663262690819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100*126798/690920</f>
        <v>18.352052336015745</v>
      </c>
      <c r="E98">
        <f>IF(COUNT(C98:D98)=2,D98-C98,"")</f>
        <v>-7.928717679411765</v>
      </c>
      <c r="H98">
        <v>24</v>
      </c>
      <c r="I98">
        <v>23</v>
      </c>
      <c r="J98">
        <f>100*361494/762974</f>
        <v>47.37959615924002</v>
      </c>
      <c r="K98">
        <f>100*141558/874358</f>
        <v>16.18993593013388</v>
      </c>
      <c r="L98">
        <f>IF(COUNT(J98:K98)=2,K98-J98,"")</f>
        <v>-31.189660229106142</v>
      </c>
      <c r="O98">
        <v>24</v>
      </c>
      <c r="P98">
        <v>23</v>
      </c>
      <c r="Q98">
        <f>100*292810/722778</f>
        <v>40.51174772890155</v>
      </c>
      <c r="R98">
        <f>100*27530/703435</f>
        <v>3.9136522919672747</v>
      </c>
      <c r="S98">
        <f>IF(COUNT(Q98:R98)=2,R98-Q98,"")</f>
        <v>-36.59809543693427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100*136855/817304</f>
        <v>16.744687411293718</v>
      </c>
      <c r="E99">
        <f>IF(COUNT(C99:D99)=2,D99-C99,"")</f>
        <v>-25.82338368643567</v>
      </c>
      <c r="H99">
        <v>25</v>
      </c>
      <c r="I99">
        <v>24</v>
      </c>
      <c r="J99">
        <f>100*297339/579923</f>
        <v>51.27215164771875</v>
      </c>
      <c r="K99">
        <f>100*166438/850147</f>
        <v>19.57755541100539</v>
      </c>
      <c r="L99">
        <f>IF(COUNT(J99:K99)=2,K99-J99,"")</f>
        <v>-31.69459623671336</v>
      </c>
      <c r="O99">
        <v>25</v>
      </c>
      <c r="P99">
        <v>24</v>
      </c>
      <c r="Q99">
        <f>100*194348/434877</f>
        <v>44.69033772767932</v>
      </c>
      <c r="R99">
        <f>100*180628/489167</f>
        <v>36.925630715072764</v>
      </c>
      <c r="S99">
        <f>IF(COUNT(Q99:R99)=2,R99-Q99,"")</f>
        <v>-7.764707012606557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100*127871/526021</f>
        <v>24.309105530007358</v>
      </c>
      <c r="E100">
        <f>IF(COUNT(C100:D100)=2,D100-C100,"")</f>
        <v>-35.278858757073216</v>
      </c>
      <c r="H100">
        <v>26</v>
      </c>
      <c r="I100">
        <v>25</v>
      </c>
      <c r="J100">
        <f>100*30617/503886</f>
        <v>6.076175960435496</v>
      </c>
      <c r="K100">
        <f>100*173523/740322</f>
        <v>23.438854984722862</v>
      </c>
      <c r="L100">
        <f>IF(COUNT(J100:K100)=2,K100-J100,"")</f>
        <v>17.362679024287367</v>
      </c>
      <c r="O100">
        <v>26</v>
      </c>
      <c r="P100">
        <v>25</v>
      </c>
      <c r="Q100">
        <f>100*196342/383537</f>
        <v>51.19245340084529</v>
      </c>
      <c r="R100">
        <f>100*1661/4245</f>
        <v>39.1283863368669</v>
      </c>
      <c r="S100">
        <f>IF(COUNT(Q100:R100)=2,R100-Q100,"")</f>
        <v>-12.064067063978385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100*86600/490696</f>
        <v>17.64840145426089</v>
      </c>
      <c r="E101">
        <f>IF(COUNT(C101:D101)=2,D101-C101,"")</f>
        <v>-0.8015126970676683</v>
      </c>
      <c r="H101">
        <v>27</v>
      </c>
      <c r="I101">
        <v>26</v>
      </c>
      <c r="J101">
        <f>100*110948/559494</f>
        <v>19.830060733448438</v>
      </c>
      <c r="K101">
        <f>100*110685/590522</f>
        <v>18.743586183071926</v>
      </c>
      <c r="L101">
        <f>IF(COUNT(J101:K101)=2,K101-J101,"")</f>
        <v>-1.0864745503765114</v>
      </c>
      <c r="O101">
        <v>27</v>
      </c>
      <c r="P101">
        <v>26</v>
      </c>
      <c r="Q101">
        <f>100*186316/322263</f>
        <v>57.81489032250057</v>
      </c>
      <c r="R101">
        <f>100*56268/209043</f>
        <v>26.916950101175356</v>
      </c>
      <c r="S101">
        <f>IF(COUNT(Q101:R101)=2,R101-Q101,"")</f>
        <v>-30.89794022132521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100*115585/422805</f>
        <v>27.337661569754378</v>
      </c>
      <c r="E102">
        <f>IF(COUNT(C102:D102)=2,D102-C102,"")</f>
        <v>-1.2565171836756512</v>
      </c>
      <c r="H102">
        <v>28</v>
      </c>
      <c r="I102">
        <v>27</v>
      </c>
      <c r="J102">
        <f>100*139061/401357</f>
        <v>34.6477076517913</v>
      </c>
      <c r="K102">
        <f>100*216668/500265</f>
        <v>43.31064535796028</v>
      </c>
      <c r="L102">
        <f>IF(COUNT(J102:K102)=2,K102-J102,"")</f>
        <v>8.662937706168982</v>
      </c>
      <c r="O102">
        <v>28</v>
      </c>
      <c r="P102">
        <v>27</v>
      </c>
      <c r="Q102">
        <f>100*1759/765634</f>
        <v>0.22974423810854794</v>
      </c>
      <c r="R102">
        <f>100*1192/723089</f>
        <v>0.1648483105122606</v>
      </c>
      <c r="S102">
        <f>IF(COUNT(Q102:R102)=2,R102-Q102,"")</f>
        <v>-0.06489592759628734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100*201986/743272</f>
        <v>27.17524674681678</v>
      </c>
      <c r="E103">
        <f>IF(COUNT(C103:D103)=2,D103-C103,"")</f>
        <v>-23.99124489880006</v>
      </c>
      <c r="H103">
        <v>29</v>
      </c>
      <c r="I103">
        <v>28</v>
      </c>
      <c r="J103">
        <f>100*239541/426383</f>
        <v>56.17977264571993</v>
      </c>
      <c r="K103">
        <f>100*90497/572687</f>
        <v>15.802174660853137</v>
      </c>
      <c r="L103">
        <f>IF(COUNT(J103:K103)=2,K103-J103,"")</f>
        <v>-40.377597984866796</v>
      </c>
      <c r="O103">
        <v>29</v>
      </c>
      <c r="P103">
        <v>28</v>
      </c>
      <c r="Q103">
        <f>100*180468/321414</f>
        <v>56.14814538259068</v>
      </c>
      <c r="R103">
        <f>100*221196/525720</f>
        <v>42.074868751426614</v>
      </c>
      <c r="S103">
        <f>IF(COUNT(Q103:R103)=2,R103-Q103,"")</f>
        <v>-14.073276631164063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100*10861/739395</f>
        <v>1.4689036306710215</v>
      </c>
      <c r="E104">
        <f>IF(COUNT(C104:D104)=2,D104-C104,"")</f>
        <v>0.0658085967581814</v>
      </c>
      <c r="H104">
        <v>30</v>
      </c>
      <c r="I104">
        <v>29</v>
      </c>
      <c r="J104">
        <f>100*176819/628999</f>
        <v>28.111173467684367</v>
      </c>
      <c r="K104">
        <f>100*16691/568635</f>
        <v>2.93527482479974</v>
      </c>
      <c r="L104">
        <f>IF(COUNT(J104:K104)=2,K104-J104,"")</f>
        <v>-25.175898642884626</v>
      </c>
      <c r="O104">
        <v>30</v>
      </c>
      <c r="P104">
        <v>29</v>
      </c>
      <c r="Q104">
        <f>100*273685/521227</f>
        <v>52.5078324798984</v>
      </c>
      <c r="R104">
        <f>100*292698/777951</f>
        <v>37.62422054859496</v>
      </c>
      <c r="S104">
        <f>IF(COUNT(Q104:R104)=2,R104-Q104,"")</f>
        <v>-14.883611931303435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100*162444/763804</f>
        <v>21.267759791779042</v>
      </c>
      <c r="E105">
        <f>IF(COUNT(C105:D105)=2,D105-C105,"")</f>
        <v>-18.225398180400106</v>
      </c>
      <c r="H105">
        <v>31</v>
      </c>
      <c r="I105">
        <v>30</v>
      </c>
      <c r="J105">
        <f>100*69915/403117</f>
        <v>17.343599997023198</v>
      </c>
      <c r="K105">
        <f>100*195804/623589</f>
        <v>31.39952757344982</v>
      </c>
      <c r="L105">
        <f>IF(COUNT(J105:K105)=2,K105-J105,"")</f>
        <v>14.055927576426622</v>
      </c>
      <c r="O105">
        <v>31</v>
      </c>
      <c r="P105">
        <v>30</v>
      </c>
      <c r="Q105">
        <f>100*141232/628600</f>
        <v>22.467706013363028</v>
      </c>
      <c r="R105">
        <f>100*2465/416731</f>
        <v>0.5915086710611882</v>
      </c>
      <c r="S105">
        <f>IF(COUNT(Q105:R105)=2,R105-Q105,"")</f>
        <v>-21.87619734230184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19.061606402919015</v>
      </c>
      <c r="E106">
        <f>IF(COUNT(E75:E105)&gt;0,AVERAGE(E75:E105),"")</f>
        <v>-16.120731336095176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20.840088223379894</v>
      </c>
      <c r="L106">
        <f>IF(COUNT(L75:L105)&gt;0,AVERAGE(L75:L105),"")</f>
        <v>-14.88682393233487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23.227037125673398</v>
      </c>
      <c r="S106">
        <f>IF(COUNT(S75:S105)&gt;0,AVERAGE(S75:S105),"")</f>
        <v>-13.546689657669038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