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Choe JongHyeon\Desktop\KCI_작성_3\Figure_1\Result\Collision\Ping_Reply\"/>
    </mc:Choice>
  </mc:AlternateContent>
  <xr:revisionPtr revIDLastSave="0" documentId="13_ncr:1_{82B65950-E6ED-487E-A55B-5AA72CF38313}" xr6:coauthVersionLast="36" xr6:coauthVersionMax="36" xr10:uidLastSave="{00000000-0000-0000-0000-000000000000}"/>
  <bookViews>
    <workbookView xWindow="0" yWindow="0" windowWidth="22260" windowHeight="12645" activeTab="3" xr2:uid="{00000000-000D-0000-FFFF-FFFF00000000}"/>
  </bookViews>
  <sheets>
    <sheet name="LCC(RREQ + RREP, q_1)" sheetId="1" r:id="rId1"/>
    <sheet name="LCC(RREQ + RREP, q_2)" sheetId="2" r:id="rId2"/>
    <sheet name="LCC(RREQ + RREP, q_3)" sheetId="4" r:id="rId3"/>
    <sheet name="LCC(RREQ + RREP, q_4)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<sst xmlns="http://schemas.openxmlformats.org/spreadsheetml/2006/main" count="252" uniqueCount="15">
  <si>
    <t>No</t>
  </si>
  <si>
    <t>nodeId</t>
  </si>
  <si>
    <t>Legacy</t>
  </si>
  <si>
    <t>Proposed</t>
  </si>
  <si>
    <t>Delta</t>
  </si>
  <si>
    <t>AVG</t>
  </si>
  <si>
    <t>차량대수 70, 최고 속력 30km/h</t>
    <phoneticPr fontId="1" type="noConversion"/>
  </si>
  <si>
    <t>차량대수 70, 최고 속력 20km/h</t>
    <phoneticPr fontId="1" type="noConversion"/>
  </si>
  <si>
    <t>차량대수 70, 최고 속력 10km/h</t>
    <phoneticPr fontId="1" type="noConversion"/>
  </si>
  <si>
    <t>차량대수 100, 최고 속력 30km/h</t>
    <phoneticPr fontId="1" type="noConversion"/>
  </si>
  <si>
    <t>차량대수 100, 최고 속력 20km/h</t>
    <phoneticPr fontId="1" type="noConversion"/>
  </si>
  <si>
    <t>차량대수 100, 최고 속력 10km/h</t>
    <phoneticPr fontId="1" type="noConversion"/>
  </si>
  <si>
    <t>차량대수 120, 최고 속력 30km/h</t>
    <phoneticPr fontId="1" type="noConversion"/>
  </si>
  <si>
    <t>차량대수 120, 최고 속력 20km/h</t>
    <phoneticPr fontId="1" type="noConversion"/>
  </si>
  <si>
    <t>차량대수 120, 최고 속력 10km/h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</si>
</sst>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6"/>
  <sheetViews>
    <sheetView workbookViewId="0">
      <selection activeCell="F65" sqref="F65"/>
    </sheetView>
  </sheetViews>
  <sheetFormatPr defaultRowHeight="16.5" x14ac:dyDescent="0.3"/>
  <sheetData>
    <row r="1" spans="1:19" s="2" customFormat="1" ht="17.25" customHeight="1" x14ac:dyDescent="0.3">
      <c r="A1" s="1" t="s">
        <v>6</v>
      </c>
      <c r="B1" s="1"/>
      <c r="C1" s="1"/>
      <c r="D1" s="1"/>
      <c r="E1" s="1"/>
      <c r="H1" s="1" t="s">
        <v>7</v>
      </c>
      <c r="I1" s="1"/>
      <c r="J1" s="1"/>
      <c r="K1" s="1"/>
      <c r="L1" s="1"/>
      <c r="O1" s="1" t="s">
        <v>8</v>
      </c>
      <c r="P1" s="1"/>
      <c r="Q1" s="1"/>
      <c r="R1" s="1"/>
      <c r="S1" s="1"/>
    </row>
    <row r="2" spans="1:1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H2" t="s">
        <v>0</v>
      </c>
      <c r="I2" t="s">
        <v>1</v>
      </c>
      <c r="J2" t="s">
        <v>2</v>
      </c>
      <c r="K2" t="s">
        <v>3</v>
      </c>
      <c r="L2" t="s">
        <v>4</v>
      </c>
      <c r="O2" t="s">
        <v>0</v>
      </c>
      <c r="P2" t="s">
        <v>1</v>
      </c>
      <c r="Q2" t="s">
        <v>2</v>
      </c>
      <c r="R2" t="s">
        <v>3</v>
      </c>
      <c r="S2" t="s">
        <v>4</v>
      </c>
    </row>
    <row r="3" spans="1:19" x14ac:dyDescent="0.3">
      <c r="A3">
        <v>1</v>
      </c>
      <c r="B3">
        <v>0</v>
      </c>
      <c r="C3">
        <f>100*195788/558995</f>
        <v>35.0250002236156</v>
      </c>
      <c r="D3">
        <f>100*59504/386275</f>
        <v>15.404569283541518</v>
      </c>
      <c r="E3">
        <f>IF(COUNT(C3:D3)=2,D3-C3,"")</f>
        <v>-19.62043094007408</v>
      </c>
      <c r="H3">
        <v>1</v>
      </c>
      <c r="I3">
        <v>0</v>
      </c>
      <c r="J3">
        <f>100*58251/215009</f>
        <v>27.09235427354204</v>
      </c>
      <c r="K3">
        <f>100*86492/355584</f>
        <v>24.323929085673146</v>
      </c>
      <c r="L3">
        <f>IF(COUNT(J3:K3)=2,K3-J3,"")</f>
        <v>-2.7684251878688926</v>
      </c>
      <c r="O3">
        <v>1</v>
      </c>
      <c r="P3">
        <v>0</v>
      </c>
      <c r="Q3">
        <f>100*45645/291867</f>
        <v>15.638972545714315</v>
      </c>
      <c r="R3">
        <f>100*37355/319221</f>
        <v>11.701924372143436</v>
      </c>
      <c r="S3">
        <f>IF(COUNT(Q3:R3)=2,R3-Q3,"")</f>
        <v>-3.9370481735708793</v>
      </c>
    </row>
    <row r="4" spans="1:19" x14ac:dyDescent="0.3">
      <c r="A4">
        <v>2</v>
      </c>
      <c r="B4">
        <v>1</v>
      </c>
      <c r="C4">
        <f>100*131600/348213</f>
        <v>37.792960056057645</v>
      </c>
      <c r="D4">
        <f>100*120653/445443</f>
        <v>27.086069373634786</v>
      </c>
      <c r="E4">
        <f>IF(COUNT(C4:D4)=2,D4-C4,"")</f>
        <v>-10.70689068242286</v>
      </c>
      <c r="H4">
        <v>2</v>
      </c>
      <c r="I4">
        <v>1</v>
      </c>
      <c r="J4">
        <f>100*64971/296332</f>
        <v>21.925070529001257</v>
      </c>
      <c r="K4">
        <f>100*59630/329694</f>
        <v>18.086468058260085</v>
      </c>
      <c r="L4">
        <f>IF(COUNT(J4:K4)=2,K4-J4,"")</f>
        <v>-3.838602470741172</v>
      </c>
      <c r="O4">
        <v>2</v>
      </c>
      <c r="P4">
        <v>1</v>
      </c>
      <c r="Q4">
        <f>100*75288/157455</f>
        <v>47.81556635229113</v>
      </c>
      <c r="R4">
        <f>100*82722/247032</f>
        <v>33.486349946565625</v>
      </c>
      <c r="S4">
        <f>IF(COUNT(Q4:R4)=2,R4-Q4,"")</f>
        <v>-14.329216405725504</v>
      </c>
    </row>
    <row r="5" spans="1:19" x14ac:dyDescent="0.3">
      <c r="A5">
        <v>3</v>
      </c>
      <c r="B5">
        <v>2</v>
      </c>
      <c r="C5">
        <f>100*190955/499604</f>
        <v>38.221271246827484</v>
      </c>
      <c r="D5">
        <f>100*80058/518811</f>
        <v>15.431052926788368</v>
      </c>
      <c r="E5">
        <f>IF(COUNT(C5:D5)=2,D5-C5,"")</f>
        <v>-22.790218320039116</v>
      </c>
      <c r="H5">
        <v>3</v>
      </c>
      <c r="I5">
        <v>2</v>
      </c>
      <c r="J5">
        <f>100*62705/328831</f>
        <v>19.069065872743142</v>
      </c>
      <c r="K5">
        <f>100*68853/548381</f>
        <v>12.555686648516268</v>
      </c>
      <c r="L5">
        <f>IF(COUNT(J5:K5)=2,K5-J5,"")</f>
        <v>-6.513379224226874</v>
      </c>
      <c r="O5">
        <v>3</v>
      </c>
      <c r="P5">
        <v>2</v>
      </c>
      <c r="Q5">
        <f>100*141348/334791</f>
        <v>42.21977293296415</v>
      </c>
      <c r="R5">
        <f>100*153461/473295</f>
        <v>32.423963912570386</v>
      </c>
      <c r="S5">
        <f>IF(COUNT(Q5:R5)=2,R5-Q5,"")</f>
        <v>-9.795809020393762</v>
      </c>
    </row>
    <row r="6" spans="1:19" x14ac:dyDescent="0.3">
      <c r="A6">
        <v>4</v>
      </c>
      <c r="B6">
        <v>3</v>
      </c>
      <c r="C6">
        <f>100*11557/332328</f>
        <v>3.477588406634409</v>
      </c>
      <c r="D6">
        <f>100*21889/401306</f>
        <v>5.454441249320967</v>
      </c>
      <c r="E6">
        <f>IF(COUNT(C6:D6)=2,D6-C6,"")</f>
        <v>1.9768528426865575</v>
      </c>
      <c r="H6">
        <v>4</v>
      </c>
      <c r="I6">
        <v>3</v>
      </c>
      <c r="J6">
        <f>100*69099/464767</f>
        <v>14.867449711360747</v>
      </c>
      <c r="K6">
        <f>100*19481/351329</f>
        <v>5.54494505150443</v>
      </c>
      <c r="L6">
        <f>IF(COUNT(J6:K6)=2,K6-J6,"")</f>
        <v>-9.322504659856317</v>
      </c>
      <c r="O6">
        <v>4</v>
      </c>
      <c r="P6">
        <v>3</v>
      </c>
      <c r="Q6">
        <f>100*182044/470083</f>
        <v>38.72592712350798</v>
      </c>
      <c r="R6">
        <f>100*149559/537935</f>
        <v>27.802429661576213</v>
      </c>
      <c r="S6">
        <f>IF(COUNT(Q6:R6)=2,R6-Q6,"")</f>
        <v>-10.923497461931767</v>
      </c>
    </row>
    <row r="7" spans="1:19" x14ac:dyDescent="0.3">
      <c r="A7">
        <v>5</v>
      </c>
      <c r="B7">
        <v>4</v>
      </c>
      <c r="C7">
        <f>100*96546/258766</f>
        <v>37.3101566666409</v>
      </c>
      <c r="D7">
        <f>100*105913/358457</f>
        <v>29.54691915627258</v>
      </c>
      <c r="E7">
        <f>IF(COUNT(C7:D7)=2,D7-C7,"")</f>
        <v>-7.76323751036832</v>
      </c>
      <c r="H7">
        <v>5</v>
      </c>
      <c r="I7">
        <v>4</v>
      </c>
      <c r="J7">
        <f>100*106457/411240</f>
        <v>25.88683007489544</v>
      </c>
      <c r="K7">
        <f>100*75503/376886</f>
        <v>20.033378793587453</v>
      </c>
      <c r="L7">
        <f>IF(COUNT(J7:K7)=2,K7-J7,"")</f>
        <v>-5.853451281307986</v>
      </c>
      <c r="O7">
        <v>5</v>
      </c>
      <c r="P7">
        <v>4</v>
      </c>
      <c r="Q7">
        <f>100*154964/442048</f>
        <v>35.055921528883744</v>
      </c>
      <c r="R7">
        <f>100*103050/567709</f>
        <v>18.151905289505716</v>
      </c>
      <c r="S7">
        <f>IF(COUNT(Q7:R7)=2,R7-Q7,"")</f>
        <v>-16.904016239378027</v>
      </c>
    </row>
    <row r="8" spans="1:19" x14ac:dyDescent="0.3">
      <c r="A8">
        <v>6</v>
      </c>
      <c r="B8">
        <v>5</v>
      </c>
      <c r="C8">
        <f>100*77908/371148</f>
        <v>20.9910871134965</v>
      </c>
      <c r="D8">
        <f>100*104679/507672</f>
        <v>20.619415685718337</v>
      </c>
      <c r="E8">
        <f>IF(COUNT(C8:D8)=2,D8-C8,"")</f>
        <v>-0.3716714277781641</v>
      </c>
      <c r="H8">
        <v>6</v>
      </c>
      <c r="I8">
        <v>5</v>
      </c>
      <c r="J8">
        <f>100*91696/324059</f>
        <v>28.29608188632317</v>
      </c>
      <c r="K8">
        <f>100*60121/249131</f>
        <v>24.13228381855329</v>
      </c>
      <c r="L8">
        <f>IF(COUNT(J8:K8)=2,K8-J8,"")</f>
        <v>-4.1637980677698785</v>
      </c>
      <c r="O8">
        <v>6</v>
      </c>
      <c r="P8">
        <v>5</v>
      </c>
      <c r="Q8">
        <f>100*114455/487242</f>
        <v>23.49038055011678</v>
      </c>
      <c r="R8">
        <f>100*105999/513168</f>
        <v>20.655808624076325</v>
      </c>
      <c r="S8">
        <f>IF(COUNT(Q8:R8)=2,R8-Q8,"")</f>
        <v>-2.8345719260404536</v>
      </c>
    </row>
    <row r="9" spans="1:19" x14ac:dyDescent="0.3">
      <c r="A9">
        <v>7</v>
      </c>
      <c r="B9">
        <v>6</v>
      </c>
      <c r="C9">
        <f>100*93317/434887</f>
        <v>21.457757992306046</v>
      </c>
      <c r="D9">
        <f>100*23550/310931</f>
        <v>7.574027678166539</v>
      </c>
      <c r="E9">
        <f>IF(COUNT(C9:D9)=2,D9-C9,"")</f>
        <v>-13.883730314139507</v>
      </c>
      <c r="H9">
        <v>7</v>
      </c>
      <c r="I9">
        <v>6</v>
      </c>
      <c r="J9">
        <f>100*2956/325191</f>
        <v>0.9090042467349957</v>
      </c>
      <c r="K9">
        <f>100*2318/316437</f>
        <v>0.7325312779479012</v>
      </c>
      <c r="L9">
        <f>IF(COUNT(J9:K9)=2,K9-J9,"")</f>
        <v>-0.1764729687870945</v>
      </c>
      <c r="O9">
        <v>7</v>
      </c>
      <c r="P9">
        <v>6</v>
      </c>
      <c r="Q9">
        <f>100*198686/446837</f>
        <v>44.46498387555194</v>
      </c>
      <c r="R9">
        <f>100*80994/457359</f>
        <v>17.709064432972784</v>
      </c>
      <c r="S9">
        <f>IF(COUNT(Q9:R9)=2,R9-Q9,"")</f>
        <v>-26.755919442579152</v>
      </c>
    </row>
    <row r="10" spans="1:19" x14ac:dyDescent="0.3">
      <c r="A10">
        <v>8</v>
      </c>
      <c r="B10">
        <v>7</v>
      </c>
      <c r="C10">
        <f>100*1113/275738</f>
        <v>0.4036440389064982</v>
      </c>
      <c r="D10">
        <f>100*1113/275738</f>
        <v>0.4036440389064982</v>
      </c>
      <c r="E10">
        <f>IF(COUNT(C10:D10)=2,D10-C10,"")</f>
        <v>0.0</v>
      </c>
      <c r="H10">
        <v>8</v>
      </c>
      <c r="I10">
        <v>7</v>
      </c>
      <c r="J10">
        <f>100*1179/376958</f>
        <v>0.31276693955294754</v>
      </c>
      <c r="K10">
        <f>100*1179/376958</f>
        <v>0.31276693955294754</v>
      </c>
      <c r="L10">
        <f>IF(COUNT(J10:K10)=2,K10-J10,"")</f>
        <v>0.0</v>
      </c>
      <c r="O10">
        <v>8</v>
      </c>
      <c r="P10">
        <v>7</v>
      </c>
      <c r="Q10">
        <f>100*140584/308785</f>
        <v>45.52811826999368</v>
      </c>
      <c r="R10">
        <f>100*118666/408409</f>
        <v>29.055677029644304</v>
      </c>
      <c r="S10">
        <f>IF(COUNT(Q10:R10)=2,R10-Q10,"")</f>
        <v>-16.47244124034938</v>
      </c>
    </row>
    <row r="11" spans="1:19" x14ac:dyDescent="0.3">
      <c r="A11">
        <v>9</v>
      </c>
      <c r="B11">
        <v>8</v>
      </c>
      <c r="C11">
        <f>100*126680/328998</f>
        <v>38.504793342208764</v>
      </c>
      <c r="D11">
        <f>100*70401/249232</f>
        <v>28.247175322590998</v>
      </c>
      <c r="E11">
        <f>IF(COUNT(C11:D11)=2,D11-C11,"")</f>
        <v>-10.257618019617766</v>
      </c>
      <c r="H11">
        <v>9</v>
      </c>
      <c r="I11">
        <v>8</v>
      </c>
      <c r="J11">
        <f>100*144131/422295</f>
        <v>34.13040646941119</v>
      </c>
      <c r="K11">
        <f>100*148549/533459</f>
        <v>27.84637619760844</v>
      </c>
      <c r="L11">
        <f>IF(COUNT(J11:K11)=2,K11-J11,"")</f>
        <v>-6.284030271802752</v>
      </c>
      <c r="O11">
        <v>9</v>
      </c>
      <c r="P11">
        <v>8</v>
      </c>
      <c r="Q11">
        <f>100*85958/184662</f>
        <v>46.54882975382049</v>
      </c>
      <c r="R11">
        <f>100*105777/296103</f>
        <v>35.72304231973334</v>
      </c>
      <c r="S11">
        <f>IF(COUNT(Q11:R11)=2,R11-Q11,"")</f>
        <v>-10.825787434087154</v>
      </c>
    </row>
    <row r="12" spans="1:19" x14ac:dyDescent="0.3">
      <c r="A12">
        <v>10</v>
      </c>
      <c r="B12">
        <v>9</v>
      </c>
      <c r="C12">
        <f>100*74901/412598</f>
        <v>18.15350534903223</v>
      </c>
      <c r="D12">
        <f>100*19475/294098</f>
        <v>6.621942345748696</v>
      </c>
      <c r="E12">
        <f>IF(COUNT(C12:D12)=2,D12-C12,"")</f>
        <v>-11.531563003283534</v>
      </c>
      <c r="H12">
        <v>10</v>
      </c>
      <c r="I12">
        <v>9</v>
      </c>
      <c r="J12">
        <f>100*71311/426052</f>
        <v>16.737628270727516</v>
      </c>
      <c r="K12">
        <f>100*41443/427015</f>
        <v>9.705279674016134</v>
      </c>
      <c r="L12">
        <f>IF(COUNT(J12:K12)=2,K12-J12,"")</f>
        <v>-7.0323485967113815</v>
      </c>
      <c r="O12">
        <v>10</v>
      </c>
      <c r="P12">
        <v>9</v>
      </c>
      <c r="Q12">
        <f>100*199032/643646</f>
        <v>30.922587882158826</v>
      </c>
      <c r="R12">
        <f>100*6508/367614</f>
        <v>1.7703351885401535</v>
      </c>
      <c r="S12">
        <f>IF(COUNT(Q12:R12)=2,R12-Q12,"")</f>
        <v>-29.15225269361867</v>
      </c>
    </row>
    <row r="13" spans="1:19" x14ac:dyDescent="0.3">
      <c r="A13">
        <v>11</v>
      </c>
      <c r="B13">
        <v>10</v>
      </c>
      <c r="C13">
        <f>100*3762/517486</f>
        <v>0.726976188727811</v>
      </c>
      <c r="D13">
        <f>100*4434/516664</f>
        <v>0.8581979777960145</v>
      </c>
      <c r="E13">
        <f>IF(COUNT(C13:D13)=2,D13-C13,"")</f>
        <v>0.13122178906820348</v>
      </c>
      <c r="H13">
        <v>11</v>
      </c>
      <c r="I13">
        <v>10</v>
      </c>
      <c r="J13">
        <f>100*28276/544111</f>
        <v>5.196733754693436</v>
      </c>
      <c r="K13">
        <f>100*24135/570115</f>
        <v>4.23335642808907</v>
      </c>
      <c r="L13">
        <f>IF(COUNT(J13:K13)=2,K13-J13,"")</f>
        <v>-0.9633773266043661</v>
      </c>
      <c r="O13">
        <v>11</v>
      </c>
      <c r="P13">
        <v>10</v>
      </c>
      <c r="Q13">
        <f>100*136848/421678</f>
        <v>32.453198886354045</v>
      </c>
      <c r="R13">
        <f>100*171135/583428</f>
        <v>29.33266829840186</v>
      </c>
      <c r="S13">
        <f>IF(COUNT(Q13:R13)=2,R13-Q13,"")</f>
        <v>-3.120530587952185</v>
      </c>
    </row>
    <row r="14" spans="1:19" x14ac:dyDescent="0.3">
      <c r="A14">
        <v>12</v>
      </c>
      <c r="B14">
        <v>11</v>
      </c>
      <c r="C14">
        <f>100*244757/639957</f>
        <v>38.24585089310688</v>
      </c>
      <c r="D14">
        <f>100*115171/659036</f>
        <v>17.47567659429834</v>
      </c>
      <c r="E14">
        <f>IF(COUNT(C14:D14)=2,D14-C14,"")</f>
        <v>-20.770174298808545</v>
      </c>
      <c r="H14">
        <v>12</v>
      </c>
      <c r="I14">
        <v>11</v>
      </c>
      <c r="J14">
        <f>100*18702/461148</f>
        <v>4.05553097920841</v>
      </c>
      <c r="K14">
        <f>100*31223/478627</f>
        <v>6.523451455935415</v>
      </c>
      <c r="L14">
        <f>IF(COUNT(J14:K14)=2,K14-J14,"")</f>
        <v>2.467920476727005</v>
      </c>
      <c r="O14">
        <v>12</v>
      </c>
      <c r="P14">
        <v>11</v>
      </c>
      <c r="Q14">
        <f>100*91935/209068</f>
        <v>43.973731034878604</v>
      </c>
      <c r="R14">
        <f>100*106511/318366</f>
        <v>33.455519747711755</v>
      </c>
      <c r="S14">
        <f>IF(COUNT(Q14:R14)=2,R14-Q14,"")</f>
        <v>-10.51821128716685</v>
      </c>
    </row>
    <row r="15" spans="1:19" x14ac:dyDescent="0.3">
      <c r="A15">
        <v>13</v>
      </c>
      <c r="B15">
        <v>12</v>
      </c>
      <c r="C15">
        <f>100*31827/409126</f>
        <v>7.779266045179236</v>
      </c>
      <c r="D15">
        <f>100*18035/372562</f>
        <v>4.840805020372448</v>
      </c>
      <c r="E15">
        <f>IF(COUNT(C15:D15)=2,D15-C15,"")</f>
        <v>-2.938461024806788</v>
      </c>
      <c r="H15">
        <v>13</v>
      </c>
      <c r="I15">
        <v>12</v>
      </c>
      <c r="J15">
        <f>100*226380/535721</f>
        <v>42.25707037805126</v>
      </c>
      <c r="K15">
        <f>100*148662/621989</f>
        <v>23.90106577447511</v>
      </c>
      <c r="L15">
        <f>IF(COUNT(J15:K15)=2,K15-J15,"")</f>
        <v>-18.35600460357615</v>
      </c>
      <c r="O15">
        <v>13</v>
      </c>
      <c r="P15">
        <v>12</v>
      </c>
      <c r="Q15">
        <f>100*165466/516479</f>
        <v>32.037314198641184</v>
      </c>
      <c r="R15">
        <f>100*30432/422967</f>
        <v>7.194887544418359</v>
      </c>
      <c r="S15">
        <f>IF(COUNT(Q15:R15)=2,R15-Q15,"")</f>
        <v>-24.842426654222827</v>
      </c>
    </row>
    <row r="16" spans="1:19" x14ac:dyDescent="0.3">
      <c r="A16">
        <v>14</v>
      </c>
      <c r="B16">
        <v>13</v>
      </c>
      <c r="C16">
        <f>100*4186/284672</f>
        <v>1.4704642535971224</v>
      </c>
      <c r="D16">
        <f>100*3791/283374</f>
        <v>1.3378079852068292</v>
      </c>
      <c r="E16">
        <f>IF(COUNT(C16:D16)=2,D16-C16,"")</f>
        <v>-0.1326562683902932</v>
      </c>
      <c r="H16">
        <v>14</v>
      </c>
      <c r="I16">
        <v>13</v>
      </c>
      <c r="J16">
        <f>100*44978/265308</f>
        <v>16.95312617787628</v>
      </c>
      <c r="K16">
        <f>100*36748/257046</f>
        <v>14.29627381869393</v>
      </c>
      <c r="L16">
        <f>IF(COUNT(J16:K16)=2,K16-J16,"")</f>
        <v>-2.6568523591823485</v>
      </c>
      <c r="O16">
        <v>14</v>
      </c>
      <c r="P16">
        <v>13</v>
      </c>
      <c r="Q16">
        <f>100*58109/351187</f>
        <v>16.546455307286433</v>
      </c>
      <c r="R16">
        <f>100*9209/310322</f>
        <v>2.96756272516934</v>
      </c>
      <c r="S16">
        <f>IF(COUNT(Q16:R16)=2,R16-Q16,"")</f>
        <v>-13.578892582117092</v>
      </c>
    </row>
    <row r="17" spans="1:19" x14ac:dyDescent="0.3">
      <c r="A17">
        <v>15</v>
      </c>
      <c r="B17">
        <v>14</v>
      </c>
      <c r="C17">
        <f>100*181005/547993</f>
        <v>33.0305314118976</v>
      </c>
      <c r="D17">
        <f>100*101609/463585</f>
        <v>21.918094847762546</v>
      </c>
      <c r="E17">
        <f>IF(COUNT(C17:D17)=2,D17-C17,"")</f>
        <v>-11.112436564135052</v>
      </c>
      <c r="H17">
        <v>15</v>
      </c>
      <c r="I17">
        <v>14</v>
      </c>
      <c r="J17">
        <f>100*185252/403337</f>
        <v>45.92983038997166</v>
      </c>
      <c r="K17">
        <f>100*110010/473297</f>
        <v>23.24333346714642</v>
      </c>
      <c r="L17">
        <f>IF(COUNT(J17:K17)=2,K17-J17,"")</f>
        <v>-22.686496922825242</v>
      </c>
      <c r="O17">
        <v>15</v>
      </c>
      <c r="P17">
        <v>14</v>
      </c>
      <c r="Q17">
        <f>100*158493/377442</f>
        <v>41.99135231373297</v>
      </c>
      <c r="R17">
        <f>100*58326/333760</f>
        <v>17.475431447746885</v>
      </c>
      <c r="S17">
        <f>IF(COUNT(Q17:R17)=2,R17-Q17,"")</f>
        <v>-24.515920865986082</v>
      </c>
    </row>
    <row r="18" spans="1:19" x14ac:dyDescent="0.3">
      <c r="A18">
        <v>16</v>
      </c>
      <c r="B18">
        <v>15</v>
      </c>
      <c r="C18">
        <f>100*145812/450453</f>
        <v>32.37008078534276</v>
      </c>
      <c r="D18">
        <f>100*58021/452177</f>
        <v>12.831479708167377</v>
      </c>
      <c r="E18">
        <f>IF(COUNT(C18:D18)=2,D18-C18,"")</f>
        <v>-19.53860107717538</v>
      </c>
      <c r="H18">
        <v>16</v>
      </c>
      <c r="I18">
        <v>15</v>
      </c>
      <c r="J18">
        <f>100*116194/472598</f>
        <v>24.586223386472223</v>
      </c>
      <c r="K18">
        <f>100*79016/435771</f>
        <v>18.132459479864423</v>
      </c>
      <c r="L18">
        <f>IF(COUNT(J18:K18)=2,K18-J18,"")</f>
        <v>-6.453763906607801</v>
      </c>
      <c r="O18">
        <v>16</v>
      </c>
      <c r="P18">
        <v>15</v>
      </c>
      <c r="Q18">
        <f>100*130815/335348</f>
        <v>39.00873122845522</v>
      </c>
      <c r="R18">
        <f>100*80593/303335</f>
        <v>26.568974895742333</v>
      </c>
      <c r="S18">
        <f>IF(COUNT(Q18:R18)=2,R18-Q18,"")</f>
        <v>-12.439756332712886</v>
      </c>
    </row>
    <row r="19" spans="1:19" x14ac:dyDescent="0.3">
      <c r="A19">
        <v>17</v>
      </c>
      <c r="B19">
        <v>16</v>
      </c>
      <c r="C19">
        <f>100*73371/330890</f>
        <v>22.173834204720603</v>
      </c>
      <c r="D19">
        <f>100*66003/400171</f>
        <v>16.493698943701567</v>
      </c>
      <c r="E19">
        <f>IF(COUNT(C19:D19)=2,D19-C19,"")</f>
        <v>-5.680135261019036</v>
      </c>
      <c r="H19">
        <v>17</v>
      </c>
      <c r="I19">
        <v>16</v>
      </c>
      <c r="J19">
        <f>100*147986/392782</f>
        <v>37.6763700984261</v>
      </c>
      <c r="K19">
        <f>100*70304/378690</f>
        <v>18.5650532097494</v>
      </c>
      <c r="L19">
        <f>IF(COUNT(J19:K19)=2,K19-J19,"")</f>
        <v>-19.111316888676697</v>
      </c>
      <c r="O19">
        <v>17</v>
      </c>
      <c r="P19">
        <v>16</v>
      </c>
      <c r="Q19">
        <f>100*17753/266611</f>
        <v>6.65876501719734</v>
      </c>
      <c r="R19">
        <f>100*4093/288451</f>
        <v>1.4189585059507508</v>
      </c>
      <c r="S19">
        <f>IF(COUNT(Q19:R19)=2,R19-Q19,"")</f>
        <v>-5.23980651124659</v>
      </c>
    </row>
    <row r="20" spans="1:19" x14ac:dyDescent="0.3">
      <c r="A20">
        <v>18</v>
      </c>
      <c r="B20">
        <v>17</v>
      </c>
      <c r="C20">
        <f>100*149926/449301</f>
        <v>33.36872163649758</v>
      </c>
      <c r="D20">
        <f>100*10275/367375</f>
        <v>2.7968696835658386</v>
      </c>
      <c r="E20">
        <f>IF(COUNT(C20:D20)=2,D20-C20,"")</f>
        <v>-30.571851952931745</v>
      </c>
      <c r="H20">
        <v>18</v>
      </c>
      <c r="I20">
        <v>17</v>
      </c>
      <c r="J20">
        <f>100*134558/617547</f>
        <v>21.78911078832866</v>
      </c>
      <c r="K20">
        <f>100*57776/489033</f>
        <v>11.814335637881289</v>
      </c>
      <c r="L20">
        <f>IF(COUNT(J20:K20)=2,K20-J20,"")</f>
        <v>-9.974775150447371</v>
      </c>
      <c r="O20">
        <v>18</v>
      </c>
      <c r="P20">
        <v>17</v>
      </c>
      <c r="Q20">
        <f>100*1405/276206</f>
        <v>0.5086783053228388</v>
      </c>
      <c r="R20">
        <f>100*1405/276206</f>
        <v>0.5086783053228388</v>
      </c>
      <c r="S20">
        <f>IF(COUNT(Q20:R20)=2,R20-Q20,"")</f>
        <v>0.0</v>
      </c>
    </row>
    <row r="21" spans="1:19" x14ac:dyDescent="0.3">
      <c r="A21">
        <v>19</v>
      </c>
      <c r="B21">
        <v>18</v>
      </c>
      <c r="C21">
        <f>100*63409/348972</f>
        <v>18.170225691459486</v>
      </c>
      <c r="D21">
        <f>100*22876/288845</f>
        <v>7.91981858782392</v>
      </c>
      <c r="E21">
        <f>IF(COUNT(C21:D21)=2,D21-C21,"")</f>
        <v>-10.250407103635567</v>
      </c>
      <c r="H21">
        <v>19</v>
      </c>
      <c r="I21">
        <v>18</v>
      </c>
      <c r="J21">
        <f>100*48771/351007</f>
        <v>13.894594694692698</v>
      </c>
      <c r="K21">
        <f>100*79304/432798</f>
        <v>18.323559720701112</v>
      </c>
      <c r="L21">
        <f>IF(COUNT(J21:K21)=2,K21-J21,"")</f>
        <v>4.428965026008415</v>
      </c>
      <c r="O21">
        <v>19</v>
      </c>
      <c r="P21">
        <v>18</v>
      </c>
      <c r="Q21">
        <f>100*124085/311389</f>
        <v>39.84887070513088</v>
      </c>
      <c r="R21">
        <f>100*130974/385070</f>
        <v>34.013036590749735</v>
      </c>
      <c r="S21">
        <f>IF(COUNT(Q21:R21)=2,R21-Q21,"")</f>
        <v>-5.835834114381143</v>
      </c>
    </row>
    <row r="22" spans="1:19" x14ac:dyDescent="0.3">
      <c r="A22">
        <v>20</v>
      </c>
      <c r="B22">
        <v>19</v>
      </c>
      <c r="C22">
        <f>100*79870/385907</f>
        <v>20.69669635430298</v>
      </c>
      <c r="D22">
        <f>100*78199/438715</f>
        <v>17.824555805021483</v>
      </c>
      <c r="E22">
        <f>IF(COUNT(C22:D22)=2,D22-C22,"")</f>
        <v>-2.8721405492814966</v>
      </c>
      <c r="H22">
        <v>20</v>
      </c>
      <c r="I22">
        <v>19</v>
      </c>
      <c r="J22">
        <f>100*42161/340805</f>
        <v>12.371003946538343</v>
      </c>
      <c r="K22">
        <f>100*24014/386366</f>
        <v>6.215350211975174</v>
      </c>
      <c r="L22">
        <f>IF(COUNT(J22:K22)=2,K22-J22,"")</f>
        <v>-6.1556537345631686</v>
      </c>
      <c r="O22">
        <v>20</v>
      </c>
      <c r="P22">
        <v>19</v>
      </c>
      <c r="Q22">
        <f>100*139808/401311</f>
        <v>34.83781904806995</v>
      </c>
      <c r="R22">
        <f>100*8886/170472</f>
        <v>5.2125862311699285</v>
      </c>
      <c r="S22">
        <f>IF(COUNT(Q22:R22)=2,R22-Q22,"")</f>
        <v>-29.625232816900024</v>
      </c>
    </row>
    <row r="23" spans="1:19" x14ac:dyDescent="0.3">
      <c r="A23">
        <v>21</v>
      </c>
      <c r="B23">
        <v>20</v>
      </c>
      <c r="C23">
        <f>100*98878/370466</f>
        <v>26.690168598467874</v>
      </c>
      <c r="D23">
        <f>100*14289/69783</f>
        <v>20.476333777567604</v>
      </c>
      <c r="E23">
        <f>IF(COUNT(C23:D23)=2,D23-C23,"")</f>
        <v>-6.213834820900271</v>
      </c>
      <c r="H23">
        <v>21</v>
      </c>
      <c r="I23">
        <v>20</v>
      </c>
      <c r="J23">
        <f>100*222992/523032</f>
        <v>42.63448507930681</v>
      </c>
      <c r="K23">
        <f>100*50522/277778</f>
        <v>18.18790544967564</v>
      </c>
      <c r="L23">
        <f>IF(COUNT(J23:K23)=2,K23-J23,"")</f>
        <v>-24.446579629631174</v>
      </c>
      <c r="O23">
        <v>21</v>
      </c>
      <c r="P23">
        <v>20</v>
      </c>
      <c r="Q23">
        <f>100*43636/293480</f>
        <v>14.86847485348235</v>
      </c>
      <c r="R23">
        <f>100*48875/332134</f>
        <v>14.715446175338869</v>
      </c>
      <c r="S23">
        <f>IF(COUNT(Q23:R23)=2,R23-Q23,"")</f>
        <v>-0.15302867814348176</v>
      </c>
    </row>
    <row r="24" spans="1:19" x14ac:dyDescent="0.3">
      <c r="A24">
        <v>22</v>
      </c>
      <c r="B24">
        <v>21</v>
      </c>
      <c r="C24">
        <f>100*37074/97184</f>
        <v>38.14825485676655</v>
      </c>
      <c r="D24">
        <f>100*46411/155848</f>
        <v>29.77965710179149</v>
      </c>
      <c r="E24">
        <f>IF(COUNT(C24:D24)=2,D24-C24,"")</f>
        <v>-8.36859775497506</v>
      </c>
      <c r="H24">
        <v>22</v>
      </c>
      <c r="I24">
        <v>21</v>
      </c>
      <c r="J24">
        <f>100*54639/207484</f>
        <v>26.334078772339073</v>
      </c>
      <c r="K24">
        <f>100*99719/332971</f>
        <v>29.948253751828236</v>
      </c>
      <c r="L24">
        <f>IF(COUNT(J24:K24)=2,K24-J24,"")</f>
        <v>3.6141749794891638</v>
      </c>
      <c r="O24">
        <v>22</v>
      </c>
      <c r="P24">
        <v>21</v>
      </c>
      <c r="Q24">
        <f>100*45197/105457</f>
        <v>42.85822657576074</v>
      </c>
      <c r="R24">
        <f>100*73859/200976</f>
        <v>36.7501592229918</v>
      </c>
      <c r="S24">
        <f>IF(COUNT(Q24:R24)=2,R24-Q24,"")</f>
        <v>-6.108067352768941</v>
      </c>
    </row>
    <row r="25" spans="1:19" x14ac:dyDescent="0.3">
      <c r="A25">
        <v>23</v>
      </c>
      <c r="B25">
        <v>22</v>
      </c>
      <c r="C25">
        <f>100*194786/575758</f>
        <v>33.831227703305906</v>
      </c>
      <c r="D25">
        <f>100*79120/429880</f>
        <v>18.40513631711175</v>
      </c>
      <c r="E25">
        <f>IF(COUNT(C25:D25)=2,D25-C25,"")</f>
        <v>-15.426091386194155</v>
      </c>
      <c r="H25">
        <v>23</v>
      </c>
      <c r="I25">
        <v>22</v>
      </c>
      <c r="J25">
        <f>100*82449/499533</f>
        <v>16.505215871624095</v>
      </c>
      <c r="K25">
        <f>100*32983/470609</f>
        <v>7.008578246484874</v>
      </c>
      <c r="L25">
        <f>IF(COUNT(J25:K25)=2,K25-J25,"")</f>
        <v>-9.496637625139222</v>
      </c>
      <c r="O25">
        <v>23</v>
      </c>
      <c r="P25">
        <v>22</v>
      </c>
      <c r="Q25">
        <f>100*656/247400</f>
        <v>0.2651576394502829</v>
      </c>
      <c r="R25">
        <f>100*656/247400</f>
        <v>0.2651576394502829</v>
      </c>
      <c r="S25">
        <f>IF(COUNT(Q25:R25)=2,R25-Q25,"")</f>
        <v>0.0</v>
      </c>
    </row>
    <row r="26" spans="1:19" x14ac:dyDescent="0.3">
      <c r="A26">
        <v>24</v>
      </c>
      <c r="B26">
        <v>23</v>
      </c>
      <c r="C26">
        <f>100*137480/562231</f>
        <v>24.452582657306337</v>
      </c>
      <c r="D26">
        <f>100*49977/511635</f>
        <v>9.768096396845408</v>
      </c>
      <c r="E26">
        <f>IF(COUNT(C26:D26)=2,D26-C26,"")</f>
        <v>-14.684486260460929</v>
      </c>
      <c r="H26">
        <v>24</v>
      </c>
      <c r="I26">
        <v>23</v>
      </c>
      <c r="J26">
        <f>100*167481/558799</f>
        <v>29.971599806012538</v>
      </c>
      <c r="K26">
        <f>100*46724/503331</f>
        <v>9.282956940859991</v>
      </c>
      <c r="L26">
        <f>IF(COUNT(J26:K26)=2,K26-J26,"")</f>
        <v>-20.688642865152545</v>
      </c>
      <c r="O26">
        <v>24</v>
      </c>
      <c r="P26">
        <v>23</v>
      </c>
      <c r="Q26">
        <f>100*53061/340117</f>
        <v>15.600807957261766</v>
      </c>
      <c r="R26">
        <f>100*36853/512262</f>
        <v>7.194170170732945</v>
      </c>
      <c r="S26">
        <f>IF(COUNT(Q26:R26)=2,R26-Q26,"")</f>
        <v>-8.406637786528822</v>
      </c>
    </row>
    <row r="27" spans="1:19" x14ac:dyDescent="0.3">
      <c r="A27">
        <v>25</v>
      </c>
      <c r="B27">
        <v>24</v>
      </c>
      <c r="C27">
        <f>100*26771/508395</f>
        <v>5.265787429065982</v>
      </c>
      <c r="D27">
        <f>100*30300/349376</f>
        <v>8.672604872687305</v>
      </c>
      <c r="E27">
        <f>IF(COUNT(C27:D27)=2,D27-C27,"")</f>
        <v>3.406817443621323</v>
      </c>
      <c r="H27">
        <v>25</v>
      </c>
      <c r="I27">
        <v>24</v>
      </c>
      <c r="J27">
        <f>100*67075/346916</f>
        <v>19.334651615953142</v>
      </c>
      <c r="K27">
        <f>100*1739/127342</f>
        <v>1.3656138587425988</v>
      </c>
      <c r="L27">
        <f>IF(COUNT(J27:K27)=2,K27-J27,"")</f>
        <v>-17.969037757210543</v>
      </c>
      <c r="O27">
        <v>25</v>
      </c>
      <c r="P27">
        <v>24</v>
      </c>
      <c r="Q27">
        <f>100*158561/348258</f>
        <v>45.52975093178046</v>
      </c>
      <c r="R27">
        <f>100*128042/435091</f>
        <v>29.42878616197531</v>
      </c>
      <c r="S27">
        <f>IF(COUNT(Q27:R27)=2,R27-Q27,"")</f>
        <v>-16.100964769805152</v>
      </c>
    </row>
    <row r="28" spans="1:19" x14ac:dyDescent="0.3">
      <c r="A28">
        <v>26</v>
      </c>
      <c r="B28">
        <v>25</v>
      </c>
      <c r="C28">
        <f>100*122343/511784</f>
        <v>23.90520219467588</v>
      </c>
      <c r="D28">
        <f>100*116131/497012</f>
        <v>23.365834225330577</v>
      </c>
      <c r="E28">
        <f>IF(COUNT(C28:D28)=2,D28-C28,"")</f>
        <v>-0.5393679693453031</v>
      </c>
      <c r="H28">
        <v>26</v>
      </c>
      <c r="I28">
        <v>25</v>
      </c>
      <c r="J28">
        <f>100*177325/563486</f>
        <v>31.469282289178437</v>
      </c>
      <c r="K28">
        <f>100*89401/504689</f>
        <v>17.71407738230871</v>
      </c>
      <c r="L28">
        <f>IF(COUNT(J28:K28)=2,K28-J28,"")</f>
        <v>-13.755204906869729</v>
      </c>
      <c r="O28">
        <v>26</v>
      </c>
      <c r="P28">
        <v>25</v>
      </c>
      <c r="Q28">
        <f>100*156244/369843</f>
        <v>42.246034127994854</v>
      </c>
      <c r="R28">
        <f>100*158992/507458</f>
        <v>31.331065822196123</v>
      </c>
      <c r="S28">
        <f>IF(COUNT(Q28:R28)=2,R28-Q28,"")</f>
        <v>-10.91496830579873</v>
      </c>
    </row>
    <row r="29" spans="1:19" x14ac:dyDescent="0.3">
      <c r="A29">
        <v>27</v>
      </c>
      <c r="B29">
        <v>26</v>
      </c>
      <c r="C29">
        <f>100*273547/613111</f>
        <v>44.61622773037835</v>
      </c>
      <c r="D29">
        <f>100*93388/416788</f>
        <v>22.406595199477913</v>
      </c>
      <c r="E29">
        <f>IF(COUNT(C29:D29)=2,D29-C29,"")</f>
        <v>-22.209632530900436</v>
      </c>
      <c r="H29">
        <v>27</v>
      </c>
      <c r="I29">
        <v>26</v>
      </c>
      <c r="J29">
        <f>100*35297/437184</f>
        <v>8.073717244912897</v>
      </c>
      <c r="K29">
        <f>100*45214/538047</f>
        <v>8.403355097231282</v>
      </c>
      <c r="L29">
        <f>IF(COUNT(J29:K29)=2,K29-J29,"")</f>
        <v>0.3296378523183847</v>
      </c>
      <c r="O29">
        <v>27</v>
      </c>
      <c r="P29">
        <v>26</v>
      </c>
      <c r="Q29">
        <f>100*99207/334942</f>
        <v>29.619157943763398</v>
      </c>
      <c r="R29">
        <f>100*72371/290299</f>
        <v>24.929813743760743</v>
      </c>
      <c r="S29">
        <f>IF(COUNT(Q29:R29)=2,R29-Q29,"")</f>
        <v>-4.689344200002655</v>
      </c>
    </row>
    <row r="30" spans="1:19" x14ac:dyDescent="0.3">
      <c r="A30">
        <v>28</v>
      </c>
      <c r="B30">
        <v>27</v>
      </c>
      <c r="C30">
        <f>100*60367/261571</f>
        <v>23.078628747070585</v>
      </c>
      <c r="D30">
        <f>100*45179/243655</f>
        <v>18.542201062978393</v>
      </c>
      <c r="E30">
        <f>IF(COUNT(C30:D30)=2,D30-C30,"")</f>
        <v>-4.536427684092192</v>
      </c>
      <c r="H30">
        <v>28</v>
      </c>
      <c r="I30">
        <v>27</v>
      </c>
      <c r="J30">
        <f>100*111624/317500</f>
        <v>35.15716535433071</v>
      </c>
      <c r="K30">
        <f>100*73852/302927</f>
        <v>24.379470961650828</v>
      </c>
      <c r="L30">
        <f>IF(COUNT(J30:K30)=2,K30-J30,"")</f>
        <v>-10.77769439267988</v>
      </c>
      <c r="O30">
        <v>28</v>
      </c>
      <c r="P30">
        <v>27</v>
      </c>
      <c r="Q30">
        <f>100*258/245208</f>
        <v>0.10521679553685034</v>
      </c>
      <c r="R30">
        <f>100*258/245208</f>
        <v>0.10521679553685034</v>
      </c>
      <c r="S30">
        <f>IF(COUNT(Q30:R30)=2,R30-Q30,"")</f>
        <v>0.0</v>
      </c>
    </row>
    <row r="31" spans="1:19" x14ac:dyDescent="0.3">
      <c r="A31">
        <v>29</v>
      </c>
      <c r="B31">
        <v>28</v>
      </c>
      <c r="C31">
        <f>100*135778/291495</f>
        <v>46.57987272508962</v>
      </c>
      <c r="D31">
        <f>100*93014/395434</f>
        <v>23.52200367191491</v>
      </c>
      <c r="E31">
        <f>IF(COUNT(C31:D31)=2,D31-C31,"")</f>
        <v>-23.057869053174713</v>
      </c>
      <c r="H31">
        <v>29</v>
      </c>
      <c r="I31">
        <v>28</v>
      </c>
      <c r="J31">
        <f>100*143049/329070</f>
        <v>43.47069012672076</v>
      </c>
      <c r="K31">
        <f>100*98020/379021</f>
        <v>25.86136388221233</v>
      </c>
      <c r="L31">
        <f>IF(COUNT(J31:K31)=2,K31-J31,"")</f>
        <v>-17.60932624450843</v>
      </c>
      <c r="O31">
        <v>29</v>
      </c>
      <c r="P31">
        <v>28</v>
      </c>
      <c r="Q31">
        <f>100*106682/252496</f>
        <v>42.25096635194221</v>
      </c>
      <c r="R31">
        <f>100*124179/371696</f>
        <v>33.40875338986699</v>
      </c>
      <c r="S31">
        <f>IF(COUNT(Q31:R31)=2,R31-Q31,"")</f>
        <v>-8.842212962075223</v>
      </c>
    </row>
    <row r="32" spans="1:19" x14ac:dyDescent="0.3">
      <c r="A32">
        <v>30</v>
      </c>
      <c r="B32">
        <v>29</v>
      </c>
      <c r="C32">
        <f>100*67185/347874</f>
        <v>19.313027130512772</v>
      </c>
      <c r="D32">
        <f>100*74687/509445</f>
        <v>14.660463838098323</v>
      </c>
      <c r="E32">
        <f>IF(COUNT(C32:D32)=2,D32-C32,"")</f>
        <v>-4.652563292414449</v>
      </c>
      <c r="H32">
        <v>30</v>
      </c>
      <c r="I32">
        <v>29</v>
      </c>
      <c r="J32">
        <f>100*71699/295601</f>
        <v>24.25533066532251</v>
      </c>
      <c r="K32">
        <f>100*66526/345564</f>
        <v>19.251426653239342</v>
      </c>
      <c r="L32">
        <f>IF(COUNT(J32:K32)=2,K32-J32,"")</f>
        <v>-5.003904012083169</v>
      </c>
      <c r="O32">
        <v>30</v>
      </c>
      <c r="P32">
        <v>29</v>
      </c>
      <c r="Q32">
        <f>100*220230/481156</f>
        <v>45.771018131333705</v>
      </c>
      <c r="R32">
        <f>100*170553/608139</f>
        <v>28.045068643846225</v>
      </c>
      <c r="S32">
        <f>IF(COUNT(Q32:R32)=2,R32-Q32,"")</f>
        <v>-17.72594948748748</v>
      </c>
    </row>
    <row r="33" spans="1:19" x14ac:dyDescent="0.3">
      <c r="A33">
        <v>31</v>
      </c>
      <c r="B33">
        <v>30</v>
      </c>
      <c r="C33">
        <f>100*89281/348777</f>
        <v>25.59830493409829</v>
      </c>
      <c r="D33">
        <f>100*92418/467358</f>
        <v>19.774562540921522</v>
      </c>
      <c r="E33">
        <f>IF(COUNT(C33:D33)=2,D33-C33,"")</f>
        <v>-5.823742393176769</v>
      </c>
      <c r="H33">
        <v>31</v>
      </c>
      <c r="I33">
        <v>30</v>
      </c>
      <c r="J33">
        <f>100*58413/325415</f>
        <v>17.950309604658667</v>
      </c>
      <c r="K33">
        <f>100*105742/450533</f>
        <v>23.47042281031578</v>
      </c>
      <c r="L33">
        <f>IF(COUNT(J33:K33)=2,K33-J33,"")</f>
        <v>5.520113205657115</v>
      </c>
      <c r="O33">
        <v>31</v>
      </c>
      <c r="P33">
        <v>30</v>
      </c>
      <c r="Q33">
        <f>100*3974/273650</f>
        <v>1.4522199890370913</v>
      </c>
      <c r="R33">
        <f>100*5862/462400</f>
        <v>1.2677335640138407</v>
      </c>
      <c r="S33">
        <f>IF(COUNT(Q33:R33)=2,R33-Q33,"")</f>
        <v>-0.18448642502325052</v>
      </c>
    </row>
    <row r="34" spans="1:19" x14ac:dyDescent="0.3">
      <c r="A34" t="s">
        <v>5</v>
      </c>
      <c r="C34">
        <f>IF(COUNT(C3:C33)&gt;0,AVERAGE(C3:C33),"")</f>
        <v>24.86611924539666</v>
      </c>
      <c r="D34">
        <f>IF(COUNT(D3:D33)&gt;0,AVERAGE(D3:D33),"")</f>
        <v>15.163217781262285</v>
      </c>
      <c r="E34">
        <f>IF(COUNT(E3:E33)&gt;0,AVERAGE(E3:E33),"")</f>
        <v>-9.702901464134369</v>
      </c>
      <c r="H34" t="s">
        <v>5</v>
      </c>
      <c r="J34">
        <f>IF(COUNT(J3:J33)&gt;0,AVERAGE(J3:J33),"")</f>
        <v>22.873960622545518</v>
      </c>
      <c r="K34">
        <f>IF(COUNT(K3:K33)&gt;0,AVERAGE(K3:K33),"")</f>
        <v>15.270816444654224</v>
      </c>
      <c r="L34">
        <f>IF(COUNT(L3:L33)&gt;0,AVERAGE(L3:L33),"")</f>
        <v>-7.603144177891294</v>
      </c>
      <c r="O34" t="s">
        <v>5</v>
      </c>
      <c r="Q34">
        <f>IF(COUNT(Q3:Q33)&gt;0,AVERAGE(Q3:Q33),"")</f>
        <v>30.285258327658585</v>
      </c>
      <c r="R34">
        <f>IF(COUNT(R3:R33)&gt;0,AVERAGE(R3:R33),"")</f>
        <v>19.16355407740071</v>
      </c>
      <c r="S34">
        <f>IF(COUNT(S3:S33)&gt;0,AVERAGE(S3:S33),"")</f>
        <v>-11.121704250257876</v>
      </c>
    </row>
    <row r="37" spans="1:19" s="2" customFormat="1" x14ac:dyDescent="0.3">
      <c r="A37" s="1" t="s">
        <v>9</v>
      </c>
      <c r="B37" s="1"/>
      <c r="C37" s="1"/>
      <c r="D37" s="1"/>
      <c r="E37" s="1"/>
      <c r="H37" s="1" t="s">
        <v>10</v>
      </c>
      <c r="I37" s="1"/>
      <c r="J37" s="1"/>
      <c r="K37" s="1"/>
      <c r="L37" s="1"/>
      <c r="O37" s="1" t="s">
        <v>11</v>
      </c>
      <c r="P37" s="1"/>
      <c r="Q37" s="1"/>
      <c r="R37" s="1"/>
      <c r="S37" s="1"/>
    </row>
    <row r="38" spans="1:19" x14ac:dyDescent="0.3">
      <c r="A38" t="s">
        <v>0</v>
      </c>
      <c r="B38" t="s">
        <v>1</v>
      </c>
      <c r="C38" t="s">
        <v>2</v>
      </c>
      <c r="D38" t="s">
        <v>3</v>
      </c>
      <c r="E38" t="s">
        <v>4</v>
      </c>
      <c r="H38" t="s">
        <v>0</v>
      </c>
      <c r="I38" t="s">
        <v>1</v>
      </c>
      <c r="J38" t="s">
        <v>2</v>
      </c>
      <c r="K38" t="s">
        <v>3</v>
      </c>
      <c r="L38" t="s">
        <v>4</v>
      </c>
      <c r="O38" t="s">
        <v>0</v>
      </c>
      <c r="P38" t="s">
        <v>1</v>
      </c>
      <c r="Q38" t="s">
        <v>2</v>
      </c>
      <c r="R38" t="s">
        <v>3</v>
      </c>
      <c r="S38" t="s">
        <v>4</v>
      </c>
    </row>
    <row r="39" spans="1:19" x14ac:dyDescent="0.3">
      <c r="A39">
        <v>1</v>
      </c>
      <c r="B39">
        <v>0</v>
      </c>
      <c r="C39">
        <f>100*80163/523211</f>
        <v>15.321352188696338</v>
      </c>
      <c r="D39">
        <f>100*59373/459114</f>
        <v>12.932082227943386</v>
      </c>
      <c r="E39">
        <f>IF(COUNT(C39:D39)=2,D39-C39,"")</f>
        <v>-2.3892699607529515</v>
      </c>
      <c r="H39">
        <v>1</v>
      </c>
      <c r="I39">
        <v>0</v>
      </c>
      <c r="J39">
        <f>100*211130/713250</f>
        <v>29.601121626358218</v>
      </c>
      <c r="K39">
        <f>100*36092/648777</f>
        <v>5.563082538376052</v>
      </c>
      <c r="L39">
        <f>IF(COUNT(J39:K39)=2,K39-J39,"")</f>
        <v>-24.038039087982167</v>
      </c>
      <c r="O39">
        <v>1</v>
      </c>
      <c r="P39">
        <v>0</v>
      </c>
      <c r="Q39">
        <f>100*33559/419154</f>
        <v>8.00636520228842</v>
      </c>
      <c r="R39">
        <f>100*24519/439471</f>
        <v>5.579207729292718</v>
      </c>
      <c r="S39">
        <f>IF(COUNT(Q39:R39)=2,R39-Q39,"")</f>
        <v>-2.4271574729957015</v>
      </c>
    </row>
    <row r="40" spans="1:19" x14ac:dyDescent="0.3">
      <c r="A40">
        <v>2</v>
      </c>
      <c r="B40">
        <v>1</v>
      </c>
      <c r="C40">
        <f>100*204846/421884</f>
        <v>48.555053047757205</v>
      </c>
      <c r="D40">
        <f>100*105187/413898</f>
        <v>25.413749281223875</v>
      </c>
      <c r="E40">
        <f>IF(COUNT(C40:D40)=2,D40-C40,"")</f>
        <v>-23.14130376653333</v>
      </c>
      <c r="H40">
        <v>2</v>
      </c>
      <c r="I40">
        <v>1</v>
      </c>
      <c r="J40">
        <f>100*221110/594344</f>
        <v>37.20236092229416</v>
      </c>
      <c r="K40">
        <f>100*162251/649001</f>
        <v>25.000115562225638</v>
      </c>
      <c r="L40">
        <f>IF(COUNT(J40:K40)=2,K40-J40,"")</f>
        <v>-12.202245360068524</v>
      </c>
      <c r="O40">
        <v>2</v>
      </c>
      <c r="P40">
        <v>1</v>
      </c>
      <c r="Q40">
        <f>100*83755/209991</f>
        <v>39.88504269230586</v>
      </c>
      <c r="R40">
        <f>100*88282/229311</f>
        <v>38.498807296640805</v>
      </c>
      <c r="S40">
        <f>IF(COUNT(Q40:R40)=2,R40-Q40,"")</f>
        <v>-1.3862353956650537</v>
      </c>
    </row>
    <row r="41" spans="1:19" x14ac:dyDescent="0.3">
      <c r="A41">
        <v>3</v>
      </c>
      <c r="B41">
        <v>2</v>
      </c>
      <c r="C41">
        <f>100*303277/735676</f>
        <v>41.22426176740848</v>
      </c>
      <c r="D41">
        <f>100*223988/814978</f>
        <v>27.4839320816022</v>
      </c>
      <c r="E41">
        <f>IF(COUNT(C41:D41)=2,D41-C41,"")</f>
        <v>-13.740329685806277</v>
      </c>
      <c r="H41">
        <v>3</v>
      </c>
      <c r="I41">
        <v>2</v>
      </c>
      <c r="J41">
        <f>100*328651/1001588</f>
        <v>32.812992967168135</v>
      </c>
      <c r="K41">
        <f>100*42327/864453</f>
        <v>4.8963911282626125</v>
      </c>
      <c r="L41">
        <f>IF(COUNT(J41:K41)=2,K41-J41,"")</f>
        <v>-27.91660183890552</v>
      </c>
      <c r="O41">
        <v>3</v>
      </c>
      <c r="P41">
        <v>2</v>
      </c>
      <c r="Q41">
        <f>100*165549/320834</f>
        <v>51.59958109177955</v>
      </c>
      <c r="R41">
        <f>100*69224/410873</f>
        <v>16.848028466217055</v>
      </c>
      <c r="S41">
        <f>IF(COUNT(Q41:R41)=2,R41-Q41,"")</f>
        <v>-34.751552625562496</v>
      </c>
    </row>
    <row r="42" spans="1:19" x14ac:dyDescent="0.3">
      <c r="A42">
        <v>4</v>
      </c>
      <c r="B42">
        <v>3</v>
      </c>
      <c r="C42">
        <f>100*38069/646087</f>
        <v>5.8922405186917555</v>
      </c>
      <c r="D42">
        <f>100*6425/460738</f>
        <v>1.394501864400158</v>
      </c>
      <c r="E42">
        <f>IF(COUNT(C42:D42)=2,D42-C42,"")</f>
        <v>-4.497738654291597</v>
      </c>
      <c r="H42">
        <v>4</v>
      </c>
      <c r="I42">
        <v>3</v>
      </c>
      <c r="J42">
        <f>100*38325/584626</f>
        <v>6.555473071673172</v>
      </c>
      <c r="K42">
        <f>100*19842/684750</f>
        <v>2.897699890470975</v>
      </c>
      <c r="L42">
        <f>IF(COUNT(J42:K42)=2,K42-J42,"")</f>
        <v>-3.6577731812021974</v>
      </c>
      <c r="O42">
        <v>4</v>
      </c>
      <c r="P42">
        <v>3</v>
      </c>
      <c r="Q42">
        <f>100*265499/612068</f>
        <v>43.37736983472425</v>
      </c>
      <c r="R42">
        <f>100*203549/593423</f>
        <v>34.30082757156362</v>
      </c>
      <c r="S42">
        <f>IF(COUNT(Q42:R42)=2,R42-Q42,"")</f>
        <v>-9.076542263160626</v>
      </c>
    </row>
    <row r="43" spans="1:19" x14ac:dyDescent="0.3">
      <c r="A43">
        <v>5</v>
      </c>
      <c r="B43">
        <v>4</v>
      </c>
      <c r="C43">
        <f>100*148157/358074</f>
        <v>41.376084273083215</v>
      </c>
      <c r="D43">
        <f>100*169448/598677</f>
        <v>28.303743086839816</v>
      </c>
      <c r="E43">
        <f>IF(COUNT(C43:D43)=2,D43-C43,"")</f>
        <v>-13.0723411862434</v>
      </c>
      <c r="H43">
        <v>5</v>
      </c>
      <c r="I43">
        <v>4</v>
      </c>
      <c r="J43">
        <f>100*86329/200432</f>
        <v>43.071465634230066</v>
      </c>
      <c r="K43">
        <f>100*113057/493357</f>
        <v>22.91586011752139</v>
      </c>
      <c r="L43">
        <f>IF(COUNT(J43:K43)=2,K43-J43,"")</f>
        <v>-20.155605516708675</v>
      </c>
      <c r="O43">
        <v>5</v>
      </c>
      <c r="P43">
        <v>4</v>
      </c>
      <c r="Q43">
        <f>100*80681/472324</f>
        <v>17.08170662511327</v>
      </c>
      <c r="R43">
        <f>100*6526/469694</f>
        <v>1.3894152363027843</v>
      </c>
      <c r="S43">
        <f>IF(COUNT(Q43:R43)=2,R43-Q43,"")</f>
        <v>-15.692291388810485</v>
      </c>
    </row>
    <row r="44" spans="1:19" x14ac:dyDescent="0.3">
      <c r="A44">
        <v>6</v>
      </c>
      <c r="B44">
        <v>5</v>
      </c>
      <c r="C44">
        <f>100*52664/652890</f>
        <v>8.066289880378012</v>
      </c>
      <c r="D44">
        <f>100*30361/638788</f>
        <v>4.75290706775957</v>
      </c>
      <c r="E44">
        <f>IF(COUNT(C44:D44)=2,D44-C44,"")</f>
        <v>-3.3133828126184417</v>
      </c>
      <c r="H44">
        <v>6</v>
      </c>
      <c r="I44">
        <v>5</v>
      </c>
      <c r="J44">
        <f>100*143171/458928</f>
        <v>31.19683261862427</v>
      </c>
      <c r="K44">
        <f>100*159840/636119</f>
        <v>25.12737396619186</v>
      </c>
      <c r="L44">
        <f>IF(COUNT(J44:K44)=2,K44-J44,"")</f>
        <v>-6.0694586524324095</v>
      </c>
      <c r="O44">
        <v>6</v>
      </c>
      <c r="P44">
        <v>5</v>
      </c>
      <c r="Q44">
        <f>100*332039/690960</f>
        <v>48.05473544054649</v>
      </c>
      <c r="R44">
        <f>100*49230/544639</f>
        <v>9.039014833678822</v>
      </c>
      <c r="S44">
        <f>IF(COUNT(Q44:R44)=2,R44-Q44,"")</f>
        <v>-39.01572060686767</v>
      </c>
    </row>
    <row r="45" spans="1:19" x14ac:dyDescent="0.3">
      <c r="A45">
        <v>7</v>
      </c>
      <c r="B45">
        <v>6</v>
      </c>
      <c r="C45">
        <f>100*13388/639485</f>
        <v>2.093559661289944</v>
      </c>
      <c r="D45">
        <f>100*48486/573316</f>
        <v>8.457116145371836</v>
      </c>
      <c r="E45">
        <f>IF(COUNT(C45:D45)=2,D45-C45,"")</f>
        <v>6.363556484081892</v>
      </c>
      <c r="H45">
        <v>7</v>
      </c>
      <c r="I45">
        <v>6</v>
      </c>
      <c r="J45">
        <f>100*1474/516628</f>
        <v>0.28531167493825343</v>
      </c>
      <c r="K45">
        <f>100*1474/516628</f>
        <v>0.28531167493825343</v>
      </c>
      <c r="L45">
        <f>IF(COUNT(J45:K45)=2,K45-J45,"")</f>
        <v>0.0</v>
      </c>
      <c r="O45">
        <v>7</v>
      </c>
      <c r="P45">
        <v>6</v>
      </c>
      <c r="Q45">
        <f>100*255047/462709</f>
        <v>55.12038884050234</v>
      </c>
      <c r="R45">
        <f>100*164721/586288</f>
        <v>28.095577600087328</v>
      </c>
      <c r="S45">
        <f>IF(COUNT(Q45:R45)=2,R45-Q45,"")</f>
        <v>-27.024811240415016</v>
      </c>
    </row>
    <row r="46" spans="1:19" x14ac:dyDescent="0.3">
      <c r="A46">
        <v>8</v>
      </c>
      <c r="B46">
        <v>7</v>
      </c>
      <c r="C46">
        <f>100*9937/448273</f>
        <v>2.216729537580894</v>
      </c>
      <c r="D46">
        <f>100*6551/445474</f>
        <v>1.4705684282359914</v>
      </c>
      <c r="E46">
        <f>IF(COUNT(C46:D46)=2,D46-C46,"")</f>
        <v>-0.7461611093449025</v>
      </c>
      <c r="H46">
        <v>8</v>
      </c>
      <c r="I46">
        <v>7</v>
      </c>
      <c r="J46">
        <f>100*2387/421854</f>
        <v>0.5658355734448411</v>
      </c>
      <c r="K46">
        <f>100*2387/421854</f>
        <v>0.5658355734448411</v>
      </c>
      <c r="L46">
        <f>IF(COUNT(J46:K46)=2,K46-J46,"")</f>
        <v>0.0</v>
      </c>
      <c r="O46">
        <v>8</v>
      </c>
      <c r="P46">
        <v>7</v>
      </c>
      <c r="Q46">
        <f>100*174551/400003</f>
        <v>43.63742271932961</v>
      </c>
      <c r="R46">
        <f>100*139026/463782</f>
        <v>29.97658382602171</v>
      </c>
      <c r="S46">
        <f>IF(COUNT(Q46:R46)=2,R46-Q46,"")</f>
        <v>-13.660838893307897</v>
      </c>
    </row>
    <row r="47" spans="1:19" x14ac:dyDescent="0.3">
      <c r="A47">
        <v>9</v>
      </c>
      <c r="B47">
        <v>8</v>
      </c>
      <c r="C47">
        <f>100*196686/341160</f>
        <v>57.65212803376715</v>
      </c>
      <c r="D47">
        <f>100*185336/554878</f>
        <v>33.401216123183836</v>
      </c>
      <c r="E47">
        <f>IF(COUNT(C47:D47)=2,D47-C47,"")</f>
        <v>-24.250911910583312</v>
      </c>
      <c r="H47">
        <v>9</v>
      </c>
      <c r="I47">
        <v>8</v>
      </c>
      <c r="J47">
        <f>100*195875/433696</f>
        <v>45.16412417914853</v>
      </c>
      <c r="K47">
        <f>100*178141/577637</f>
        <v>30.83961034352024</v>
      </c>
      <c r="L47">
        <f>IF(COUNT(J47:K47)=2,K47-J47,"")</f>
        <v>-14.324513835628292</v>
      </c>
      <c r="O47">
        <v>9</v>
      </c>
      <c r="P47">
        <v>8</v>
      </c>
      <c r="Q47">
        <f>100*68616/113213</f>
        <v>60.60788072041197</v>
      </c>
      <c r="R47">
        <f>100*103428/290986</f>
        <v>35.54397806080018</v>
      </c>
      <c r="S47">
        <f>IF(COUNT(Q47:R47)=2,R47-Q47,"")</f>
        <v>-25.06390265961179</v>
      </c>
    </row>
    <row r="48" spans="1:19" x14ac:dyDescent="0.3">
      <c r="A48">
        <v>10</v>
      </c>
      <c r="B48">
        <v>9</v>
      </c>
      <c r="C48">
        <f>100*122007/555605</f>
        <v>21.95930562179966</v>
      </c>
      <c r="D48">
        <f>100*81091/633197</f>
        <v>12.806598894183011</v>
      </c>
      <c r="E48">
        <f>IF(COUNT(C48:D48)=2,D48-C48,"")</f>
        <v>-9.15270672761665</v>
      </c>
      <c r="H48">
        <v>10</v>
      </c>
      <c r="I48">
        <v>9</v>
      </c>
      <c r="J48">
        <f>100*319115/716304</f>
        <v>44.550218901472</v>
      </c>
      <c r="K48">
        <f>100*139838/799840</f>
        <v>17.483246649329867</v>
      </c>
      <c r="L48">
        <f>IF(COUNT(J48:K48)=2,K48-J48,"")</f>
        <v>-27.066972252142133</v>
      </c>
      <c r="O48">
        <v>10</v>
      </c>
      <c r="P48">
        <v>9</v>
      </c>
      <c r="Q48">
        <f>100*144975/663380</f>
        <v>21.85399017154572</v>
      </c>
      <c r="R48">
        <f>100*8177/473639</f>
        <v>1.7264203327850958</v>
      </c>
      <c r="S48">
        <f>IF(COUNT(Q48:R48)=2,R48-Q48,"")</f>
        <v>-20.127569838760625</v>
      </c>
    </row>
    <row r="49" spans="1:19" x14ac:dyDescent="0.3">
      <c r="A49">
        <v>11</v>
      </c>
      <c r="B49">
        <v>10</v>
      </c>
      <c r="C49">
        <f>100*381322/854451</f>
        <v>44.627720021393856</v>
      </c>
      <c r="D49">
        <f>100*74165/890800</f>
        <v>8.325662325999103</v>
      </c>
      <c r="E49">
        <f>IF(COUNT(C49:D49)=2,D49-C49,"")</f>
        <v>-36.30205769539475</v>
      </c>
      <c r="H49">
        <v>11</v>
      </c>
      <c r="I49">
        <v>10</v>
      </c>
      <c r="J49">
        <f>100*298304/894387</f>
        <v>33.352899807354085</v>
      </c>
      <c r="K49">
        <f>100*11349/724264</f>
        <v>1.5669700551180232</v>
      </c>
      <c r="L49">
        <f>IF(COUNT(J49:K49)=2,K49-J49,"")</f>
        <v>-31.78592975223606</v>
      </c>
      <c r="O49">
        <v>11</v>
      </c>
      <c r="P49">
        <v>10</v>
      </c>
      <c r="Q49">
        <f>100*252271/540552</f>
        <v>46.66914561411298</v>
      </c>
      <c r="R49">
        <f>100*177449/684778</f>
        <v>25.913361702624794</v>
      </c>
      <c r="S49">
        <f>IF(COUNT(Q49:R49)=2,R49-Q49,"")</f>
        <v>-20.755783911488184</v>
      </c>
    </row>
    <row r="50" spans="1:19" x14ac:dyDescent="0.3">
      <c r="A50">
        <v>12</v>
      </c>
      <c r="B50">
        <v>11</v>
      </c>
      <c r="C50">
        <f>100*390280/917983</f>
        <v>42.51494853390531</v>
      </c>
      <c r="D50">
        <f>100*53108/868599</f>
        <v>6.114213808673507</v>
      </c>
      <c r="E50">
        <f>IF(COUNT(C50:D50)=2,D50-C50,"")</f>
        <v>-36.40073472523181</v>
      </c>
      <c r="H50">
        <v>12</v>
      </c>
      <c r="I50">
        <v>11</v>
      </c>
      <c r="K50">
        <f>100*60606/846402</f>
        <v>7.160427314680258</v>
      </c>
      <c r="L50" t="str">
        <f>IF(COUNT(J50:K50)=2,K50-J50,"")</f>
        <v/>
      </c>
      <c r="O50">
        <v>12</v>
      </c>
      <c r="P50">
        <v>11</v>
      </c>
      <c r="Q50">
        <f>100*152311/319498</f>
        <v>47.67197290749864</v>
      </c>
      <c r="R50">
        <f>100*127955/371756</f>
        <v>34.41908133291729</v>
      </c>
      <c r="S50">
        <f>IF(COUNT(Q50:R50)=2,R50-Q50,"")</f>
        <v>-13.252891574581355</v>
      </c>
    </row>
    <row r="51" spans="1:19" x14ac:dyDescent="0.3">
      <c r="A51">
        <v>13</v>
      </c>
      <c r="B51">
        <v>12</v>
      </c>
      <c r="C51">
        <f>100*11194/520395</f>
        <v>2.1510583306911095</v>
      </c>
      <c r="D51">
        <f>100*19519/799431</f>
        <v>2.441611596247831</v>
      </c>
      <c r="E51">
        <f>IF(COUNT(C51:D51)=2,D51-C51,"")</f>
        <v>0.29055326555672156</v>
      </c>
      <c r="H51">
        <v>13</v>
      </c>
      <c r="I51">
        <v>12</v>
      </c>
      <c r="J51">
        <f>100*63849/654587</f>
        <v>9.75408921961481</v>
      </c>
      <c r="K51">
        <f>100*47410/638281</f>
        <v>7.427763007202157</v>
      </c>
      <c r="L51">
        <f>IF(COUNT(J51:K51)=2,K51-J51,"")</f>
        <v>-2.3263262124126536</v>
      </c>
      <c r="O51">
        <v>13</v>
      </c>
      <c r="P51">
        <v>12</v>
      </c>
      <c r="Q51">
        <f>100*326273/687294</f>
        <v>47.47211528108786</v>
      </c>
      <c r="R51">
        <f>100*97750/657008</f>
        <v>14.87805323527263</v>
      </c>
      <c r="S51">
        <f>IF(COUNT(Q51:R51)=2,R51-Q51,"")</f>
        <v>-32.59406204581523</v>
      </c>
    </row>
    <row r="52" spans="1:19" x14ac:dyDescent="0.3">
      <c r="A52">
        <v>14</v>
      </c>
      <c r="B52">
        <v>13</v>
      </c>
      <c r="C52">
        <f>100*47836/384501</f>
        <v>12.441059971235445</v>
      </c>
      <c r="D52">
        <f>100*34373/407313</f>
        <v>8.43896462916725</v>
      </c>
      <c r="E52">
        <f>IF(COUNT(C52:D52)=2,D52-C52,"")</f>
        <v>-4.002095342068195</v>
      </c>
      <c r="H52">
        <v>14</v>
      </c>
      <c r="I52">
        <v>13</v>
      </c>
      <c r="J52">
        <f>100*46518/257005</f>
        <v>18.100036964261395</v>
      </c>
      <c r="K52">
        <f>100*52727/324852</f>
        <v>16.231083693497347</v>
      </c>
      <c r="L52">
        <f>IF(COUNT(J52:K52)=2,K52-J52,"")</f>
        <v>-1.8689532707640488</v>
      </c>
      <c r="O52">
        <v>14</v>
      </c>
      <c r="P52">
        <v>13</v>
      </c>
      <c r="Q52">
        <f>100*2347/627958</f>
        <v>0.37375111074307515</v>
      </c>
      <c r="R52">
        <f>100*2347/627958</f>
        <v>0.37375111074307515</v>
      </c>
      <c r="S52">
        <f>IF(COUNT(Q52:R52)=2,R52-Q52,"")</f>
        <v>0.0</v>
      </c>
    </row>
    <row r="53" spans="1:19" x14ac:dyDescent="0.3">
      <c r="A53">
        <v>15</v>
      </c>
      <c r="B53">
        <v>14</v>
      </c>
      <c r="C53">
        <f>100*248778/461319</f>
        <v>53.92754254648085</v>
      </c>
      <c r="D53">
        <f>100*132906/601444</f>
        <v>22.097817918210175</v>
      </c>
      <c r="E53">
        <f>IF(COUNT(C53:D53)=2,D53-C53,"")</f>
        <v>-31.829724628270675</v>
      </c>
      <c r="H53">
        <v>15</v>
      </c>
      <c r="I53">
        <v>14</v>
      </c>
      <c r="J53">
        <f>100*175137/618371</f>
        <v>28.322317831851752</v>
      </c>
      <c r="K53">
        <f>100*178649/825282</f>
        <v>21.64702489573261</v>
      </c>
      <c r="L53">
        <f>IF(COUNT(J53:K53)=2,K53-J53,"")</f>
        <v>-6.675292936119142</v>
      </c>
      <c r="O53">
        <v>15</v>
      </c>
      <c r="P53">
        <v>14</v>
      </c>
      <c r="Q53">
        <f>100*146769/359086</f>
        <v>40.872938516121486</v>
      </c>
      <c r="R53">
        <f>100*174826/467093</f>
        <v>37.428520658626866</v>
      </c>
      <c r="S53">
        <f>IF(COUNT(Q53:R53)=2,R53-Q53,"")</f>
        <v>-3.4444178574946207</v>
      </c>
    </row>
    <row r="54" spans="1:19" x14ac:dyDescent="0.3">
      <c r="A54">
        <v>16</v>
      </c>
      <c r="B54">
        <v>15</v>
      </c>
      <c r="C54">
        <f>100*326435/634375</f>
        <v>51.45773399014778</v>
      </c>
      <c r="D54">
        <f>100*56678/699304</f>
        <v>8.104915744797685</v>
      </c>
      <c r="E54">
        <f>IF(COUNT(C54:D54)=2,D54-C54,"")</f>
        <v>-43.35281824535009</v>
      </c>
      <c r="H54">
        <v>16</v>
      </c>
      <c r="I54">
        <v>15</v>
      </c>
      <c r="J54">
        <f>100*262686/530062</f>
        <v>49.55759892239021</v>
      </c>
      <c r="K54">
        <f>100*83201/569979</f>
        <v>14.597204458409871</v>
      </c>
      <c r="L54">
        <f>IF(COUNT(J54:K54)=2,K54-J54,"")</f>
        <v>-34.96039446398034</v>
      </c>
      <c r="O54">
        <v>16</v>
      </c>
      <c r="P54">
        <v>15</v>
      </c>
      <c r="Q54">
        <f>100*161630/350468</f>
        <v>46.11833320017805</v>
      </c>
      <c r="R54">
        <f>100*222913/584406</f>
        <v>38.143516664784414</v>
      </c>
      <c r="S54">
        <f>IF(COUNT(Q54:R54)=2,R54-Q54,"")</f>
        <v>-7.974816535393636</v>
      </c>
    </row>
    <row r="55" spans="1:19" x14ac:dyDescent="0.3">
      <c r="A55">
        <v>17</v>
      </c>
      <c r="B55">
        <v>16</v>
      </c>
      <c r="C55">
        <f>100*180820/593692</f>
        <v>30.45686989213262</v>
      </c>
      <c r="D55">
        <f>100*100503/568304</f>
        <v>17.684725076719502</v>
      </c>
      <c r="E55">
        <f>IF(COUNT(C55:D55)=2,D55-C55,"")</f>
        <v>-12.772144815413117</v>
      </c>
      <c r="H55">
        <v>17</v>
      </c>
      <c r="I55">
        <v>16</v>
      </c>
      <c r="J55">
        <f>100*201035/472489</f>
        <v>42.5480804844134</v>
      </c>
      <c r="K55">
        <f>100*128267/669615</f>
        <v>19.155335528624658</v>
      </c>
      <c r="L55">
        <f>IF(COUNT(J55:K55)=2,K55-J55,"")</f>
        <v>-23.39274495578874</v>
      </c>
      <c r="O55">
        <v>17</v>
      </c>
      <c r="P55">
        <v>16</v>
      </c>
      <c r="Q55">
        <f>100*10845/444486</f>
        <v>2.4398968696426886</v>
      </c>
      <c r="R55">
        <f>100*6361/421488</f>
        <v>1.5091770109706564</v>
      </c>
      <c r="S55">
        <f>IF(COUNT(Q55:R55)=2,R55-Q55,"")</f>
        <v>-0.9307198586720322</v>
      </c>
    </row>
    <row r="56" spans="1:19" x14ac:dyDescent="0.3">
      <c r="A56">
        <v>18</v>
      </c>
      <c r="B56">
        <v>17</v>
      </c>
      <c r="C56">
        <f>100*349274/706163</f>
        <v>49.460818536230306</v>
      </c>
      <c r="D56">
        <f>100*82565/656558</f>
        <v>12.575431264259974</v>
      </c>
      <c r="E56">
        <f>IF(COUNT(C56:D56)=2,D56-C56,"")</f>
        <v>-36.88538727197033</v>
      </c>
      <c r="H56">
        <v>18</v>
      </c>
      <c r="I56">
        <v>17</v>
      </c>
      <c r="K56">
        <f>100*140147/884594</f>
        <v>15.843087337241718</v>
      </c>
      <c r="L56" t="str">
        <f>IF(COUNT(J56:K56)=2,K56-J56,"")</f>
        <v/>
      </c>
      <c r="O56">
        <v>18</v>
      </c>
      <c r="P56">
        <v>17</v>
      </c>
      <c r="Q56">
        <f>100*35789/365071</f>
        <v>9.803298536449073</v>
      </c>
      <c r="R56">
        <f>100*12001/429270</f>
        <v>2.7956763808325764</v>
      </c>
      <c r="S56">
        <f>IF(COUNT(Q56:R56)=2,R56-Q56,"")</f>
        <v>-7.007622155616497</v>
      </c>
    </row>
    <row r="57" spans="1:19" x14ac:dyDescent="0.3">
      <c r="A57">
        <v>19</v>
      </c>
      <c r="B57">
        <v>18</v>
      </c>
      <c r="C57">
        <f>100*270086/697559</f>
        <v>38.71873203556975</v>
      </c>
      <c r="D57">
        <f>100*41309/534436</f>
        <v>7.729456847966828</v>
      </c>
      <c r="E57">
        <f>IF(COUNT(C57:D57)=2,D57-C57,"")</f>
        <v>-30.98927518760292</v>
      </c>
      <c r="H57">
        <v>19</v>
      </c>
      <c r="I57">
        <v>18</v>
      </c>
      <c r="J57">
        <f>100*171180/560014</f>
        <v>30.567092965533003</v>
      </c>
      <c r="K57">
        <f>100*122810/795027</f>
        <v>15.447274117734366</v>
      </c>
      <c r="L57">
        <f>IF(COUNT(J57:K57)=2,K57-J57,"")</f>
        <v>-15.119818847798637</v>
      </c>
      <c r="O57">
        <v>19</v>
      </c>
      <c r="P57">
        <v>18</v>
      </c>
      <c r="Q57">
        <f>100*169030/384674</f>
        <v>43.94110337584552</v>
      </c>
      <c r="R57">
        <f>100*54161/191607</f>
        <v>28.266712594007526</v>
      </c>
      <c r="S57">
        <f>IF(COUNT(Q57:R57)=2,R57-Q57,"")</f>
        <v>-15.674390781837996</v>
      </c>
    </row>
    <row r="58" spans="1:19" x14ac:dyDescent="0.3">
      <c r="A58">
        <v>20</v>
      </c>
      <c r="B58">
        <v>19</v>
      </c>
      <c r="C58">
        <f>100*219519/529900</f>
        <v>41.42649556520098</v>
      </c>
      <c r="D58">
        <f>100*43483/589537</f>
        <v>7.375788118472632</v>
      </c>
      <c r="E58">
        <f>IF(COUNT(C58:D58)=2,D58-C58,"")</f>
        <v>-34.050707446728346</v>
      </c>
      <c r="H58">
        <v>20</v>
      </c>
      <c r="I58">
        <v>19</v>
      </c>
      <c r="J58">
        <f>100*284748/588066</f>
        <v>48.42109559131118</v>
      </c>
      <c r="K58">
        <f>100*109013/555494</f>
        <v>19.6245143961951</v>
      </c>
      <c r="L58">
        <f>IF(COUNT(J58:K58)=2,K58-J58,"")</f>
        <v>-28.79658119511608</v>
      </c>
      <c r="O58">
        <v>20</v>
      </c>
      <c r="P58">
        <v>19</v>
      </c>
      <c r="Q58">
        <f>100*276241/622059</f>
        <v>44.40752404514684</v>
      </c>
      <c r="R58">
        <f>100*151414/670157</f>
        <v>22.593810107183838</v>
      </c>
      <c r="S58">
        <f>IF(COUNT(Q58:R58)=2,R58-Q58,"")</f>
        <v>-21.813713937963005</v>
      </c>
    </row>
    <row r="59" spans="1:19" x14ac:dyDescent="0.3">
      <c r="A59">
        <v>21</v>
      </c>
      <c r="B59">
        <v>20</v>
      </c>
      <c r="C59">
        <f>100*270029/574676</f>
        <v>46.98804195755521</v>
      </c>
      <c r="D59">
        <f>100*8294/29161</f>
        <v>28.44209732176537</v>
      </c>
      <c r="E59">
        <f>IF(COUNT(C59:D59)=2,D59-C59,"")</f>
        <v>-18.54594463578984</v>
      </c>
      <c r="H59">
        <v>21</v>
      </c>
      <c r="I59">
        <v>20</v>
      </c>
      <c r="J59">
        <f>100*380768/887907</f>
        <v>42.88377048497196</v>
      </c>
      <c r="K59">
        <f>100*98837/791647</f>
        <v>12.484983837493226</v>
      </c>
      <c r="L59">
        <f>IF(COUNT(J59:K59)=2,K59-J59,"")</f>
        <v>-30.398786647478737</v>
      </c>
      <c r="O59">
        <v>21</v>
      </c>
      <c r="P59">
        <v>20</v>
      </c>
      <c r="Q59">
        <f>100*102616/414261</f>
        <v>24.7708570200912</v>
      </c>
      <c r="R59">
        <f>100*158616/524176</f>
        <v>30.260065321571382</v>
      </c>
      <c r="S59">
        <f>IF(COUNT(Q59:R59)=2,R59-Q59,"")</f>
        <v>5.489208301480183</v>
      </c>
    </row>
    <row r="60" spans="1:19" x14ac:dyDescent="0.3">
      <c r="A60">
        <v>22</v>
      </c>
      <c r="B60">
        <v>21</v>
      </c>
      <c r="C60">
        <f>100*61286/139068</f>
        <v>44.06908850346593</v>
      </c>
      <c r="D60">
        <f>100*89348/274633</f>
        <v>32.533599385361555</v>
      </c>
      <c r="E60">
        <f>IF(COUNT(C60:D60)=2,D60-C60,"")</f>
        <v>-11.535489118104373</v>
      </c>
      <c r="H60">
        <v>22</v>
      </c>
      <c r="I60">
        <v>21</v>
      </c>
      <c r="J60">
        <f>100*139592/266933</f>
        <v>52.29477059786538</v>
      </c>
      <c r="K60">
        <f>100*93943/294030</f>
        <v>31.950141142060335</v>
      </c>
      <c r="L60">
        <f>IF(COUNT(J60:K60)=2,K60-J60,"")</f>
        <v>-20.344629455805045</v>
      </c>
      <c r="O60">
        <v>22</v>
      </c>
      <c r="P60">
        <v>21</v>
      </c>
      <c r="Q60">
        <f>100*93353/177560</f>
        <v>52.57546744762334</v>
      </c>
      <c r="R60">
        <f>100*110144/320340</f>
        <v>34.383467565711435</v>
      </c>
      <c r="S60">
        <f>IF(COUNT(Q60:R60)=2,R60-Q60,"")</f>
        <v>-18.191999881911904</v>
      </c>
    </row>
    <row r="61" spans="1:19" x14ac:dyDescent="0.3">
      <c r="A61">
        <v>23</v>
      </c>
      <c r="B61">
        <v>22</v>
      </c>
      <c r="C61">
        <f>100*276476/597687</f>
        <v>46.2576565995245</v>
      </c>
      <c r="D61">
        <f>100*172469/830819</f>
        <v>20.758913794701375</v>
      </c>
      <c r="E61">
        <f>IF(COUNT(C61:D61)=2,D61-C61,"")</f>
        <v>-25.498742804823127</v>
      </c>
      <c r="H61">
        <v>23</v>
      </c>
      <c r="I61">
        <v>22</v>
      </c>
      <c r="J61">
        <f>100*307788/547933</f>
        <v>56.1725612438017</v>
      </c>
      <c r="K61">
        <f>100*140281/536626</f>
        <v>26.14129766354966</v>
      </c>
      <c r="L61">
        <f>IF(COUNT(J61:K61)=2,K61-J61,"")</f>
        <v>-30.03126358025204</v>
      </c>
      <c r="O61">
        <v>23</v>
      </c>
      <c r="P61">
        <v>22</v>
      </c>
      <c r="Q61">
        <f>100*1420/340312</f>
        <v>0.41726415759655844</v>
      </c>
      <c r="R61">
        <f>100*1420/340312</f>
        <v>0.41726415759655844</v>
      </c>
      <c r="S61">
        <f>IF(COUNT(Q61:R61)=2,R61-Q61,"")</f>
        <v>0.0</v>
      </c>
    </row>
    <row r="62" spans="1:19" x14ac:dyDescent="0.3">
      <c r="A62">
        <v>24</v>
      </c>
      <c r="B62">
        <v>23</v>
      </c>
      <c r="C62">
        <f>100*144470/668915</f>
        <v>21.597661885291853</v>
      </c>
      <c r="D62">
        <f>100*93889/701148</f>
        <v>13.390753450056193</v>
      </c>
      <c r="E62">
        <f>IF(COUNT(C62:D62)=2,D62-C62,"")</f>
        <v>-8.20690843523566</v>
      </c>
      <c r="H62">
        <v>24</v>
      </c>
      <c r="I62">
        <v>23</v>
      </c>
      <c r="J62">
        <f>100*403224/842602</f>
        <v>47.85462175499227</v>
      </c>
      <c r="K62">
        <f>100*87017/808893</f>
        <v>10.757541479528195</v>
      </c>
      <c r="L62">
        <f>IF(COUNT(J62:K62)=2,K62-J62,"")</f>
        <v>-37.09708027546408</v>
      </c>
      <c r="O62">
        <v>24</v>
      </c>
      <c r="P62">
        <v>23</v>
      </c>
      <c r="Q62">
        <f>100*127073/681026</f>
        <v>18.659052664655974</v>
      </c>
      <c r="R62">
        <f>100*14108/590977</f>
        <v>2.387233344106454</v>
      </c>
      <c r="S62">
        <f>IF(COUNT(Q62:R62)=2,R62-Q62,"")</f>
        <v>-16.27181932054952</v>
      </c>
    </row>
    <row r="63" spans="1:19" x14ac:dyDescent="0.3">
      <c r="A63">
        <v>25</v>
      </c>
      <c r="B63">
        <v>24</v>
      </c>
      <c r="C63">
        <f>100*246413/550634</f>
        <v>44.7507781938638</v>
      </c>
      <c r="D63">
        <f>100*203412/651182</f>
        <v>31.23734992674859</v>
      </c>
      <c r="E63">
        <f>IF(COUNT(C63:D63)=2,D63-C63,"")</f>
        <v>-13.513428267115213</v>
      </c>
      <c r="H63">
        <v>25</v>
      </c>
      <c r="I63">
        <v>24</v>
      </c>
      <c r="J63">
        <f>100*334373/832460</f>
        <v>40.16685486389736</v>
      </c>
      <c r="K63">
        <f>100*11786/641607</f>
        <v>1.8369500332758215</v>
      </c>
      <c r="L63">
        <f>IF(COUNT(J63:K63)=2,K63-J63,"")</f>
        <v>-38.329904830621544</v>
      </c>
      <c r="O63">
        <v>25</v>
      </c>
      <c r="P63">
        <v>24</v>
      </c>
      <c r="Q63">
        <f>100*69231/149628</f>
        <v>46.26874649129842</v>
      </c>
      <c r="R63">
        <f>100*155886/459303</f>
        <v>33.93968687337117</v>
      </c>
      <c r="S63">
        <f>IF(COUNT(Q63:R63)=2,R63-Q63,"")</f>
        <v>-12.32905961792725</v>
      </c>
    </row>
    <row r="64" spans="1:19" x14ac:dyDescent="0.3">
      <c r="A64">
        <v>26</v>
      </c>
      <c r="B64">
        <v>25</v>
      </c>
      <c r="C64">
        <f>100*325215/704022</f>
        <v>46.193868941595575</v>
      </c>
      <c r="D64">
        <f>100*147918/670830</f>
        <v>22.049997763964043</v>
      </c>
      <c r="E64">
        <f>IF(COUNT(C64:D64)=2,D64-C64,"")</f>
        <v>-24.14387117763153</v>
      </c>
      <c r="H64">
        <v>26</v>
      </c>
      <c r="I64">
        <v>25</v>
      </c>
      <c r="J64">
        <f>100*93173/499879</f>
        <v>18.639110664780876</v>
      </c>
      <c r="K64">
        <f>100*131651/694756</f>
        <v>18.949242611794645</v>
      </c>
      <c r="L64">
        <f>IF(COUNT(J64:K64)=2,K64-J64,"")</f>
        <v>0.3101319470137689</v>
      </c>
      <c r="O64">
        <v>26</v>
      </c>
      <c r="P64">
        <v>25</v>
      </c>
      <c r="Q64">
        <f>100*287382/566887</f>
        <v>50.69475927301208</v>
      </c>
      <c r="R64">
        <f>100*120613/556035</f>
        <v>21.691620131826234</v>
      </c>
      <c r="S64">
        <f>IF(COUNT(Q64:R64)=2,R64-Q64,"")</f>
        <v>-29.003139141185848</v>
      </c>
    </row>
    <row r="65" spans="1:19" x14ac:dyDescent="0.3">
      <c r="A65">
        <v>27</v>
      </c>
      <c r="B65">
        <v>26</v>
      </c>
      <c r="C65">
        <f>100*177239/701505</f>
        <v>25.26553623994127</v>
      </c>
      <c r="D65">
        <f>100*83113/775693</f>
        <v>10.714677069407614</v>
      </c>
      <c r="E65">
        <f>IF(COUNT(C65:D65)=2,D65-C65,"")</f>
        <v>-14.550859170533656</v>
      </c>
      <c r="H65">
        <v>27</v>
      </c>
      <c r="I65">
        <v>26</v>
      </c>
      <c r="J65">
        <f>100*244313/656873</f>
        <v>37.19333874280112</v>
      </c>
      <c r="K65">
        <f>100*45419/330421</f>
        <v>13.74579702863922</v>
      </c>
      <c r="L65">
        <f>IF(COUNT(J65:K65)=2,K65-J65,"")</f>
        <v>-23.447541714161897</v>
      </c>
      <c r="O65">
        <v>27</v>
      </c>
      <c r="P65">
        <v>26</v>
      </c>
      <c r="Q65">
        <f>100*89767/349739</f>
        <v>25.6668544257289</v>
      </c>
      <c r="R65">
        <f>100*92342/415999</f>
        <v>22.19764951358056</v>
      </c>
      <c r="S65">
        <f>IF(COUNT(Q65:R65)=2,R65-Q65,"")</f>
        <v>-3.4692049121483386</v>
      </c>
    </row>
    <row r="66" spans="1:19" x14ac:dyDescent="0.3">
      <c r="A66">
        <v>28</v>
      </c>
      <c r="B66">
        <v>27</v>
      </c>
      <c r="C66">
        <f>100*80526/308887</f>
        <v>26.069727764522302</v>
      </c>
      <c r="D66">
        <f>100*89609/376038</f>
        <v>23.829772522989696</v>
      </c>
      <c r="E66">
        <f>IF(COUNT(C66:D66)=2,D66-C66,"")</f>
        <v>-2.2399552415326056</v>
      </c>
      <c r="H66">
        <v>28</v>
      </c>
      <c r="I66">
        <v>27</v>
      </c>
      <c r="J66">
        <f>100*138608/347102</f>
        <v>39.93293037781402</v>
      </c>
      <c r="K66">
        <f>100*201975/634374</f>
        <v>31.838473834047424</v>
      </c>
      <c r="L66">
        <f>IF(COUNT(J66:K66)=2,K66-J66,"")</f>
        <v>-8.094456543766594</v>
      </c>
      <c r="O66">
        <v>28</v>
      </c>
      <c r="P66">
        <v>27</v>
      </c>
      <c r="Q66">
        <f>100*334/323134</f>
        <v>0.10336269163876287</v>
      </c>
      <c r="R66">
        <f>100*334/323134</f>
        <v>0.10336269163876287</v>
      </c>
      <c r="S66">
        <f>IF(COUNT(Q66:R66)=2,R66-Q66,"")</f>
        <v>0.0</v>
      </c>
    </row>
    <row r="67" spans="1:19" x14ac:dyDescent="0.3">
      <c r="A67">
        <v>29</v>
      </c>
      <c r="B67">
        <v>28</v>
      </c>
      <c r="C67">
        <f>100*201308/447811</f>
        <v>44.953786307169764</v>
      </c>
      <c r="D67">
        <f>100*132207/616226</f>
        <v>21.45430410271556</v>
      </c>
      <c r="E67">
        <f>IF(COUNT(C67:D67)=2,D67-C67,"")</f>
        <v>-23.499482204454203</v>
      </c>
      <c r="H67">
        <v>29</v>
      </c>
      <c r="I67">
        <v>28</v>
      </c>
      <c r="J67">
        <f>100*198367/384779</f>
        <v>51.553489145717414</v>
      </c>
      <c r="K67">
        <f>100*177759/711406</f>
        <v>24.986997579441276</v>
      </c>
      <c r="L67">
        <f>IF(COUNT(J67:K67)=2,K67-J67,"")</f>
        <v>-26.566491566276138</v>
      </c>
      <c r="O67">
        <v>29</v>
      </c>
      <c r="P67">
        <v>28</v>
      </c>
      <c r="Q67">
        <f>100*145808/355081</f>
        <v>41.063306682137316</v>
      </c>
      <c r="R67">
        <f>100*151799/410843</f>
        <v>36.94817728426674</v>
      </c>
      <c r="S67">
        <f>IF(COUNT(Q67:R67)=2,R67-Q67,"")</f>
        <v>-4.115129397870575</v>
      </c>
    </row>
    <row r="68" spans="1:19" x14ac:dyDescent="0.3">
      <c r="A68">
        <v>30</v>
      </c>
      <c r="B68">
        <v>29</v>
      </c>
      <c r="C68">
        <f>100*18197/471548</f>
        <v>3.8589920856413347</v>
      </c>
      <c r="D68">
        <f>100*20224/606695</f>
        <v>3.3334706895557074</v>
      </c>
      <c r="E68">
        <f>IF(COUNT(C68:D68)=2,D68-C68,"")</f>
        <v>-0.5255213960856273</v>
      </c>
      <c r="H68">
        <v>30</v>
      </c>
      <c r="I68">
        <v>29</v>
      </c>
      <c r="J68">
        <f>100*78716/427068</f>
        <v>18.431725158522763</v>
      </c>
      <c r="K68">
        <f>100*86119/482807</f>
        <v>17.837148177221955</v>
      </c>
      <c r="L68">
        <f>IF(COUNT(J68:K68)=2,K68-J68,"")</f>
        <v>-0.5945769813008077</v>
      </c>
      <c r="O68">
        <v>30</v>
      </c>
      <c r="P68">
        <v>29</v>
      </c>
      <c r="Q68">
        <f>100*234882/519580</f>
        <v>45.20612802648293</v>
      </c>
      <c r="R68">
        <f>100*67757/497160</f>
        <v>13.628811650172983</v>
      </c>
      <c r="S68">
        <f>IF(COUNT(Q68:R68)=2,R68-Q68,"")</f>
        <v>-31.577316376309945</v>
      </c>
    </row>
    <row r="69" spans="1:19" x14ac:dyDescent="0.3">
      <c r="A69">
        <v>31</v>
      </c>
      <c r="B69">
        <v>30</v>
      </c>
      <c r="C69">
        <f>100*112633/440273</f>
        <v>25.582536289983715</v>
      </c>
      <c r="D69">
        <f>100*106385/480379</f>
        <v>22.14605551033663</v>
      </c>
      <c r="E69">
        <f>IF(COUNT(C69:D69)=2,D69-C69,"")</f>
        <v>-3.436480779647084</v>
      </c>
      <c r="H69">
        <v>31</v>
      </c>
      <c r="I69">
        <v>30</v>
      </c>
      <c r="J69">
        <f>100*150446/466352</f>
        <v>32.26018115071877</v>
      </c>
      <c r="K69">
        <f>100*175780/646892</f>
        <v>27.1730056949228</v>
      </c>
      <c r="L69">
        <f>IF(COUNT(J69:K69)=2,K69-J69,"")</f>
        <v>-5.087175455795972</v>
      </c>
      <c r="O69">
        <v>31</v>
      </c>
      <c r="P69">
        <v>30</v>
      </c>
      <c r="Q69">
        <f>100*3881/600979</f>
        <v>0.6457796362268898</v>
      </c>
      <c r="R69">
        <f>100*3881/600979</f>
        <v>0.6457796362268898</v>
      </c>
      <c r="S69">
        <f>IF(COUNT(Q69:R69)=2,R69-Q69,"")</f>
        <v>0.0</v>
      </c>
    </row>
    <row r="70" spans="1:19" x14ac:dyDescent="0.3">
      <c r="A70" t="s">
        <v>5</v>
      </c>
      <c r="C70">
        <f>IF(COUNT(C39:C69)&gt;0,AVERAGE(C39:C69),"")</f>
        <v>31.84282770070955</v>
      </c>
      <c r="D70">
        <f>IF(COUNT(D39:D69)&gt;0,AVERAGE(D39:D69),"")</f>
        <v>15.71599980867292</v>
      </c>
      <c r="E70">
        <f>IF(COUNT(E39:E69)&gt;0,AVERAGE(E39:E69),"")</f>
        <v>-16.126827892036626</v>
      </c>
      <c r="H70" t="s">
        <v>5</v>
      </c>
      <c r="J70">
        <f>IF(COUNT(J39:J69)&gt;0,AVERAGE(J39:J69),"")</f>
        <v>33.41421734972294</v>
      </c>
      <c r="K70">
        <f>IF(COUNT(K39:K69)&gt;0,AVERAGE(K39:K69),"")</f>
        <v>15.870219075183623</v>
      </c>
      <c r="L70">
        <f>IF(COUNT(L39:L69)&gt;0,AVERAGE(L39:L69),"")</f>
        <v>-17.24272505045499</v>
      </c>
      <c r="O70" t="s">
        <v>5</v>
      </c>
      <c r="Q70">
        <f>IF(COUNT(Q39:Q69)&gt;0,AVERAGE(Q39:Q69),"")</f>
        <v>33.06664971973761</v>
      </c>
      <c r="R70">
        <f>IF(COUNT(R39:R69)&gt;0,AVERAGE(R39:R69),"")</f>
        <v>19.481375481336226</v>
      </c>
      <c r="S70">
        <f>IF(COUNT(S39:S69)&gt;0,AVERAGE(S39:S69),"")</f>
        <v>-13.585274238401391</v>
      </c>
    </row>
    <row r="73" spans="1:19" s="2" customFormat="1" x14ac:dyDescent="0.3">
      <c r="A73" s="1" t="s">
        <v>12</v>
      </c>
      <c r="B73" s="1"/>
      <c r="C73" s="1"/>
      <c r="D73" s="1"/>
      <c r="E73" s="1"/>
      <c r="H73" s="1" t="s">
        <v>13</v>
      </c>
      <c r="I73" s="1"/>
      <c r="J73" s="1"/>
      <c r="K73" s="1"/>
      <c r="L73" s="1"/>
      <c r="O73" s="1" t="s">
        <v>14</v>
      </c>
      <c r="P73" s="1"/>
      <c r="Q73" s="1"/>
      <c r="R73" s="1"/>
      <c r="S73" s="1"/>
    </row>
    <row r="74" spans="1:19" x14ac:dyDescent="0.3">
      <c r="A74" t="s">
        <v>0</v>
      </c>
      <c r="B74" t="s">
        <v>1</v>
      </c>
      <c r="C74" t="s">
        <v>2</v>
      </c>
      <c r="D74" t="s">
        <v>3</v>
      </c>
      <c r="E74" t="s">
        <v>4</v>
      </c>
      <c r="H74" t="s">
        <v>0</v>
      </c>
      <c r="I74" t="s">
        <v>1</v>
      </c>
      <c r="J74" t="s">
        <v>2</v>
      </c>
      <c r="K74" t="s">
        <v>3</v>
      </c>
      <c r="L74" t="s">
        <v>4</v>
      </c>
      <c r="O74" t="s">
        <v>0</v>
      </c>
      <c r="P74" t="s">
        <v>1</v>
      </c>
      <c r="Q74" t="s">
        <v>2</v>
      </c>
      <c r="R74" t="s">
        <v>3</v>
      </c>
      <c r="S74" t="s">
        <v>4</v>
      </c>
    </row>
    <row r="75" spans="1:19" x14ac:dyDescent="0.3">
      <c r="A75">
        <v>1</v>
      </c>
      <c r="B75">
        <v>0</v>
      </c>
      <c r="C75">
        <f>100*261929/517487</f>
        <v>50.61557101917536</v>
      </c>
      <c r="D75">
        <f>100*121481/544875</f>
        <v>22.29520532232163</v>
      </c>
      <c r="E75">
        <f>IF(COUNT(C75:D75)=2,D75-C75,"")</f>
        <v>-28.32036569685373</v>
      </c>
      <c r="H75">
        <v>1</v>
      </c>
      <c r="I75">
        <v>0</v>
      </c>
      <c r="J75">
        <f>100*432733/796677</f>
        <v>54.317245257488295</v>
      </c>
      <c r="K75">
        <f>100*21533/602723</f>
        <v>3.5726195947392085</v>
      </c>
      <c r="L75">
        <f>IF(COUNT(J75:K75)=2,K75-J75,"")</f>
        <v>-50.74462566274909</v>
      </c>
      <c r="O75">
        <v>1</v>
      </c>
      <c r="P75">
        <v>0</v>
      </c>
      <c r="Q75">
        <f>100*20655/569971</f>
        <v>3.623868582787545</v>
      </c>
      <c r="R75">
        <f>100*8844/560689</f>
        <v>1.5773450165778176</v>
      </c>
      <c r="S75">
        <f>IF(COUNT(Q75:R75)=2,R75-Q75,"")</f>
        <v>-2.0465235662097276</v>
      </c>
    </row>
    <row r="76" spans="1:19" x14ac:dyDescent="0.3">
      <c r="A76">
        <v>2</v>
      </c>
      <c r="B76">
        <v>1</v>
      </c>
      <c r="C76">
        <f>100*279421/548205</f>
        <v>50.97016626991728</v>
      </c>
      <c r="D76">
        <f>100*174342/586410</f>
        <v>29.730393410753567</v>
      </c>
      <c r="E76">
        <f>IF(COUNT(C76:D76)=2,D76-C76,"")</f>
        <v>-21.23977285916371</v>
      </c>
      <c r="H76">
        <v>2</v>
      </c>
      <c r="I76">
        <v>1</v>
      </c>
      <c r="J76">
        <f>100*305577/591060</f>
        <v>51.69982742868744</v>
      </c>
      <c r="K76">
        <f>100*194467/666159</f>
        <v>29.19227992115996</v>
      </c>
      <c r="L76">
        <f>IF(COUNT(J76:K76)=2,K76-J76,"")</f>
        <v>-22.50754750752748</v>
      </c>
      <c r="O76">
        <v>2</v>
      </c>
      <c r="P76">
        <v>1</v>
      </c>
      <c r="Q76">
        <f>100*111778/257794</f>
        <v>43.35942651884838</v>
      </c>
      <c r="R76">
        <f>100*57356/159351</f>
        <v>35.99349862881312</v>
      </c>
      <c r="S76">
        <f>IF(COUNT(Q76:R76)=2,R76-Q76,"")</f>
        <v>-7.365927890035259</v>
      </c>
    </row>
    <row r="77" spans="1:19" x14ac:dyDescent="0.3">
      <c r="A77">
        <v>3</v>
      </c>
      <c r="B77">
        <v>2</v>
      </c>
      <c r="C77">
        <f>100*37031/871024</f>
        <v>4.2514327963408585</v>
      </c>
      <c r="D77">
        <f>100*13902/929013</f>
        <v>1.496426853014974</v>
      </c>
      <c r="E77">
        <f>IF(COUNT(C77:D77)=2,D77-C77,"")</f>
        <v>-2.7550059433258847</v>
      </c>
      <c r="H77">
        <v>3</v>
      </c>
      <c r="I77">
        <v>2</v>
      </c>
      <c r="J77">
        <f>100*244646/584205</f>
        <v>41.87673847365223</v>
      </c>
      <c r="K77">
        <f>100*239348/794080</f>
        <v>30.141547451138425</v>
      </c>
      <c r="L77">
        <f>IF(COUNT(J77:K77)=2,K77-J77,"")</f>
        <v>-11.735191022513806</v>
      </c>
      <c r="O77">
        <v>3</v>
      </c>
      <c r="P77">
        <v>2</v>
      </c>
      <c r="Q77">
        <f>100*92329/194806</f>
        <v>47.395357432522616</v>
      </c>
      <c r="R77">
        <f>100*122593/373496</f>
        <v>32.82310921669844</v>
      </c>
      <c r="S77">
        <f>IF(COUNT(Q77:R77)=2,R77-Q77,"")</f>
        <v>-14.572248215824175</v>
      </c>
    </row>
    <row r="78" spans="1:19" x14ac:dyDescent="0.3">
      <c r="A78">
        <v>4</v>
      </c>
      <c r="B78">
        <v>3</v>
      </c>
      <c r="C78">
        <f>100*363210/663228</f>
        <v>54.76397257051874</v>
      </c>
      <c r="D78">
        <f>100*110477/729747</f>
        <v>15.139082449122778</v>
      </c>
      <c r="E78">
        <f>IF(COUNT(C78:D78)=2,D78-C78,"")</f>
        <v>-39.624890121395964</v>
      </c>
      <c r="H78">
        <v>4</v>
      </c>
      <c r="I78">
        <v>3</v>
      </c>
      <c r="J78">
        <f>100*316744/731828</f>
        <v>43.281208152735346</v>
      </c>
      <c r="K78">
        <f>100*108084/701969</f>
        <v>15.397261132614119</v>
      </c>
      <c r="L78">
        <f>IF(COUNT(J78:K78)=2,K78-J78,"")</f>
        <v>-27.883947020121227</v>
      </c>
      <c r="O78">
        <v>4</v>
      </c>
      <c r="P78">
        <v>3</v>
      </c>
      <c r="Q78">
        <f>100*240086/489338</f>
        <v>49.06342855040892</v>
      </c>
      <c r="R78">
        <f>100*205827/689637</f>
        <v>29.845701434232794</v>
      </c>
      <c r="S78">
        <f>IF(COUNT(Q78:R78)=2,R78-Q78,"")</f>
        <v>-19.21772711617613</v>
      </c>
    </row>
    <row r="79" spans="1:19" x14ac:dyDescent="0.3">
      <c r="A79">
        <v>5</v>
      </c>
      <c r="B79">
        <v>4</v>
      </c>
      <c r="C79">
        <f>100*116626/322593</f>
        <v>36.152675352534</v>
      </c>
      <c r="D79">
        <f>100*232034/628360</f>
        <v>36.92692087338468</v>
      </c>
      <c r="E79">
        <f>IF(COUNT(C79:D79)=2,D79-C79,"")</f>
        <v>0.774245520850684</v>
      </c>
      <c r="H79">
        <v>5</v>
      </c>
      <c r="I79">
        <v>4</v>
      </c>
      <c r="J79">
        <f>100*174388/383201</f>
        <v>45.50823197225477</v>
      </c>
      <c r="K79">
        <f>100*208208/718368</f>
        <v>28.98347365138759</v>
      </c>
      <c r="L79">
        <f>IF(COUNT(J79:K79)=2,K79-J79,"")</f>
        <v>-16.52475832086718</v>
      </c>
      <c r="O79">
        <v>5</v>
      </c>
      <c r="P79">
        <v>4</v>
      </c>
      <c r="Q79">
        <f>100*426762/872765</f>
        <v>48.89769869323357</v>
      </c>
      <c r="R79">
        <f>100*33263/700049</f>
        <v>4.7515245361396135</v>
      </c>
      <c r="S79">
        <f>IF(COUNT(Q79:R79)=2,R79-Q79,"")</f>
        <v>-44.14617415709396</v>
      </c>
    </row>
    <row r="80" spans="1:19" x14ac:dyDescent="0.3">
      <c r="A80">
        <v>6</v>
      </c>
      <c r="B80">
        <v>5</v>
      </c>
      <c r="C80">
        <f>100*159245/460762</f>
        <v>34.56122683728259</v>
      </c>
      <c r="D80">
        <f>100*105714/806416</f>
        <v>13.10911489851392</v>
      </c>
      <c r="E80">
        <f>IF(COUNT(C80:D80)=2,D80-C80,"")</f>
        <v>-21.45211193876867</v>
      </c>
      <c r="H80">
        <v>6</v>
      </c>
      <c r="I80">
        <v>5</v>
      </c>
      <c r="J80">
        <f>100*124193/417286</f>
        <v>29.76208164184756</v>
      </c>
      <c r="K80">
        <f>100*144189/535307</f>
        <v>26.935758359221904</v>
      </c>
      <c r="L80">
        <f>IF(COUNT(J80:K80)=2,K80-J80,"")</f>
        <v>-2.826323282625655</v>
      </c>
      <c r="O80">
        <v>6</v>
      </c>
      <c r="P80">
        <v>5</v>
      </c>
      <c r="Q80">
        <f>100*275977/710313</f>
        <v>38.85287190294983</v>
      </c>
      <c r="R80">
        <f>100*119316/482072</f>
        <v>24.75065965250004</v>
      </c>
      <c r="S80">
        <f>IF(COUNT(Q80:R80)=2,R80-Q80,"")</f>
        <v>-14.102212250449789</v>
      </c>
    </row>
    <row r="81" spans="1:19" x14ac:dyDescent="0.3">
      <c r="A81">
        <v>7</v>
      </c>
      <c r="B81">
        <v>6</v>
      </c>
      <c r="C81">
        <f>100*8837/457006</f>
        <v>1.9336726432475722</v>
      </c>
      <c r="D81">
        <f>100*43715/670785</f>
        <v>6.516991286328705</v>
      </c>
      <c r="E81">
        <f>IF(COUNT(C81:D81)=2,D81-C81,"")</f>
        <v>4.583318643081133</v>
      </c>
      <c r="H81">
        <v>7</v>
      </c>
      <c r="I81">
        <v>6</v>
      </c>
      <c r="J81">
        <f>100*4575/667678</f>
        <v>0.6852105356174683</v>
      </c>
      <c r="K81">
        <f>100*5224/814410</f>
        <v>0.6414459547402414</v>
      </c>
      <c r="L81">
        <f>IF(COUNT(J81:K81)=2,K81-J81,"")</f>
        <v>-0.0437645808772269</v>
      </c>
      <c r="O81">
        <v>7</v>
      </c>
      <c r="P81">
        <v>6</v>
      </c>
      <c r="Q81">
        <f>100*256619/495194</f>
        <v>51.82191222026115</v>
      </c>
      <c r="R81">
        <f>100*162178/575197</f>
        <v>28.195209641218575</v>
      </c>
      <c r="S81">
        <f>IF(COUNT(Q81:R81)=2,R81-Q81,"")</f>
        <v>-23.626702579042572</v>
      </c>
    </row>
    <row r="82" spans="1:19" x14ac:dyDescent="0.3">
      <c r="A82">
        <v>8</v>
      </c>
      <c r="B82">
        <v>7</v>
      </c>
      <c r="C82">
        <f>100*5105/579694</f>
        <v>0.8806370257411669</v>
      </c>
      <c r="D82">
        <f>100*18854/517590</f>
        <v>3.642651519542495</v>
      </c>
      <c r="E82">
        <f>IF(COUNT(C82:D82)=2,D82-C82,"")</f>
        <v>2.7620144938013285</v>
      </c>
      <c r="H82">
        <v>8</v>
      </c>
      <c r="I82">
        <v>7</v>
      </c>
      <c r="J82">
        <f>100*7536/581531</f>
        <v>1.2958896430284885</v>
      </c>
      <c r="K82">
        <f>100*6252/507743</f>
        <v>1.2313315988600533</v>
      </c>
      <c r="L82">
        <f>IF(COUNT(J82:K82)=2,K82-J82,"")</f>
        <v>-0.06455804416843525</v>
      </c>
      <c r="O82">
        <v>8</v>
      </c>
      <c r="P82">
        <v>7</v>
      </c>
      <c r="Q82">
        <f>100*168583/355732</f>
        <v>47.39045123857286</v>
      </c>
      <c r="R82">
        <f>100*177440/451275</f>
        <v>39.3197052794859</v>
      </c>
      <c r="S82">
        <f>IF(COUNT(Q82:R82)=2,R82-Q82,"")</f>
        <v>-8.070745959086956</v>
      </c>
    </row>
    <row r="83" spans="1:19" x14ac:dyDescent="0.3">
      <c r="A83">
        <v>9</v>
      </c>
      <c r="B83">
        <v>8</v>
      </c>
      <c r="C83">
        <f>100*207750/401424</f>
        <v>51.75325840009566</v>
      </c>
      <c r="D83">
        <f>100*189363/515736</f>
        <v>36.717041276932385</v>
      </c>
      <c r="E83">
        <f>IF(COUNT(C83:D83)=2,D83-C83,"")</f>
        <v>-15.036217123163276</v>
      </c>
      <c r="H83">
        <v>9</v>
      </c>
      <c r="I83">
        <v>8</v>
      </c>
      <c r="J83">
        <f>100*224416/408350</f>
        <v>54.95677727439696</v>
      </c>
      <c r="K83">
        <f>100*309116/911609</f>
        <v>33.90883591539794</v>
      </c>
      <c r="L83">
        <f>IF(COUNT(J83:K83)=2,K83-J83,"")</f>
        <v>-21.047941358999026</v>
      </c>
      <c r="O83">
        <v>9</v>
      </c>
      <c r="P83">
        <v>8</v>
      </c>
      <c r="Q83">
        <f>100*66103/140560</f>
        <v>47.02831531018782</v>
      </c>
      <c r="R83">
        <f>100*88796/258424</f>
        <v>34.36058570411417</v>
      </c>
      <c r="S83">
        <f>IF(COUNT(Q83:R83)=2,R83-Q83,"")</f>
        <v>-12.66772960607365</v>
      </c>
    </row>
    <row r="84" spans="1:19" x14ac:dyDescent="0.3">
      <c r="A84">
        <v>10</v>
      </c>
      <c r="B84">
        <v>9</v>
      </c>
      <c r="C84">
        <f>100*131791/855952</f>
        <v>15.397008243452904</v>
      </c>
      <c r="D84">
        <f>100*80018/762419</f>
        <v>10.49527884273608</v>
      </c>
      <c r="E84">
        <f>IF(COUNT(C84:D84)=2,D84-C84,"")</f>
        <v>-4.901729400716823</v>
      </c>
      <c r="H84">
        <v>10</v>
      </c>
      <c r="I84">
        <v>9</v>
      </c>
      <c r="J84">
        <f>100*472599/885198</f>
        <v>53.389072275355346</v>
      </c>
      <c r="K84">
        <f>100*122495/796172</f>
        <v>15.385494591620906</v>
      </c>
      <c r="L84">
        <f>IF(COUNT(J84:K84)=2,K84-J84,"")</f>
        <v>-38.00357768373444</v>
      </c>
      <c r="O84">
        <v>10</v>
      </c>
      <c r="P84">
        <v>9</v>
      </c>
      <c r="Q84">
        <f>100*6243/543809</f>
        <v>1.1480133649866038</v>
      </c>
      <c r="R84">
        <f>100*6243/543809</f>
        <v>1.1480133649866038</v>
      </c>
      <c r="S84">
        <f>IF(COUNT(Q84:R84)=2,R84-Q84,"")</f>
        <v>0.0</v>
      </c>
    </row>
    <row r="85" spans="1:19" x14ac:dyDescent="0.3">
      <c r="A85">
        <v>11</v>
      </c>
      <c r="B85">
        <v>10</v>
      </c>
      <c r="C85">
        <f>100*335444/654410</f>
        <v>51.25899665347412</v>
      </c>
      <c r="D85">
        <f>100*79116/867641</f>
        <v>9.118517912362371</v>
      </c>
      <c r="E85">
        <f>IF(COUNT(C85:D85)=2,D85-C85,"")</f>
        <v>-42.14047874111175</v>
      </c>
      <c r="H85">
        <v>11</v>
      </c>
      <c r="I85">
        <v>10</v>
      </c>
      <c r="J85">
        <f>100*370148/619144</f>
        <v>59.783830578992934</v>
      </c>
      <c r="K85">
        <f>100*81646/790175</f>
        <v>10.332647831176638</v>
      </c>
      <c r="L85">
        <f>IF(COUNT(J85:K85)=2,K85-J85,"")</f>
        <v>-49.4511827478163</v>
      </c>
      <c r="O85">
        <v>11</v>
      </c>
      <c r="P85">
        <v>10</v>
      </c>
      <c r="Q85">
        <f>100*225999/413085</f>
        <v>54.71004756890228</v>
      </c>
      <c r="R85">
        <f>100*255048/741780</f>
        <v>34.383240313839686</v>
      </c>
      <c r="S85">
        <f>IF(COUNT(Q85:R85)=2,R85-Q85,"")</f>
        <v>-20.326807255062597</v>
      </c>
    </row>
    <row r="86" spans="1:19" x14ac:dyDescent="0.3">
      <c r="A86">
        <v>12</v>
      </c>
      <c r="B86">
        <v>11</v>
      </c>
      <c r="C86">
        <f>100*373038/695730</f>
        <v>53.618213962312964</v>
      </c>
      <c r="D86">
        <f>100*75567/883551</f>
        <v>8.552647215610644</v>
      </c>
      <c r="E86">
        <f>IF(COUNT(C86:D86)=2,D86-C86,"")</f>
        <v>-45.065566746702316</v>
      </c>
      <c r="H86">
        <v>12</v>
      </c>
      <c r="I86">
        <v>11</v>
      </c>
      <c r="J86">
        <f>100*303732/544372</f>
        <v>55.79493434636609</v>
      </c>
      <c r="K86">
        <f>100*129886/880389</f>
        <v>14.753251119675507</v>
      </c>
      <c r="L86">
        <f>IF(COUNT(J86:K86)=2,K86-J86,"")</f>
        <v>-41.04168322669058</v>
      </c>
      <c r="O86">
        <v>12</v>
      </c>
      <c r="P86">
        <v>11</v>
      </c>
      <c r="Q86">
        <f>100*176887/390857</f>
        <v>45.25619344159117</v>
      </c>
      <c r="R86">
        <f>100*134096/366094</f>
        <v>36.62884395810912</v>
      </c>
      <c r="S86">
        <f>IF(COUNT(Q86:R86)=2,R86-Q86,"")</f>
        <v>-8.62734948348205</v>
      </c>
    </row>
    <row r="87" spans="1:19" x14ac:dyDescent="0.3">
      <c r="A87">
        <v>13</v>
      </c>
      <c r="B87">
        <v>12</v>
      </c>
      <c r="C87">
        <f>100*11518/738798</f>
        <v>1.5590188387082802</v>
      </c>
      <c r="D87">
        <f>100*11518/738798</f>
        <v>1.5590188387082802</v>
      </c>
      <c r="E87">
        <f>IF(COUNT(C87:D87)=2,D87-C87,"")</f>
        <v>0.0</v>
      </c>
      <c r="H87">
        <v>13</v>
      </c>
      <c r="I87">
        <v>12</v>
      </c>
      <c r="J87">
        <f>100*302007/670149</f>
        <v>45.06564957942189</v>
      </c>
      <c r="K87">
        <f>100*88403/810816</f>
        <v>10.902966887678586</v>
      </c>
      <c r="L87">
        <f>IF(COUNT(J87:K87)=2,K87-J87,"")</f>
        <v>-34.1626826917433</v>
      </c>
      <c r="O87">
        <v>13</v>
      </c>
      <c r="P87">
        <v>12</v>
      </c>
      <c r="Q87">
        <f>100*187062/769706</f>
        <v>24.30304557844164</v>
      </c>
      <c r="R87">
        <f>100*28689/628778</f>
        <v>4.562659635038122</v>
      </c>
      <c r="S87">
        <f>IF(COUNT(Q87:R87)=2,R87-Q87,"")</f>
        <v>-19.740385943403517</v>
      </c>
    </row>
    <row r="88" spans="1:19" x14ac:dyDescent="0.3">
      <c r="A88">
        <v>14</v>
      </c>
      <c r="B88">
        <v>13</v>
      </c>
      <c r="C88">
        <f>100*26873/442619</f>
        <v>6.0713615999313175</v>
      </c>
      <c r="D88">
        <f>100*57437/523361</f>
        <v>10.974642741816833</v>
      </c>
      <c r="E88">
        <f>IF(COUNT(C88:D88)=2,D88-C88,"")</f>
        <v>4.903281141885516</v>
      </c>
      <c r="H88">
        <v>14</v>
      </c>
      <c r="I88">
        <v>13</v>
      </c>
      <c r="J88">
        <f>100*112082/470769</f>
        <v>23.808279644581525</v>
      </c>
      <c r="K88">
        <f>100*102875/547993</f>
        <v>18.773050020711942</v>
      </c>
      <c r="L88">
        <f>IF(COUNT(J88:K88)=2,K88-J88,"")</f>
        <v>-5.035229623869583</v>
      </c>
      <c r="O88">
        <v>14</v>
      </c>
      <c r="P88">
        <v>13</v>
      </c>
      <c r="Q88">
        <f>100*77933/602059</f>
        <v>12.94441242469592</v>
      </c>
      <c r="R88">
        <f>100*23104/402849</f>
        <v>5.735151384265569</v>
      </c>
      <c r="S88">
        <f>IF(COUNT(Q88:R88)=2,R88-Q88,"")</f>
        <v>-7.20926104043035</v>
      </c>
    </row>
    <row r="89" spans="1:19" x14ac:dyDescent="0.3">
      <c r="A89">
        <v>15</v>
      </c>
      <c r="B89">
        <v>14</v>
      </c>
      <c r="C89">
        <f>100*163872/797309</f>
        <v>20.553135609907827</v>
      </c>
      <c r="D89">
        <f>100*87059/926290</f>
        <v>9.398676440423625</v>
      </c>
      <c r="E89">
        <f>IF(COUNT(C89:D89)=2,D89-C89,"")</f>
        <v>-11.154459169484202</v>
      </c>
      <c r="H89">
        <v>15</v>
      </c>
      <c r="I89">
        <v>14</v>
      </c>
      <c r="J89">
        <f>100*79792/480516</f>
        <v>16.605482439710645</v>
      </c>
      <c r="K89">
        <f>100*101923/596300</f>
        <v>17.092570853597184</v>
      </c>
      <c r="L89">
        <f>IF(COUNT(J89:K89)=2,K89-J89,"")</f>
        <v>0.48708841388653923</v>
      </c>
      <c r="O89">
        <v>15</v>
      </c>
      <c r="P89">
        <v>14</v>
      </c>
      <c r="Q89">
        <f>100*175395/343809</f>
        <v>51.015243929042</v>
      </c>
      <c r="R89">
        <f>100*259215/611476</f>
        <v>42.39168830829011</v>
      </c>
      <c r="S89">
        <f>IF(COUNT(Q89:R89)=2,R89-Q89,"")</f>
        <v>-8.623555620751894</v>
      </c>
    </row>
    <row r="90" spans="1:19" x14ac:dyDescent="0.3">
      <c r="A90">
        <v>16</v>
      </c>
      <c r="B90">
        <v>15</v>
      </c>
      <c r="C90">
        <f>100*308947/536497</f>
        <v>57.58596972583258</v>
      </c>
      <c r="D90">
        <f>100*246990/938318</f>
        <v>26.322632625613064</v>
      </c>
      <c r="E90">
        <f>IF(COUNT(C90:D90)=2,D90-C90,"")</f>
        <v>-31.263337100219513</v>
      </c>
      <c r="H90">
        <v>16</v>
      </c>
      <c r="I90">
        <v>15</v>
      </c>
      <c r="J90">
        <f>100*331166/636513</f>
        <v>52.028159676235994</v>
      </c>
      <c r="K90">
        <f>100*40787/642874</f>
        <v>6.344478078130396</v>
      </c>
      <c r="L90">
        <f>IF(COUNT(J90:K90)=2,K90-J90,"")</f>
        <v>-45.6836815981056</v>
      </c>
      <c r="O90">
        <v>16</v>
      </c>
      <c r="P90">
        <v>15</v>
      </c>
      <c r="Q90">
        <f>100*123775/294038</f>
        <v>42.0948992987301</v>
      </c>
      <c r="R90">
        <f>100*244771/662875</f>
        <v>36.9256647180841</v>
      </c>
      <c r="S90">
        <f>IF(COUNT(Q90:R90)=2,R90-Q90,"")</f>
        <v>-5.169234580645998</v>
      </c>
    </row>
    <row r="91" spans="1:19" x14ac:dyDescent="0.3">
      <c r="A91">
        <v>17</v>
      </c>
      <c r="B91">
        <v>16</v>
      </c>
      <c r="C91">
        <f>100*210301/511283</f>
        <v>41.13201495062422</v>
      </c>
      <c r="D91">
        <f>100*193885/719068</f>
        <v>26.96337481295232</v>
      </c>
      <c r="E91">
        <f>IF(COUNT(C91:D91)=2,D91-C91,"")</f>
        <v>-14.168640137671897</v>
      </c>
      <c r="H91">
        <v>17</v>
      </c>
      <c r="I91">
        <v>16</v>
      </c>
      <c r="J91">
        <f>100*2558/107131</f>
        <v>2.3877309088872503</v>
      </c>
      <c r="K91">
        <f>100*2558/107131</f>
        <v>2.3877309088872503</v>
      </c>
      <c r="L91">
        <f>IF(COUNT(J91:K91)=2,K91-J91,"")</f>
        <v>0.0</v>
      </c>
      <c r="O91">
        <v>17</v>
      </c>
      <c r="P91">
        <v>16</v>
      </c>
      <c r="Q91">
        <f>100*18236/388369</f>
        <v>4.695534401561401</v>
      </c>
      <c r="R91">
        <f>100*20232/416674</f>
        <v>4.855594541536069</v>
      </c>
      <c r="S91">
        <f>IF(COUNT(Q91:R91)=2,R91-Q91,"")</f>
        <v>0.16006013997466795</v>
      </c>
    </row>
    <row r="92" spans="1:19" x14ac:dyDescent="0.3">
      <c r="A92">
        <v>18</v>
      </c>
      <c r="B92">
        <v>17</v>
      </c>
      <c r="C92">
        <f>100*394081/764993</f>
        <v>51.51432758208245</v>
      </c>
      <c r="D92">
        <f>100*40403/869607</f>
        <v>4.6461217538497275</v>
      </c>
      <c r="E92">
        <f>IF(COUNT(C92:D92)=2,D92-C92,"")</f>
        <v>-46.868205828232725</v>
      </c>
      <c r="H92">
        <v>18</v>
      </c>
      <c r="I92">
        <v>17</v>
      </c>
      <c r="K92">
        <f>100*70067/856301</f>
        <v>8.182519931659545</v>
      </c>
      <c r="L92" t="str">
        <f>IF(COUNT(J92:K92)=2,K92-J92,"")</f>
        <v/>
      </c>
      <c r="O92">
        <v>18</v>
      </c>
      <c r="P92">
        <v>17</v>
      </c>
      <c r="Q92">
        <f>100*87307/484664</f>
        <v>18.013923047719658</v>
      </c>
      <c r="R92">
        <f>100*8537/459254</f>
        <v>1.8588841904479874</v>
      </c>
      <c r="S92">
        <f>IF(COUNT(Q92:R92)=2,R92-Q92,"")</f>
        <v>-16.15503885727167</v>
      </c>
    </row>
    <row r="93" spans="1:19" x14ac:dyDescent="0.3">
      <c r="A93">
        <v>19</v>
      </c>
      <c r="B93">
        <v>18</v>
      </c>
      <c r="C93">
        <f>100*356287/725510</f>
        <v>49.1084892007002</v>
      </c>
      <c r="D93">
        <f>100*45196/235917</f>
        <v>19.15758508288932</v>
      </c>
      <c r="E93">
        <f>IF(COUNT(C93:D93)=2,D93-C93,"")</f>
        <v>-29.95090411781088</v>
      </c>
      <c r="H93">
        <v>19</v>
      </c>
      <c r="I93">
        <v>18</v>
      </c>
      <c r="J93">
        <f>100*98670/626756</f>
        <v>15.742968555546337</v>
      </c>
      <c r="K93">
        <f>100*93940/645272</f>
        <v>14.558201812568964</v>
      </c>
      <c r="L93">
        <f>IF(COUNT(J93:K93)=2,K93-J93,"")</f>
        <v>-1.1847667429773736</v>
      </c>
      <c r="O93">
        <v>19</v>
      </c>
      <c r="P93">
        <v>18</v>
      </c>
      <c r="Q93">
        <f>100*176507/342598</f>
        <v>51.52014897927017</v>
      </c>
      <c r="R93">
        <f>100*271093/648330</f>
        <v>41.81404531642836</v>
      </c>
      <c r="S93">
        <f>IF(COUNT(Q93:R93)=2,R93-Q93,"")</f>
        <v>-9.706103662841805</v>
      </c>
    </row>
    <row r="94" spans="1:19" x14ac:dyDescent="0.3">
      <c r="A94">
        <v>20</v>
      </c>
      <c r="B94">
        <v>19</v>
      </c>
      <c r="C94">
        <f>100*436080/868999</f>
        <v>50.18187592851085</v>
      </c>
      <c r="D94">
        <f>100*188195/867411</f>
        <v>21.696174016700272</v>
      </c>
      <c r="E94">
        <f>IF(COUNT(C94:D94)=2,D94-C94,"")</f>
        <v>-28.485701911810576</v>
      </c>
      <c r="H94">
        <v>20</v>
      </c>
      <c r="I94">
        <v>19</v>
      </c>
      <c r="J94">
        <f>100*63724/294932</f>
        <v>21.606336375842567</v>
      </c>
      <c r="K94">
        <f>100*96775/478303</f>
        <v>20.232990384756107</v>
      </c>
      <c r="L94">
        <f>IF(COUNT(J94:K94)=2,K94-J94,"")</f>
        <v>-1.3733459910864596</v>
      </c>
      <c r="O94">
        <v>20</v>
      </c>
      <c r="P94">
        <v>19</v>
      </c>
      <c r="Q94">
        <f>100*271008/594768</f>
        <v>45.565329674763944</v>
      </c>
      <c r="R94">
        <f>100*230613/681687</f>
        <v>33.82974884367752</v>
      </c>
      <c r="S94">
        <f>IF(COUNT(Q94:R94)=2,R94-Q94,"")</f>
        <v>-11.735580831086423</v>
      </c>
    </row>
    <row r="95" spans="1:19" x14ac:dyDescent="0.3">
      <c r="A95">
        <v>21</v>
      </c>
      <c r="B95">
        <v>20</v>
      </c>
      <c r="C95">
        <f>100*288252/526914</f>
        <v>54.70570149967547</v>
      </c>
      <c r="D95">
        <f>100*140464/815462</f>
        <v>17.225082223328616</v>
      </c>
      <c r="E95">
        <f>IF(COUNT(C95:D95)=2,D95-C95,"")</f>
        <v>-37.48061927634686</v>
      </c>
      <c r="H95">
        <v>21</v>
      </c>
      <c r="I95">
        <v>20</v>
      </c>
      <c r="J95">
        <f>100*465002/826011</f>
        <v>56.29489195664465</v>
      </c>
      <c r="K95">
        <f>100*112938/728020</f>
        <v>15.513035356171534</v>
      </c>
      <c r="L95">
        <f>IF(COUNT(J95:K95)=2,K95-J95,"")</f>
        <v>-40.78185660047311</v>
      </c>
      <c r="O95">
        <v>21</v>
      </c>
      <c r="P95">
        <v>20</v>
      </c>
      <c r="Q95">
        <f>100*230728/471359</f>
        <v>48.9495267938026</v>
      </c>
      <c r="R95">
        <f>100*27549/435635</f>
        <v>6.323872048848233</v>
      </c>
      <c r="S95">
        <f>IF(COUNT(Q95:R95)=2,R95-Q95,"")</f>
        <v>-42.62565474495437</v>
      </c>
    </row>
    <row r="96" spans="1:19" x14ac:dyDescent="0.3">
      <c r="A96">
        <v>22</v>
      </c>
      <c r="B96">
        <v>21</v>
      </c>
      <c r="C96">
        <f>100*56325/137188</f>
        <v>41.056797970667986</v>
      </c>
      <c r="D96">
        <f>100*89003/254037</f>
        <v>35.035447592279866</v>
      </c>
      <c r="E96">
        <f>IF(COUNT(C96:D96)=2,D96-C96,"")</f>
        <v>-6.021350378388121</v>
      </c>
      <c r="H96">
        <v>22</v>
      </c>
      <c r="I96">
        <v>21</v>
      </c>
      <c r="J96">
        <f>100*144864/290419</f>
        <v>49.881033954390034</v>
      </c>
      <c r="K96">
        <f>100*152336/461872</f>
        <v>32.982298125887695</v>
      </c>
      <c r="L96">
        <f>IF(COUNT(J96:K96)=2,K96-J96,"")</f>
        <v>-16.89873582850234</v>
      </c>
      <c r="O96">
        <v>22</v>
      </c>
      <c r="P96">
        <v>21</v>
      </c>
      <c r="Q96">
        <f>100*25278/69101</f>
        <v>36.58123616156061</v>
      </c>
      <c r="R96">
        <f>100*111700/278108</f>
        <v>40.16425273634703</v>
      </c>
      <c r="S96">
        <f>IF(COUNT(Q96:R96)=2,R96-Q96,"")</f>
        <v>3.58301657478642</v>
      </c>
    </row>
    <row r="97" spans="1:19" x14ac:dyDescent="0.3">
      <c r="A97">
        <v>23</v>
      </c>
      <c r="B97">
        <v>22</v>
      </c>
      <c r="C97">
        <f>100*288383/663204</f>
        <v>43.48330227200077</v>
      </c>
      <c r="D97">
        <f>100*280978/906260</f>
        <v>31.004126851014057</v>
      </c>
      <c r="E97">
        <f>IF(COUNT(C97:D97)=2,D97-C97,"")</f>
        <v>-12.479175420986714</v>
      </c>
      <c r="H97">
        <v>23</v>
      </c>
      <c r="I97">
        <v>22</v>
      </c>
      <c r="J97">
        <f>100*455714/839395</f>
        <v>54.29076894668184</v>
      </c>
      <c r="K97">
        <f>100*139474/961511</f>
        <v>14.505710283085685</v>
      </c>
      <c r="L97">
        <f>IF(COUNT(J97:K97)=2,K97-J97,"")</f>
        <v>-39.78505866359615</v>
      </c>
      <c r="O97">
        <v>23</v>
      </c>
      <c r="P97">
        <v>22</v>
      </c>
      <c r="Q97">
        <f>100*745/388450</f>
        <v>0.1917878748873729</v>
      </c>
      <c r="R97">
        <f>100*745/388450</f>
        <v>0.1917878748873729</v>
      </c>
      <c r="S97">
        <f>IF(COUNT(Q97:R97)=2,R97-Q97,"")</f>
        <v>0.0</v>
      </c>
    </row>
    <row r="98" spans="1:19" x14ac:dyDescent="0.3">
      <c r="A98">
        <v>24</v>
      </c>
      <c r="B98">
        <v>23</v>
      </c>
      <c r="C98">
        <f>100*197095/749959</f>
        <v>26.28077001542751</v>
      </c>
      <c r="D98">
        <f>100*188583/998451</f>
        <v>18.887556825522736</v>
      </c>
      <c r="E98">
        <f>IF(COUNT(C98:D98)=2,D98-C98,"")</f>
        <v>-7.393213189904774</v>
      </c>
      <c r="H98">
        <v>24</v>
      </c>
      <c r="I98">
        <v>23</v>
      </c>
      <c r="J98">
        <f>100*361494/762974</f>
        <v>47.37959615924002</v>
      </c>
      <c r="K98">
        <f>100*94360/850524</f>
        <v>11.094337138046663</v>
      </c>
      <c r="L98">
        <f>IF(COUNT(J98:K98)=2,K98-J98,"")</f>
        <v>-36.28525902119336</v>
      </c>
      <c r="O98">
        <v>24</v>
      </c>
      <c r="P98">
        <v>23</v>
      </c>
      <c r="Q98">
        <f>100*292810/722778</f>
        <v>40.51174772890155</v>
      </c>
      <c r="R98">
        <f>100*3119/780493</f>
        <v>0.3996192150345999</v>
      </c>
      <c r="S98">
        <f>IF(COUNT(Q98:R98)=2,R98-Q98,"")</f>
        <v>-40.11212851386695</v>
      </c>
    </row>
    <row r="99" spans="1:19" x14ac:dyDescent="0.3">
      <c r="A99">
        <v>25</v>
      </c>
      <c r="B99">
        <v>24</v>
      </c>
      <c r="C99">
        <f>100*283892/666913</f>
        <v>42.56807109772939</v>
      </c>
      <c r="D99">
        <f>100*69227/543528</f>
        <v>12.73660234615328</v>
      </c>
      <c r="E99">
        <f>IF(COUNT(C99:D99)=2,D99-C99,"")</f>
        <v>-29.831468751576107</v>
      </c>
      <c r="H99">
        <v>25</v>
      </c>
      <c r="I99">
        <v>24</v>
      </c>
      <c r="J99">
        <f>100*297339/579923</f>
        <v>51.27215164771875</v>
      </c>
      <c r="K99">
        <f>100*38712/646421</f>
        <v>5.988666828583849</v>
      </c>
      <c r="L99">
        <f>IF(COUNT(J99:K99)=2,K99-J99,"")</f>
        <v>-45.2834848191349</v>
      </c>
      <c r="O99">
        <v>25</v>
      </c>
      <c r="P99">
        <v>24</v>
      </c>
      <c r="Q99">
        <f>100*194348/434877</f>
        <v>44.69033772767932</v>
      </c>
      <c r="R99">
        <f>100*178481/564652</f>
        <v>31.609026444606588</v>
      </c>
      <c r="S99">
        <f>IF(COUNT(Q99:R99)=2,R99-Q99,"")</f>
        <v>-13.081311283072733</v>
      </c>
    </row>
    <row r="100" spans="1:19" x14ac:dyDescent="0.3">
      <c r="A100">
        <v>26</v>
      </c>
      <c r="B100">
        <v>25</v>
      </c>
      <c r="C100">
        <f>100*327098/548933</f>
        <v>59.587964287080574</v>
      </c>
      <c r="D100">
        <f>100*112801/807622</f>
        <v>13.96705389402468</v>
      </c>
      <c r="E100">
        <f>IF(COUNT(C100:D100)=2,D100-C100,"")</f>
        <v>-45.620910393055894</v>
      </c>
      <c r="H100">
        <v>26</v>
      </c>
      <c r="I100">
        <v>25</v>
      </c>
      <c r="J100">
        <f>100*30617/503886</f>
        <v>6.076175960435496</v>
      </c>
      <c r="K100">
        <f>100*108854/645251</f>
        <v>16.870024223131775</v>
      </c>
      <c r="L100">
        <f>IF(COUNT(J100:K100)=2,K100-J100,"")</f>
        <v>10.79384826269628</v>
      </c>
      <c r="O100">
        <v>26</v>
      </c>
      <c r="P100">
        <v>25</v>
      </c>
      <c r="Q100">
        <f>100*196342/383537</f>
        <v>51.19245340084529</v>
      </c>
      <c r="R100">
        <f>100*266108/690191</f>
        <v>38.55570414566402</v>
      </c>
      <c r="S100">
        <f>IF(COUNT(Q100:R100)=2,R100-Q100,"")</f>
        <v>-12.636749255181265</v>
      </c>
    </row>
    <row r="101" spans="1:19" x14ac:dyDescent="0.3">
      <c r="A101">
        <v>27</v>
      </c>
      <c r="B101">
        <v>26</v>
      </c>
      <c r="C101">
        <f>100*131956/715212</f>
        <v>18.449914151328556</v>
      </c>
      <c r="D101">
        <f>100*99809/838055</f>
        <v>11.909600205237126</v>
      </c>
      <c r="E101">
        <f>IF(COUNT(C101:D101)=2,D101-C101,"")</f>
        <v>-6.54031394609143</v>
      </c>
      <c r="H101">
        <v>27</v>
      </c>
      <c r="I101">
        <v>26</v>
      </c>
      <c r="J101">
        <f>100*110948/559494</f>
        <v>19.830060733448438</v>
      </c>
      <c r="K101">
        <f>100*114285/655820</f>
        <v>17.426275502424446</v>
      </c>
      <c r="L101">
        <f>IF(COUNT(J101:K101)=2,K101-J101,"")</f>
        <v>-2.403785231023992</v>
      </c>
      <c r="O101">
        <v>27</v>
      </c>
      <c r="P101">
        <v>26</v>
      </c>
      <c r="Q101">
        <f>100*186316/322263</f>
        <v>57.81489032250057</v>
      </c>
      <c r="R101">
        <f>100*259767/684165</f>
        <v>37.96847251759444</v>
      </c>
      <c r="S101">
        <f>IF(COUNT(Q101:R101)=2,R101-Q101,"")</f>
        <v>-19.846417804906125</v>
      </c>
    </row>
    <row r="102" spans="1:19" x14ac:dyDescent="0.3">
      <c r="A102">
        <v>28</v>
      </c>
      <c r="B102">
        <v>27</v>
      </c>
      <c r="C102">
        <f>100*93368/326528</f>
        <v>28.59417875343003</v>
      </c>
      <c r="D102">
        <f>100*94088/396307</f>
        <v>23.741190541676023</v>
      </c>
      <c r="E102">
        <f>IF(COUNT(C102:D102)=2,D102-C102,"")</f>
        <v>-4.852988211754006</v>
      </c>
      <c r="H102">
        <v>28</v>
      </c>
      <c r="I102">
        <v>27</v>
      </c>
      <c r="J102">
        <f>100*139061/401357</f>
        <v>34.6477076517913</v>
      </c>
      <c r="K102">
        <f>100*148161/551029</f>
        <v>26.888058523235618</v>
      </c>
      <c r="L102">
        <f>IF(COUNT(J102:K102)=2,K102-J102,"")</f>
        <v>-7.759649128555683</v>
      </c>
      <c r="O102">
        <v>28</v>
      </c>
      <c r="P102">
        <v>27</v>
      </c>
      <c r="Q102">
        <f>100*1759/765634</f>
        <v>0.22974423810854794</v>
      </c>
      <c r="R102">
        <f>100*1759/765634</f>
        <v>0.22974423810854794</v>
      </c>
      <c r="S102">
        <f>IF(COUNT(Q102:R102)=2,R102-Q102,"")</f>
        <v>0.0</v>
      </c>
    </row>
    <row r="103" spans="1:19" x14ac:dyDescent="0.3">
      <c r="A103">
        <v>29</v>
      </c>
      <c r="B103">
        <v>28</v>
      </c>
      <c r="C103">
        <f>100*252391/493274</f>
        <v>51.16649164561684</v>
      </c>
      <c r="D103">
        <f>100*171737/762357</f>
        <v>22.52711000226928</v>
      </c>
      <c r="E103">
        <f>IF(COUNT(C103:D103)=2,D103-C103,"")</f>
        <v>-28.63938164334756</v>
      </c>
      <c r="H103">
        <v>29</v>
      </c>
      <c r="I103">
        <v>28</v>
      </c>
      <c r="J103">
        <f>100*239541/426383</f>
        <v>56.17977264571993</v>
      </c>
      <c r="K103">
        <f>100*179793/845741</f>
        <v>21.258635918088398</v>
      </c>
      <c r="L103">
        <f>IF(COUNT(J103:K103)=2,K103-J103,"")</f>
        <v>-34.921136727631534</v>
      </c>
      <c r="O103">
        <v>29</v>
      </c>
      <c r="P103">
        <v>28</v>
      </c>
      <c r="Q103">
        <f>100*180468/321414</f>
        <v>56.14814538259068</v>
      </c>
      <c r="R103">
        <f>100*238543/605954</f>
        <v>39.366519570792505</v>
      </c>
      <c r="S103">
        <f>IF(COUNT(Q103:R103)=2,R103-Q103,"")</f>
        <v>-16.781625811798172</v>
      </c>
    </row>
    <row r="104" spans="1:19" x14ac:dyDescent="0.3">
      <c r="A104">
        <v>30</v>
      </c>
      <c r="B104">
        <v>29</v>
      </c>
      <c r="C104">
        <f>100*7199/513080</f>
        <v>1.40309503391284</v>
      </c>
      <c r="D104">
        <f>100*6130/509700</f>
        <v>1.2026682362173828</v>
      </c>
      <c r="E104">
        <f>IF(COUNT(C104:D104)=2,D104-C104,"")</f>
        <v>-0.20042679769545724</v>
      </c>
      <c r="H104">
        <v>30</v>
      </c>
      <c r="I104">
        <v>29</v>
      </c>
      <c r="J104">
        <f>100*176819/628999</f>
        <v>28.111173467684367</v>
      </c>
      <c r="K104">
        <f>100*104423/608043</f>
        <v>17.173620944571354</v>
      </c>
      <c r="L104">
        <f>IF(COUNT(J104:K104)=2,K104-J104,"")</f>
        <v>-10.937552523113013</v>
      </c>
      <c r="O104">
        <v>30</v>
      </c>
      <c r="P104">
        <v>29</v>
      </c>
      <c r="Q104">
        <f>100*273685/521227</f>
        <v>52.5078324798984</v>
      </c>
      <c r="R104">
        <f>100*196456/720824</f>
        <v>27.254364449574375</v>
      </c>
      <c r="S104">
        <f>IF(COUNT(Q104:R104)=2,R104-Q104,"")</f>
        <v>-25.253468030324022</v>
      </c>
    </row>
    <row r="105" spans="1:19" x14ac:dyDescent="0.3">
      <c r="A105">
        <v>31</v>
      </c>
      <c r="B105">
        <v>30</v>
      </c>
      <c r="C105">
        <f>100*174463/441755</f>
        <v>39.49315797217915</v>
      </c>
      <c r="D105">
        <f>100*135583/515054</f>
        <v>26.324035926330055</v>
      </c>
      <c r="E105">
        <f>IF(COUNT(C105:D105)=2,D105-C105,"")</f>
        <v>-13.169122045849093</v>
      </c>
      <c r="H105">
        <v>31</v>
      </c>
      <c r="I105">
        <v>30</v>
      </c>
      <c r="J105">
        <f>100*69915/403117</f>
        <v>17.343599997023198</v>
      </c>
      <c r="K105">
        <f>100*104299/690310</f>
        <v>15.109008995958337</v>
      </c>
      <c r="L105">
        <f>IF(COUNT(J105:K105)=2,K105-J105,"")</f>
        <v>-2.23459100106486</v>
      </c>
      <c r="O105">
        <v>31</v>
      </c>
      <c r="P105">
        <v>30</v>
      </c>
      <c r="Q105">
        <f>100*141232/628600</f>
        <v>22.467706013363028</v>
      </c>
      <c r="R105">
        <f>100*23860/756005</f>
        <v>3.15606378264694</v>
      </c>
      <c r="S105">
        <f>IF(COUNT(Q105:R105)=2,R105-Q105,"")</f>
        <v>-19.31164223071609</v>
      </c>
    </row>
    <row r="106" spans="1:19" x14ac:dyDescent="0.3">
      <c r="A106" t="s">
        <v>5</v>
      </c>
      <c r="C106">
        <f>IF(COUNT(C75:C105)&gt;0,AVERAGE(C75:C105),"")</f>
        <v>35.1823377390142</v>
      </c>
      <c r="D106">
        <f>IF(COUNT(D75:D105)&gt;0,AVERAGE(D75:D105),"")</f>
        <v>17.065128155407447</v>
      </c>
      <c r="E106">
        <f>IF(COUNT(E75:E105)&gt;0,AVERAGE(E75:E105),"")</f>
        <v>-18.11720958360675</v>
      </c>
      <c r="H106" t="s">
        <v>5</v>
      </c>
      <c r="J106">
        <f>IF(COUNT(J75:J105)&gt;0,AVERAGE(J75:J105),"")</f>
        <v>36.36341959604758</v>
      </c>
      <c r="K106">
        <f>IF(COUNT(K75:K105)&gt;0,AVERAGE(K75:K105),"")</f>
        <v>16.250326704480898</v>
      </c>
      <c r="L106">
        <f>IF(COUNT(L75:L105)&gt;0,AVERAGE(L75:L105),"")</f>
        <v>-19.844165999139296</v>
      </c>
      <c r="O106" t="s">
        <v>5</v>
      </c>
      <c r="Q106">
        <f>IF(COUNT(Q75:Q105)&gt;0,AVERAGE(Q75:Q105),"")</f>
        <v>36.77372678334244</v>
      </c>
      <c r="R106">
        <f>IF(COUNT(R75:R105)&gt;0,AVERAGE(R75:R105),"")</f>
        <v>22.61194518414801</v>
      </c>
      <c r="S106">
        <f>IF(COUNT(S75:S105)&gt;0,AVERAGE(S75:S105),"")</f>
        <v>-14.161781599194423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9689-D3B2-4CE1-A0FE-D7D3C80000D2}">
  <dimension ref="A1:S106"/>
  <sheetViews>
    <sheetView workbookViewId="0">
      <selection activeCell="G70" sqref="G70"/>
    </sheetView>
  </sheetViews>
  <sheetFormatPr defaultRowHeight="16.5" x14ac:dyDescent="0.3"/>
  <sheetData>
    <row r="1" spans="1:19" s="2" customFormat="1" ht="17.25" customHeight="1" x14ac:dyDescent="0.3">
      <c r="A1" s="1" t="s">
        <v>6</v>
      </c>
      <c r="B1" s="1"/>
      <c r="C1" s="1"/>
      <c r="D1" s="1"/>
      <c r="E1" s="1"/>
      <c r="H1" s="1" t="s">
        <v>7</v>
      </c>
      <c r="I1" s="1"/>
      <c r="J1" s="1"/>
      <c r="K1" s="1"/>
      <c r="L1" s="1"/>
      <c r="O1" s="1" t="s">
        <v>8</v>
      </c>
      <c r="P1" s="1"/>
      <c r="Q1" s="1"/>
      <c r="R1" s="1"/>
      <c r="S1" s="1"/>
    </row>
    <row r="2" spans="1:1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H2" t="s">
        <v>0</v>
      </c>
      <c r="I2" t="s">
        <v>1</v>
      </c>
      <c r="J2" t="s">
        <v>2</v>
      </c>
      <c r="K2" t="s">
        <v>3</v>
      </c>
      <c r="L2" t="s">
        <v>4</v>
      </c>
      <c r="O2" t="s">
        <v>0</v>
      </c>
      <c r="P2" t="s">
        <v>1</v>
      </c>
      <c r="Q2" t="s">
        <v>2</v>
      </c>
      <c r="R2" t="s">
        <v>3</v>
      </c>
      <c r="S2" t="s">
        <v>4</v>
      </c>
    </row>
    <row r="3" spans="1:19" x14ac:dyDescent="0.3">
      <c r="A3">
        <v>1</v>
      </c>
      <c r="B3">
        <v>0</v>
      </c>
      <c r="C3">
        <f>100*195788/558995</f>
        <v>35.0250002236156</v>
      </c>
      <c r="D3">
        <f>100*44969/329482</f>
        <v>13.648393538949017</v>
      </c>
      <c r="E3">
        <f>IF(COUNT(C3:D3)=2,D3-C3,"")</f>
        <v>-21.376606684666584</v>
      </c>
      <c r="H3">
        <v>1</v>
      </c>
      <c r="I3">
        <v>0</v>
      </c>
      <c r="J3">
        <f>100*58251/215009</f>
        <v>27.09235427354204</v>
      </c>
      <c r="K3">
        <f>100*19656/300829</f>
        <v>6.533944533273055</v>
      </c>
      <c r="L3">
        <f>IF(COUNT(J3:K3)=2,K3-J3,"")</f>
        <v>-20.558409740268985</v>
      </c>
      <c r="O3">
        <v>1</v>
      </c>
      <c r="P3">
        <v>0</v>
      </c>
      <c r="Q3">
        <f>100*45645/291867</f>
        <v>15.638972545714315</v>
      </c>
      <c r="R3">
        <f>100*37023/297516</f>
        <v>12.44403662324043</v>
      </c>
      <c r="S3">
        <f>IF(COUNT(Q3:R3)=2,R3-Q3,"")</f>
        <v>-3.194935922473885</v>
      </c>
    </row>
    <row r="4" spans="1:19" x14ac:dyDescent="0.3">
      <c r="A4">
        <v>2</v>
      </c>
      <c r="B4">
        <v>1</v>
      </c>
      <c r="C4">
        <f>100*131600/348213</f>
        <v>37.792960056057645</v>
      </c>
      <c r="D4">
        <f>100*85739/425957</f>
        <v>20.12855757740805</v>
      </c>
      <c r="E4">
        <f>IF(COUNT(C4:D4)=2,D4-C4,"")</f>
        <v>-17.664402478649595</v>
      </c>
      <c r="H4">
        <v>2</v>
      </c>
      <c r="I4">
        <v>1</v>
      </c>
      <c r="J4">
        <f>100*64971/296332</f>
        <v>21.925070529001257</v>
      </c>
      <c r="K4">
        <f>100*49731/332243</f>
        <v>14.968261182327392</v>
      </c>
      <c r="L4">
        <f>IF(COUNT(J4:K4)=2,K4-J4,"")</f>
        <v>-6.9568093466738645</v>
      </c>
      <c r="O4">
        <v>2</v>
      </c>
      <c r="P4">
        <v>1</v>
      </c>
      <c r="Q4">
        <f>100*75288/157455</f>
        <v>47.81556635229113</v>
      </c>
      <c r="R4">
        <f>100*32368/109995</f>
        <v>29.426792126914858</v>
      </c>
      <c r="S4">
        <f>IF(COUNT(Q4:R4)=2,R4-Q4,"")</f>
        <v>-18.38877422537627</v>
      </c>
    </row>
    <row r="5" spans="1:19" x14ac:dyDescent="0.3">
      <c r="A5">
        <v>3</v>
      </c>
      <c r="B5">
        <v>2</v>
      </c>
      <c r="C5">
        <f>100*190955/499604</f>
        <v>38.221271246827484</v>
      </c>
      <c r="D5">
        <f>100*53971/458821</f>
        <v>11.762975103580699</v>
      </c>
      <c r="E5">
        <f>IF(COUNT(C5:D5)=2,D5-C5,"")</f>
        <v>-26.458296143246784</v>
      </c>
      <c r="H5">
        <v>3</v>
      </c>
      <c r="I5">
        <v>2</v>
      </c>
      <c r="J5">
        <f>100*62705/328831</f>
        <v>19.069065872743142</v>
      </c>
      <c r="K5">
        <f>100*35809/375319</f>
        <v>9.540950498109607</v>
      </c>
      <c r="L5">
        <f>IF(COUNT(J5:K5)=2,K5-J5,"")</f>
        <v>-9.528115374633535</v>
      </c>
      <c r="O5">
        <v>3</v>
      </c>
      <c r="P5">
        <v>2</v>
      </c>
      <c r="Q5">
        <f>100*141348/334791</f>
        <v>42.21977293296415</v>
      </c>
      <c r="R5">
        <f>100*100374/382929</f>
        <v>26.212169880056095</v>
      </c>
      <c r="S5">
        <f>IF(COUNT(Q5:R5)=2,R5-Q5,"")</f>
        <v>-16.007603052908053</v>
      </c>
    </row>
    <row r="6" spans="1:19" x14ac:dyDescent="0.3">
      <c r="A6">
        <v>4</v>
      </c>
      <c r="B6">
        <v>3</v>
      </c>
      <c r="C6">
        <f>100*11557/332328</f>
        <v>3.477588406634409</v>
      </c>
      <c r="D6">
        <f>100*16639/260509</f>
        <v>6.387111385787056</v>
      </c>
      <c r="E6">
        <f>IF(COUNT(C6:D6)=2,D6-C6,"")</f>
        <v>2.9095229791526465</v>
      </c>
      <c r="H6">
        <v>4</v>
      </c>
      <c r="I6">
        <v>3</v>
      </c>
      <c r="J6">
        <f>100*69099/464767</f>
        <v>14.867449711360747</v>
      </c>
      <c r="K6">
        <f>100*15045/403240</f>
        <v>3.731028667790894</v>
      </c>
      <c r="L6">
        <f>IF(COUNT(J6:K6)=2,K6-J6,"")</f>
        <v>-11.136421043569854</v>
      </c>
      <c r="O6">
        <v>4</v>
      </c>
      <c r="P6">
        <v>3</v>
      </c>
      <c r="Q6">
        <f>100*182044/470083</f>
        <v>38.72592712350798</v>
      </c>
      <c r="R6">
        <f>100*111776/488374</f>
        <v>22.887377296907697</v>
      </c>
      <c r="S6">
        <f>IF(COUNT(Q6:R6)=2,R6-Q6,"")</f>
        <v>-15.838549826600282</v>
      </c>
    </row>
    <row r="7" spans="1:19" x14ac:dyDescent="0.3">
      <c r="A7">
        <v>5</v>
      </c>
      <c r="B7">
        <v>4</v>
      </c>
      <c r="C7">
        <f>100*96546/258766</f>
        <v>37.3101566666409</v>
      </c>
      <c r="D7">
        <f>100*122951/487763</f>
        <v>25.207119031168826</v>
      </c>
      <c r="E7">
        <f>IF(COUNT(C7:D7)=2,D7-C7,"")</f>
        <v>-12.103037635472074</v>
      </c>
      <c r="H7">
        <v>5</v>
      </c>
      <c r="I7">
        <v>4</v>
      </c>
      <c r="J7">
        <f>100*106457/411240</f>
        <v>25.88683007489544</v>
      </c>
      <c r="K7">
        <f>100*74330/383120</f>
        <v>19.40123198997703</v>
      </c>
      <c r="L7">
        <f>IF(COUNT(J7:K7)=2,K7-J7,"")</f>
        <v>-6.485598084918408</v>
      </c>
      <c r="O7">
        <v>5</v>
      </c>
      <c r="P7">
        <v>4</v>
      </c>
      <c r="Q7">
        <f>100*154964/442048</f>
        <v>35.055921528883744</v>
      </c>
      <c r="R7">
        <f>100*48542/299294</f>
        <v>16.21883499168042</v>
      </c>
      <c r="S7">
        <f>IF(COUNT(Q7:R7)=2,R7-Q7,"")</f>
        <v>-18.837086537203323</v>
      </c>
    </row>
    <row r="8" spans="1:19" x14ac:dyDescent="0.3">
      <c r="A8">
        <v>6</v>
      </c>
      <c r="B8">
        <v>5</v>
      </c>
      <c r="C8">
        <f>100*77908/371148</f>
        <v>20.9910871134965</v>
      </c>
      <c r="D8">
        <f>100*76692/405176</f>
        <v>18.92807076430983</v>
      </c>
      <c r="E8">
        <f>IF(COUNT(C8:D8)=2,D8-C8,"")</f>
        <v>-2.0630163491866718</v>
      </c>
      <c r="H8">
        <v>6</v>
      </c>
      <c r="I8">
        <v>5</v>
      </c>
      <c r="J8">
        <f>100*91696/324059</f>
        <v>28.29608188632317</v>
      </c>
      <c r="K8">
        <f>100*76031/339258</f>
        <v>22.410967464289715</v>
      </c>
      <c r="L8">
        <f>IF(COUNT(J8:K8)=2,K8-J8,"")</f>
        <v>-5.885114422033453</v>
      </c>
      <c r="O8">
        <v>6</v>
      </c>
      <c r="P8">
        <v>5</v>
      </c>
      <c r="Q8">
        <f>100*114455/487242</f>
        <v>23.49038055011678</v>
      </c>
      <c r="R8">
        <f>100*58139/423396</f>
        <v>13.73158933953084</v>
      </c>
      <c r="S8">
        <f>IF(COUNT(Q8:R8)=2,R8-Q8,"")</f>
        <v>-9.758791210585938</v>
      </c>
    </row>
    <row r="9" spans="1:19" x14ac:dyDescent="0.3">
      <c r="A9">
        <v>7</v>
      </c>
      <c r="B9">
        <v>6</v>
      </c>
      <c r="C9">
        <f>100*93317/434887</f>
        <v>21.457757992306046</v>
      </c>
      <c r="D9">
        <f>100*25530/407005</f>
        <v>6.272650213142344</v>
      </c>
      <c r="E9">
        <f>IF(COUNT(C9:D9)=2,D9-C9,"")</f>
        <v>-15.185107779163701</v>
      </c>
      <c r="H9">
        <v>7</v>
      </c>
      <c r="I9">
        <v>6</v>
      </c>
      <c r="J9">
        <f>100*2956/325191</f>
        <v>0.9090042467349957</v>
      </c>
      <c r="K9">
        <f>100*16044/354464</f>
        <v>4.526270650898257</v>
      </c>
      <c r="L9">
        <f>IF(COUNT(J9:K9)=2,K9-J9,"")</f>
        <v>3.617266404163262</v>
      </c>
      <c r="O9">
        <v>7</v>
      </c>
      <c r="P9">
        <v>6</v>
      </c>
      <c r="Q9">
        <f>100*198686/446837</f>
        <v>44.46498387555194</v>
      </c>
      <c r="R9">
        <f>100*78894/448380</f>
        <v>17.595343235648333</v>
      </c>
      <c r="S9">
        <f>IF(COUNT(Q9:R9)=2,R9-Q9,"")</f>
        <v>-26.869640639903604</v>
      </c>
    </row>
    <row r="10" spans="1:19" x14ac:dyDescent="0.3">
      <c r="A10">
        <v>8</v>
      </c>
      <c r="B10">
        <v>7</v>
      </c>
      <c r="C10">
        <f>100*1113/275738</f>
        <v>0.4036440389064982</v>
      </c>
      <c r="D10">
        <f>100*14472/327019</f>
        <v>4.425430938263526</v>
      </c>
      <c r="E10">
        <f>IF(COUNT(C10:D10)=2,D10-C10,"")</f>
        <v>4.021786899357028</v>
      </c>
      <c r="H10">
        <v>8</v>
      </c>
      <c r="I10">
        <v>7</v>
      </c>
      <c r="J10">
        <f>100*1179/376958</f>
        <v>0.31276693955294754</v>
      </c>
      <c r="K10">
        <f>100*14623/325488</f>
        <v>4.492638745514427</v>
      </c>
      <c r="L10">
        <f>IF(COUNT(J10:K10)=2,K10-J10,"")</f>
        <v>4.17987180596148</v>
      </c>
      <c r="O10">
        <v>8</v>
      </c>
      <c r="P10">
        <v>7</v>
      </c>
      <c r="Q10">
        <f>100*140584/308785</f>
        <v>45.52811826999368</v>
      </c>
      <c r="R10">
        <f>100*85315/328960</f>
        <v>25.934764105058367</v>
      </c>
      <c r="S10">
        <f>IF(COUNT(Q10:R10)=2,R10-Q10,"")</f>
        <v>-19.593354164935317</v>
      </c>
    </row>
    <row r="11" spans="1:19" x14ac:dyDescent="0.3">
      <c r="A11">
        <v>9</v>
      </c>
      <c r="B11">
        <v>8</v>
      </c>
      <c r="C11">
        <f>100*126680/328998</f>
        <v>38.504793342208764</v>
      </c>
      <c r="D11">
        <f>100*128872/494442</f>
        <v>26.06412885636738</v>
      </c>
      <c r="E11">
        <f>IF(COUNT(C11:D11)=2,D11-C11,"")</f>
        <v>-12.440664485841385</v>
      </c>
      <c r="H11">
        <v>9</v>
      </c>
      <c r="I11">
        <v>8</v>
      </c>
      <c r="J11">
        <f>100*144131/422295</f>
        <v>34.13040646941119</v>
      </c>
      <c r="K11">
        <f>100*125612/480247</f>
        <v>26.15570737557965</v>
      </c>
      <c r="L11">
        <f>IF(COUNT(J11:K11)=2,K11-J11,"")</f>
        <v>-7.974699093831543</v>
      </c>
      <c r="O11">
        <v>9</v>
      </c>
      <c r="P11">
        <v>8</v>
      </c>
      <c r="Q11">
        <f>100*85958/184662</f>
        <v>46.54882975382049</v>
      </c>
      <c r="R11">
        <f>100*67558/223861</f>
        <v>30.17854829559414</v>
      </c>
      <c r="S11">
        <f>IF(COUNT(Q11:R11)=2,R11-Q11,"")</f>
        <v>-16.37028145822635</v>
      </c>
    </row>
    <row r="12" spans="1:19" x14ac:dyDescent="0.3">
      <c r="A12">
        <v>10</v>
      </c>
      <c r="B12">
        <v>9</v>
      </c>
      <c r="C12">
        <f>100*74901/412598</f>
        <v>18.15350534903223</v>
      </c>
      <c r="D12">
        <f>100*9729/285434</f>
        <v>3.408493732351437</v>
      </c>
      <c r="E12">
        <f>IF(COUNT(C12:D12)=2,D12-C12,"")</f>
        <v>-14.745011616680793</v>
      </c>
      <c r="H12">
        <v>10</v>
      </c>
      <c r="I12">
        <v>9</v>
      </c>
      <c r="J12">
        <f>100*71311/426052</f>
        <v>16.737628270727516</v>
      </c>
      <c r="K12">
        <f>100*53737/488153</f>
        <v>11.008228977390285</v>
      </c>
      <c r="L12">
        <f>IF(COUNT(J12:K12)=2,K12-J12,"")</f>
        <v>-5.729399293337231</v>
      </c>
      <c r="O12">
        <v>10</v>
      </c>
      <c r="P12">
        <v>9</v>
      </c>
      <c r="Q12">
        <f>100*199032/643646</f>
        <v>30.922587882158826</v>
      </c>
      <c r="R12">
        <f>100*4518/365125</f>
        <v>1.2373844573776105</v>
      </c>
      <c r="S12">
        <f>IF(COUNT(Q12:R12)=2,R12-Q12,"")</f>
        <v>-29.685203424781214</v>
      </c>
    </row>
    <row r="13" spans="1:19" x14ac:dyDescent="0.3">
      <c r="A13">
        <v>11</v>
      </c>
      <c r="B13">
        <v>10</v>
      </c>
      <c r="C13">
        <f>100*3762/517486</f>
        <v>0.726976188727811</v>
      </c>
      <c r="D13">
        <f>100*11252/502163</f>
        <v>2.240706702803671</v>
      </c>
      <c r="E13">
        <f>IF(COUNT(C13:D13)=2,D13-C13,"")</f>
        <v>1.5137305140758601</v>
      </c>
      <c r="H13">
        <v>11</v>
      </c>
      <c r="I13">
        <v>10</v>
      </c>
      <c r="J13">
        <f>100*28276/544111</f>
        <v>5.196733754693436</v>
      </c>
      <c r="K13">
        <f>100*33478/542213</f>
        <v>6.174326325632178</v>
      </c>
      <c r="L13">
        <f>IF(COUNT(J13:K13)=2,K13-J13,"")</f>
        <v>0.9775925709387421</v>
      </c>
      <c r="O13">
        <v>11</v>
      </c>
      <c r="P13">
        <v>10</v>
      </c>
      <c r="Q13">
        <f>100*136848/421678</f>
        <v>32.453198886354045</v>
      </c>
      <c r="R13">
        <f>100*109645/504664</f>
        <v>21.72633673097348</v>
      </c>
      <c r="S13">
        <f>IF(COUNT(Q13:R13)=2,R13-Q13,"")</f>
        <v>-10.726862155380566</v>
      </c>
    </row>
    <row r="14" spans="1:19" x14ac:dyDescent="0.3">
      <c r="A14">
        <v>12</v>
      </c>
      <c r="B14">
        <v>11</v>
      </c>
      <c r="C14">
        <f>100*244757/639957</f>
        <v>38.24585089310688</v>
      </c>
      <c r="D14">
        <f>100*26110/493541</f>
        <v>5.29034062013085</v>
      </c>
      <c r="E14">
        <f>IF(COUNT(C14:D14)=2,D14-C14,"")</f>
        <v>-32.955510272976035</v>
      </c>
      <c r="H14">
        <v>12</v>
      </c>
      <c r="I14">
        <v>11</v>
      </c>
      <c r="J14">
        <f>100*18702/461148</f>
        <v>4.05553097920841</v>
      </c>
      <c r="K14">
        <f>100*70230/561338</f>
        <v>12.511178648158507</v>
      </c>
      <c r="L14">
        <f>IF(COUNT(J14:K14)=2,K14-J14,"")</f>
        <v>8.455647668950096</v>
      </c>
      <c r="O14">
        <v>12</v>
      </c>
      <c r="P14">
        <v>11</v>
      </c>
      <c r="Q14">
        <f>100*91935/209068</f>
        <v>43.973731034878604</v>
      </c>
      <c r="R14">
        <f>100*121292/381401</f>
        <v>31.801699523598522</v>
      </c>
      <c r="S14">
        <f>IF(COUNT(Q14:R14)=2,R14-Q14,"")</f>
        <v>-12.172031511280082</v>
      </c>
    </row>
    <row r="15" spans="1:19" x14ac:dyDescent="0.3">
      <c r="A15">
        <v>13</v>
      </c>
      <c r="B15">
        <v>12</v>
      </c>
      <c r="C15">
        <f>100*31827/409126</f>
        <v>7.779266045179236</v>
      </c>
      <c r="D15">
        <f>100*33470/377708</f>
        <v>8.861342624461225</v>
      </c>
      <c r="E15">
        <f>IF(COUNT(C15:D15)=2,D15-C15,"")</f>
        <v>1.0820765792819884</v>
      </c>
      <c r="H15">
        <v>13</v>
      </c>
      <c r="I15">
        <v>12</v>
      </c>
      <c r="J15">
        <f>100*226380/535721</f>
        <v>42.25707037805126</v>
      </c>
      <c r="K15">
        <f>100*18135/291460</f>
        <v>6.222123104371097</v>
      </c>
      <c r="L15">
        <f>IF(COUNT(J15:K15)=2,K15-J15,"")</f>
        <v>-36.03494727368016</v>
      </c>
      <c r="O15">
        <v>13</v>
      </c>
      <c r="P15">
        <v>12</v>
      </c>
      <c r="Q15">
        <f>100*165466/516479</f>
        <v>32.037314198641184</v>
      </c>
      <c r="R15">
        <f>100*39181/468703</f>
        <v>8.359451507671169</v>
      </c>
      <c r="S15">
        <f>IF(COUNT(Q15:R15)=2,R15-Q15,"")</f>
        <v>-23.677862690970017</v>
      </c>
    </row>
    <row r="16" spans="1:19" x14ac:dyDescent="0.3">
      <c r="A16">
        <v>14</v>
      </c>
      <c r="B16">
        <v>13</v>
      </c>
      <c r="C16">
        <f>100*4186/284672</f>
        <v>1.4704642535971224</v>
      </c>
      <c r="D16">
        <f>100*15402/266199</f>
        <v>5.785897016893377</v>
      </c>
      <c r="E16">
        <f>IF(COUNT(C16:D16)=2,D16-C16,"")</f>
        <v>4.315432763296254</v>
      </c>
      <c r="H16">
        <v>14</v>
      </c>
      <c r="I16">
        <v>13</v>
      </c>
      <c r="J16">
        <f>100*44978/265308</f>
        <v>16.95312617787628</v>
      </c>
      <c r="K16">
        <f>100*63973/316084</f>
        <v>20.23924020197163</v>
      </c>
      <c r="L16">
        <f>IF(COUNT(J16:K16)=2,K16-J16,"")</f>
        <v>3.286114024095351</v>
      </c>
      <c r="O16">
        <v>14</v>
      </c>
      <c r="P16">
        <v>13</v>
      </c>
      <c r="Q16">
        <f>100*58109/351187</f>
        <v>16.546455307286433</v>
      </c>
      <c r="R16">
        <f>100*17011/476829</f>
        <v>3.5675263039789944</v>
      </c>
      <c r="S16">
        <f>IF(COUNT(Q16:R16)=2,R16-Q16,"")</f>
        <v>-12.978929003307439</v>
      </c>
    </row>
    <row r="17" spans="1:19" x14ac:dyDescent="0.3">
      <c r="A17">
        <v>15</v>
      </c>
      <c r="B17">
        <v>14</v>
      </c>
      <c r="C17">
        <f>100*181005/547993</f>
        <v>33.0305314118976</v>
      </c>
      <c r="D17">
        <f>100*75836/466575</f>
        <v>16.25376413224026</v>
      </c>
      <c r="E17">
        <f>IF(COUNT(C17:D17)=2,D17-C17,"")</f>
        <v>-16.77676727965734</v>
      </c>
      <c r="H17">
        <v>15</v>
      </c>
      <c r="I17">
        <v>14</v>
      </c>
      <c r="J17">
        <f>100*185252/403337</f>
        <v>45.92983038997166</v>
      </c>
      <c r="K17">
        <f>100*72805/444456</f>
        <v>16.380699101823353</v>
      </c>
      <c r="L17">
        <f>IF(COUNT(J17:K17)=2,K17-J17,"")</f>
        <v>-29.54913128814831</v>
      </c>
      <c r="O17">
        <v>15</v>
      </c>
      <c r="P17">
        <v>14</v>
      </c>
      <c r="Q17">
        <f>100*158493/377442</f>
        <v>41.99135231373297</v>
      </c>
      <c r="R17">
        <f>100*84172/289402</f>
        <v>29.084802454716968</v>
      </c>
      <c r="S17">
        <f>IF(COUNT(Q17:R17)=2,R17-Q17,"")</f>
        <v>-12.906549859016</v>
      </c>
    </row>
    <row r="18" spans="1:19" x14ac:dyDescent="0.3">
      <c r="A18">
        <v>16</v>
      </c>
      <c r="B18">
        <v>15</v>
      </c>
      <c r="C18">
        <f>100*145812/450453</f>
        <v>32.37008078534276</v>
      </c>
      <c r="D18">
        <f>100*11522/353472</f>
        <v>3.259664131812421</v>
      </c>
      <c r="E18">
        <f>IF(COUNT(C18:D18)=2,D18-C18,"")</f>
        <v>-29.110416653530336</v>
      </c>
      <c r="H18">
        <v>16</v>
      </c>
      <c r="I18">
        <v>15</v>
      </c>
      <c r="J18">
        <f>100*116194/472598</f>
        <v>24.586223386472223</v>
      </c>
      <c r="K18">
        <f>100*23690/354597</f>
        <v>6.68082358282783</v>
      </c>
      <c r="L18">
        <f>IF(COUNT(J18:K18)=2,K18-J18,"")</f>
        <v>-17.905399803644393</v>
      </c>
      <c r="O18">
        <v>16</v>
      </c>
      <c r="P18">
        <v>15</v>
      </c>
      <c r="Q18">
        <f>100*130815/335348</f>
        <v>39.00873122845522</v>
      </c>
      <c r="R18">
        <f>100*124579/423464</f>
        <v>29.419029716811817</v>
      </c>
      <c r="S18">
        <f>IF(COUNT(Q18:R18)=2,R18-Q18,"")</f>
        <v>-9.589701511643401</v>
      </c>
    </row>
    <row r="19" spans="1:19" x14ac:dyDescent="0.3">
      <c r="A19">
        <v>17</v>
      </c>
      <c r="B19">
        <v>16</v>
      </c>
      <c r="C19">
        <f>100*73371/330890</f>
        <v>22.173834204720603</v>
      </c>
      <c r="D19">
        <f>100*35444/245449</f>
        <v>14.440474395903019</v>
      </c>
      <c r="E19">
        <f>IF(COUNT(C19:D19)=2,D19-C19,"")</f>
        <v>-7.733359808817584</v>
      </c>
      <c r="H19">
        <v>17</v>
      </c>
      <c r="I19">
        <v>16</v>
      </c>
      <c r="J19">
        <f>100*147986/392782</f>
        <v>37.6763700984261</v>
      </c>
      <c r="K19">
        <f>100*88284/456255</f>
        <v>19.349705756649243</v>
      </c>
      <c r="L19">
        <f>IF(COUNT(J19:K19)=2,K19-J19,"")</f>
        <v>-18.326664341776855</v>
      </c>
      <c r="O19">
        <v>17</v>
      </c>
      <c r="P19">
        <v>16</v>
      </c>
      <c r="Q19">
        <f>100*17753/266611</f>
        <v>6.65876501719734</v>
      </c>
      <c r="R19">
        <f>100*4130/287545</f>
        <v>1.4362969274374446</v>
      </c>
      <c r="S19">
        <f>IF(COUNT(Q19:R19)=2,R19-Q19,"")</f>
        <v>-5.222468089759896</v>
      </c>
    </row>
    <row r="20" spans="1:19" x14ac:dyDescent="0.3">
      <c r="A20">
        <v>18</v>
      </c>
      <c r="B20">
        <v>17</v>
      </c>
      <c r="C20">
        <f>100*149926/449301</f>
        <v>33.36872163649758</v>
      </c>
      <c r="D20">
        <f>100*66219/539886</f>
        <v>12.265367133061424</v>
      </c>
      <c r="E20">
        <f>IF(COUNT(C20:D20)=2,D20-C20,"")</f>
        <v>-21.103354503436158</v>
      </c>
      <c r="H20">
        <v>18</v>
      </c>
      <c r="I20">
        <v>17</v>
      </c>
      <c r="J20">
        <f>100*134558/617547</f>
        <v>21.78911078832866</v>
      </c>
      <c r="K20">
        <f>100*17412/412934</f>
        <v>4.216654477470976</v>
      </c>
      <c r="L20">
        <f>IF(COUNT(J20:K20)=2,K20-J20,"")</f>
        <v>-17.572456310857685</v>
      </c>
      <c r="O20">
        <v>18</v>
      </c>
      <c r="P20">
        <v>17</v>
      </c>
      <c r="Q20">
        <f>100*1405/276206</f>
        <v>0.5086783053228388</v>
      </c>
      <c r="R20">
        <f>100*2028/292773</f>
        <v>0.6926868256294125</v>
      </c>
      <c r="S20">
        <f>IF(COUNT(Q20:R20)=2,R20-Q20,"")</f>
        <v>0.18400852030657378</v>
      </c>
    </row>
    <row r="21" spans="1:19" x14ac:dyDescent="0.3">
      <c r="A21">
        <v>19</v>
      </c>
      <c r="B21">
        <v>18</v>
      </c>
      <c r="C21">
        <f>100*63409/348972</f>
        <v>18.170225691459486</v>
      </c>
      <c r="D21">
        <f>100*60250/440296</f>
        <v>13.68397623416974</v>
      </c>
      <c r="E21">
        <f>IF(COUNT(C21:D21)=2,D21-C21,"")</f>
        <v>-4.486249457289745</v>
      </c>
      <c r="H21">
        <v>19</v>
      </c>
      <c r="I21">
        <v>18</v>
      </c>
      <c r="J21">
        <f>100*48771/351007</f>
        <v>13.894594694692698</v>
      </c>
      <c r="K21">
        <f>100*51709/386790</f>
        <v>13.36875307014142</v>
      </c>
      <c r="L21">
        <f>IF(COUNT(J21:K21)=2,K21-J21,"")</f>
        <v>-0.525841624551278</v>
      </c>
      <c r="O21">
        <v>19</v>
      </c>
      <c r="P21">
        <v>18</v>
      </c>
      <c r="Q21">
        <f>100*124085/311389</f>
        <v>39.84887070513088</v>
      </c>
      <c r="R21">
        <f>100*184188/530259</f>
        <v>34.73547832285732</v>
      </c>
      <c r="S21">
        <f>IF(COUNT(Q21:R21)=2,R21-Q21,"")</f>
        <v>-5.11339238227356</v>
      </c>
    </row>
    <row r="22" spans="1:19" x14ac:dyDescent="0.3">
      <c r="A22">
        <v>20</v>
      </c>
      <c r="B22">
        <v>19</v>
      </c>
      <c r="C22">
        <f>100*79870/385907</f>
        <v>20.69669635430298</v>
      </c>
      <c r="D22">
        <f>100*65241/389811</f>
        <v>16.7365723389027</v>
      </c>
      <c r="E22">
        <f>IF(COUNT(C22:D22)=2,D22-C22,"")</f>
        <v>-3.960124015400279</v>
      </c>
      <c r="H22">
        <v>20</v>
      </c>
      <c r="I22">
        <v>19</v>
      </c>
      <c r="J22">
        <f>100*42161/340805</f>
        <v>12.371003946538343</v>
      </c>
      <c r="K22">
        <f>100*40906/454745</f>
        <v>8.9953710321169</v>
      </c>
      <c r="L22">
        <f>IF(COUNT(J22:K22)=2,K22-J22,"")</f>
        <v>-3.375632914421443</v>
      </c>
      <c r="O22">
        <v>20</v>
      </c>
      <c r="P22">
        <v>19</v>
      </c>
      <c r="Q22">
        <f>100*139808/401311</f>
        <v>34.83781904806995</v>
      </c>
      <c r="R22">
        <f>100*15551/425483</f>
        <v>3.654905131344848</v>
      </c>
      <c r="S22">
        <f>IF(COUNT(Q22:R22)=2,R22-Q22,"")</f>
        <v>-31.182913916725106</v>
      </c>
    </row>
    <row r="23" spans="1:19" x14ac:dyDescent="0.3">
      <c r="A23">
        <v>21</v>
      </c>
      <c r="B23">
        <v>20</v>
      </c>
      <c r="C23">
        <f>100*98878/370466</f>
        <v>26.690168598467874</v>
      </c>
      <c r="D23">
        <f>100*70148/416267</f>
        <v>16.851684135422698</v>
      </c>
      <c r="E23">
        <f>IF(COUNT(C23:D23)=2,D23-C23,"")</f>
        <v>-9.838484463045177</v>
      </c>
      <c r="H23">
        <v>21</v>
      </c>
      <c r="I23">
        <v>20</v>
      </c>
      <c r="J23">
        <f>100*222992/523032</f>
        <v>42.63448507930681</v>
      </c>
      <c r="K23">
        <f>100*31685/279263</f>
        <v>11.34593555179168</v>
      </c>
      <c r="L23">
        <f>IF(COUNT(J23:K23)=2,K23-J23,"")</f>
        <v>-31.288549527515134</v>
      </c>
      <c r="O23">
        <v>21</v>
      </c>
      <c r="P23">
        <v>20</v>
      </c>
      <c r="Q23">
        <f>100*43636/293480</f>
        <v>14.86847485348235</v>
      </c>
      <c r="R23">
        <f>100*92029/414908</f>
        <v>22.180579791182623</v>
      </c>
      <c r="S23">
        <f>IF(COUNT(Q23:R23)=2,R23-Q23,"")</f>
        <v>7.312104937700273</v>
      </c>
    </row>
    <row r="24" spans="1:19" x14ac:dyDescent="0.3">
      <c r="A24">
        <v>22</v>
      </c>
      <c r="B24">
        <v>21</v>
      </c>
      <c r="C24">
        <f>100*37074/97184</f>
        <v>38.14825485676655</v>
      </c>
      <c r="D24">
        <f>100*70482/231402</f>
        <v>30.458682293152176</v>
      </c>
      <c r="E24">
        <f>IF(COUNT(C24:D24)=2,D24-C24,"")</f>
        <v>-7.689572563614373</v>
      </c>
      <c r="H24">
        <v>22</v>
      </c>
      <c r="I24">
        <v>21</v>
      </c>
      <c r="J24">
        <f>100*54639/207484</f>
        <v>26.334078772339073</v>
      </c>
      <c r="K24">
        <f>100*58919/248963</f>
        <v>23.665765595690925</v>
      </c>
      <c r="L24">
        <f>IF(COUNT(J24:K24)=2,K24-J24,"")</f>
        <v>-2.668313176648148</v>
      </c>
      <c r="O24">
        <v>22</v>
      </c>
      <c r="P24">
        <v>21</v>
      </c>
      <c r="Q24">
        <f>100*45197/105457</f>
        <v>42.85822657576074</v>
      </c>
      <c r="R24">
        <f>100*63445/215028</f>
        <v>29.50545975407854</v>
      </c>
      <c r="S24">
        <f>IF(COUNT(Q24:R24)=2,R24-Q24,"")</f>
        <v>-13.352766821682199</v>
      </c>
    </row>
    <row r="25" spans="1:19" x14ac:dyDescent="0.3">
      <c r="A25">
        <v>23</v>
      </c>
      <c r="B25">
        <v>22</v>
      </c>
      <c r="C25">
        <f>100*194786/575758</f>
        <v>33.831227703305906</v>
      </c>
      <c r="D25">
        <f>100*30040/389894</f>
        <v>7.704658189148845</v>
      </c>
      <c r="E25">
        <f>IF(COUNT(C25:D25)=2,D25-C25,"")</f>
        <v>-26.12656951415706</v>
      </c>
      <c r="H25">
        <v>23</v>
      </c>
      <c r="I25">
        <v>22</v>
      </c>
      <c r="J25">
        <f>100*82449/499533</f>
        <v>16.505215871624095</v>
      </c>
      <c r="K25">
        <f>100*44743/361846</f>
        <v>12.36520508724706</v>
      </c>
      <c r="L25">
        <f>IF(COUNT(J25:K25)=2,K25-J25,"")</f>
        <v>-4.140010784377035</v>
      </c>
      <c r="O25">
        <v>23</v>
      </c>
      <c r="P25">
        <v>22</v>
      </c>
      <c r="Q25">
        <f>100*656/247400</f>
        <v>0.2651576394502829</v>
      </c>
      <c r="R25">
        <f>100*2475/264314</f>
        <v>0.9363862678480898</v>
      </c>
      <c r="S25">
        <f>IF(COUNT(Q25:R25)=2,R25-Q25,"")</f>
        <v>0.6712286283978068</v>
      </c>
    </row>
    <row r="26" spans="1:19" x14ac:dyDescent="0.3">
      <c r="A26">
        <v>24</v>
      </c>
      <c r="B26">
        <v>23</v>
      </c>
      <c r="C26">
        <f>100*137480/562231</f>
        <v>24.452582657306337</v>
      </c>
      <c r="D26">
        <f>100*10308/431033</f>
        <v>2.3914642266369395</v>
      </c>
      <c r="E26">
        <f>IF(COUNT(C26:D26)=2,D26-C26,"")</f>
        <v>-22.061118430669396</v>
      </c>
      <c r="H26">
        <v>24</v>
      </c>
      <c r="I26">
        <v>23</v>
      </c>
      <c r="J26">
        <f>100*167481/558799</f>
        <v>29.971599806012538</v>
      </c>
      <c r="K26">
        <f>100*17591/435466</f>
        <v>4.0395805872329875</v>
      </c>
      <c r="L26">
        <f>IF(COUNT(J26:K26)=2,K26-J26,"")</f>
        <v>-25.93201921877955</v>
      </c>
      <c r="O26">
        <v>24</v>
      </c>
      <c r="P26">
        <v>23</v>
      </c>
      <c r="Q26">
        <f>100*53061/340117</f>
        <v>15.600807957261766</v>
      </c>
      <c r="R26">
        <f>100*29083/285141</f>
        <v>10.199515327504638</v>
      </c>
      <c r="S26">
        <f>IF(COUNT(Q26:R26)=2,R26-Q26,"")</f>
        <v>-5.401292629757128</v>
      </c>
    </row>
    <row r="27" spans="1:19" x14ac:dyDescent="0.3">
      <c r="A27">
        <v>25</v>
      </c>
      <c r="B27">
        <v>24</v>
      </c>
      <c r="C27">
        <f>100*26771/508395</f>
        <v>5.265787429065982</v>
      </c>
      <c r="D27">
        <f>100*33875/441625</f>
        <v>7.670534956127937</v>
      </c>
      <c r="E27">
        <f>IF(COUNT(C27:D27)=2,D27-C27,"")</f>
        <v>2.4047475270619545</v>
      </c>
      <c r="H27">
        <v>25</v>
      </c>
      <c r="I27">
        <v>24</v>
      </c>
      <c r="J27">
        <f>100*67075/346916</f>
        <v>19.334651615953142</v>
      </c>
      <c r="K27">
        <f>100*1576/321136</f>
        <v>0.4907578097752977</v>
      </c>
      <c r="L27">
        <f>IF(COUNT(J27:K27)=2,K27-J27,"")</f>
        <v>-18.843893806177846</v>
      </c>
      <c r="O27">
        <v>25</v>
      </c>
      <c r="P27">
        <v>24</v>
      </c>
      <c r="Q27">
        <f>100*158561/348258</f>
        <v>45.52975093178046</v>
      </c>
      <c r="R27">
        <f>100*146542/490239</f>
        <v>29.89195066080014</v>
      </c>
      <c r="S27">
        <f>IF(COUNT(Q27:R27)=2,R27-Q27,"")</f>
        <v>-15.637800270980321</v>
      </c>
    </row>
    <row r="28" spans="1:19" x14ac:dyDescent="0.3">
      <c r="A28">
        <v>26</v>
      </c>
      <c r="B28">
        <v>25</v>
      </c>
      <c r="C28">
        <f>100*122343/511784</f>
        <v>23.90520219467588</v>
      </c>
      <c r="D28">
        <f>100*100194/607167</f>
        <v>16.5018849838677</v>
      </c>
      <c r="E28">
        <f>IF(COUNT(C28:D28)=2,D28-C28,"")</f>
        <v>-7.403317210808179</v>
      </c>
      <c r="H28">
        <v>26</v>
      </c>
      <c r="I28">
        <v>25</v>
      </c>
      <c r="J28">
        <f>100*177325/563486</f>
        <v>31.469282289178437</v>
      </c>
      <c r="K28">
        <f>100*93685/624485</f>
        <v>15.00196161637189</v>
      </c>
      <c r="L28">
        <f>IF(COUNT(J28:K28)=2,K28-J28,"")</f>
        <v>-16.467320672806547</v>
      </c>
      <c r="O28">
        <v>26</v>
      </c>
      <c r="P28">
        <v>25</v>
      </c>
      <c r="Q28">
        <f>100*156244/369843</f>
        <v>42.246034127994854</v>
      </c>
      <c r="R28">
        <f>100*108886/478917</f>
        <v>22.735881165212344</v>
      </c>
      <c r="S28">
        <f>IF(COUNT(Q28:R28)=2,R28-Q28,"")</f>
        <v>-19.51015296278251</v>
      </c>
    </row>
    <row r="29" spans="1:19" x14ac:dyDescent="0.3">
      <c r="A29">
        <v>27</v>
      </c>
      <c r="B29">
        <v>26</v>
      </c>
      <c r="C29">
        <f>100*273547/613111</f>
        <v>44.61622773037835</v>
      </c>
      <c r="D29">
        <f>100*49777/435269</f>
        <v>11.43591664005477</v>
      </c>
      <c r="E29">
        <f>IF(COUNT(C29:D29)=2,D29-C29,"")</f>
        <v>-33.18031109032358</v>
      </c>
      <c r="H29">
        <v>27</v>
      </c>
      <c r="I29">
        <v>26</v>
      </c>
      <c r="J29">
        <f>100*35297/437184</f>
        <v>8.073717244912897</v>
      </c>
      <c r="K29">
        <f>100*83195/463591</f>
        <v>17.945775478816458</v>
      </c>
      <c r="L29">
        <f>IF(COUNT(J29:K29)=2,K29-J29,"")</f>
        <v>9.87205823390356</v>
      </c>
      <c r="O29">
        <v>27</v>
      </c>
      <c r="P29">
        <v>26</v>
      </c>
      <c r="Q29">
        <f>100*99207/334942</f>
        <v>29.619157943763398</v>
      </c>
      <c r="R29">
        <f>100*109853/405755</f>
        <v>27.073726756293823</v>
      </c>
      <c r="S29">
        <f>IF(COUNT(Q29:R29)=2,R29-Q29,"")</f>
        <v>-2.5454311874695748</v>
      </c>
    </row>
    <row r="30" spans="1:19" x14ac:dyDescent="0.3">
      <c r="A30">
        <v>28</v>
      </c>
      <c r="B30">
        <v>27</v>
      </c>
      <c r="C30">
        <f>100*60367/261571</f>
        <v>23.078628747070585</v>
      </c>
      <c r="D30">
        <f>100*57827/299030</f>
        <v>19.338193492291744</v>
      </c>
      <c r="E30">
        <f>IF(COUNT(C30:D30)=2,D30-C30,"")</f>
        <v>-3.7404352547788413</v>
      </c>
      <c r="H30">
        <v>28</v>
      </c>
      <c r="I30">
        <v>27</v>
      </c>
      <c r="J30">
        <f>100*111624/317500</f>
        <v>35.15716535433071</v>
      </c>
      <c r="K30">
        <f>100*73706/359147</f>
        <v>20.522515850055825</v>
      </c>
      <c r="L30">
        <f>IF(COUNT(J30:K30)=2,K30-J30,"")</f>
        <v>-14.634649504274883</v>
      </c>
      <c r="O30">
        <v>28</v>
      </c>
      <c r="P30">
        <v>27</v>
      </c>
      <c r="Q30">
        <f>100*258/245208</f>
        <v>0.10521679553685034</v>
      </c>
      <c r="R30">
        <f>100*372/243584</f>
        <v>0.15271939043615343</v>
      </c>
      <c r="S30">
        <f>IF(COUNT(Q30:R30)=2,R30-Q30,"")</f>
        <v>0.047502594899303086</v>
      </c>
    </row>
    <row r="31" spans="1:19" x14ac:dyDescent="0.3">
      <c r="A31">
        <v>29</v>
      </c>
      <c r="B31">
        <v>28</v>
      </c>
      <c r="C31">
        <f>100*135778/291495</f>
        <v>46.57987272508962</v>
      </c>
      <c r="D31">
        <f>100*81391/399688</f>
        <v>20.363633634234702</v>
      </c>
      <c r="E31">
        <f>IF(COUNT(C31:D31)=2,D31-C31,"")</f>
        <v>-26.21623909085492</v>
      </c>
      <c r="H31">
        <v>29</v>
      </c>
      <c r="I31">
        <v>28</v>
      </c>
      <c r="J31">
        <f>100*143049/329070</f>
        <v>43.47069012672076</v>
      </c>
      <c r="K31">
        <f>100*80099/368513</f>
        <v>21.735732525039822</v>
      </c>
      <c r="L31">
        <f>IF(COUNT(J31:K31)=2,K31-J31,"")</f>
        <v>-21.73495760168094</v>
      </c>
      <c r="O31">
        <v>29</v>
      </c>
      <c r="P31">
        <v>28</v>
      </c>
      <c r="Q31">
        <f>100*106682/252496</f>
        <v>42.25096635194221</v>
      </c>
      <c r="R31">
        <f>100*104717/335837</f>
        <v>31.180900258160953</v>
      </c>
      <c r="S31">
        <f>IF(COUNT(Q31:R31)=2,R31-Q31,"")</f>
        <v>-11.070066093781257</v>
      </c>
    </row>
    <row r="32" spans="1:19" x14ac:dyDescent="0.3">
      <c r="A32">
        <v>30</v>
      </c>
      <c r="B32">
        <v>29</v>
      </c>
      <c r="C32">
        <f>100*67185/347874</f>
        <v>19.313027130512772</v>
      </c>
      <c r="D32">
        <f>100*13064/389142</f>
        <v>3.3571292741467125</v>
      </c>
      <c r="E32">
        <f>IF(COUNT(C32:D32)=2,D32-C32,"")</f>
        <v>-15.95589785636606</v>
      </c>
      <c r="H32">
        <v>30</v>
      </c>
      <c r="I32">
        <v>29</v>
      </c>
      <c r="J32">
        <f>100*71699/295601</f>
        <v>24.25533066532251</v>
      </c>
      <c r="K32">
        <f>100*66211/441325</f>
        <v>15.00277573217017</v>
      </c>
      <c r="L32">
        <f>IF(COUNT(J32:K32)=2,K32-J32,"")</f>
        <v>-9.252554933152341</v>
      </c>
      <c r="O32">
        <v>30</v>
      </c>
      <c r="P32">
        <v>29</v>
      </c>
      <c r="Q32">
        <f>100*220230/481156</f>
        <v>45.771018131333705</v>
      </c>
      <c r="R32">
        <f>100*76713/420907</f>
        <v>18.225641293682454</v>
      </c>
      <c r="S32">
        <f>IF(COUNT(Q32:R32)=2,R32-Q32,"")</f>
        <v>-27.54537683765125</v>
      </c>
    </row>
    <row r="33" spans="1:19" x14ac:dyDescent="0.3">
      <c r="A33">
        <v>31</v>
      </c>
      <c r="B33">
        <v>30</v>
      </c>
      <c r="C33">
        <f>100*89281/348777</f>
        <v>25.59830493409829</v>
      </c>
      <c r="D33">
        <f>100*69255/296673</f>
        <v>23.34388366989918</v>
      </c>
      <c r="E33">
        <f>IF(COUNT(C33:D33)=2,D33-C33,"")</f>
        <v>-2.2544212641991095</v>
      </c>
      <c r="H33">
        <v>31</v>
      </c>
      <c r="I33">
        <v>30</v>
      </c>
      <c r="J33">
        <f>100*58413/325415</f>
        <v>17.950309604658667</v>
      </c>
      <c r="K33">
        <f>100*74195/375202</f>
        <v>19.77468137163448</v>
      </c>
      <c r="L33">
        <f>IF(COUNT(J33:K33)=2,K33-J33,"")</f>
        <v>1.824371766975812</v>
      </c>
      <c r="O33">
        <v>31</v>
      </c>
      <c r="P33">
        <v>30</v>
      </c>
      <c r="Q33">
        <f>100*3974/273650</f>
        <v>1.4522199890370913</v>
      </c>
      <c r="R33">
        <f>100*17065/296369</f>
        <v>5.758024624707712</v>
      </c>
      <c r="S33">
        <f>IF(COUNT(Q33:R33)=2,R33-Q33,"")</f>
        <v>4.30580463567062</v>
      </c>
    </row>
    <row r="34" spans="1:19" x14ac:dyDescent="0.3">
      <c r="A34" t="s">
        <v>5</v>
      </c>
      <c r="C34">
        <f>IF(COUNT(C3:C33)&gt;0,AVERAGE(C3:C33),"")</f>
        <v>24.86611924539666</v>
      </c>
      <c r="D34">
        <f>IF(COUNT(D3:D33)&gt;0,AVERAGE(D3:D33),"")</f>
        <v>12.724796837635168</v>
      </c>
      <c r="E34">
        <f>IF(COUNT(E3:E33)&gt;0,AVERAGE(E3:E33),"")</f>
        <v>-12.141322407761484</v>
      </c>
      <c r="H34" t="s">
        <v>5</v>
      </c>
      <c r="J34">
        <f>IF(COUNT(J3:J33)&gt;0,AVERAGE(J3:J33),"")</f>
        <v>22.873960622545518</v>
      </c>
      <c r="K34">
        <f>IF(COUNT(K3:K33)&gt;0,AVERAGE(K3:K33),"")</f>
        <v>12.864477180391612</v>
      </c>
      <c r="L34">
        <f>IF(COUNT(L3:L33)&gt;0,AVERAGE(L3:L33),"")</f>
        <v>-10.009483442153908</v>
      </c>
      <c r="O34" t="s">
        <v>5</v>
      </c>
      <c r="Q34">
        <f>IF(COUNT(Q3:Q33)&gt;0,AVERAGE(Q3:Q33),"")</f>
        <v>30.285258327658585</v>
      </c>
      <c r="R34">
        <f>IF(COUNT(R3:R33)&gt;0,AVERAGE(R3:R33),"")</f>
        <v>18.005994809256006</v>
      </c>
      <c r="S34">
        <f>IF(COUNT(S3:S33)&gt;0,AVERAGE(S3:S33),"")</f>
        <v>-12.27926351840258</v>
      </c>
    </row>
    <row r="37" spans="1:19" s="2" customFormat="1" x14ac:dyDescent="0.3">
      <c r="A37" s="1" t="s">
        <v>9</v>
      </c>
      <c r="B37" s="1"/>
      <c r="C37" s="1"/>
      <c r="D37" s="1"/>
      <c r="E37" s="1"/>
      <c r="H37" s="1" t="s">
        <v>10</v>
      </c>
      <c r="I37" s="1"/>
      <c r="J37" s="1"/>
      <c r="K37" s="1"/>
      <c r="L37" s="1"/>
      <c r="O37" s="1" t="s">
        <v>11</v>
      </c>
      <c r="P37" s="1"/>
      <c r="Q37" s="1"/>
      <c r="R37" s="1"/>
      <c r="S37" s="1"/>
    </row>
    <row r="38" spans="1:19" x14ac:dyDescent="0.3">
      <c r="A38" t="s">
        <v>0</v>
      </c>
      <c r="B38" t="s">
        <v>1</v>
      </c>
      <c r="C38" t="s">
        <v>2</v>
      </c>
      <c r="D38" t="s">
        <v>3</v>
      </c>
      <c r="E38" t="s">
        <v>4</v>
      </c>
      <c r="H38" t="s">
        <v>0</v>
      </c>
      <c r="I38" t="s">
        <v>1</v>
      </c>
      <c r="J38" t="s">
        <v>2</v>
      </c>
      <c r="K38" t="s">
        <v>3</v>
      </c>
      <c r="L38" t="s">
        <v>4</v>
      </c>
      <c r="O38" t="s">
        <v>0</v>
      </c>
      <c r="P38" t="s">
        <v>1</v>
      </c>
      <c r="Q38" t="s">
        <v>2</v>
      </c>
      <c r="R38" t="s">
        <v>3</v>
      </c>
      <c r="S38" t="s">
        <v>4</v>
      </c>
    </row>
    <row r="39" spans="1:19" x14ac:dyDescent="0.3">
      <c r="A39">
        <v>1</v>
      </c>
      <c r="B39">
        <v>0</v>
      </c>
      <c r="C39">
        <f>100*80163/523211</f>
        <v>15.321352188696338</v>
      </c>
      <c r="D39">
        <f>100*37707/517631</f>
        <v>7.2845328042563136</v>
      </c>
      <c r="E39">
        <f>IF(COUNT(C39:D39)=2,D39-C39,"")</f>
        <v>-8.036819384440024</v>
      </c>
      <c r="H39">
        <v>1</v>
      </c>
      <c r="I39">
        <v>0</v>
      </c>
      <c r="J39">
        <f>100*211130/713250</f>
        <v>29.601121626358218</v>
      </c>
      <c r="K39">
        <f>100*108614/332041</f>
        <v>32.711020626970765</v>
      </c>
      <c r="L39">
        <f>IF(COUNT(J39:K39)=2,K39-J39,"")</f>
        <v>3.109899000612547</v>
      </c>
      <c r="O39">
        <v>1</v>
      </c>
      <c r="P39">
        <v>0</v>
      </c>
      <c r="Q39">
        <f>100*33559/419154</f>
        <v>8.00636520228842</v>
      </c>
      <c r="R39">
        <f>100*9409/379659</f>
        <v>2.478276558701361</v>
      </c>
      <c r="S39">
        <f>IF(COUNT(Q39:R39)=2,R39-Q39,"")</f>
        <v>-5.528088643587059</v>
      </c>
    </row>
    <row r="40" spans="1:19" x14ac:dyDescent="0.3">
      <c r="A40">
        <v>2</v>
      </c>
      <c r="B40">
        <v>1</v>
      </c>
      <c r="C40">
        <f>100*204846/421884</f>
        <v>48.555053047757205</v>
      </c>
      <c r="D40">
        <f>100*198303/598510</f>
        <v>33.132779736345256</v>
      </c>
      <c r="E40">
        <f>IF(COUNT(C40:D40)=2,D40-C40,"")</f>
        <v>-15.42227331141195</v>
      </c>
      <c r="H40">
        <v>2</v>
      </c>
      <c r="I40">
        <v>1</v>
      </c>
      <c r="J40">
        <f>100*221110/594344</f>
        <v>37.20236092229416</v>
      </c>
      <c r="K40">
        <f>100*70267/550405</f>
        <v>12.766417456236772</v>
      </c>
      <c r="L40">
        <f>IF(COUNT(J40:K40)=2,K40-J40,"")</f>
        <v>-24.435943466057388</v>
      </c>
      <c r="O40">
        <v>2</v>
      </c>
      <c r="P40">
        <v>1</v>
      </c>
      <c r="Q40">
        <f>100*83755/209991</f>
        <v>39.88504269230586</v>
      </c>
      <c r="R40">
        <f>100*51116/177643</f>
        <v>28.774564716875982</v>
      </c>
      <c r="S40">
        <f>IF(COUNT(Q40:R40)=2,R40-Q40,"")</f>
        <v>-11.110477975429877</v>
      </c>
    </row>
    <row r="41" spans="1:19" x14ac:dyDescent="0.3">
      <c r="A41">
        <v>3</v>
      </c>
      <c r="B41">
        <v>2</v>
      </c>
      <c r="C41">
        <f>100*303277/735676</f>
        <v>41.22426176740848</v>
      </c>
      <c r="D41">
        <f>100*159427/801232</f>
        <v>19.89773249196238</v>
      </c>
      <c r="E41">
        <f>IF(COUNT(C41:D41)=2,D41-C41,"")</f>
        <v>-21.3265292754461</v>
      </c>
      <c r="H41">
        <v>3</v>
      </c>
      <c r="I41">
        <v>2</v>
      </c>
      <c r="J41">
        <f>100*328651/1001588</f>
        <v>32.812992967168135</v>
      </c>
      <c r="K41">
        <f>100*10355/375465</f>
        <v>2.757913520567829</v>
      </c>
      <c r="L41">
        <f>IF(COUNT(J41:K41)=2,K41-J41,"")</f>
        <v>-30.055079446600306</v>
      </c>
      <c r="O41">
        <v>3</v>
      </c>
      <c r="P41">
        <v>2</v>
      </c>
      <c r="Q41">
        <f>100*165549/320834</f>
        <v>51.59958109177955</v>
      </c>
      <c r="R41">
        <f>100*28859/137732</f>
        <v>20.953010193709524</v>
      </c>
      <c r="S41">
        <f>IF(COUNT(Q41:R41)=2,R41-Q41,"")</f>
        <v>-30.646570898070024</v>
      </c>
    </row>
    <row r="42" spans="1:19" x14ac:dyDescent="0.3">
      <c r="A42">
        <v>4</v>
      </c>
      <c r="B42">
        <v>3</v>
      </c>
      <c r="C42">
        <f>100*38069/646087</f>
        <v>5.8922405186917555</v>
      </c>
      <c r="D42">
        <f>100*67994/697765</f>
        <v>9.74454150036187</v>
      </c>
      <c r="E42">
        <f>IF(COUNT(C42:D42)=2,D42-C42,"")</f>
        <v>3.8523009816701137</v>
      </c>
      <c r="H42">
        <v>4</v>
      </c>
      <c r="I42">
        <v>3</v>
      </c>
      <c r="J42">
        <f>100*38325/584626</f>
        <v>6.555473071673172</v>
      </c>
      <c r="K42">
        <f>100*19844/432181</f>
        <v>4.591594725358125</v>
      </c>
      <c r="L42">
        <f>IF(COUNT(J42:K42)=2,K42-J42,"")</f>
        <v>-1.963878346315047</v>
      </c>
      <c r="O42">
        <v>4</v>
      </c>
      <c r="P42">
        <v>3</v>
      </c>
      <c r="Q42">
        <f>100*265499/612068</f>
        <v>43.37736983472425</v>
      </c>
      <c r="R42">
        <f>100*168/280</f>
        <v>60.0</v>
      </c>
      <c r="S42">
        <f>IF(COUNT(Q42:R42)=2,R42-Q42,"")</f>
        <v>16.62263016527575</v>
      </c>
    </row>
    <row r="43" spans="1:19" x14ac:dyDescent="0.3">
      <c r="A43">
        <v>5</v>
      </c>
      <c r="B43">
        <v>4</v>
      </c>
      <c r="C43">
        <f>100*148157/358074</f>
        <v>41.376084273083215</v>
      </c>
      <c r="D43">
        <f>100*148436/525387</f>
        <v>28.252697535340616</v>
      </c>
      <c r="E43">
        <f>IF(COUNT(C43:D43)=2,D43-C43,"")</f>
        <v>-13.1233867377426</v>
      </c>
      <c r="H43">
        <v>5</v>
      </c>
      <c r="I43">
        <v>4</v>
      </c>
      <c r="J43">
        <f>100*86329/200432</f>
        <v>43.071465634230066</v>
      </c>
      <c r="K43">
        <f>100*186599/643978</f>
        <v>28.975989863007744</v>
      </c>
      <c r="L43">
        <f>IF(COUNT(J43:K43)=2,K43-J43,"")</f>
        <v>-14.095475771222322</v>
      </c>
      <c r="O43">
        <v>5</v>
      </c>
      <c r="P43">
        <v>4</v>
      </c>
      <c r="Q43">
        <f>100*80681/472324</f>
        <v>17.08170662511327</v>
      </c>
      <c r="R43">
        <f>100*53559/541331</f>
        <v>9.893946587208196</v>
      </c>
      <c r="S43">
        <f>IF(COUNT(Q43:R43)=2,R43-Q43,"")</f>
        <v>-7.187760037905074</v>
      </c>
    </row>
    <row r="44" spans="1:19" x14ac:dyDescent="0.3">
      <c r="A44">
        <v>6</v>
      </c>
      <c r="B44">
        <v>5</v>
      </c>
      <c r="C44">
        <f>100*52664/652890</f>
        <v>8.066289880378012</v>
      </c>
      <c r="D44">
        <f>100*139818/639039</f>
        <v>21.879415810302657</v>
      </c>
      <c r="E44">
        <f>IF(COUNT(C44:D44)=2,D44-C44,"")</f>
        <v>13.813125929924645</v>
      </c>
      <c r="H44">
        <v>6</v>
      </c>
      <c r="I44">
        <v>5</v>
      </c>
      <c r="J44">
        <f>100*143171/458928</f>
        <v>31.19683261862427</v>
      </c>
      <c r="K44">
        <f>100*193619/618806</f>
        <v>31.289127771870344</v>
      </c>
      <c r="L44">
        <f>IF(COUNT(J44:K44)=2,K44-J44,"")</f>
        <v>0.09229515324607362</v>
      </c>
      <c r="O44">
        <v>6</v>
      </c>
      <c r="P44">
        <v>5</v>
      </c>
      <c r="Q44">
        <f>100*332039/690960</f>
        <v>48.05473544054649</v>
      </c>
      <c r="R44">
        <f>100*104599/675581</f>
        <v>15.482821452941986</v>
      </c>
      <c r="S44">
        <f>IF(COUNT(Q44:R44)=2,R44-Q44,"")</f>
        <v>-32.5719139876045</v>
      </c>
    </row>
    <row r="45" spans="1:19" x14ac:dyDescent="0.3">
      <c r="A45">
        <v>7</v>
      </c>
      <c r="B45">
        <v>6</v>
      </c>
      <c r="C45">
        <f>100*13388/639485</f>
        <v>2.093559661289944</v>
      </c>
      <c r="D45">
        <f>100*8153/463317</f>
        <v>1.7597023204415119</v>
      </c>
      <c r="E45">
        <f>IF(COUNT(C45:D45)=2,D45-C45,"")</f>
        <v>-0.3338573408484322</v>
      </c>
      <c r="H45">
        <v>7</v>
      </c>
      <c r="I45">
        <v>6</v>
      </c>
      <c r="J45">
        <f>100*1474/516628</f>
        <v>0.28531167493825343</v>
      </c>
      <c r="K45">
        <f>100*12311/580341</f>
        <v>2.1213390058603476</v>
      </c>
      <c r="L45">
        <f>IF(COUNT(J45:K45)=2,K45-J45,"")</f>
        <v>1.8360273309220942</v>
      </c>
      <c r="O45">
        <v>7</v>
      </c>
      <c r="P45">
        <v>6</v>
      </c>
      <c r="Q45">
        <f>100*255047/462709</f>
        <v>55.12038884050234</v>
      </c>
      <c r="R45">
        <f>100*163927/556776</f>
        <v>29.442181415865626</v>
      </c>
      <c r="S45">
        <f>IF(COUNT(Q45:R45)=2,R45-Q45,"")</f>
        <v>-25.678207424636717</v>
      </c>
    </row>
    <row r="46" spans="1:19" x14ac:dyDescent="0.3">
      <c r="A46">
        <v>8</v>
      </c>
      <c r="B46">
        <v>7</v>
      </c>
      <c r="C46">
        <f>100*9937/448273</f>
        <v>2.216729537580894</v>
      </c>
      <c r="D46">
        <f>100*6341/566861</f>
        <v>1.1186163803824924</v>
      </c>
      <c r="E46">
        <f>IF(COUNT(C46:D46)=2,D46-C46,"")</f>
        <v>-1.0981131571984015</v>
      </c>
      <c r="H46">
        <v>8</v>
      </c>
      <c r="I46">
        <v>7</v>
      </c>
      <c r="J46">
        <f>100*2387/421854</f>
        <v>0.5658355734448411</v>
      </c>
      <c r="K46">
        <f>100*207/757760</f>
        <v>0.027317356418918918</v>
      </c>
      <c r="L46">
        <f>IF(COUNT(J46:K46)=2,K46-J46,"")</f>
        <v>-0.5385182170259222</v>
      </c>
      <c r="O46">
        <v>8</v>
      </c>
      <c r="P46">
        <v>7</v>
      </c>
      <c r="Q46">
        <f>100*174551/400003</f>
        <v>43.63742271932961</v>
      </c>
      <c r="R46">
        <f>100*135523/453287</f>
        <v>29.897835146386285</v>
      </c>
      <c r="S46">
        <f>IF(COUNT(Q46:R46)=2,R46-Q46,"")</f>
        <v>-13.739587572943321</v>
      </c>
    </row>
    <row r="47" spans="1:19" x14ac:dyDescent="0.3">
      <c r="A47">
        <v>9</v>
      </c>
      <c r="B47">
        <v>8</v>
      </c>
      <c r="C47">
        <f>100*196686/341160</f>
        <v>57.65212803376715</v>
      </c>
      <c r="D47">
        <f>100*157319/487581</f>
        <v>32.265203114969616</v>
      </c>
      <c r="E47">
        <f>IF(COUNT(C47:D47)=2,D47-C47,"")</f>
        <v>-25.386924918797533</v>
      </c>
      <c r="H47">
        <v>9</v>
      </c>
      <c r="I47">
        <v>8</v>
      </c>
      <c r="J47">
        <f>100*195875/433696</f>
        <v>45.16412417914853</v>
      </c>
      <c r="K47">
        <f>100*132310/567081</f>
        <v>23.33176389263615</v>
      </c>
      <c r="L47">
        <f>IF(COUNT(J47:K47)=2,K47-J47,"")</f>
        <v>-21.83236028651238</v>
      </c>
      <c r="O47">
        <v>9</v>
      </c>
      <c r="P47">
        <v>8</v>
      </c>
      <c r="Q47">
        <f>100*68616/113213</f>
        <v>60.60788072041197</v>
      </c>
      <c r="R47">
        <f>100*119285/311369</f>
        <v>38.30985101278547</v>
      </c>
      <c r="S47">
        <f>IF(COUNT(Q47:R47)=2,R47-Q47,"")</f>
        <v>-22.298029707626497</v>
      </c>
    </row>
    <row r="48" spans="1:19" x14ac:dyDescent="0.3">
      <c r="A48">
        <v>10</v>
      </c>
      <c r="B48">
        <v>9</v>
      </c>
      <c r="C48">
        <f>100*122007/555605</f>
        <v>21.95930562179966</v>
      </c>
      <c r="D48">
        <f>100*18323/671188</f>
        <v>2.7299355769173466</v>
      </c>
      <c r="E48">
        <f>IF(COUNT(C48:D48)=2,D48-C48,"")</f>
        <v>-19.229370044882316</v>
      </c>
      <c r="H48">
        <v>10</v>
      </c>
      <c r="I48">
        <v>9</v>
      </c>
      <c r="J48">
        <f>100*319115/716304</f>
        <v>44.550218901472</v>
      </c>
      <c r="K48">
        <f>100*121573/673915</f>
        <v>18.039812142480876</v>
      </c>
      <c r="L48">
        <f>IF(COUNT(J48:K48)=2,K48-J48,"")</f>
        <v>-26.510406758991124</v>
      </c>
      <c r="O48">
        <v>10</v>
      </c>
      <c r="P48">
        <v>9</v>
      </c>
      <c r="Q48">
        <f>100*144975/663380</f>
        <v>21.85399017154572</v>
      </c>
      <c r="R48">
        <f>100*2708/436914</f>
        <v>0.6198016085545439</v>
      </c>
      <c r="S48">
        <f>IF(COUNT(Q48:R48)=2,R48-Q48,"")</f>
        <v>-21.23418856299118</v>
      </c>
    </row>
    <row r="49" spans="1:19" x14ac:dyDescent="0.3">
      <c r="A49">
        <v>11</v>
      </c>
      <c r="B49">
        <v>10</v>
      </c>
      <c r="C49">
        <f>100*381322/854451</f>
        <v>44.627720021393856</v>
      </c>
      <c r="D49">
        <f>100*113737/832240</f>
        <v>13.666370277804479</v>
      </c>
      <c r="E49">
        <f>IF(COUNT(C49:D49)=2,D49-C49,"")</f>
        <v>-30.961349743589377</v>
      </c>
      <c r="H49">
        <v>11</v>
      </c>
      <c r="I49">
        <v>10</v>
      </c>
      <c r="J49">
        <f>100*298304/894387</f>
        <v>33.352899807354085</v>
      </c>
      <c r="K49">
        <f>100*27754/815952</f>
        <v>3.4014255740533756</v>
      </c>
      <c r="L49">
        <f>IF(COUNT(J49:K49)=2,K49-J49,"")</f>
        <v>-29.951474233300708</v>
      </c>
      <c r="O49">
        <v>11</v>
      </c>
      <c r="P49">
        <v>10</v>
      </c>
      <c r="Q49">
        <f>100*252271/540552</f>
        <v>46.66914561411298</v>
      </c>
      <c r="R49">
        <f>100*233941/747417</f>
        <v>31.299930293263333</v>
      </c>
      <c r="S49">
        <f>IF(COUNT(Q49:R49)=2,R49-Q49,"")</f>
        <v>-15.369215320849644</v>
      </c>
    </row>
    <row r="50" spans="1:19" x14ac:dyDescent="0.3">
      <c r="A50">
        <v>12</v>
      </c>
      <c r="B50">
        <v>11</v>
      </c>
      <c r="C50">
        <f>100*390280/917983</f>
        <v>42.51494853390531</v>
      </c>
      <c r="D50">
        <f>100*46702/752223</f>
        <v>6.208531246718061</v>
      </c>
      <c r="E50">
        <f>IF(COUNT(C50:D50)=2,D50-C50,"")</f>
        <v>-36.30641728718725</v>
      </c>
      <c r="H50">
        <v>12</v>
      </c>
      <c r="I50">
        <v>11</v>
      </c>
      <c r="K50">
        <f>100*17371/822764</f>
        <v>2.1112980149836407</v>
      </c>
      <c r="L50" t="str">
        <f>IF(COUNT(J50:K50)=2,K50-J50,"")</f>
        <v/>
      </c>
      <c r="O50">
        <v>12</v>
      </c>
      <c r="P50">
        <v>11</v>
      </c>
      <c r="Q50">
        <f>100*152311/319498</f>
        <v>47.67197290749864</v>
      </c>
      <c r="R50">
        <f>100*126906/377592</f>
        <v>33.609292569757834</v>
      </c>
      <c r="S50">
        <f>IF(COUNT(Q50:R50)=2,R50-Q50,"")</f>
        <v>-14.062680337740808</v>
      </c>
    </row>
    <row r="51" spans="1:19" x14ac:dyDescent="0.3">
      <c r="A51">
        <v>13</v>
      </c>
      <c r="B51">
        <v>12</v>
      </c>
      <c r="C51">
        <f>100*11194/520395</f>
        <v>2.1510583306911095</v>
      </c>
      <c r="D51">
        <f>100*12378/553272</f>
        <v>2.23723593458552</v>
      </c>
      <c r="E51">
        <f>IF(COUNT(C51:D51)=2,D51-C51,"")</f>
        <v>0.08617760389441065</v>
      </c>
      <c r="H51">
        <v>13</v>
      </c>
      <c r="I51">
        <v>12</v>
      </c>
      <c r="J51">
        <f>100*63849/654587</f>
        <v>9.75408921961481</v>
      </c>
      <c r="K51">
        <f>100*47977/605669</f>
        <v>7.921323363091061</v>
      </c>
      <c r="L51">
        <f>IF(COUNT(J51:K51)=2,K51-J51,"")</f>
        <v>-1.832765856523749</v>
      </c>
      <c r="O51">
        <v>13</v>
      </c>
      <c r="P51">
        <v>12</v>
      </c>
      <c r="Q51">
        <f>100*326273/687294</f>
        <v>47.47211528108786</v>
      </c>
      <c r="R51">
        <f>100*106952/640042</f>
        <v>16.710153396183376</v>
      </c>
      <c r="S51">
        <f>IF(COUNT(Q51:R51)=2,R51-Q51,"")</f>
        <v>-30.761961884904483</v>
      </c>
    </row>
    <row r="52" spans="1:19" x14ac:dyDescent="0.3">
      <c r="A52">
        <v>14</v>
      </c>
      <c r="B52">
        <v>13</v>
      </c>
      <c r="C52">
        <f>100*47836/384501</f>
        <v>12.441059971235445</v>
      </c>
      <c r="D52">
        <f>100*6709/392120</f>
        <v>1.7109558298480056</v>
      </c>
      <c r="E52">
        <f>IF(COUNT(C52:D52)=2,D52-C52,"")</f>
        <v>-10.73010414138744</v>
      </c>
      <c r="H52">
        <v>14</v>
      </c>
      <c r="I52">
        <v>13</v>
      </c>
      <c r="J52">
        <f>100*46518/257005</f>
        <v>18.100036964261395</v>
      </c>
      <c r="K52">
        <f>100*55242/340282</f>
        <v>16.23418223708571</v>
      </c>
      <c r="L52">
        <f>IF(COUNT(J52:K52)=2,K52-J52,"")</f>
        <v>-1.8658547271756838</v>
      </c>
      <c r="O52">
        <v>14</v>
      </c>
      <c r="P52">
        <v>13</v>
      </c>
      <c r="Q52">
        <f>100*2347/627958</f>
        <v>0.37375111074307515</v>
      </c>
      <c r="R52">
        <f>100*8037/331689</f>
        <v>2.4230529200546296</v>
      </c>
      <c r="S52">
        <f>IF(COUNT(Q52:R52)=2,R52-Q52,"")</f>
        <v>2.0493018093115545</v>
      </c>
    </row>
    <row r="53" spans="1:19" x14ac:dyDescent="0.3">
      <c r="A53">
        <v>15</v>
      </c>
      <c r="B53">
        <v>14</v>
      </c>
      <c r="C53">
        <f>100*248778/461319</f>
        <v>53.92754254648085</v>
      </c>
      <c r="D53">
        <f>100*108354/535599</f>
        <v>20.23043358930842</v>
      </c>
      <c r="E53">
        <f>IF(COUNT(C53:D53)=2,D53-C53,"")</f>
        <v>-33.69710895717243</v>
      </c>
      <c r="H53">
        <v>15</v>
      </c>
      <c r="I53">
        <v>14</v>
      </c>
      <c r="J53">
        <f>100*175137/618371</f>
        <v>28.322317831851752</v>
      </c>
      <c r="K53">
        <f>100*38349/532964</f>
        <v>7.19542032857754</v>
      </c>
      <c r="L53">
        <f>IF(COUNT(J53:K53)=2,K53-J53,"")</f>
        <v>-21.12689750327421</v>
      </c>
      <c r="O53">
        <v>15</v>
      </c>
      <c r="P53">
        <v>14</v>
      </c>
      <c r="Q53">
        <f>100*146769/359086</f>
        <v>40.872938516121486</v>
      </c>
      <c r="R53">
        <f>100*129681/384940</f>
        <v>33.68862679898166</v>
      </c>
      <c r="S53">
        <f>IF(COUNT(Q53:R53)=2,R53-Q53,"")</f>
        <v>-7.184311717139828</v>
      </c>
    </row>
    <row r="54" spans="1:19" x14ac:dyDescent="0.3">
      <c r="A54">
        <v>16</v>
      </c>
      <c r="B54">
        <v>15</v>
      </c>
      <c r="C54">
        <f>100*326435/634375</f>
        <v>51.45773399014778</v>
      </c>
      <c r="D54">
        <f>100*30719/615708</f>
        <v>4.989215667166904</v>
      </c>
      <c r="E54">
        <f>IF(COUNT(C54:D54)=2,D54-C54,"")</f>
        <v>-46.46851832298088</v>
      </c>
      <c r="H54">
        <v>16</v>
      </c>
      <c r="I54">
        <v>15</v>
      </c>
      <c r="J54">
        <f>100*262686/530062</f>
        <v>49.55759892239021</v>
      </c>
      <c r="K54">
        <f>100*79121/617917</f>
        <v>12.804470503320026</v>
      </c>
      <c r="L54">
        <f>IF(COUNT(J54:K54)=2,K54-J54,"")</f>
        <v>-36.75312841907019</v>
      </c>
      <c r="O54">
        <v>16</v>
      </c>
      <c r="P54">
        <v>15</v>
      </c>
      <c r="Q54">
        <f>100*161630/350468</f>
        <v>46.11833320017805</v>
      </c>
      <c r="R54">
        <f>100*120507/391775</f>
        <v>30.75923680684066</v>
      </c>
      <c r="S54">
        <f>IF(COUNT(Q54:R54)=2,R54-Q54,"")</f>
        <v>-15.359096393337389</v>
      </c>
    </row>
    <row r="55" spans="1:19" x14ac:dyDescent="0.3">
      <c r="A55">
        <v>17</v>
      </c>
      <c r="B55">
        <v>16</v>
      </c>
      <c r="C55">
        <f>100*180820/593692</f>
        <v>30.45686989213262</v>
      </c>
      <c r="D55">
        <f>100*124142/543274</f>
        <v>22.850716213181563</v>
      </c>
      <c r="E55">
        <f>IF(COUNT(C55:D55)=2,D55-C55,"")</f>
        <v>-7.606153678951056</v>
      </c>
      <c r="H55">
        <v>17</v>
      </c>
      <c r="I55">
        <v>16</v>
      </c>
      <c r="J55">
        <f>100*201035/472489</f>
        <v>42.5480804844134</v>
      </c>
      <c r="K55">
        <f>100*146725/639331</f>
        <v>22.949770932427803</v>
      </c>
      <c r="L55">
        <f>IF(COUNT(J55:K55)=2,K55-J55,"")</f>
        <v>-19.598309551985594</v>
      </c>
      <c r="O55">
        <v>17</v>
      </c>
      <c r="P55">
        <v>16</v>
      </c>
      <c r="Q55">
        <f>100*10845/444486</f>
        <v>2.4398968696426886</v>
      </c>
      <c r="R55">
        <f>100*12420/367539</f>
        <v>3.3792332242292655</v>
      </c>
      <c r="S55">
        <f>IF(COUNT(Q55:R55)=2,R55-Q55,"")</f>
        <v>0.9393363545865769</v>
      </c>
    </row>
    <row r="56" spans="1:19" x14ac:dyDescent="0.3">
      <c r="A56">
        <v>18</v>
      </c>
      <c r="B56">
        <v>17</v>
      </c>
      <c r="C56">
        <f>100*349274/706163</f>
        <v>49.460818536230306</v>
      </c>
      <c r="D56">
        <f>100*25867/732446</f>
        <v>3.5315914074211614</v>
      </c>
      <c r="E56">
        <f>IF(COUNT(C56:D56)=2,D56-C56,"")</f>
        <v>-45.929227128809146</v>
      </c>
      <c r="H56">
        <v>18</v>
      </c>
      <c r="I56">
        <v>17</v>
      </c>
      <c r="K56">
        <f>100*36495/658185</f>
        <v>5.544793637047334</v>
      </c>
      <c r="L56" t="str">
        <f>IF(COUNT(J56:K56)=2,K56-J56,"")</f>
        <v/>
      </c>
      <c r="O56">
        <v>18</v>
      </c>
      <c r="P56">
        <v>17</v>
      </c>
      <c r="Q56">
        <f>100*35789/365071</f>
        <v>9.803298536449073</v>
      </c>
      <c r="R56">
        <f>100*3594/376796</f>
        <v>0.9538317816537331</v>
      </c>
      <c r="S56">
        <f>IF(COUNT(Q56:R56)=2,R56-Q56,"")</f>
        <v>-8.84946675479534</v>
      </c>
    </row>
    <row r="57" spans="1:19" x14ac:dyDescent="0.3">
      <c r="A57">
        <v>19</v>
      </c>
      <c r="B57">
        <v>18</v>
      </c>
      <c r="C57">
        <f>100*270086/697559</f>
        <v>38.71873203556975</v>
      </c>
      <c r="D57">
        <f>100*60696/693160</f>
        <v>8.756419874199318</v>
      </c>
      <c r="E57">
        <f>IF(COUNT(C57:D57)=2,D57-C57,"")</f>
        <v>-29.962312161370434</v>
      </c>
      <c r="H57">
        <v>19</v>
      </c>
      <c r="I57">
        <v>18</v>
      </c>
      <c r="J57">
        <f>100*171180/560014</f>
        <v>30.567092965533003</v>
      </c>
      <c r="K57">
        <f>100*110411/624578</f>
        <v>17.677695980325915</v>
      </c>
      <c r="L57">
        <f>IF(COUNT(J57:K57)=2,K57-J57,"")</f>
        <v>-12.889396985207089</v>
      </c>
      <c r="O57">
        <v>19</v>
      </c>
      <c r="P57">
        <v>18</v>
      </c>
      <c r="Q57">
        <f>100*169030/384674</f>
        <v>43.94110337584552</v>
      </c>
      <c r="R57">
        <f>100*124678/461265</f>
        <v>27.029581693820255</v>
      </c>
      <c r="S57">
        <f>IF(COUNT(Q57:R57)=2,R57-Q57,"")</f>
        <v>-16.911521682025267</v>
      </c>
    </row>
    <row r="58" spans="1:19" x14ac:dyDescent="0.3">
      <c r="A58">
        <v>20</v>
      </c>
      <c r="B58">
        <v>19</v>
      </c>
      <c r="C58">
        <f>100*219519/529900</f>
        <v>41.42649556520098</v>
      </c>
      <c r="D58">
        <f>100*77190/657405</f>
        <v>11.741620462272115</v>
      </c>
      <c r="E58">
        <f>IF(COUNT(C58:D58)=2,D58-C58,"")</f>
        <v>-29.684875102928864</v>
      </c>
      <c r="H58">
        <v>20</v>
      </c>
      <c r="I58">
        <v>19</v>
      </c>
      <c r="J58">
        <f>100*284748/588066</f>
        <v>48.42109559131118</v>
      </c>
      <c r="K58">
        <f>100*63344/713107</f>
        <v>8.882818426968182</v>
      </c>
      <c r="L58">
        <f>IF(COUNT(J58:K58)=2,K58-J58,"")</f>
        <v>-39.538277164343</v>
      </c>
      <c r="O58">
        <v>20</v>
      </c>
      <c r="P58">
        <v>19</v>
      </c>
      <c r="Q58">
        <f>100*276241/622059</f>
        <v>44.40752404514684</v>
      </c>
      <c r="R58">
        <f>100*31592/385686</f>
        <v>8.191119200593228</v>
      </c>
      <c r="S58">
        <f>IF(COUNT(Q58:R58)=2,R58-Q58,"")</f>
        <v>-36.216404844553615</v>
      </c>
    </row>
    <row r="59" spans="1:19" x14ac:dyDescent="0.3">
      <c r="A59">
        <v>21</v>
      </c>
      <c r="B59">
        <v>20</v>
      </c>
      <c r="C59">
        <f>100*270029/574676</f>
        <v>46.98804195755521</v>
      </c>
      <c r="D59">
        <f>100*85465/677209</f>
        <v>12.62018077137191</v>
      </c>
      <c r="E59">
        <f>IF(COUNT(C59:D59)=2,D59-C59,"")</f>
        <v>-34.367861186183305</v>
      </c>
      <c r="H59">
        <v>21</v>
      </c>
      <c r="I59">
        <v>20</v>
      </c>
      <c r="J59">
        <f>100*380768/887907</f>
        <v>42.88377048497196</v>
      </c>
      <c r="K59">
        <f>100*83613/749052</f>
        <v>11.162509411896638</v>
      </c>
      <c r="L59">
        <f>IF(COUNT(J59:K59)=2,K59-J59,"")</f>
        <v>-31.721261073075325</v>
      </c>
      <c r="O59">
        <v>21</v>
      </c>
      <c r="P59">
        <v>20</v>
      </c>
      <c r="Q59">
        <f>100*102616/414261</f>
        <v>24.7708570200912</v>
      </c>
      <c r="R59">
        <f>100*35038/303888</f>
        <v>11.52990575475175</v>
      </c>
      <c r="S59">
        <f>IF(COUNT(Q59:R59)=2,R59-Q59,"")</f>
        <v>-13.240951265339449</v>
      </c>
    </row>
    <row r="60" spans="1:19" x14ac:dyDescent="0.3">
      <c r="A60">
        <v>22</v>
      </c>
      <c r="B60">
        <v>21</v>
      </c>
      <c r="C60">
        <f>100*61286/139068</f>
        <v>44.06908850346593</v>
      </c>
      <c r="D60">
        <f>100*65/106</f>
        <v>61.320754716981135</v>
      </c>
      <c r="E60">
        <f>IF(COUNT(C60:D60)=2,D60-C60,"")</f>
        <v>17.251666213515207</v>
      </c>
      <c r="H60">
        <v>22</v>
      </c>
      <c r="I60">
        <v>21</v>
      </c>
      <c r="J60">
        <f>100*139592/266933</f>
        <v>52.29477059786538</v>
      </c>
      <c r="K60">
        <f>100*82169/234046</f>
        <v>35.10805568136178</v>
      </c>
      <c r="L60">
        <f>IF(COUNT(J60:K60)=2,K60-J60,"")</f>
        <v>-17.186714916503597</v>
      </c>
      <c r="O60">
        <v>22</v>
      </c>
      <c r="P60">
        <v>21</v>
      </c>
      <c r="Q60">
        <f>100*93353/177560</f>
        <v>52.57546744762334</v>
      </c>
      <c r="R60">
        <f>100*57453/199611</f>
        <v>28.782481927348694</v>
      </c>
      <c r="S60">
        <f>IF(COUNT(Q60:R60)=2,R60-Q60,"")</f>
        <v>-23.792985520274645</v>
      </c>
    </row>
    <row r="61" spans="1:19" x14ac:dyDescent="0.3">
      <c r="A61">
        <v>23</v>
      </c>
      <c r="B61">
        <v>22</v>
      </c>
      <c r="C61">
        <f>100*276476/597687</f>
        <v>46.2576565995245</v>
      </c>
      <c r="D61">
        <f>100*193951/906360</f>
        <v>21.39889227238625</v>
      </c>
      <c r="E61">
        <f>IF(COUNT(C61:D61)=2,D61-C61,"")</f>
        <v>-24.858764327138253</v>
      </c>
      <c r="H61">
        <v>23</v>
      </c>
      <c r="I61">
        <v>22</v>
      </c>
      <c r="J61">
        <f>100*307788/547933</f>
        <v>56.1725612438017</v>
      </c>
      <c r="K61">
        <f>100*43578/697910</f>
        <v>6.244071585161411</v>
      </c>
      <c r="L61">
        <f>IF(COUNT(J61:K61)=2,K61-J61,"")</f>
        <v>-49.92848965864029</v>
      </c>
      <c r="O61">
        <v>23</v>
      </c>
      <c r="P61">
        <v>22</v>
      </c>
      <c r="Q61">
        <f>100*1420/340312</f>
        <v>0.41726415759655844</v>
      </c>
      <c r="R61">
        <f>100*3779/603422</f>
        <v>0.6262615549317062</v>
      </c>
      <c r="S61">
        <f>IF(COUNT(Q61:R61)=2,R61-Q61,"")</f>
        <v>0.20899739733514777</v>
      </c>
    </row>
    <row r="62" spans="1:19" x14ac:dyDescent="0.3">
      <c r="A62">
        <v>24</v>
      </c>
      <c r="B62">
        <v>23</v>
      </c>
      <c r="C62">
        <f>100*144470/668915</f>
        <v>21.597661885291853</v>
      </c>
      <c r="D62">
        <f>100*54625/804986</f>
        <v>6.785832300189072</v>
      </c>
      <c r="E62">
        <f>IF(COUNT(C62:D62)=2,D62-C62,"")</f>
        <v>-14.811829585102782</v>
      </c>
      <c r="H62">
        <v>24</v>
      </c>
      <c r="I62">
        <v>23</v>
      </c>
      <c r="J62">
        <f>100*403224/842602</f>
        <v>47.85462175499227</v>
      </c>
      <c r="K62">
        <f>100*2707/112109</f>
        <v>2.4146143485358</v>
      </c>
      <c r="L62">
        <f>IF(COUNT(J62:K62)=2,K62-J62,"")</f>
        <v>-45.44000740645647</v>
      </c>
      <c r="O62">
        <v>24</v>
      </c>
      <c r="P62">
        <v>23</v>
      </c>
      <c r="Q62">
        <f>100*127073/681026</f>
        <v>18.659052664655974</v>
      </c>
      <c r="R62">
        <f>100*40779/700412</f>
        <v>5.822144680559442</v>
      </c>
      <c r="S62">
        <f>IF(COUNT(Q62:R62)=2,R62-Q62,"")</f>
        <v>-12.83690798409653</v>
      </c>
    </row>
    <row r="63" spans="1:19" x14ac:dyDescent="0.3">
      <c r="A63">
        <v>25</v>
      </c>
      <c r="B63">
        <v>24</v>
      </c>
      <c r="C63">
        <f>100*246413/550634</f>
        <v>44.7507781938638</v>
      </c>
      <c r="D63">
        <f>100*43735/530927</f>
        <v>8.237478975452369</v>
      </c>
      <c r="E63">
        <f>IF(COUNT(C63:D63)=2,D63-C63,"")</f>
        <v>-36.51329921841143</v>
      </c>
      <c r="H63">
        <v>25</v>
      </c>
      <c r="I63">
        <v>24</v>
      </c>
      <c r="J63">
        <f>100*334373/832460</f>
        <v>40.16685486389736</v>
      </c>
      <c r="K63">
        <f>100*23512/635322</f>
        <v>3.7008005389393097</v>
      </c>
      <c r="L63">
        <f>IF(COUNT(J63:K63)=2,K63-J63,"")</f>
        <v>-36.46605432495805</v>
      </c>
      <c r="O63">
        <v>25</v>
      </c>
      <c r="P63">
        <v>24</v>
      </c>
      <c r="Q63">
        <f>100*69231/149628</f>
        <v>46.26874649129842</v>
      </c>
      <c r="R63">
        <f>100*179691/494260</f>
        <v>36.35556185003844</v>
      </c>
      <c r="S63">
        <f>IF(COUNT(Q63:R63)=2,R63-Q63,"")</f>
        <v>-9.913184641259981</v>
      </c>
    </row>
    <row r="64" spans="1:19" x14ac:dyDescent="0.3">
      <c r="A64">
        <v>26</v>
      </c>
      <c r="B64">
        <v>25</v>
      </c>
      <c r="C64">
        <f>100*325215/704022</f>
        <v>46.193868941595575</v>
      </c>
      <c r="D64">
        <f>100*184023/744494</f>
        <v>24.71786206470435</v>
      </c>
      <c r="E64">
        <f>IF(COUNT(C64:D64)=2,D64-C64,"")</f>
        <v>-21.476006876891226</v>
      </c>
      <c r="H64">
        <v>26</v>
      </c>
      <c r="I64">
        <v>25</v>
      </c>
      <c r="J64">
        <f>100*93173/499879</f>
        <v>18.639110664780876</v>
      </c>
      <c r="K64">
        <f>100*75810/578791</f>
        <v>13.097992194073509</v>
      </c>
      <c r="L64">
        <f>IF(COUNT(J64:K64)=2,K64-J64,"")</f>
        <v>-5.541118470707367</v>
      </c>
      <c r="O64">
        <v>26</v>
      </c>
      <c r="P64">
        <v>25</v>
      </c>
      <c r="Q64">
        <f>100*287382/566887</f>
        <v>50.69475927301208</v>
      </c>
      <c r="R64">
        <f>100*193959/567343</f>
        <v>34.187255328786996</v>
      </c>
      <c r="S64">
        <f>IF(COUNT(Q64:R64)=2,R64-Q64,"")</f>
        <v>-16.507503944225085</v>
      </c>
    </row>
    <row r="65" spans="1:19" x14ac:dyDescent="0.3">
      <c r="A65">
        <v>27</v>
      </c>
      <c r="B65">
        <v>26</v>
      </c>
      <c r="C65">
        <f>100*177239/701505</f>
        <v>25.26553623994127</v>
      </c>
      <c r="D65">
        <f>100*81020/743215</f>
        <v>10.901286976177822</v>
      </c>
      <c r="E65">
        <f>IF(COUNT(C65:D65)=2,D65-C65,"")</f>
        <v>-14.364249263763448</v>
      </c>
      <c r="H65">
        <v>27</v>
      </c>
      <c r="I65">
        <v>26</v>
      </c>
      <c r="J65">
        <f>100*244313/656873</f>
        <v>37.19333874280112</v>
      </c>
      <c r="K65">
        <f>100*119074/736368</f>
        <v>16.17044738500315</v>
      </c>
      <c r="L65">
        <f>IF(COUNT(J65:K65)=2,K65-J65,"")</f>
        <v>-21.022891357797967</v>
      </c>
      <c r="O65">
        <v>27</v>
      </c>
      <c r="P65">
        <v>26</v>
      </c>
      <c r="Q65">
        <f>100*89767/349739</f>
        <v>25.6668544257289</v>
      </c>
      <c r="R65">
        <f>100*168647/580170</f>
        <v>29.068548873606012</v>
      </c>
      <c r="S65">
        <f>IF(COUNT(Q65:R65)=2,R65-Q65,"")</f>
        <v>3.4016944478771123</v>
      </c>
    </row>
    <row r="66" spans="1:19" x14ac:dyDescent="0.3">
      <c r="A66">
        <v>28</v>
      </c>
      <c r="B66">
        <v>27</v>
      </c>
      <c r="C66">
        <f>100*80526/308887</f>
        <v>26.069727764522302</v>
      </c>
      <c r="D66">
        <f>100*83625/423378</f>
        <v>19.751852954097757</v>
      </c>
      <c r="E66">
        <f>IF(COUNT(C66:D66)=2,D66-C66,"")</f>
        <v>-6.317874810424545</v>
      </c>
      <c r="H66">
        <v>28</v>
      </c>
      <c r="I66">
        <v>27</v>
      </c>
      <c r="J66">
        <f>100*138608/347102</f>
        <v>39.93293037781402</v>
      </c>
      <c r="K66">
        <f>100*65865/488193</f>
        <v>13.491590416085442</v>
      </c>
      <c r="L66">
        <f>IF(COUNT(J66:K66)=2,K66-J66,"")</f>
        <v>-26.441339961728573</v>
      </c>
      <c r="O66">
        <v>28</v>
      </c>
      <c r="P66">
        <v>27</v>
      </c>
      <c r="Q66">
        <f>100*334/323134</f>
        <v>0.10336269163876287</v>
      </c>
      <c r="R66">
        <f>100*3126/337089</f>
        <v>0.9273515303080195</v>
      </c>
      <c r="S66">
        <f>IF(COUNT(Q66:R66)=2,R66-Q66,"")</f>
        <v>0.8239888386692567</v>
      </c>
    </row>
    <row r="67" spans="1:19" x14ac:dyDescent="0.3">
      <c r="A67">
        <v>29</v>
      </c>
      <c r="B67">
        <v>28</v>
      </c>
      <c r="C67">
        <f>100*201308/447811</f>
        <v>44.953786307169764</v>
      </c>
      <c r="D67">
        <f>100*118368/655794</f>
        <v>18.049570444377352</v>
      </c>
      <c r="E67">
        <f>IF(COUNT(C67:D67)=2,D67-C67,"")</f>
        <v>-26.904215862792412</v>
      </c>
      <c r="H67">
        <v>29</v>
      </c>
      <c r="I67">
        <v>28</v>
      </c>
      <c r="J67">
        <f>100*198367/384779</f>
        <v>51.553489145717414</v>
      </c>
      <c r="K67">
        <f>100*140531/611673</f>
        <v>22.974857481039706</v>
      </c>
      <c r="L67">
        <f>IF(COUNT(J67:K67)=2,K67-J67,"")</f>
        <v>-28.578631664677708</v>
      </c>
      <c r="O67">
        <v>29</v>
      </c>
      <c r="P67">
        <v>28</v>
      </c>
      <c r="Q67">
        <f>100*145808/355081</f>
        <v>41.063306682137316</v>
      </c>
      <c r="R67">
        <f>100*228920/626443</f>
        <v>36.542829914293876</v>
      </c>
      <c r="S67">
        <f>IF(COUNT(Q67:R67)=2,R67-Q67,"")</f>
        <v>-4.520476767843441</v>
      </c>
    </row>
    <row r="68" spans="1:19" x14ac:dyDescent="0.3">
      <c r="A68">
        <v>30</v>
      </c>
      <c r="B68">
        <v>29</v>
      </c>
      <c r="C68">
        <f>100*18197/471548</f>
        <v>3.8589920856413347</v>
      </c>
      <c r="D68">
        <f>100*82589/503494</f>
        <v>16.403174615784895</v>
      </c>
      <c r="E68">
        <f>IF(COUNT(C68:D68)=2,D68-C68,"")</f>
        <v>12.54418253014356</v>
      </c>
      <c r="H68">
        <v>30</v>
      </c>
      <c r="I68">
        <v>29</v>
      </c>
      <c r="J68">
        <f>100*78716/427068</f>
        <v>18.431725158522763</v>
      </c>
      <c r="K68">
        <f>100*51620/560235</f>
        <v>9.213990557533892</v>
      </c>
      <c r="L68">
        <f>IF(COUNT(J68:K68)=2,K68-J68,"")</f>
        <v>-9.217734600988871</v>
      </c>
      <c r="O68">
        <v>30</v>
      </c>
      <c r="P68">
        <v>29</v>
      </c>
      <c r="Q68">
        <f>100*234882/519580</f>
        <v>45.20612802648293</v>
      </c>
      <c r="R68">
        <f>100*162590/666454</f>
        <v>24.396282414090095</v>
      </c>
      <c r="S68">
        <f>IF(COUNT(Q68:R68)=2,R68-Q68,"")</f>
        <v>-20.809845612392834</v>
      </c>
    </row>
    <row r="69" spans="1:19" x14ac:dyDescent="0.3">
      <c r="A69">
        <v>31</v>
      </c>
      <c r="B69">
        <v>30</v>
      </c>
      <c r="C69">
        <f>100*112633/440273</f>
        <v>25.582536289983715</v>
      </c>
      <c r="D69">
        <f>100*81827/552224</f>
        <v>14.817718896679608</v>
      </c>
      <c r="E69">
        <f>IF(COUNT(C69:D69)=2,D69-C69,"")</f>
        <v>-10.764817393304106</v>
      </c>
      <c r="H69">
        <v>31</v>
      </c>
      <c r="I69">
        <v>30</v>
      </c>
      <c r="J69">
        <f>100*150446/466352</f>
        <v>32.26018115071877</v>
      </c>
      <c r="K69">
        <f>100*118058/754040</f>
        <v>15.656729085990133</v>
      </c>
      <c r="L69">
        <f>IF(COUNT(J69:K69)=2,K69-J69,"")</f>
        <v>-16.60345206472864</v>
      </c>
      <c r="O69">
        <v>31</v>
      </c>
      <c r="P69">
        <v>30</v>
      </c>
      <c r="Q69">
        <f>100*3881/600979</f>
        <v>0.6457796362268898</v>
      </c>
      <c r="R69">
        <f>100*7255/555633</f>
        <v>1.305717982913182</v>
      </c>
      <c r="S69">
        <f>IF(COUNT(Q69:R69)=2,R69-Q69,"")</f>
        <v>0.6599383466862921</v>
      </c>
    </row>
    <row r="70" spans="1:19" x14ac:dyDescent="0.3">
      <c r="A70" t="s">
        <v>5</v>
      </c>
      <c r="C70">
        <f>IF(COUNT(C39:C69)&gt;0,AVERAGE(C39:C69),"")</f>
        <v>31.84282770070955</v>
      </c>
      <c r="D70">
        <f>IF(COUNT(D39:D69)&gt;0,AVERAGE(D39:D69),"")</f>
        <v>15.128801701999617</v>
      </c>
      <c r="E70">
        <f>IF(COUNT(E39:E69)&gt;0,AVERAGE(E39:E69),"")</f>
        <v>-16.714025998709925</v>
      </c>
      <c r="H70" t="s">
        <v>5</v>
      </c>
      <c r="J70">
        <f>IF(COUNT(J39:J69)&gt;0,AVERAGE(J39:J69),"")</f>
        <v>33.41421734972294</v>
      </c>
      <c r="K70">
        <f>IF(COUNT(K39:K69)&gt;0,AVERAGE(K39:K69),"")</f>
        <v>13.244230775642233</v>
      </c>
      <c r="L70">
        <f>IF(COUNT(L39:L69)&gt;0,AVERAGE(L39:L69),"")</f>
        <v>-19.520594508589202</v>
      </c>
      <c r="O70" t="s">
        <v>5</v>
      </c>
      <c r="Q70">
        <f>IF(COUNT(Q39:Q69)&gt;0,AVERAGE(Q39:Q69),"")</f>
        <v>33.06664971973761</v>
      </c>
      <c r="R70">
        <f>IF(COUNT(R39:R69)&gt;0,AVERAGE(R39:R69),"")</f>
        <v>20.43357061903339</v>
      </c>
      <c r="S70">
        <f>IF(COUNT(S39:S69)&gt;0,AVERAGE(S39:S69),"")</f>
        <v>-12.633079100704222</v>
      </c>
    </row>
    <row r="73" spans="1:19" s="2" customFormat="1" x14ac:dyDescent="0.3">
      <c r="A73" s="1" t="s">
        <v>12</v>
      </c>
      <c r="B73" s="1"/>
      <c r="C73" s="1"/>
      <c r="D73" s="1"/>
      <c r="E73" s="1"/>
      <c r="H73" s="1" t="s">
        <v>13</v>
      </c>
      <c r="I73" s="1"/>
      <c r="J73" s="1"/>
      <c r="K73" s="1"/>
      <c r="L73" s="1"/>
      <c r="O73" s="1" t="s">
        <v>14</v>
      </c>
      <c r="P73" s="1"/>
      <c r="Q73" s="1"/>
      <c r="R73" s="1"/>
      <c r="S73" s="1"/>
    </row>
    <row r="74" spans="1:19" x14ac:dyDescent="0.3">
      <c r="A74" t="s">
        <v>0</v>
      </c>
      <c r="B74" t="s">
        <v>1</v>
      </c>
      <c r="C74" t="s">
        <v>2</v>
      </c>
      <c r="D74" t="s">
        <v>3</v>
      </c>
      <c r="E74" t="s">
        <v>4</v>
      </c>
      <c r="H74" t="s">
        <v>0</v>
      </c>
      <c r="I74" t="s">
        <v>1</v>
      </c>
      <c r="J74" t="s">
        <v>2</v>
      </c>
      <c r="K74" t="s">
        <v>3</v>
      </c>
      <c r="L74" t="s">
        <v>4</v>
      </c>
      <c r="O74" t="s">
        <v>0</v>
      </c>
      <c r="P74" t="s">
        <v>1</v>
      </c>
      <c r="Q74" t="s">
        <v>2</v>
      </c>
      <c r="R74" t="s">
        <v>3</v>
      </c>
      <c r="S74" t="s">
        <v>4</v>
      </c>
    </row>
    <row r="75" spans="1:19" x14ac:dyDescent="0.3">
      <c r="A75">
        <v>1</v>
      </c>
      <c r="B75">
        <v>0</v>
      </c>
      <c r="C75">
        <f>100*261929/517487</f>
        <v>50.61557101917536</v>
      </c>
      <c r="D75">
        <f>100*139352/549732</f>
        <v>25.349079187676903</v>
      </c>
      <c r="E75">
        <f>IF(COUNT(C75:D75)=2,D75-C75,"")</f>
        <v>-25.26649183149846</v>
      </c>
      <c r="H75">
        <v>1</v>
      </c>
      <c r="I75">
        <v>0</v>
      </c>
      <c r="J75">
        <f>100*432733/796677</f>
        <v>54.317245257488295</v>
      </c>
      <c r="K75">
        <f>100*120399/642376</f>
        <v>18.742761248863594</v>
      </c>
      <c r="L75">
        <f>IF(COUNT(J75:K75)=2,K75-J75,"")</f>
        <v>-35.5744840086247</v>
      </c>
      <c r="O75">
        <v>1</v>
      </c>
      <c r="P75">
        <v>0</v>
      </c>
      <c r="Q75">
        <f>100*20655/569971</f>
        <v>3.623868582787545</v>
      </c>
      <c r="R75">
        <f>100*90436/533853</f>
        <v>16.940243849898756</v>
      </c>
      <c r="S75">
        <f>IF(COUNT(Q75:R75)=2,R75-Q75,"")</f>
        <v>13.316375267111212</v>
      </c>
    </row>
    <row r="76" spans="1:19" x14ac:dyDescent="0.3">
      <c r="A76">
        <v>2</v>
      </c>
      <c r="B76">
        <v>1</v>
      </c>
      <c r="C76">
        <f>100*279421/548205</f>
        <v>50.97016626991728</v>
      </c>
      <c r="D76">
        <f>100*150180/627999</f>
        <v>23.91405081855226</v>
      </c>
      <c r="E76">
        <f>IF(COUNT(C76:D76)=2,D76-C76,"")</f>
        <v>-27.05611545136502</v>
      </c>
      <c r="H76">
        <v>2</v>
      </c>
      <c r="I76">
        <v>1</v>
      </c>
      <c r="J76">
        <f>100*305577/591060</f>
        <v>51.69982742868744</v>
      </c>
      <c r="K76">
        <f>100*317090/836504</f>
        <v>37.9065730707803</v>
      </c>
      <c r="L76">
        <f>IF(COUNT(J76:K76)=2,K76-J76,"")</f>
        <v>-13.793254357907145</v>
      </c>
      <c r="O76">
        <v>2</v>
      </c>
      <c r="P76">
        <v>1</v>
      </c>
      <c r="Q76">
        <f>100*111778/257794</f>
        <v>43.35942651884838</v>
      </c>
      <c r="R76">
        <f>100*91380/315268</f>
        <v>28.984863671542943</v>
      </c>
      <c r="S76">
        <f>IF(COUNT(Q76:R76)=2,R76-Q76,"")</f>
        <v>-14.374562847305437</v>
      </c>
    </row>
    <row r="77" spans="1:19" x14ac:dyDescent="0.3">
      <c r="A77">
        <v>3</v>
      </c>
      <c r="B77">
        <v>2</v>
      </c>
      <c r="C77">
        <f>100*37031/871024</f>
        <v>4.2514327963408585</v>
      </c>
      <c r="D77">
        <f>100*214054/1028975</f>
        <v>20.80264340727423</v>
      </c>
      <c r="E77">
        <f>IF(COUNT(C77:D77)=2,D77-C77,"")</f>
        <v>16.55121061093337</v>
      </c>
      <c r="H77">
        <v>3</v>
      </c>
      <c r="I77">
        <v>2</v>
      </c>
      <c r="J77">
        <f>100*244646/584205</f>
        <v>41.87673847365223</v>
      </c>
      <c r="K77">
        <f>100*275852/1039326</f>
        <v>26.541431658594128</v>
      </c>
      <c r="L77">
        <f>IF(COUNT(J77:K77)=2,K77-J77,"")</f>
        <v>-15.335306815058104</v>
      </c>
      <c r="O77">
        <v>3</v>
      </c>
      <c r="P77">
        <v>2</v>
      </c>
      <c r="Q77">
        <f>100*92329/194806</f>
        <v>47.395357432522616</v>
      </c>
      <c r="R77">
        <f>100*114806/385534</f>
        <v>29.778437180637766</v>
      </c>
      <c r="S77">
        <f>IF(COUNT(Q77:R77)=2,R77-Q77,"")</f>
        <v>-17.61692025188485</v>
      </c>
    </row>
    <row r="78" spans="1:19" x14ac:dyDescent="0.3">
      <c r="A78">
        <v>4</v>
      </c>
      <c r="B78">
        <v>3</v>
      </c>
      <c r="C78">
        <f>100*363210/663228</f>
        <v>54.76397257051874</v>
      </c>
      <c r="D78">
        <f>100*54859/667460</f>
        <v>8.219069307524046</v>
      </c>
      <c r="E78">
        <f>IF(COUNT(C78:D78)=2,D78-C78,"")</f>
        <v>-46.544903262994694</v>
      </c>
      <c r="H78">
        <v>4</v>
      </c>
      <c r="I78">
        <v>3</v>
      </c>
      <c r="J78">
        <f>100*316744/731828</f>
        <v>43.281208152735346</v>
      </c>
      <c r="K78">
        <f>100*45125/708155</f>
        <v>6.372192528471874</v>
      </c>
      <c r="L78">
        <f>IF(COUNT(J78:K78)=2,K78-J78,"")</f>
        <v>-36.909015624263475</v>
      </c>
      <c r="O78">
        <v>4</v>
      </c>
      <c r="P78">
        <v>3</v>
      </c>
      <c r="Q78">
        <f>100*240086/489338</f>
        <v>49.06342855040892</v>
      </c>
      <c r="R78">
        <f>100*187590/678009</f>
        <v>27.667774321579802</v>
      </c>
      <c r="S78">
        <f>IF(COUNT(Q78:R78)=2,R78-Q78,"")</f>
        <v>-21.39565422882912</v>
      </c>
    </row>
    <row r="79" spans="1:19" x14ac:dyDescent="0.3">
      <c r="A79">
        <v>5</v>
      </c>
      <c r="B79">
        <v>4</v>
      </c>
      <c r="C79">
        <f>100*116626/322593</f>
        <v>36.152675352534</v>
      </c>
      <c r="D79">
        <f>100*132725/638625</f>
        <v>20.782932080642006</v>
      </c>
      <c r="E79">
        <f>IF(COUNT(C79:D79)=2,D79-C79,"")</f>
        <v>-15.369743271891991</v>
      </c>
      <c r="H79">
        <v>5</v>
      </c>
      <c r="I79">
        <v>4</v>
      </c>
      <c r="J79">
        <f>100*174388/383201</f>
        <v>45.50823197225477</v>
      </c>
      <c r="K79">
        <f>100*81318/539380</f>
        <v>15.076198598390745</v>
      </c>
      <c r="L79">
        <f>IF(COUNT(J79:K79)=2,K79-J79,"")</f>
        <v>-30.432033373864023</v>
      </c>
      <c r="O79">
        <v>5</v>
      </c>
      <c r="P79">
        <v>4</v>
      </c>
      <c r="Q79">
        <f>100*426762/872765</f>
        <v>48.89769869323357</v>
      </c>
      <c r="R79">
        <f>100*42819/466096</f>
        <v>9.18673406336892</v>
      </c>
      <c r="S79">
        <f>IF(COUNT(Q79:R79)=2,R79-Q79,"")</f>
        <v>-39.71096462986465</v>
      </c>
    </row>
    <row r="80" spans="1:19" x14ac:dyDescent="0.3">
      <c r="A80">
        <v>6</v>
      </c>
      <c r="B80">
        <v>5</v>
      </c>
      <c r="C80">
        <f>100*159245/460762</f>
        <v>34.56122683728259</v>
      </c>
      <c r="D80">
        <f>100*134533/674424</f>
        <v>19.947836969028387</v>
      </c>
      <c r="E80">
        <f>IF(COUNT(C80:D80)=2,D80-C80,"")</f>
        <v>-14.613389868254202</v>
      </c>
      <c r="H80">
        <v>6</v>
      </c>
      <c r="I80">
        <v>5</v>
      </c>
      <c r="J80">
        <f>100*124193/417286</f>
        <v>29.76208164184756</v>
      </c>
      <c r="K80">
        <f>100*125252/835138</f>
        <v>14.997760849105179</v>
      </c>
      <c r="L80">
        <f>IF(COUNT(J80:K80)=2,K80-J80,"")</f>
        <v>-14.76432079274238</v>
      </c>
      <c r="O80">
        <v>6</v>
      </c>
      <c r="P80">
        <v>5</v>
      </c>
      <c r="Q80">
        <f>100*275977/710313</f>
        <v>38.85287190294983</v>
      </c>
      <c r="R80">
        <f>100*118262/875760</f>
        <v>13.503928016808258</v>
      </c>
      <c r="S80">
        <f>IF(COUNT(Q80:R80)=2,R80-Q80,"")</f>
        <v>-25.34894388614157</v>
      </c>
    </row>
    <row r="81" spans="1:19" x14ac:dyDescent="0.3">
      <c r="A81">
        <v>7</v>
      </c>
      <c r="B81">
        <v>6</v>
      </c>
      <c r="C81">
        <f>100*8837/457006</f>
        <v>1.9336726432475722</v>
      </c>
      <c r="D81">
        <f>100*15227/77330</f>
        <v>19.69093495409285</v>
      </c>
      <c r="E81">
        <f>IF(COUNT(C81:D81)=2,D81-C81,"")</f>
        <v>17.757262310845277</v>
      </c>
      <c r="H81">
        <v>7</v>
      </c>
      <c r="I81">
        <v>6</v>
      </c>
      <c r="J81">
        <f>100*4575/667678</f>
        <v>0.6852105356174683</v>
      </c>
      <c r="K81">
        <f>100*18307/957591</f>
        <v>1.911776530898891</v>
      </c>
      <c r="L81">
        <f>IF(COUNT(J81:K81)=2,K81-J81,"")</f>
        <v>1.2265659952814227</v>
      </c>
      <c r="O81">
        <v>7</v>
      </c>
      <c r="P81">
        <v>6</v>
      </c>
      <c r="Q81">
        <f>100*256619/495194</f>
        <v>51.82191222026115</v>
      </c>
      <c r="R81">
        <f>100*215023/770431</f>
        <v>27.909442896248983</v>
      </c>
      <c r="S81">
        <f>IF(COUNT(Q81:R81)=2,R81-Q81,"")</f>
        <v>-23.912469324012164</v>
      </c>
    </row>
    <row r="82" spans="1:19" x14ac:dyDescent="0.3">
      <c r="A82">
        <v>8</v>
      </c>
      <c r="B82">
        <v>7</v>
      </c>
      <c r="C82">
        <f>100*5105/579694</f>
        <v>0.8806370257411669</v>
      </c>
      <c r="D82">
        <f>100*1482/433809</f>
        <v>0.34162500086443576</v>
      </c>
      <c r="E82">
        <f>IF(COUNT(C82:D82)=2,D82-C82,"")</f>
        <v>-0.5390120248767312</v>
      </c>
      <c r="H82">
        <v>8</v>
      </c>
      <c r="I82">
        <v>7</v>
      </c>
      <c r="J82">
        <f>100*7536/581531</f>
        <v>1.2958896430284885</v>
      </c>
      <c r="K82">
        <f>100*1502/436476</f>
        <v>0.34411972250478834</v>
      </c>
      <c r="L82">
        <f>IF(COUNT(J82:K82)=2,K82-J82,"")</f>
        <v>-0.9517699205237002</v>
      </c>
      <c r="O82">
        <v>8</v>
      </c>
      <c r="P82">
        <v>7</v>
      </c>
      <c r="Q82">
        <f>100*168583/355732</f>
        <v>47.39045123857286</v>
      </c>
      <c r="R82">
        <f>100*184882/595521</f>
        <v>31.045420732434287</v>
      </c>
      <c r="S82">
        <f>IF(COUNT(Q82:R82)=2,R82-Q82,"")</f>
        <v>-16.34503050613857</v>
      </c>
    </row>
    <row r="83" spans="1:19" x14ac:dyDescent="0.3">
      <c r="A83">
        <v>9</v>
      </c>
      <c r="B83">
        <v>8</v>
      </c>
      <c r="C83">
        <f>100*207750/401424</f>
        <v>51.75325840009566</v>
      </c>
      <c r="D83">
        <f>100*156321/502162</f>
        <v>31.129595628502354</v>
      </c>
      <c r="E83">
        <f>IF(COUNT(C83:D83)=2,D83-C83,"")</f>
        <v>-20.623662771593306</v>
      </c>
      <c r="H83">
        <v>9</v>
      </c>
      <c r="I83">
        <v>8</v>
      </c>
      <c r="J83">
        <f>100*224416/408350</f>
        <v>54.95677727439696</v>
      </c>
      <c r="K83">
        <f>100*179947/695447</f>
        <v>25.875012761576368</v>
      </c>
      <c r="L83">
        <f>IF(COUNT(J83:K83)=2,K83-J83,"")</f>
        <v>-29.081764512820595</v>
      </c>
      <c r="O83">
        <v>9</v>
      </c>
      <c r="P83">
        <v>8</v>
      </c>
      <c r="Q83">
        <f>100*66103/140560</f>
        <v>47.02831531018782</v>
      </c>
      <c r="R83">
        <f>100*76864/251634</f>
        <v>30.545951659950564</v>
      </c>
      <c r="S83">
        <f>IF(COUNT(Q83:R83)=2,R83-Q83,"")</f>
        <v>-16.482363650237257</v>
      </c>
    </row>
    <row r="84" spans="1:19" x14ac:dyDescent="0.3">
      <c r="A84">
        <v>10</v>
      </c>
      <c r="B84">
        <v>9</v>
      </c>
      <c r="C84">
        <f>100*131791/855952</f>
        <v>15.397008243452904</v>
      </c>
      <c r="D84">
        <f>100*39505/633881</f>
        <v>6.232242329396212</v>
      </c>
      <c r="E84">
        <f>IF(COUNT(C84:D84)=2,D84-C84,"")</f>
        <v>-9.16476591405669</v>
      </c>
      <c r="H84">
        <v>10</v>
      </c>
      <c r="I84">
        <v>9</v>
      </c>
      <c r="J84">
        <f>100*472599/885198</f>
        <v>53.389072275355346</v>
      </c>
      <c r="K84">
        <f>100*35224/478966</f>
        <v>7.354175452954907</v>
      </c>
      <c r="L84">
        <f>IF(COUNT(J84:K84)=2,K84-J84,"")</f>
        <v>-46.03489682240044</v>
      </c>
      <c r="O84">
        <v>10</v>
      </c>
      <c r="P84">
        <v>9</v>
      </c>
      <c r="Q84">
        <f>100*6243/543809</f>
        <v>1.1480133649866038</v>
      </c>
      <c r="R84">
        <f>100*2555/36440</f>
        <v>7.01152579582876</v>
      </c>
      <c r="S84">
        <f>IF(COUNT(Q84:R84)=2,R84-Q84,"")</f>
        <v>5.863512430842157</v>
      </c>
    </row>
    <row r="85" spans="1:19" x14ac:dyDescent="0.3">
      <c r="A85">
        <v>11</v>
      </c>
      <c r="B85">
        <v>10</v>
      </c>
      <c r="C85">
        <f>100*335444/654410</f>
        <v>51.25899665347412</v>
      </c>
      <c r="D85">
        <f>100*172296/936575</f>
        <v>18.396391105891144</v>
      </c>
      <c r="E85">
        <f>IF(COUNT(C85:D85)=2,D85-C85,"")</f>
        <v>-32.86260554758297</v>
      </c>
      <c r="H85">
        <v>11</v>
      </c>
      <c r="I85">
        <v>10</v>
      </c>
      <c r="J85">
        <f>100*370148/619144</f>
        <v>59.783830578992934</v>
      </c>
      <c r="K85">
        <f>100*36602/968619</f>
        <v>3.7787819565794187</v>
      </c>
      <c r="L85">
        <f>IF(COUNT(J85:K85)=2,K85-J85,"")</f>
        <v>-56.00504862241351</v>
      </c>
      <c r="O85">
        <v>11</v>
      </c>
      <c r="P85">
        <v>10</v>
      </c>
      <c r="Q85">
        <f>100*225999/413085</f>
        <v>54.71004756890228</v>
      </c>
      <c r="R85">
        <f>100*984/2874</f>
        <v>34.23799582463466</v>
      </c>
      <c r="S85">
        <f>IF(COUNT(Q85:R85)=2,R85-Q85,"")</f>
        <v>-20.472051744267624</v>
      </c>
    </row>
    <row r="86" spans="1:19" x14ac:dyDescent="0.3">
      <c r="A86">
        <v>12</v>
      </c>
      <c r="B86">
        <v>11</v>
      </c>
      <c r="C86">
        <f>100*373038/695730</f>
        <v>53.618213962312964</v>
      </c>
      <c r="D86">
        <f>100*61621/732513</f>
        <v>8.412273911862314</v>
      </c>
      <c r="E86">
        <f>IF(COUNT(C86:D86)=2,D86-C86,"")</f>
        <v>-45.20594005045065</v>
      </c>
      <c r="H86">
        <v>12</v>
      </c>
      <c r="I86">
        <v>11</v>
      </c>
      <c r="J86">
        <f>100*303732/544372</f>
        <v>55.79493434636609</v>
      </c>
      <c r="K86">
        <f>100*25371/841483</f>
        <v>3.015034171813334</v>
      </c>
      <c r="L86">
        <f>IF(COUNT(J86:K86)=2,K86-J86,"")</f>
        <v>-52.77990017455276</v>
      </c>
      <c r="O86">
        <v>12</v>
      </c>
      <c r="P86">
        <v>11</v>
      </c>
      <c r="Q86">
        <f>100*176887/390857</f>
        <v>45.25619344159117</v>
      </c>
      <c r="R86">
        <f>100*104977/393733</f>
        <v>26.66197651708137</v>
      </c>
      <c r="S86">
        <f>IF(COUNT(Q86:R86)=2,R86-Q86,"")</f>
        <v>-18.5942169245098</v>
      </c>
    </row>
    <row r="87" spans="1:19" x14ac:dyDescent="0.3">
      <c r="A87">
        <v>13</v>
      </c>
      <c r="B87">
        <v>12</v>
      </c>
      <c r="C87">
        <f>100*11518/738798</f>
        <v>1.5590188387082802</v>
      </c>
      <c r="D87">
        <f>100*35156/588517</f>
        <v>5.973659214602127</v>
      </c>
      <c r="E87">
        <f>IF(COUNT(C87:D87)=2,D87-C87,"")</f>
        <v>4.414640375893846</v>
      </c>
      <c r="H87">
        <v>13</v>
      </c>
      <c r="I87">
        <v>12</v>
      </c>
      <c r="J87">
        <f>100*302007/670149</f>
        <v>45.06564957942189</v>
      </c>
      <c r="K87">
        <f>100*189715/888580</f>
        <v>21.350356748970267</v>
      </c>
      <c r="L87">
        <f>IF(COUNT(J87:K87)=2,K87-J87,"")</f>
        <v>-23.71529283045162</v>
      </c>
      <c r="O87">
        <v>13</v>
      </c>
      <c r="P87">
        <v>12</v>
      </c>
      <c r="Q87">
        <f>100*187062/769706</f>
        <v>24.30304557844164</v>
      </c>
      <c r="R87">
        <f>100*81140/828430</f>
        <v>9.79443042864213</v>
      </c>
      <c r="S87">
        <f>IF(COUNT(Q87:R87)=2,R87-Q87,"")</f>
        <v>-14.50861514979951</v>
      </c>
    </row>
    <row r="88" spans="1:19" x14ac:dyDescent="0.3">
      <c r="A88">
        <v>14</v>
      </c>
      <c r="B88">
        <v>13</v>
      </c>
      <c r="C88">
        <f>100*26873/442619</f>
        <v>6.0713615999313175</v>
      </c>
      <c r="D88">
        <f>100*7497/379719</f>
        <v>1.9743547202009908</v>
      </c>
      <c r="E88">
        <f>IF(COUNT(C88:D88)=2,D88-C88,"")</f>
        <v>-4.097006879730326</v>
      </c>
      <c r="H88">
        <v>14</v>
      </c>
      <c r="I88">
        <v>13</v>
      </c>
      <c r="J88">
        <f>100*112082/470769</f>
        <v>23.808279644581525</v>
      </c>
      <c r="K88">
        <f>100*3871/515659</f>
        <v>0.7506898939027535</v>
      </c>
      <c r="L88">
        <f>IF(COUNT(J88:K88)=2,K88-J88,"")</f>
        <v>-23.057589750678773</v>
      </c>
      <c r="O88">
        <v>14</v>
      </c>
      <c r="P88">
        <v>13</v>
      </c>
      <c r="Q88">
        <f>100*77933/602059</f>
        <v>12.94441242469592</v>
      </c>
      <c r="R88">
        <f>100*1725/450791</f>
        <v>0.38266070085693815</v>
      </c>
      <c r="S88">
        <f>IF(COUNT(Q88:R88)=2,R88-Q88,"")</f>
        <v>-12.56175172383898</v>
      </c>
    </row>
    <row r="89" spans="1:19" x14ac:dyDescent="0.3">
      <c r="A89">
        <v>15</v>
      </c>
      <c r="B89">
        <v>14</v>
      </c>
      <c r="C89">
        <f>100*163872/797309</f>
        <v>20.553135609907827</v>
      </c>
      <c r="D89">
        <f>100*295915/1262241</f>
        <v>23.44362130528164</v>
      </c>
      <c r="E89">
        <f>IF(COUNT(C89:D89)=2,D89-C89,"")</f>
        <v>2.890485695373812</v>
      </c>
      <c r="H89">
        <v>15</v>
      </c>
      <c r="I89">
        <v>14</v>
      </c>
      <c r="J89">
        <f>100*79792/480516</f>
        <v>16.605482439710645</v>
      </c>
      <c r="K89">
        <f>100*141688/760298</f>
        <v>18.635850679601944</v>
      </c>
      <c r="L89">
        <f>IF(COUNT(J89:K89)=2,K89-J89,"")</f>
        <v>2.030368239891299</v>
      </c>
      <c r="O89">
        <v>15</v>
      </c>
      <c r="P89">
        <v>14</v>
      </c>
      <c r="Q89">
        <f>100*175395/343809</f>
        <v>51.015243929042</v>
      </c>
      <c r="R89">
        <f>100*222941/652034</f>
        <v>34.19162190928694</v>
      </c>
      <c r="S89">
        <f>IF(COUNT(Q89:R89)=2,R89-Q89,"")</f>
        <v>-16.823622019755064</v>
      </c>
    </row>
    <row r="90" spans="1:19" x14ac:dyDescent="0.3">
      <c r="A90">
        <v>16</v>
      </c>
      <c r="B90">
        <v>15</v>
      </c>
      <c r="C90">
        <f>100*308947/536497</f>
        <v>57.58596972583258</v>
      </c>
      <c r="D90">
        <f>100*105547/708023</f>
        <v>14.907284085404005</v>
      </c>
      <c r="E90">
        <f>IF(COUNT(C90:D90)=2,D90-C90,"")</f>
        <v>-42.67868564042857</v>
      </c>
      <c r="H90">
        <v>16</v>
      </c>
      <c r="I90">
        <v>15</v>
      </c>
      <c r="J90">
        <f>100*331166/636513</f>
        <v>52.028159676235994</v>
      </c>
      <c r="K90">
        <f>100*44248/817082</f>
        <v>5.415368347362933</v>
      </c>
      <c r="L90">
        <f>IF(COUNT(J90:K90)=2,K90-J90,"")</f>
        <v>-46.61279132887306</v>
      </c>
      <c r="O90">
        <v>16</v>
      </c>
      <c r="P90">
        <v>15</v>
      </c>
      <c r="Q90">
        <f>100*123775/294038</f>
        <v>42.0948992987301</v>
      </c>
      <c r="R90">
        <f>100*231042/659454</f>
        <v>35.03534742377785</v>
      </c>
      <c r="S90">
        <f>IF(COUNT(Q90:R90)=2,R90-Q90,"")</f>
        <v>-7.059551874952248</v>
      </c>
    </row>
    <row r="91" spans="1:19" x14ac:dyDescent="0.3">
      <c r="A91">
        <v>17</v>
      </c>
      <c r="B91">
        <v>16</v>
      </c>
      <c r="C91">
        <f>100*210301/511283</f>
        <v>41.13201495062422</v>
      </c>
      <c r="D91">
        <f>100*78375/543794</f>
        <v>14.412626840310853</v>
      </c>
      <c r="E91">
        <f>IF(COUNT(C91:D91)=2,D91-C91,"")</f>
        <v>-26.719388110313364</v>
      </c>
      <c r="H91">
        <v>17</v>
      </c>
      <c r="I91">
        <v>16</v>
      </c>
      <c r="J91">
        <f>100*2558/107131</f>
        <v>2.3877309088872503</v>
      </c>
      <c r="K91">
        <f>100*124538/579511</f>
        <v>21.4901874166323</v>
      </c>
      <c r="L91">
        <f>IF(COUNT(J91:K91)=2,K91-J91,"")</f>
        <v>19.10245650774505</v>
      </c>
      <c r="O91">
        <v>17</v>
      </c>
      <c r="P91">
        <v>16</v>
      </c>
      <c r="Q91">
        <f>100*18236/388369</f>
        <v>4.695534401561401</v>
      </c>
      <c r="R91">
        <f>100*20443/419531</f>
        <v>4.872822270583104</v>
      </c>
      <c r="S91">
        <f>IF(COUNT(Q91:R91)=2,R91-Q91,"")</f>
        <v>0.17728786902170235</v>
      </c>
    </row>
    <row r="92" spans="1:19" x14ac:dyDescent="0.3">
      <c r="A92">
        <v>18</v>
      </c>
      <c r="B92">
        <v>17</v>
      </c>
      <c r="C92">
        <f>100*394081/764993</f>
        <v>51.51432758208245</v>
      </c>
      <c r="D92">
        <f>100*81132/719884</f>
        <v>11.270149079573931</v>
      </c>
      <c r="E92">
        <f>IF(COUNT(C92:D92)=2,D92-C92,"")</f>
        <v>-40.24417850250852</v>
      </c>
      <c r="H92">
        <v>18</v>
      </c>
      <c r="I92">
        <v>17</v>
      </c>
      <c r="K92">
        <f>100*95159/705670</f>
        <v>13.48491504527612</v>
      </c>
      <c r="L92" t="str">
        <f>IF(COUNT(J92:K92)=2,K92-J92,"")</f>
        <v/>
      </c>
      <c r="O92">
        <v>18</v>
      </c>
      <c r="P92">
        <v>17</v>
      </c>
      <c r="Q92">
        <f>100*87307/484664</f>
        <v>18.013923047719658</v>
      </c>
      <c r="R92">
        <f>100*55458/695192</f>
        <v>7.977364526634369</v>
      </c>
      <c r="S92">
        <f>IF(COUNT(Q92:R92)=2,R92-Q92,"")</f>
        <v>-10.03655852108529</v>
      </c>
    </row>
    <row r="93" spans="1:19" x14ac:dyDescent="0.3">
      <c r="A93">
        <v>19</v>
      </c>
      <c r="B93">
        <v>18</v>
      </c>
      <c r="C93">
        <f>100*356287/725510</f>
        <v>49.1084892007002</v>
      </c>
      <c r="D93">
        <f>100*92013/790794</f>
        <v>11.635520755089189</v>
      </c>
      <c r="E93">
        <f>IF(COUNT(C93:D93)=2,D93-C93,"")</f>
        <v>-37.47296844561101</v>
      </c>
      <c r="H93">
        <v>19</v>
      </c>
      <c r="I93">
        <v>18</v>
      </c>
      <c r="J93">
        <f>100*98670/626756</f>
        <v>15.742968555546337</v>
      </c>
      <c r="K93">
        <f>100*32275/881153</f>
        <v>3.6628145168886674</v>
      </c>
      <c r="L93">
        <f>IF(COUNT(J93:K93)=2,K93-J93,"")</f>
        <v>-12.08015403865767</v>
      </c>
      <c r="O93">
        <v>19</v>
      </c>
      <c r="P93">
        <v>18</v>
      </c>
      <c r="Q93">
        <f>100*176507/342598</f>
        <v>51.52014897927017</v>
      </c>
      <c r="R93">
        <f>100*161411/653742</f>
        <v>24.69032125823337</v>
      </c>
      <c r="S93">
        <f>IF(COUNT(Q93:R93)=2,R93-Q93,"")</f>
        <v>-26.829827721036796</v>
      </c>
    </row>
    <row r="94" spans="1:19" x14ac:dyDescent="0.3">
      <c r="A94">
        <v>20</v>
      </c>
      <c r="B94">
        <v>19</v>
      </c>
      <c r="C94">
        <f>100*436080/868999</f>
        <v>50.18187592851085</v>
      </c>
      <c r="D94">
        <f>100*93704/736459</f>
        <v>12.723586784871934</v>
      </c>
      <c r="E94">
        <f>IF(COUNT(C94:D94)=2,D94-C94,"")</f>
        <v>-37.458289143638915</v>
      </c>
      <c r="H94">
        <v>20</v>
      </c>
      <c r="I94">
        <v>19</v>
      </c>
      <c r="J94">
        <f>100*63724/294932</f>
        <v>21.606336375842567</v>
      </c>
      <c r="K94">
        <f>100*132401/749318</f>
        <v>17.669534163065613</v>
      </c>
      <c r="L94">
        <f>IF(COUNT(J94:K94)=2,K94-J94,"")</f>
        <v>-3.9368022127769535</v>
      </c>
      <c r="O94">
        <v>20</v>
      </c>
      <c r="P94">
        <v>19</v>
      </c>
      <c r="Q94">
        <f>100*271008/594768</f>
        <v>45.565329674763944</v>
      </c>
      <c r="R94">
        <f>100*219140/951447</f>
        <v>23.032286611865928</v>
      </c>
      <c r="S94">
        <f>IF(COUNT(Q94:R94)=2,R94-Q94,"")</f>
        <v>-22.533043062898017</v>
      </c>
    </row>
    <row r="95" spans="1:19" x14ac:dyDescent="0.3">
      <c r="A95">
        <v>21</v>
      </c>
      <c r="B95">
        <v>20</v>
      </c>
      <c r="C95">
        <f>100*288252/526914</f>
        <v>54.70570149967547</v>
      </c>
      <c r="D95">
        <f>100*11809/54816</f>
        <v>21.5429801517805</v>
      </c>
      <c r="E95">
        <f>IF(COUNT(C95:D95)=2,D95-C95,"")</f>
        <v>-33.16272134789497</v>
      </c>
      <c r="H95">
        <v>21</v>
      </c>
      <c r="I95">
        <v>20</v>
      </c>
      <c r="J95">
        <f>100*465002/826011</f>
        <v>56.29489195664465</v>
      </c>
      <c r="K95">
        <f>100*206480/835600</f>
        <v>24.710387745332696</v>
      </c>
      <c r="L95">
        <f>IF(COUNT(J95:K95)=2,K95-J95,"")</f>
        <v>-31.584504211311952</v>
      </c>
      <c r="O95">
        <v>21</v>
      </c>
      <c r="P95">
        <v>20</v>
      </c>
      <c r="Q95">
        <f>100*230728/471359</f>
        <v>48.9495267938026</v>
      </c>
      <c r="R95">
        <f>100*151326/579940</f>
        <v>26.09338897127289</v>
      </c>
      <c r="S95">
        <f>IF(COUNT(Q95:R95)=2,R95-Q95,"")</f>
        <v>-22.856137822529707</v>
      </c>
    </row>
    <row r="96" spans="1:19" x14ac:dyDescent="0.3">
      <c r="A96">
        <v>22</v>
      </c>
      <c r="B96">
        <v>21</v>
      </c>
      <c r="C96">
        <f>100*56325/137188</f>
        <v>41.056797970667986</v>
      </c>
      <c r="D96">
        <f>100*37976/152699</f>
        <v>24.86984197669926</v>
      </c>
      <c r="E96">
        <f>IF(COUNT(C96:D96)=2,D96-C96,"")</f>
        <v>-16.186955993968727</v>
      </c>
      <c r="H96">
        <v>22</v>
      </c>
      <c r="I96">
        <v>21</v>
      </c>
      <c r="J96">
        <f>100*144864/290419</f>
        <v>49.881033954390034</v>
      </c>
      <c r="K96">
        <f>100*33267/136676</f>
        <v>24.340045070092774</v>
      </c>
      <c r="L96">
        <f>IF(COUNT(J96:K96)=2,K96-J96,"")</f>
        <v>-25.54098888429726</v>
      </c>
      <c r="O96">
        <v>22</v>
      </c>
      <c r="P96">
        <v>21</v>
      </c>
      <c r="Q96">
        <f>100*25278/69101</f>
        <v>36.58123616156061</v>
      </c>
      <c r="R96">
        <f>100*87834/264673</f>
        <v>33.18585575408145</v>
      </c>
      <c r="S96">
        <f>IF(COUNT(Q96:R96)=2,R96-Q96,"")</f>
        <v>-3.395380407479159</v>
      </c>
    </row>
    <row r="97" spans="1:19" x14ac:dyDescent="0.3">
      <c r="A97">
        <v>23</v>
      </c>
      <c r="B97">
        <v>22</v>
      </c>
      <c r="C97">
        <f>100*288383/663204</f>
        <v>43.48330227200077</v>
      </c>
      <c r="D97">
        <f>100*187031/897531</f>
        <v>20.838388869019568</v>
      </c>
      <c r="E97">
        <f>IF(COUNT(C97:D97)=2,D97-C97,"")</f>
        <v>-22.644913402981203</v>
      </c>
      <c r="H97">
        <v>23</v>
      </c>
      <c r="I97">
        <v>22</v>
      </c>
      <c r="J97">
        <f>100*455714/839395</f>
        <v>54.29076894668184</v>
      </c>
      <c r="K97">
        <f>100*264746/1101726</f>
        <v>24.030112750357166</v>
      </c>
      <c r="L97">
        <f>IF(COUNT(J97:K97)=2,K97-J97,"")</f>
        <v>-30.26065619632467</v>
      </c>
      <c r="O97">
        <v>23</v>
      </c>
      <c r="P97">
        <v>22</v>
      </c>
      <c r="Q97">
        <f>100*745/388450</f>
        <v>0.1917878748873729</v>
      </c>
      <c r="R97">
        <f>100*4062/359101</f>
        <v>1.1311580864436468</v>
      </c>
      <c r="S97">
        <f>IF(COUNT(Q97:R97)=2,R97-Q97,"")</f>
        <v>0.9393702115562739</v>
      </c>
    </row>
    <row r="98" spans="1:19" x14ac:dyDescent="0.3">
      <c r="A98">
        <v>24</v>
      </c>
      <c r="B98">
        <v>23</v>
      </c>
      <c r="C98">
        <f>100*197095/749959</f>
        <v>26.28077001542751</v>
      </c>
      <c r="D98">
        <f>100*172395/886540</f>
        <v>19.445823087508742</v>
      </c>
      <c r="E98">
        <f>IF(COUNT(C98:D98)=2,D98-C98,"")</f>
        <v>-6.834946927918768</v>
      </c>
      <c r="H98">
        <v>24</v>
      </c>
      <c r="I98">
        <v>23</v>
      </c>
      <c r="J98">
        <f>100*361494/762974</f>
        <v>47.37959615924002</v>
      </c>
      <c r="K98">
        <f>100*9583/724486</f>
        <v>1.3227308740265513</v>
      </c>
      <c r="L98">
        <f>IF(COUNT(J98:K98)=2,K98-J98,"")</f>
        <v>-46.05686528521347</v>
      </c>
      <c r="O98">
        <v>24</v>
      </c>
      <c r="P98">
        <v>23</v>
      </c>
      <c r="Q98">
        <f>100*292810/722778</f>
        <v>40.51174772890155</v>
      </c>
      <c r="R98">
        <f>100*118213/845130</f>
        <v>13.987552210902464</v>
      </c>
      <c r="S98">
        <f>IF(COUNT(Q98:R98)=2,R98-Q98,"")</f>
        <v>-26.524195517999082</v>
      </c>
    </row>
    <row r="99" spans="1:19" x14ac:dyDescent="0.3">
      <c r="A99">
        <v>25</v>
      </c>
      <c r="B99">
        <v>24</v>
      </c>
      <c r="C99">
        <f>100*283892/666913</f>
        <v>42.56807109772939</v>
      </c>
      <c r="D99">
        <f>100*127648/739289</f>
        <v>17.266319396068386</v>
      </c>
      <c r="E99">
        <f>IF(COUNT(C99:D99)=2,D99-C99,"")</f>
        <v>-25.301751701661</v>
      </c>
      <c r="H99">
        <v>25</v>
      </c>
      <c r="I99">
        <v>24</v>
      </c>
      <c r="J99">
        <f>100*297339/579923</f>
        <v>51.27215164771875</v>
      </c>
      <c r="K99">
        <f>100*116237/878045</f>
        <v>13.238159775410145</v>
      </c>
      <c r="L99">
        <f>IF(COUNT(J99:K99)=2,K99-J99,"")</f>
        <v>-38.033991872308604</v>
      </c>
      <c r="O99">
        <v>25</v>
      </c>
      <c r="P99">
        <v>24</v>
      </c>
      <c r="Q99">
        <f>100*194348/434877</f>
        <v>44.69033772767932</v>
      </c>
      <c r="R99">
        <f>100*116737/335336</f>
        <v>34.81194980556815</v>
      </c>
      <c r="S99">
        <f>IF(COUNT(Q99:R99)=2,R99-Q99,"")</f>
        <v>-9.878387922111173</v>
      </c>
    </row>
    <row r="100" spans="1:19" x14ac:dyDescent="0.3">
      <c r="A100">
        <v>26</v>
      </c>
      <c r="B100">
        <v>25</v>
      </c>
      <c r="C100">
        <f>100*327098/548933</f>
        <v>59.587964287080574</v>
      </c>
      <c r="D100">
        <f>100*140767/770695</f>
        <v>18.264942681605564</v>
      </c>
      <c r="E100">
        <f>IF(COUNT(C100:D100)=2,D100-C100,"")</f>
        <v>-41.323021605475006</v>
      </c>
      <c r="H100">
        <v>26</v>
      </c>
      <c r="I100">
        <v>25</v>
      </c>
      <c r="J100">
        <f>100*30617/503886</f>
        <v>6.076175960435496</v>
      </c>
      <c r="K100">
        <f>100*6051/185956</f>
        <v>3.2539955688442426</v>
      </c>
      <c r="L100">
        <f>IF(COUNT(J100:K100)=2,K100-J100,"")</f>
        <v>-2.822180391591253</v>
      </c>
      <c r="O100">
        <v>26</v>
      </c>
      <c r="P100">
        <v>25</v>
      </c>
      <c r="Q100">
        <f>100*196342/383537</f>
        <v>51.19245340084529</v>
      </c>
      <c r="R100">
        <f>100*157893/520985</f>
        <v>30.3066307091375</v>
      </c>
      <c r="S100">
        <f>IF(COUNT(Q100:R100)=2,R100-Q100,"")</f>
        <v>-20.885822691707787</v>
      </c>
    </row>
    <row r="101" spans="1:19" x14ac:dyDescent="0.3">
      <c r="A101">
        <v>27</v>
      </c>
      <c r="B101">
        <v>26</v>
      </c>
      <c r="C101">
        <f>100*131956/715212</f>
        <v>18.449914151328556</v>
      </c>
      <c r="D101">
        <f>100*43763/401395</f>
        <v>10.902726740492533</v>
      </c>
      <c r="E101">
        <f>IF(COUNT(C101:D101)=2,D101-C101,"")</f>
        <v>-7.547187410836024</v>
      </c>
      <c r="H101">
        <v>27</v>
      </c>
      <c r="I101">
        <v>26</v>
      </c>
      <c r="J101">
        <f>100*110948/559494</f>
        <v>19.830060733448438</v>
      </c>
      <c r="K101">
        <f>100*93697/528737</f>
        <v>17.72090850460626</v>
      </c>
      <c r="L101">
        <f>IF(COUNT(J101:K101)=2,K101-J101,"")</f>
        <v>-2.109152228842177</v>
      </c>
      <c r="O101">
        <v>27</v>
      </c>
      <c r="P101">
        <v>26</v>
      </c>
      <c r="Q101">
        <f>100*186316/322263</f>
        <v>57.81489032250057</v>
      </c>
      <c r="R101">
        <f>100*153014/558196</f>
        <v>27.412235128879463</v>
      </c>
      <c r="S101">
        <f>IF(COUNT(Q101:R101)=2,R101-Q101,"")</f>
        <v>-30.402655193621104</v>
      </c>
    </row>
    <row r="102" spans="1:19" x14ac:dyDescent="0.3">
      <c r="A102">
        <v>28</v>
      </c>
      <c r="B102">
        <v>27</v>
      </c>
      <c r="C102">
        <f>100*93368/326528</f>
        <v>28.59417875343003</v>
      </c>
      <c r="D102">
        <f>100*149183/718215</f>
        <v>20.771356766427882</v>
      </c>
      <c r="E102">
        <f>IF(COUNT(C102:D102)=2,D102-C102,"")</f>
        <v>-7.822821987002147</v>
      </c>
      <c r="H102">
        <v>28</v>
      </c>
      <c r="I102">
        <v>27</v>
      </c>
      <c r="J102">
        <f>100*139061/401357</f>
        <v>34.6477076517913</v>
      </c>
      <c r="K102">
        <f>100*148732/666455</f>
        <v>22.31688561118155</v>
      </c>
      <c r="L102">
        <f>IF(COUNT(J102:K102)=2,K102-J102,"")</f>
        <v>-12.33082204060975</v>
      </c>
      <c r="O102">
        <v>28</v>
      </c>
      <c r="P102">
        <v>27</v>
      </c>
      <c r="Q102">
        <f>100*1759/765634</f>
        <v>0.22974423810854794</v>
      </c>
      <c r="R102">
        <f>100*593/381682</f>
        <v>0.15536493730382883</v>
      </c>
      <c r="S102">
        <f>IF(COUNT(Q102:R102)=2,R102-Q102,"")</f>
        <v>-0.0743793008047191</v>
      </c>
    </row>
    <row r="103" spans="1:19" x14ac:dyDescent="0.3">
      <c r="A103">
        <v>29</v>
      </c>
      <c r="B103">
        <v>28</v>
      </c>
      <c r="C103">
        <f>100*252391/493274</f>
        <v>51.16649164561684</v>
      </c>
      <c r="D103">
        <f>100*177906/781321</f>
        <v>22.769898671608725</v>
      </c>
      <c r="E103">
        <f>IF(COUNT(C103:D103)=2,D103-C103,"")</f>
        <v>-28.39659297400811</v>
      </c>
      <c r="H103">
        <v>29</v>
      </c>
      <c r="I103">
        <v>28</v>
      </c>
      <c r="J103">
        <f>100*239541/426383</f>
        <v>56.17977264571993</v>
      </c>
      <c r="K103">
        <f>100*215495/764778</f>
        <v>28.177458033573142</v>
      </c>
      <c r="L103">
        <f>IF(COUNT(J103:K103)=2,K103-J103,"")</f>
        <v>-28.002314612146787</v>
      </c>
      <c r="O103">
        <v>29</v>
      </c>
      <c r="P103">
        <v>28</v>
      </c>
      <c r="Q103">
        <f>100*180468/321414</f>
        <v>56.14814538259068</v>
      </c>
      <c r="R103">
        <f>100*199994/571766</f>
        <v>34.97829531661554</v>
      </c>
      <c r="S103">
        <f>IF(COUNT(Q103:R103)=2,R103-Q103,"")</f>
        <v>-21.16985006597514</v>
      </c>
    </row>
    <row r="104" spans="1:19" x14ac:dyDescent="0.3">
      <c r="A104">
        <v>30</v>
      </c>
      <c r="B104">
        <v>29</v>
      </c>
      <c r="C104">
        <f>100*7199/513080</f>
        <v>1.40309503391284</v>
      </c>
      <c r="D104">
        <f>100*2984/443216</f>
        <v>0.6732608931085521</v>
      </c>
      <c r="E104">
        <f>IF(COUNT(C104:D104)=2,D104-C104,"")</f>
        <v>-0.729834140804288</v>
      </c>
      <c r="H104">
        <v>30</v>
      </c>
      <c r="I104">
        <v>29</v>
      </c>
      <c r="J104">
        <f>100*176819/628999</f>
        <v>28.111173467684367</v>
      </c>
      <c r="K104">
        <f>100*13412/684211</f>
        <v>1.9602140275441349</v>
      </c>
      <c r="L104">
        <f>IF(COUNT(J104:K104)=2,K104-J104,"")</f>
        <v>-26.15095944014023</v>
      </c>
      <c r="O104">
        <v>30</v>
      </c>
      <c r="P104">
        <v>29</v>
      </c>
      <c r="Q104">
        <f>100*273685/521227</f>
        <v>52.5078324798984</v>
      </c>
      <c r="R104">
        <f>100*125754/592106</f>
        <v>21.238426903290964</v>
      </c>
      <c r="S104">
        <f>IF(COUNT(Q104:R104)=2,R104-Q104,"")</f>
        <v>-31.269405576607433</v>
      </c>
    </row>
    <row r="105" spans="1:19" x14ac:dyDescent="0.3">
      <c r="A105">
        <v>31</v>
      </c>
      <c r="B105">
        <v>30</v>
      </c>
      <c r="C105">
        <f>100*174463/441755</f>
        <v>39.49315797217915</v>
      </c>
      <c r="D105">
        <f>100*64238/613923</f>
        <v>10.463527185005285</v>
      </c>
      <c r="E105">
        <f>IF(COUNT(C105:D105)=2,D105-C105,"")</f>
        <v>-29.029630787173865</v>
      </c>
      <c r="H105">
        <v>31</v>
      </c>
      <c r="I105">
        <v>30</v>
      </c>
      <c r="J105">
        <f>100*69915/403117</f>
        <v>17.343599997023198</v>
      </c>
      <c r="K105">
        <f>100*128206/516334</f>
        <v>24.83005186565285</v>
      </c>
      <c r="L105">
        <f>IF(COUNT(J105:K105)=2,K105-J105,"")</f>
        <v>7.486451868629654</v>
      </c>
      <c r="O105">
        <v>31</v>
      </c>
      <c r="P105">
        <v>30</v>
      </c>
      <c r="Q105">
        <f>100*141232/628600</f>
        <v>22.467706013363028</v>
      </c>
      <c r="R105">
        <f>100*13420/811997</f>
        <v>1.6527154656975334</v>
      </c>
      <c r="S105">
        <f>IF(COUNT(Q105:R105)=2,R105-Q105,"")</f>
        <v>-20.814990547665495</v>
      </c>
    </row>
    <row r="106" spans="1:19" x14ac:dyDescent="0.3">
      <c r="A106" t="s">
        <v>5</v>
      </c>
      <c r="C106">
        <f>IF(COUNT(C75:C105)&gt;0,AVERAGE(C75:C105),"")</f>
        <v>35.1823377390142</v>
      </c>
      <c r="D106">
        <f>IF(COUNT(D75:D105)&gt;0,AVERAGE(D75:D105),"")</f>
        <v>15.72156593245054</v>
      </c>
      <c r="E106">
        <f>IF(COUNT(E75:E105)&gt;0,AVERAGE(E75:E105),"")</f>
        <v>-19.460771806563656</v>
      </c>
      <c r="H106" t="s">
        <v>5</v>
      </c>
      <c r="J106">
        <f>IF(COUNT(J75:J105)&gt;0,AVERAGE(J75:J105),"")</f>
        <v>36.36341959604758</v>
      </c>
      <c r="K106">
        <f>IF(COUNT(K75:K105)&gt;0,AVERAGE(K75:K105),"")</f>
        <v>14.525047909317923</v>
      </c>
      <c r="L106">
        <f>IF(COUNT(L75:L105)&gt;0,AVERAGE(L75:L105),"")</f>
        <v>-21.803700591261588</v>
      </c>
      <c r="O106" t="s">
        <v>5</v>
      </c>
      <c r="Q106">
        <f>IF(COUNT(Q75:Q105)&gt;0,AVERAGE(Q75:Q105),"")</f>
        <v>36.77372678334244</v>
      </c>
      <c r="R106">
        <f>IF(COUNT(R75:R105)&gt;0,AVERAGE(R75:R105),"")</f>
        <v>20.91628138545449</v>
      </c>
      <c r="S106">
        <f>IF(COUNT(S75:S105)&gt;0,AVERAGE(S75:S105),"")</f>
        <v>-15.857445397887949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DF8F6-3B8D-4726-8776-C031942D7746}">
  <dimension ref="A1:S106"/>
  <sheetViews>
    <sheetView topLeftCell="A58" workbookViewId="0">
      <selection activeCell="A73" sqref="A73:XFD73"/>
    </sheetView>
  </sheetViews>
  <sheetFormatPr defaultRowHeight="16.5" x14ac:dyDescent="0.3"/>
  <sheetData>
    <row r="1" spans="1:19" s="2" customFormat="1" ht="17.25" customHeight="1" x14ac:dyDescent="0.3">
      <c r="A1" s="1" t="s">
        <v>6</v>
      </c>
      <c r="B1" s="1"/>
      <c r="C1" s="1"/>
      <c r="D1" s="1"/>
      <c r="E1" s="1"/>
      <c r="H1" s="1" t="s">
        <v>7</v>
      </c>
      <c r="I1" s="1"/>
      <c r="J1" s="1"/>
      <c r="K1" s="1"/>
      <c r="L1" s="1"/>
      <c r="O1" s="1" t="s">
        <v>8</v>
      </c>
      <c r="P1" s="1"/>
      <c r="Q1" s="1"/>
      <c r="R1" s="1"/>
      <c r="S1" s="1"/>
    </row>
    <row r="2" spans="1:1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H2" t="s">
        <v>0</v>
      </c>
      <c r="I2" t="s">
        <v>1</v>
      </c>
      <c r="J2" t="s">
        <v>2</v>
      </c>
      <c r="K2" t="s">
        <v>3</v>
      </c>
      <c r="L2" t="s">
        <v>4</v>
      </c>
      <c r="O2" t="s">
        <v>0</v>
      </c>
      <c r="P2" t="s">
        <v>1</v>
      </c>
      <c r="Q2" t="s">
        <v>2</v>
      </c>
      <c r="R2" t="s">
        <v>3</v>
      </c>
      <c r="S2" t="s">
        <v>4</v>
      </c>
    </row>
    <row r="3" spans="1:19" x14ac:dyDescent="0.3">
      <c r="A3">
        <v>1</v>
      </c>
      <c r="B3">
        <v>0</v>
      </c>
      <c r="C3">
        <f>100*195788/558995</f>
        <v>35.0250002236156</v>
      </c>
      <c r="D3">
        <f>100*68601/402433</f>
        <v>17.04656427281063</v>
      </c>
      <c r="E3">
        <f>IF(COUNT(C3:D3)=2,D3-C3,"")</f>
        <v>-17.97843595080497</v>
      </c>
      <c r="H3">
        <v>1</v>
      </c>
      <c r="I3">
        <v>0</v>
      </c>
      <c r="J3">
        <f>100*58251/215009</f>
        <v>27.09235427354204</v>
      </c>
      <c r="K3">
        <f>100*54711/412426</f>
        <v>13.265652504934218</v>
      </c>
      <c r="L3">
        <f>IF(COUNT(J3:K3)=2,K3-J3,"")</f>
        <v>-13.82670176860782</v>
      </c>
      <c r="O3">
        <v>1</v>
      </c>
      <c r="P3">
        <v>0</v>
      </c>
      <c r="Q3">
        <f>100*45645/291867</f>
        <v>15.638972545714315</v>
      </c>
      <c r="R3">
        <f>100*33929/350579</f>
        <v>9.677989839665239</v>
      </c>
      <c r="S3">
        <f>IF(COUNT(Q3:R3)=2,R3-Q3,"")</f>
        <v>-5.9609827060490765</v>
      </c>
    </row>
    <row r="4" spans="1:19" x14ac:dyDescent="0.3">
      <c r="A4">
        <v>2</v>
      </c>
      <c r="B4">
        <v>1</v>
      </c>
      <c r="C4">
        <f>100*131600/348213</f>
        <v>37.792960056057645</v>
      </c>
      <c r="D4">
        <f>100*101666/494333</f>
        <v>20.566298426364416</v>
      </c>
      <c r="E4">
        <f>IF(COUNT(C4:D4)=2,D4-C4,"")</f>
        <v>-17.22666162969323</v>
      </c>
      <c r="H4">
        <v>2</v>
      </c>
      <c r="I4">
        <v>1</v>
      </c>
      <c r="J4">
        <f>100*64971/296332</f>
        <v>21.925070529001257</v>
      </c>
      <c r="K4">
        <f>100*54788/284293</f>
        <v>19.271666907029015</v>
      </c>
      <c r="L4">
        <f>IF(COUNT(J4:K4)=2,K4-J4,"")</f>
        <v>-2.6534036219722417</v>
      </c>
      <c r="O4">
        <v>2</v>
      </c>
      <c r="P4">
        <v>1</v>
      </c>
      <c r="Q4">
        <f>100*75288/157455</f>
        <v>47.81556635229113</v>
      </c>
      <c r="R4">
        <f>100*51956/196103</f>
        <v>26.494240271693958</v>
      </c>
      <c r="S4">
        <f>IF(COUNT(Q4:R4)=2,R4-Q4,"")</f>
        <v>-21.32132608059717</v>
      </c>
    </row>
    <row r="5" spans="1:19" x14ac:dyDescent="0.3">
      <c r="A5">
        <v>3</v>
      </c>
      <c r="B5">
        <v>2</v>
      </c>
      <c r="C5">
        <f>100*190955/499604</f>
        <v>38.221271246827484</v>
      </c>
      <c r="D5">
        <f>100*60553/439770</f>
        <v>13.769243013393364</v>
      </c>
      <c r="E5">
        <f>IF(COUNT(C5:D5)=2,D5-C5,"")</f>
        <v>-24.45202823343412</v>
      </c>
      <c r="H5">
        <v>3</v>
      </c>
      <c r="I5">
        <v>2</v>
      </c>
      <c r="J5">
        <f>100*62705/328831</f>
        <v>19.069065872743142</v>
      </c>
      <c r="K5">
        <f>100*43051/470720</f>
        <v>9.145776682528892</v>
      </c>
      <c r="L5">
        <f>IF(COUNT(J5:K5)=2,K5-J5,"")</f>
        <v>-9.92328919021425</v>
      </c>
      <c r="O5">
        <v>3</v>
      </c>
      <c r="P5">
        <v>2</v>
      </c>
      <c r="Q5">
        <f>100*141348/334791</f>
        <v>42.21977293296415</v>
      </c>
      <c r="R5">
        <f>100*35556/279566</f>
        <v>12.718284769964875</v>
      </c>
      <c r="S5">
        <f>IF(COUNT(Q5:R5)=2,R5-Q5,"")</f>
        <v>-29.501488162999273</v>
      </c>
    </row>
    <row r="6" spans="1:19" x14ac:dyDescent="0.3">
      <c r="A6">
        <v>4</v>
      </c>
      <c r="B6">
        <v>3</v>
      </c>
      <c r="C6">
        <f>100*11557/332328</f>
        <v>3.477588406634409</v>
      </c>
      <c r="D6">
        <f>100*29396/366106</f>
        <v>8.029368543536572</v>
      </c>
      <c r="E6">
        <f>IF(COUNT(C6:D6)=2,D6-C6,"")</f>
        <v>4.551780136902163</v>
      </c>
      <c r="H6">
        <v>4</v>
      </c>
      <c r="I6">
        <v>3</v>
      </c>
      <c r="J6">
        <f>100*69099/464767</f>
        <v>14.867449711360747</v>
      </c>
      <c r="K6">
        <f>100*19090/394381</f>
        <v>4.840496879920686</v>
      </c>
      <c r="L6">
        <f>IF(COUNT(J6:K6)=2,K6-J6,"")</f>
        <v>-10.026952831440061</v>
      </c>
      <c r="O6">
        <v>4</v>
      </c>
      <c r="P6">
        <v>3</v>
      </c>
      <c r="Q6">
        <f>100*182044/470083</f>
        <v>38.72592712350798</v>
      </c>
      <c r="R6">
        <f>100*71181/507704</f>
        <v>14.020177111072593</v>
      </c>
      <c r="S6">
        <f>IF(COUNT(Q6:R6)=2,R6-Q6,"")</f>
        <v>-24.705750012435388</v>
      </c>
    </row>
    <row r="7" spans="1:19" x14ac:dyDescent="0.3">
      <c r="A7">
        <v>5</v>
      </c>
      <c r="B7">
        <v>4</v>
      </c>
      <c r="C7">
        <f>100*96546/258766</f>
        <v>37.3101566666409</v>
      </c>
      <c r="D7">
        <f>100*77701/409322</f>
        <v>18.982854574149446</v>
      </c>
      <c r="E7">
        <f>IF(COUNT(C7:D7)=2,D7-C7,"")</f>
        <v>-18.327302092491454</v>
      </c>
      <c r="H7">
        <v>5</v>
      </c>
      <c r="I7">
        <v>4</v>
      </c>
      <c r="J7">
        <f>100*106457/411240</f>
        <v>25.88683007489544</v>
      </c>
      <c r="K7">
        <f>100*82103/542877</f>
        <v>15.12368363367761</v>
      </c>
      <c r="L7">
        <f>IF(COUNT(J7:K7)=2,K7-J7,"")</f>
        <v>-10.76314644121783</v>
      </c>
      <c r="O7">
        <v>5</v>
      </c>
      <c r="P7">
        <v>4</v>
      </c>
      <c r="Q7">
        <f>100*154964/442048</f>
        <v>35.055921528883744</v>
      </c>
      <c r="R7">
        <f>100*13287/395559</f>
        <v>3.359043783607502</v>
      </c>
      <c r="S7">
        <f>IF(COUNT(Q7:R7)=2,R7-Q7,"")</f>
        <v>-31.69687774527624</v>
      </c>
    </row>
    <row r="8" spans="1:19" x14ac:dyDescent="0.3">
      <c r="A8">
        <v>6</v>
      </c>
      <c r="B8">
        <v>5</v>
      </c>
      <c r="C8">
        <f>100*77908/371148</f>
        <v>20.9910871134965</v>
      </c>
      <c r="D8">
        <f>100*36322/304017</f>
        <v>11.947358206942376</v>
      </c>
      <c r="E8">
        <f>IF(COUNT(C8:D8)=2,D8-C8,"")</f>
        <v>-9.043728906554126</v>
      </c>
      <c r="H8">
        <v>6</v>
      </c>
      <c r="I8">
        <v>5</v>
      </c>
      <c r="J8">
        <f>100*91696/324059</f>
        <v>28.29608188632317</v>
      </c>
      <c r="K8">
        <f>100*43589/299466</f>
        <v>14.555575591219037</v>
      </c>
      <c r="L8">
        <f>IF(COUNT(J8:K8)=2,K8-J8,"")</f>
        <v>-13.740506295104131</v>
      </c>
      <c r="O8">
        <v>6</v>
      </c>
      <c r="P8">
        <v>5</v>
      </c>
      <c r="Q8">
        <f>100*114455/487242</f>
        <v>23.49038055011678</v>
      </c>
      <c r="R8">
        <f>100*85801/554896</f>
        <v>15.4625371240737</v>
      </c>
      <c r="S8">
        <f>IF(COUNT(Q8:R8)=2,R8-Q8,"")</f>
        <v>-8.027843426043079</v>
      </c>
    </row>
    <row r="9" spans="1:19" x14ac:dyDescent="0.3">
      <c r="A9">
        <v>7</v>
      </c>
      <c r="B9">
        <v>6</v>
      </c>
      <c r="C9">
        <f>100*93317/434887</f>
        <v>21.457757992306046</v>
      </c>
      <c r="D9">
        <f>100*9648/389648</f>
        <v>2.4760809756498174</v>
      </c>
      <c r="E9">
        <f>IF(COUNT(C9:D9)=2,D9-C9,"")</f>
        <v>-18.981677016656228</v>
      </c>
      <c r="H9">
        <v>7</v>
      </c>
      <c r="I9">
        <v>6</v>
      </c>
      <c r="J9">
        <f>100*2956/325191</f>
        <v>0.9090042467349957</v>
      </c>
      <c r="K9">
        <f>100*1998/298397</f>
        <v>0.6695777772564737</v>
      </c>
      <c r="L9">
        <f>IF(COUNT(J9:K9)=2,K9-J9,"")</f>
        <v>-0.23942646947852197</v>
      </c>
      <c r="O9">
        <v>7</v>
      </c>
      <c r="P9">
        <v>6</v>
      </c>
      <c r="Q9">
        <f>100*198686/446837</f>
        <v>44.46498387555194</v>
      </c>
      <c r="R9">
        <f>100*80647/483063</f>
        <v>16.694923850512254</v>
      </c>
      <c r="S9">
        <f>IF(COUNT(Q9:R9)=2,R9-Q9,"")</f>
        <v>-27.770060025039683</v>
      </c>
    </row>
    <row r="10" spans="1:19" x14ac:dyDescent="0.3">
      <c r="A10">
        <v>8</v>
      </c>
      <c r="B10">
        <v>7</v>
      </c>
      <c r="C10">
        <f>100*1113/275738</f>
        <v>0.4036440389064982</v>
      </c>
      <c r="D10">
        <f>100*2595/280616</f>
        <v>0.9247512615103914</v>
      </c>
      <c r="E10">
        <f>IF(COUNT(C10:D10)=2,D10-C10,"")</f>
        <v>0.5211072226038933</v>
      </c>
      <c r="H10">
        <v>8</v>
      </c>
      <c r="I10">
        <v>7</v>
      </c>
      <c r="J10">
        <f>100*1179/376958</f>
        <v>0.31276693955294754</v>
      </c>
      <c r="K10">
        <f>100*9579/553842</f>
        <v>1.7295546383264542</v>
      </c>
      <c r="L10">
        <f>IF(COUNT(J10:K10)=2,K10-J10,"")</f>
        <v>1.4167876987735066</v>
      </c>
      <c r="O10">
        <v>8</v>
      </c>
      <c r="P10">
        <v>7</v>
      </c>
      <c r="Q10">
        <f>100*140584/308785</f>
        <v>45.52811826999368</v>
      </c>
      <c r="R10">
        <f>100*59849/265542</f>
        <v>22.538430832034106</v>
      </c>
      <c r="S10">
        <f>IF(COUNT(Q10:R10)=2,R10-Q10,"")</f>
        <v>-22.989687437959578</v>
      </c>
    </row>
    <row r="11" spans="1:19" x14ac:dyDescent="0.3">
      <c r="A11">
        <v>9</v>
      </c>
      <c r="B11">
        <v>8</v>
      </c>
      <c r="C11">
        <f>100*126680/328998</f>
        <v>38.504793342208764</v>
      </c>
      <c r="D11">
        <f>100*91126/422224</f>
        <v>21.582382811019745</v>
      </c>
      <c r="E11">
        <f>IF(COUNT(C11:D11)=2,D11-C11,"")</f>
        <v>-16.92241053118902</v>
      </c>
      <c r="H11">
        <v>9</v>
      </c>
      <c r="I11">
        <v>8</v>
      </c>
      <c r="J11">
        <f>100*144131/422295</f>
        <v>34.13040646941119</v>
      </c>
      <c r="K11">
        <f>100*123109/442043</f>
        <v>27.850005542447228</v>
      </c>
      <c r="L11">
        <f>IF(COUNT(J11:K11)=2,K11-J11,"")</f>
        <v>-6.280400926963964</v>
      </c>
      <c r="O11">
        <v>9</v>
      </c>
      <c r="P11">
        <v>8</v>
      </c>
      <c r="Q11">
        <f>100*85958/184662</f>
        <v>46.54882975382049</v>
      </c>
      <c r="R11">
        <f>100*82920/265100</f>
        <v>31.27876273104489</v>
      </c>
      <c r="S11">
        <f>IF(COUNT(Q11:R11)=2,R11-Q11,"")</f>
        <v>-15.270067022775603</v>
      </c>
    </row>
    <row r="12" spans="1:19" x14ac:dyDescent="0.3">
      <c r="A12">
        <v>10</v>
      </c>
      <c r="B12">
        <v>9</v>
      </c>
      <c r="C12">
        <f>100*74901/412598</f>
        <v>18.15350534903223</v>
      </c>
      <c r="D12">
        <f>100*24746/370237</f>
        <v>6.683826846047261</v>
      </c>
      <c r="E12">
        <f>IF(COUNT(C12:D12)=2,D12-C12,"")</f>
        <v>-11.46967850298497</v>
      </c>
      <c r="H12">
        <v>10</v>
      </c>
      <c r="I12">
        <v>9</v>
      </c>
      <c r="J12">
        <f>100*71311/426052</f>
        <v>16.737628270727516</v>
      </c>
      <c r="K12">
        <f>100*30951/365406</f>
        <v>8.470304264297795</v>
      </c>
      <c r="L12">
        <f>IF(COUNT(J12:K12)=2,K12-J12,"")</f>
        <v>-8.267324006429721</v>
      </c>
      <c r="O12">
        <v>10</v>
      </c>
      <c r="P12">
        <v>9</v>
      </c>
      <c r="Q12">
        <f>100*199032/643646</f>
        <v>30.922587882158826</v>
      </c>
      <c r="R12">
        <f>100*11104/490839</f>
        <v>2.262248924800189</v>
      </c>
      <c r="S12">
        <f>IF(COUNT(Q12:R12)=2,R12-Q12,"")</f>
        <v>-28.660338957358636</v>
      </c>
    </row>
    <row r="13" spans="1:19" x14ac:dyDescent="0.3">
      <c r="A13">
        <v>11</v>
      </c>
      <c r="B13">
        <v>10</v>
      </c>
      <c r="C13">
        <f>100*3762/517486</f>
        <v>0.726976188727811</v>
      </c>
      <c r="D13">
        <f>100*77539/630142</f>
        <v>12.305004268879078</v>
      </c>
      <c r="E13">
        <f>IF(COUNT(C13:D13)=2,D13-C13,"")</f>
        <v>11.578028080151267</v>
      </c>
      <c r="H13">
        <v>11</v>
      </c>
      <c r="I13">
        <v>10</v>
      </c>
      <c r="J13">
        <f>100*28276/544111</f>
        <v>5.196733754693436</v>
      </c>
      <c r="K13">
        <f>100*49505/599762</f>
        <v>8.254107462626841</v>
      </c>
      <c r="L13">
        <f>IF(COUNT(J13:K13)=2,K13-J13,"")</f>
        <v>3.0573737079334053</v>
      </c>
      <c r="O13">
        <v>11</v>
      </c>
      <c r="P13">
        <v>10</v>
      </c>
      <c r="Q13">
        <f>100*136848/421678</f>
        <v>32.453198886354045</v>
      </c>
      <c r="R13">
        <f>100*41999/396711</f>
        <v>10.586799962693245</v>
      </c>
      <c r="S13">
        <f>IF(COUNT(Q13:R13)=2,R13-Q13,"")</f>
        <v>-21.8663989236608</v>
      </c>
    </row>
    <row r="14" spans="1:19" x14ac:dyDescent="0.3">
      <c r="A14">
        <v>12</v>
      </c>
      <c r="B14">
        <v>11</v>
      </c>
      <c r="C14">
        <f>100*244757/639957</f>
        <v>38.24585089310688</v>
      </c>
      <c r="D14">
        <f>100*47725/494599</f>
        <v>9.649230993188421</v>
      </c>
      <c r="E14">
        <f>IF(COUNT(C14:D14)=2,D14-C14,"")</f>
        <v>-28.596619899918462</v>
      </c>
      <c r="H14">
        <v>12</v>
      </c>
      <c r="I14">
        <v>11</v>
      </c>
      <c r="J14">
        <f>100*18702/461148</f>
        <v>4.05553097920841</v>
      </c>
      <c r="K14">
        <f>100*8217/522910</f>
        <v>1.5713985198217666</v>
      </c>
      <c r="L14">
        <f>IF(COUNT(J14:K14)=2,K14-J14,"")</f>
        <v>-2.484132459386644</v>
      </c>
      <c r="O14">
        <v>12</v>
      </c>
      <c r="P14">
        <v>11</v>
      </c>
      <c r="Q14">
        <f>100*91935/209068</f>
        <v>43.973731034878604</v>
      </c>
      <c r="R14">
        <f>100*77158/290041</f>
        <v>26.602445861102396</v>
      </c>
      <c r="S14">
        <f>IF(COUNT(Q14:R14)=2,R14-Q14,"")</f>
        <v>-17.371285173776208</v>
      </c>
    </row>
    <row r="15" spans="1:19" x14ac:dyDescent="0.3">
      <c r="A15">
        <v>13</v>
      </c>
      <c r="B15">
        <v>12</v>
      </c>
      <c r="C15">
        <f>100*31827/409126</f>
        <v>7.779266045179236</v>
      </c>
      <c r="D15">
        <f>100*31916/382978</f>
        <v>8.333637963538376</v>
      </c>
      <c r="E15">
        <f>IF(COUNT(C15:D15)=2,D15-C15,"")</f>
        <v>0.5543719183591396</v>
      </c>
      <c r="H15">
        <v>13</v>
      </c>
      <c r="I15">
        <v>12</v>
      </c>
      <c r="J15">
        <f>100*226380/535721</f>
        <v>42.25707037805126</v>
      </c>
      <c r="K15">
        <f>100*73691/580249</f>
        <v>12.69989263230096</v>
      </c>
      <c r="L15">
        <f>IF(COUNT(J15:K15)=2,K15-J15,"")</f>
        <v>-29.5571777457503</v>
      </c>
      <c r="O15">
        <v>13</v>
      </c>
      <c r="P15">
        <v>12</v>
      </c>
      <c r="Q15">
        <f>100*165466/516479</f>
        <v>32.037314198641184</v>
      </c>
      <c r="R15">
        <f>100*28174/479655</f>
        <v>5.873805130771075</v>
      </c>
      <c r="S15">
        <f>IF(COUNT(Q15:R15)=2,R15-Q15,"")</f>
        <v>-26.16350906787011</v>
      </c>
    </row>
    <row r="16" spans="1:19" x14ac:dyDescent="0.3">
      <c r="A16">
        <v>14</v>
      </c>
      <c r="B16">
        <v>13</v>
      </c>
      <c r="C16">
        <f>100*4186/284672</f>
        <v>1.4704642535971224</v>
      </c>
      <c r="D16">
        <f>100*18096/269275</f>
        <v>6.720267384643951</v>
      </c>
      <c r="E16">
        <f>IF(COUNT(C16:D16)=2,D16-C16,"")</f>
        <v>5.2498031310468285</v>
      </c>
      <c r="H16">
        <v>14</v>
      </c>
      <c r="I16">
        <v>13</v>
      </c>
      <c r="J16">
        <f>100*44978/265308</f>
        <v>16.95312617787628</v>
      </c>
      <c r="K16">
        <f>100*350/103228</f>
        <v>0.33905529507497967</v>
      </c>
      <c r="L16">
        <f>IF(COUNT(J16:K16)=2,K16-J16,"")</f>
        <v>-16.6140708828013</v>
      </c>
      <c r="O16">
        <v>14</v>
      </c>
      <c r="P16">
        <v>13</v>
      </c>
      <c r="Q16">
        <f>100*58109/351187</f>
        <v>16.546455307286433</v>
      </c>
      <c r="R16">
        <f>100*2074/443959</f>
        <v>0.46716025578938597</v>
      </c>
      <c r="S16">
        <f>IF(COUNT(Q16:R16)=2,R16-Q16,"")</f>
        <v>-16.079295051497045</v>
      </c>
    </row>
    <row r="17" spans="1:19" x14ac:dyDescent="0.3">
      <c r="A17">
        <v>15</v>
      </c>
      <c r="B17">
        <v>14</v>
      </c>
      <c r="C17">
        <f>100*181005/547993</f>
        <v>33.0305314118976</v>
      </c>
      <c r="D17">
        <f>100*67570/352610</f>
        <v>19.162814440883697</v>
      </c>
      <c r="E17">
        <f>IF(COUNT(C17:D17)=2,D17-C17,"")</f>
        <v>-13.867716971013902</v>
      </c>
      <c r="H17">
        <v>15</v>
      </c>
      <c r="I17">
        <v>14</v>
      </c>
      <c r="J17">
        <f>100*185252/403337</f>
        <v>45.92983038997166</v>
      </c>
      <c r="K17">
        <f>100*52159/434512</f>
        <v>12.004041315314652</v>
      </c>
      <c r="L17">
        <f>IF(COUNT(J17:K17)=2,K17-J17,"")</f>
        <v>-33.92578907465701</v>
      </c>
      <c r="O17">
        <v>15</v>
      </c>
      <c r="P17">
        <v>14</v>
      </c>
      <c r="Q17">
        <f>100*158493/377442</f>
        <v>41.99135231373297</v>
      </c>
      <c r="R17">
        <f>100*105008/426566</f>
        <v>24.617058087142436</v>
      </c>
      <c r="S17">
        <f>IF(COUNT(Q17:R17)=2,R17-Q17,"")</f>
        <v>-17.374294226590532</v>
      </c>
    </row>
    <row r="18" spans="1:19" x14ac:dyDescent="0.3">
      <c r="A18">
        <v>16</v>
      </c>
      <c r="B18">
        <v>15</v>
      </c>
      <c r="C18">
        <f>100*145812/450453</f>
        <v>32.37008078534276</v>
      </c>
      <c r="D18">
        <f>100*67562/453566</f>
        <v>14.895737334809047</v>
      </c>
      <c r="E18">
        <f>IF(COUNT(C18:D18)=2,D18-C18,"")</f>
        <v>-17.47434345053371</v>
      </c>
      <c r="H18">
        <v>16</v>
      </c>
      <c r="I18">
        <v>15</v>
      </c>
      <c r="J18">
        <f>100*116194/472598</f>
        <v>24.586223386472223</v>
      </c>
      <c r="K18">
        <f>100*29018/444795</f>
        <v>6.5239042705066375</v>
      </c>
      <c r="L18">
        <f>IF(COUNT(J18:K18)=2,K18-J18,"")</f>
        <v>-18.062319115965586</v>
      </c>
      <c r="O18">
        <v>16</v>
      </c>
      <c r="P18">
        <v>15</v>
      </c>
      <c r="Q18">
        <f>100*130815/335348</f>
        <v>39.00873122845522</v>
      </c>
      <c r="R18">
        <f>100*124839/475406</f>
        <v>26.259449817629562</v>
      </c>
      <c r="S18">
        <f>IF(COUNT(Q18:R18)=2,R18-Q18,"")</f>
        <v>-12.749281410825656</v>
      </c>
    </row>
    <row r="19" spans="1:19" x14ac:dyDescent="0.3">
      <c r="A19">
        <v>17</v>
      </c>
      <c r="B19">
        <v>16</v>
      </c>
      <c r="C19">
        <f>100*73371/330890</f>
        <v>22.173834204720603</v>
      </c>
      <c r="D19">
        <f>100*57552/371209</f>
        <v>15.50393444124469</v>
      </c>
      <c r="E19">
        <f>IF(COUNT(C19:D19)=2,D19-C19,"")</f>
        <v>-6.669899763475913</v>
      </c>
      <c r="H19">
        <v>17</v>
      </c>
      <c r="I19">
        <v>16</v>
      </c>
      <c r="J19">
        <f>100*147986/392782</f>
        <v>37.6763700984261</v>
      </c>
      <c r="K19">
        <f>100*86947/482639</f>
        <v>18.014913838293218</v>
      </c>
      <c r="L19">
        <f>IF(COUNT(J19:K19)=2,K19-J19,"")</f>
        <v>-19.66145626013288</v>
      </c>
      <c r="O19">
        <v>17</v>
      </c>
      <c r="P19">
        <v>16</v>
      </c>
      <c r="Q19">
        <f>100*17753/266611</f>
        <v>6.65876501719734</v>
      </c>
      <c r="R19">
        <f>100*14277/293172</f>
        <v>4.869837501534935</v>
      </c>
      <c r="S19">
        <f>IF(COUNT(Q19:R19)=2,R19-Q19,"")</f>
        <v>-1.7889275156624054</v>
      </c>
    </row>
    <row r="20" spans="1:19" x14ac:dyDescent="0.3">
      <c r="A20">
        <v>18</v>
      </c>
      <c r="B20">
        <v>17</v>
      </c>
      <c r="C20">
        <f>100*149926/449301</f>
        <v>33.36872163649758</v>
      </c>
      <c r="D20">
        <f>100*28517/394805</f>
        <v>7.223059485062246</v>
      </c>
      <c r="E20">
        <f>IF(COUNT(C20:D20)=2,D20-C20,"")</f>
        <v>-26.14566215143534</v>
      </c>
      <c r="H20">
        <v>18</v>
      </c>
      <c r="I20">
        <v>17</v>
      </c>
      <c r="J20">
        <f>100*134558/617547</f>
        <v>21.78911078832866</v>
      </c>
      <c r="K20">
        <f>100*19327/406014</f>
        <v>4.76018068342471</v>
      </c>
      <c r="L20">
        <f>IF(COUNT(J20:K20)=2,K20-J20,"")</f>
        <v>-17.02893010490395</v>
      </c>
      <c r="O20">
        <v>18</v>
      </c>
      <c r="P20">
        <v>17</v>
      </c>
      <c r="Q20">
        <f>100*1405/276206</f>
        <v>0.5086783053228388</v>
      </c>
      <c r="R20">
        <f>100*3524/282207</f>
        <v>1.2487287700163354</v>
      </c>
      <c r="S20">
        <f>IF(COUNT(Q20:R20)=2,R20-Q20,"")</f>
        <v>0.7400504646934967</v>
      </c>
    </row>
    <row r="21" spans="1:19" x14ac:dyDescent="0.3">
      <c r="A21">
        <v>19</v>
      </c>
      <c r="B21">
        <v>18</v>
      </c>
      <c r="C21">
        <f>100*63409/348972</f>
        <v>18.170225691459486</v>
      </c>
      <c r="D21">
        <f>100*31611/370120</f>
        <v>8.540743542634821</v>
      </c>
      <c r="E21">
        <f>IF(COUNT(C21:D21)=2,D21-C21,"")</f>
        <v>-9.629482148824664</v>
      </c>
      <c r="H21">
        <v>19</v>
      </c>
      <c r="I21">
        <v>18</v>
      </c>
      <c r="J21">
        <f>100*48771/351007</f>
        <v>13.894594694692698</v>
      </c>
      <c r="K21">
        <f>100*44025/423914</f>
        <v>10.38536118174913</v>
      </c>
      <c r="L21">
        <f>IF(COUNT(J21:K21)=2,K21-J21,"")</f>
        <v>-3.5092335129435686</v>
      </c>
      <c r="O21">
        <v>19</v>
      </c>
      <c r="P21">
        <v>18</v>
      </c>
      <c r="Q21">
        <f>100*124085/311389</f>
        <v>39.84887070513088</v>
      </c>
      <c r="R21">
        <f>100*81071/321775</f>
        <v>25.19493434853547</v>
      </c>
      <c r="S21">
        <f>IF(COUNT(Q21:R21)=2,R21-Q21,"")</f>
        <v>-14.653936356595409</v>
      </c>
    </row>
    <row r="22" spans="1:19" x14ac:dyDescent="0.3">
      <c r="A22">
        <v>20</v>
      </c>
      <c r="B22">
        <v>19</v>
      </c>
      <c r="C22">
        <f>100*79870/385907</f>
        <v>20.69669635430298</v>
      </c>
      <c r="D22">
        <f>100*11620/369695</f>
        <v>3.1431315002907803</v>
      </c>
      <c r="E22">
        <f>IF(COUNT(C22:D22)=2,D22-C22,"")</f>
        <v>-17.553564854012198</v>
      </c>
      <c r="H22">
        <v>20</v>
      </c>
      <c r="I22">
        <v>19</v>
      </c>
      <c r="J22">
        <f>100*42161/340805</f>
        <v>12.371003946538343</v>
      </c>
      <c r="K22">
        <f>100*31178/257011</f>
        <v>12.130998284120135</v>
      </c>
      <c r="L22">
        <f>IF(COUNT(J22:K22)=2,K22-J22,"")</f>
        <v>-0.24000566241820742</v>
      </c>
      <c r="O22">
        <v>20</v>
      </c>
      <c r="P22">
        <v>19</v>
      </c>
      <c r="Q22">
        <f>100*139808/401311</f>
        <v>34.83781904806995</v>
      </c>
      <c r="R22">
        <f>100*121359/514435</f>
        <v>23.59073546706581</v>
      </c>
      <c r="S22">
        <f>IF(COUNT(Q22:R22)=2,R22-Q22,"")</f>
        <v>-11.247083581004144</v>
      </c>
    </row>
    <row r="23" spans="1:19" x14ac:dyDescent="0.3">
      <c r="A23">
        <v>21</v>
      </c>
      <c r="B23">
        <v>20</v>
      </c>
      <c r="C23">
        <f>100*98878/370466</f>
        <v>26.690168598467874</v>
      </c>
      <c r="D23">
        <f>100*96059/521895</f>
        <v>18.405809597716015</v>
      </c>
      <c r="E23">
        <f>IF(COUNT(C23:D23)=2,D23-C23,"")</f>
        <v>-8.28435900075186</v>
      </c>
      <c r="H23">
        <v>21</v>
      </c>
      <c r="I23">
        <v>20</v>
      </c>
      <c r="J23">
        <f>100*222992/523032</f>
        <v>42.63448507930681</v>
      </c>
      <c r="K23">
        <f>100*32750/340922</f>
        <v>9.60630290799655</v>
      </c>
      <c r="L23">
        <f>IF(COUNT(J23:K23)=2,K23-J23,"")</f>
        <v>-33.02818217131026</v>
      </c>
      <c r="O23">
        <v>21</v>
      </c>
      <c r="P23">
        <v>20</v>
      </c>
      <c r="Q23">
        <f>100*43636/293480</f>
        <v>14.86847485348235</v>
      </c>
      <c r="R23">
        <f>100*23356/378321</f>
        <v>6.173593324187661</v>
      </c>
      <c r="S23">
        <f>IF(COUNT(Q23:R23)=2,R23-Q23,"")</f>
        <v>-8.69488152929469</v>
      </c>
    </row>
    <row r="24" spans="1:19" x14ac:dyDescent="0.3">
      <c r="A24">
        <v>22</v>
      </c>
      <c r="B24">
        <v>21</v>
      </c>
      <c r="C24">
        <f>100*37074/97184</f>
        <v>38.14825485676655</v>
      </c>
      <c r="D24">
        <f>100*33632/143375</f>
        <v>23.45736704446382</v>
      </c>
      <c r="E24">
        <f>IF(COUNT(C24:D24)=2,D24-C24,"")</f>
        <v>-14.69088781230273</v>
      </c>
      <c r="H24">
        <v>22</v>
      </c>
      <c r="I24">
        <v>21</v>
      </c>
      <c r="J24">
        <f>100*54639/207484</f>
        <v>26.334078772339073</v>
      </c>
      <c r="K24">
        <f>100*58696/301175</f>
        <v>19.489001411139704</v>
      </c>
      <c r="L24">
        <f>IF(COUNT(J24:K24)=2,K24-J24,"")</f>
        <v>-6.845077361199369</v>
      </c>
      <c r="O24">
        <v>22</v>
      </c>
      <c r="P24">
        <v>21</v>
      </c>
      <c r="Q24">
        <f>100*45197/105457</f>
        <v>42.85822657576074</v>
      </c>
      <c r="R24">
        <f>100*64709/216268</f>
        <v>29.920746481217748</v>
      </c>
      <c r="S24">
        <f>IF(COUNT(Q24:R24)=2,R24-Q24,"")</f>
        <v>-12.937480094542991</v>
      </c>
    </row>
    <row r="25" spans="1:19" x14ac:dyDescent="0.3">
      <c r="A25">
        <v>23</v>
      </c>
      <c r="B25">
        <v>22</v>
      </c>
      <c r="C25">
        <f>100*194786/575758</f>
        <v>33.831227703305906</v>
      </c>
      <c r="D25">
        <f>100*46740/448542</f>
        <v>10.420428856160628</v>
      </c>
      <c r="E25">
        <f>IF(COUNT(C25:D25)=2,D25-C25,"")</f>
        <v>-23.41079884714528</v>
      </c>
      <c r="H25">
        <v>23</v>
      </c>
      <c r="I25">
        <v>22</v>
      </c>
      <c r="J25">
        <f>100*82449/499533</f>
        <v>16.505215871624095</v>
      </c>
      <c r="K25">
        <f>100*19766/404020</f>
        <v>4.89233206276917</v>
      </c>
      <c r="L25">
        <f>IF(COUNT(J25:K25)=2,K25-J25,"")</f>
        <v>-11.612883808854924</v>
      </c>
      <c r="O25">
        <v>23</v>
      </c>
      <c r="P25">
        <v>22</v>
      </c>
      <c r="Q25">
        <f>100*656/247400</f>
        <v>0.2651576394502829</v>
      </c>
      <c r="R25">
        <f>100*581/251598</f>
        <v>0.23092393421251362</v>
      </c>
      <c r="S25">
        <f>IF(COUNT(Q25:R25)=2,R25-Q25,"")</f>
        <v>-0.03423370523776931</v>
      </c>
    </row>
    <row r="26" spans="1:19" x14ac:dyDescent="0.3">
      <c r="A26">
        <v>24</v>
      </c>
      <c r="B26">
        <v>23</v>
      </c>
      <c r="C26">
        <f>100*137480/562231</f>
        <v>24.452582657306337</v>
      </c>
      <c r="D26">
        <f>100*35305/535386</f>
        <v>6.594307658399734</v>
      </c>
      <c r="E26">
        <f>IF(COUNT(C26:D26)=2,D26-C26,"")</f>
        <v>-17.8582749989066</v>
      </c>
      <c r="H26">
        <v>24</v>
      </c>
      <c r="I26">
        <v>23</v>
      </c>
      <c r="J26">
        <f>100*167481/558799</f>
        <v>29.971599806012538</v>
      </c>
      <c r="K26">
        <f>100*50667/580671</f>
        <v>8.72559504435386</v>
      </c>
      <c r="L26">
        <f>IF(COUNT(J26:K26)=2,K26-J26,"")</f>
        <v>-21.24600476165868</v>
      </c>
      <c r="O26">
        <v>24</v>
      </c>
      <c r="P26">
        <v>23</v>
      </c>
      <c r="Q26">
        <f>100*53061/340117</f>
        <v>15.600807957261766</v>
      </c>
      <c r="R26">
        <f>100*14288/366750</f>
        <v>3.895841854124063</v>
      </c>
      <c r="S26">
        <f>IF(COUNT(Q26:R26)=2,R26-Q26,"")</f>
        <v>-11.704966103137703</v>
      </c>
    </row>
    <row r="27" spans="1:19" x14ac:dyDescent="0.3">
      <c r="A27">
        <v>25</v>
      </c>
      <c r="B27">
        <v>24</v>
      </c>
      <c r="C27">
        <f>100*26771/508395</f>
        <v>5.265787429065982</v>
      </c>
      <c r="D27">
        <f>100*30252/384868</f>
        <v>7.860357317313988</v>
      </c>
      <c r="E27">
        <f>IF(COUNT(C27:D27)=2,D27-C27,"")</f>
        <v>2.5945698882480057</v>
      </c>
      <c r="H27">
        <v>25</v>
      </c>
      <c r="I27">
        <v>24</v>
      </c>
      <c r="J27">
        <f>100*67075/346916</f>
        <v>19.334651615953142</v>
      </c>
      <c r="K27">
        <f>100*57719/393466</f>
        <v>14.669374228014618</v>
      </c>
      <c r="L27">
        <f>IF(COUNT(J27:K27)=2,K27-J27,"")</f>
        <v>-4.665277387938524</v>
      </c>
      <c r="O27">
        <v>25</v>
      </c>
      <c r="P27">
        <v>24</v>
      </c>
      <c r="Q27">
        <f>100*158561/348258</f>
        <v>45.52975093178046</v>
      </c>
      <c r="R27">
        <f>100*41007/245777</f>
        <v>16.684636886283094</v>
      </c>
      <c r="S27">
        <f>IF(COUNT(Q27:R27)=2,R27-Q27,"")</f>
        <v>-28.84511404549737</v>
      </c>
    </row>
    <row r="28" spans="1:19" x14ac:dyDescent="0.3">
      <c r="A28">
        <v>26</v>
      </c>
      <c r="B28">
        <v>25</v>
      </c>
      <c r="C28">
        <f>100*122343/511784</f>
        <v>23.90520219467588</v>
      </c>
      <c r="D28">
        <f>100*45371/375466</f>
        <v>12.08391705240954</v>
      </c>
      <c r="E28">
        <f>IF(COUNT(C28:D28)=2,D28-C28,"")</f>
        <v>-11.82128514226634</v>
      </c>
      <c r="H28">
        <v>26</v>
      </c>
      <c r="I28">
        <v>25</v>
      </c>
      <c r="J28">
        <f>100*177325/563486</f>
        <v>31.469282289178437</v>
      </c>
      <c r="K28">
        <f>100*37743/457971</f>
        <v>8.241351526625047</v>
      </c>
      <c r="L28">
        <f>IF(COUNT(J28:K28)=2,K28-J28,"")</f>
        <v>-23.22793076255339</v>
      </c>
      <c r="O28">
        <v>26</v>
      </c>
      <c r="P28">
        <v>25</v>
      </c>
      <c r="Q28">
        <f>100*156244/369843</f>
        <v>42.246034127994854</v>
      </c>
      <c r="R28">
        <f>100*101617/514077</f>
        <v>19.76688317119809</v>
      </c>
      <c r="S28">
        <f>IF(COUNT(Q28:R28)=2,R28-Q28,"")</f>
        <v>-22.479150956796765</v>
      </c>
    </row>
    <row r="29" spans="1:19" x14ac:dyDescent="0.3">
      <c r="A29">
        <v>27</v>
      </c>
      <c r="B29">
        <v>26</v>
      </c>
      <c r="C29">
        <f>100*273547/613111</f>
        <v>44.61622773037835</v>
      </c>
      <c r="D29">
        <f>100*46517/415841</f>
        <v>11.186246666394126</v>
      </c>
      <c r="E29">
        <f>IF(COUNT(C29:D29)=2,D29-C29,"")</f>
        <v>-33.42998106398422</v>
      </c>
      <c r="H29">
        <v>27</v>
      </c>
      <c r="I29">
        <v>26</v>
      </c>
      <c r="J29">
        <f>100*35297/437184</f>
        <v>8.073717244912897</v>
      </c>
      <c r="K29">
        <f>100*48015/479552</f>
        <v>10.012469971973843</v>
      </c>
      <c r="L29">
        <f>IF(COUNT(J29:K29)=2,K29-J29,"")</f>
        <v>1.9387527270609457</v>
      </c>
      <c r="O29">
        <v>27</v>
      </c>
      <c r="P29">
        <v>26</v>
      </c>
      <c r="Q29">
        <f>100*99207/334942</f>
        <v>29.619157943763398</v>
      </c>
      <c r="R29">
        <f>100*81415/431218</f>
        <v>18.88024154835837</v>
      </c>
      <c r="S29">
        <f>IF(COUNT(Q29:R29)=2,R29-Q29,"")</f>
        <v>-10.738916395405028</v>
      </c>
    </row>
    <row r="30" spans="1:19" x14ac:dyDescent="0.3">
      <c r="A30">
        <v>28</v>
      </c>
      <c r="B30">
        <v>27</v>
      </c>
      <c r="C30">
        <f>100*60367/261571</f>
        <v>23.078628747070585</v>
      </c>
      <c r="D30">
        <f>100*31288/258278</f>
        <v>12.11407862845461</v>
      </c>
      <c r="E30">
        <f>IF(COUNT(C30:D30)=2,D30-C30,"")</f>
        <v>-10.964550118615975</v>
      </c>
      <c r="H30">
        <v>28</v>
      </c>
      <c r="I30">
        <v>27</v>
      </c>
      <c r="J30">
        <f>100*111624/317500</f>
        <v>35.15716535433071</v>
      </c>
      <c r="K30">
        <f>100*47296/311703</f>
        <v>15.173418285996606</v>
      </c>
      <c r="L30">
        <f>IF(COUNT(J30:K30)=2,K30-J30,"")</f>
        <v>-19.983747068334104</v>
      </c>
      <c r="O30">
        <v>28</v>
      </c>
      <c r="P30">
        <v>27</v>
      </c>
      <c r="Q30">
        <f>100*258/245208</f>
        <v>0.10521679553685034</v>
      </c>
      <c r="R30">
        <f>100*315/243160</f>
        <v>0.12954433294949827</v>
      </c>
      <c r="S30">
        <f>IF(COUNT(Q30:R30)=2,R30-Q30,"")</f>
        <v>0.024327537412647926</v>
      </c>
    </row>
    <row r="31" spans="1:19" x14ac:dyDescent="0.3">
      <c r="A31">
        <v>29</v>
      </c>
      <c r="B31">
        <v>28</v>
      </c>
      <c r="C31">
        <f>100*135778/291495</f>
        <v>46.57987272508962</v>
      </c>
      <c r="D31">
        <f>100*51910/377202</f>
        <v>13.761857042115365</v>
      </c>
      <c r="E31">
        <f>IF(COUNT(C31:D31)=2,D31-C31,"")</f>
        <v>-32.818015682974256</v>
      </c>
      <c r="H31">
        <v>29</v>
      </c>
      <c r="I31">
        <v>28</v>
      </c>
      <c r="J31">
        <f>100*143049/329070</f>
        <v>43.47069012672076</v>
      </c>
      <c r="K31">
        <f>100*82022/363092</f>
        <v>22.589867030945324</v>
      </c>
      <c r="L31">
        <f>IF(COUNT(J31:K31)=2,K31-J31,"")</f>
        <v>-20.880823095775437</v>
      </c>
      <c r="O31">
        <v>29</v>
      </c>
      <c r="P31">
        <v>28</v>
      </c>
      <c r="Q31">
        <f>100*106682/252496</f>
        <v>42.25096635194221</v>
      </c>
      <c r="R31">
        <f>100*74177/298724</f>
        <v>24.831282387755923</v>
      </c>
      <c r="S31">
        <f>IF(COUNT(Q31:R31)=2,R31-Q31,"")</f>
        <v>-17.419683964186287</v>
      </c>
    </row>
    <row r="32" spans="1:19" x14ac:dyDescent="0.3">
      <c r="A32">
        <v>30</v>
      </c>
      <c r="B32">
        <v>29</v>
      </c>
      <c r="C32">
        <f>100*67185/347874</f>
        <v>19.313027130512772</v>
      </c>
      <c r="D32">
        <f>100*22170/268528</f>
        <v>8.256122266579277</v>
      </c>
      <c r="E32">
        <f>IF(COUNT(C32:D32)=2,D32-C32,"")</f>
        <v>-11.056904863933495</v>
      </c>
      <c r="H32">
        <v>30</v>
      </c>
      <c r="I32">
        <v>29</v>
      </c>
      <c r="J32">
        <f>100*71699/295601</f>
        <v>24.25533066532251</v>
      </c>
      <c r="K32">
        <f>100*41265/290496</f>
        <v>14.205014871116987</v>
      </c>
      <c r="L32">
        <f>IF(COUNT(J32:K32)=2,K32-J32,"")</f>
        <v>-10.050315794205524</v>
      </c>
      <c r="O32">
        <v>30</v>
      </c>
      <c r="P32">
        <v>29</v>
      </c>
      <c r="Q32">
        <f>100*220230/481156</f>
        <v>45.771018131333705</v>
      </c>
      <c r="R32">
        <f>100*72867/439198</f>
        <v>16.590922545184632</v>
      </c>
      <c r="S32">
        <f>IF(COUNT(Q32:R32)=2,R32-Q32,"")</f>
        <v>-29.180095586149072</v>
      </c>
    </row>
    <row r="33" spans="1:19" x14ac:dyDescent="0.3">
      <c r="A33">
        <v>31</v>
      </c>
      <c r="B33">
        <v>30</v>
      </c>
      <c r="C33">
        <f>100*89281/348777</f>
        <v>25.59830493409829</v>
      </c>
      <c r="D33">
        <f>100*64540/311592</f>
        <v>20.712983645279724</v>
      </c>
      <c r="E33">
        <f>IF(COUNT(C33:D33)=2,D33-C33,"")</f>
        <v>-4.885321288818567</v>
      </c>
      <c r="H33">
        <v>31</v>
      </c>
      <c r="I33">
        <v>30</v>
      </c>
      <c r="J33">
        <f>100*58413/325415</f>
        <v>17.950309604658667</v>
      </c>
      <c r="K33">
        <f>100*79527/383683</f>
        <v>20.72726704076021</v>
      </c>
      <c r="L33">
        <f>IF(COUNT(J33:K33)=2,K33-J33,"")</f>
        <v>2.7769574361015437</v>
      </c>
      <c r="O33">
        <v>31</v>
      </c>
      <c r="P33">
        <v>30</v>
      </c>
      <c r="Q33">
        <f>100*3974/273650</f>
        <v>1.4522199890370913</v>
      </c>
      <c r="R33">
        <f>100*2474/477460</f>
        <v>0.5181585892011896</v>
      </c>
      <c r="S33">
        <f>IF(COUNT(Q33:R33)=2,R33-Q33,"")</f>
        <v>-0.9340613998359016</v>
      </c>
    </row>
    <row r="34" spans="1:19" x14ac:dyDescent="0.3">
      <c r="A34" t="s">
        <v>5</v>
      </c>
      <c r="C34">
        <f>IF(COUNT(C3:C33)&gt;0,AVERAGE(C3:C33),"")</f>
        <v>24.86611924539666</v>
      </c>
      <c r="D34">
        <f>IF(COUNT(D3:D33)&gt;0,AVERAGE(D3:D33),"")</f>
        <v>12.010960195544708</v>
      </c>
      <c r="E34">
        <f>IF(COUNT(E3:E33)&gt;0,AVERAGE(E3:E33),"")</f>
        <v>-12.855159049851942</v>
      </c>
      <c r="H34" t="s">
        <v>5</v>
      </c>
      <c r="J34">
        <f>IF(COUNT(J3:J33)&gt;0,AVERAGE(J3:J33),"")</f>
        <v>22.873960622545518</v>
      </c>
      <c r="K34">
        <f>IF(COUNT(K3:K33)&gt;0,AVERAGE(K3:K33),"")</f>
        <v>11.288327170534268</v>
      </c>
      <c r="L34">
        <f>IF(COUNT(L3:L33)&gt;0,AVERAGE(L3:L33),"")</f>
        <v>-11.585633452011253</v>
      </c>
      <c r="O34" t="s">
        <v>5</v>
      </c>
      <c r="Q34">
        <f>IF(COUNT(Q3:Q33)&gt;0,AVERAGE(Q3:Q33),"")</f>
        <v>30.285258327658585</v>
      </c>
      <c r="R34">
        <f>IF(COUNT(R3:R33)&gt;0,AVERAGE(R3:R33),"")</f>
        <v>14.240011919207184</v>
      </c>
      <c r="S34">
        <f>IF(COUNT(S3:S33)&gt;0,AVERAGE(S3:S33),"")</f>
        <v>-16.045246408451405</v>
      </c>
    </row>
    <row r="37" spans="1:19" s="2" customFormat="1" x14ac:dyDescent="0.3">
      <c r="A37" s="1" t="s">
        <v>9</v>
      </c>
      <c r="B37" s="1"/>
      <c r="C37" s="1"/>
      <c r="D37" s="1"/>
      <c r="E37" s="1"/>
      <c r="H37" s="1" t="s">
        <v>10</v>
      </c>
      <c r="I37" s="1"/>
      <c r="J37" s="1"/>
      <c r="K37" s="1"/>
      <c r="L37" s="1"/>
      <c r="O37" s="1" t="s">
        <v>11</v>
      </c>
      <c r="P37" s="1"/>
      <c r="Q37" s="1"/>
      <c r="R37" s="1"/>
      <c r="S37" s="1"/>
    </row>
    <row r="38" spans="1:19" x14ac:dyDescent="0.3">
      <c r="A38" t="s">
        <v>0</v>
      </c>
      <c r="B38" t="s">
        <v>1</v>
      </c>
      <c r="C38" t="s">
        <v>2</v>
      </c>
      <c r="D38" t="s">
        <v>3</v>
      </c>
      <c r="E38" t="s">
        <v>4</v>
      </c>
      <c r="H38" t="s">
        <v>0</v>
      </c>
      <c r="I38" t="s">
        <v>1</v>
      </c>
      <c r="J38" t="s">
        <v>2</v>
      </c>
      <c r="K38" t="s">
        <v>3</v>
      </c>
      <c r="L38" t="s">
        <v>4</v>
      </c>
      <c r="O38" t="s">
        <v>0</v>
      </c>
      <c r="P38" t="s">
        <v>1</v>
      </c>
      <c r="Q38" t="s">
        <v>2</v>
      </c>
      <c r="R38" t="s">
        <v>3</v>
      </c>
      <c r="S38" t="s">
        <v>4</v>
      </c>
    </row>
    <row r="39" spans="1:19" x14ac:dyDescent="0.3">
      <c r="A39">
        <v>1</v>
      </c>
      <c r="B39">
        <v>0</v>
      </c>
      <c r="C39">
        <f>100*80163/523211</f>
        <v>15.321352188696338</v>
      </c>
      <c r="D39">
        <f>100*1121/4864</f>
        <v>23.046875</v>
      </c>
      <c r="E39">
        <f>IF(COUNT(C39:D39)=2,D39-C39,"")</f>
        <v>7.725522811303662</v>
      </c>
      <c r="H39">
        <v>1</v>
      </c>
      <c r="I39">
        <v>0</v>
      </c>
      <c r="J39">
        <f>100*211130/713250</f>
        <v>29.601121626358218</v>
      </c>
      <c r="K39">
        <f>100*40598/465095</f>
        <v>8.728969350347779</v>
      </c>
      <c r="L39">
        <f>IF(COUNT(J39:K39)=2,K39-J39,"")</f>
        <v>-20.87215227601044</v>
      </c>
      <c r="O39">
        <v>1</v>
      </c>
      <c r="P39">
        <v>0</v>
      </c>
      <c r="Q39">
        <f>100*33559/419154</f>
        <v>8.00636520228842</v>
      </c>
      <c r="R39">
        <f>100*9906/449485</f>
        <v>2.203855523543611</v>
      </c>
      <c r="S39">
        <f>IF(COUNT(Q39:R39)=2,R39-Q39,"")</f>
        <v>-5.8025096787448085</v>
      </c>
    </row>
    <row r="40" spans="1:19" x14ac:dyDescent="0.3">
      <c r="A40">
        <v>2</v>
      </c>
      <c r="B40">
        <v>1</v>
      </c>
      <c r="C40">
        <f>100*204846/421884</f>
        <v>48.555053047757205</v>
      </c>
      <c r="D40">
        <f>100*973/2033</f>
        <v>47.86030496802755</v>
      </c>
      <c r="E40">
        <f>IF(COUNT(C40:D40)=2,D40-C40,"")</f>
        <v>-0.6947480797296564</v>
      </c>
      <c r="H40">
        <v>2</v>
      </c>
      <c r="I40">
        <v>1</v>
      </c>
      <c r="J40">
        <f>100*221110/594344</f>
        <v>37.20236092229416</v>
      </c>
      <c r="K40">
        <f>100*69557/427549</f>
        <v>16.268778549359254</v>
      </c>
      <c r="L40">
        <f>IF(COUNT(J40:K40)=2,K40-J40,"")</f>
        <v>-20.933582372934907</v>
      </c>
      <c r="O40">
        <v>2</v>
      </c>
      <c r="P40">
        <v>1</v>
      </c>
      <c r="Q40">
        <f>100*83755/209991</f>
        <v>39.88504269230586</v>
      </c>
      <c r="R40">
        <f>100*66534/244375</f>
        <v>27.226189258312022</v>
      </c>
      <c r="S40">
        <f>IF(COUNT(Q40:R40)=2,R40-Q40,"")</f>
        <v>-12.658853433993837</v>
      </c>
    </row>
    <row r="41" spans="1:19" x14ac:dyDescent="0.3">
      <c r="A41">
        <v>3</v>
      </c>
      <c r="B41">
        <v>2</v>
      </c>
      <c r="C41">
        <f>100*303277/735676</f>
        <v>41.22426176740848</v>
      </c>
      <c r="D41">
        <f>100*50597/681449</f>
        <v>7.424913676592086</v>
      </c>
      <c r="E41">
        <f>IF(COUNT(C41:D41)=2,D41-C41,"")</f>
        <v>-33.799348090816395</v>
      </c>
      <c r="H41">
        <v>3</v>
      </c>
      <c r="I41">
        <v>2</v>
      </c>
      <c r="J41">
        <f>100*328651/1001588</f>
        <v>32.812992967168135</v>
      </c>
      <c r="K41">
        <f>100*145331/860352</f>
        <v>16.89203953730566</v>
      </c>
      <c r="L41">
        <f>IF(COUNT(J41:K41)=2,K41-J41,"")</f>
        <v>-15.920953429862475</v>
      </c>
      <c r="O41">
        <v>3</v>
      </c>
      <c r="P41">
        <v>2</v>
      </c>
      <c r="Q41">
        <f>100*165549/320834</f>
        <v>51.59958109177955</v>
      </c>
      <c r="R41">
        <f>100*117455/474174</f>
        <v>24.77044291757878</v>
      </c>
      <c r="S41">
        <f>IF(COUNT(Q41:R41)=2,R41-Q41,"")</f>
        <v>-26.829138174200768</v>
      </c>
    </row>
    <row r="42" spans="1:19" x14ac:dyDescent="0.3">
      <c r="A42">
        <v>4</v>
      </c>
      <c r="B42">
        <v>3</v>
      </c>
      <c r="C42">
        <f>100*38069/646087</f>
        <v>5.8922405186917555</v>
      </c>
      <c r="D42">
        <f>100*8739/618176</f>
        <v>1.4136750698830107</v>
      </c>
      <c r="E42">
        <f>IF(COUNT(C42:D42)=2,D42-C42,"")</f>
        <v>-4.4785654488087445</v>
      </c>
      <c r="H42">
        <v>4</v>
      </c>
      <c r="I42">
        <v>3</v>
      </c>
      <c r="J42">
        <f>100*38325/584626</f>
        <v>6.555473071673172</v>
      </c>
      <c r="K42">
        <f>100*44512/451072</f>
        <v>9.86804767309875</v>
      </c>
      <c r="L42">
        <f>IF(COUNT(J42:K42)=2,K42-J42,"")</f>
        <v>3.3125746014255784</v>
      </c>
      <c r="O42">
        <v>4</v>
      </c>
      <c r="P42">
        <v>3</v>
      </c>
      <c r="Q42">
        <f>100*265499/612068</f>
        <v>43.37736983472425</v>
      </c>
      <c r="R42">
        <f>100*126900/661840</f>
        <v>19.173818445545752</v>
      </c>
      <c r="S42">
        <f>IF(COUNT(Q42:R42)=2,R42-Q42,"")</f>
        <v>-24.203551389178497</v>
      </c>
    </row>
    <row r="43" spans="1:19" x14ac:dyDescent="0.3">
      <c r="A43">
        <v>5</v>
      </c>
      <c r="B43">
        <v>4</v>
      </c>
      <c r="C43">
        <f>100*148157/358074</f>
        <v>41.376084273083215</v>
      </c>
      <c r="D43">
        <f>100*152299/670191</f>
        <v>22.72471578997629</v>
      </c>
      <c r="E43">
        <f>IF(COUNT(C43:D43)=2,D43-C43,"")</f>
        <v>-18.651368483106925</v>
      </c>
      <c r="H43">
        <v>5</v>
      </c>
      <c r="I43">
        <v>4</v>
      </c>
      <c r="J43">
        <f>100*86329/200432</f>
        <v>43.071465634230066</v>
      </c>
      <c r="K43">
        <f>100*160085/600991</f>
        <v>26.636838155646256</v>
      </c>
      <c r="L43">
        <f>IF(COUNT(J43:K43)=2,K43-J43,"")</f>
        <v>-16.43462747858381</v>
      </c>
      <c r="O43">
        <v>5</v>
      </c>
      <c r="P43">
        <v>4</v>
      </c>
      <c r="Q43">
        <f>100*80681/472324</f>
        <v>17.08170662511327</v>
      </c>
      <c r="R43">
        <f>100*16552/556078</f>
        <v>2.97656084218401</v>
      </c>
      <c r="S43">
        <f>IF(COUNT(Q43:R43)=2,R43-Q43,"")</f>
        <v>-14.10514578292926</v>
      </c>
    </row>
    <row r="44" spans="1:19" x14ac:dyDescent="0.3">
      <c r="A44">
        <v>6</v>
      </c>
      <c r="B44">
        <v>5</v>
      </c>
      <c r="C44">
        <f>100*52664/652890</f>
        <v>8.066289880378012</v>
      </c>
      <c r="D44">
        <f>100*43752/567976</f>
        <v>7.703142386298013</v>
      </c>
      <c r="E44">
        <f>IF(COUNT(C44:D44)=2,D44-C44,"")</f>
        <v>-0.3631474940799988</v>
      </c>
      <c r="H44">
        <v>6</v>
      </c>
      <c r="I44">
        <v>5</v>
      </c>
      <c r="J44">
        <f>100*143171/458928</f>
        <v>31.19683261862427</v>
      </c>
      <c r="K44">
        <f>100*135910/548900</f>
        <v>24.760429950810714</v>
      </c>
      <c r="L44">
        <f>IF(COUNT(J44:K44)=2,K44-J44,"")</f>
        <v>-6.436402667813557</v>
      </c>
      <c r="O44">
        <v>6</v>
      </c>
      <c r="P44">
        <v>5</v>
      </c>
      <c r="Q44">
        <f>100*332039/690960</f>
        <v>48.05473544054649</v>
      </c>
      <c r="R44">
        <f>100*34066/145998</f>
        <v>23.333196345155415</v>
      </c>
      <c r="S44">
        <f>IF(COUNT(Q44:R44)=2,R44-Q44,"")</f>
        <v>-24.721539095391073</v>
      </c>
    </row>
    <row r="45" spans="1:19" x14ac:dyDescent="0.3">
      <c r="A45">
        <v>7</v>
      </c>
      <c r="B45">
        <v>6</v>
      </c>
      <c r="C45">
        <f>100*13388/639485</f>
        <v>2.093559661289944</v>
      </c>
      <c r="D45">
        <f>100*19904/637256</f>
        <v>3.123391541233037</v>
      </c>
      <c r="E45">
        <f>IF(COUNT(C45:D45)=2,D45-C45,"")</f>
        <v>1.0298318799430928</v>
      </c>
      <c r="H45">
        <v>7</v>
      </c>
      <c r="I45">
        <v>6</v>
      </c>
      <c r="J45">
        <f>100*1474/516628</f>
        <v>0.28531167493825343</v>
      </c>
      <c r="K45">
        <f>100*14352/446244</f>
        <v>3.216177696506844</v>
      </c>
      <c r="L45">
        <f>IF(COUNT(J45:K45)=2,K45-J45,"")</f>
        <v>2.9308660215685904</v>
      </c>
      <c r="O45">
        <v>7</v>
      </c>
      <c r="P45">
        <v>6</v>
      </c>
      <c r="Q45">
        <f>100*255047/462709</f>
        <v>55.12038884050234</v>
      </c>
      <c r="R45">
        <f>100*112069/539255</f>
        <v>20.782190243947667</v>
      </c>
      <c r="S45">
        <f>IF(COUNT(Q45:R45)=2,R45-Q45,"")</f>
        <v>-34.338198596554676</v>
      </c>
    </row>
    <row r="46" spans="1:19" x14ac:dyDescent="0.3">
      <c r="A46">
        <v>8</v>
      </c>
      <c r="B46">
        <v>7</v>
      </c>
      <c r="C46">
        <f>100*9937/448273</f>
        <v>2.216729537580894</v>
      </c>
      <c r="D46">
        <f>100*15973/784425</f>
        <v>2.036268604391752</v>
      </c>
      <c r="E46">
        <f>IF(COUNT(C46:D46)=2,D46-C46,"")</f>
        <v>-0.18046093318914203</v>
      </c>
      <c r="H46">
        <v>8</v>
      </c>
      <c r="I46">
        <v>7</v>
      </c>
      <c r="J46">
        <f>100*2387/421854</f>
        <v>0.5658355734448411</v>
      </c>
      <c r="K46">
        <f>100*13/372391</f>
        <v>0.003490954400079486</v>
      </c>
      <c r="L46">
        <f>IF(COUNT(J46:K46)=2,K46-J46,"")</f>
        <v>-0.5623446190447616</v>
      </c>
      <c r="O46">
        <v>8</v>
      </c>
      <c r="P46">
        <v>7</v>
      </c>
      <c r="Q46">
        <f>100*174551/400003</f>
        <v>43.63742271932961</v>
      </c>
      <c r="R46">
        <f>100*64780/397369</f>
        <v>16.302227904038816</v>
      </c>
      <c r="S46">
        <f>IF(COUNT(Q46:R46)=2,R46-Q46,"")</f>
        <v>-27.33519481529079</v>
      </c>
    </row>
    <row r="47" spans="1:19" x14ac:dyDescent="0.3">
      <c r="A47">
        <v>9</v>
      </c>
      <c r="B47">
        <v>8</v>
      </c>
      <c r="C47">
        <f>100*196686/341160</f>
        <v>57.65212803376715</v>
      </c>
      <c r="D47">
        <f>100*121940/458278</f>
        <v>26.608303256975024</v>
      </c>
      <c r="E47">
        <f>IF(COUNT(C47:D47)=2,D47-C47,"")</f>
        <v>-31.043824776792125</v>
      </c>
      <c r="H47">
        <v>9</v>
      </c>
      <c r="I47">
        <v>8</v>
      </c>
      <c r="J47">
        <f>100*195875/433696</f>
        <v>45.16412417914853</v>
      </c>
      <c r="K47">
        <f>100*103530/479176</f>
        <v>21.605840025376896</v>
      </c>
      <c r="L47">
        <f>IF(COUNT(J47:K47)=2,K47-J47,"")</f>
        <v>-23.558284153771634</v>
      </c>
      <c r="O47">
        <v>9</v>
      </c>
      <c r="P47">
        <v>8</v>
      </c>
      <c r="Q47">
        <f>100*68616/113213</f>
        <v>60.60788072041197</v>
      </c>
      <c r="R47">
        <f>100*101577/368566</f>
        <v>27.56005708611212</v>
      </c>
      <c r="S47">
        <f>IF(COUNT(Q47:R47)=2,R47-Q47,"")</f>
        <v>-33.047823634299846</v>
      </c>
    </row>
    <row r="48" spans="1:19" x14ac:dyDescent="0.3">
      <c r="A48">
        <v>10</v>
      </c>
      <c r="B48">
        <v>9</v>
      </c>
      <c r="C48">
        <f>100*122007/555605</f>
        <v>21.95930562179966</v>
      </c>
      <c r="D48">
        <f>100*17202/632549</f>
        <v>2.7194731159167116</v>
      </c>
      <c r="E48">
        <f>IF(COUNT(C48:D48)=2,D48-C48,"")</f>
        <v>-19.23983250588295</v>
      </c>
      <c r="H48">
        <v>10</v>
      </c>
      <c r="I48">
        <v>9</v>
      </c>
      <c r="J48">
        <f>100*319115/716304</f>
        <v>44.550218901472</v>
      </c>
      <c r="K48">
        <f>100*35957/596042</f>
        <v>6.03262857315424</v>
      </c>
      <c r="L48">
        <f>IF(COUNT(J48:K48)=2,K48-J48,"")</f>
        <v>-38.51759032831776</v>
      </c>
      <c r="O48">
        <v>10</v>
      </c>
      <c r="P48">
        <v>9</v>
      </c>
      <c r="Q48">
        <f>100*144975/663380</f>
        <v>21.85399017154572</v>
      </c>
      <c r="R48">
        <f>100*7564/444510</f>
        <v>1.701649006771501</v>
      </c>
      <c r="S48">
        <f>IF(COUNT(Q48:R48)=2,R48-Q48,"")</f>
        <v>-20.15234116477422</v>
      </c>
    </row>
    <row r="49" spans="1:19" x14ac:dyDescent="0.3">
      <c r="A49">
        <v>11</v>
      </c>
      <c r="B49">
        <v>10</v>
      </c>
      <c r="C49">
        <f>100*381322/854451</f>
        <v>44.627720021393856</v>
      </c>
      <c r="D49">
        <f>100*120238/741610</f>
        <v>16.213103922546892</v>
      </c>
      <c r="E49">
        <f>IF(COUNT(C49:D49)=2,D49-C49,"")</f>
        <v>-28.414616098846963</v>
      </c>
      <c r="H49">
        <v>11</v>
      </c>
      <c r="I49">
        <v>10</v>
      </c>
      <c r="J49">
        <f>100*298304/894387</f>
        <v>33.352899807354085</v>
      </c>
      <c r="K49">
        <f>100*23729/612292</f>
        <v>3.875438516263482</v>
      </c>
      <c r="L49">
        <f>IF(COUNT(J49:K49)=2,K49-J49,"")</f>
        <v>-29.477461291090602</v>
      </c>
      <c r="O49">
        <v>11</v>
      </c>
      <c r="P49">
        <v>10</v>
      </c>
      <c r="Q49">
        <f>100*252271/540552</f>
        <v>46.66914561411298</v>
      </c>
      <c r="R49">
        <f>100*247504/831153</f>
        <v>29.778392185313656</v>
      </c>
      <c r="S49">
        <f>IF(COUNT(Q49:R49)=2,R49-Q49,"")</f>
        <v>-16.89075342879932</v>
      </c>
    </row>
    <row r="50" spans="1:19" x14ac:dyDescent="0.3">
      <c r="A50">
        <v>12</v>
      </c>
      <c r="B50">
        <v>11</v>
      </c>
      <c r="C50">
        <f>100*390280/917983</f>
        <v>42.51494853390531</v>
      </c>
      <c r="D50">
        <f>100*31142/729387</f>
        <v>4.269612702173195</v>
      </c>
      <c r="E50">
        <f>IF(COUNT(C50:D50)=2,D50-C50,"")</f>
        <v>-38.24533583173212</v>
      </c>
      <c r="H50">
        <v>12</v>
      </c>
      <c r="I50">
        <v>11</v>
      </c>
      <c r="K50">
        <f>100*1710/5804</f>
        <v>29.462439696760853</v>
      </c>
      <c r="L50" t="str">
        <f>IF(COUNT(J50:K50)=2,K50-J50,"")</f>
        <v/>
      </c>
      <c r="O50">
        <v>12</v>
      </c>
      <c r="P50">
        <v>11</v>
      </c>
      <c r="Q50">
        <f>100*152311/319498</f>
        <v>47.67197290749864</v>
      </c>
      <c r="R50">
        <f>100*125145/452257</f>
        <v>27.671213491444025</v>
      </c>
      <c r="S50">
        <f>IF(COUNT(Q50:R50)=2,R50-Q50,"")</f>
        <v>-20.000759416054617</v>
      </c>
    </row>
    <row r="51" spans="1:19" x14ac:dyDescent="0.3">
      <c r="A51">
        <v>13</v>
      </c>
      <c r="B51">
        <v>12</v>
      </c>
      <c r="C51">
        <f>100*11194/520395</f>
        <v>2.1510583306911095</v>
      </c>
      <c r="D51">
        <f>100*17551/663014</f>
        <v>2.647153755425979</v>
      </c>
      <c r="E51">
        <f>IF(COUNT(C51:D51)=2,D51-C51,"")</f>
        <v>0.49609542473486945</v>
      </c>
      <c r="H51">
        <v>13</v>
      </c>
      <c r="I51">
        <v>12</v>
      </c>
      <c r="J51">
        <f>100*63849/654587</f>
        <v>9.75408921961481</v>
      </c>
      <c r="K51">
        <f>100*35558/588735</f>
        <v>6.039729250002123</v>
      </c>
      <c r="L51">
        <f>IF(COUNT(J51:K51)=2,K51-J51,"")</f>
        <v>-3.714359969612687</v>
      </c>
      <c r="O51">
        <v>13</v>
      </c>
      <c r="P51">
        <v>12</v>
      </c>
      <c r="Q51">
        <f>100*326273/687294</f>
        <v>47.47211528108786</v>
      </c>
      <c r="R51">
        <f>100*16057/644842</f>
        <v>2.490067334323757</v>
      </c>
      <c r="S51">
        <f>IF(COUNT(Q51:R51)=2,R51-Q51,"")</f>
        <v>-44.982047946764105</v>
      </c>
    </row>
    <row r="52" spans="1:19" x14ac:dyDescent="0.3">
      <c r="A52">
        <v>14</v>
      </c>
      <c r="B52">
        <v>13</v>
      </c>
      <c r="C52">
        <f>100*47836/384501</f>
        <v>12.441059971235445</v>
      </c>
      <c r="D52">
        <f>100*2693/388579</f>
        <v>0.6930379665396226</v>
      </c>
      <c r="E52">
        <f>IF(COUNT(C52:D52)=2,D52-C52,"")</f>
        <v>-11.748022004695823</v>
      </c>
      <c r="H52">
        <v>14</v>
      </c>
      <c r="I52">
        <v>13</v>
      </c>
      <c r="J52">
        <f>100*46518/257005</f>
        <v>18.100036964261395</v>
      </c>
      <c r="K52">
        <f>100*66386/411959</f>
        <v>16.11471044448598</v>
      </c>
      <c r="L52">
        <f>IF(COUNT(J52:K52)=2,K52-J52,"")</f>
        <v>-1.9853265197754162</v>
      </c>
      <c r="O52">
        <v>14</v>
      </c>
      <c r="P52">
        <v>13</v>
      </c>
      <c r="Q52">
        <f>100*2347/627958</f>
        <v>0.37375111074307515</v>
      </c>
      <c r="R52">
        <f>100*3700/539280</f>
        <v>0.6860999851654057</v>
      </c>
      <c r="S52">
        <f>IF(COUNT(Q52:R52)=2,R52-Q52,"")</f>
        <v>0.31234887442233056</v>
      </c>
    </row>
    <row r="53" spans="1:19" x14ac:dyDescent="0.3">
      <c r="A53">
        <v>15</v>
      </c>
      <c r="B53">
        <v>14</v>
      </c>
      <c r="C53">
        <f>100*248778/461319</f>
        <v>53.92754254648085</v>
      </c>
      <c r="D53">
        <f>100*66273/494603</f>
        <v>13.399231302681141</v>
      </c>
      <c r="E53">
        <f>IF(COUNT(C53:D53)=2,D53-C53,"")</f>
        <v>-40.528311243799706</v>
      </c>
      <c r="H53">
        <v>15</v>
      </c>
      <c r="I53">
        <v>14</v>
      </c>
      <c r="J53">
        <f>100*175137/618371</f>
        <v>28.322317831851752</v>
      </c>
      <c r="K53">
        <f>100*101270/542648</f>
        <v>18.66218985419646</v>
      </c>
      <c r="L53">
        <f>IF(COUNT(J53:K53)=2,K53-J53,"")</f>
        <v>-9.660127977655293</v>
      </c>
      <c r="O53">
        <v>15</v>
      </c>
      <c r="P53">
        <v>14</v>
      </c>
      <c r="Q53">
        <f>100*146769/359086</f>
        <v>40.872938516121486</v>
      </c>
      <c r="R53">
        <f>100*60725/474052</f>
        <v>12.809776142701644</v>
      </c>
      <c r="S53">
        <f>IF(COUNT(Q53:R53)=2,R53-Q53,"")</f>
        <v>-28.063162373419843</v>
      </c>
    </row>
    <row r="54" spans="1:19" x14ac:dyDescent="0.3">
      <c r="A54">
        <v>16</v>
      </c>
      <c r="B54">
        <v>15</v>
      </c>
      <c r="C54">
        <f>100*326435/634375</f>
        <v>51.45773399014778</v>
      </c>
      <c r="D54">
        <f>100*75651/598885</f>
        <v>12.63197441912888</v>
      </c>
      <c r="E54">
        <f>IF(COUNT(C54:D54)=2,D54-C54,"")</f>
        <v>-38.8257595710189</v>
      </c>
      <c r="H54">
        <v>16</v>
      </c>
      <c r="I54">
        <v>15</v>
      </c>
      <c r="J54">
        <f>100*262686/530062</f>
        <v>49.55759892239021</v>
      </c>
      <c r="K54">
        <f>100*16081/537721</f>
        <v>2.9905843364867652</v>
      </c>
      <c r="L54">
        <f>IF(COUNT(J54:K54)=2,K54-J54,"")</f>
        <v>-46.56701458590345</v>
      </c>
      <c r="O54">
        <v>16</v>
      </c>
      <c r="P54">
        <v>15</v>
      </c>
      <c r="Q54">
        <f>100*161630/350468</f>
        <v>46.11833320017805</v>
      </c>
      <c r="R54">
        <f>100*167830/596796</f>
        <v>28.121837277729743</v>
      </c>
      <c r="S54">
        <f>IF(COUNT(Q54:R54)=2,R54-Q54,"")</f>
        <v>-17.996495922448307</v>
      </c>
    </row>
    <row r="55" spans="1:19" x14ac:dyDescent="0.3">
      <c r="A55">
        <v>17</v>
      </c>
      <c r="B55">
        <v>16</v>
      </c>
      <c r="C55">
        <f>100*180820/593692</f>
        <v>30.45686989213262</v>
      </c>
      <c r="D55">
        <f>100*139986/646809</f>
        <v>21.64255599411882</v>
      </c>
      <c r="E55">
        <f>IF(COUNT(C55:D55)=2,D55-C55,"")</f>
        <v>-8.8143138980138</v>
      </c>
      <c r="H55">
        <v>17</v>
      </c>
      <c r="I55">
        <v>16</v>
      </c>
      <c r="J55">
        <f>100*201035/472489</f>
        <v>42.5480804844134</v>
      </c>
      <c r="K55">
        <f>100*47160/390945</f>
        <v>12.06307792656256</v>
      </c>
      <c r="L55">
        <f>IF(COUNT(J55:K55)=2,K55-J55,"")</f>
        <v>-30.485002557850837</v>
      </c>
      <c r="O55">
        <v>17</v>
      </c>
      <c r="P55">
        <v>16</v>
      </c>
      <c r="Q55">
        <f>100*10845/444486</f>
        <v>2.4398968696426886</v>
      </c>
      <c r="R55">
        <f>100*14367/405707</f>
        <v>3.5412255642618935</v>
      </c>
      <c r="S55">
        <f>IF(COUNT(Q55:R55)=2,R55-Q55,"")</f>
        <v>1.101328694619205</v>
      </c>
    </row>
    <row r="56" spans="1:19" x14ac:dyDescent="0.3">
      <c r="A56">
        <v>18</v>
      </c>
      <c r="B56">
        <v>17</v>
      </c>
      <c r="C56">
        <f>100*349274/706163</f>
        <v>49.460818536230306</v>
      </c>
      <c r="D56">
        <f>100*27875/636733</f>
        <v>4.377816133292919</v>
      </c>
      <c r="E56">
        <f>IF(COUNT(C56:D56)=2,D56-C56,"")</f>
        <v>-45.08300240293739</v>
      </c>
      <c r="H56">
        <v>18</v>
      </c>
      <c r="I56">
        <v>17</v>
      </c>
      <c r="K56">
        <f>100*7873/727147</f>
        <v>1.0827246760283684</v>
      </c>
      <c r="L56" t="str">
        <f>IF(COUNT(J56:K56)=2,K56-J56,"")</f>
        <v/>
      </c>
      <c r="O56">
        <v>18</v>
      </c>
      <c r="P56">
        <v>17</v>
      </c>
      <c r="Q56">
        <f>100*35789/365071</f>
        <v>9.803298536449073</v>
      </c>
      <c r="R56">
        <f>100*5781/336039</f>
        <v>1.7203360324248078</v>
      </c>
      <c r="S56">
        <f>IF(COUNT(Q56:R56)=2,R56-Q56,"")</f>
        <v>-8.082962504024266</v>
      </c>
    </row>
    <row r="57" spans="1:19" x14ac:dyDescent="0.3">
      <c r="A57">
        <v>19</v>
      </c>
      <c r="B57">
        <v>18</v>
      </c>
      <c r="C57">
        <f>100*270086/697559</f>
        <v>38.71873203556975</v>
      </c>
      <c r="D57">
        <f>100*36679/437810</f>
        <v>8.377835133962222</v>
      </c>
      <c r="E57">
        <f>IF(COUNT(C57:D57)=2,D57-C57,"")</f>
        <v>-30.34089690160753</v>
      </c>
      <c r="H57">
        <v>19</v>
      </c>
      <c r="I57">
        <v>18</v>
      </c>
      <c r="J57">
        <f>100*171180/560014</f>
        <v>30.567092965533003</v>
      </c>
      <c r="K57">
        <f>100*12687/66308</f>
        <v>19.133437895879833</v>
      </c>
      <c r="L57">
        <f>IF(COUNT(J57:K57)=2,K57-J57,"")</f>
        <v>-11.43365506965317</v>
      </c>
      <c r="O57">
        <v>19</v>
      </c>
      <c r="P57">
        <v>18</v>
      </c>
      <c r="Q57">
        <f>100*169030/384674</f>
        <v>43.94110337584552</v>
      </c>
      <c r="R57">
        <f>100*57277/180494</f>
        <v>31.73346482431549</v>
      </c>
      <c r="S57">
        <f>IF(COUNT(Q57:R57)=2,R57-Q57,"")</f>
        <v>-12.207638551530032</v>
      </c>
    </row>
    <row r="58" spans="1:19" x14ac:dyDescent="0.3">
      <c r="A58">
        <v>20</v>
      </c>
      <c r="B58">
        <v>19</v>
      </c>
      <c r="C58">
        <f>100*219519/529900</f>
        <v>41.42649556520098</v>
      </c>
      <c r="D58">
        <f>100*56731/772073</f>
        <v>7.347880317016656</v>
      </c>
      <c r="E58">
        <f>IF(COUNT(C58:D58)=2,D58-C58,"")</f>
        <v>-34.07861524818433</v>
      </c>
      <c r="H58">
        <v>20</v>
      </c>
      <c r="I58">
        <v>19</v>
      </c>
      <c r="J58">
        <f>100*284748/588066</f>
        <v>48.42109559131118</v>
      </c>
      <c r="K58">
        <f>100*87264/540269</f>
        <v>16.151953934058774</v>
      </c>
      <c r="L58">
        <f>IF(COUNT(J58:K58)=2,K58-J58,"")</f>
        <v>-32.269141657252405</v>
      </c>
      <c r="O58">
        <v>20</v>
      </c>
      <c r="P58">
        <v>19</v>
      </c>
      <c r="Q58">
        <f>100*276241/622059</f>
        <v>44.40752404514684</v>
      </c>
      <c r="R58">
        <f>100*220300/787536</f>
        <v>27.973324394059446</v>
      </c>
      <c r="S58">
        <f>IF(COUNT(Q58:R58)=2,R58-Q58,"")</f>
        <v>-16.434199651087397</v>
      </c>
    </row>
    <row r="59" spans="1:19" x14ac:dyDescent="0.3">
      <c r="A59">
        <v>21</v>
      </c>
      <c r="B59">
        <v>20</v>
      </c>
      <c r="C59">
        <f>100*270029/574676</f>
        <v>46.98804195755521</v>
      </c>
      <c r="D59">
        <f>100*102992/642344</f>
        <v>16.033776294322045</v>
      </c>
      <c r="E59">
        <f>IF(COUNT(C59:D59)=2,D59-C59,"")</f>
        <v>-30.954265663233166</v>
      </c>
      <c r="H59">
        <v>21</v>
      </c>
      <c r="I59">
        <v>20</v>
      </c>
      <c r="J59">
        <f>100*380768/887907</f>
        <v>42.88377048497196</v>
      </c>
      <c r="K59">
        <f>100*23042/550294</f>
        <v>4.187216288020585</v>
      </c>
      <c r="L59">
        <f>IF(COUNT(J59:K59)=2,K59-J59,"")</f>
        <v>-38.696554196951375</v>
      </c>
      <c r="O59">
        <v>21</v>
      </c>
      <c r="P59">
        <v>20</v>
      </c>
      <c r="Q59">
        <f>100*102616/414261</f>
        <v>24.7708570200912</v>
      </c>
      <c r="R59">
        <f>100*94912/528000</f>
        <v>17.975757575757576</v>
      </c>
      <c r="S59">
        <f>IF(COUNT(Q59:R59)=2,R59-Q59,"")</f>
        <v>-6.795099444333623</v>
      </c>
    </row>
    <row r="60" spans="1:19" x14ac:dyDescent="0.3">
      <c r="A60">
        <v>22</v>
      </c>
      <c r="B60">
        <v>21</v>
      </c>
      <c r="C60">
        <f>100*61286/139068</f>
        <v>44.06908850346593</v>
      </c>
      <c r="D60">
        <f>100*43899/174581</f>
        <v>25.145348004651137</v>
      </c>
      <c r="E60">
        <f>IF(COUNT(C60:D60)=2,D60-C60,"")</f>
        <v>-18.92374049881479</v>
      </c>
      <c r="H60">
        <v>22</v>
      </c>
      <c r="I60">
        <v>21</v>
      </c>
      <c r="J60">
        <f>100*139592/266933</f>
        <v>52.29477059786538</v>
      </c>
      <c r="K60">
        <f>100*153937/457711</f>
        <v>33.631920578705774</v>
      </c>
      <c r="L60">
        <f>IF(COUNT(J60:K60)=2,K60-J60,"")</f>
        <v>-18.662850019159606</v>
      </c>
      <c r="O60">
        <v>22</v>
      </c>
      <c r="P60">
        <v>21</v>
      </c>
      <c r="Q60">
        <f>100*93353/177560</f>
        <v>52.57546744762334</v>
      </c>
      <c r="R60">
        <f>100*64082/256478</f>
        <v>24.98537886290442</v>
      </c>
      <c r="S60">
        <f>IF(COUNT(Q60:R60)=2,R60-Q60,"")</f>
        <v>-27.59008858471892</v>
      </c>
    </row>
    <row r="61" spans="1:19" x14ac:dyDescent="0.3">
      <c r="A61">
        <v>23</v>
      </c>
      <c r="B61">
        <v>22</v>
      </c>
      <c r="C61">
        <f>100*276476/597687</f>
        <v>46.2576565995245</v>
      </c>
      <c r="D61">
        <f>100*89750/853739</f>
        <v>10.512580542765411</v>
      </c>
      <c r="E61">
        <f>IF(COUNT(C61:D61)=2,D61-C61,"")</f>
        <v>-35.74507605675909</v>
      </c>
      <c r="H61">
        <v>23</v>
      </c>
      <c r="I61">
        <v>22</v>
      </c>
      <c r="J61">
        <f>100*307788/547933</f>
        <v>56.1725612438017</v>
      </c>
      <c r="K61">
        <f>100*49783/576955</f>
        <v>8.62857588546767</v>
      </c>
      <c r="L61">
        <f>IF(COUNT(J61:K61)=2,K61-J61,"")</f>
        <v>-47.543985358334034</v>
      </c>
      <c r="O61">
        <v>23</v>
      </c>
      <c r="P61">
        <v>22</v>
      </c>
      <c r="Q61">
        <f>100*1420/340312</f>
        <v>0.41726415759655844</v>
      </c>
      <c r="R61">
        <f>100*573/331359</f>
        <v>0.1729242302155668</v>
      </c>
      <c r="S61">
        <f>IF(COUNT(Q61:R61)=2,R61-Q61,"")</f>
        <v>-0.24433992738099164</v>
      </c>
    </row>
    <row r="62" spans="1:19" x14ac:dyDescent="0.3">
      <c r="A62">
        <v>24</v>
      </c>
      <c r="B62">
        <v>23</v>
      </c>
      <c r="C62">
        <f>100*144470/668915</f>
        <v>21.597661885291853</v>
      </c>
      <c r="D62">
        <f>100*7391/561571</f>
        <v>1.3161292160741918</v>
      </c>
      <c r="E62">
        <f>IF(COUNT(C62:D62)=2,D62-C62,"")</f>
        <v>-20.28153266921766</v>
      </c>
      <c r="H62">
        <v>24</v>
      </c>
      <c r="I62">
        <v>23</v>
      </c>
      <c r="J62">
        <f>100*403224/842602</f>
        <v>47.85462175499227</v>
      </c>
      <c r="K62">
        <f>100*61960/768814</f>
        <v>8.05916645638607</v>
      </c>
      <c r="L62">
        <f>IF(COUNT(J62:K62)=2,K62-J62,"")</f>
        <v>-39.7954552986062</v>
      </c>
      <c r="O62">
        <v>24</v>
      </c>
      <c r="P62">
        <v>23</v>
      </c>
      <c r="Q62">
        <f>100*127073/681026</f>
        <v>18.659052664655974</v>
      </c>
      <c r="R62">
        <f>100*29549/645191</f>
        <v>4.579884096337364</v>
      </c>
      <c r="S62">
        <f>IF(COUNT(Q62:R62)=2,R62-Q62,"")</f>
        <v>-14.079168568318611</v>
      </c>
    </row>
    <row r="63" spans="1:19" x14ac:dyDescent="0.3">
      <c r="A63">
        <v>25</v>
      </c>
      <c r="B63">
        <v>24</v>
      </c>
      <c r="C63">
        <f>100*246413/550634</f>
        <v>44.7507781938638</v>
      </c>
      <c r="D63">
        <f>100*50299/677711</f>
        <v>7.4218951736064485</v>
      </c>
      <c r="E63">
        <f>IF(COUNT(C63:D63)=2,D63-C63,"")</f>
        <v>-37.32888302025735</v>
      </c>
      <c r="H63">
        <v>25</v>
      </c>
      <c r="I63">
        <v>24</v>
      </c>
      <c r="J63">
        <f>100*334373/832460</f>
        <v>40.16685486389736</v>
      </c>
      <c r="K63">
        <f>100*45341/495366</f>
        <v>9.1530302846784</v>
      </c>
      <c r="L63">
        <f>IF(COUNT(J63:K63)=2,K63-J63,"")</f>
        <v>-31.013824579218962</v>
      </c>
      <c r="O63">
        <v>25</v>
      </c>
      <c r="P63">
        <v>24</v>
      </c>
      <c r="Q63">
        <f>100*69231/149628</f>
        <v>46.26874649129842</v>
      </c>
      <c r="R63">
        <f>100*74369/266112</f>
        <v>27.94650372775373</v>
      </c>
      <c r="S63">
        <f>IF(COUNT(Q63:R63)=2,R63-Q63,"")</f>
        <v>-18.322242763544693</v>
      </c>
    </row>
    <row r="64" spans="1:19" x14ac:dyDescent="0.3">
      <c r="A64">
        <v>26</v>
      </c>
      <c r="B64">
        <v>25</v>
      </c>
      <c r="C64">
        <f>100*325215/704022</f>
        <v>46.193868941595575</v>
      </c>
      <c r="D64">
        <f>100*44551/526706</f>
        <v>8.458418928206628</v>
      </c>
      <c r="E64">
        <f>IF(COUNT(C64:D64)=2,D64-C64,"")</f>
        <v>-37.73545001338895</v>
      </c>
      <c r="H64">
        <v>26</v>
      </c>
      <c r="I64">
        <v>25</v>
      </c>
      <c r="J64">
        <f>100*93173/499879</f>
        <v>18.639110664780876</v>
      </c>
      <c r="K64">
        <f>100*177497/887106</f>
        <v>20.008544638408488</v>
      </c>
      <c r="L64">
        <f>IF(COUNT(J64:K64)=2,K64-J64,"")</f>
        <v>1.3694339736276113</v>
      </c>
      <c r="O64">
        <v>26</v>
      </c>
      <c r="P64">
        <v>25</v>
      </c>
      <c r="Q64">
        <f>100*287382/566887</f>
        <v>50.69475927301208</v>
      </c>
      <c r="R64">
        <f>100*1441/3620</f>
        <v>39.806629834254146</v>
      </c>
      <c r="S64">
        <f>IF(COUNT(Q64:R64)=2,R64-Q64,"")</f>
        <v>-10.888129438757936</v>
      </c>
    </row>
    <row r="65" spans="1:19" x14ac:dyDescent="0.3">
      <c r="A65">
        <v>27</v>
      </c>
      <c r="B65">
        <v>26</v>
      </c>
      <c r="C65">
        <f>100*177239/701505</f>
        <v>25.26553623994127</v>
      </c>
      <c r="D65">
        <f>100*107249/706674</f>
        <v>15.176587790126707</v>
      </c>
      <c r="E65">
        <f>IF(COUNT(C65:D65)=2,D65-C65,"")</f>
        <v>-10.088948449814563</v>
      </c>
      <c r="H65">
        <v>27</v>
      </c>
      <c r="I65">
        <v>26</v>
      </c>
      <c r="J65">
        <f>100*244313/656873</f>
        <v>37.19333874280112</v>
      </c>
      <c r="K65">
        <f>100*177530/774329</f>
        <v>22.92694707288504</v>
      </c>
      <c r="L65">
        <f>IF(COUNT(J65:K65)=2,K65-J65,"")</f>
        <v>-14.266391669916079</v>
      </c>
      <c r="O65">
        <v>27</v>
      </c>
      <c r="P65">
        <v>26</v>
      </c>
      <c r="Q65">
        <f>100*89767/349739</f>
        <v>25.6668544257289</v>
      </c>
      <c r="R65">
        <f>100*185429/590390</f>
        <v>31.407882924846287</v>
      </c>
      <c r="S65">
        <f>IF(COUNT(Q65:R65)=2,R65-Q65,"")</f>
        <v>5.741028499117387</v>
      </c>
    </row>
    <row r="66" spans="1:19" x14ac:dyDescent="0.3">
      <c r="A66">
        <v>28</v>
      </c>
      <c r="B66">
        <v>27</v>
      </c>
      <c r="C66">
        <f>100*80526/308887</f>
        <v>26.069727764522302</v>
      </c>
      <c r="D66">
        <f>100*64042/402264</f>
        <v>15.92039058926476</v>
      </c>
      <c r="E66">
        <f>IF(COUNT(C66:D66)=2,D66-C66,"")</f>
        <v>-10.149337175257541</v>
      </c>
      <c r="H66">
        <v>28</v>
      </c>
      <c r="I66">
        <v>27</v>
      </c>
      <c r="J66">
        <f>100*138608/347102</f>
        <v>39.93293037781402</v>
      </c>
      <c r="K66">
        <f>100*94236/491344</f>
        <v>19.17923084437787</v>
      </c>
      <c r="L66">
        <f>IF(COUNT(J66:K66)=2,K66-J66,"")</f>
        <v>-20.753699533436148</v>
      </c>
      <c r="O66">
        <v>28</v>
      </c>
      <c r="P66">
        <v>27</v>
      </c>
      <c r="Q66">
        <f>100*334/323134</f>
        <v>0.10336269163876287</v>
      </c>
      <c r="R66">
        <f>100*6065/361883</f>
        <v>1.675956041040889</v>
      </c>
      <c r="S66">
        <f>IF(COUNT(Q66:R66)=2,R66-Q66,"")</f>
        <v>1.572593349402126</v>
      </c>
    </row>
    <row r="67" spans="1:19" x14ac:dyDescent="0.3">
      <c r="A67">
        <v>29</v>
      </c>
      <c r="B67">
        <v>28</v>
      </c>
      <c r="C67">
        <f>100*201308/447811</f>
        <v>44.953786307169764</v>
      </c>
      <c r="D67">
        <f>100*72196/591473</f>
        <v>12.20613620571015</v>
      </c>
      <c r="E67">
        <f>IF(COUNT(C67:D67)=2,D67-C67,"")</f>
        <v>-32.74765010145961</v>
      </c>
      <c r="H67">
        <v>29</v>
      </c>
      <c r="I67">
        <v>28</v>
      </c>
      <c r="J67">
        <f>100*198367/384779</f>
        <v>51.553489145717414</v>
      </c>
      <c r="K67">
        <f>100*121447/618922</f>
        <v>19.622343364753554</v>
      </c>
      <c r="L67">
        <f>IF(COUNT(J67:K67)=2,K67-J67,"")</f>
        <v>-31.93114578096386</v>
      </c>
      <c r="O67">
        <v>29</v>
      </c>
      <c r="P67">
        <v>28</v>
      </c>
      <c r="Q67">
        <f>100*145808/355081</f>
        <v>41.063306682137316</v>
      </c>
      <c r="R67">
        <f>100*112231/379414</f>
        <v>29.580089295597947</v>
      </c>
      <c r="S67">
        <f>IF(COUNT(Q67:R67)=2,R67-Q67,"")</f>
        <v>-11.48321738653937</v>
      </c>
    </row>
    <row r="68" spans="1:19" x14ac:dyDescent="0.3">
      <c r="A68">
        <v>30</v>
      </c>
      <c r="B68">
        <v>29</v>
      </c>
      <c r="C68">
        <f>100*18197/471548</f>
        <v>3.8589920856413347</v>
      </c>
      <c r="D68">
        <f>100*6248/417032</f>
        <v>1.4982063726524584</v>
      </c>
      <c r="E68">
        <f>IF(COUNT(C68:D68)=2,D68-C68,"")</f>
        <v>-2.3607857129888763</v>
      </c>
      <c r="H68">
        <v>30</v>
      </c>
      <c r="I68">
        <v>29</v>
      </c>
      <c r="J68">
        <f>100*78716/427068</f>
        <v>18.431725158522763</v>
      </c>
      <c r="K68">
        <f>100*64783/561275</f>
        <v>11.542113937018396</v>
      </c>
      <c r="L68">
        <f>IF(COUNT(J68:K68)=2,K68-J68,"")</f>
        <v>-6.889611221504367</v>
      </c>
      <c r="O68">
        <v>30</v>
      </c>
      <c r="P68">
        <v>29</v>
      </c>
      <c r="Q68">
        <f>100*234882/519580</f>
        <v>45.20612802648293</v>
      </c>
      <c r="R68">
        <f>100*96048/527337</f>
        <v>18.213779803048144</v>
      </c>
      <c r="S68">
        <f>IF(COUNT(Q68:R68)=2,R68-Q68,"")</f>
        <v>-26.992348223434785</v>
      </c>
    </row>
    <row r="69" spans="1:19" x14ac:dyDescent="0.3">
      <c r="A69">
        <v>31</v>
      </c>
      <c r="B69">
        <v>30</v>
      </c>
      <c r="C69">
        <f>100*112633/440273</f>
        <v>25.582536289983715</v>
      </c>
      <c r="D69">
        <f>100*48080/391546</f>
        <v>12.27952782048597</v>
      </c>
      <c r="E69">
        <f>IF(COUNT(C69:D69)=2,D69-C69,"")</f>
        <v>-13.303008469497744</v>
      </c>
      <c r="H69">
        <v>31</v>
      </c>
      <c r="I69">
        <v>30</v>
      </c>
      <c r="J69">
        <f>100*150446/466352</f>
        <v>32.26018115071877</v>
      </c>
      <c r="K69">
        <f>100*66508/563764</f>
        <v>11.797134971371</v>
      </c>
      <c r="L69">
        <f>IF(COUNT(J69:K69)=2,K69-J69,"")</f>
        <v>-20.46304617934777</v>
      </c>
      <c r="O69">
        <v>31</v>
      </c>
      <c r="P69">
        <v>30</v>
      </c>
      <c r="Q69">
        <f>100*3881/600979</f>
        <v>0.6457796362268898</v>
      </c>
      <c r="R69">
        <f>100*6883/166651</f>
        <v>4.130188237694343</v>
      </c>
      <c r="S69">
        <f>IF(COUNT(Q69:R69)=2,R69-Q69,"")</f>
        <v>3.484408601467453</v>
      </c>
    </row>
    <row r="70" spans="1:19" x14ac:dyDescent="0.3">
      <c r="A70" t="s">
        <v>5</v>
      </c>
      <c r="C70">
        <f>IF(COUNT(C39:C69)&gt;0,AVERAGE(C39:C69),"")</f>
        <v>31.84282770070955</v>
      </c>
      <c r="D70">
        <f>IF(COUNT(D39:D69)&gt;0,AVERAGE(D39:D69),"")</f>
        <v>11.684847161098249</v>
      </c>
      <c r="E70">
        <f>IF(COUNT(E39:E69)&gt;0,AVERAGE(E39:E69),"")</f>
        <v>-20.157980539611298</v>
      </c>
      <c r="H70" t="s">
        <v>5</v>
      </c>
      <c r="J70">
        <f>IF(COUNT(J39:J69)&gt;0,AVERAGE(J39:J69),"")</f>
        <v>33.41421734972294</v>
      </c>
      <c r="K70">
        <f>IF(COUNT(K39:K69)&gt;0,AVERAGE(K39:K69),"")</f>
        <v>13.81695971996143</v>
      </c>
      <c r="L70">
        <f>IF(COUNT(L39:L69)&gt;0,AVERAGE(L39:L69),"")</f>
        <v>-19.697645386067236</v>
      </c>
      <c r="O70" t="s">
        <v>5</v>
      </c>
      <c r="Q70">
        <f>IF(COUNT(Q39:Q69)&gt;0,AVERAGE(Q39:Q69),"")</f>
        <v>33.06664971973761</v>
      </c>
      <c r="R70">
        <f>IF(COUNT(R39:R69)&gt;0,AVERAGE(R39:R69),"")</f>
        <v>17.19454514304451</v>
      </c>
      <c r="S70">
        <f>IF(COUNT(S39:S69)&gt;0,AVERAGE(S39:S69),"")</f>
        <v>-15.872104576693099</v>
      </c>
    </row>
    <row r="73" spans="1:19" s="2" customFormat="1" x14ac:dyDescent="0.3">
      <c r="A73" s="1" t="s">
        <v>12</v>
      </c>
      <c r="B73" s="1"/>
      <c r="C73" s="1"/>
      <c r="D73" s="1"/>
      <c r="E73" s="1"/>
      <c r="H73" s="1" t="s">
        <v>13</v>
      </c>
      <c r="I73" s="1"/>
      <c r="J73" s="1"/>
      <c r="K73" s="1"/>
      <c r="L73" s="1"/>
      <c r="O73" s="1" t="s">
        <v>14</v>
      </c>
      <c r="P73" s="1"/>
      <c r="Q73" s="1"/>
      <c r="R73" s="1"/>
      <c r="S73" s="1"/>
    </row>
    <row r="74" spans="1:19" x14ac:dyDescent="0.3">
      <c r="A74" t="s">
        <v>0</v>
      </c>
      <c r="B74" t="s">
        <v>1</v>
      </c>
      <c r="C74" t="s">
        <v>2</v>
      </c>
      <c r="D74" t="s">
        <v>3</v>
      </c>
      <c r="E74" t="s">
        <v>4</v>
      </c>
      <c r="H74" t="s">
        <v>0</v>
      </c>
      <c r="I74" t="s">
        <v>1</v>
      </c>
      <c r="J74" t="s">
        <v>2</v>
      </c>
      <c r="K74" t="s">
        <v>3</v>
      </c>
      <c r="L74" t="s">
        <v>4</v>
      </c>
      <c r="O74" t="s">
        <v>0</v>
      </c>
      <c r="P74" t="s">
        <v>1</v>
      </c>
      <c r="Q74" t="s">
        <v>2</v>
      </c>
      <c r="R74" t="s">
        <v>3</v>
      </c>
      <c r="S74" t="s">
        <v>4</v>
      </c>
    </row>
    <row r="75" spans="1:19" x14ac:dyDescent="0.3">
      <c r="A75">
        <v>1</v>
      </c>
      <c r="B75">
        <v>0</v>
      </c>
      <c r="C75">
        <f>100*261929/517487</f>
        <v>50.61557101917536</v>
      </c>
      <c r="D75">
        <f>100*19859/598299</f>
        <v>3.319243388339275</v>
      </c>
      <c r="E75">
        <f>IF(COUNT(C75:D75)=2,D75-C75,"")</f>
        <v>-47.29632763083609</v>
      </c>
      <c r="H75">
        <v>1</v>
      </c>
      <c r="I75">
        <v>0</v>
      </c>
      <c r="J75">
        <f>100*432733/796677</f>
        <v>54.317245257488295</v>
      </c>
      <c r="K75">
        <f>100*34439/636837</f>
        <v>5.4078202114512814</v>
      </c>
      <c r="L75">
        <f>IF(COUNT(J75:K75)=2,K75-J75,"")</f>
        <v>-48.909425046037015</v>
      </c>
      <c r="O75">
        <v>1</v>
      </c>
      <c r="P75">
        <v>0</v>
      </c>
      <c r="Q75">
        <f>100*20655/569971</f>
        <v>3.623868582787545</v>
      </c>
      <c r="R75">
        <f>100*88650/629481</f>
        <v>14.083030305918685</v>
      </c>
      <c r="S75">
        <f>IF(COUNT(Q75:R75)=2,R75-Q75,"")</f>
        <v>10.459161723131139</v>
      </c>
    </row>
    <row r="76" spans="1:19" x14ac:dyDescent="0.3">
      <c r="A76">
        <v>2</v>
      </c>
      <c r="B76">
        <v>1</v>
      </c>
      <c r="C76">
        <f>100*279421/548205</f>
        <v>50.97016626991728</v>
      </c>
      <c r="D76">
        <f>100*16426/86964</f>
        <v>18.888275608297686</v>
      </c>
      <c r="E76">
        <f>IF(COUNT(C76:D76)=2,D76-C76,"")</f>
        <v>-32.081890661619596</v>
      </c>
      <c r="H76">
        <v>2</v>
      </c>
      <c r="I76">
        <v>1</v>
      </c>
      <c r="J76">
        <f>100*305577/591060</f>
        <v>51.69982742868744</v>
      </c>
      <c r="K76">
        <f>100*170640/739981</f>
        <v>23.060051541863913</v>
      </c>
      <c r="L76">
        <f>IF(COUNT(J76:K76)=2,K76-J76,"")</f>
        <v>-28.63977588682353</v>
      </c>
      <c r="O76">
        <v>2</v>
      </c>
      <c r="P76">
        <v>1</v>
      </c>
      <c r="Q76">
        <f>100*111778/257794</f>
        <v>43.35942651884838</v>
      </c>
      <c r="R76">
        <f>100*54551/247919</f>
        <v>22.003557613575403</v>
      </c>
      <c r="S76">
        <f>IF(COUNT(Q76:R76)=2,R76-Q76,"")</f>
        <v>-21.355868905272978</v>
      </c>
    </row>
    <row r="77" spans="1:19" x14ac:dyDescent="0.3">
      <c r="A77">
        <v>3</v>
      </c>
      <c r="B77">
        <v>2</v>
      </c>
      <c r="C77">
        <f>100*37031/871024</f>
        <v>4.2514327963408585</v>
      </c>
      <c r="D77">
        <f>100*240732/1002062</f>
        <v>24.023663206468264</v>
      </c>
      <c r="E77">
        <f>IF(COUNT(C77:D77)=2,D77-C77,"")</f>
        <v>19.772230410127406</v>
      </c>
      <c r="H77">
        <v>3</v>
      </c>
      <c r="I77">
        <v>2</v>
      </c>
      <c r="J77">
        <f>100*244646/584205</f>
        <v>41.87673847365223</v>
      </c>
      <c r="K77">
        <f>100*128803/1014339</f>
        <v>12.698220220261668</v>
      </c>
      <c r="L77">
        <f>IF(COUNT(J77:K77)=2,K77-J77,"")</f>
        <v>-29.178518253390564</v>
      </c>
      <c r="O77">
        <v>3</v>
      </c>
      <c r="P77">
        <v>2</v>
      </c>
      <c r="Q77">
        <f>100*92329/194806</f>
        <v>47.395357432522616</v>
      </c>
      <c r="R77">
        <f>100*101260/381574</f>
        <v>26.537447520009223</v>
      </c>
      <c r="S77">
        <f>IF(COUNT(Q77:R77)=2,R77-Q77,"")</f>
        <v>-20.857909912513392</v>
      </c>
    </row>
    <row r="78" spans="1:19" x14ac:dyDescent="0.3">
      <c r="A78">
        <v>4</v>
      </c>
      <c r="B78">
        <v>3</v>
      </c>
      <c r="C78">
        <f>100*363210/663228</f>
        <v>54.76397257051874</v>
      </c>
      <c r="D78">
        <f>100*78415/725806</f>
        <v>10.803851166840726</v>
      </c>
      <c r="E78">
        <f>IF(COUNT(C78:D78)=2,D78-C78,"")</f>
        <v>-43.960121403678016</v>
      </c>
      <c r="H78">
        <v>4</v>
      </c>
      <c r="I78">
        <v>3</v>
      </c>
      <c r="J78">
        <f>100*316744/731828</f>
        <v>43.281208152735346</v>
      </c>
      <c r="K78">
        <f>100*27918/592115</f>
        <v>4.714962465061686</v>
      </c>
      <c r="L78">
        <f>IF(COUNT(J78:K78)=2,K78-J78,"")</f>
        <v>-38.56624568767366</v>
      </c>
      <c r="O78">
        <v>4</v>
      </c>
      <c r="P78">
        <v>3</v>
      </c>
      <c r="Q78">
        <f>100*240086/489338</f>
        <v>49.06342855040892</v>
      </c>
      <c r="R78">
        <f>100*254213/865675</f>
        <v>29.36587056343316</v>
      </c>
      <c r="S78">
        <f>IF(COUNT(Q78:R78)=2,R78-Q78,"")</f>
        <v>-19.697557986975763</v>
      </c>
    </row>
    <row r="79" spans="1:19" x14ac:dyDescent="0.3">
      <c r="A79">
        <v>5</v>
      </c>
      <c r="B79">
        <v>4</v>
      </c>
      <c r="C79">
        <f>100*116626/322593</f>
        <v>36.152675352534</v>
      </c>
      <c r="D79">
        <f>100*206471/789736</f>
        <v>26.14430645177629</v>
      </c>
      <c r="E79">
        <f>IF(COUNT(C79:D79)=2,D79-C79,"")</f>
        <v>-10.008368900757706</v>
      </c>
      <c r="H79">
        <v>5</v>
      </c>
      <c r="I79">
        <v>4</v>
      </c>
      <c r="J79">
        <f>100*174388/383201</f>
        <v>45.50823197225477</v>
      </c>
      <c r="K79">
        <f>100*217452/778690</f>
        <v>27.925361825630226</v>
      </c>
      <c r="L79">
        <f>IF(COUNT(J79:K79)=2,K79-J79,"")</f>
        <v>-17.582870146624543</v>
      </c>
      <c r="O79">
        <v>5</v>
      </c>
      <c r="P79">
        <v>4</v>
      </c>
      <c r="Q79">
        <f>100*426762/872765</f>
        <v>48.89769869323357</v>
      </c>
      <c r="R79">
        <f>100*83542/688457</f>
        <v>12.134672172699238</v>
      </c>
      <c r="S79">
        <f>IF(COUNT(Q79:R79)=2,R79-Q79,"")</f>
        <v>-36.76302652053433</v>
      </c>
    </row>
    <row r="80" spans="1:19" x14ac:dyDescent="0.3">
      <c r="A80">
        <v>6</v>
      </c>
      <c r="B80">
        <v>5</v>
      </c>
      <c r="C80">
        <f>100*159245/460762</f>
        <v>34.56122683728259</v>
      </c>
      <c r="D80">
        <f>100*130621/711603</f>
        <v>18.355881017927132</v>
      </c>
      <c r="E80">
        <f>IF(COUNT(C80:D80)=2,D80-C80,"")</f>
        <v>-16.205345819355458</v>
      </c>
      <c r="H80">
        <v>6</v>
      </c>
      <c r="I80">
        <v>5</v>
      </c>
      <c r="J80">
        <f>100*124193/417286</f>
        <v>29.76208164184756</v>
      </c>
      <c r="K80">
        <f>100*213217/831373</f>
        <v>25.64637052201599</v>
      </c>
      <c r="L80">
        <f>IF(COUNT(J80:K80)=2,K80-J80,"")</f>
        <v>-4.11571111983157</v>
      </c>
      <c r="O80">
        <v>6</v>
      </c>
      <c r="P80">
        <v>5</v>
      </c>
      <c r="Q80">
        <f>100*275977/710313</f>
        <v>38.85287190294983</v>
      </c>
      <c r="R80">
        <f>100*172657/832499</f>
        <v>20.739604492017406</v>
      </c>
      <c r="S80">
        <f>IF(COUNT(Q80:R80)=2,R80-Q80,"")</f>
        <v>-18.113267410932423</v>
      </c>
    </row>
    <row r="81" spans="1:19" x14ac:dyDescent="0.3">
      <c r="A81">
        <v>7</v>
      </c>
      <c r="B81">
        <v>6</v>
      </c>
      <c r="C81">
        <f>100*8837/457006</f>
        <v>1.9336726432475722</v>
      </c>
      <c r="D81">
        <f>100*30002/567617</f>
        <v>5.285606315526138</v>
      </c>
      <c r="E81">
        <f>IF(COUNT(C81:D81)=2,D81-C81,"")</f>
        <v>3.351933672278566</v>
      </c>
      <c r="H81">
        <v>7</v>
      </c>
      <c r="I81">
        <v>6</v>
      </c>
      <c r="J81">
        <f>100*4575/667678</f>
        <v>0.6852105356174683</v>
      </c>
      <c r="K81">
        <f>100*21428/606209</f>
        <v>3.534754515356915</v>
      </c>
      <c r="L81">
        <f>IF(COUNT(J81:K81)=2,K81-J81,"")</f>
        <v>2.8495439797394466</v>
      </c>
      <c r="O81">
        <v>7</v>
      </c>
      <c r="P81">
        <v>6</v>
      </c>
      <c r="Q81">
        <f>100*256619/495194</f>
        <v>51.82191222026115</v>
      </c>
      <c r="R81">
        <f>100*224082/800400</f>
        <v>27.996251874062967</v>
      </c>
      <c r="S81">
        <f>IF(COUNT(Q81:R81)=2,R81-Q81,"")</f>
        <v>-23.82566034619818</v>
      </c>
    </row>
    <row r="82" spans="1:19" x14ac:dyDescent="0.3">
      <c r="A82">
        <v>8</v>
      </c>
      <c r="B82">
        <v>7</v>
      </c>
      <c r="C82">
        <f>100*5105/579694</f>
        <v>0.8806370257411669</v>
      </c>
      <c r="D82">
        <f>100*7754/474072</f>
        <v>1.6356165308223223</v>
      </c>
      <c r="E82">
        <f>IF(COUNT(C82:D82)=2,D82-C82,"")</f>
        <v>0.7549795050811554</v>
      </c>
      <c r="H82">
        <v>8</v>
      </c>
      <c r="I82">
        <v>7</v>
      </c>
      <c r="J82">
        <f>100*7536/581531</f>
        <v>1.2958896430284885</v>
      </c>
      <c r="K82">
        <f>100*4734/941570</f>
        <v>0.5027772762513674</v>
      </c>
      <c r="L82">
        <f>IF(COUNT(J82:K82)=2,K82-J82,"")</f>
        <v>-0.7931123667771212</v>
      </c>
      <c r="O82">
        <v>8</v>
      </c>
      <c r="P82">
        <v>7</v>
      </c>
      <c r="Q82">
        <f>100*168583/355732</f>
        <v>47.39045123857286</v>
      </c>
      <c r="R82">
        <f>100*75005/248498</f>
        <v>30.183341515827088</v>
      </c>
      <c r="S82">
        <f>IF(COUNT(Q82:R82)=2,R82-Q82,"")</f>
        <v>-17.20710972274577</v>
      </c>
    </row>
    <row r="83" spans="1:19" x14ac:dyDescent="0.3">
      <c r="A83">
        <v>9</v>
      </c>
      <c r="B83">
        <v>8</v>
      </c>
      <c r="C83">
        <f>100*207750/401424</f>
        <v>51.75325840009566</v>
      </c>
      <c r="D83">
        <f>100*155717/618107</f>
        <v>25.192563747053505</v>
      </c>
      <c r="E83">
        <f>IF(COUNT(C83:D83)=2,D83-C83,"")</f>
        <v>-26.560694653042155</v>
      </c>
      <c r="H83">
        <v>9</v>
      </c>
      <c r="I83">
        <v>8</v>
      </c>
      <c r="J83">
        <f>100*224416/408350</f>
        <v>54.95677727439696</v>
      </c>
      <c r="K83">
        <f>100*118526/650374</f>
        <v>18.224283258555847</v>
      </c>
      <c r="L83">
        <f>IF(COUNT(J83:K83)=2,K83-J83,"")</f>
        <v>-36.73249401584111</v>
      </c>
      <c r="O83">
        <v>9</v>
      </c>
      <c r="P83">
        <v>8</v>
      </c>
      <c r="Q83">
        <f>100*66103/140560</f>
        <v>47.02831531018782</v>
      </c>
      <c r="R83">
        <f>100*21254/129852</f>
        <v>16.36786495394757</v>
      </c>
      <c r="S83">
        <f>IF(COUNT(Q83:R83)=2,R83-Q83,"")</f>
        <v>-30.66045035624025</v>
      </c>
    </row>
    <row r="84" spans="1:19" x14ac:dyDescent="0.3">
      <c r="A84">
        <v>10</v>
      </c>
      <c r="B84">
        <v>9</v>
      </c>
      <c r="C84">
        <f>100*131791/855952</f>
        <v>15.397008243452904</v>
      </c>
      <c r="D84">
        <f>100*131278/975876</f>
        <v>13.452323860818383</v>
      </c>
      <c r="E84">
        <f>IF(COUNT(C84:D84)=2,D84-C84,"")</f>
        <v>-1.9446843826345201</v>
      </c>
      <c r="H84">
        <v>10</v>
      </c>
      <c r="I84">
        <v>9</v>
      </c>
      <c r="J84">
        <f>100*472599/885198</f>
        <v>53.389072275355346</v>
      </c>
      <c r="K84">
        <f>100*31461/735173</f>
        <v>4.279400902916729</v>
      </c>
      <c r="L84">
        <f>IF(COUNT(J84:K84)=2,K84-J84,"")</f>
        <v>-49.10967137243862</v>
      </c>
      <c r="O84">
        <v>10</v>
      </c>
      <c r="P84">
        <v>9</v>
      </c>
      <c r="Q84">
        <f>100*6243/543809</f>
        <v>1.1480133649866038</v>
      </c>
      <c r="R84">
        <f>100*6949/559186</f>
        <v>1.2426992092076696</v>
      </c>
      <c r="S84">
        <f>IF(COUNT(Q84:R84)=2,R84-Q84,"")</f>
        <v>0.09468584422106585</v>
      </c>
    </row>
    <row r="85" spans="1:19" x14ac:dyDescent="0.3">
      <c r="A85">
        <v>11</v>
      </c>
      <c r="B85">
        <v>10</v>
      </c>
      <c r="C85">
        <f>100*335444/654410</f>
        <v>51.25899665347412</v>
      </c>
      <c r="D85">
        <f>100*29548/703763</f>
        <v>4.198572530809377</v>
      </c>
      <c r="E85">
        <f>IF(COUNT(C85:D85)=2,D85-C85,"")</f>
        <v>-47.06042412266474</v>
      </c>
      <c r="H85">
        <v>11</v>
      </c>
      <c r="I85">
        <v>10</v>
      </c>
      <c r="J85">
        <f>100*370148/619144</f>
        <v>59.783830578992934</v>
      </c>
      <c r="K85">
        <f>100*47574/716925</f>
        <v>6.635840569097186</v>
      </c>
      <c r="L85">
        <f>IF(COUNT(J85:K85)=2,K85-J85,"")</f>
        <v>-53.14799000989575</v>
      </c>
      <c r="O85">
        <v>11</v>
      </c>
      <c r="P85">
        <v>10</v>
      </c>
      <c r="Q85">
        <f>100*225999/413085</f>
        <v>54.71004756890228</v>
      </c>
      <c r="R85">
        <f>100*156480/672437</f>
        <v>23.2705814819827</v>
      </c>
      <c r="S85">
        <f>IF(COUNT(Q85:R85)=2,R85-Q85,"")</f>
        <v>-31.439466086919584</v>
      </c>
    </row>
    <row r="86" spans="1:19" x14ac:dyDescent="0.3">
      <c r="A86">
        <v>12</v>
      </c>
      <c r="B86">
        <v>11</v>
      </c>
      <c r="C86">
        <f>100*373038/695730</f>
        <v>53.618213962312964</v>
      </c>
      <c r="D86">
        <f>100*56826/789989</f>
        <v>7.193264716344151</v>
      </c>
      <c r="E86">
        <f>IF(COUNT(C86:D86)=2,D86-C86,"")</f>
        <v>-46.42494924596881</v>
      </c>
      <c r="H86">
        <v>12</v>
      </c>
      <c r="I86">
        <v>11</v>
      </c>
      <c r="J86">
        <f>100*303732/544372</f>
        <v>55.79493434636609</v>
      </c>
      <c r="K86">
        <f>100*20967/688440</f>
        <v>3.0455813142757537</v>
      </c>
      <c r="L86">
        <f>IF(COUNT(J86:K86)=2,K86-J86,"")</f>
        <v>-52.74935303209034</v>
      </c>
      <c r="O86">
        <v>12</v>
      </c>
      <c r="P86">
        <v>11</v>
      </c>
      <c r="Q86">
        <f>100*176887/390857</f>
        <v>45.25619344159117</v>
      </c>
      <c r="R86">
        <f>100*46476/193739</f>
        <v>23.988974857927417</v>
      </c>
      <c r="S86">
        <f>IF(COUNT(Q86:R86)=2,R86-Q86,"")</f>
        <v>-21.267218583663755</v>
      </c>
    </row>
    <row r="87" spans="1:19" x14ac:dyDescent="0.3">
      <c r="A87">
        <v>13</v>
      </c>
      <c r="B87">
        <v>12</v>
      </c>
      <c r="C87">
        <f>100*11518/738798</f>
        <v>1.5590188387082802</v>
      </c>
      <c r="D87">
        <f>100*13242/682980</f>
        <v>1.9388561890538523</v>
      </c>
      <c r="E87">
        <f>IF(COUNT(C87:D87)=2,D87-C87,"")</f>
        <v>0.3798373503455721</v>
      </c>
      <c r="H87">
        <v>13</v>
      </c>
      <c r="I87">
        <v>12</v>
      </c>
      <c r="J87">
        <f>100*302007/670149</f>
        <v>45.06564957942189</v>
      </c>
      <c r="K87">
        <f>100*17107/835058</f>
        <v>2.0486002169909154</v>
      </c>
      <c r="L87">
        <f>IF(COUNT(J87:K87)=2,K87-J87,"")</f>
        <v>-43.017049362430974</v>
      </c>
      <c r="O87">
        <v>13</v>
      </c>
      <c r="P87">
        <v>12</v>
      </c>
      <c r="Q87">
        <f>100*187062/769706</f>
        <v>24.30304557844164</v>
      </c>
      <c r="R87">
        <f>100*62852/747940</f>
        <v>8.403347862127978</v>
      </c>
      <c r="S87">
        <f>IF(COUNT(Q87:R87)=2,R87-Q87,"")</f>
        <v>-15.899697716313662</v>
      </c>
    </row>
    <row r="88" spans="1:19" x14ac:dyDescent="0.3">
      <c r="A88">
        <v>14</v>
      </c>
      <c r="B88">
        <v>13</v>
      </c>
      <c r="C88">
        <f>100*26873/442619</f>
        <v>6.0713615999313175</v>
      </c>
      <c r="D88">
        <f>100*40065/461715</f>
        <v>8.677430882687371</v>
      </c>
      <c r="E88">
        <f>IF(COUNT(C88:D88)=2,D88-C88,"")</f>
        <v>2.606069282756054</v>
      </c>
      <c r="H88">
        <v>14</v>
      </c>
      <c r="I88">
        <v>13</v>
      </c>
      <c r="J88">
        <f>100*112082/470769</f>
        <v>23.808279644581525</v>
      </c>
      <c r="K88">
        <f>100*107072/590883</f>
        <v>18.120677020662296</v>
      </c>
      <c r="L88">
        <f>IF(COUNT(J88:K88)=2,K88-J88,"")</f>
        <v>-5.687602623919229</v>
      </c>
      <c r="O88">
        <v>14</v>
      </c>
      <c r="P88">
        <v>13</v>
      </c>
      <c r="Q88">
        <f>100*77933/602059</f>
        <v>12.94441242469592</v>
      </c>
      <c r="R88">
        <f>100*11369/402880</f>
        <v>2.8219320889594917</v>
      </c>
      <c r="S88">
        <f>IF(COUNT(Q88:R88)=2,R88-Q88,"")</f>
        <v>-10.122480335736427</v>
      </c>
    </row>
    <row r="89" spans="1:19" x14ac:dyDescent="0.3">
      <c r="A89">
        <v>15</v>
      </c>
      <c r="B89">
        <v>14</v>
      </c>
      <c r="C89">
        <f>100*163872/797309</f>
        <v>20.553135609907827</v>
      </c>
      <c r="D89">
        <f>100*130907/860048</f>
        <v>15.220894647740591</v>
      </c>
      <c r="E89">
        <f>IF(COUNT(C89:D89)=2,D89-C89,"")</f>
        <v>-5.332240962167235</v>
      </c>
      <c r="H89">
        <v>15</v>
      </c>
      <c r="I89">
        <v>14</v>
      </c>
      <c r="J89">
        <f>100*79792/480516</f>
        <v>16.605482439710645</v>
      </c>
      <c r="K89">
        <f>100*108742/813523</f>
        <v>13.366800938633572</v>
      </c>
      <c r="L89">
        <f>IF(COUNT(J89:K89)=2,K89-J89,"")</f>
        <v>-3.238681501077073</v>
      </c>
      <c r="O89">
        <v>15</v>
      </c>
      <c r="P89">
        <v>14</v>
      </c>
      <c r="Q89">
        <f>100*175395/343809</f>
        <v>51.015243929042</v>
      </c>
      <c r="R89">
        <f>100*58408/311032</f>
        <v>18.778775174258598</v>
      </c>
      <c r="S89">
        <f>IF(COUNT(Q89:R89)=2,R89-Q89,"")</f>
        <v>-32.2364687547834</v>
      </c>
    </row>
    <row r="90" spans="1:19" x14ac:dyDescent="0.3">
      <c r="A90">
        <v>16</v>
      </c>
      <c r="B90">
        <v>15</v>
      </c>
      <c r="C90">
        <f>100*308947/536497</f>
        <v>57.58596972583258</v>
      </c>
      <c r="D90">
        <f>100*16971/683759</f>
        <v>2.4820148619615976</v>
      </c>
      <c r="E90">
        <f>IF(COUNT(C90:D90)=2,D90-C90,"")</f>
        <v>-55.10395486387098</v>
      </c>
      <c r="H90">
        <v>16</v>
      </c>
      <c r="I90">
        <v>15</v>
      </c>
      <c r="J90">
        <f>100*331166/636513</f>
        <v>52.028159676235994</v>
      </c>
      <c r="K90">
        <f>100*69855/723516</f>
        <v>9.654935067089049</v>
      </c>
      <c r="L90">
        <f>IF(COUNT(J90:K90)=2,K90-J90,"")</f>
        <v>-42.373224609146945</v>
      </c>
      <c r="O90">
        <v>16</v>
      </c>
      <c r="P90">
        <v>15</v>
      </c>
      <c r="Q90">
        <f>100*123775/294038</f>
        <v>42.0948992987301</v>
      </c>
      <c r="R90">
        <f>100*33491/316524</f>
        <v>10.580872224539055</v>
      </c>
      <c r="S90">
        <f>IF(COUNT(Q90:R90)=2,R90-Q90,"")</f>
        <v>-31.51402707419104</v>
      </c>
    </row>
    <row r="91" spans="1:19" x14ac:dyDescent="0.3">
      <c r="A91">
        <v>17</v>
      </c>
      <c r="B91">
        <v>16</v>
      </c>
      <c r="C91">
        <f>100*210301/511283</f>
        <v>41.13201495062422</v>
      </c>
      <c r="D91">
        <f>100*132505/574676</f>
        <v>23.05734013600707</v>
      </c>
      <c r="E91">
        <f>IF(COUNT(C91:D91)=2,D91-C91,"")</f>
        <v>-18.074674814617147</v>
      </c>
      <c r="H91">
        <v>17</v>
      </c>
      <c r="I91">
        <v>16</v>
      </c>
      <c r="J91">
        <f>100*2558/107131</f>
        <v>2.3877309088872503</v>
      </c>
      <c r="K91">
        <f>100*105442/481075</f>
        <v>21.917996154445774</v>
      </c>
      <c r="L91">
        <f>IF(COUNT(J91:K91)=2,K91-J91,"")</f>
        <v>19.530265245558525</v>
      </c>
      <c r="O91">
        <v>17</v>
      </c>
      <c r="P91">
        <v>16</v>
      </c>
      <c r="Q91">
        <f>100*18236/388369</f>
        <v>4.695534401561401</v>
      </c>
      <c r="R91">
        <f>100*4048/395288</f>
        <v>1.024063467648904</v>
      </c>
      <c r="S91">
        <f>IF(COUNT(Q91:R91)=2,R91-Q91,"")</f>
        <v>-3.6714709339124973</v>
      </c>
    </row>
    <row r="92" spans="1:19" x14ac:dyDescent="0.3">
      <c r="A92">
        <v>18</v>
      </c>
      <c r="B92">
        <v>17</v>
      </c>
      <c r="C92">
        <f>100*394081/764993</f>
        <v>51.51432758208245</v>
      </c>
      <c r="D92">
        <f>100*55798/937476</f>
        <v>5.951939036305996</v>
      </c>
      <c r="E92">
        <f>IF(COUNT(C92:D92)=2,D92-C92,"")</f>
        <v>-45.56238854577646</v>
      </c>
      <c r="H92">
        <v>18</v>
      </c>
      <c r="I92">
        <v>17</v>
      </c>
      <c r="K92">
        <f>100*56790/688524</f>
        <v>8.248078498353</v>
      </c>
      <c r="L92" t="str">
        <f>IF(COUNT(J92:K92)=2,K92-J92,"")</f>
        <v/>
      </c>
      <c r="O92">
        <v>18</v>
      </c>
      <c r="P92">
        <v>17</v>
      </c>
      <c r="Q92">
        <f>100*87307/484664</f>
        <v>18.013923047719658</v>
      </c>
      <c r="R92">
        <f>100*6911/476473</f>
        <v>1.4504494483422985</v>
      </c>
      <c r="S92">
        <f>IF(COUNT(Q92:R92)=2,R92-Q92,"")</f>
        <v>-16.56347359937736</v>
      </c>
    </row>
    <row r="93" spans="1:19" x14ac:dyDescent="0.3">
      <c r="A93">
        <v>19</v>
      </c>
      <c r="B93">
        <v>18</v>
      </c>
      <c r="C93">
        <f>100*356287/725510</f>
        <v>49.1084892007002</v>
      </c>
      <c r="D93">
        <f>100*17942/678008</f>
        <v>2.646281459805784</v>
      </c>
      <c r="E93">
        <f>IF(COUNT(C93:D93)=2,D93-C93,"")</f>
        <v>-46.462207740894414</v>
      </c>
      <c r="H93">
        <v>19</v>
      </c>
      <c r="I93">
        <v>18</v>
      </c>
      <c r="J93">
        <f>100*98670/626756</f>
        <v>15.742968555546337</v>
      </c>
      <c r="K93">
        <f>100*26649/825679</f>
        <v>3.227525466918742</v>
      </c>
      <c r="L93">
        <f>IF(COUNT(J93:K93)=2,K93-J93,"")</f>
        <v>-12.515443088627595</v>
      </c>
      <c r="O93">
        <v>19</v>
      </c>
      <c r="P93">
        <v>18</v>
      </c>
      <c r="Q93">
        <f>100*176507/342598</f>
        <v>51.52014897927017</v>
      </c>
      <c r="R93">
        <f>100*161679/613839</f>
        <v>26.338991168694072</v>
      </c>
      <c r="S93">
        <f>IF(COUNT(Q93:R93)=2,R93-Q93,"")</f>
        <v>-25.181157810576096</v>
      </c>
    </row>
    <row r="94" spans="1:19" x14ac:dyDescent="0.3">
      <c r="A94">
        <v>20</v>
      </c>
      <c r="B94">
        <v>19</v>
      </c>
      <c r="C94">
        <f>100*436080/868999</f>
        <v>50.18187592851085</v>
      </c>
      <c r="D94">
        <f>100*122904/1026235</f>
        <v>11.976204280695942</v>
      </c>
      <c r="E94">
        <f>IF(COUNT(C94:D94)=2,D94-C94,"")</f>
        <v>-38.20567164781491</v>
      </c>
      <c r="H94">
        <v>20</v>
      </c>
      <c r="I94">
        <v>19</v>
      </c>
      <c r="J94">
        <f>100*63724/294932</f>
        <v>21.606336375842567</v>
      </c>
      <c r="K94">
        <f>100*113444/748442</f>
        <v>15.157353542425465</v>
      </c>
      <c r="L94">
        <f>IF(COUNT(J94:K94)=2,K94-J94,"")</f>
        <v>-6.4489828334171015</v>
      </c>
      <c r="O94">
        <v>20</v>
      </c>
      <c r="P94">
        <v>19</v>
      </c>
      <c r="Q94">
        <f>100*271008/594768</f>
        <v>45.565329674763944</v>
      </c>
      <c r="R94">
        <f>100*108801/880527</f>
        <v>12.35635023116838</v>
      </c>
      <c r="S94">
        <f>IF(COUNT(Q94:R94)=2,R94-Q94,"")</f>
        <v>-33.20897944359557</v>
      </c>
    </row>
    <row r="95" spans="1:19" x14ac:dyDescent="0.3">
      <c r="A95">
        <v>21</v>
      </c>
      <c r="B95">
        <v>20</v>
      </c>
      <c r="C95">
        <f>100*288252/526914</f>
        <v>54.70570149967547</v>
      </c>
      <c r="D95">
        <f>100*252665/901029</f>
        <v>28.041827732514715</v>
      </c>
      <c r="E95">
        <f>IF(COUNT(C95:D95)=2,D95-C95,"")</f>
        <v>-26.663873767160755</v>
      </c>
      <c r="H95">
        <v>21</v>
      </c>
      <c r="I95">
        <v>20</v>
      </c>
      <c r="J95">
        <f>100*465002/826011</f>
        <v>56.29489195664465</v>
      </c>
      <c r="K95">
        <f>100*40181/583783</f>
        <v>6.882865722366017</v>
      </c>
      <c r="L95">
        <f>IF(COUNT(J95:K95)=2,K95-J95,"")</f>
        <v>-49.41202623427863</v>
      </c>
      <c r="O95">
        <v>21</v>
      </c>
      <c r="P95">
        <v>20</v>
      </c>
      <c r="Q95">
        <f>100*230728/471359</f>
        <v>48.9495267938026</v>
      </c>
      <c r="R95">
        <f>100*16323/409106</f>
        <v>3.989919482970184</v>
      </c>
      <c r="S95">
        <f>IF(COUNT(Q95:R95)=2,R95-Q95,"")</f>
        <v>-44.95960731083241</v>
      </c>
    </row>
    <row r="96" spans="1:19" x14ac:dyDescent="0.3">
      <c r="A96">
        <v>22</v>
      </c>
      <c r="B96">
        <v>21</v>
      </c>
      <c r="C96">
        <f>100*56325/137188</f>
        <v>41.056797970667986</v>
      </c>
      <c r="D96">
        <f>100*76374/274242</f>
        <v>27.84912595444899</v>
      </c>
      <c r="E96">
        <f>IF(COUNT(C96:D96)=2,D96-C96,"")</f>
        <v>-13.207672016218996</v>
      </c>
      <c r="H96">
        <v>22</v>
      </c>
      <c r="I96">
        <v>21</v>
      </c>
      <c r="J96">
        <f>100*144864/290419</f>
        <v>49.881033954390034</v>
      </c>
      <c r="K96">
        <f>100*110744/349030</f>
        <v>31.72907772970805</v>
      </c>
      <c r="L96">
        <f>IF(COUNT(J96:K96)=2,K96-J96,"")</f>
        <v>-18.151956224681985</v>
      </c>
      <c r="O96">
        <v>22</v>
      </c>
      <c r="P96">
        <v>21</v>
      </c>
      <c r="Q96">
        <f>100*25278/69101</f>
        <v>36.58123616156061</v>
      </c>
      <c r="R96">
        <f>100*109114/366140</f>
        <v>29.801168951767085</v>
      </c>
      <c r="S96">
        <f>IF(COUNT(Q96:R96)=2,R96-Q96,"")</f>
        <v>-6.7800672097935255</v>
      </c>
    </row>
    <row r="97" spans="1:19" x14ac:dyDescent="0.3">
      <c r="A97">
        <v>23</v>
      </c>
      <c r="B97">
        <v>22</v>
      </c>
      <c r="C97">
        <f>100*288383/663204</f>
        <v>43.48330227200077</v>
      </c>
      <c r="D97">
        <f>100*178330/688536</f>
        <v>25.899880325792697</v>
      </c>
      <c r="E97">
        <f>IF(COUNT(C97:D97)=2,D97-C97,"")</f>
        <v>-17.583421946208073</v>
      </c>
      <c r="H97">
        <v>23</v>
      </c>
      <c r="I97">
        <v>22</v>
      </c>
      <c r="J97">
        <f>100*455714/839395</f>
        <v>54.29076894668184</v>
      </c>
      <c r="K97">
        <f>100*78520/776404</f>
        <v>10.11329153378911</v>
      </c>
      <c r="L97">
        <f>IF(COUNT(J97:K97)=2,K97-J97,"")</f>
        <v>-44.17747741289273</v>
      </c>
      <c r="O97">
        <v>23</v>
      </c>
      <c r="P97">
        <v>22</v>
      </c>
      <c r="Q97">
        <f>100*745/388450</f>
        <v>0.1917878748873729</v>
      </c>
      <c r="R97">
        <f>100*4606/419354</f>
        <v>1.0983560428659318</v>
      </c>
      <c r="S97">
        <f>IF(COUNT(Q97:R97)=2,R97-Q97,"")</f>
        <v>0.9065681679785589</v>
      </c>
    </row>
    <row r="98" spans="1:19" x14ac:dyDescent="0.3">
      <c r="A98">
        <v>24</v>
      </c>
      <c r="B98">
        <v>23</v>
      </c>
      <c r="C98">
        <f>100*197095/749959</f>
        <v>26.28077001542751</v>
      </c>
      <c r="D98">
        <f>100*35800/733203</f>
        <v>4.882685968278908</v>
      </c>
      <c r="E98">
        <f>IF(COUNT(C98:D98)=2,D98-C98,"")</f>
        <v>-21.3980840471486</v>
      </c>
      <c r="H98">
        <v>24</v>
      </c>
      <c r="I98">
        <v>23</v>
      </c>
      <c r="J98">
        <f>100*361494/762974</f>
        <v>47.37959615924002</v>
      </c>
      <c r="K98">
        <f>100*20301/421207</f>
        <v>4.819720469982693</v>
      </c>
      <c r="L98">
        <f>IF(COUNT(J98:K98)=2,K98-J98,"")</f>
        <v>-42.55987568925733</v>
      </c>
      <c r="O98">
        <v>24</v>
      </c>
      <c r="P98">
        <v>23</v>
      </c>
      <c r="Q98">
        <f>100*292810/722778</f>
        <v>40.51174772890155</v>
      </c>
      <c r="R98">
        <f>100*30682/770084</f>
        <v>3.984240680237481</v>
      </c>
      <c r="S98">
        <f>IF(COUNT(Q98:R98)=2,R98-Q98,"")</f>
        <v>-36.52750704866406</v>
      </c>
    </row>
    <row r="99" spans="1:19" x14ac:dyDescent="0.3">
      <c r="A99">
        <v>25</v>
      </c>
      <c r="B99">
        <v>24</v>
      </c>
      <c r="C99">
        <f>100*283892/666913</f>
        <v>42.56807109772939</v>
      </c>
      <c r="D99">
        <f>100*28527/788289</f>
        <v>3.618850446980739</v>
      </c>
      <c r="E99">
        <f>IF(COUNT(C99:D99)=2,D99-C99,"")</f>
        <v>-38.94922065074865</v>
      </c>
      <c r="H99">
        <v>25</v>
      </c>
      <c r="I99">
        <v>24</v>
      </c>
      <c r="J99">
        <f>100*297339/579923</f>
        <v>51.27215164771875</v>
      </c>
      <c r="K99">
        <f>100*37097/778519</f>
        <v>4.7650731709823395</v>
      </c>
      <c r="L99">
        <f>IF(COUNT(J99:K99)=2,K99-J99,"")</f>
        <v>-46.50707847673641</v>
      </c>
      <c r="O99">
        <v>25</v>
      </c>
      <c r="P99">
        <v>24</v>
      </c>
      <c r="Q99">
        <f>100*194348/434877</f>
        <v>44.69033772767932</v>
      </c>
      <c r="R99">
        <f>100*164367/495621</f>
        <v>33.1638489894496</v>
      </c>
      <c r="S99">
        <f>IF(COUNT(Q99:R99)=2,R99-Q99,"")</f>
        <v>-11.526488738229723</v>
      </c>
    </row>
    <row r="100" spans="1:19" x14ac:dyDescent="0.3">
      <c r="A100">
        <v>26</v>
      </c>
      <c r="B100">
        <v>25</v>
      </c>
      <c r="C100">
        <f>100*327098/548933</f>
        <v>59.587964287080574</v>
      </c>
      <c r="D100">
        <f>100*103059/584416</f>
        <v>17.634527459891583</v>
      </c>
      <c r="E100">
        <f>IF(COUNT(C100:D100)=2,D100-C100,"")</f>
        <v>-41.953436827188995</v>
      </c>
      <c r="H100">
        <v>26</v>
      </c>
      <c r="I100">
        <v>25</v>
      </c>
      <c r="J100">
        <f>100*30617/503886</f>
        <v>6.076175960435496</v>
      </c>
      <c r="K100">
        <f>100*45875/826408</f>
        <v>5.551132128440189</v>
      </c>
      <c r="L100">
        <f>IF(COUNT(J100:K100)=2,K100-J100,"")</f>
        <v>-0.5250438319953066</v>
      </c>
      <c r="O100">
        <v>26</v>
      </c>
      <c r="P100">
        <v>25</v>
      </c>
      <c r="Q100">
        <f>100*196342/383537</f>
        <v>51.19245340084529</v>
      </c>
      <c r="R100">
        <f>100*238745/787680</f>
        <v>30.309897420272193</v>
      </c>
      <c r="S100">
        <f>IF(COUNT(Q100:R100)=2,R100-Q100,"")</f>
        <v>-20.882555980573095</v>
      </c>
    </row>
    <row r="101" spans="1:19" x14ac:dyDescent="0.3">
      <c r="A101">
        <v>27</v>
      </c>
      <c r="B101">
        <v>26</v>
      </c>
      <c r="C101">
        <f>100*131956/715212</f>
        <v>18.449914151328556</v>
      </c>
      <c r="D101">
        <f>100*111653/893364</f>
        <v>12.498041112021527</v>
      </c>
      <c r="E101">
        <f>IF(COUNT(C101:D101)=2,D101-C101,"")</f>
        <v>-5.95187303930703</v>
      </c>
      <c r="H101">
        <v>27</v>
      </c>
      <c r="I101">
        <v>26</v>
      </c>
      <c r="J101">
        <f>100*110948/559494</f>
        <v>19.830060733448438</v>
      </c>
      <c r="K101">
        <f>100*113345/841853</f>
        <v>13.463751985204068</v>
      </c>
      <c r="L101">
        <f>IF(COUNT(J101:K101)=2,K101-J101,"")</f>
        <v>-6.36630874824437</v>
      </c>
      <c r="O101">
        <v>27</v>
      </c>
      <c r="P101">
        <v>26</v>
      </c>
      <c r="Q101">
        <f>100*186316/322263</f>
        <v>57.81489032250057</v>
      </c>
      <c r="R101">
        <f>100*164404/586897</f>
        <v>28.012411036348798</v>
      </c>
      <c r="S101">
        <f>IF(COUNT(Q101:R101)=2,R101-Q101,"")</f>
        <v>-29.80247928615177</v>
      </c>
    </row>
    <row r="102" spans="1:19" x14ac:dyDescent="0.3">
      <c r="A102">
        <v>28</v>
      </c>
      <c r="B102">
        <v>27</v>
      </c>
      <c r="C102">
        <f>100*93368/326528</f>
        <v>28.59417875343003</v>
      </c>
      <c r="D102">
        <f>100*63734/455376</f>
        <v>13.995906679315555</v>
      </c>
      <c r="E102">
        <f>IF(COUNT(C102:D102)=2,D102-C102,"")</f>
        <v>-14.598272074114474</v>
      </c>
      <c r="H102">
        <v>28</v>
      </c>
      <c r="I102">
        <v>27</v>
      </c>
      <c r="J102">
        <f>100*139061/401357</f>
        <v>34.6477076517913</v>
      </c>
      <c r="K102">
        <f>100*84485/550258</f>
        <v>15.353706806625256</v>
      </c>
      <c r="L102">
        <f>IF(COUNT(J102:K102)=2,K102-J102,"")</f>
        <v>-19.294000845166046</v>
      </c>
      <c r="O102">
        <v>28</v>
      </c>
      <c r="P102">
        <v>27</v>
      </c>
      <c r="Q102">
        <f>100*1759/765634</f>
        <v>0.22974423810854794</v>
      </c>
      <c r="R102">
        <f>100*2291/759397</f>
        <v>0.30168673302633536</v>
      </c>
      <c r="S102">
        <f>IF(COUNT(Q102:R102)=2,R102-Q102,"")</f>
        <v>0.07194249491778743</v>
      </c>
    </row>
    <row r="103" spans="1:19" x14ac:dyDescent="0.3">
      <c r="A103">
        <v>29</v>
      </c>
      <c r="B103">
        <v>28</v>
      </c>
      <c r="C103">
        <f>100*252391/493274</f>
        <v>51.16649164561684</v>
      </c>
      <c r="D103">
        <f>100*254425/783593</f>
        <v>32.469024097969225</v>
      </c>
      <c r="E103">
        <f>IF(COUNT(C103:D103)=2,D103-C103,"")</f>
        <v>-18.697467547647612</v>
      </c>
      <c r="H103">
        <v>29</v>
      </c>
      <c r="I103">
        <v>28</v>
      </c>
      <c r="J103">
        <f>100*239541/426383</f>
        <v>56.17977264571993</v>
      </c>
      <c r="K103">
        <f>100*284845/819559</f>
        <v>34.75588700752478</v>
      </c>
      <c r="L103">
        <f>IF(COUNT(J103:K103)=2,K103-J103,"")</f>
        <v>-21.423885638195152</v>
      </c>
      <c r="O103">
        <v>29</v>
      </c>
      <c r="P103">
        <v>28</v>
      </c>
      <c r="Q103">
        <f>100*180468/321414</f>
        <v>56.14814538259068</v>
      </c>
      <c r="R103">
        <f>100*170788/601701</f>
        <v>28.384197466848153</v>
      </c>
      <c r="S103">
        <f>IF(COUNT(Q103:R103)=2,R103-Q103,"")</f>
        <v>-27.763947915742524</v>
      </c>
    </row>
    <row r="104" spans="1:19" x14ac:dyDescent="0.3">
      <c r="A104">
        <v>30</v>
      </c>
      <c r="B104">
        <v>29</v>
      </c>
      <c r="C104">
        <f>100*7199/513080</f>
        <v>1.40309503391284</v>
      </c>
      <c r="D104">
        <f>100*5830/551483</f>
        <v>1.0571495404210103</v>
      </c>
      <c r="E104">
        <f>IF(COUNT(C104:D104)=2,D104-C104,"")</f>
        <v>-0.3459454934918298</v>
      </c>
      <c r="H104">
        <v>30</v>
      </c>
      <c r="I104">
        <v>29</v>
      </c>
      <c r="J104">
        <f>100*176819/628999</f>
        <v>28.111173467684367</v>
      </c>
      <c r="K104">
        <f>100*14396/553528</f>
        <v>2.600771776676157</v>
      </c>
      <c r="L104">
        <f>IF(COUNT(J104:K104)=2,K104-J104,"")</f>
        <v>-25.51040169100821</v>
      </c>
      <c r="O104">
        <v>30</v>
      </c>
      <c r="P104">
        <v>29</v>
      </c>
      <c r="Q104">
        <f>100*273685/521227</f>
        <v>52.5078324798984</v>
      </c>
      <c r="R104">
        <f>100*119541/726701</f>
        <v>16.449819114051035</v>
      </c>
      <c r="S104">
        <f>IF(COUNT(Q104:R104)=2,R104-Q104,"")</f>
        <v>-36.05801336584736</v>
      </c>
    </row>
    <row r="105" spans="1:19" x14ac:dyDescent="0.3">
      <c r="A105">
        <v>31</v>
      </c>
      <c r="B105">
        <v>30</v>
      </c>
      <c r="C105">
        <f>100*174463/441755</f>
        <v>39.49315797217915</v>
      </c>
      <c r="D105">
        <f>100*103159/629066</f>
        <v>16.39875625133134</v>
      </c>
      <c r="E105">
        <f>IF(COUNT(C105:D105)=2,D105-C105,"")</f>
        <v>-23.09440172084781</v>
      </c>
      <c r="H105">
        <v>31</v>
      </c>
      <c r="I105">
        <v>30</v>
      </c>
      <c r="J105">
        <f>100*69915/403117</f>
        <v>17.343599997023198</v>
      </c>
      <c r="K105">
        <f>100*78717/428180</f>
        <v>18.384090802933347</v>
      </c>
      <c r="L105">
        <f>IF(COUNT(J105:K105)=2,K105-J105,"")</f>
        <v>1.0404908059101494</v>
      </c>
      <c r="O105">
        <v>31</v>
      </c>
      <c r="P105">
        <v>30</v>
      </c>
      <c r="Q105">
        <f>100*141232/628600</f>
        <v>22.467706013363028</v>
      </c>
      <c r="R105">
        <f>100*14847/528565</f>
        <v>2.808926054506068</v>
      </c>
      <c r="S105">
        <f>IF(COUNT(Q105:R105)=2,R105-Q105,"")</f>
        <v>-19.65877995885696</v>
      </c>
    </row>
    <row r="106" spans="1:19" x14ac:dyDescent="0.3">
      <c r="A106" t="s">
        <v>5</v>
      </c>
      <c r="C106">
        <f>IF(COUNT(C75:C105)&gt;0,AVERAGE(C75:C105),"")</f>
        <v>35.1823377390142</v>
      </c>
      <c r="D106">
        <f>IF(COUNT(D75:D105)&gt;0,AVERAGE(D75:D105),"")</f>
        <v>13.380319535620895</v>
      </c>
      <c r="E106">
        <f>IF(COUNT(E75:E105)&gt;0,AVERAGE(E75:E105),"")</f>
        <v>-21.8020182033933</v>
      </c>
      <c r="H106" t="s">
        <v>5</v>
      </c>
      <c r="J106">
        <f>IF(COUNT(J75:J105)&gt;0,AVERAGE(J75:J105),"")</f>
        <v>36.36341959604758</v>
      </c>
      <c r="K106">
        <f>IF(COUNT(K75:K105)&gt;0,AVERAGE(K75:K105),"")</f>
        <v>12.12376647298353</v>
      </c>
      <c r="L106">
        <f>IF(COUNT(L75:L105)&gt;0,AVERAGE(L75:L105),"")</f>
        <v>-24.11046352390969</v>
      </c>
      <c r="O106" t="s">
        <v>5</v>
      </c>
      <c r="Q106">
        <f>IF(COUNT(Q75:Q105)&gt;0,AVERAGE(Q75:Q105),"")</f>
        <v>36.77372678334244</v>
      </c>
      <c r="R106">
        <f>IF(COUNT(R75:R105)&gt;0,AVERAGE(R75:R105),"")</f>
        <v>16.38623065157065</v>
      </c>
      <c r="S106">
        <f>IF(COUNT(S75:S105)&gt;0,AVERAGE(S75:S105),"")</f>
        <v>-20.38749613177178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6B744-6BF9-447B-BBB0-BEAAB5AF9E1C}">
  <dimension ref="A1:S106"/>
  <sheetViews>
    <sheetView tabSelected="1" topLeftCell="A52" workbookViewId="0">
      <selection activeCell="G68" sqref="G68"/>
    </sheetView>
  </sheetViews>
  <sheetFormatPr defaultRowHeight="16.5" x14ac:dyDescent="0.3"/>
  <sheetData>
    <row r="1" spans="1:19" s="2" customFormat="1" ht="17.25" customHeight="1" x14ac:dyDescent="0.3">
      <c r="A1" s="1" t="s">
        <v>6</v>
      </c>
      <c r="B1" s="1"/>
      <c r="C1" s="1"/>
      <c r="D1" s="1"/>
      <c r="E1" s="1"/>
      <c r="H1" s="1" t="s">
        <v>7</v>
      </c>
      <c r="I1" s="1"/>
      <c r="J1" s="1"/>
      <c r="K1" s="1"/>
      <c r="L1" s="1"/>
      <c r="O1" s="1" t="s">
        <v>8</v>
      </c>
      <c r="P1" s="1"/>
      <c r="Q1" s="1"/>
      <c r="R1" s="1"/>
      <c r="S1" s="1"/>
    </row>
    <row r="2" spans="1:1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H2" t="s">
        <v>0</v>
      </c>
      <c r="I2" t="s">
        <v>1</v>
      </c>
      <c r="J2" t="s">
        <v>2</v>
      </c>
      <c r="K2" t="s">
        <v>3</v>
      </c>
      <c r="L2" t="s">
        <v>4</v>
      </c>
      <c r="O2" t="s">
        <v>0</v>
      </c>
      <c r="P2" t="s">
        <v>1</v>
      </c>
      <c r="Q2" t="s">
        <v>2</v>
      </c>
      <c r="R2" t="s">
        <v>3</v>
      </c>
      <c r="S2" t="s">
        <v>4</v>
      </c>
    </row>
    <row r="3" spans="1:19" x14ac:dyDescent="0.3">
      <c r="A3">
        <v>1</v>
      </c>
      <c r="B3">
        <v>0</v>
      </c>
      <c r="C3">
        <f>100*195788/558995</f>
        <v>35.0250002236156</v>
      </c>
      <c r="D3">
        <f>100*43950/349056</f>
        <v>12.591102860286028</v>
      </c>
      <c r="E3">
        <f>IF(COUNT(C3:D3)=2,D3-C3,"")</f>
        <v>-22.43389736332957</v>
      </c>
      <c r="H3">
        <v>1</v>
      </c>
      <c r="I3">
        <v>0</v>
      </c>
      <c r="J3">
        <f>100*58251/215009</f>
        <v>27.09235427354204</v>
      </c>
      <c r="K3">
        <f>100*63316/410103</f>
        <v>15.43904823910091</v>
      </c>
      <c r="L3">
        <f>IF(COUNT(J3:K3)=2,K3-J3,"")</f>
        <v>-11.65330603444113</v>
      </c>
      <c r="O3">
        <v>1</v>
      </c>
      <c r="P3">
        <v>0</v>
      </c>
      <c r="Q3">
        <f>100*45645/291867</f>
        <v>15.638972545714315</v>
      </c>
      <c r="R3">
        <f>100*9664/292327</f>
        <v>3.3058869006284057</v>
      </c>
      <c r="S3">
        <f>IF(COUNT(Q3:R3)=2,R3-Q3,"")</f>
        <v>-12.333085645085909</v>
      </c>
    </row>
    <row r="4" spans="1:19" x14ac:dyDescent="0.3">
      <c r="A4">
        <v>2</v>
      </c>
      <c r="B4">
        <v>1</v>
      </c>
      <c r="C4">
        <f>100*131600/348213</f>
        <v>37.792960056057645</v>
      </c>
      <c r="D4">
        <f>100*52256/370710</f>
        <v>14.0961937902943</v>
      </c>
      <c r="E4">
        <f>IF(COUNT(C4:D4)=2,D4-C4,"")</f>
        <v>-23.696766265763344</v>
      </c>
      <c r="H4">
        <v>2</v>
      </c>
      <c r="I4">
        <v>1</v>
      </c>
      <c r="J4">
        <f>100*64971/296332</f>
        <v>21.925070529001257</v>
      </c>
      <c r="K4">
        <f>100*60626/398711</f>
        <v>15.205499722856906</v>
      </c>
      <c r="L4">
        <f>IF(COUNT(J4:K4)=2,K4-J4,"")</f>
        <v>-6.71957080614435</v>
      </c>
      <c r="O4">
        <v>2</v>
      </c>
      <c r="P4">
        <v>1</v>
      </c>
      <c r="Q4">
        <f>100*75288/157455</f>
        <v>47.81556635229113</v>
      </c>
      <c r="R4">
        <f>100*42200/224007</f>
        <v>18.83869700500431</v>
      </c>
      <c r="S4">
        <f>IF(COUNT(Q4:R4)=2,R4-Q4,"")</f>
        <v>-28.97686934728682</v>
      </c>
    </row>
    <row r="5" spans="1:19" x14ac:dyDescent="0.3">
      <c r="A5">
        <v>3</v>
      </c>
      <c r="B5">
        <v>2</v>
      </c>
      <c r="C5">
        <f>100*190955/499604</f>
        <v>38.221271246827484</v>
      </c>
      <c r="D5">
        <f>100*48885/480461</f>
        <v>10.17460314156612</v>
      </c>
      <c r="E5">
        <f>IF(COUNT(C5:D5)=2,D5-C5,"")</f>
        <v>-28.046668105261364</v>
      </c>
      <c r="H5">
        <v>3</v>
      </c>
      <c r="I5">
        <v>2</v>
      </c>
      <c r="J5">
        <f>100*62705/328831</f>
        <v>19.069065872743142</v>
      </c>
      <c r="K5">
        <f>100*63167/566521</f>
        <v>11.149983848789365</v>
      </c>
      <c r="L5">
        <f>IF(COUNT(J5:K5)=2,K5-J5,"")</f>
        <v>-7.919082023953777</v>
      </c>
      <c r="O5">
        <v>3</v>
      </c>
      <c r="P5">
        <v>2</v>
      </c>
      <c r="Q5">
        <f>100*141348/334791</f>
        <v>42.21977293296415</v>
      </c>
      <c r="R5">
        <f>100*45010/217870</f>
        <v>20.659108642768622</v>
      </c>
      <c r="S5">
        <f>IF(COUNT(Q5:R5)=2,R5-Q5,"")</f>
        <v>-21.560664290195525</v>
      </c>
    </row>
    <row r="6" spans="1:19" x14ac:dyDescent="0.3">
      <c r="A6">
        <v>4</v>
      </c>
      <c r="B6">
        <v>3</v>
      </c>
      <c r="C6">
        <f>100*11557/332328</f>
        <v>3.477588406634409</v>
      </c>
      <c r="D6">
        <f>100*29783/351883</f>
        <v>8.463892828013856</v>
      </c>
      <c r="E6">
        <f>IF(COUNT(C6:D6)=2,D6-C6,"")</f>
        <v>4.986304421379447</v>
      </c>
      <c r="H6">
        <v>4</v>
      </c>
      <c r="I6">
        <v>3</v>
      </c>
      <c r="J6">
        <f>100*69099/464767</f>
        <v>14.867449711360747</v>
      </c>
      <c r="K6">
        <f>100*14162/273757</f>
        <v>5.173201050566743</v>
      </c>
      <c r="L6">
        <f>IF(COUNT(J6:K6)=2,K6-J6,"")</f>
        <v>-9.694248660794003</v>
      </c>
      <c r="O6">
        <v>4</v>
      </c>
      <c r="P6">
        <v>3</v>
      </c>
      <c r="Q6">
        <f>100*182044/470083</f>
        <v>38.72592712350798</v>
      </c>
      <c r="R6">
        <f>100*119405/569290</f>
        <v>20.97437158565933</v>
      </c>
      <c r="S6">
        <f>IF(COUNT(Q6:R6)=2,R6-Q6,"")</f>
        <v>-17.75155553784865</v>
      </c>
    </row>
    <row r="7" spans="1:19" x14ac:dyDescent="0.3">
      <c r="A7">
        <v>5</v>
      </c>
      <c r="B7">
        <v>4</v>
      </c>
      <c r="C7">
        <f>100*96546/258766</f>
        <v>37.3101566666409</v>
      </c>
      <c r="D7">
        <f>100*116892/460311</f>
        <v>25.394135703904535</v>
      </c>
      <c r="E7">
        <f>IF(COUNT(C7:D7)=2,D7-C7,"")</f>
        <v>-11.916020962736365</v>
      </c>
      <c r="H7">
        <v>5</v>
      </c>
      <c r="I7">
        <v>4</v>
      </c>
      <c r="J7">
        <f>100*106457/411240</f>
        <v>25.88683007489544</v>
      </c>
      <c r="K7">
        <f>100*112025/541335</f>
        <v>20.69420968531501</v>
      </c>
      <c r="L7">
        <f>IF(COUNT(J7:K7)=2,K7-J7,"")</f>
        <v>-5.19262038958043</v>
      </c>
      <c r="O7">
        <v>5</v>
      </c>
      <c r="P7">
        <v>4</v>
      </c>
      <c r="Q7">
        <f>100*154964/442048</f>
        <v>35.055921528883744</v>
      </c>
      <c r="R7">
        <f>100*28454/448597</f>
        <v>6.342886822693866</v>
      </c>
      <c r="S7">
        <f>IF(COUNT(Q7:R7)=2,R7-Q7,"")</f>
        <v>-28.713034706189877</v>
      </c>
    </row>
    <row r="8" spans="1:19" x14ac:dyDescent="0.3">
      <c r="A8">
        <v>6</v>
      </c>
      <c r="B8">
        <v>5</v>
      </c>
      <c r="C8">
        <f>100*77908/371148</f>
        <v>20.9910871134965</v>
      </c>
      <c r="D8">
        <f>100*35983/312628</f>
        <v>11.509845567255653</v>
      </c>
      <c r="E8">
        <f>IF(COUNT(C8:D8)=2,D8-C8,"")</f>
        <v>-9.481241546240849</v>
      </c>
      <c r="H8">
        <v>6</v>
      </c>
      <c r="I8">
        <v>5</v>
      </c>
      <c r="J8">
        <f>100*91696/324059</f>
        <v>28.29608188632317</v>
      </c>
      <c r="K8">
        <f>100*51565/308485</f>
        <v>16.715561534596496</v>
      </c>
      <c r="L8">
        <f>IF(COUNT(J8:K8)=2,K8-J8,"")</f>
        <v>-11.580520351726673</v>
      </c>
      <c r="O8">
        <v>6</v>
      </c>
      <c r="P8">
        <v>5</v>
      </c>
      <c r="Q8">
        <f>100*114455/487242</f>
        <v>23.49038055011678</v>
      </c>
      <c r="R8">
        <f>100*72495/502848</f>
        <v>14.41688144329897</v>
      </c>
      <c r="S8">
        <f>IF(COUNT(Q8:R8)=2,R8-Q8,"")</f>
        <v>-9.07349910681781</v>
      </c>
    </row>
    <row r="9" spans="1:19" x14ac:dyDescent="0.3">
      <c r="A9">
        <v>7</v>
      </c>
      <c r="B9">
        <v>6</v>
      </c>
      <c r="C9">
        <f>100*93317/434887</f>
        <v>21.457757992306046</v>
      </c>
      <c r="D9">
        <f>100*35256/418174</f>
        <v>8.430940230621703</v>
      </c>
      <c r="E9">
        <f>IF(COUNT(C9:D9)=2,D9-C9,"")</f>
        <v>-13.026817761684343</v>
      </c>
      <c r="H9">
        <v>7</v>
      </c>
      <c r="I9">
        <v>6</v>
      </c>
      <c r="J9">
        <f>100*2956/325191</f>
        <v>0.9090042467349957</v>
      </c>
      <c r="K9">
        <f>100*14139/498213</f>
        <v>2.837942807594342</v>
      </c>
      <c r="L9">
        <f>IF(COUNT(J9:K9)=2,K9-J9,"")</f>
        <v>1.9289385608593463</v>
      </c>
      <c r="O9">
        <v>7</v>
      </c>
      <c r="P9">
        <v>6</v>
      </c>
      <c r="Q9">
        <f>100*198686/446837</f>
        <v>44.46498387555194</v>
      </c>
      <c r="R9">
        <f>100*76935/461297</f>
        <v>16.677975360776244</v>
      </c>
      <c r="S9">
        <f>IF(COUNT(Q9:R9)=2,R9-Q9,"")</f>
        <v>-27.787008514775692</v>
      </c>
    </row>
    <row r="10" spans="1:19" x14ac:dyDescent="0.3">
      <c r="A10">
        <v>8</v>
      </c>
      <c r="B10">
        <v>7</v>
      </c>
      <c r="C10">
        <f>100*1113/275738</f>
        <v>0.4036440389064982</v>
      </c>
      <c r="D10">
        <f>100*10984/382008</f>
        <v>2.8753324537706018</v>
      </c>
      <c r="E10">
        <f>IF(COUNT(C10:D10)=2,D10-C10,"")</f>
        <v>2.4716884148641034</v>
      </c>
      <c r="H10">
        <v>8</v>
      </c>
      <c r="I10">
        <v>7</v>
      </c>
      <c r="J10">
        <f>100*1179/376958</f>
        <v>0.31276693955294754</v>
      </c>
      <c r="K10">
        <f>100*320/274495</f>
        <v>0.11657771544108271</v>
      </c>
      <c r="L10">
        <f>IF(COUNT(J10:K10)=2,K10-J10,"")</f>
        <v>-0.19618922411186485</v>
      </c>
      <c r="O10">
        <v>8</v>
      </c>
      <c r="P10">
        <v>7</v>
      </c>
      <c r="Q10">
        <f>100*140584/308785</f>
        <v>45.52811826999368</v>
      </c>
      <c r="R10">
        <f>100*2871/30062</f>
        <v>9.550262790233518</v>
      </c>
      <c r="S10">
        <f>IF(COUNT(Q10:R10)=2,R10-Q10,"")</f>
        <v>-35.977855479760166</v>
      </c>
    </row>
    <row r="11" spans="1:19" x14ac:dyDescent="0.3">
      <c r="A11">
        <v>9</v>
      </c>
      <c r="B11">
        <v>8</v>
      </c>
      <c r="C11">
        <f>100*126680/328998</f>
        <v>38.504793342208764</v>
      </c>
      <c r="D11">
        <f>100*100698/449070</f>
        <v>22.423675596232215</v>
      </c>
      <c r="E11">
        <f>IF(COUNT(C11:D11)=2,D11-C11,"")</f>
        <v>-16.08111774597655</v>
      </c>
      <c r="H11">
        <v>9</v>
      </c>
      <c r="I11">
        <v>8</v>
      </c>
      <c r="J11">
        <f>100*144131/422295</f>
        <v>34.13040646941119</v>
      </c>
      <c r="K11">
        <f>100*92608/469490</f>
        <v>19.72523376429743</v>
      </c>
      <c r="L11">
        <f>IF(COUNT(J11:K11)=2,K11-J11,"")</f>
        <v>-14.405172705113763</v>
      </c>
      <c r="O11">
        <v>9</v>
      </c>
      <c r="P11">
        <v>8</v>
      </c>
      <c r="Q11">
        <f>100*85958/184662</f>
        <v>46.54882975382049</v>
      </c>
      <c r="R11">
        <f>100*36733/183829</f>
        <v>19.98215733099783</v>
      </c>
      <c r="S11">
        <f>IF(COUNT(Q11:R11)=2,R11-Q11,"")</f>
        <v>-26.566672422822663</v>
      </c>
    </row>
    <row r="12" spans="1:19" x14ac:dyDescent="0.3">
      <c r="A12">
        <v>10</v>
      </c>
      <c r="B12">
        <v>9</v>
      </c>
      <c r="C12">
        <f>100*74901/412598</f>
        <v>18.15350534903223</v>
      </c>
      <c r="D12">
        <f>100*9317/483890</f>
        <v>1.9254375994544215</v>
      </c>
      <c r="E12">
        <f>IF(COUNT(C12:D12)=2,D12-C12,"")</f>
        <v>-16.228067749577807</v>
      </c>
      <c r="H12">
        <v>10</v>
      </c>
      <c r="I12">
        <v>9</v>
      </c>
      <c r="J12">
        <f>100*71311/426052</f>
        <v>16.737628270727516</v>
      </c>
      <c r="K12">
        <f>100*48047/522871</f>
        <v>9.189073404338737</v>
      </c>
      <c r="L12">
        <f>IF(COUNT(J12:K12)=2,K12-J12,"")</f>
        <v>-7.548554866388779</v>
      </c>
      <c r="O12">
        <v>10</v>
      </c>
      <c r="P12">
        <v>9</v>
      </c>
      <c r="Q12">
        <f>100*199032/643646</f>
        <v>30.922587882158826</v>
      </c>
      <c r="R12">
        <f>100*5996/458701</f>
        <v>1.3071695941364854</v>
      </c>
      <c r="S12">
        <f>IF(COUNT(Q12:R12)=2,R12-Q12,"")</f>
        <v>-29.61541828802234</v>
      </c>
    </row>
    <row r="13" spans="1:19" x14ac:dyDescent="0.3">
      <c r="A13">
        <v>11</v>
      </c>
      <c r="B13">
        <v>10</v>
      </c>
      <c r="C13">
        <f>100*3762/517486</f>
        <v>0.726976188727811</v>
      </c>
      <c r="D13">
        <f>100*42474/438350</f>
        <v>9.689517508839968</v>
      </c>
      <c r="E13">
        <f>IF(COUNT(C13:D13)=2,D13-C13,"")</f>
        <v>8.962541320112157</v>
      </c>
      <c r="H13">
        <v>11</v>
      </c>
      <c r="I13">
        <v>10</v>
      </c>
      <c r="J13">
        <f>100*28276/544111</f>
        <v>5.196733754693436</v>
      </c>
      <c r="K13">
        <f>100*17419/444549</f>
        <v>3.9183532074079572</v>
      </c>
      <c r="L13">
        <f>IF(COUNT(J13:K13)=2,K13-J13,"")</f>
        <v>-1.2783805472854786</v>
      </c>
      <c r="O13">
        <v>11</v>
      </c>
      <c r="P13">
        <v>10</v>
      </c>
      <c r="Q13">
        <f>100*136848/421678</f>
        <v>32.453198886354045</v>
      </c>
      <c r="R13">
        <f>100*55457/362944</f>
        <v>15.279767677658262</v>
      </c>
      <c r="S13">
        <f>IF(COUNT(Q13:R13)=2,R13-Q13,"")</f>
        <v>-17.17343120869578</v>
      </c>
    </row>
    <row r="14" spans="1:19" x14ac:dyDescent="0.3">
      <c r="A14">
        <v>12</v>
      </c>
      <c r="B14">
        <v>11</v>
      </c>
      <c r="C14">
        <f>100*244757/639957</f>
        <v>38.24585089310688</v>
      </c>
      <c r="D14">
        <f>100*6939/523694</f>
        <v>1.3250104068406359</v>
      </c>
      <c r="E14">
        <f>IF(COUNT(C14:D14)=2,D14-C14,"")</f>
        <v>-36.92084048626625</v>
      </c>
      <c r="H14">
        <v>12</v>
      </c>
      <c r="I14">
        <v>11</v>
      </c>
      <c r="J14">
        <f>100*18702/461148</f>
        <v>4.05553097920841</v>
      </c>
      <c r="K14">
        <f>100*69837/556890</f>
        <v>12.540537628616065</v>
      </c>
      <c r="L14">
        <f>IF(COUNT(J14:K14)=2,K14-J14,"")</f>
        <v>8.485006649407655</v>
      </c>
      <c r="O14">
        <v>12</v>
      </c>
      <c r="P14">
        <v>11</v>
      </c>
      <c r="Q14">
        <f>100*91935/209068</f>
        <v>43.973731034878604</v>
      </c>
      <c r="R14">
        <f>100*64776/258939</f>
        <v>25.015930392872452</v>
      </c>
      <c r="S14">
        <f>IF(COUNT(Q14:R14)=2,R14-Q14,"")</f>
        <v>-18.957800642006152</v>
      </c>
    </row>
    <row r="15" spans="1:19" x14ac:dyDescent="0.3">
      <c r="A15">
        <v>13</v>
      </c>
      <c r="B15">
        <v>12</v>
      </c>
      <c r="C15">
        <f>100*31827/409126</f>
        <v>7.779266045179236</v>
      </c>
      <c r="D15">
        <f>100*55331/450422</f>
        <v>12.284257873727304</v>
      </c>
      <c r="E15">
        <f>IF(COUNT(C15:D15)=2,D15-C15,"")</f>
        <v>4.504991828548068</v>
      </c>
      <c r="H15">
        <v>13</v>
      </c>
      <c r="I15">
        <v>12</v>
      </c>
      <c r="J15">
        <f>100*226380/535721</f>
        <v>42.25707037805126</v>
      </c>
      <c r="K15">
        <f>100*53721/390195</f>
        <v>13.767731518855957</v>
      </c>
      <c r="L15">
        <f>IF(COUNT(J15:K15)=2,K15-J15,"")</f>
        <v>-28.489338859195303</v>
      </c>
      <c r="O15">
        <v>13</v>
      </c>
      <c r="P15">
        <v>12</v>
      </c>
      <c r="Q15">
        <f>100*165466/516479</f>
        <v>32.037314198641184</v>
      </c>
      <c r="R15">
        <f>100*16788/428134</f>
        <v>3.9212022404200555</v>
      </c>
      <c r="S15">
        <f>IF(COUNT(Q15:R15)=2,R15-Q15,"")</f>
        <v>-28.11611195822113</v>
      </c>
    </row>
    <row r="16" spans="1:19" x14ac:dyDescent="0.3">
      <c r="A16">
        <v>14</v>
      </c>
      <c r="B16">
        <v>13</v>
      </c>
      <c r="C16">
        <f>100*4186/284672</f>
        <v>1.4704642535971224</v>
      </c>
      <c r="D16">
        <f>100*9519/184234</f>
        <v>5.166798745074199</v>
      </c>
      <c r="E16">
        <f>IF(COUNT(C16:D16)=2,D16-C16,"")</f>
        <v>3.696334491477076</v>
      </c>
      <c r="H16">
        <v>14</v>
      </c>
      <c r="I16">
        <v>13</v>
      </c>
      <c r="J16">
        <f>100*44978/265308</f>
        <v>16.95312617787628</v>
      </c>
      <c r="K16">
        <f>100*35247/275190</f>
        <v>12.808241578545733</v>
      </c>
      <c r="L16">
        <f>IF(COUNT(J16:K16)=2,K16-J16,"")</f>
        <v>-4.144884599330545</v>
      </c>
      <c r="O16">
        <v>14</v>
      </c>
      <c r="P16">
        <v>13</v>
      </c>
      <c r="Q16">
        <f>100*58109/351187</f>
        <v>16.546455307286433</v>
      </c>
      <c r="R16">
        <f>100*15157/313227</f>
        <v>4.838982590900529</v>
      </c>
      <c r="S16">
        <f>IF(COUNT(Q16:R16)=2,R16-Q16,"")</f>
        <v>-11.707472716385904</v>
      </c>
    </row>
    <row r="17" spans="1:19" x14ac:dyDescent="0.3">
      <c r="A17">
        <v>15</v>
      </c>
      <c r="B17">
        <v>14</v>
      </c>
      <c r="C17">
        <f>100*181005/547993</f>
        <v>33.0305314118976</v>
      </c>
      <c r="D17">
        <f>100*55258/373955</f>
        <v>14.776644248639542</v>
      </c>
      <c r="E17">
        <f>IF(COUNT(C17:D17)=2,D17-C17,"")</f>
        <v>-18.253887163258057</v>
      </c>
      <c r="H17">
        <v>15</v>
      </c>
      <c r="I17">
        <v>14</v>
      </c>
      <c r="J17">
        <f>100*185252/403337</f>
        <v>45.92983038997166</v>
      </c>
      <c r="K17">
        <f>100*38219/393040</f>
        <v>9.723946672094444</v>
      </c>
      <c r="L17">
        <f>IF(COUNT(J17:K17)=2,K17-J17,"")</f>
        <v>-36.20588371787722</v>
      </c>
      <c r="O17">
        <v>15</v>
      </c>
      <c r="P17">
        <v>14</v>
      </c>
      <c r="Q17">
        <f>100*158493/377442</f>
        <v>41.99135231373297</v>
      </c>
      <c r="R17">
        <f>100*94696/344225</f>
        <v>27.509913573970515</v>
      </c>
      <c r="S17">
        <f>IF(COUNT(Q17:R17)=2,R17-Q17,"")</f>
        <v>-14.481438739762453</v>
      </c>
    </row>
    <row r="18" spans="1:19" x14ac:dyDescent="0.3">
      <c r="A18">
        <v>16</v>
      </c>
      <c r="B18">
        <v>15</v>
      </c>
      <c r="C18">
        <f>100*145812/450453</f>
        <v>32.37008078534276</v>
      </c>
      <c r="D18">
        <f>100*31408/492646</f>
        <v>6.37536892616605</v>
      </c>
      <c r="E18">
        <f>IF(COUNT(C18:D18)=2,D18-C18,"")</f>
        <v>-25.994711859176707</v>
      </c>
      <c r="H18">
        <v>16</v>
      </c>
      <c r="I18">
        <v>15</v>
      </c>
      <c r="J18">
        <f>100*116194/472598</f>
        <v>24.586223386472223</v>
      </c>
      <c r="K18">
        <f>100*16530/273735</f>
        <v>6.0386870513452795</v>
      </c>
      <c r="L18">
        <f>IF(COUNT(J18:K18)=2,K18-J18,"")</f>
        <v>-18.547536335126942</v>
      </c>
      <c r="O18">
        <v>16</v>
      </c>
      <c r="P18">
        <v>15</v>
      </c>
      <c r="Q18">
        <f>100*130815/335348</f>
        <v>39.00873122845522</v>
      </c>
      <c r="R18">
        <f>100*64169/336517</f>
        <v>19.068576030334278</v>
      </c>
      <c r="S18">
        <f>IF(COUNT(Q18:R18)=2,R18-Q18,"")</f>
        <v>-19.94015519812094</v>
      </c>
    </row>
    <row r="19" spans="1:19" x14ac:dyDescent="0.3">
      <c r="A19">
        <v>17</v>
      </c>
      <c r="B19">
        <v>16</v>
      </c>
      <c r="C19">
        <f>100*73371/330890</f>
        <v>22.173834204720603</v>
      </c>
      <c r="D19">
        <f>100*50417/353795</f>
        <v>14.250342712587798</v>
      </c>
      <c r="E19">
        <f>IF(COUNT(C19:D19)=2,D19-C19,"")</f>
        <v>-7.923491492132804</v>
      </c>
      <c r="H19">
        <v>17</v>
      </c>
      <c r="I19">
        <v>16</v>
      </c>
      <c r="J19">
        <f>100*147986/392782</f>
        <v>37.6763700984261</v>
      </c>
      <c r="K19">
        <f>100*64699/369695</f>
        <v>17.500642421455524</v>
      </c>
      <c r="L19">
        <f>IF(COUNT(J19:K19)=2,K19-J19,"")</f>
        <v>-20.175727676970574</v>
      </c>
      <c r="O19">
        <v>17</v>
      </c>
      <c r="P19">
        <v>16</v>
      </c>
      <c r="Q19">
        <f>100*17753/266611</f>
        <v>6.65876501719734</v>
      </c>
      <c r="R19">
        <f>100*11287/272146</f>
        <v>4.147406171687256</v>
      </c>
      <c r="S19">
        <f>IF(COUNT(Q19:R19)=2,R19-Q19,"")</f>
        <v>-2.5113588455100846</v>
      </c>
    </row>
    <row r="20" spans="1:19" x14ac:dyDescent="0.3">
      <c r="A20">
        <v>18</v>
      </c>
      <c r="B20">
        <v>17</v>
      </c>
      <c r="C20">
        <f>100*149926/449301</f>
        <v>33.36872163649758</v>
      </c>
      <c r="D20">
        <f>100*28747/440150</f>
        <v>6.531182551402931</v>
      </c>
      <c r="E20">
        <f>IF(COUNT(C20:D20)=2,D20-C20,"")</f>
        <v>-26.83753908509465</v>
      </c>
      <c r="H20">
        <v>18</v>
      </c>
      <c r="I20">
        <v>17</v>
      </c>
      <c r="J20">
        <f>100*134558/617547</f>
        <v>21.78911078832866</v>
      </c>
      <c r="K20">
        <f>100*53940/502715</f>
        <v>10.729737525237958</v>
      </c>
      <c r="L20">
        <f>IF(COUNT(J20:K20)=2,K20-J20,"")</f>
        <v>-11.059373263090702</v>
      </c>
      <c r="O20">
        <v>18</v>
      </c>
      <c r="P20">
        <v>17</v>
      </c>
      <c r="Q20">
        <f>100*1405/276206</f>
        <v>0.5086783053228388</v>
      </c>
      <c r="R20">
        <f>100*4034/281574</f>
        <v>1.4326606860008382</v>
      </c>
      <c r="S20">
        <f>IF(COUNT(Q20:R20)=2,R20-Q20,"")</f>
        <v>0.9239823806779994</v>
      </c>
    </row>
    <row r="21" spans="1:19" x14ac:dyDescent="0.3">
      <c r="A21">
        <v>19</v>
      </c>
      <c r="B21">
        <v>18</v>
      </c>
      <c r="C21">
        <f>100*63409/348972</f>
        <v>18.170225691459486</v>
      </c>
      <c r="D21">
        <f>100*45191/368867</f>
        <v>12.251299248780725</v>
      </c>
      <c r="E21">
        <f>IF(COUNT(C21:D21)=2,D21-C21,"")</f>
        <v>-5.91892644267876</v>
      </c>
      <c r="H21">
        <v>19</v>
      </c>
      <c r="I21">
        <v>18</v>
      </c>
      <c r="J21">
        <f>100*48771/351007</f>
        <v>13.894594694692698</v>
      </c>
      <c r="K21">
        <f>100*17535/485147</f>
        <v>3.6143684285381545</v>
      </c>
      <c r="L21">
        <f>IF(COUNT(J21:K21)=2,K21-J21,"")</f>
        <v>-10.280226266154543</v>
      </c>
      <c r="O21">
        <v>19</v>
      </c>
      <c r="P21">
        <v>18</v>
      </c>
      <c r="Q21">
        <f>100*124085/311389</f>
        <v>39.84887070513088</v>
      </c>
      <c r="R21">
        <f>100*105652/431243</f>
        <v>24.499412164371364</v>
      </c>
      <c r="S21">
        <f>IF(COUNT(Q21:R21)=2,R21-Q21,"")</f>
        <v>-15.349458540759514</v>
      </c>
    </row>
    <row r="22" spans="1:19" x14ac:dyDescent="0.3">
      <c r="A22">
        <v>20</v>
      </c>
      <c r="B22">
        <v>19</v>
      </c>
      <c r="C22">
        <f>100*79870/385907</f>
        <v>20.69669635430298</v>
      </c>
      <c r="D22">
        <f>100*51437/467120</f>
        <v>11.011517383113548</v>
      </c>
      <c r="E22">
        <f>IF(COUNT(C22:D22)=2,D22-C22,"")</f>
        <v>-9.685178971189432</v>
      </c>
      <c r="H22">
        <v>20</v>
      </c>
      <c r="I22">
        <v>19</v>
      </c>
      <c r="J22">
        <f>100*42161/340805</f>
        <v>12.371003946538343</v>
      </c>
      <c r="K22">
        <f>100*25102/235918</f>
        <v>10.640137674954858</v>
      </c>
      <c r="L22">
        <f>IF(COUNT(J22:K22)=2,K22-J22,"")</f>
        <v>-1.7308662715834853</v>
      </c>
      <c r="O22">
        <v>20</v>
      </c>
      <c r="P22">
        <v>19</v>
      </c>
      <c r="Q22">
        <f>100*139808/401311</f>
        <v>34.83781904806995</v>
      </c>
      <c r="R22">
        <f>100*23373/477977</f>
        <v>4.889984246103892</v>
      </c>
      <c r="S22">
        <f>IF(COUNT(Q22:R22)=2,R22-Q22,"")</f>
        <v>-29.94783480196606</v>
      </c>
    </row>
    <row r="23" spans="1:19" x14ac:dyDescent="0.3">
      <c r="A23">
        <v>21</v>
      </c>
      <c r="B23">
        <v>20</v>
      </c>
      <c r="C23">
        <f>100*98878/370466</f>
        <v>26.690168598467874</v>
      </c>
      <c r="D23">
        <f>100*24643/275116</f>
        <v>8.957312551796333</v>
      </c>
      <c r="E23">
        <f>IF(COUNT(C23:D23)=2,D23-C23,"")</f>
        <v>-17.732856046671543</v>
      </c>
      <c r="H23">
        <v>21</v>
      </c>
      <c r="I23">
        <v>20</v>
      </c>
      <c r="J23">
        <f>100*222992/523032</f>
        <v>42.63448507930681</v>
      </c>
      <c r="K23">
        <f>100*40834/381269</f>
        <v>10.710023631609179</v>
      </c>
      <c r="L23">
        <f>IF(COUNT(J23:K23)=2,K23-J23,"")</f>
        <v>-31.924461447697634</v>
      </c>
      <c r="O23">
        <v>21</v>
      </c>
      <c r="P23">
        <v>20</v>
      </c>
      <c r="Q23">
        <f>100*43636/293480</f>
        <v>14.86847485348235</v>
      </c>
      <c r="R23">
        <f>100*42941/306634</f>
        <v>14.0039917295538</v>
      </c>
      <c r="S23">
        <f>IF(COUNT(Q23:R23)=2,R23-Q23,"")</f>
        <v>-0.8644831239285509</v>
      </c>
    </row>
    <row r="24" spans="1:19" x14ac:dyDescent="0.3">
      <c r="A24">
        <v>22</v>
      </c>
      <c r="B24">
        <v>21</v>
      </c>
      <c r="C24">
        <f>100*37074/97184</f>
        <v>38.14825485676655</v>
      </c>
      <c r="D24">
        <f>100*52102/195556</f>
        <v>26.643007629528114</v>
      </c>
      <c r="E24">
        <f>IF(COUNT(C24:D24)=2,D24-C24,"")</f>
        <v>-11.505247227238435</v>
      </c>
      <c r="H24">
        <v>22</v>
      </c>
      <c r="I24">
        <v>21</v>
      </c>
      <c r="J24">
        <f>100*54639/207484</f>
        <v>26.334078772339073</v>
      </c>
      <c r="K24">
        <f>100*79348/307488</f>
        <v>25.805234675824746</v>
      </c>
      <c r="L24">
        <f>IF(COUNT(J24:K24)=2,K24-J24,"")</f>
        <v>-0.5288440965143266</v>
      </c>
      <c r="O24">
        <v>22</v>
      </c>
      <c r="P24">
        <v>21</v>
      </c>
      <c r="Q24">
        <f>100*45197/105457</f>
        <v>42.85822657576074</v>
      </c>
      <c r="R24">
        <f>100*46834/181704</f>
        <v>25.77488662880289</v>
      </c>
      <c r="S24">
        <f>IF(COUNT(Q24:R24)=2,R24-Q24,"")</f>
        <v>-17.08333994695785</v>
      </c>
    </row>
    <row r="25" spans="1:19" x14ac:dyDescent="0.3">
      <c r="A25">
        <v>23</v>
      </c>
      <c r="B25">
        <v>22</v>
      </c>
      <c r="C25">
        <f>100*194786/575758</f>
        <v>33.831227703305906</v>
      </c>
      <c r="D25">
        <f>100*38921/438519</f>
        <v>8.875556133257623</v>
      </c>
      <c r="E25">
        <f>IF(COUNT(C25:D25)=2,D25-C25,"")</f>
        <v>-24.95567157004828</v>
      </c>
      <c r="H25">
        <v>23</v>
      </c>
      <c r="I25">
        <v>22</v>
      </c>
      <c r="J25">
        <f>100*82449/499533</f>
        <v>16.505215871624095</v>
      </c>
      <c r="K25">
        <f>100*41603/527024</f>
        <v>7.89394790370078</v>
      </c>
      <c r="L25">
        <f>IF(COUNT(J25:K25)=2,K25-J25,"")</f>
        <v>-8.611267967923315</v>
      </c>
      <c r="O25">
        <v>23</v>
      </c>
      <c r="P25">
        <v>22</v>
      </c>
      <c r="Q25">
        <f>100*656/247400</f>
        <v>0.2651576394502829</v>
      </c>
      <c r="R25">
        <f>100*647/249847</f>
        <v>0.2589584825913459</v>
      </c>
      <c r="S25">
        <f>IF(COUNT(Q25:R25)=2,R25-Q25,"")</f>
        <v>-0.006199156858937016</v>
      </c>
    </row>
    <row r="26" spans="1:19" x14ac:dyDescent="0.3">
      <c r="A26">
        <v>24</v>
      </c>
      <c r="B26">
        <v>23</v>
      </c>
      <c r="C26">
        <f>100*137480/562231</f>
        <v>24.452582657306337</v>
      </c>
      <c r="D26">
        <f>100*19848/467372</f>
        <v>4.246724236796385</v>
      </c>
      <c r="E26">
        <f>IF(COUNT(C26:D26)=2,D26-C26,"")</f>
        <v>-20.20585842050995</v>
      </c>
      <c r="H26">
        <v>24</v>
      </c>
      <c r="I26">
        <v>23</v>
      </c>
      <c r="J26">
        <f>100*167481/558799</f>
        <v>29.971599806012538</v>
      </c>
      <c r="K26">
        <f>100*52453/526646</f>
        <v>9.959821208173992</v>
      </c>
      <c r="L26">
        <f>IF(COUNT(J26:K26)=2,K26-J26,"")</f>
        <v>-20.011778597838546</v>
      </c>
      <c r="O26">
        <v>24</v>
      </c>
      <c r="P26">
        <v>23</v>
      </c>
      <c r="Q26">
        <f>100*53061/340117</f>
        <v>15.600807957261766</v>
      </c>
      <c r="R26">
        <f>100*3854/512083</f>
        <v>0.7526123694791664</v>
      </c>
      <c r="S26">
        <f>IF(COUNT(Q26:R26)=2,R26-Q26,"")</f>
        <v>-14.8481955877826</v>
      </c>
    </row>
    <row r="27" spans="1:19" x14ac:dyDescent="0.3">
      <c r="A27">
        <v>25</v>
      </c>
      <c r="B27">
        <v>24</v>
      </c>
      <c r="C27">
        <f>100*26771/508395</f>
        <v>5.265787429065982</v>
      </c>
      <c r="D27">
        <f>100*32692/367931</f>
        <v>8.885361657484692</v>
      </c>
      <c r="E27">
        <f>IF(COUNT(C27:D27)=2,D27-C27,"")</f>
        <v>3.61957422841871</v>
      </c>
      <c r="H27">
        <v>25</v>
      </c>
      <c r="I27">
        <v>24</v>
      </c>
      <c r="J27">
        <f>100*67075/346916</f>
        <v>19.334651615953142</v>
      </c>
      <c r="K27">
        <f>100*21345/460863</f>
        <v>4.631528241581554</v>
      </c>
      <c r="L27">
        <f>IF(COUNT(J27:K27)=2,K27-J27,"")</f>
        <v>-14.703123374371588</v>
      </c>
      <c r="O27">
        <v>25</v>
      </c>
      <c r="P27">
        <v>24</v>
      </c>
      <c r="Q27">
        <f>100*158561/348258</f>
        <v>45.52975093178046</v>
      </c>
      <c r="R27">
        <f>100*105822/415489</f>
        <v>25.469266334367457</v>
      </c>
      <c r="S27">
        <f>IF(COUNT(Q27:R27)=2,R27-Q27,"")</f>
        <v>-20.060484597413005</v>
      </c>
    </row>
    <row r="28" spans="1:19" x14ac:dyDescent="0.3">
      <c r="A28">
        <v>26</v>
      </c>
      <c r="B28">
        <v>25</v>
      </c>
      <c r="C28">
        <f>100*122343/511784</f>
        <v>23.90520219467588</v>
      </c>
      <c r="D28">
        <f>100*76475/552958</f>
        <v>13.830164316277186</v>
      </c>
      <c r="E28">
        <f>IF(COUNT(C28:D28)=2,D28-C28,"")</f>
        <v>-10.075037878398694</v>
      </c>
      <c r="H28">
        <v>26</v>
      </c>
      <c r="I28">
        <v>25</v>
      </c>
      <c r="J28">
        <f>100*177325/563486</f>
        <v>31.469282289178437</v>
      </c>
      <c r="K28">
        <f>100*45013/384103</f>
        <v>11.718992041197284</v>
      </c>
      <c r="L28">
        <f>IF(COUNT(J28:K28)=2,K28-J28,"")</f>
        <v>-19.750290247981155</v>
      </c>
      <c r="O28">
        <v>26</v>
      </c>
      <c r="P28">
        <v>25</v>
      </c>
      <c r="Q28">
        <f>100*156244/369843</f>
        <v>42.246034127994854</v>
      </c>
      <c r="R28">
        <f>100*138046/565962</f>
        <v>24.391390234680067</v>
      </c>
      <c r="S28">
        <f>IF(COUNT(Q28:R28)=2,R28-Q28,"")</f>
        <v>-17.854643893314787</v>
      </c>
    </row>
    <row r="29" spans="1:19" x14ac:dyDescent="0.3">
      <c r="A29">
        <v>27</v>
      </c>
      <c r="B29">
        <v>26</v>
      </c>
      <c r="C29">
        <f>100*273547/613111</f>
        <v>44.61622773037835</v>
      </c>
      <c r="D29">
        <f>100*49557/418643</f>
        <v>11.837532217187437</v>
      </c>
      <c r="E29">
        <f>IF(COUNT(C29:D29)=2,D29-C29,"")</f>
        <v>-32.77869551319091</v>
      </c>
      <c r="H29">
        <v>27</v>
      </c>
      <c r="I29">
        <v>26</v>
      </c>
      <c r="J29">
        <f>100*35297/437184</f>
        <v>8.073717244912897</v>
      </c>
      <c r="K29">
        <f>100*55302/433866</f>
        <v>12.746331816736044</v>
      </c>
      <c r="L29">
        <f>IF(COUNT(J29:K29)=2,K29-J29,"")</f>
        <v>4.672614571823146</v>
      </c>
      <c r="O29">
        <v>27</v>
      </c>
      <c r="P29">
        <v>26</v>
      </c>
      <c r="Q29">
        <f>100*99207/334942</f>
        <v>29.619157943763398</v>
      </c>
      <c r="R29">
        <f>100*78629/377819</f>
        <v>20.811287944756618</v>
      </c>
      <c r="S29">
        <f>IF(COUNT(Q29:R29)=2,R29-Q29,"")</f>
        <v>-8.80786999900678</v>
      </c>
    </row>
    <row r="30" spans="1:19" x14ac:dyDescent="0.3">
      <c r="A30">
        <v>28</v>
      </c>
      <c r="B30">
        <v>27</v>
      </c>
      <c r="C30">
        <f>100*60367/261571</f>
        <v>23.078628747070585</v>
      </c>
      <c r="D30">
        <f>100*44661/368007</f>
        <v>12.135910458224979</v>
      </c>
      <c r="E30">
        <f>IF(COUNT(C30:D30)=2,D30-C30,"")</f>
        <v>-10.942718288845606</v>
      </c>
      <c r="H30">
        <v>28</v>
      </c>
      <c r="I30">
        <v>27</v>
      </c>
      <c r="J30">
        <f>100*111624/317500</f>
        <v>35.15716535433071</v>
      </c>
      <c r="K30">
        <f>100*68307/420503</f>
        <v>16.244117164443537</v>
      </c>
      <c r="L30">
        <f>IF(COUNT(J30:K30)=2,K30-J30,"")</f>
        <v>-18.91304818988717</v>
      </c>
      <c r="O30">
        <v>28</v>
      </c>
      <c r="P30">
        <v>27</v>
      </c>
      <c r="Q30">
        <f>100*258/245208</f>
        <v>0.10521679553685034</v>
      </c>
      <c r="R30">
        <f>100*317/244372</f>
        <v>0.1297202625505377</v>
      </c>
      <c r="S30">
        <f>IF(COUNT(Q30:R30)=2,R30-Q30,"")</f>
        <v>0.024503467013687358</v>
      </c>
    </row>
    <row r="31" spans="1:19" x14ac:dyDescent="0.3">
      <c r="A31">
        <v>29</v>
      </c>
      <c r="B31">
        <v>28</v>
      </c>
      <c r="C31">
        <f>100*135778/291495</f>
        <v>46.57987272508962</v>
      </c>
      <c r="D31">
        <f>100*45560/357812</f>
        <v>12.732943556951696</v>
      </c>
      <c r="E31">
        <f>IF(COUNT(C31:D31)=2,D31-C31,"")</f>
        <v>-33.846929168137926</v>
      </c>
      <c r="H31">
        <v>29</v>
      </c>
      <c r="I31">
        <v>28</v>
      </c>
      <c r="J31">
        <f>100*143049/329070</f>
        <v>43.47069012672076</v>
      </c>
      <c r="K31">
        <f>100*40999/363705</f>
        <v>11.272597297260143</v>
      </c>
      <c r="L31">
        <f>IF(COUNT(J31:K31)=2,K31-J31,"")</f>
        <v>-32.19809282946062</v>
      </c>
      <c r="O31">
        <v>29</v>
      </c>
      <c r="P31">
        <v>28</v>
      </c>
      <c r="Q31">
        <f>100*106682/252496</f>
        <v>42.25096635194221</v>
      </c>
      <c r="R31">
        <f>100*86375/327147</f>
        <v>26.402504073092523</v>
      </c>
      <c r="S31">
        <f>IF(COUNT(Q31:R31)=2,R31-Q31,"")</f>
        <v>-15.848462278849688</v>
      </c>
    </row>
    <row r="32" spans="1:19" x14ac:dyDescent="0.3">
      <c r="A32">
        <v>30</v>
      </c>
      <c r="B32">
        <v>29</v>
      </c>
      <c r="C32">
        <f>100*67185/347874</f>
        <v>19.313027130512772</v>
      </c>
      <c r="D32">
        <f>100*66039/463913</f>
        <v>14.235212205736852</v>
      </c>
      <c r="E32">
        <f>IF(COUNT(C32:D32)=2,D32-C32,"")</f>
        <v>-5.07781492477592</v>
      </c>
      <c r="H32">
        <v>30</v>
      </c>
      <c r="I32">
        <v>29</v>
      </c>
      <c r="J32">
        <f>100*71699/295601</f>
        <v>24.25533066532251</v>
      </c>
      <c r="K32">
        <f>100*22652/276202</f>
        <v>8.201244017059977</v>
      </c>
      <c r="L32">
        <f>IF(COUNT(J32:K32)=2,K32-J32,"")</f>
        <v>-16.054086648262533</v>
      </c>
      <c r="O32">
        <v>30</v>
      </c>
      <c r="P32">
        <v>29</v>
      </c>
      <c r="Q32">
        <f>100*220230/481156</f>
        <v>45.771018131333705</v>
      </c>
      <c r="R32">
        <f>100*35192/290820</f>
        <v>12.100955917749811</v>
      </c>
      <c r="S32">
        <f>IF(COUNT(Q32:R32)=2,R32-Q32,"")</f>
        <v>-33.67006221358389</v>
      </c>
    </row>
    <row r="33" spans="1:19" x14ac:dyDescent="0.3">
      <c r="A33">
        <v>31</v>
      </c>
      <c r="B33">
        <v>30</v>
      </c>
      <c r="C33">
        <f>100*89281/348777</f>
        <v>25.59830493409829</v>
      </c>
      <c r="D33">
        <f>100*30651/328299</f>
        <v>9.336306233037567</v>
      </c>
      <c r="E33">
        <f>IF(COUNT(C33:D33)=2,D33-C33,"")</f>
        <v>-16.261998701060726</v>
      </c>
      <c r="H33">
        <v>31</v>
      </c>
      <c r="I33">
        <v>30</v>
      </c>
      <c r="J33">
        <f>100*58413/325415</f>
        <v>17.950309604658667</v>
      </c>
      <c r="K33">
        <f>100*52736/252890</f>
        <v>20.85333544228716</v>
      </c>
      <c r="L33">
        <f>IF(COUNT(J33:K33)=2,K33-J33,"")</f>
        <v>2.903025837628494</v>
      </c>
      <c r="O33">
        <v>31</v>
      </c>
      <c r="P33">
        <v>30</v>
      </c>
      <c r="Q33">
        <f>100*3974/273650</f>
        <v>1.4522199890370913</v>
      </c>
      <c r="R33">
        <f>100*2252/471922</f>
        <v>0.4771975029771869</v>
      </c>
      <c r="S33">
        <f>IF(COUNT(Q33:R33)=2,R33-Q33,"")</f>
        <v>-0.9750224860599044</v>
      </c>
    </row>
    <row r="34" spans="1:19" x14ac:dyDescent="0.3">
      <c r="A34" t="s">
        <v>5</v>
      </c>
      <c r="C34">
        <f>IF(COUNT(C3:C33)&gt;0,AVERAGE(C3:C33),"")</f>
        <v>24.86611924539666</v>
      </c>
      <c r="D34">
        <f>IF(COUNT(D3:D33)&gt;0,AVERAGE(D3:D33),"")</f>
        <v>11.073004212027453</v>
      </c>
      <c r="E34">
        <f>IF(COUNT(E3:E33)&gt;0,AVERAGE(E3:E33),"")</f>
        <v>-13.793115033369205</v>
      </c>
      <c r="H34" t="s">
        <v>5</v>
      </c>
      <c r="J34">
        <f>IF(COUNT(J3:J33)&gt;0,AVERAGE(J3:J33),"")</f>
        <v>22.873960622545518</v>
      </c>
      <c r="K34">
        <f>IF(COUNT(K3:K33)&gt;0,AVERAGE(K3:K33),"")</f>
        <v>11.53438351354269</v>
      </c>
      <c r="L34">
        <f>IF(COUNT(L3:L33)&gt;0,AVERAGE(L3:L33),"")</f>
        <v>-11.339577109002834</v>
      </c>
      <c r="O34" t="s">
        <v>5</v>
      </c>
      <c r="Q34">
        <f>IF(COUNT(Q3:Q33)&gt;0,AVERAGE(Q3:Q33),"")</f>
        <v>30.285258327658585</v>
      </c>
      <c r="R34">
        <f>IF(COUNT(R3:R33)&gt;0,AVERAGE(R3:R33),"")</f>
        <v>13.330064668745754</v>
      </c>
      <c r="S34">
        <f>IF(COUNT(S3:S33)&gt;0,AVERAGE(S3:S33),"")</f>
        <v>-16.95519365891283</v>
      </c>
    </row>
    <row r="37" spans="1:19" s="2" customFormat="1" x14ac:dyDescent="0.3">
      <c r="A37" s="1" t="s">
        <v>9</v>
      </c>
      <c r="B37" s="1"/>
      <c r="C37" s="1"/>
      <c r="D37" s="1"/>
      <c r="E37" s="1"/>
      <c r="H37" s="1" t="s">
        <v>10</v>
      </c>
      <c r="I37" s="1"/>
      <c r="J37" s="1"/>
      <c r="K37" s="1"/>
      <c r="L37" s="1"/>
      <c r="O37" s="1" t="s">
        <v>11</v>
      </c>
      <c r="P37" s="1"/>
      <c r="Q37" s="1"/>
      <c r="R37" s="1"/>
      <c r="S37" s="1"/>
    </row>
    <row r="38" spans="1:19" x14ac:dyDescent="0.3">
      <c r="A38" t="s">
        <v>0</v>
      </c>
      <c r="B38" t="s">
        <v>1</v>
      </c>
      <c r="C38" t="s">
        <v>2</v>
      </c>
      <c r="D38" t="s">
        <v>3</v>
      </c>
      <c r="E38" t="s">
        <v>4</v>
      </c>
      <c r="H38" t="s">
        <v>0</v>
      </c>
      <c r="I38" t="s">
        <v>1</v>
      </c>
      <c r="J38" t="s">
        <v>2</v>
      </c>
      <c r="K38" t="s">
        <v>3</v>
      </c>
      <c r="L38" t="s">
        <v>4</v>
      </c>
      <c r="O38" t="s">
        <v>0</v>
      </c>
      <c r="P38" t="s">
        <v>1</v>
      </c>
      <c r="Q38" t="s">
        <v>2</v>
      </c>
      <c r="R38" t="s">
        <v>3</v>
      </c>
      <c r="S38" t="s">
        <v>4</v>
      </c>
    </row>
    <row r="39" spans="1:19" x14ac:dyDescent="0.3">
      <c r="A39">
        <v>1</v>
      </c>
      <c r="B39">
        <v>0</v>
      </c>
      <c r="C39">
        <f>100*80163/523211</f>
        <v>15.321352188696338</v>
      </c>
      <c r="D39">
        <f>100*110959/702328</f>
        <v>15.798743606975657</v>
      </c>
      <c r="E39">
        <f>IF(COUNT(C39:D39)=2,D39-C39,"")</f>
        <v>0.4773914182793195</v>
      </c>
      <c r="H39">
        <v>1</v>
      </c>
      <c r="I39">
        <v>0</v>
      </c>
      <c r="J39">
        <f>100*211130/713250</f>
        <v>29.601121626358218</v>
      </c>
      <c r="K39">
        <f>100*160176/730577</f>
        <v>21.92458837329946</v>
      </c>
      <c r="L39">
        <f>IF(COUNT(J39:K39)=2,K39-J39,"")</f>
        <v>-7.676533253058757</v>
      </c>
      <c r="O39">
        <v>1</v>
      </c>
      <c r="P39">
        <v>0</v>
      </c>
      <c r="Q39">
        <f>100*33559/419154</f>
        <v>8.00636520228842</v>
      </c>
      <c r="R39">
        <f>100*38276/395818</f>
        <v>9.670100904961371</v>
      </c>
      <c r="S39">
        <f>IF(COUNT(Q39:R39)=2,R39-Q39,"")</f>
        <v>1.6637357026729518</v>
      </c>
    </row>
    <row r="40" spans="1:19" x14ac:dyDescent="0.3">
      <c r="A40">
        <v>2</v>
      </c>
      <c r="B40">
        <v>1</v>
      </c>
      <c r="C40">
        <f>100*204846/421884</f>
        <v>48.555053047757205</v>
      </c>
      <c r="D40">
        <f>100*56015/386785</f>
        <v>14.482205876649818</v>
      </c>
      <c r="E40">
        <f>IF(COUNT(C40:D40)=2,D40-C40,"")</f>
        <v>-34.072847171107384</v>
      </c>
      <c r="H40">
        <v>2</v>
      </c>
      <c r="I40">
        <v>1</v>
      </c>
      <c r="J40">
        <f>100*221110/594344</f>
        <v>37.20236092229416</v>
      </c>
      <c r="K40">
        <f>100*89007/641810</f>
        <v>13.868122964740344</v>
      </c>
      <c r="L40">
        <f>IF(COUNT(J40:K40)=2,K40-J40,"")</f>
        <v>-23.334237957553817</v>
      </c>
      <c r="O40">
        <v>2</v>
      </c>
      <c r="P40">
        <v>1</v>
      </c>
      <c r="Q40">
        <f>100*83755/209991</f>
        <v>39.88504269230586</v>
      </c>
      <c r="R40">
        <f>100*64142/247969</f>
        <v>25.86694304530002</v>
      </c>
      <c r="S40">
        <f>IF(COUNT(Q40:R40)=2,R40-Q40,"")</f>
        <v>-14.01809964700584</v>
      </c>
    </row>
    <row r="41" spans="1:19" x14ac:dyDescent="0.3">
      <c r="A41">
        <v>3</v>
      </c>
      <c r="B41">
        <v>2</v>
      </c>
      <c r="C41">
        <f>100*303277/735676</f>
        <v>41.22426176740848</v>
      </c>
      <c r="D41">
        <f>100*63069/729646</f>
        <v>8.64378068268722</v>
      </c>
      <c r="E41">
        <f>IF(COUNT(C41:D41)=2,D41-C41,"")</f>
        <v>-32.58048108472126</v>
      </c>
      <c r="H41">
        <v>3</v>
      </c>
      <c r="I41">
        <v>2</v>
      </c>
      <c r="J41">
        <f>100*328651/1001588</f>
        <v>32.812992967168135</v>
      </c>
      <c r="K41">
        <f>100*62978/602878</f>
        <v>10.446226268001155</v>
      </c>
      <c r="L41">
        <f>IF(COUNT(J41:K41)=2,K41-J41,"")</f>
        <v>-22.36676669916698</v>
      </c>
      <c r="O41">
        <v>3</v>
      </c>
      <c r="P41">
        <v>2</v>
      </c>
      <c r="Q41">
        <f>100*165549/320834</f>
        <v>51.59958109177955</v>
      </c>
      <c r="R41">
        <f>100*104048/513075</f>
        <v>20.279296399161915</v>
      </c>
      <c r="S41">
        <f>IF(COUNT(Q41:R41)=2,R41-Q41,"")</f>
        <v>-31.320284692617633</v>
      </c>
    </row>
    <row r="42" spans="1:19" x14ac:dyDescent="0.3">
      <c r="A42">
        <v>4</v>
      </c>
      <c r="B42">
        <v>3</v>
      </c>
      <c r="C42">
        <f>100*38069/646087</f>
        <v>5.8922405186917555</v>
      </c>
      <c r="D42">
        <f>100*19247/554599</f>
        <v>3.470435395664255</v>
      </c>
      <c r="E42">
        <f>IF(COUNT(C42:D42)=2,D42-C42,"")</f>
        <v>-2.4218051230275006</v>
      </c>
      <c r="H42">
        <v>4</v>
      </c>
      <c r="I42">
        <v>3</v>
      </c>
      <c r="J42">
        <f>100*38325/584626</f>
        <v>6.555473071673172</v>
      </c>
      <c r="K42">
        <f>100*26844/674214</f>
        <v>3.981525153734571</v>
      </c>
      <c r="L42">
        <f>IF(COUNT(J42:K42)=2,K42-J42,"")</f>
        <v>-2.5739479179386016</v>
      </c>
      <c r="O42">
        <v>4</v>
      </c>
      <c r="P42">
        <v>3</v>
      </c>
      <c r="Q42">
        <f>100*265499/612068</f>
        <v>43.37736983472425</v>
      </c>
      <c r="R42">
        <f>100*161602/708703</f>
        <v>22.80249977776304</v>
      </c>
      <c r="S42">
        <f>IF(COUNT(Q42:R42)=2,R42-Q42,"")</f>
        <v>-20.57487005696121</v>
      </c>
    </row>
    <row r="43" spans="1:19" x14ac:dyDescent="0.3">
      <c r="A43">
        <v>5</v>
      </c>
      <c r="B43">
        <v>4</v>
      </c>
      <c r="C43">
        <f>100*148157/358074</f>
        <v>41.376084273083215</v>
      </c>
      <c r="D43">
        <f>100*89390/473632</f>
        <v>18.87330247956219</v>
      </c>
      <c r="E43">
        <f>IF(COUNT(C43:D43)=2,D43-C43,"")</f>
        <v>-22.502781793521024</v>
      </c>
      <c r="H43">
        <v>5</v>
      </c>
      <c r="I43">
        <v>4</v>
      </c>
      <c r="J43">
        <f>100*86329/200432</f>
        <v>43.071465634230066</v>
      </c>
      <c r="K43">
        <f>100*219496/707031</f>
        <v>31.044749098695814</v>
      </c>
      <c r="L43">
        <f>IF(COUNT(J43:K43)=2,K43-J43,"")</f>
        <v>-12.026716535534252</v>
      </c>
      <c r="O43">
        <v>5</v>
      </c>
      <c r="P43">
        <v>4</v>
      </c>
      <c r="Q43">
        <f>100*80681/472324</f>
        <v>17.08170662511327</v>
      </c>
      <c r="R43">
        <f>100*25680/682764</f>
        <v>3.7611824876531275</v>
      </c>
      <c r="S43">
        <f>IF(COUNT(Q43:R43)=2,R43-Q43,"")</f>
        <v>-13.320524137460144</v>
      </c>
    </row>
    <row r="44" spans="1:19" x14ac:dyDescent="0.3">
      <c r="A44">
        <v>6</v>
      </c>
      <c r="B44">
        <v>5</v>
      </c>
      <c r="C44">
        <f>100*52664/652890</f>
        <v>8.066289880378012</v>
      </c>
      <c r="D44">
        <f>100*67311/552982</f>
        <v>12.172367274160823</v>
      </c>
      <c r="E44">
        <f>IF(COUNT(C44:D44)=2,D44-C44,"")</f>
        <v>4.106077393782812</v>
      </c>
      <c r="H44">
        <v>6</v>
      </c>
      <c r="I44">
        <v>5</v>
      </c>
      <c r="J44">
        <f>100*143171/458928</f>
        <v>31.19683261862427</v>
      </c>
      <c r="K44">
        <f>100*116865/562840</f>
        <v>20.763449648212635</v>
      </c>
      <c r="L44">
        <f>IF(COUNT(J44:K44)=2,K44-J44,"")</f>
        <v>-10.433382970411635</v>
      </c>
      <c r="O44">
        <v>6</v>
      </c>
      <c r="P44">
        <v>5</v>
      </c>
      <c r="Q44">
        <f>100*332039/690960</f>
        <v>48.05473544054649</v>
      </c>
      <c r="R44">
        <f>100*40945/666422</f>
        <v>6.144004849779869</v>
      </c>
      <c r="S44">
        <f>IF(COUNT(Q44:R44)=2,R44-Q44,"")</f>
        <v>-41.91073059076662</v>
      </c>
    </row>
    <row r="45" spans="1:19" x14ac:dyDescent="0.3">
      <c r="A45">
        <v>7</v>
      </c>
      <c r="B45">
        <v>6</v>
      </c>
      <c r="C45">
        <f>100*13388/639485</f>
        <v>2.093559661289944</v>
      </c>
      <c r="D45">
        <f>100*60661/577922</f>
        <v>10.49639916805382</v>
      </c>
      <c r="E45">
        <f>IF(COUNT(C45:D45)=2,D45-C45,"")</f>
        <v>8.402839506763875</v>
      </c>
      <c r="H45">
        <v>7</v>
      </c>
      <c r="I45">
        <v>6</v>
      </c>
      <c r="J45">
        <f>100*1474/516628</f>
        <v>0.28531167493825343</v>
      </c>
      <c r="K45">
        <f>100*6441/626093</f>
        <v>1.0287609029329507</v>
      </c>
      <c r="L45">
        <f>IF(COUNT(J45:K45)=2,K45-J45,"")</f>
        <v>0.7434492279946974</v>
      </c>
      <c r="O45">
        <v>7</v>
      </c>
      <c r="P45">
        <v>6</v>
      </c>
      <c r="Q45">
        <f>100*255047/462709</f>
        <v>55.12038884050234</v>
      </c>
      <c r="R45">
        <f>100*47371/435067</f>
        <v>10.88820802313207</v>
      </c>
      <c r="S45">
        <f>IF(COUNT(Q45:R45)=2,R45-Q45,"")</f>
        <v>-44.23218081737028</v>
      </c>
    </row>
    <row r="46" spans="1:19" x14ac:dyDescent="0.3">
      <c r="A46">
        <v>8</v>
      </c>
      <c r="B46">
        <v>7</v>
      </c>
      <c r="C46">
        <f>100*9937/448273</f>
        <v>2.216729537580894</v>
      </c>
      <c r="D46">
        <f>100*3125/415022</f>
        <v>0.752972131597843</v>
      </c>
      <c r="E46">
        <f>IF(COUNT(C46:D46)=2,D46-C46,"")</f>
        <v>-1.463757405983051</v>
      </c>
      <c r="H46">
        <v>8</v>
      </c>
      <c r="I46">
        <v>7</v>
      </c>
      <c r="J46">
        <f>100*2387/421854</f>
        <v>0.5658355734448411</v>
      </c>
      <c r="K46">
        <f>100*4547/373271</f>
        <v>1.2181498160853643</v>
      </c>
      <c r="L46">
        <f>IF(COUNT(J46:K46)=2,K46-J46,"")</f>
        <v>0.6523142426405232</v>
      </c>
      <c r="O46">
        <v>8</v>
      </c>
      <c r="P46">
        <v>7</v>
      </c>
      <c r="Q46">
        <f>100*174551/400003</f>
        <v>43.63742271932961</v>
      </c>
      <c r="R46">
        <f>100*89547/398740</f>
        <v>22.45749109695541</v>
      </c>
      <c r="S46">
        <f>IF(COUNT(Q46:R46)=2,R46-Q46,"")</f>
        <v>-21.1799316223742</v>
      </c>
    </row>
    <row r="47" spans="1:19" x14ac:dyDescent="0.3">
      <c r="A47">
        <v>9</v>
      </c>
      <c r="B47">
        <v>8</v>
      </c>
      <c r="C47">
        <f>100*196686/341160</f>
        <v>57.65212803376715</v>
      </c>
      <c r="D47">
        <f>100*174498/549286</f>
        <v>31.7681499255397</v>
      </c>
      <c r="E47">
        <f>IF(COUNT(C47:D47)=2,D47-C47,"")</f>
        <v>-25.88397810822745</v>
      </c>
      <c r="H47">
        <v>9</v>
      </c>
      <c r="I47">
        <v>8</v>
      </c>
      <c r="J47">
        <f>100*195875/433696</f>
        <v>45.16412417914853</v>
      </c>
      <c r="K47">
        <f>100*88384/554780</f>
        <v>15.931360178809618</v>
      </c>
      <c r="L47">
        <f>IF(COUNT(J47:K47)=2,K47-J47,"")</f>
        <v>-29.23276400033891</v>
      </c>
      <c r="O47">
        <v>9</v>
      </c>
      <c r="P47">
        <v>8</v>
      </c>
      <c r="Q47">
        <f>100*68616/113213</f>
        <v>60.60788072041197</v>
      </c>
      <c r="R47">
        <f>100*67295/229801</f>
        <v>29.284032706559152</v>
      </c>
      <c r="S47">
        <f>IF(COUNT(Q47:R47)=2,R47-Q47,"")</f>
        <v>-31.323848013852817</v>
      </c>
    </row>
    <row r="48" spans="1:19" x14ac:dyDescent="0.3">
      <c r="A48">
        <v>10</v>
      </c>
      <c r="B48">
        <v>9</v>
      </c>
      <c r="C48">
        <f>100*122007/555605</f>
        <v>21.95930562179966</v>
      </c>
      <c r="D48">
        <f>100*11078/514674</f>
        <v>2.15243047055029</v>
      </c>
      <c r="E48">
        <f>IF(COUNT(C48:D48)=2,D48-C48,"")</f>
        <v>-19.806875151249372</v>
      </c>
      <c r="H48">
        <v>10</v>
      </c>
      <c r="I48">
        <v>9</v>
      </c>
      <c r="J48">
        <f>100*319115/716304</f>
        <v>44.550218901472</v>
      </c>
      <c r="K48">
        <f>100*45875/776124</f>
        <v>5.910782297674083</v>
      </c>
      <c r="L48">
        <f>IF(COUNT(J48:K48)=2,K48-J48,"")</f>
        <v>-38.63943660379792</v>
      </c>
      <c r="O48">
        <v>10</v>
      </c>
      <c r="P48">
        <v>9</v>
      </c>
      <c r="Q48">
        <f>100*144975/663380</f>
        <v>21.85399017154572</v>
      </c>
      <c r="R48">
        <f>100*7381/636149</f>
        <v>1.1602627686281044</v>
      </c>
      <c r="S48">
        <f>IF(COUNT(Q48:R48)=2,R48-Q48,"")</f>
        <v>-20.693727402917617</v>
      </c>
    </row>
    <row r="49" spans="1:19" x14ac:dyDescent="0.3">
      <c r="A49">
        <v>11</v>
      </c>
      <c r="B49">
        <v>10</v>
      </c>
      <c r="C49">
        <f>100*381322/854451</f>
        <v>44.627720021393856</v>
      </c>
      <c r="D49">
        <f>100*45425/813833</f>
        <v>5.581611952329286</v>
      </c>
      <c r="E49">
        <f>IF(COUNT(C49:D49)=2,D49-C49,"")</f>
        <v>-39.04610806906457</v>
      </c>
      <c r="H49">
        <v>11</v>
      </c>
      <c r="I49">
        <v>10</v>
      </c>
      <c r="J49">
        <f>100*298304/894387</f>
        <v>33.352899807354085</v>
      </c>
      <c r="K49">
        <f>100*36047/873534</f>
        <v>4.126570917674641</v>
      </c>
      <c r="L49">
        <f>IF(COUNT(J49:K49)=2,K49-J49,"")</f>
        <v>-29.226328889679444</v>
      </c>
      <c r="O49">
        <v>11</v>
      </c>
      <c r="P49">
        <v>10</v>
      </c>
      <c r="Q49">
        <f>100*252271/540552</f>
        <v>46.66914561411298</v>
      </c>
      <c r="R49">
        <f>100*61957/578724</f>
        <v>10.7057941263884</v>
      </c>
      <c r="S49">
        <f>IF(COUNT(Q49:R49)=2,R49-Q49,"")</f>
        <v>-35.96335148772458</v>
      </c>
    </row>
    <row r="50" spans="1:19" x14ac:dyDescent="0.3">
      <c r="A50">
        <v>12</v>
      </c>
      <c r="B50">
        <v>11</v>
      </c>
      <c r="C50">
        <f>100*390280/917983</f>
        <v>42.51494853390531</v>
      </c>
      <c r="D50">
        <f>100*75459/718328</f>
        <v>10.504811172611955</v>
      </c>
      <c r="E50">
        <f>IF(COUNT(C50:D50)=2,D50-C50,"")</f>
        <v>-32.01013736129336</v>
      </c>
      <c r="H50">
        <v>12</v>
      </c>
      <c r="I50">
        <v>11</v>
      </c>
      <c r="K50">
        <f>100*114349/813654</f>
        <v>14.053762410066195</v>
      </c>
      <c r="L50" t="str">
        <f>IF(COUNT(J50:K50)=2,K50-J50,"")</f>
        <v/>
      </c>
      <c r="O50">
        <v>12</v>
      </c>
      <c r="P50">
        <v>11</v>
      </c>
      <c r="Q50">
        <f>100*152311/319498</f>
        <v>47.67197290749864</v>
      </c>
      <c r="R50">
        <f>100*62329/285778</f>
        <v>21.810286306153728</v>
      </c>
      <c r="S50">
        <f>IF(COUNT(Q50:R50)=2,R50-Q50,"")</f>
        <v>-25.861686601344914</v>
      </c>
    </row>
    <row r="51" spans="1:19" x14ac:dyDescent="0.3">
      <c r="A51">
        <v>13</v>
      </c>
      <c r="B51">
        <v>12</v>
      </c>
      <c r="C51">
        <f>100*11194/520395</f>
        <v>2.1510583306911095</v>
      </c>
      <c r="D51">
        <f>100*12242/614746</f>
        <v>1.9913915665982374</v>
      </c>
      <c r="E51">
        <f>IF(COUNT(C51:D51)=2,D51-C51,"")</f>
        <v>-0.15966676409287217</v>
      </c>
      <c r="H51">
        <v>13</v>
      </c>
      <c r="I51">
        <v>12</v>
      </c>
      <c r="J51">
        <f>100*63849/654587</f>
        <v>9.75408921961481</v>
      </c>
      <c r="K51">
        <f>100*16101/696939</f>
        <v>2.310245229496412</v>
      </c>
      <c r="L51">
        <f>IF(COUNT(J51:K51)=2,K51-J51,"")</f>
        <v>-7.443843990118398</v>
      </c>
      <c r="O51">
        <v>13</v>
      </c>
      <c r="P51">
        <v>12</v>
      </c>
      <c r="Q51">
        <f>100*326273/687294</f>
        <v>47.47211528108786</v>
      </c>
      <c r="R51">
        <f>100*30819/460808</f>
        <v>6.688034929949133</v>
      </c>
      <c r="S51">
        <f>IF(COUNT(Q51:R51)=2,R51-Q51,"")</f>
        <v>-40.784080351138726</v>
      </c>
    </row>
    <row r="52" spans="1:19" x14ac:dyDescent="0.3">
      <c r="A52">
        <v>14</v>
      </c>
      <c r="B52">
        <v>13</v>
      </c>
      <c r="C52">
        <f>100*47836/384501</f>
        <v>12.441059971235445</v>
      </c>
      <c r="D52">
        <f>100*46533/390890</f>
        <v>11.904372073985009</v>
      </c>
      <c r="E52">
        <f>IF(COUNT(C52:D52)=2,D52-C52,"")</f>
        <v>-0.5366878972504363</v>
      </c>
      <c r="H52">
        <v>14</v>
      </c>
      <c r="I52">
        <v>13</v>
      </c>
      <c r="J52">
        <f>100*46518/257005</f>
        <v>18.100036964261395</v>
      </c>
      <c r="K52">
        <f>100*20370/309606</f>
        <v>6.57932985794849</v>
      </c>
      <c r="L52">
        <f>IF(COUNT(J52:K52)=2,K52-J52,"")</f>
        <v>-11.520707106312905</v>
      </c>
      <c r="O52">
        <v>14</v>
      </c>
      <c r="P52">
        <v>13</v>
      </c>
      <c r="Q52">
        <f>100*2347/627958</f>
        <v>0.37375111074307515</v>
      </c>
      <c r="R52">
        <f>100*9559/619160</f>
        <v>1.543865882808967</v>
      </c>
      <c r="S52">
        <f>IF(COUNT(Q52:R52)=2,R52-Q52,"")</f>
        <v>1.170114772065892</v>
      </c>
    </row>
    <row r="53" spans="1:19" x14ac:dyDescent="0.3">
      <c r="A53">
        <v>15</v>
      </c>
      <c r="B53">
        <v>14</v>
      </c>
      <c r="C53">
        <f>100*248778/461319</f>
        <v>53.92754254648085</v>
      </c>
      <c r="D53">
        <f>100*55692/516567</f>
        <v>10.781176497917986</v>
      </c>
      <c r="E53">
        <f>IF(COUNT(C53:D53)=2,D53-C53,"")</f>
        <v>-43.14636604856287</v>
      </c>
      <c r="H53">
        <v>15</v>
      </c>
      <c r="I53">
        <v>14</v>
      </c>
      <c r="J53">
        <f>100*175137/618371</f>
        <v>28.322317831851752</v>
      </c>
      <c r="K53">
        <f>100*151213/724946</f>
        <v>20.858519117285976</v>
      </c>
      <c r="L53">
        <f>IF(COUNT(J53:K53)=2,K53-J53,"")</f>
        <v>-7.463798714565776</v>
      </c>
      <c r="O53">
        <v>15</v>
      </c>
      <c r="P53">
        <v>14</v>
      </c>
      <c r="Q53">
        <f>100*146769/359086</f>
        <v>40.872938516121486</v>
      </c>
      <c r="R53">
        <f>100*147304/541913</f>
        <v>27.182222976750882</v>
      </c>
      <c r="S53">
        <f>IF(COUNT(Q53:R53)=2,R53-Q53,"")</f>
        <v>-13.690715539370604</v>
      </c>
    </row>
    <row r="54" spans="1:19" x14ac:dyDescent="0.3">
      <c r="A54">
        <v>16</v>
      </c>
      <c r="B54">
        <v>15</v>
      </c>
      <c r="C54">
        <f>100*326435/634375</f>
        <v>51.45773399014778</v>
      </c>
      <c r="D54">
        <f>100*35672/608381</f>
        <v>5.863430974997575</v>
      </c>
      <c r="E54">
        <f>IF(COUNT(C54:D54)=2,D54-C54,"")</f>
        <v>-45.5943030151502</v>
      </c>
      <c r="H54">
        <v>16</v>
      </c>
      <c r="I54">
        <v>15</v>
      </c>
      <c r="J54">
        <f>100*262686/530062</f>
        <v>49.55759892239021</v>
      </c>
      <c r="K54">
        <f>100*5343/301803</f>
        <v>1.7703601355851333</v>
      </c>
      <c r="L54">
        <f>IF(COUNT(J54:K54)=2,K54-J54,"")</f>
        <v>-47.78723878680508</v>
      </c>
      <c r="O54">
        <v>16</v>
      </c>
      <c r="P54">
        <v>15</v>
      </c>
      <c r="Q54">
        <f>100*161630/350468</f>
        <v>46.11833320017805</v>
      </c>
      <c r="R54">
        <f>100*112200/511414</f>
        <v>21.93917256860391</v>
      </c>
      <c r="S54">
        <f>IF(COUNT(Q54:R54)=2,R54-Q54,"")</f>
        <v>-24.17916063157414</v>
      </c>
    </row>
    <row r="55" spans="1:19" x14ac:dyDescent="0.3">
      <c r="A55">
        <v>17</v>
      </c>
      <c r="B55">
        <v>16</v>
      </c>
      <c r="C55">
        <f>100*180820/593692</f>
        <v>30.45686989213262</v>
      </c>
      <c r="D55">
        <f>100*84299/493182</f>
        <v>17.092878491104702</v>
      </c>
      <c r="E55">
        <f>IF(COUNT(C55:D55)=2,D55-C55,"")</f>
        <v>-13.363991401027917</v>
      </c>
      <c r="H55">
        <v>17</v>
      </c>
      <c r="I55">
        <v>16</v>
      </c>
      <c r="J55">
        <f>100*201035/472489</f>
        <v>42.5480804844134</v>
      </c>
      <c r="K55">
        <f>100*114378/591184</f>
        <v>19.347275974992556</v>
      </c>
      <c r="L55">
        <f>IF(COUNT(J55:K55)=2,K55-J55,"")</f>
        <v>-23.20080450942084</v>
      </c>
      <c r="O55">
        <v>17</v>
      </c>
      <c r="P55">
        <v>16</v>
      </c>
      <c r="Q55">
        <f>100*10845/444486</f>
        <v>2.4398968696426886</v>
      </c>
      <c r="R55">
        <f>100*2062/306700</f>
        <v>0.6723182262797522</v>
      </c>
      <c r="S55">
        <f>IF(COUNT(Q55:R55)=2,R55-Q55,"")</f>
        <v>-1.7675786433629364</v>
      </c>
    </row>
    <row r="56" spans="1:19" x14ac:dyDescent="0.3">
      <c r="A56">
        <v>18</v>
      </c>
      <c r="B56">
        <v>17</v>
      </c>
      <c r="C56">
        <f>100*349274/706163</f>
        <v>49.460818536230306</v>
      </c>
      <c r="D56">
        <f>100*40845/533881</f>
        <v>7.650581309317994</v>
      </c>
      <c r="E56">
        <f>IF(COUNT(C56:D56)=2,D56-C56,"")</f>
        <v>-41.810237226912314</v>
      </c>
      <c r="H56">
        <v>18</v>
      </c>
      <c r="I56">
        <v>17</v>
      </c>
      <c r="K56">
        <f>100*121579/725629</f>
        <v>16.754980851096082</v>
      </c>
      <c r="L56" t="str">
        <f>IF(COUNT(J56:K56)=2,K56-J56,"")</f>
        <v/>
      </c>
      <c r="O56">
        <v>18</v>
      </c>
      <c r="P56">
        <v>17</v>
      </c>
      <c r="Q56">
        <f>100*35789/365071</f>
        <v>9.803298536449073</v>
      </c>
      <c r="R56">
        <f>100*23406/391778</f>
        <v>5.97430177294284</v>
      </c>
      <c r="S56">
        <f>IF(COUNT(Q56:R56)=2,R56-Q56,"")</f>
        <v>-3.8289967635062334</v>
      </c>
    </row>
    <row r="57" spans="1:19" x14ac:dyDescent="0.3">
      <c r="A57">
        <v>19</v>
      </c>
      <c r="B57">
        <v>18</v>
      </c>
      <c r="C57">
        <f>100*270086/697559</f>
        <v>38.71873203556975</v>
      </c>
      <c r="D57">
        <f>100*64544/570618</f>
        <v>11.311245001033967</v>
      </c>
      <c r="E57">
        <f>IF(COUNT(C57:D57)=2,D57-C57,"")</f>
        <v>-27.407487034535784</v>
      </c>
      <c r="H57">
        <v>19</v>
      </c>
      <c r="I57">
        <v>18</v>
      </c>
      <c r="J57">
        <f>100*171180/560014</f>
        <v>30.567092965533003</v>
      </c>
      <c r="K57">
        <f>100*67534/560409</f>
        <v>12.050841439020429</v>
      </c>
      <c r="L57">
        <f>IF(COUNT(J57:K57)=2,K57-J57,"")</f>
        <v>-18.516251526512576</v>
      </c>
      <c r="O57">
        <v>19</v>
      </c>
      <c r="P57">
        <v>18</v>
      </c>
      <c r="Q57">
        <f>100*169030/384674</f>
        <v>43.94110337584552</v>
      </c>
      <c r="R57">
        <f>100*59501/318438</f>
        <v>18.685269974060883</v>
      </c>
      <c r="S57">
        <f>IF(COUNT(Q57:R57)=2,R57-Q57,"")</f>
        <v>-25.25583340178464</v>
      </c>
    </row>
    <row r="58" spans="1:19" x14ac:dyDescent="0.3">
      <c r="A58">
        <v>20</v>
      </c>
      <c r="B58">
        <v>19</v>
      </c>
      <c r="C58">
        <f>100*219519/529900</f>
        <v>41.42649556520098</v>
      </c>
      <c r="D58">
        <f>100*89987/662994</f>
        <v>13.572822680144919</v>
      </c>
      <c r="E58">
        <f>IF(COUNT(C58:D58)=2,D58-C58,"")</f>
        <v>-27.853672885056064</v>
      </c>
      <c r="H58">
        <v>20</v>
      </c>
      <c r="I58">
        <v>19</v>
      </c>
      <c r="J58">
        <f>100*284748/588066</f>
        <v>48.42109559131118</v>
      </c>
      <c r="K58">
        <f>100*45139/692967</f>
        <v>6.513874398059359</v>
      </c>
      <c r="L58">
        <f>IF(COUNT(J58:K58)=2,K58-J58,"")</f>
        <v>-41.90722119325182</v>
      </c>
      <c r="O58">
        <v>20</v>
      </c>
      <c r="P58">
        <v>19</v>
      </c>
      <c r="Q58">
        <f>100*276241/622059</f>
        <v>44.40752404514684</v>
      </c>
      <c r="R58">
        <f>100*95237/742551</f>
        <v>12.825651032723679</v>
      </c>
      <c r="S58">
        <f>IF(COUNT(Q58:R58)=2,R58-Q58,"")</f>
        <v>-31.581873012423166</v>
      </c>
    </row>
    <row r="59" spans="1:19" x14ac:dyDescent="0.3">
      <c r="A59">
        <v>21</v>
      </c>
      <c r="B59">
        <v>20</v>
      </c>
      <c r="C59">
        <f>100*270029/574676</f>
        <v>46.98804195755521</v>
      </c>
      <c r="D59">
        <f>100*40467/515130</f>
        <v>7.855686913982878</v>
      </c>
      <c r="E59">
        <f>IF(COUNT(C59:D59)=2,D59-C59,"")</f>
        <v>-39.13235504357233</v>
      </c>
      <c r="H59">
        <v>21</v>
      </c>
      <c r="I59">
        <v>20</v>
      </c>
      <c r="J59">
        <f>100*380768/887907</f>
        <v>42.88377048497196</v>
      </c>
      <c r="K59">
        <f>100*14523/512889</f>
        <v>2.831606838906664</v>
      </c>
      <c r="L59">
        <f>IF(COUNT(J59:K59)=2,K59-J59,"")</f>
        <v>-40.052163646065296</v>
      </c>
      <c r="O59">
        <v>21</v>
      </c>
      <c r="P59">
        <v>20</v>
      </c>
      <c r="Q59">
        <f>100*102616/414261</f>
        <v>24.7708570200912</v>
      </c>
      <c r="R59">
        <f>100*51657/447225</f>
        <v>11.55056179775281</v>
      </c>
      <c r="S59">
        <f>IF(COUNT(Q59:R59)=2,R59-Q59,"")</f>
        <v>-13.22029522233839</v>
      </c>
    </row>
    <row r="60" spans="1:19" x14ac:dyDescent="0.3">
      <c r="A60">
        <v>22</v>
      </c>
      <c r="B60">
        <v>21</v>
      </c>
      <c r="C60">
        <f>100*61286/139068</f>
        <v>44.06908850346593</v>
      </c>
      <c r="D60">
        <f>100*40680/178968</f>
        <v>22.73032050422422</v>
      </c>
      <c r="E60">
        <f>IF(COUNT(C60:D60)=2,D60-C60,"")</f>
        <v>-21.338767999241707</v>
      </c>
      <c r="H60">
        <v>22</v>
      </c>
      <c r="I60">
        <v>21</v>
      </c>
      <c r="J60">
        <f>100*139592/266933</f>
        <v>52.29477059786538</v>
      </c>
      <c r="K60">
        <f>100*60284/387141</f>
        <v>15.571587612781906</v>
      </c>
      <c r="L60">
        <f>IF(COUNT(J60:K60)=2,K60-J60,"")</f>
        <v>-36.723182985083476</v>
      </c>
      <c r="O60">
        <v>22</v>
      </c>
      <c r="P60">
        <v>21</v>
      </c>
      <c r="Q60">
        <f>100*93353/177560</f>
        <v>52.57546744762334</v>
      </c>
      <c r="R60">
        <f>100*73804/293234</f>
        <v>25.16897767653137</v>
      </c>
      <c r="S60">
        <f>IF(COUNT(Q60:R60)=2,R60-Q60,"")</f>
        <v>-27.40648977109197</v>
      </c>
    </row>
    <row r="61" spans="1:19" x14ac:dyDescent="0.3">
      <c r="A61">
        <v>23</v>
      </c>
      <c r="B61">
        <v>22</v>
      </c>
      <c r="C61">
        <f>100*276476/597687</f>
        <v>46.2576565995245</v>
      </c>
      <c r="D61">
        <f>100*103579/719615</f>
        <v>14.39366883680857</v>
      </c>
      <c r="E61">
        <f>IF(COUNT(C61:D61)=2,D61-C61,"")</f>
        <v>-31.86398776271593</v>
      </c>
      <c r="H61">
        <v>23</v>
      </c>
      <c r="I61">
        <v>22</v>
      </c>
      <c r="J61">
        <f>100*307788/547933</f>
        <v>56.1725612438017</v>
      </c>
      <c r="K61">
        <f>100*28004/731407</f>
        <v>3.828784794239049</v>
      </c>
      <c r="L61">
        <f>IF(COUNT(J61:K61)=2,K61-J61,"")</f>
        <v>-52.343776449562654</v>
      </c>
      <c r="O61">
        <v>23</v>
      </c>
      <c r="P61">
        <v>22</v>
      </c>
      <c r="Q61">
        <f>100*1420/340312</f>
        <v>0.41726415759655844</v>
      </c>
      <c r="R61">
        <f>100*923/453428</f>
        <v>0.20356043296840953</v>
      </c>
      <c r="S61">
        <f>IF(COUNT(Q61:R61)=2,R61-Q61,"")</f>
        <v>-0.2137037246281489</v>
      </c>
    </row>
    <row r="62" spans="1:19" x14ac:dyDescent="0.3">
      <c r="A62">
        <v>24</v>
      </c>
      <c r="B62">
        <v>23</v>
      </c>
      <c r="C62">
        <f>100*144470/668915</f>
        <v>21.597661885291853</v>
      </c>
      <c r="D62">
        <f>100*78235/685068</f>
        <v>11.420034215581518</v>
      </c>
      <c r="E62">
        <f>IF(COUNT(C62:D62)=2,D62-C62,"")</f>
        <v>-10.177627669710335</v>
      </c>
      <c r="H62">
        <v>24</v>
      </c>
      <c r="I62">
        <v>23</v>
      </c>
      <c r="J62">
        <f>100*403224/842602</f>
        <v>47.85462175499227</v>
      </c>
      <c r="K62">
        <f>100*82238/711590</f>
        <v>11.55693587599601</v>
      </c>
      <c r="L62">
        <f>IF(COUNT(J62:K62)=2,K62-J62,"")</f>
        <v>-36.29768587899626</v>
      </c>
      <c r="O62">
        <v>24</v>
      </c>
      <c r="P62">
        <v>23</v>
      </c>
      <c r="Q62">
        <f>100*127073/681026</f>
        <v>18.659052664655974</v>
      </c>
      <c r="R62">
        <f>100*15531/672899</f>
        <v>2.308072979748818</v>
      </c>
      <c r="S62">
        <f>IF(COUNT(Q62:R62)=2,R62-Q62,"")</f>
        <v>-16.350979684907156</v>
      </c>
    </row>
    <row r="63" spans="1:19" x14ac:dyDescent="0.3">
      <c r="A63">
        <v>25</v>
      </c>
      <c r="B63">
        <v>24</v>
      </c>
      <c r="C63">
        <f>100*246413/550634</f>
        <v>44.7507781938638</v>
      </c>
      <c r="D63">
        <f>100*34841/521213</f>
        <v>6.684599194571126</v>
      </c>
      <c r="E63">
        <f>IF(COUNT(C63:D63)=2,D63-C63,"")</f>
        <v>-38.066178999292674</v>
      </c>
      <c r="H63">
        <v>25</v>
      </c>
      <c r="I63">
        <v>24</v>
      </c>
      <c r="J63">
        <f>100*334373/832460</f>
        <v>40.16685486389736</v>
      </c>
      <c r="K63">
        <f>100*9987/550695</f>
        <v>1.8135265437311034</v>
      </c>
      <c r="L63">
        <f>IF(COUNT(J63:K63)=2,K63-J63,"")</f>
        <v>-38.35332832016626</v>
      </c>
      <c r="O63">
        <v>25</v>
      </c>
      <c r="P63">
        <v>24</v>
      </c>
      <c r="Q63">
        <f>100*69231/149628</f>
        <v>46.26874649129842</v>
      </c>
      <c r="R63">
        <f>100*86919/360598</f>
        <v>24.104127033427805</v>
      </c>
      <c r="S63">
        <f>IF(COUNT(Q63:R63)=2,R63-Q63,"")</f>
        <v>-22.164619457870618</v>
      </c>
    </row>
    <row r="64" spans="1:19" x14ac:dyDescent="0.3">
      <c r="A64">
        <v>26</v>
      </c>
      <c r="B64">
        <v>25</v>
      </c>
      <c r="C64">
        <f>100*325215/704022</f>
        <v>46.193868941595575</v>
      </c>
      <c r="D64">
        <f>100*122344/602541</f>
        <v>20.304676362272442</v>
      </c>
      <c r="E64">
        <f>IF(COUNT(C64:D64)=2,D64-C64,"")</f>
        <v>-25.889192579323133</v>
      </c>
      <c r="H64">
        <v>26</v>
      </c>
      <c r="I64">
        <v>25</v>
      </c>
      <c r="J64">
        <f>100*93173/499879</f>
        <v>18.639110664780876</v>
      </c>
      <c r="K64">
        <f>100*83314/715918</f>
        <v>11.637366290552828</v>
      </c>
      <c r="L64">
        <f>IF(COUNT(J64:K64)=2,K64-J64,"")</f>
        <v>-7.001744374228048</v>
      </c>
      <c r="O64">
        <v>26</v>
      </c>
      <c r="P64">
        <v>25</v>
      </c>
      <c r="Q64">
        <f>100*287382/566887</f>
        <v>50.69475927301208</v>
      </c>
      <c r="R64">
        <f>100*133210/527615</f>
        <v>25.247576357760867</v>
      </c>
      <c r="S64">
        <f>IF(COUNT(Q64:R64)=2,R64-Q64,"")</f>
        <v>-25.447182915251215</v>
      </c>
    </row>
    <row r="65" spans="1:19" x14ac:dyDescent="0.3">
      <c r="A65">
        <v>27</v>
      </c>
      <c r="B65">
        <v>26</v>
      </c>
      <c r="C65">
        <f>100*177239/701505</f>
        <v>25.26553623994127</v>
      </c>
      <c r="D65">
        <f>100*82998/688866</f>
        <v>12.048497095226066</v>
      </c>
      <c r="E65">
        <f>IF(COUNT(C65:D65)=2,D65-C65,"")</f>
        <v>-13.217039144715203</v>
      </c>
      <c r="H65">
        <v>27</v>
      </c>
      <c r="I65">
        <v>26</v>
      </c>
      <c r="J65">
        <f>100*244313/656873</f>
        <v>37.19333874280112</v>
      </c>
      <c r="K65">
        <f>100*69945/643573</f>
        <v>10.868230954375028</v>
      </c>
      <c r="L65">
        <f>IF(COUNT(J65:K65)=2,K65-J65,"")</f>
        <v>-26.325107788426088</v>
      </c>
      <c r="O65">
        <v>27</v>
      </c>
      <c r="P65">
        <v>26</v>
      </c>
      <c r="Q65">
        <f>100*89767/349739</f>
        <v>25.6668544257289</v>
      </c>
      <c r="R65">
        <f>100*108936/415468</f>
        <v>26.22006989707992</v>
      </c>
      <c r="S65">
        <f>IF(COUNT(Q65:R65)=2,R65-Q65,"")</f>
        <v>0.5532154713510202</v>
      </c>
    </row>
    <row r="66" spans="1:19" x14ac:dyDescent="0.3">
      <c r="A66">
        <v>28</v>
      </c>
      <c r="B66">
        <v>27</v>
      </c>
      <c r="C66">
        <f>100*80526/308887</f>
        <v>26.069727764522302</v>
      </c>
      <c r="D66">
        <f>100*75909/546812</f>
        <v>13.882102075301932</v>
      </c>
      <c r="E66">
        <f>IF(COUNT(C66:D66)=2,D66-C66,"")</f>
        <v>-12.18762568922037</v>
      </c>
      <c r="H66">
        <v>28</v>
      </c>
      <c r="I66">
        <v>27</v>
      </c>
      <c r="J66">
        <f>100*138608/347102</f>
        <v>39.93293037781402</v>
      </c>
      <c r="K66">
        <f>100*112856/646059</f>
        <v>17.468373631510435</v>
      </c>
      <c r="L66">
        <f>IF(COUNT(J66:K66)=2,K66-J66,"")</f>
        <v>-22.464556746303582</v>
      </c>
      <c r="O66">
        <v>28</v>
      </c>
      <c r="P66">
        <v>27</v>
      </c>
      <c r="Q66">
        <f>100*334/323134</f>
        <v>0.10336269163876287</v>
      </c>
      <c r="R66">
        <f>100*3484/414325</f>
        <v>0.840885778072769</v>
      </c>
      <c r="S66">
        <f>IF(COUNT(Q66:R66)=2,R66-Q66,"")</f>
        <v>0.7375230864340061</v>
      </c>
    </row>
    <row r="67" spans="1:19" x14ac:dyDescent="0.3">
      <c r="A67">
        <v>29</v>
      </c>
      <c r="B67">
        <v>28</v>
      </c>
      <c r="C67">
        <f>100*201308/447811</f>
        <v>44.953786307169764</v>
      </c>
      <c r="D67">
        <f>100*63414/531777</f>
        <v>11.924923417146662</v>
      </c>
      <c r="E67">
        <f>IF(COUNT(C67:D67)=2,D67-C67,"")</f>
        <v>-33.028862890023106</v>
      </c>
      <c r="H67">
        <v>29</v>
      </c>
      <c r="I67">
        <v>28</v>
      </c>
      <c r="J67">
        <f>100*198367/384779</f>
        <v>51.553489145717414</v>
      </c>
      <c r="K67">
        <f>100*42304/418786</f>
        <v>10.101579326911597</v>
      </c>
      <c r="L67">
        <f>IF(COUNT(J67:K67)=2,K67-J67,"")</f>
        <v>-41.45190981880582</v>
      </c>
      <c r="O67">
        <v>29</v>
      </c>
      <c r="P67">
        <v>28</v>
      </c>
      <c r="Q67">
        <f>100*145808/355081</f>
        <v>41.063306682137316</v>
      </c>
      <c r="R67">
        <f>100*140012/529012</f>
        <v>26.466696407642928</v>
      </c>
      <c r="S67">
        <f>IF(COUNT(Q67:R67)=2,R67-Q67,"")</f>
        <v>-14.596610274494388</v>
      </c>
    </row>
    <row r="68" spans="1:19" x14ac:dyDescent="0.3">
      <c r="A68">
        <v>30</v>
      </c>
      <c r="B68">
        <v>29</v>
      </c>
      <c r="C68">
        <f>100*18197/471548</f>
        <v>3.8589920856413347</v>
      </c>
      <c r="D68">
        <f>100*47401/557663</f>
        <v>8.499936341482222</v>
      </c>
      <c r="E68">
        <f>IF(COUNT(C68:D68)=2,D68-C68,"")</f>
        <v>4.640944255840887</v>
      </c>
      <c r="H68">
        <v>30</v>
      </c>
      <c r="I68">
        <v>29</v>
      </c>
      <c r="J68">
        <f>100*78716/427068</f>
        <v>18.431725158522763</v>
      </c>
      <c r="K68">
        <f>100*48414/522698</f>
        <v>9.26232738598579</v>
      </c>
      <c r="L68">
        <f>IF(COUNT(J68:K68)=2,K68-J68,"")</f>
        <v>-9.169397772536973</v>
      </c>
      <c r="O68">
        <v>30</v>
      </c>
      <c r="P68">
        <v>29</v>
      </c>
      <c r="Q68">
        <f>100*234882/519580</f>
        <v>45.20612802648293</v>
      </c>
      <c r="R68">
        <f>100*67392/558608</f>
        <v>12.064274052645146</v>
      </c>
      <c r="S68">
        <f>IF(COUNT(Q68:R68)=2,R68-Q68,"")</f>
        <v>-33.14185397383778</v>
      </c>
    </row>
    <row r="69" spans="1:19" x14ac:dyDescent="0.3">
      <c r="A69">
        <v>31</v>
      </c>
      <c r="B69">
        <v>30</v>
      </c>
      <c r="C69">
        <f>100*112633/440273</f>
        <v>25.582536289983715</v>
      </c>
      <c r="D69">
        <f>100*60478/428888</f>
        <v>14.101117308015146</v>
      </c>
      <c r="E69">
        <f>IF(COUNT(C69:D69)=2,D69-C69,"")</f>
        <v>-11.481418981968568</v>
      </c>
      <c r="H69">
        <v>31</v>
      </c>
      <c r="I69">
        <v>30</v>
      </c>
      <c r="J69">
        <f>100*150446/466352</f>
        <v>32.26018115071877</v>
      </c>
      <c r="K69">
        <f>100*8728/268655</f>
        <v>3.248776311626435</v>
      </c>
      <c r="L69">
        <f>IF(COUNT(J69:K69)=2,K69-J69,"")</f>
        <v>-29.011404839092336</v>
      </c>
      <c r="O69">
        <v>31</v>
      </c>
      <c r="P69">
        <v>30</v>
      </c>
      <c r="Q69">
        <f>100*3881/600979</f>
        <v>0.6457796362268898</v>
      </c>
      <c r="R69">
        <f>100*5556/41657</f>
        <v>13.337494298677294</v>
      </c>
      <c r="S69">
        <f>IF(COUNT(Q69:R69)=2,R69-Q69,"")</f>
        <v>12.691714662450405</v>
      </c>
    </row>
    <row r="70" spans="1:19" x14ac:dyDescent="0.3">
      <c r="A70" t="s">
        <v>5</v>
      </c>
      <c r="C70">
        <f>IF(COUNT(C39:C69)&gt;0,AVERAGE(C39:C69),"")</f>
        <v>31.84282770070955</v>
      </c>
      <c r="D70">
        <f>IF(COUNT(D39:D69)&gt;0,AVERAGE(D39:D69),"")</f>
        <v>11.571311967616003</v>
      </c>
      <c r="E70">
        <f>IF(COUNT(E39:E69)&gt;0,AVERAGE(E39:E69),"")</f>
        <v>-20.27151573309354</v>
      </c>
      <c r="H70" t="s">
        <v>5</v>
      </c>
      <c r="J70">
        <f>IF(COUNT(J39:J69)&gt;0,AVERAGE(J39:J69),"")</f>
        <v>33.41421734972294</v>
      </c>
      <c r="K70">
        <f>IF(COUNT(K39:K69)&gt;0,AVERAGE(K39:K69),"")</f>
        <v>10.60234098709768</v>
      </c>
      <c r="L70">
        <f>IF(COUNT(L39:L69)&gt;0,AVERAGE(L39:L69),"")</f>
        <v>-23.143050889762044</v>
      </c>
      <c r="O70" t="s">
        <v>5</v>
      </c>
      <c r="Q70">
        <f>IF(COUNT(Q39:Q69)&gt;0,AVERAGE(Q39:Q69),"")</f>
        <v>33.06664971973761</v>
      </c>
      <c r="R70">
        <f>IF(COUNT(R39:R69)&gt;0,AVERAGE(R39:R69),"")</f>
        <v>14.446878598995626</v>
      </c>
      <c r="S70">
        <f>IF(COUNT(S39:S69)&gt;0,AVERAGE(S39:S69),"")</f>
        <v>-18.619771120741994</v>
      </c>
    </row>
    <row r="73" spans="1:19" s="2" customFormat="1" x14ac:dyDescent="0.3">
      <c r="A73" s="1" t="s">
        <v>12</v>
      </c>
      <c r="B73" s="1"/>
      <c r="C73" s="1"/>
      <c r="D73" s="1"/>
      <c r="E73" s="1"/>
      <c r="H73" s="1" t="s">
        <v>13</v>
      </c>
      <c r="I73" s="1"/>
      <c r="J73" s="1"/>
      <c r="K73" s="1"/>
      <c r="L73" s="1"/>
      <c r="O73" s="1" t="s">
        <v>14</v>
      </c>
      <c r="P73" s="1"/>
      <c r="Q73" s="1"/>
      <c r="R73" s="1"/>
      <c r="S73" s="1"/>
    </row>
    <row r="74" spans="1:19" x14ac:dyDescent="0.3">
      <c r="A74" t="s">
        <v>0</v>
      </c>
      <c r="B74" t="s">
        <v>1</v>
      </c>
      <c r="C74" t="s">
        <v>2</v>
      </c>
      <c r="D74" t="s">
        <v>3</v>
      </c>
      <c r="E74" t="s">
        <v>4</v>
      </c>
      <c r="H74" t="s">
        <v>0</v>
      </c>
      <c r="I74" t="s">
        <v>1</v>
      </c>
      <c r="J74" t="s">
        <v>2</v>
      </c>
      <c r="K74" t="s">
        <v>3</v>
      </c>
      <c r="L74" t="s">
        <v>4</v>
      </c>
      <c r="O74" t="s">
        <v>0</v>
      </c>
      <c r="P74" t="s">
        <v>1</v>
      </c>
      <c r="Q74" t="s">
        <v>2</v>
      </c>
      <c r="R74" t="s">
        <v>3</v>
      </c>
      <c r="S74" t="s">
        <v>4</v>
      </c>
    </row>
    <row r="75" spans="1:19" x14ac:dyDescent="0.3">
      <c r="A75">
        <v>1</v>
      </c>
      <c r="B75">
        <v>0</v>
      </c>
      <c r="C75">
        <f>100*261929/517487</f>
        <v>50.61557101917536</v>
      </c>
      <c r="D75">
        <f>100*97109/785350</f>
        <v>12.365060164257974</v>
      </c>
      <c r="E75">
        <f>IF(COUNT(C75:D75)=2,D75-C75,"")</f>
        <v>-38.25051085491739</v>
      </c>
      <c r="H75">
        <v>1</v>
      </c>
      <c r="I75">
        <v>0</v>
      </c>
      <c r="J75">
        <f>100*432733/796677</f>
        <v>54.317245257488295</v>
      </c>
      <c r="K75">
        <f>100*81523/775026</f>
        <v>10.518743887301845</v>
      </c>
      <c r="L75">
        <f>IF(COUNT(J75:K75)=2,K75-J75,"")</f>
        <v>-43.79850137018645</v>
      </c>
      <c r="O75">
        <v>1</v>
      </c>
      <c r="P75">
        <v>0</v>
      </c>
      <c r="Q75">
        <f>100*20655/569971</f>
        <v>3.623868582787545</v>
      </c>
      <c r="R75">
        <f>100*21062/397165</f>
        <v>5.30308561932698</v>
      </c>
      <c r="S75">
        <f>IF(COUNT(Q75:R75)=2,R75-Q75,"")</f>
        <v>1.679217036539435</v>
      </c>
    </row>
    <row r="76" spans="1:19" x14ac:dyDescent="0.3">
      <c r="A76">
        <v>2</v>
      </c>
      <c r="B76">
        <v>1</v>
      </c>
      <c r="C76">
        <f>100*279421/548205</f>
        <v>50.97016626991728</v>
      </c>
      <c r="D76">
        <f>100*164475/591256</f>
        <v>27.817899522372713</v>
      </c>
      <c r="E76">
        <f>IF(COUNT(C76:D76)=2,D76-C76,"")</f>
        <v>-23.152266747544566</v>
      </c>
      <c r="H76">
        <v>2</v>
      </c>
      <c r="I76">
        <v>1</v>
      </c>
      <c r="J76">
        <f>100*305577/591060</f>
        <v>51.69982742868744</v>
      </c>
      <c r="K76">
        <f>100*248998/937392</f>
        <v>26.562846706607267</v>
      </c>
      <c r="L76">
        <f>IF(COUNT(J76:K76)=2,K76-J76,"")</f>
        <v>-25.136980722080175</v>
      </c>
      <c r="O76">
        <v>2</v>
      </c>
      <c r="P76">
        <v>1</v>
      </c>
      <c r="Q76">
        <f>100*111778/257794</f>
        <v>43.35942651884838</v>
      </c>
      <c r="R76">
        <f>100*92119/377182</f>
        <v>24.4229576172776</v>
      </c>
      <c r="S76">
        <f>IF(COUNT(Q76:R76)=2,R76-Q76,"")</f>
        <v>-18.93646890157078</v>
      </c>
    </row>
    <row r="77" spans="1:19" x14ac:dyDescent="0.3">
      <c r="A77">
        <v>3</v>
      </c>
      <c r="B77">
        <v>2</v>
      </c>
      <c r="C77">
        <f>100*37031/871024</f>
        <v>4.2514327963408585</v>
      </c>
      <c r="D77">
        <f>100*122845/822237</f>
        <v>14.940339585788525</v>
      </c>
      <c r="E77">
        <f>IF(COUNT(C77:D77)=2,D77-C77,"")</f>
        <v>10.688906789447667</v>
      </c>
      <c r="H77">
        <v>3</v>
      </c>
      <c r="I77">
        <v>2</v>
      </c>
      <c r="J77">
        <f>100*244646/584205</f>
        <v>41.87673847365223</v>
      </c>
      <c r="K77">
        <f>100*115715/913533</f>
        <v>12.666756428065543</v>
      </c>
      <c r="L77">
        <f>IF(COUNT(J77:K77)=2,K77-J77,"")</f>
        <v>-29.20998204558669</v>
      </c>
      <c r="O77">
        <v>3</v>
      </c>
      <c r="P77">
        <v>2</v>
      </c>
      <c r="Q77">
        <f>100*92329/194806</f>
        <v>47.395357432522616</v>
      </c>
      <c r="R77">
        <f>100*10054/78792</f>
        <v>12.76017869834501</v>
      </c>
      <c r="S77">
        <f>IF(COUNT(Q77:R77)=2,R77-Q77,"")</f>
        <v>-34.63517873417761</v>
      </c>
    </row>
    <row r="78" spans="1:19" x14ac:dyDescent="0.3">
      <c r="A78">
        <v>4</v>
      </c>
      <c r="B78">
        <v>3</v>
      </c>
      <c r="C78">
        <f>100*363210/663228</f>
        <v>54.76397257051874</v>
      </c>
      <c r="D78">
        <f>100*50144/624945</f>
        <v>8.023746089655889</v>
      </c>
      <c r="E78">
        <f>IF(COUNT(C78:D78)=2,D78-C78,"")</f>
        <v>-46.74022648086285</v>
      </c>
      <c r="H78">
        <v>4</v>
      </c>
      <c r="I78">
        <v>3</v>
      </c>
      <c r="J78">
        <f>100*316744/731828</f>
        <v>43.281208152735346</v>
      </c>
      <c r="K78">
        <f>100*4563/581248</f>
        <v>0.7850349592600748</v>
      </c>
      <c r="L78">
        <f>IF(COUNT(J78:K78)=2,K78-J78,"")</f>
        <v>-42.49617319347527</v>
      </c>
      <c r="O78">
        <v>4</v>
      </c>
      <c r="P78">
        <v>3</v>
      </c>
      <c r="Q78">
        <f>100*240086/489338</f>
        <v>49.06342855040892</v>
      </c>
      <c r="R78">
        <f>100*232160/927841</f>
        <v>25.021528473089678</v>
      </c>
      <c r="S78">
        <f>IF(COUNT(Q78:R78)=2,R78-Q78,"")</f>
        <v>-24.041900077319244</v>
      </c>
    </row>
    <row r="79" spans="1:19" x14ac:dyDescent="0.3">
      <c r="A79">
        <v>5</v>
      </c>
      <c r="B79">
        <v>4</v>
      </c>
      <c r="C79">
        <f>100*116626/322593</f>
        <v>36.152675352534</v>
      </c>
      <c r="D79">
        <f>100*116236/612502</f>
        <v>18.97724415593745</v>
      </c>
      <c r="E79">
        <f>IF(COUNT(C79:D79)=2,D79-C79,"")</f>
        <v>-17.17543119659655</v>
      </c>
      <c r="H79">
        <v>5</v>
      </c>
      <c r="I79">
        <v>4</v>
      </c>
      <c r="J79">
        <f>100*174388/383201</f>
        <v>45.50823197225477</v>
      </c>
      <c r="K79">
        <f>100*1494/4116</f>
        <v>36.29737609329446</v>
      </c>
      <c r="L79">
        <f>IF(COUNT(J79:K79)=2,K79-J79,"")</f>
        <v>-9.21085587896031</v>
      </c>
      <c r="O79">
        <v>5</v>
      </c>
      <c r="P79">
        <v>4</v>
      </c>
      <c r="Q79">
        <f>100*426762/872765</f>
        <v>48.89769869323357</v>
      </c>
      <c r="R79">
        <f>100*18333/567959</f>
        <v>3.2278738430062734</v>
      </c>
      <c r="S79">
        <f>IF(COUNT(Q79:R79)=2,R79-Q79,"")</f>
        <v>-45.6698248502273</v>
      </c>
    </row>
    <row r="80" spans="1:19" x14ac:dyDescent="0.3">
      <c r="A80">
        <v>6</v>
      </c>
      <c r="B80">
        <v>5</v>
      </c>
      <c r="C80">
        <f>100*159245/460762</f>
        <v>34.56122683728259</v>
      </c>
      <c r="D80">
        <f>100*51386/618916</f>
        <v>8.30258064099167</v>
      </c>
      <c r="E80">
        <f>IF(COUNT(C80:D80)=2,D80-C80,"")</f>
        <v>-26.25864619629092</v>
      </c>
      <c r="H80">
        <v>6</v>
      </c>
      <c r="I80">
        <v>5</v>
      </c>
      <c r="J80">
        <f>100*124193/417286</f>
        <v>29.76208164184756</v>
      </c>
      <c r="K80">
        <f>100*54905/527807</f>
        <v>10.402476662871088</v>
      </c>
      <c r="L80">
        <f>IF(COUNT(J80:K80)=2,K80-J80,"")</f>
        <v>-19.35960497897647</v>
      </c>
      <c r="O80">
        <v>6</v>
      </c>
      <c r="P80">
        <v>5</v>
      </c>
      <c r="Q80">
        <f>100*275977/710313</f>
        <v>38.85287190294983</v>
      </c>
      <c r="R80">
        <f>100*31900/510372</f>
        <v>6.250342887148982</v>
      </c>
      <c r="S80">
        <f>IF(COUNT(Q80:R80)=2,R80-Q80,"")</f>
        <v>-32.60252901580085</v>
      </c>
    </row>
    <row r="81" spans="1:19" x14ac:dyDescent="0.3">
      <c r="A81">
        <v>7</v>
      </c>
      <c r="B81">
        <v>6</v>
      </c>
      <c r="C81">
        <f>100*8837/457006</f>
        <v>1.9336726432475722</v>
      </c>
      <c r="D81">
        <f>100*44438/620644</f>
        <v>7.159982212024929</v>
      </c>
      <c r="E81">
        <f>IF(COUNT(C81:D81)=2,D81-C81,"")</f>
        <v>5.226309568777356</v>
      </c>
      <c r="H81">
        <v>7</v>
      </c>
      <c r="I81">
        <v>6</v>
      </c>
      <c r="J81">
        <f>100*4575/667678</f>
        <v>0.6852105356174683</v>
      </c>
      <c r="K81">
        <f>100*34882/734194</f>
        <v>4.751060346447941</v>
      </c>
      <c r="L81">
        <f>IF(COUNT(J81:K81)=2,K81-J81,"")</f>
        <v>4.065849810830473</v>
      </c>
      <c r="O81">
        <v>7</v>
      </c>
      <c r="P81">
        <v>6</v>
      </c>
      <c r="Q81">
        <f>100*256619/495194</f>
        <v>51.82191222026115</v>
      </c>
      <c r="R81">
        <f>100*69850/561773</f>
        <v>12.433847835335625</v>
      </c>
      <c r="S81">
        <f>IF(COUNT(Q81:R81)=2,R81-Q81,"")</f>
        <v>-39.38806438492552</v>
      </c>
    </row>
    <row r="82" spans="1:19" x14ac:dyDescent="0.3">
      <c r="A82">
        <v>8</v>
      </c>
      <c r="B82">
        <v>7</v>
      </c>
      <c r="C82">
        <f>100*5105/579694</f>
        <v>0.8806370257411669</v>
      </c>
      <c r="D82">
        <f>100*8034/469955</f>
        <v>1.709525380089583</v>
      </c>
      <c r="E82">
        <f>IF(COUNT(C82:D82)=2,D82-C82,"")</f>
        <v>0.8288883543484162</v>
      </c>
      <c r="H82">
        <v>8</v>
      </c>
      <c r="I82">
        <v>7</v>
      </c>
      <c r="J82">
        <f>100*7536/581531</f>
        <v>1.2958896430284885</v>
      </c>
      <c r="K82">
        <f>100*1360/473484</f>
        <v>0.28723251472066635</v>
      </c>
      <c r="L82">
        <f>IF(COUNT(J82:K82)=2,K82-J82,"")</f>
        <v>-1.008657128307822</v>
      </c>
      <c r="O82">
        <v>8</v>
      </c>
      <c r="P82">
        <v>7</v>
      </c>
      <c r="Q82">
        <f>100*168583/355732</f>
        <v>47.39045123857286</v>
      </c>
      <c r="R82">
        <f>100*126037/536045</f>
        <v>23.51239168353403</v>
      </c>
      <c r="S82">
        <f>IF(COUNT(Q82:R82)=2,R82-Q82,"")</f>
        <v>-23.878059555038828</v>
      </c>
    </row>
    <row r="83" spans="1:19" x14ac:dyDescent="0.3">
      <c r="A83">
        <v>9</v>
      </c>
      <c r="B83">
        <v>8</v>
      </c>
      <c r="C83">
        <f>100*207750/401424</f>
        <v>51.75325840009566</v>
      </c>
      <c r="D83">
        <f>100*166454/633551</f>
        <v>26.27318084889772</v>
      </c>
      <c r="E83">
        <f>IF(COUNT(C83:D83)=2,D83-C83,"")</f>
        <v>-25.48007755119794</v>
      </c>
      <c r="H83">
        <v>9</v>
      </c>
      <c r="I83">
        <v>8</v>
      </c>
      <c r="J83">
        <f>100*224416/408350</f>
        <v>54.95677727439696</v>
      </c>
      <c r="K83">
        <f>100*107541/425551</f>
        <v>25.27100159557844</v>
      </c>
      <c r="L83">
        <f>IF(COUNT(J83:K83)=2,K83-J83,"")</f>
        <v>-29.685775678818523</v>
      </c>
      <c r="O83">
        <v>9</v>
      </c>
      <c r="P83">
        <v>8</v>
      </c>
      <c r="Q83">
        <f>100*66103/140560</f>
        <v>47.02831531018782</v>
      </c>
      <c r="R83">
        <f>100*56135/228044</f>
        <v>24.61586360526916</v>
      </c>
      <c r="S83">
        <f>IF(COUNT(Q83:R83)=2,R83-Q83,"")</f>
        <v>-22.412451704918663</v>
      </c>
    </row>
    <row r="84" spans="1:19" x14ac:dyDescent="0.3">
      <c r="A84">
        <v>10</v>
      </c>
      <c r="B84">
        <v>9</v>
      </c>
      <c r="C84">
        <f>100*131791/855952</f>
        <v>15.397008243452904</v>
      </c>
      <c r="D84">
        <f>100*43939/606528</f>
        <v>7.244348158700011</v>
      </c>
      <c r="E84">
        <f>IF(COUNT(C84:D84)=2,D84-C84,"")</f>
        <v>-8.152660084752892</v>
      </c>
      <c r="H84">
        <v>10</v>
      </c>
      <c r="I84">
        <v>9</v>
      </c>
      <c r="J84">
        <f>100*472599/885198</f>
        <v>53.389072275355346</v>
      </c>
      <c r="K84">
        <f>100*77008/650646</f>
        <v>11.835621828152329</v>
      </c>
      <c r="L84">
        <f>IF(COUNT(J84:K84)=2,K84-J84,"")</f>
        <v>-41.55345044720302</v>
      </c>
      <c r="O84">
        <v>10</v>
      </c>
      <c r="P84">
        <v>9</v>
      </c>
      <c r="Q84">
        <f>100*6243/543809</f>
        <v>1.1480133649866038</v>
      </c>
      <c r="R84">
        <f>100*35394/684947</f>
        <v>5.167407113251098</v>
      </c>
      <c r="S84">
        <f>IF(COUNT(Q84:R84)=2,R84-Q84,"")</f>
        <v>4.019393748264495</v>
      </c>
    </row>
    <row r="85" spans="1:19" x14ac:dyDescent="0.3">
      <c r="A85">
        <v>11</v>
      </c>
      <c r="B85">
        <v>10</v>
      </c>
      <c r="C85">
        <f>100*335444/654410</f>
        <v>51.25899665347412</v>
      </c>
      <c r="D85">
        <f>100*41871/738998</f>
        <v>5.665915198687953</v>
      </c>
      <c r="E85">
        <f>IF(COUNT(C85:D85)=2,D85-C85,"")</f>
        <v>-45.593081454786166</v>
      </c>
      <c r="H85">
        <v>11</v>
      </c>
      <c r="I85">
        <v>10</v>
      </c>
      <c r="J85">
        <f>100*370148/619144</f>
        <v>59.783830578992934</v>
      </c>
      <c r="K85">
        <f>100*79084/929024</f>
        <v>8.512589556351612</v>
      </c>
      <c r="L85">
        <f>IF(COUNT(J85:K85)=2,K85-J85,"")</f>
        <v>-51.27124102264132</v>
      </c>
      <c r="O85">
        <v>11</v>
      </c>
      <c r="P85">
        <v>10</v>
      </c>
      <c r="Q85">
        <f>100*225999/413085</f>
        <v>54.71004756890228</v>
      </c>
      <c r="R85">
        <f>100*210423/737062</f>
        <v>28.548887339192632</v>
      </c>
      <c r="S85">
        <f>IF(COUNT(Q85:R85)=2,R85-Q85,"")</f>
        <v>-26.16116022970965</v>
      </c>
    </row>
    <row r="86" spans="1:19" x14ac:dyDescent="0.3">
      <c r="A86">
        <v>12</v>
      </c>
      <c r="B86">
        <v>11</v>
      </c>
      <c r="C86">
        <f>100*373038/695730</f>
        <v>53.618213962312964</v>
      </c>
      <c r="D86">
        <f>100*38748/992762</f>
        <v>3.9030502779115235</v>
      </c>
      <c r="E86">
        <f>IF(COUNT(C86:D86)=2,D86-C86,"")</f>
        <v>-49.71516368440144</v>
      </c>
      <c r="H86">
        <v>12</v>
      </c>
      <c r="I86">
        <v>11</v>
      </c>
      <c r="J86">
        <f>100*303732/544372</f>
        <v>55.79493434636609</v>
      </c>
      <c r="K86">
        <f>100*36559/925234</f>
        <v>3.9513247459561582</v>
      </c>
      <c r="L86">
        <f>IF(COUNT(J86:K86)=2,K86-J86,"")</f>
        <v>-51.843609600409934</v>
      </c>
      <c r="O86">
        <v>12</v>
      </c>
      <c r="P86">
        <v>11</v>
      </c>
      <c r="Q86">
        <f>100*176887/390857</f>
        <v>45.25619344159117</v>
      </c>
      <c r="R86">
        <f>100*119095/506535</f>
        <v>23.51170205415223</v>
      </c>
      <c r="S86">
        <f>IF(COUNT(Q86:R86)=2,R86-Q86,"")</f>
        <v>-21.74449138743894</v>
      </c>
    </row>
    <row r="87" spans="1:19" x14ac:dyDescent="0.3">
      <c r="A87">
        <v>13</v>
      </c>
      <c r="B87">
        <v>12</v>
      </c>
      <c r="C87">
        <f>100*11518/738798</f>
        <v>1.5590188387082802</v>
      </c>
      <c r="D87">
        <f>100*10838/683571</f>
        <v>1.5854973367799394</v>
      </c>
      <c r="E87">
        <f>IF(COUNT(C87:D87)=2,D87-C87,"")</f>
        <v>0.02647849807165925</v>
      </c>
      <c r="H87">
        <v>13</v>
      </c>
      <c r="I87">
        <v>12</v>
      </c>
      <c r="J87">
        <f>100*302007/670149</f>
        <v>45.06564957942189</v>
      </c>
      <c r="K87">
        <f>100*19041/736209</f>
        <v>2.5863579499843117</v>
      </c>
      <c r="L87">
        <f>IF(COUNT(J87:K87)=2,K87-J87,"")</f>
        <v>-42.479291629437576</v>
      </c>
      <c r="O87">
        <v>13</v>
      </c>
      <c r="P87">
        <v>12</v>
      </c>
      <c r="Q87">
        <f>100*187062/769706</f>
        <v>24.30304557844164</v>
      </c>
      <c r="R87">
        <f>100*29514/336379</f>
        <v>8.774031672607386</v>
      </c>
      <c r="S87">
        <f>IF(COUNT(Q87:R87)=2,R87-Q87,"")</f>
        <v>-15.529013905834255</v>
      </c>
    </row>
    <row r="88" spans="1:19" x14ac:dyDescent="0.3">
      <c r="A88">
        <v>14</v>
      </c>
      <c r="B88">
        <v>13</v>
      </c>
      <c r="C88">
        <f>100*26873/442619</f>
        <v>6.0713615999313175</v>
      </c>
      <c r="D88">
        <f>100*2217/466214</f>
        <v>0.47553269528585584</v>
      </c>
      <c r="E88">
        <f>IF(COUNT(C88:D88)=2,D88-C88,"")</f>
        <v>-5.595828904645462</v>
      </c>
      <c r="H88">
        <v>14</v>
      </c>
      <c r="I88">
        <v>13</v>
      </c>
      <c r="J88">
        <f>100*112082/470769</f>
        <v>23.808279644581525</v>
      </c>
      <c r="K88">
        <f>100*2586/472363</f>
        <v>0.547460321828763</v>
      </c>
      <c r="L88">
        <f>IF(COUNT(J88:K88)=2,K88-J88,"")</f>
        <v>-23.260819322752763</v>
      </c>
      <c r="O88">
        <v>14</v>
      </c>
      <c r="P88">
        <v>13</v>
      </c>
      <c r="Q88">
        <f>100*77933/602059</f>
        <v>12.94441242469592</v>
      </c>
      <c r="R88">
        <f>100*3305/340589</f>
        <v>0.9703777867165411</v>
      </c>
      <c r="S88">
        <f>IF(COUNT(Q88:R88)=2,R88-Q88,"")</f>
        <v>-11.974034637979377</v>
      </c>
    </row>
    <row r="89" spans="1:19" x14ac:dyDescent="0.3">
      <c r="A89">
        <v>15</v>
      </c>
      <c r="B89">
        <v>14</v>
      </c>
      <c r="C89">
        <f>100*163872/797309</f>
        <v>20.553135609907827</v>
      </c>
      <c r="D89">
        <f>100*142390/873590</f>
        <v>16.299408189196306</v>
      </c>
      <c r="E89">
        <f>IF(COUNT(C89:D89)=2,D89-C89,"")</f>
        <v>-4.25372742071152</v>
      </c>
      <c r="H89">
        <v>15</v>
      </c>
      <c r="I89">
        <v>14</v>
      </c>
      <c r="J89">
        <f>100*79792/480516</f>
        <v>16.605482439710645</v>
      </c>
      <c r="K89">
        <f>100*155466/877899</f>
        <v>17.708870838217152</v>
      </c>
      <c r="L89">
        <f>IF(COUNT(J89:K89)=2,K89-J89,"")</f>
        <v>1.1033883985065067</v>
      </c>
      <c r="O89">
        <v>15</v>
      </c>
      <c r="P89">
        <v>14</v>
      </c>
      <c r="Q89">
        <f>100*175395/343809</f>
        <v>51.015243929042</v>
      </c>
      <c r="R89">
        <f>100*199008/733728</f>
        <v>27.122857516681933</v>
      </c>
      <c r="S89">
        <f>IF(COUNT(Q89:R89)=2,R89-Q89,"")</f>
        <v>-23.892386412360068</v>
      </c>
    </row>
    <row r="90" spans="1:19" x14ac:dyDescent="0.3">
      <c r="A90">
        <v>16</v>
      </c>
      <c r="B90">
        <v>15</v>
      </c>
      <c r="C90">
        <f>100*308947/536497</f>
        <v>57.58596972583258</v>
      </c>
      <c r="D90">
        <f>100*105648/803229</f>
        <v>13.152911560713072</v>
      </c>
      <c r="E90">
        <f>IF(COUNT(C90:D90)=2,D90-C90,"")</f>
        <v>-44.433058165119505</v>
      </c>
      <c r="H90">
        <v>16</v>
      </c>
      <c r="I90">
        <v>15</v>
      </c>
      <c r="J90">
        <f>100*331166/636513</f>
        <v>52.028159676235994</v>
      </c>
      <c r="K90">
        <f>100*39835/632960</f>
        <v>6.293446663296259</v>
      </c>
      <c r="L90">
        <f>IF(COUNT(J90:K90)=2,K90-J90,"")</f>
        <v>-45.734713012939736</v>
      </c>
      <c r="O90">
        <v>16</v>
      </c>
      <c r="P90">
        <v>15</v>
      </c>
      <c r="Q90">
        <f>100*123775/294038</f>
        <v>42.0948992987301</v>
      </c>
      <c r="R90">
        <f>100*97079/589728</f>
        <v>16.46165689945195</v>
      </c>
      <c r="S90">
        <f>IF(COUNT(Q90:R90)=2,R90-Q90,"")</f>
        <v>-25.63324239927815</v>
      </c>
    </row>
    <row r="91" spans="1:19" x14ac:dyDescent="0.3">
      <c r="A91">
        <v>17</v>
      </c>
      <c r="B91">
        <v>16</v>
      </c>
      <c r="C91">
        <f>100*210301/511283</f>
        <v>41.13201495062422</v>
      </c>
      <c r="D91">
        <f>100*91477/460096</f>
        <v>19.88215502851579</v>
      </c>
      <c r="E91">
        <f>IF(COUNT(C91:D91)=2,D91-C91,"")</f>
        <v>-21.249859922108428</v>
      </c>
      <c r="H91">
        <v>17</v>
      </c>
      <c r="I91">
        <v>16</v>
      </c>
      <c r="J91">
        <f>100*2558/107131</f>
        <v>2.3877309088872503</v>
      </c>
      <c r="K91">
        <f>100*256417/917001</f>
        <v>27.9625649263196</v>
      </c>
      <c r="L91">
        <f>IF(COUNT(J91:K91)=2,K91-J91,"")</f>
        <v>25.57483401743235</v>
      </c>
      <c r="O91">
        <v>17</v>
      </c>
      <c r="P91">
        <v>16</v>
      </c>
      <c r="Q91">
        <f>100*18236/388369</f>
        <v>4.695534401561401</v>
      </c>
      <c r="R91">
        <f>100*8075/407035</f>
        <v>1.9838588819143317</v>
      </c>
      <c r="S91">
        <f>IF(COUNT(Q91:R91)=2,R91-Q91,"")</f>
        <v>-2.71167551964707</v>
      </c>
    </row>
    <row r="92" spans="1:19" x14ac:dyDescent="0.3">
      <c r="A92">
        <v>18</v>
      </c>
      <c r="B92">
        <v>17</v>
      </c>
      <c r="C92">
        <f>100*394081/764993</f>
        <v>51.51432758208245</v>
      </c>
      <c r="D92">
        <f>100*34665/765746</f>
        <v>4.526958025245969</v>
      </c>
      <c r="E92">
        <f>IF(COUNT(C92:D92)=2,D92-C92,"")</f>
        <v>-46.987369556836484</v>
      </c>
      <c r="H92">
        <v>18</v>
      </c>
      <c r="I92">
        <v>17</v>
      </c>
      <c r="K92">
        <f>100*254/14557</f>
        <v>1.7448650133956172</v>
      </c>
      <c r="L92" t="str">
        <f>IF(COUNT(J92:K92)=2,K92-J92,"")</f>
        <v/>
      </c>
      <c r="O92">
        <v>18</v>
      </c>
      <c r="P92">
        <v>17</v>
      </c>
      <c r="Q92">
        <f>100*87307/484664</f>
        <v>18.013923047719658</v>
      </c>
      <c r="R92">
        <f>100*2521/438681</f>
        <v>0.5746772711833884</v>
      </c>
      <c r="S92">
        <f>IF(COUNT(Q92:R92)=2,R92-Q92,"")</f>
        <v>-17.439245776536268</v>
      </c>
    </row>
    <row r="93" spans="1:19" x14ac:dyDescent="0.3">
      <c r="A93">
        <v>19</v>
      </c>
      <c r="B93">
        <v>18</v>
      </c>
      <c r="C93">
        <f>100*356287/725510</f>
        <v>49.1084892007002</v>
      </c>
      <c r="D93">
        <f>100*5622/426244</f>
        <v>1.318962847570875</v>
      </c>
      <c r="E93">
        <f>IF(COUNT(C93:D93)=2,D93-C93,"")</f>
        <v>-47.789526353129325</v>
      </c>
      <c r="H93">
        <v>19</v>
      </c>
      <c r="I93">
        <v>18</v>
      </c>
      <c r="J93">
        <f>100*98670/626756</f>
        <v>15.742968555546337</v>
      </c>
      <c r="K93">
        <f>100*57355/615836</f>
        <v>9.313356153261582</v>
      </c>
      <c r="L93">
        <f>IF(COUNT(J93:K93)=2,K93-J93,"")</f>
        <v>-6.429612402284755</v>
      </c>
      <c r="O93">
        <v>19</v>
      </c>
      <c r="P93">
        <v>18</v>
      </c>
      <c r="Q93">
        <f>100*176507/342598</f>
        <v>51.52014897927017</v>
      </c>
      <c r="R93">
        <f>100*180637/779731</f>
        <v>23.166579243354438</v>
      </c>
      <c r="S93">
        <f>IF(COUNT(Q93:R93)=2,R93-Q93,"")</f>
        <v>-28.35356973591573</v>
      </c>
    </row>
    <row r="94" spans="1:19" x14ac:dyDescent="0.3">
      <c r="A94">
        <v>20</v>
      </c>
      <c r="B94">
        <v>19</v>
      </c>
      <c r="C94">
        <f>100*436080/868999</f>
        <v>50.18187592851085</v>
      </c>
      <c r="D94">
        <f>100*78330/631885</f>
        <v>12.396242987252426</v>
      </c>
      <c r="E94">
        <f>IF(COUNT(C94:D94)=2,D94-C94,"")</f>
        <v>-37.78563294125842</v>
      </c>
      <c r="H94">
        <v>20</v>
      </c>
      <c r="I94">
        <v>19</v>
      </c>
      <c r="J94">
        <f>100*63724/294932</f>
        <v>21.606336375842567</v>
      </c>
      <c r="K94">
        <f>100*60242/424886</f>
        <v>14.178391380276121</v>
      </c>
      <c r="L94">
        <f>IF(COUNT(J94:K94)=2,K94-J94,"")</f>
        <v>-7.427944995566445</v>
      </c>
      <c r="O94">
        <v>20</v>
      </c>
      <c r="P94">
        <v>19</v>
      </c>
      <c r="Q94">
        <f>100*271008/594768</f>
        <v>45.565329674763944</v>
      </c>
      <c r="R94">
        <f>100*11636/74373</f>
        <v>15.645462735132373</v>
      </c>
      <c r="S94">
        <f>IF(COUNT(Q94:R94)=2,R94-Q94,"")</f>
        <v>-29.91986693963157</v>
      </c>
    </row>
    <row r="95" spans="1:19" x14ac:dyDescent="0.3">
      <c r="A95">
        <v>21</v>
      </c>
      <c r="B95">
        <v>20</v>
      </c>
      <c r="C95">
        <f>100*288252/526914</f>
        <v>54.70570149967547</v>
      </c>
      <c r="D95">
        <f>100*53575/491277</f>
        <v>10.905253044616376</v>
      </c>
      <c r="E95">
        <f>IF(COUNT(C95:D95)=2,D95-C95,"")</f>
        <v>-43.8004484550591</v>
      </c>
      <c r="H95">
        <v>21</v>
      </c>
      <c r="I95">
        <v>20</v>
      </c>
      <c r="J95">
        <f>100*465002/826011</f>
        <v>56.29489195664465</v>
      </c>
      <c r="K95">
        <f>100*33788/612879</f>
        <v>5.512996855823091</v>
      </c>
      <c r="L95">
        <f>IF(COUNT(J95:K95)=2,K95-J95,"")</f>
        <v>-50.78189510082156</v>
      </c>
      <c r="O95">
        <v>21</v>
      </c>
      <c r="P95">
        <v>20</v>
      </c>
      <c r="Q95">
        <f>100*230728/471359</f>
        <v>48.9495267938026</v>
      </c>
      <c r="R95">
        <f>100*125965/590277</f>
        <v>21.33998105973975</v>
      </c>
      <c r="S95">
        <f>IF(COUNT(Q95:R95)=2,R95-Q95,"")</f>
        <v>-27.60954573406285</v>
      </c>
    </row>
    <row r="96" spans="1:19" x14ac:dyDescent="0.3">
      <c r="A96">
        <v>22</v>
      </c>
      <c r="B96">
        <v>21</v>
      </c>
      <c r="C96">
        <f>100*56325/137188</f>
        <v>41.056797970667986</v>
      </c>
      <c r="D96">
        <f>100*70953/285050</f>
        <v>24.891422557446063</v>
      </c>
      <c r="E96">
        <f>IF(COUNT(C96:D96)=2,D96-C96,"")</f>
        <v>-16.165375413221923</v>
      </c>
      <c r="H96">
        <v>22</v>
      </c>
      <c r="I96">
        <v>21</v>
      </c>
      <c r="J96">
        <f>100*144864/290419</f>
        <v>49.881033954390034</v>
      </c>
      <c r="K96">
        <f>100*113245/437597</f>
        <v>25.87883372143776</v>
      </c>
      <c r="L96">
        <f>IF(COUNT(J96:K96)=2,K96-J96,"")</f>
        <v>-24.002200232952273</v>
      </c>
      <c r="O96">
        <v>22</v>
      </c>
      <c r="P96">
        <v>21</v>
      </c>
      <c r="Q96">
        <f>100*25278/69101</f>
        <v>36.58123616156061</v>
      </c>
      <c r="R96">
        <f>100*81213/339200</f>
        <v>23.94251179245283</v>
      </c>
      <c r="S96">
        <f>IF(COUNT(Q96:R96)=2,R96-Q96,"")</f>
        <v>-12.63872436910778</v>
      </c>
    </row>
    <row r="97" spans="1:19" x14ac:dyDescent="0.3">
      <c r="A97">
        <v>23</v>
      </c>
      <c r="B97">
        <v>22</v>
      </c>
      <c r="C97">
        <f>100*288383/663204</f>
        <v>43.48330227200077</v>
      </c>
      <c r="D97">
        <f>100*180459/1035552</f>
        <v>17.42635811625104</v>
      </c>
      <c r="E97">
        <f>IF(COUNT(C97:D97)=2,D97-C97,"")</f>
        <v>-26.05694415574973</v>
      </c>
      <c r="H97">
        <v>23</v>
      </c>
      <c r="I97">
        <v>22</v>
      </c>
      <c r="J97">
        <f>100*455714/839395</f>
        <v>54.29076894668184</v>
      </c>
      <c r="K97">
        <f>100*237348/1045543</f>
        <v>22.700931477710625</v>
      </c>
      <c r="L97">
        <f>IF(COUNT(J97:K97)=2,K97-J97,"")</f>
        <v>-31.58983746897121</v>
      </c>
      <c r="O97">
        <v>23</v>
      </c>
      <c r="P97">
        <v>22</v>
      </c>
      <c r="Q97">
        <f>100*745/388450</f>
        <v>0.1917878748873729</v>
      </c>
      <c r="R97">
        <f>100*3111/407971</f>
        <v>0.7625542011564548</v>
      </c>
      <c r="S97">
        <f>IF(COUNT(Q97:R97)=2,R97-Q97,"")</f>
        <v>0.5707663262690819</v>
      </c>
    </row>
    <row r="98" spans="1:19" x14ac:dyDescent="0.3">
      <c r="A98">
        <v>24</v>
      </c>
      <c r="B98">
        <v>23</v>
      </c>
      <c r="C98">
        <f>100*197095/749959</f>
        <v>26.28077001542751</v>
      </c>
      <c r="D98">
        <f>100*186826/907878</f>
        <v>20.578315588658388</v>
      </c>
      <c r="E98">
        <f>IF(COUNT(C98:D98)=2,D98-C98,"")</f>
        <v>-5.702454426769123</v>
      </c>
      <c r="H98">
        <v>24</v>
      </c>
      <c r="I98">
        <v>23</v>
      </c>
      <c r="J98">
        <f>100*361494/762974</f>
        <v>47.37959615924002</v>
      </c>
      <c r="K98">
        <f>100*68451/758816</f>
        <v>9.020763926959896</v>
      </c>
      <c r="L98">
        <f>IF(COUNT(J98:K98)=2,K98-J98,"")</f>
        <v>-38.35883223228013</v>
      </c>
      <c r="O98">
        <v>24</v>
      </c>
      <c r="P98">
        <v>23</v>
      </c>
      <c r="Q98">
        <f>100*292810/722778</f>
        <v>40.51174772890155</v>
      </c>
      <c r="R98">
        <f>100*37010/711842</f>
        <v>5.199187460138626</v>
      </c>
      <c r="S98">
        <f>IF(COUNT(Q98:R98)=2,R98-Q98,"")</f>
        <v>-35.31256026876292</v>
      </c>
    </row>
    <row r="99" spans="1:19" x14ac:dyDescent="0.3">
      <c r="A99">
        <v>25</v>
      </c>
      <c r="B99">
        <v>24</v>
      </c>
      <c r="C99">
        <f>100*283892/666913</f>
        <v>42.56807109772939</v>
      </c>
      <c r="D99">
        <f>100*120850/862732</f>
        <v>14.007826300635655</v>
      </c>
      <c r="E99">
        <f>IF(COUNT(C99:D99)=2,D99-C99,"")</f>
        <v>-28.56024479709373</v>
      </c>
      <c r="H99">
        <v>25</v>
      </c>
      <c r="I99">
        <v>24</v>
      </c>
      <c r="J99">
        <f>100*297339/579923</f>
        <v>51.27215164771875</v>
      </c>
      <c r="K99">
        <f>100*105787/674164</f>
        <v>15.691582463614195</v>
      </c>
      <c r="L99">
        <f>IF(COUNT(J99:K99)=2,K99-J99,"")</f>
        <v>-35.580569184104554</v>
      </c>
      <c r="O99">
        <v>25</v>
      </c>
      <c r="P99">
        <v>24</v>
      </c>
      <c r="Q99">
        <f>100*194348/434877</f>
        <v>44.69033772767932</v>
      </c>
      <c r="R99">
        <f>100*143279/544916</f>
        <v>26.29377738954261</v>
      </c>
      <c r="S99">
        <f>IF(COUNT(Q99:R99)=2,R99-Q99,"")</f>
        <v>-18.396560338136712</v>
      </c>
    </row>
    <row r="100" spans="1:19" x14ac:dyDescent="0.3">
      <c r="A100">
        <v>26</v>
      </c>
      <c r="B100">
        <v>25</v>
      </c>
      <c r="C100">
        <f>100*327098/548933</f>
        <v>59.587964287080574</v>
      </c>
      <c r="D100">
        <f>100*84751/526533</f>
        <v>16.096047161336518</v>
      </c>
      <c r="E100">
        <f>IF(COUNT(C100:D100)=2,D100-C100,"")</f>
        <v>-43.49191712574405</v>
      </c>
      <c r="H100">
        <v>26</v>
      </c>
      <c r="I100">
        <v>25</v>
      </c>
      <c r="J100">
        <f>100*30617/503886</f>
        <v>6.076175960435496</v>
      </c>
      <c r="K100">
        <f>100*49712/513369</f>
        <v>9.683483030724489</v>
      </c>
      <c r="L100">
        <f>IF(COUNT(J100:K100)=2,K100-J100,"")</f>
        <v>3.607307070288993</v>
      </c>
      <c r="O100">
        <v>26</v>
      </c>
      <c r="P100">
        <v>25</v>
      </c>
      <c r="Q100">
        <f>100*196342/383537</f>
        <v>51.19245340084529</v>
      </c>
      <c r="R100">
        <f>100*1661/4245</f>
        <v>39.1283863368669</v>
      </c>
      <c r="S100">
        <f>IF(COUNT(Q100:R100)=2,R100-Q100,"")</f>
        <v>-12.064067063978385</v>
      </c>
    </row>
    <row r="101" spans="1:19" x14ac:dyDescent="0.3">
      <c r="A101">
        <v>27</v>
      </c>
      <c r="B101">
        <v>26</v>
      </c>
      <c r="C101">
        <f>100*131956/715212</f>
        <v>18.449914151328556</v>
      </c>
      <c r="D101">
        <f>100*123965/759570</f>
        <v>16.320418131311136</v>
      </c>
      <c r="E101">
        <f>IF(COUNT(C101:D101)=2,D101-C101,"")</f>
        <v>-2.12949602001742</v>
      </c>
      <c r="H101">
        <v>27</v>
      </c>
      <c r="I101">
        <v>26</v>
      </c>
      <c r="J101">
        <f>100*110948/559494</f>
        <v>19.830060733448438</v>
      </c>
      <c r="K101">
        <f>100*78762/630678</f>
        <v>12.48846479503011</v>
      </c>
      <c r="L101">
        <f>IF(COUNT(J101:K101)=2,K101-J101,"")</f>
        <v>-7.341595938418328</v>
      </c>
      <c r="O101">
        <v>27</v>
      </c>
      <c r="P101">
        <v>26</v>
      </c>
      <c r="Q101">
        <f>100*186316/322263</f>
        <v>57.81489032250057</v>
      </c>
      <c r="R101">
        <f>100*146394/606932</f>
        <v>24.120329789828187</v>
      </c>
      <c r="S101">
        <f>IF(COUNT(Q101:R101)=2,R101-Q101,"")</f>
        <v>-33.694560532672384</v>
      </c>
    </row>
    <row r="102" spans="1:19" x14ac:dyDescent="0.3">
      <c r="A102">
        <v>28</v>
      </c>
      <c r="B102">
        <v>27</v>
      </c>
      <c r="C102">
        <f>100*93368/326528</f>
        <v>28.59417875343003</v>
      </c>
      <c r="D102">
        <f>100*138414/626039</f>
        <v>22.10948519181712</v>
      </c>
      <c r="E102">
        <f>IF(COUNT(C102:D102)=2,D102-C102,"")</f>
        <v>-6.484693561612907</v>
      </c>
      <c r="H102">
        <v>28</v>
      </c>
      <c r="I102">
        <v>27</v>
      </c>
      <c r="J102">
        <f>100*139061/401357</f>
        <v>34.6477076517913</v>
      </c>
      <c r="K102">
        <f>100*105751/652926</f>
        <v>16.19647555772017</v>
      </c>
      <c r="L102">
        <f>IF(COUNT(J102:K102)=2,K102-J102,"")</f>
        <v>-18.45123209407113</v>
      </c>
      <c r="O102">
        <v>28</v>
      </c>
      <c r="P102">
        <v>27</v>
      </c>
      <c r="Q102">
        <f>100*1759/765634</f>
        <v>0.22974423810854794</v>
      </c>
      <c r="R102">
        <f>100*3133/745928</f>
        <v>0.4200137278664965</v>
      </c>
      <c r="S102">
        <f>IF(COUNT(Q102:R102)=2,R102-Q102,"")</f>
        <v>0.19026948975794855</v>
      </c>
    </row>
    <row r="103" spans="1:19" x14ac:dyDescent="0.3">
      <c r="A103">
        <v>29</v>
      </c>
      <c r="B103">
        <v>28</v>
      </c>
      <c r="C103">
        <f>100*252391/493274</f>
        <v>51.16649164561684</v>
      </c>
      <c r="D103">
        <f>100*113852/681937</f>
        <v>16.695383884435074</v>
      </c>
      <c r="E103">
        <f>IF(COUNT(C103:D103)=2,D103-C103,"")</f>
        <v>-34.47110776118176</v>
      </c>
      <c r="H103">
        <v>29</v>
      </c>
      <c r="I103">
        <v>28</v>
      </c>
      <c r="J103">
        <f>100*239541/426383</f>
        <v>56.17977264571993</v>
      </c>
      <c r="K103">
        <f>100*68844/632726</f>
        <v>10.880539127521233</v>
      </c>
      <c r="L103">
        <f>IF(COUNT(J103:K103)=2,K103-J103,"")</f>
        <v>-45.2992335181987</v>
      </c>
      <c r="O103">
        <v>29</v>
      </c>
      <c r="P103">
        <v>28</v>
      </c>
      <c r="Q103">
        <f>100*180468/321414</f>
        <v>56.14814538259068</v>
      </c>
      <c r="R103">
        <f>100*130678/534068</f>
        <v>24.468419751791906</v>
      </c>
      <c r="S103">
        <f>IF(COUNT(Q103:R103)=2,R103-Q103,"")</f>
        <v>-31.67972563079877</v>
      </c>
    </row>
    <row r="104" spans="1:19" x14ac:dyDescent="0.3">
      <c r="A104">
        <v>30</v>
      </c>
      <c r="B104">
        <v>29</v>
      </c>
      <c r="C104">
        <f>100*7199/513080</f>
        <v>1.40309503391284</v>
      </c>
      <c r="D104">
        <f>100*24939/781194</f>
        <v>3.19242083272529</v>
      </c>
      <c r="E104">
        <f>IF(COUNT(C104:D104)=2,D104-C104,"")</f>
        <v>1.7893257988124498</v>
      </c>
      <c r="H104">
        <v>30</v>
      </c>
      <c r="I104">
        <v>29</v>
      </c>
      <c r="J104">
        <f>100*176819/628999</f>
        <v>28.111173467684367</v>
      </c>
      <c r="K104">
        <f>100*19573/560982</f>
        <v>3.4890602550527468</v>
      </c>
      <c r="L104">
        <f>IF(COUNT(J104:K104)=2,K104-J104,"")</f>
        <v>-24.62211321263162</v>
      </c>
      <c r="O104">
        <v>30</v>
      </c>
      <c r="P104">
        <v>29</v>
      </c>
      <c r="Q104">
        <f>100*273685/521227</f>
        <v>52.5078324798984</v>
      </c>
      <c r="R104">
        <f>100*99523/591535</f>
        <v>16.82453278335179</v>
      </c>
      <c r="S104">
        <f>IF(COUNT(Q104:R104)=2,R104-Q104,"")</f>
        <v>-35.68329969654661</v>
      </c>
    </row>
    <row r="105" spans="1:19" x14ac:dyDescent="0.3">
      <c r="A105">
        <v>31</v>
      </c>
      <c r="B105">
        <v>30</v>
      </c>
      <c r="C105">
        <f>100*174463/441755</f>
        <v>39.49315797217915</v>
      </c>
      <c r="D105">
        <f>100*84750/667324</f>
        <v>12.69997782186764</v>
      </c>
      <c r="E105">
        <f>IF(COUNT(C105:D105)=2,D105-C105,"")</f>
        <v>-26.793180150311507</v>
      </c>
      <c r="H105">
        <v>31</v>
      </c>
      <c r="I105">
        <v>30</v>
      </c>
      <c r="J105">
        <f>100*69915/403117</f>
        <v>17.343599997023198</v>
      </c>
      <c r="K105">
        <f>100*52972/400058</f>
        <v>13.241080043393708</v>
      </c>
      <c r="L105">
        <f>IF(COUNT(J105:K105)=2,K105-J105,"")</f>
        <v>-4.102519953629489</v>
      </c>
      <c r="O105">
        <v>31</v>
      </c>
      <c r="P105">
        <v>30</v>
      </c>
      <c r="Q105">
        <f>100*141232/628600</f>
        <v>22.467706013363028</v>
      </c>
      <c r="R105">
        <f>100*2465/416731</f>
        <v>0.5915086710611882</v>
      </c>
      <c r="S105">
        <f>IF(COUNT(Q105:R105)=2,R105-Q105,"")</f>
        <v>-21.87619734230184</v>
      </c>
    </row>
    <row r="106" spans="1:19" x14ac:dyDescent="0.3">
      <c r="A106" t="s">
        <v>5</v>
      </c>
      <c r="C106">
        <f>IF(COUNT(C75:C105)&gt;0,AVERAGE(C75:C105),"")</f>
        <v>35.1823377390142</v>
      </c>
      <c r="D106">
        <f>IF(COUNT(D75:D105)&gt;0,AVERAGE(D75:D105),"")</f>
        <v>12.482046759257305</v>
      </c>
      <c r="E106">
        <f>IF(COUNT(E75:E105)&gt;0,AVERAGE(E75:E105),"")</f>
        <v>-22.70029097975689</v>
      </c>
      <c r="H106" t="s">
        <v>5</v>
      </c>
      <c r="J106">
        <f>IF(COUNT(J75:J105)&gt;0,AVERAGE(J75:J105),"")</f>
        <v>36.36341959604758</v>
      </c>
      <c r="K106">
        <f>IF(COUNT(K75:K105)&gt;0,AVERAGE(K75:K105),"")</f>
        <v>12.160051284715317</v>
      </c>
      <c r="L106">
        <f>IF(COUNT(L75:L105)&gt;0,AVERAGE(L75:L105),"")</f>
        <v>-23.85619543562159</v>
      </c>
      <c r="O106" t="s">
        <v>5</v>
      </c>
      <c r="Q106">
        <f>IF(COUNT(Q75:Q105)&gt;0,AVERAGE(Q75:Q105),"")</f>
        <v>36.77372678334244</v>
      </c>
      <c r="R106">
        <f>IF(COUNT(R75:R105)&gt;0,AVERAGE(R75:R105),"")</f>
        <v>15.244089410960271</v>
      </c>
      <c r="S106">
        <f>IF(COUNT(S75:S105)&gt;0,AVERAGE(S75:S105),"")</f>
        <v>-21.529637372382165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LCC(RREQ, q_1)</vt:lpstr>
      <vt:lpstr>LCC(RREQ, q_2)</vt:lpstr>
      <vt:lpstr>LCC(RREQ, q_3)</vt:lpstr>
      <vt:lpstr>LCC(RREQ, q_4)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JongHyeon Choe</dc:creator>
  <cp:lastModifiedBy>JongHyeon Choe</cp:lastModifiedBy>
  <dcterms:created xsi:type="dcterms:W3CDTF">2015-06-05T18:19:34Z</dcterms:created>
  <dcterms:modified xsi:type="dcterms:W3CDTF">2026-09-14T05:20:47Z</dcterms:modified>
</cp:coreProperties>
</file>