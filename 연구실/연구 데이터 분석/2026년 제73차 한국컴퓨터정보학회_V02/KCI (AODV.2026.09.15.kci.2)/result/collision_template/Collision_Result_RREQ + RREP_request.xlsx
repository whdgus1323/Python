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hoe JongHyeon\Desktop\KCI_작성_3\Figure_1\Result\Collision\Ping_Reply\"/>
    </mc:Choice>
  </mc:AlternateContent>
  <xr:revisionPtr revIDLastSave="0" documentId="13_ncr:1_{82B65950-E6ED-487E-A55B-5AA72CF38313}" xr6:coauthVersionLast="36" xr6:coauthVersionMax="36" xr10:uidLastSave="{00000000-0000-0000-0000-000000000000}"/>
  <bookViews>
    <workbookView xWindow="0" yWindow="0" windowWidth="22260" windowHeight="12645" activeTab="3" xr2:uid="{00000000-000D-0000-FFFF-FFFF00000000}"/>
  </bookViews>
  <sheets>
    <sheet name="LCC(RREQ + RREP, q_1)" sheetId="1" r:id="rId1"/>
    <sheet name="LCC(RREQ + RREP, q_2)" sheetId="2" r:id="rId2"/>
    <sheet name="LCC(RREQ + RREP, q_3)" sheetId="4" r:id="rId3"/>
    <sheet name="LCC(RREQ + RREP, q_4)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<sst xmlns="http://schemas.openxmlformats.org/spreadsheetml/2006/main" count="252" uniqueCount="15">
  <si>
    <t>No</t>
  </si>
  <si>
    <t>nodeId</t>
  </si>
  <si>
    <t>Legacy</t>
  </si>
  <si>
    <t>Proposed</t>
  </si>
  <si>
    <t>Delta</t>
  </si>
  <si>
    <t>AVG</t>
  </si>
  <si>
    <t>차량대수 70, 최고 속력 30km/h</t>
    <phoneticPr fontId="1" type="noConversion"/>
  </si>
  <si>
    <t>차량대수 70, 최고 속력 20km/h</t>
    <phoneticPr fontId="1" type="noConversion"/>
  </si>
  <si>
    <t>차량대수 70, 최고 속력 10km/h</t>
    <phoneticPr fontId="1" type="noConversion"/>
  </si>
  <si>
    <t>차량대수 100, 최고 속력 30km/h</t>
    <phoneticPr fontId="1" type="noConversion"/>
  </si>
  <si>
    <t>차량대수 100, 최고 속력 20km/h</t>
    <phoneticPr fontId="1" type="noConversion"/>
  </si>
  <si>
    <t>차량대수 100, 최고 속력 10km/h</t>
    <phoneticPr fontId="1" type="noConversion"/>
  </si>
  <si>
    <t>차량대수 120, 최고 속력 30km/h</t>
    <phoneticPr fontId="1" type="noConversion"/>
  </si>
  <si>
    <t>차량대수 120, 최고 속력 20km/h</t>
    <phoneticPr fontId="1" type="noConversion"/>
  </si>
  <si>
    <t>차량대수 120, 최고 속력 10km/h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</si>
</sst>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6"/>
  <sheetViews>
    <sheetView workbookViewId="0">
      <selection activeCell="F65" sqref="F65"/>
    </sheetView>
  </sheetViews>
  <sheetFormatPr defaultRowHeight="16.5" x14ac:dyDescent="0.3"/>
  <sheetData>
    <row r="1" spans="1:19" s="2" customFormat="1" ht="17.25" customHeight="1" x14ac:dyDescent="0.3">
      <c r="A1" s="1" t="s">
        <v>6</v>
      </c>
      <c r="B1" s="1"/>
      <c r="C1" s="1"/>
      <c r="D1" s="1"/>
      <c r="E1" s="1"/>
      <c r="H1" s="1" t="s">
        <v>7</v>
      </c>
      <c r="I1" s="1"/>
      <c r="J1" s="1"/>
      <c r="K1" s="1"/>
      <c r="L1" s="1"/>
      <c r="O1" s="1" t="s">
        <v>8</v>
      </c>
      <c r="P1" s="1"/>
      <c r="Q1" s="1"/>
      <c r="R1" s="1"/>
      <c r="S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3">
      <c r="A3">
        <v>1</v>
      </c>
      <c r="B3">
        <v>0</v>
      </c>
      <c r="C3">
        <f>100*332764/1052174</f>
        <v>31.626327964766283</v>
      </c>
      <c r="D3">
        <f>100*151347/804725</f>
        <v>18.807294417347542</v>
      </c>
      <c r="E3">
        <f>IF(COUNT(C3:D3)=2,D3-C3,"")</f>
        <v>-12.81903354741874</v>
      </c>
      <c r="H3">
        <v>1</v>
      </c>
      <c r="I3">
        <v>0</v>
      </c>
      <c r="J3">
        <f>100*291815/1145550</f>
        <v>25.47378988258915</v>
      </c>
      <c r="K3">
        <f>100*264585/1120642</f>
        <v>23.61012705217188</v>
      </c>
      <c r="L3">
        <f>IF(COUNT(J3:K3)=2,K3-J3,"")</f>
        <v>-1.8636628304172689</v>
      </c>
      <c r="O3">
        <v>1</v>
      </c>
      <c r="P3">
        <v>0</v>
      </c>
      <c r="Q3">
        <f>100*208586/733698</f>
        <v>28.429408285152746</v>
      </c>
      <c r="R3">
        <f>100*111643/647729</f>
        <v>17.23606631785824</v>
      </c>
      <c r="S3">
        <f>IF(COUNT(Q3:R3)=2,R3-Q3,"")</f>
        <v>-11.193341967294508</v>
      </c>
    </row>
    <row r="4" spans="1:19" x14ac:dyDescent="0.3">
      <c r="A4">
        <v>2</v>
      </c>
      <c r="B4">
        <v>1</v>
      </c>
      <c r="C4">
        <f>100*356409/1118920</f>
        <v>31.852947485074893</v>
      </c>
      <c r="D4">
        <f>100*378608/1452315</f>
        <v>26.06927560481025</v>
      </c>
      <c r="E4">
        <f>IF(COUNT(C4:D4)=2,D4-C4,"")</f>
        <v>-5.783671880264642</v>
      </c>
      <c r="H4">
        <v>2</v>
      </c>
      <c r="I4">
        <v>1</v>
      </c>
      <c r="J4">
        <f>100*130334/783729</f>
        <v>16.629983068126865</v>
      </c>
      <c r="K4">
        <f>100*209544/935638</f>
        <v>22.395841126589556</v>
      </c>
      <c r="L4">
        <f>IF(COUNT(J4:K4)=2,K4-J4,"")</f>
        <v>5.76585805846269</v>
      </c>
      <c r="O4">
        <v>2</v>
      </c>
      <c r="P4">
        <v>1</v>
      </c>
      <c r="Q4">
        <f>100*510455/1451156</f>
        <v>35.17574954036644</v>
      </c>
      <c r="R4">
        <f>100*357572/1227375</f>
        <v>29.13306854058458</v>
      </c>
      <c r="S4">
        <f>IF(COUNT(Q4:R4)=2,R4-Q4,"")</f>
        <v>-6.042680999781858</v>
      </c>
    </row>
    <row r="5" spans="1:19" x14ac:dyDescent="0.3">
      <c r="A5">
        <v>3</v>
      </c>
      <c r="B5">
        <v>2</v>
      </c>
      <c r="C5">
        <f>100*397332/1270809</f>
        <v>31.266067520768267</v>
      </c>
      <c r="D5">
        <f>100*142711/854436</f>
        <v>16.702362728162203</v>
      </c>
      <c r="E5">
        <f>IF(COUNT(C5:D5)=2,D5-C5,"")</f>
        <v>-14.563704792606064</v>
      </c>
      <c r="H5">
        <v>3</v>
      </c>
      <c r="I5">
        <v>2</v>
      </c>
      <c r="J5">
        <f>100*147851/1441835</f>
        <v>10.25436336335295</v>
      </c>
      <c r="K5">
        <f>100*87447/698868</f>
        <v>12.512663335565515</v>
      </c>
      <c r="L5">
        <f>IF(COUNT(J5:K5)=2,K5-J5,"")</f>
        <v>2.2582999722125656</v>
      </c>
      <c r="O5">
        <v>3</v>
      </c>
      <c r="P5">
        <v>2</v>
      </c>
      <c r="Q5">
        <f>100*480143/1280935</f>
        <v>37.48379113694293</v>
      </c>
      <c r="R5">
        <f>100*327784/1224692</f>
        <v>26.764606937907654</v>
      </c>
      <c r="S5">
        <f>IF(COUNT(Q5:R5)=2,R5-Q5,"")</f>
        <v>-10.71918419903528</v>
      </c>
    </row>
    <row r="6" spans="1:19" x14ac:dyDescent="0.3">
      <c r="A6">
        <v>4</v>
      </c>
      <c r="B6">
        <v>3</v>
      </c>
      <c r="C6">
        <f>100*16403/519550</f>
        <v>3.1571552304879225</v>
      </c>
      <c r="D6">
        <f>100*42361/639512</f>
        <v>6.623957017225634</v>
      </c>
      <c r="E6">
        <f>IF(COUNT(C6:D6)=2,D6-C6,"")</f>
        <v>3.4668017867377117</v>
      </c>
      <c r="H6">
        <v>4</v>
      </c>
      <c r="I6">
        <v>3</v>
      </c>
      <c r="J6">
        <f>100*123870/784417</f>
        <v>15.791345674558302</v>
      </c>
      <c r="K6">
        <f>100*34016/511172</f>
        <v>6.654511592966751</v>
      </c>
      <c r="L6">
        <f>IF(COUNT(J6:K6)=2,K6-J6,"")</f>
        <v>-9.136834081591552</v>
      </c>
      <c r="O6">
        <v>4</v>
      </c>
      <c r="P6">
        <v>3</v>
      </c>
      <c r="Q6">
        <f>100*450191/1211277</f>
        <v>37.16664313777939</v>
      </c>
      <c r="R6">
        <f>100*287843/1157402</f>
        <v>24.869751391478502</v>
      </c>
      <c r="S6">
        <f>IF(COUNT(Q6:R6)=2,R6-Q6,"")</f>
        <v>-12.296891746300886</v>
      </c>
    </row>
    <row r="7" spans="1:19" x14ac:dyDescent="0.3">
      <c r="A7">
        <v>5</v>
      </c>
      <c r="B7">
        <v>4</v>
      </c>
      <c r="C7">
        <f>100*497044/1286267</f>
        <v>38.64236585405674</v>
      </c>
      <c r="D7">
        <f>100*328338/1367380</f>
        <v>24.012198511021076</v>
      </c>
      <c r="E7">
        <f>IF(COUNT(C7:D7)=2,D7-C7,"")</f>
        <v>-14.630167343035666</v>
      </c>
      <c r="H7">
        <v>5</v>
      </c>
      <c r="I7">
        <v>4</v>
      </c>
      <c r="J7">
        <f>100*342477/1148710</f>
        <v>29.814052284736793</v>
      </c>
      <c r="K7">
        <f>100*176429/886609</f>
        <v>19.89930172150294</v>
      </c>
      <c r="L7">
        <f>IF(COUNT(J7:K7)=2,K7-J7,"")</f>
        <v>-9.914750563233852</v>
      </c>
      <c r="O7">
        <v>5</v>
      </c>
      <c r="P7">
        <v>4</v>
      </c>
      <c r="Q7">
        <f>100*389359/1092762</f>
        <v>35.63072288384845</v>
      </c>
      <c r="R7">
        <f>100*138629/789280</f>
        <v>17.563982363673222</v>
      </c>
      <c r="S7">
        <f>IF(COUNT(Q7:R7)=2,R7-Q7,"")</f>
        <v>-18.066740520175227</v>
      </c>
    </row>
    <row r="8" spans="1:19" x14ac:dyDescent="0.3">
      <c r="A8">
        <v>6</v>
      </c>
      <c r="B8">
        <v>5</v>
      </c>
      <c r="C8">
        <f>100*295084/1125005</f>
        <v>26.229572313011943</v>
      </c>
      <c r="D8">
        <f>100*215689/1051975</f>
        <v>20.503243898381616</v>
      </c>
      <c r="E8">
        <f>IF(COUNT(C8:D8)=2,D8-C8,"")</f>
        <v>-5.726328414630327</v>
      </c>
      <c r="H8">
        <v>6</v>
      </c>
      <c r="I8">
        <v>5</v>
      </c>
      <c r="J8">
        <f>100*246415/1039225</f>
        <v>23.71141956746614</v>
      </c>
      <c r="K8">
        <f>100*256363/1147566</f>
        <v>22.339717279877583</v>
      </c>
      <c r="L8">
        <f>IF(COUNT(J8:K8)=2,K8-J8,"")</f>
        <v>-1.3717022875885583</v>
      </c>
      <c r="O8">
        <v>6</v>
      </c>
      <c r="P8">
        <v>5</v>
      </c>
      <c r="Q8">
        <f>100*269836/994553</f>
        <v>27.131384652200538</v>
      </c>
      <c r="R8">
        <f>100*154027/760595</f>
        <v>20.250856237550863</v>
      </c>
      <c r="S8">
        <f>IF(COUNT(Q8:R8)=2,R8-Q8,"")</f>
        <v>-6.880528414649675</v>
      </c>
    </row>
    <row r="9" spans="1:19" x14ac:dyDescent="0.3">
      <c r="A9">
        <v>7</v>
      </c>
      <c r="B9">
        <v>6</v>
      </c>
      <c r="C9">
        <f>100*240424/851852</f>
        <v>28.223682048055295</v>
      </c>
      <c r="D9">
        <f>100*26300/392530</f>
        <v>6.700124831223091</v>
      </c>
      <c r="E9">
        <f>IF(COUNT(C9:D9)=2,D9-C9,"")</f>
        <v>-21.523557216832202</v>
      </c>
      <c r="H9">
        <v>7</v>
      </c>
      <c r="I9">
        <v>6</v>
      </c>
      <c r="J9">
        <f>100*3261/356727</f>
        <v>0.9141444297740289</v>
      </c>
      <c r="K9">
        <f>100*2707/346678</f>
        <v>0.780839857158516</v>
      </c>
      <c r="L9">
        <f>IF(COUNT(J9:K9)=2,K9-J9,"")</f>
        <v>-0.13330457261551287</v>
      </c>
      <c r="O9">
        <v>7</v>
      </c>
      <c r="P9">
        <v>6</v>
      </c>
      <c r="Q9">
        <f>100*460466/1246393</f>
        <v>36.94388527535055</v>
      </c>
      <c r="R9">
        <f>100*180298/973838</f>
        <v>18.514167654168354</v>
      </c>
      <c r="S9">
        <f>IF(COUNT(Q9:R9)=2,R9-Q9,"")</f>
        <v>-18.4297176211822</v>
      </c>
    </row>
    <row r="10" spans="1:19" x14ac:dyDescent="0.3">
      <c r="A10">
        <v>8</v>
      </c>
      <c r="B10">
        <v>7</v>
      </c>
      <c r="C10">
        <f>100*3447/313581</f>
        <v>1.09923751757919</v>
      </c>
      <c r="D10">
        <f>100*3447/313581</f>
        <v>1.09923751757919</v>
      </c>
      <c r="E10">
        <f>IF(COUNT(C10:D10)=2,D10-C10,"")</f>
        <v>0.0</v>
      </c>
      <c r="H10">
        <v>8</v>
      </c>
      <c r="I10">
        <v>7</v>
      </c>
      <c r="J10">
        <f>100*275/278589</f>
        <v>0.09871172228623527</v>
      </c>
      <c r="K10">
        <f>100*275/278589</f>
        <v>0.09871172228623527</v>
      </c>
      <c r="L10">
        <f>IF(COUNT(J10:K10)=2,K10-J10,"")</f>
        <v>0.0</v>
      </c>
      <c r="O10">
        <v>8</v>
      </c>
      <c r="P10">
        <v>7</v>
      </c>
      <c r="Q10">
        <f>100*631465/1523952</f>
        <v>41.43601635747058</v>
      </c>
      <c r="R10">
        <f>100*298827/1148719</f>
        <v>26.01393378189096</v>
      </c>
      <c r="S10">
        <f>IF(COUNT(Q10:R10)=2,R10-Q10,"")</f>
        <v>-15.42208257557962</v>
      </c>
    </row>
    <row r="11" spans="1:19" x14ac:dyDescent="0.3">
      <c r="A11">
        <v>9</v>
      </c>
      <c r="B11">
        <v>8</v>
      </c>
      <c r="C11">
        <f>100*328851/1096172</f>
        <v>29.999945264064397</v>
      </c>
      <c r="D11">
        <f>100*105769/713448</f>
        <v>14.82504681490452</v>
      </c>
      <c r="E11">
        <f>IF(COUNT(C11:D11)=2,D11-C11,"")</f>
        <v>-15.174898449159878</v>
      </c>
      <c r="H11">
        <v>9</v>
      </c>
      <c r="I11">
        <v>8</v>
      </c>
      <c r="J11">
        <f>100*382533/1287826</f>
        <v>29.70377985845914</v>
      </c>
      <c r="K11">
        <f>100*293745/1221751</f>
        <v>24.042951468834485</v>
      </c>
      <c r="L11">
        <f>IF(COUNT(J11:K11)=2,K11-J11,"")</f>
        <v>-5.660828389624655</v>
      </c>
      <c r="O11">
        <v>9</v>
      </c>
      <c r="P11">
        <v>8</v>
      </c>
      <c r="Q11">
        <f>100*511514/1411309</f>
        <v>36.24394090875917</v>
      </c>
      <c r="R11">
        <f>100*345994/1237367</f>
        <v>27.962116332502806</v>
      </c>
      <c r="S11">
        <f>IF(COUNT(Q11:R11)=2,R11-Q11,"")</f>
        <v>-8.281824576256366</v>
      </c>
    </row>
    <row r="12" spans="1:19" x14ac:dyDescent="0.3">
      <c r="A12">
        <v>10</v>
      </c>
      <c r="B12">
        <v>9</v>
      </c>
      <c r="C12">
        <f>100*147882/738636</f>
        <v>20.0209575487791</v>
      </c>
      <c r="D12">
        <f>100*37841/447885</f>
        <v>8.448820567779675</v>
      </c>
      <c r="E12">
        <f>IF(COUNT(C12:D12)=2,D12-C12,"")</f>
        <v>-11.572136980999426</v>
      </c>
      <c r="H12">
        <v>10</v>
      </c>
      <c r="I12">
        <v>9</v>
      </c>
      <c r="J12">
        <f>100*179400/747366</f>
        <v>24.00430311253121</v>
      </c>
      <c r="K12">
        <f>100*63868/595756</f>
        <v>10.720496310570098</v>
      </c>
      <c r="L12">
        <f>IF(COUNT(J12:K12)=2,K12-J12,"")</f>
        <v>-13.283806801961113</v>
      </c>
      <c r="O12">
        <v>10</v>
      </c>
      <c r="P12">
        <v>9</v>
      </c>
      <c r="Q12">
        <f>100*361827/1149672</f>
        <v>31.47219380832098</v>
      </c>
      <c r="R12">
        <f>100*7602/433272</f>
        <v>1.7545560294687863</v>
      </c>
      <c r="S12">
        <f>IF(COUNT(Q12:R12)=2,R12-Q12,"")</f>
        <v>-29.717637778852193</v>
      </c>
    </row>
    <row r="13" spans="1:19" x14ac:dyDescent="0.3">
      <c r="A13">
        <v>11</v>
      </c>
      <c r="B13">
        <v>10</v>
      </c>
      <c r="C13">
        <f>100*4137/540292</f>
        <v>0.7656970675116419</v>
      </c>
      <c r="D13">
        <f>100*4419/543354</f>
        <v>0.8132819487847701</v>
      </c>
      <c r="E13">
        <f>IF(COUNT(C13:D13)=2,D13-C13,"")</f>
        <v>0.04758488127312821</v>
      </c>
      <c r="H13">
        <v>11</v>
      </c>
      <c r="I13">
        <v>10</v>
      </c>
      <c r="J13">
        <f>100*29717/602395</f>
        <v>4.933141875347571</v>
      </c>
      <c r="K13">
        <f>100*19523/609318</f>
        <v>3.2040740631328797</v>
      </c>
      <c r="L13">
        <f>IF(COUNT(J13:K13)=2,K13-J13,"")</f>
        <v>-1.7290678122146916</v>
      </c>
      <c r="O13">
        <v>11</v>
      </c>
      <c r="P13">
        <v>10</v>
      </c>
      <c r="Q13">
        <f>100*314083/1092488</f>
        <v>28.749331800440828</v>
      </c>
      <c r="R13">
        <f>100*279120/1107499</f>
        <v>25.202731560028496</v>
      </c>
      <c r="S13">
        <f>IF(COUNT(Q13:R13)=2,R13-Q13,"")</f>
        <v>-3.5466002404123316</v>
      </c>
    </row>
    <row r="14" spans="1:19" x14ac:dyDescent="0.3">
      <c r="A14">
        <v>12</v>
      </c>
      <c r="B14">
        <v>11</v>
      </c>
      <c r="C14">
        <f>100*469865/1292144</f>
        <v>36.363207196721106</v>
      </c>
      <c r="D14">
        <f>100*164229/928111</f>
        <v>17.694973984792767</v>
      </c>
      <c r="E14">
        <f>IF(COUNT(C14:D14)=2,D14-C14,"")</f>
        <v>-18.66823321192834</v>
      </c>
      <c r="H14">
        <v>12</v>
      </c>
      <c r="I14">
        <v>11</v>
      </c>
      <c r="J14">
        <f>100*17227/518447</f>
        <v>3.3228083102033574</v>
      </c>
      <c r="K14">
        <f>100*26639/510105</f>
        <v>5.222258162535164</v>
      </c>
      <c r="L14">
        <f>IF(COUNT(J14:K14)=2,K14-J14,"")</f>
        <v>1.8994498523318066</v>
      </c>
      <c r="O14">
        <v>12</v>
      </c>
      <c r="P14">
        <v>11</v>
      </c>
      <c r="Q14">
        <f>100*438660/1271352</f>
        <v>34.5034262737621</v>
      </c>
      <c r="R14">
        <f>100*305664/1161678</f>
        <v>26.312282749608755</v>
      </c>
      <c r="S14">
        <f>IF(COUNT(Q14:R14)=2,R14-Q14,"")</f>
        <v>-8.191143524153347</v>
      </c>
    </row>
    <row r="15" spans="1:19" x14ac:dyDescent="0.3">
      <c r="A15">
        <v>13</v>
      </c>
      <c r="B15">
        <v>12</v>
      </c>
      <c r="C15">
        <f>100*47266/521892</f>
        <v>9.0566630643888</v>
      </c>
      <c r="D15">
        <f>100*21437/463914</f>
        <v>4.620899563281125</v>
      </c>
      <c r="E15">
        <f>IF(COUNT(C15:D15)=2,D15-C15,"")</f>
        <v>-4.435763501107675</v>
      </c>
      <c r="H15">
        <v>13</v>
      </c>
      <c r="I15">
        <v>12</v>
      </c>
      <c r="J15">
        <f>100*544142/1461712</f>
        <v>37.22634828201451</v>
      </c>
      <c r="K15">
        <f>100*266165/1179729</f>
        <v>22.561537437835298</v>
      </c>
      <c r="L15">
        <f>IF(COUNT(J15:K15)=2,K15-J15,"")</f>
        <v>-14.664810844179215</v>
      </c>
      <c r="O15">
        <v>13</v>
      </c>
      <c r="P15">
        <v>12</v>
      </c>
      <c r="Q15">
        <f>100*357555/1108932</f>
        <v>32.243185335079154</v>
      </c>
      <c r="R15">
        <f>100*47402/714354</f>
        <v>6.635645632277554</v>
      </c>
      <c r="S15">
        <f>IF(COUNT(Q15:R15)=2,R15-Q15,"")</f>
        <v>-25.6075397028016</v>
      </c>
    </row>
    <row r="16" spans="1:19" x14ac:dyDescent="0.3">
      <c r="A16">
        <v>14</v>
      </c>
      <c r="B16">
        <v>13</v>
      </c>
      <c r="C16">
        <f>100*7402/385878</f>
        <v>1.9182228580017517</v>
      </c>
      <c r="D16">
        <f>100*6843/368545</f>
        <v>1.8567610468192486</v>
      </c>
      <c r="E16">
        <f>IF(COUNT(C16:D16)=2,D16-C16,"")</f>
        <v>-0.06146181118250316</v>
      </c>
      <c r="H16">
        <v>14</v>
      </c>
      <c r="I16">
        <v>13</v>
      </c>
      <c r="J16">
        <f>100*181558/818931</f>
        <v>22.170121780711685</v>
      </c>
      <c r="K16">
        <f>100*220894/1054475</f>
        <v>20.948244387017237</v>
      </c>
      <c r="L16">
        <f>IF(COUNT(J16:K16)=2,K16-J16,"")</f>
        <v>-1.2218773936944487</v>
      </c>
      <c r="O16">
        <v>14</v>
      </c>
      <c r="P16">
        <v>13</v>
      </c>
      <c r="Q16">
        <f>100*131266/578543</f>
        <v>22.689065462722738</v>
      </c>
      <c r="R16">
        <f>100*12946/358905</f>
        <v>3.607082654184255</v>
      </c>
      <c r="S16">
        <f>IF(COUNT(Q16:R16)=2,R16-Q16,"")</f>
        <v>-19.081982808538484</v>
      </c>
    </row>
    <row r="17" spans="1:19" x14ac:dyDescent="0.3">
      <c r="A17">
        <v>15</v>
      </c>
      <c r="B17">
        <v>14</v>
      </c>
      <c r="C17">
        <f>100*405804/1241849</f>
        <v>32.67740280823192</v>
      </c>
      <c r="D17">
        <f>100*177039/910222</f>
        <v>19.45009019777593</v>
      </c>
      <c r="E17">
        <f>IF(COUNT(C17:D17)=2,D17-C17,"")</f>
        <v>-13.22731261045599</v>
      </c>
      <c r="H17">
        <v>15</v>
      </c>
      <c r="I17">
        <v>14</v>
      </c>
      <c r="J17">
        <f>100*610081/1573211</f>
        <v>38.779350004544845</v>
      </c>
      <c r="K17">
        <f>100*297298/1270804</f>
        <v>23.394480974249372</v>
      </c>
      <c r="L17">
        <f>IF(COUNT(J17:K17)=2,K17-J17,"")</f>
        <v>-15.384869030295473</v>
      </c>
      <c r="O17">
        <v>15</v>
      </c>
      <c r="P17">
        <v>14</v>
      </c>
      <c r="Q17">
        <f>100*384174/1163453</f>
        <v>33.020156379329464</v>
      </c>
      <c r="R17">
        <f>100*159474/853247</f>
        <v>18.69025030266734</v>
      </c>
      <c r="S17">
        <f>IF(COUNT(Q17:R17)=2,R17-Q17,"")</f>
        <v>-14.329906076662123</v>
      </c>
    </row>
    <row r="18" spans="1:19" x14ac:dyDescent="0.3">
      <c r="A18">
        <v>16</v>
      </c>
      <c r="B18">
        <v>15</v>
      </c>
      <c r="C18">
        <f>100*397150/1193789</f>
        <v>33.26802307610474</v>
      </c>
      <c r="D18">
        <f>100*98373/750854</f>
        <v>13.101481779413842</v>
      </c>
      <c r="E18">
        <f>IF(COUNT(C18:D18)=2,D18-C18,"")</f>
        <v>-20.166541296690898</v>
      </c>
      <c r="H18">
        <v>16</v>
      </c>
      <c r="I18">
        <v>15</v>
      </c>
      <c r="J18">
        <f>100*311472/1035367</f>
        <v>30.083245844227218</v>
      </c>
      <c r="K18">
        <f>100*104690/716244</f>
        <v>14.616527328675703</v>
      </c>
      <c r="L18">
        <f>IF(COUNT(J18:K18)=2,K18-J18,"")</f>
        <v>-15.466718515551515</v>
      </c>
      <c r="O18">
        <v>16</v>
      </c>
      <c r="P18">
        <v>15</v>
      </c>
      <c r="Q18">
        <f>100*403580/1172064</f>
        <v>34.43327326835394</v>
      </c>
      <c r="R18">
        <f>100*300828/1226385</f>
        <v>24.529654227669123</v>
      </c>
      <c r="S18">
        <f>IF(COUNT(Q18:R18)=2,R18-Q18,"")</f>
        <v>-9.90361904068482</v>
      </c>
    </row>
    <row r="19" spans="1:19" x14ac:dyDescent="0.3">
      <c r="A19">
        <v>17</v>
      </c>
      <c r="B19">
        <v>16</v>
      </c>
      <c r="C19">
        <f>100*170884/804109</f>
        <v>21.251347765041803</v>
      </c>
      <c r="D19">
        <f>100*186824/1145823</f>
        <v>16.30478703953403</v>
      </c>
      <c r="E19">
        <f>IF(COUNT(C19:D19)=2,D19-C19,"")</f>
        <v>-4.946560725507773</v>
      </c>
      <c r="H19">
        <v>17</v>
      </c>
      <c r="I19">
        <v>16</v>
      </c>
      <c r="J19">
        <f>100*547667/1465339</f>
        <v>37.37476447429571</v>
      </c>
      <c r="K19">
        <f>100*137930/837142</f>
        <v>16.476296733409626</v>
      </c>
      <c r="L19">
        <f>IF(COUNT(J19:K19)=2,K19-J19,"")</f>
        <v>-20.898467740886083</v>
      </c>
      <c r="O19">
        <v>17</v>
      </c>
      <c r="P19">
        <v>16</v>
      </c>
      <c r="Q19">
        <f>100*34194/375756</f>
        <v>9.10005429055025</v>
      </c>
      <c r="R19">
        <f>100*2608/313832</f>
        <v>0.8310178694333273</v>
      </c>
      <c r="S19">
        <f>IF(COUNT(Q19:R19)=2,R19-Q19,"")</f>
        <v>-8.269036421116922</v>
      </c>
    </row>
    <row r="20" spans="1:19" x14ac:dyDescent="0.3">
      <c r="A20">
        <v>18</v>
      </c>
      <c r="B20">
        <v>17</v>
      </c>
      <c r="C20">
        <f>100*269013/913065</f>
        <v>29.462634095053474</v>
      </c>
      <c r="D20">
        <f>100*15771/486597</f>
        <v>3.241080401235519</v>
      </c>
      <c r="E20">
        <f>IF(COUNT(C20:D20)=2,D20-C20,"")</f>
        <v>-26.221553693817956</v>
      </c>
      <c r="H20">
        <v>18</v>
      </c>
      <c r="I20">
        <v>17</v>
      </c>
      <c r="J20">
        <f>100*246590/976020</f>
        <v>25.264851130099792</v>
      </c>
      <c r="K20">
        <f>100*87403/696099</f>
        <v>12.556116299549346</v>
      </c>
      <c r="L20">
        <f>IF(COUNT(J20:K20)=2,K20-J20,"")</f>
        <v>-12.708734830550446</v>
      </c>
      <c r="O20">
        <v>18</v>
      </c>
      <c r="P20">
        <v>17</v>
      </c>
      <c r="Q20">
        <f>100*2176/318434</f>
        <v>0.6833441152640736</v>
      </c>
      <c r="R20">
        <f>100*2176/318434</f>
        <v>0.6833441152640736</v>
      </c>
      <c r="S20">
        <f>IF(COUNT(Q20:R20)=2,R20-Q20,"")</f>
        <v>0.0</v>
      </c>
    </row>
    <row r="21" spans="1:19" x14ac:dyDescent="0.3">
      <c r="A21">
        <v>19</v>
      </c>
      <c r="B21">
        <v>18</v>
      </c>
      <c r="C21">
        <f>100*130405/675745</f>
        <v>19.297960029300995</v>
      </c>
      <c r="D21">
        <f>100*38815/465650</f>
        <v>8.33565983034468</v>
      </c>
      <c r="E21">
        <f>IF(COUNT(C21:D21)=2,D21-C21,"")</f>
        <v>-10.962300198956315</v>
      </c>
      <c r="H21">
        <v>19</v>
      </c>
      <c r="I21">
        <v>18</v>
      </c>
      <c r="J21">
        <f>100*94163/608895</f>
        <v>15.464571067261186</v>
      </c>
      <c r="K21">
        <f>100*102444/696085</f>
        <v>14.717168161934246</v>
      </c>
      <c r="L21">
        <f>IF(COUNT(J21:K21)=2,K21-J21,"")</f>
        <v>-0.7474029053269398</v>
      </c>
      <c r="O21">
        <v>19</v>
      </c>
      <c r="P21">
        <v>18</v>
      </c>
      <c r="Q21">
        <f>100*460785/1299362</f>
        <v>35.462403856661965</v>
      </c>
      <c r="R21">
        <f>100*275375/1066125</f>
        <v>25.829522804549185</v>
      </c>
      <c r="S21">
        <f>IF(COUNT(Q21:R21)=2,R21-Q21,"")</f>
        <v>-9.63288105211278</v>
      </c>
    </row>
    <row r="22" spans="1:19" x14ac:dyDescent="0.3">
      <c r="A22">
        <v>20</v>
      </c>
      <c r="B22">
        <v>19</v>
      </c>
      <c r="C22">
        <f>100*271082/932573</f>
        <v>29.068180185358145</v>
      </c>
      <c r="D22">
        <f>100*136247/758266</f>
        <v>17.968232783746075</v>
      </c>
      <c r="E22">
        <f>IF(COUNT(C22:D22)=2,D22-C22,"")</f>
        <v>-11.09994740161207</v>
      </c>
      <c r="H22">
        <v>20</v>
      </c>
      <c r="I22">
        <v>19</v>
      </c>
      <c r="J22">
        <f>100*51102/454685</f>
        <v>11.238989630183534</v>
      </c>
      <c r="K22">
        <f>100*51446/548285</f>
        <v>9.383076319797185</v>
      </c>
      <c r="L22">
        <f>IF(COUNT(J22:K22)=2,K22-J22,"")</f>
        <v>-1.8559133103863488</v>
      </c>
      <c r="O22">
        <v>20</v>
      </c>
      <c r="P22">
        <v>19</v>
      </c>
      <c r="Q22">
        <f>100*246053/750263</f>
        <v>32.795566354731605</v>
      </c>
      <c r="R22">
        <f>100*12653/334310</f>
        <v>3.7848105052197063</v>
      </c>
      <c r="S22">
        <f>IF(COUNT(Q22:R22)=2,R22-Q22,"")</f>
        <v>-29.0107558495119</v>
      </c>
    </row>
    <row r="23" spans="1:19" x14ac:dyDescent="0.3">
      <c r="A23">
        <v>21</v>
      </c>
      <c r="B23">
        <v>20</v>
      </c>
      <c r="C23">
        <f>100*144702/617823</f>
        <v>23.42127114076362</v>
      </c>
      <c r="D23">
        <f>100*67386/572797</f>
        <v>11.764377257562453</v>
      </c>
      <c r="E23">
        <f>IF(COUNT(C23:D23)=2,D23-C23,"")</f>
        <v>-11.656893883201166</v>
      </c>
      <c r="H23">
        <v>21</v>
      </c>
      <c r="I23">
        <v>20</v>
      </c>
      <c r="J23">
        <f>100*591919/1541493</f>
        <v>38.399071549465354</v>
      </c>
      <c r="K23">
        <f>100*138839/794297</f>
        <v>17.479481856282977</v>
      </c>
      <c r="L23">
        <f>IF(COUNT(J23:K23)=2,K23-J23,"")</f>
        <v>-20.919589693182377</v>
      </c>
      <c r="O23">
        <v>21</v>
      </c>
      <c r="P23">
        <v>20</v>
      </c>
      <c r="Q23">
        <f>100*189374/774599</f>
        <v>24.448004709533578</v>
      </c>
      <c r="R23">
        <f>100*139974/790702</f>
        <v>17.702497274573734</v>
      </c>
      <c r="S23">
        <f>IF(COUNT(Q23:R23)=2,R23-Q23,"")</f>
        <v>-6.745507434959844</v>
      </c>
    </row>
    <row r="24" spans="1:19" x14ac:dyDescent="0.3">
      <c r="A24">
        <v>22</v>
      </c>
      <c r="B24">
        <v>21</v>
      </c>
      <c r="C24">
        <f>100*295116/1275471</f>
        <v>23.1378055635918</v>
      </c>
      <c r="D24">
        <f>100*336219/1388331</f>
        <v>24.217495683666215</v>
      </c>
      <c r="E24">
        <f>IF(COUNT(C24:D24)=2,D24-C24,"")</f>
        <v>1.0796901200744138</v>
      </c>
      <c r="H24">
        <v>22</v>
      </c>
      <c r="I24">
        <v>21</v>
      </c>
      <c r="J24">
        <f>100*392324/1270598</f>
        <v>30.87711455550851</v>
      </c>
      <c r="K24">
        <f>100*338337/1300188</f>
        <v>26.022159872264627</v>
      </c>
      <c r="L24">
        <f>IF(COUNT(J24:K24)=2,K24-J24,"")</f>
        <v>-4.854954683243882</v>
      </c>
      <c r="O24">
        <v>22</v>
      </c>
      <c r="P24">
        <v>21</v>
      </c>
      <c r="Q24">
        <f>100*423564/1232833</f>
        <v>34.356964811941275</v>
      </c>
      <c r="R24">
        <f>100*301235/1229248</f>
        <v>24.50563271203207</v>
      </c>
      <c r="S24">
        <f>IF(COUNT(Q24:R24)=2,R24-Q24,"")</f>
        <v>-9.851332099909204</v>
      </c>
    </row>
    <row r="25" spans="1:19" x14ac:dyDescent="0.3">
      <c r="A25">
        <v>23</v>
      </c>
      <c r="B25">
        <v>22</v>
      </c>
      <c r="C25">
        <f>100*354113/1097352</f>
        <v>32.26977305367831</v>
      </c>
      <c r="D25">
        <f>100*240079/1038360</f>
        <v>23.12097923648831</v>
      </c>
      <c r="E25">
        <f>IF(COUNT(C25:D25)=2,D25-C25,"")</f>
        <v>-9.148793817189997</v>
      </c>
      <c r="H25">
        <v>23</v>
      </c>
      <c r="I25">
        <v>22</v>
      </c>
      <c r="J25">
        <f>100*155683/840858</f>
        <v>18.514778951975245</v>
      </c>
      <c r="K25">
        <f>100*79548/702027</f>
        <v>11.331188116696365</v>
      </c>
      <c r="L25">
        <f>IF(COUNT(J25:K25)=2,K25-J25,"")</f>
        <v>-7.1835908352788795</v>
      </c>
      <c r="O25">
        <v>23</v>
      </c>
      <c r="P25">
        <v>22</v>
      </c>
      <c r="Q25">
        <f>100*592/261920</f>
        <v>0.22602321319486865</v>
      </c>
      <c r="R25">
        <f>100*592/261920</f>
        <v>0.22602321319486865</v>
      </c>
      <c r="S25">
        <f>IF(COUNT(Q25:R25)=2,R25-Q25,"")</f>
        <v>0.0</v>
      </c>
    </row>
    <row r="26" spans="1:19" x14ac:dyDescent="0.3">
      <c r="A26">
        <v>24</v>
      </c>
      <c r="B26">
        <v>23</v>
      </c>
      <c r="C26">
        <f>100*240022/913843</f>
        <v>26.265124315664725</v>
      </c>
      <c r="D26">
        <f>100*72292/606587</f>
        <v>11.917828769821972</v>
      </c>
      <c r="E26">
        <f>IF(COUNT(C26:D26)=2,D26-C26,"")</f>
        <v>-14.347295545842753</v>
      </c>
      <c r="H26">
        <v>24</v>
      </c>
      <c r="I26">
        <v>23</v>
      </c>
      <c r="J26">
        <f>100*377574/1156306</f>
        <v>32.65346716180665</v>
      </c>
      <c r="K26">
        <f>100*93410/811649</f>
        <v>11.508669387875793</v>
      </c>
      <c r="L26">
        <f>IF(COUNT(J26:K26)=2,K26-J26,"")</f>
        <v>-21.14479777393086</v>
      </c>
      <c r="O26">
        <v>24</v>
      </c>
      <c r="P26">
        <v>23</v>
      </c>
      <c r="Q26">
        <f>100*122016/574638</f>
        <v>21.233541812410596</v>
      </c>
      <c r="R26">
        <f>100*50171/617427</f>
        <v>8.125818922722848</v>
      </c>
      <c r="S26">
        <f>IF(COUNT(Q26:R26)=2,R26-Q26,"")</f>
        <v>-13.107722889687748</v>
      </c>
    </row>
    <row r="27" spans="1:19" x14ac:dyDescent="0.3">
      <c r="A27">
        <v>25</v>
      </c>
      <c r="B27">
        <v>24</v>
      </c>
      <c r="C27">
        <f>100*56444/682080</f>
        <v>8.275275627492377</v>
      </c>
      <c r="D27">
        <f>100*72039/582129</f>
        <v>12.375092118757182</v>
      </c>
      <c r="E27">
        <f>IF(COUNT(C27:D27)=2,D27-C27,"")</f>
        <v>4.099816491264805</v>
      </c>
      <c r="H27">
        <v>25</v>
      </c>
      <c r="I27">
        <v>24</v>
      </c>
      <c r="J27">
        <f>100*179842/875592</f>
        <v>20.53947500662409</v>
      </c>
      <c r="K27">
        <f>100*2889/177680</f>
        <v>1.625956776226925</v>
      </c>
      <c r="L27">
        <f>IF(COUNT(J27:K27)=2,K27-J27,"")</f>
        <v>-18.913518230397166</v>
      </c>
      <c r="O27">
        <v>25</v>
      </c>
      <c r="P27">
        <v>24</v>
      </c>
      <c r="Q27">
        <f>100*497820/1342997</f>
        <v>37.06784155139587</v>
      </c>
      <c r="R27">
        <f>100*235564/972463</f>
        <v>24.223440891838557</v>
      </c>
      <c r="S27">
        <f>IF(COUNT(Q27:R27)=2,R27-Q27,"")</f>
        <v>-12.844400659557316</v>
      </c>
    </row>
    <row r="28" spans="1:19" x14ac:dyDescent="0.3">
      <c r="A28">
        <v>26</v>
      </c>
      <c r="B28">
        <v>25</v>
      </c>
      <c r="C28">
        <f>100*366520/1167250</f>
        <v>31.400299850074962</v>
      </c>
      <c r="D28">
        <f>100*243453/1047477</f>
        <v>23.241846837687127</v>
      </c>
      <c r="E28">
        <f>IF(COUNT(C28:D28)=2,D28-C28,"")</f>
        <v>-8.158453012387834</v>
      </c>
      <c r="H28">
        <v>26</v>
      </c>
      <c r="I28">
        <v>25</v>
      </c>
      <c r="J28">
        <f>100*403993/1263866</f>
        <v>31.964860198786898</v>
      </c>
      <c r="K28">
        <f>100*221336/1085934</f>
        <v>20.382085835787443</v>
      </c>
      <c r="L28">
        <f>IF(COUNT(J28:K28)=2,K28-J28,"")</f>
        <v>-11.582774362999455</v>
      </c>
      <c r="O28">
        <v>26</v>
      </c>
      <c r="P28">
        <v>25</v>
      </c>
      <c r="Q28">
        <f>100*525172/1313199</f>
        <v>39.99180626850919</v>
      </c>
      <c r="R28">
        <f>100*328758/1246432</f>
        <v>26.37592744730559</v>
      </c>
      <c r="S28">
        <f>IF(COUNT(Q28:R28)=2,R28-Q28,"")</f>
        <v>-13.615878821203598</v>
      </c>
    </row>
    <row r="29" spans="1:19" x14ac:dyDescent="0.3">
      <c r="A29">
        <v>27</v>
      </c>
      <c r="B29">
        <v>26</v>
      </c>
      <c r="C29">
        <f>100*597714/1505438</f>
        <v>39.703660994341845</v>
      </c>
      <c r="D29">
        <f>100*176963/916066</f>
        <v>19.317712915881607</v>
      </c>
      <c r="E29">
        <f>IF(COUNT(C29:D29)=2,D29-C29,"")</f>
        <v>-20.38594807846024</v>
      </c>
      <c r="H29">
        <v>27</v>
      </c>
      <c r="I29">
        <v>26</v>
      </c>
      <c r="J29">
        <f>100*136381/818474</f>
        <v>16.66283840415212</v>
      </c>
      <c r="K29">
        <f>100*74088/750596</f>
        <v>9.870556198007982</v>
      </c>
      <c r="L29">
        <f>IF(COUNT(J29:K29)=2,K29-J29,"")</f>
        <v>-6.792282206144137</v>
      </c>
      <c r="O29">
        <v>27</v>
      </c>
      <c r="P29">
        <v>26</v>
      </c>
      <c r="Q29">
        <f>100*365374/1222824</f>
        <v>29.87952477216672</v>
      </c>
      <c r="R29">
        <f>100*202885/1011881</f>
        <v>20.05028259251829</v>
      </c>
      <c r="S29">
        <f>IF(COUNT(Q29:R29)=2,R29-Q29,"")</f>
        <v>-9.829242179648432</v>
      </c>
    </row>
    <row r="30" spans="1:19" x14ac:dyDescent="0.3">
      <c r="A30">
        <v>28</v>
      </c>
      <c r="B30">
        <v>27</v>
      </c>
      <c r="C30">
        <f>100*262582/941033</f>
        <v>27.90359105366124</v>
      </c>
      <c r="D30">
        <f>100*217006/982118</f>
        <v>22.095715586110835</v>
      </c>
      <c r="E30">
        <f>IF(COUNT(C30:D30)=2,D30-C30,"")</f>
        <v>-5.8078754675504065</v>
      </c>
      <c r="H30">
        <v>28</v>
      </c>
      <c r="I30">
        <v>27</v>
      </c>
      <c r="J30">
        <f>100*471860/1401372</f>
        <v>33.67128785219057</v>
      </c>
      <c r="K30">
        <f>100*244336/1096834</f>
        <v>22.2764793943295</v>
      </c>
      <c r="L30">
        <f>IF(COUNT(J30:K30)=2,K30-J30,"")</f>
        <v>-11.394808457861068</v>
      </c>
      <c r="O30">
        <v>28</v>
      </c>
      <c r="P30">
        <v>27</v>
      </c>
      <c r="Q30">
        <f>100*191/261142</f>
        <v>0.07314028383025327</v>
      </c>
      <c r="R30">
        <f>100*191/261142</f>
        <v>0.07314028383025327</v>
      </c>
      <c r="S30">
        <f>IF(COUNT(Q30:R30)=2,R30-Q30,"")</f>
        <v>0.0</v>
      </c>
    </row>
    <row r="31" spans="1:19" x14ac:dyDescent="0.3">
      <c r="A31">
        <v>29</v>
      </c>
      <c r="B31">
        <v>28</v>
      </c>
      <c r="C31">
        <f>100*549615/1490090</f>
        <v>36.88468481769558</v>
      </c>
      <c r="D31">
        <f>100*194775/1068782</f>
        <v>18.224015748768224</v>
      </c>
      <c r="E31">
        <f>IF(COUNT(C31:D31)=2,D31-C31,"")</f>
        <v>-18.660669068927355</v>
      </c>
      <c r="H31">
        <v>29</v>
      </c>
      <c r="I31">
        <v>28</v>
      </c>
      <c r="J31">
        <f>100*501796/1378717</f>
        <v>36.39586659191117</v>
      </c>
      <c r="K31">
        <f>100*214419/987743</f>
        <v>21.707974645226543</v>
      </c>
      <c r="L31">
        <f>IF(COUNT(J31:K31)=2,K31-J31,"")</f>
        <v>-14.68789194668463</v>
      </c>
      <c r="O31">
        <v>29</v>
      </c>
      <c r="P31">
        <v>28</v>
      </c>
      <c r="Q31">
        <f>100*492377/1362039</f>
        <v>36.14999276819533</v>
      </c>
      <c r="R31">
        <f>100*357098/1311261</f>
        <v>27.233174783662445</v>
      </c>
      <c r="S31">
        <f>IF(COUNT(Q31:R31)=2,R31-Q31,"")</f>
        <v>-8.916817984532887</v>
      </c>
    </row>
    <row r="32" spans="1:19" x14ac:dyDescent="0.3">
      <c r="A32">
        <v>30</v>
      </c>
      <c r="B32">
        <v>29</v>
      </c>
      <c r="C32">
        <f>100*237648/919878</f>
        <v>25.834730257708088</v>
      </c>
      <c r="D32">
        <f>100*169002/900451</f>
        <v>18.768594848581433</v>
      </c>
      <c r="E32">
        <f>IF(COUNT(C32:D32)=2,D32-C32,"")</f>
        <v>-7.066135409126655</v>
      </c>
      <c r="H32">
        <v>30</v>
      </c>
      <c r="I32">
        <v>29</v>
      </c>
      <c r="J32">
        <f>100*264568/888302</f>
        <v>29.783564598526176</v>
      </c>
      <c r="K32">
        <f>100*136154/783847</f>
        <v>17.36997143575213</v>
      </c>
      <c r="L32">
        <f>IF(COUNT(J32:K32)=2,K32-J32,"")</f>
        <v>-12.413593162774045</v>
      </c>
      <c r="O32">
        <v>30</v>
      </c>
      <c r="P32">
        <v>29</v>
      </c>
      <c r="Q32">
        <f>100*465436/1240969</f>
        <v>37.50585228156384</v>
      </c>
      <c r="R32">
        <f>100*282382/1052079</f>
        <v>26.840379857406145</v>
      </c>
      <c r="S32">
        <f>IF(COUNT(Q32:R32)=2,R32-Q32,"")</f>
        <v>-10.665472424157695</v>
      </c>
    </row>
    <row r="33" spans="1:19" x14ac:dyDescent="0.3">
      <c r="A33">
        <v>31</v>
      </c>
      <c r="B33">
        <v>30</v>
      </c>
      <c r="C33">
        <f>100*498726/1349876</f>
        <v>36.946060230717485</v>
      </c>
      <c r="D33">
        <f>100*253502/1153012</f>
        <v>21.986067794610985</v>
      </c>
      <c r="E33">
        <f>IF(COUNT(C33:D33)=2,D33-C33,"")</f>
        <v>-14.9599924361065</v>
      </c>
      <c r="H33">
        <v>31</v>
      </c>
      <c r="I33">
        <v>30</v>
      </c>
      <c r="J33">
        <f>100*307741/1047349</f>
        <v>29.382851370460084</v>
      </c>
      <c r="K33">
        <f>100*297604/1109773</f>
        <v>26.816655297975352</v>
      </c>
      <c r="L33">
        <f>IF(COUNT(J33:K33)=2,K33-J33,"")</f>
        <v>-2.5661960724847326</v>
      </c>
      <c r="O33">
        <v>31</v>
      </c>
      <c r="P33">
        <v>30</v>
      </c>
      <c r="Q33">
        <f>100*7935/484889</f>
        <v>1.63645700356164</v>
      </c>
      <c r="R33">
        <f>100*5007/510143</f>
        <v>0.9814895039234097</v>
      </c>
      <c r="S33">
        <f>IF(COUNT(Q33:R33)=2,R33-Q33,"")</f>
        <v>-0.6549674996382302</v>
      </c>
    </row>
    <row r="34" spans="1:19" x14ac:dyDescent="0.3">
      <c r="A34" t="s">
        <v>5</v>
      </c>
      <c r="C34">
        <f>IF(COUNT(C3:C33)&gt;0,AVERAGE(C3:C33),"")</f>
        <v>24.75128625154027</v>
      </c>
      <c r="D34">
        <f>IF(COUNT(D3:D33)&gt;0,AVERAGE(D3:D33),"")</f>
        <v>14.651888299422554</v>
      </c>
      <c r="E34">
        <f>IF(COUNT(E3:E33)&gt;0,AVERAGE(E3:E33),"")</f>
        <v>-10.09939795211772</v>
      </c>
      <c r="H34" t="s">
        <v>5</v>
      </c>
      <c r="J34">
        <f>IF(COUNT(J3:J33)&gt;0,AVERAGE(J3:J33),"")</f>
        <v>23.26126650336055</v>
      </c>
      <c r="K34">
        <f>IF(COUNT(K3:K33)&gt;0,AVERAGE(K3:K33),"")</f>
        <v>15.242778069422105</v>
      </c>
      <c r="L34">
        <f>IF(COUNT(L3:L33)&gt;0,AVERAGE(L3:L33),"")</f>
        <v>-8.018488433938447</v>
      </c>
      <c r="O34" t="s">
        <v>5</v>
      </c>
      <c r="Q34">
        <f>IF(COUNT(Q3:Q33)&gt;0,AVERAGE(Q3:Q33),"")</f>
        <v>28.172990083851328</v>
      </c>
      <c r="R34">
        <f>IF(COUNT(R3:R33)&gt;0,AVERAGE(R3:R33),"")</f>
        <v>16.855072757773996</v>
      </c>
      <c r="S34">
        <f>IF(COUNT(S3:S33)&gt;0,AVERAGE(S3:S33),"")</f>
        <v>-11.317917326077326</v>
      </c>
    </row>
    <row r="37" spans="1:19" s="2" customFormat="1" x14ac:dyDescent="0.3">
      <c r="A37" s="1" t="s">
        <v>9</v>
      </c>
      <c r="B37" s="1"/>
      <c r="C37" s="1"/>
      <c r="D37" s="1"/>
      <c r="E37" s="1"/>
      <c r="H37" s="1" t="s">
        <v>10</v>
      </c>
      <c r="I37" s="1"/>
      <c r="J37" s="1"/>
      <c r="K37" s="1"/>
      <c r="L37" s="1"/>
      <c r="O37" s="1" t="s">
        <v>11</v>
      </c>
      <c r="P37" s="1"/>
      <c r="Q37" s="1"/>
      <c r="R37" s="1"/>
      <c r="S37" s="1"/>
    </row>
    <row r="38" spans="1:19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O38" t="s">
        <v>0</v>
      </c>
      <c r="P38" t="s">
        <v>1</v>
      </c>
      <c r="Q38" t="s">
        <v>2</v>
      </c>
      <c r="R38" t="s">
        <v>3</v>
      </c>
      <c r="S38" t="s">
        <v>4</v>
      </c>
    </row>
    <row r="39" spans="1:19" x14ac:dyDescent="0.3">
      <c r="A39">
        <v>1</v>
      </c>
      <c r="B39">
        <v>0</v>
      </c>
      <c r="C39">
        <f>100*192841/1049609</f>
        <v>18.372651149142204</v>
      </c>
      <c r="D39">
        <f>100*146986/945987</f>
        <v>15.537845657498465</v>
      </c>
      <c r="E39">
        <f>IF(COUNT(C39:D39)=2,D39-C39,"")</f>
        <v>-2.8348054916437384</v>
      </c>
      <c r="H39">
        <v>1</v>
      </c>
      <c r="I39">
        <v>0</v>
      </c>
      <c r="J39">
        <f>100*402854/1288411</f>
        <v>31.267507029977235</v>
      </c>
      <c r="K39">
        <f>100*80174/963095</f>
        <v>8.324620104974068</v>
      </c>
      <c r="L39">
        <f>IF(COUNT(J39:K39)=2,K39-J39,"")</f>
        <v>-22.942886925003165</v>
      </c>
      <c r="O39">
        <v>1</v>
      </c>
      <c r="P39">
        <v>0</v>
      </c>
      <c r="Q39">
        <f>100*88041/674269</f>
        <v>13.057251631025599</v>
      </c>
      <c r="R39">
        <f>100*42847/589756</f>
        <v>7.2652079843189385</v>
      </c>
      <c r="S39">
        <f>IF(COUNT(Q39:R39)=2,R39-Q39,"")</f>
        <v>-5.79204364670666</v>
      </c>
    </row>
    <row r="40" spans="1:19" x14ac:dyDescent="0.3">
      <c r="A40">
        <v>2</v>
      </c>
      <c r="B40">
        <v>1</v>
      </c>
      <c r="C40">
        <f>100*767234/1849227</f>
        <v>41.489443967668656</v>
      </c>
      <c r="D40">
        <f>100*295276/1462824</f>
        <v>20.18534013661247</v>
      </c>
      <c r="E40">
        <f>IF(COUNT(C40:D40)=2,D40-C40,"")</f>
        <v>-21.304103831056185</v>
      </c>
      <c r="H40">
        <v>2</v>
      </c>
      <c r="I40">
        <v>1</v>
      </c>
      <c r="J40">
        <f>100*573780/1506160</f>
        <v>38.095554257183835</v>
      </c>
      <c r="K40">
        <f>100*396781/1727217</f>
        <v>22.972272737009884</v>
      </c>
      <c r="L40">
        <f>IF(COUNT(J40:K40)=2,K40-J40,"")</f>
        <v>-15.12328152017395</v>
      </c>
      <c r="O40">
        <v>2</v>
      </c>
      <c r="P40">
        <v>1</v>
      </c>
      <c r="Q40">
        <f>100*291073/995685</f>
        <v>29.233442303539775</v>
      </c>
      <c r="R40">
        <f>100*214361/902754</f>
        <v>23.745228489710374</v>
      </c>
      <c r="S40">
        <f>IF(COUNT(Q40:R40)=2,R40-Q40,"")</f>
        <v>-5.4882138138294</v>
      </c>
    </row>
    <row r="41" spans="1:19" x14ac:dyDescent="0.3">
      <c r="A41">
        <v>3</v>
      </c>
      <c r="B41">
        <v>2</v>
      </c>
      <c r="C41">
        <f>100*647494/1597730</f>
        <v>40.525871079594175</v>
      </c>
      <c r="D41">
        <f>100*416893/1558759</f>
        <v>26.745186395074544</v>
      </c>
      <c r="E41">
        <f>IF(COUNT(C41:D41)=2,D41-C41,"")</f>
        <v>-13.780684684519631</v>
      </c>
      <c r="H41">
        <v>3</v>
      </c>
      <c r="I41">
        <v>2</v>
      </c>
      <c r="J41">
        <f>100*646730/1702231</f>
        <v>37.99308084507919</v>
      </c>
      <c r="K41">
        <f>100*59538/1043359</f>
        <v>5.706377191359829</v>
      </c>
      <c r="L41">
        <f>IF(COUNT(J41:K41)=2,K41-J41,"")</f>
        <v>-32.286703653719364</v>
      </c>
      <c r="O41">
        <v>3</v>
      </c>
      <c r="P41">
        <v>2</v>
      </c>
      <c r="Q41">
        <f>100*505429/1286969</f>
        <v>39.272818537198646</v>
      </c>
      <c r="R41">
        <f>100*179893/903124</f>
        <v>19.918970152492903</v>
      </c>
      <c r="S41">
        <f>IF(COUNT(Q41:R41)=2,R41-Q41,"")</f>
        <v>-19.353848384705742</v>
      </c>
    </row>
    <row r="42" spans="1:19" x14ac:dyDescent="0.3">
      <c r="A42">
        <v>4</v>
      </c>
      <c r="B42">
        <v>3</v>
      </c>
      <c r="C42">
        <f>100*45060/760183</f>
        <v>5.927520083979778</v>
      </c>
      <c r="D42">
        <f>100*9190/543883</f>
        <v>1.6897016453906446</v>
      </c>
      <c r="E42">
        <f>IF(COUNT(C42:D42)=2,D42-C42,"")</f>
        <v>-4.237818438589134</v>
      </c>
      <c r="H42">
        <v>4</v>
      </c>
      <c r="I42">
        <v>3</v>
      </c>
      <c r="J42">
        <f>100*44764/778520</f>
        <v>5.749884396033499</v>
      </c>
      <c r="K42">
        <f>100*19179/820811</f>
        <v>2.3365914930477296</v>
      </c>
      <c r="L42">
        <f>IF(COUNT(J42:K42)=2,K42-J42,"")</f>
        <v>-3.4132929029857695</v>
      </c>
      <c r="O42">
        <v>4</v>
      </c>
      <c r="P42">
        <v>3</v>
      </c>
      <c r="Q42">
        <f>100*589890/1404698</f>
        <v>41.9940798662773</v>
      </c>
      <c r="R42">
        <f>100*473145/1547926</f>
        <v>30.566383664335376</v>
      </c>
      <c r="S42">
        <f>IF(COUNT(Q42:R42)=2,R42-Q42,"")</f>
        <v>-11.427696201941927</v>
      </c>
    </row>
    <row r="43" spans="1:19" x14ac:dyDescent="0.3">
      <c r="A43">
        <v>5</v>
      </c>
      <c r="B43">
        <v>4</v>
      </c>
      <c r="C43">
        <f>100*964627/2043023</f>
        <v>47.21567011237759</v>
      </c>
      <c r="D43">
        <f>100*494787/1717686</f>
        <v>28.80543941092842</v>
      </c>
      <c r="E43">
        <f>IF(COUNT(C43:D43)=2,D43-C43,"")</f>
        <v>-18.410230701449166</v>
      </c>
      <c r="H43">
        <v>5</v>
      </c>
      <c r="I43">
        <v>4</v>
      </c>
      <c r="J43">
        <f>100*942269/2236809</f>
        <v>42.12559051756319</v>
      </c>
      <c r="K43">
        <f>100*314238/1481568</f>
        <v>21.209826346141384</v>
      </c>
      <c r="L43">
        <f>IF(COUNT(J43:K43)=2,K43-J43,"")</f>
        <v>-20.915764171421806</v>
      </c>
      <c r="O43">
        <v>5</v>
      </c>
      <c r="P43">
        <v>4</v>
      </c>
      <c r="Q43">
        <f>100*141535/798132</f>
        <v>17.73328221396962</v>
      </c>
      <c r="R43">
        <f>100*7003/597070</f>
        <v>1.1728943005007788</v>
      </c>
      <c r="S43">
        <f>IF(COUNT(Q43:R43)=2,R43-Q43,"")</f>
        <v>-16.56038791346884</v>
      </c>
    </row>
    <row r="44" spans="1:19" x14ac:dyDescent="0.3">
      <c r="A44">
        <v>6</v>
      </c>
      <c r="B44">
        <v>5</v>
      </c>
      <c r="C44">
        <f>100*200146/1105970</f>
        <v>18.09687423709504</v>
      </c>
      <c r="D44">
        <f>100*94555/1082634</f>
        <v>8.733791844704674</v>
      </c>
      <c r="E44">
        <f>IF(COUNT(C44:D44)=2,D44-C44,"")</f>
        <v>-9.363082392390366</v>
      </c>
      <c r="H44">
        <v>6</v>
      </c>
      <c r="I44">
        <v>5</v>
      </c>
      <c r="J44">
        <f>100*712109/1711457</f>
        <v>41.60834890973013</v>
      </c>
      <c r="K44">
        <f>100*382257/1643648</f>
        <v>23.256621855774473</v>
      </c>
      <c r="L44">
        <f>IF(COUNT(J44:K44)=2,K44-J44,"")</f>
        <v>-18.35172705395566</v>
      </c>
      <c r="O44">
        <v>6</v>
      </c>
      <c r="P44">
        <v>5</v>
      </c>
      <c r="Q44">
        <f>100*603941/1377183</f>
        <v>43.8533586313511</v>
      </c>
      <c r="R44">
        <f>100*82297/800628</f>
        <v>10.279055941086247</v>
      </c>
      <c r="S44">
        <f>IF(COUNT(Q44:R44)=2,R44-Q44,"")</f>
        <v>-33.57430269026485</v>
      </c>
    </row>
    <row r="45" spans="1:19" x14ac:dyDescent="0.3">
      <c r="A45">
        <v>7</v>
      </c>
      <c r="B45">
        <v>6</v>
      </c>
      <c r="C45">
        <f>100*18395/700580</f>
        <v>2.6256815781209855</v>
      </c>
      <c r="D45">
        <f>100*78697/721423</f>
        <v>10.908579293978706</v>
      </c>
      <c r="E45">
        <f>IF(COUNT(C45:D45)=2,D45-C45,"")</f>
        <v>8.28289771585772</v>
      </c>
      <c r="H45">
        <v>7</v>
      </c>
      <c r="I45">
        <v>6</v>
      </c>
      <c r="J45">
        <f>100*1624/545527</f>
        <v>0.2976937896749382</v>
      </c>
      <c r="K45">
        <f>100*1624/545527</f>
        <v>0.2976937896749382</v>
      </c>
      <c r="L45">
        <f>IF(COUNT(J45:K45)=2,K45-J45,"")</f>
        <v>0.0</v>
      </c>
      <c r="O45">
        <v>7</v>
      </c>
      <c r="P45">
        <v>6</v>
      </c>
      <c r="Q45">
        <f>100*672106/1493090</f>
        <v>45.01443315540256</v>
      </c>
      <c r="R45">
        <f>100*293918/1213940</f>
        <v>24.21190503649274</v>
      </c>
      <c r="S45">
        <f>IF(COUNT(Q45:R45)=2,R45-Q45,"")</f>
        <v>-20.802528118909816</v>
      </c>
    </row>
    <row r="46" spans="1:19" x14ac:dyDescent="0.3">
      <c r="A46">
        <v>8</v>
      </c>
      <c r="B46">
        <v>7</v>
      </c>
      <c r="C46">
        <f>100*20606/505497</f>
        <v>4.076384231756074</v>
      </c>
      <c r="D46">
        <f>100*11400/502346</f>
        <v>2.2693521994800396</v>
      </c>
      <c r="E46">
        <f>IF(COUNT(C46:D46)=2,D46-C46,"")</f>
        <v>-1.8070320322760343</v>
      </c>
      <c r="H46">
        <v>8</v>
      </c>
      <c r="I46">
        <v>7</v>
      </c>
      <c r="J46">
        <f>100*2064/453926</f>
        <v>0.45469966470305734</v>
      </c>
      <c r="K46">
        <f>100*2064/453926</f>
        <v>0.45469966470305734</v>
      </c>
      <c r="L46">
        <f>IF(COUNT(J46:K46)=2,K46-J46,"")</f>
        <v>0.0</v>
      </c>
      <c r="O46">
        <v>8</v>
      </c>
      <c r="P46">
        <v>7</v>
      </c>
      <c r="Q46">
        <f>100*703275/1703373</f>
        <v>41.28719898695118</v>
      </c>
      <c r="R46">
        <f>100*357299/1281547</f>
        <v>27.8802884326521</v>
      </c>
      <c r="S46">
        <f>IF(COUNT(Q46:R46)=2,R46-Q46,"")</f>
        <v>-13.406910554299081</v>
      </c>
    </row>
    <row r="47" spans="1:19" x14ac:dyDescent="0.3">
      <c r="A47">
        <v>9</v>
      </c>
      <c r="B47">
        <v>8</v>
      </c>
      <c r="C47">
        <f>100*929076/2063992</f>
        <v>45.01354656413397</v>
      </c>
      <c r="D47">
        <f>100*439636/1684700</f>
        <v>26.095803407134802</v>
      </c>
      <c r="E47">
        <f>IF(COUNT(C47:D47)=2,D47-C47,"")</f>
        <v>-18.917743156999165</v>
      </c>
      <c r="H47">
        <v>9</v>
      </c>
      <c r="I47">
        <v>8</v>
      </c>
      <c r="J47">
        <f>100*779177/1827411</f>
        <v>42.63830085295535</v>
      </c>
      <c r="K47">
        <f>100*518675/1962297</f>
        <v>26.432033479131853</v>
      </c>
      <c r="L47">
        <f>IF(COUNT(J47:K47)=2,K47-J47,"")</f>
        <v>-16.2062673738235</v>
      </c>
      <c r="O47">
        <v>9</v>
      </c>
      <c r="P47">
        <v>8</v>
      </c>
      <c r="Q47">
        <f>100*785425/1662476</f>
        <v>47.244291045404566</v>
      </c>
      <c r="R47">
        <f>100*371171/1366076</f>
        <v>27.170596657872622</v>
      </c>
      <c r="S47">
        <f>IF(COUNT(Q47:R47)=2,R47-Q47,"")</f>
        <v>-20.073694387531944</v>
      </c>
    </row>
    <row r="48" spans="1:19" x14ac:dyDescent="0.3">
      <c r="A48">
        <v>10</v>
      </c>
      <c r="B48">
        <v>9</v>
      </c>
      <c r="C48">
        <f>100*401887/1367048</f>
        <v>29.39816304913946</v>
      </c>
      <c r="D48">
        <f>100*130426/1071234</f>
        <v>12.175304368606673</v>
      </c>
      <c r="E48">
        <f>IF(COUNT(C48:D48)=2,D48-C48,"")</f>
        <v>-17.222858680532788</v>
      </c>
      <c r="H48">
        <v>10</v>
      </c>
      <c r="I48">
        <v>9</v>
      </c>
      <c r="J48">
        <f>100*872985/1990559</f>
        <v>43.85627353924199</v>
      </c>
      <c r="K48">
        <f>100*234946/1291278</f>
        <v>18.194842628775522</v>
      </c>
      <c r="L48">
        <f>IF(COUNT(J48:K48)=2,K48-J48,"")</f>
        <v>-25.661430910466468</v>
      </c>
      <c r="O48">
        <v>10</v>
      </c>
      <c r="P48">
        <v>9</v>
      </c>
      <c r="Q48">
        <f>100*317010/1082800</f>
        <v>29.276874769117104</v>
      </c>
      <c r="R48">
        <f>100*8129/527300</f>
        <v>1.541627157216006</v>
      </c>
      <c r="S48">
        <f>IF(COUNT(Q48:R48)=2,R48-Q48,"")</f>
        <v>-27.735247611901098</v>
      </c>
    </row>
    <row r="49" spans="1:19" x14ac:dyDescent="0.3">
      <c r="A49">
        <v>11</v>
      </c>
      <c r="B49">
        <v>10</v>
      </c>
      <c r="C49">
        <f>100*705082/1682816</f>
        <v>41.898936069065186</v>
      </c>
      <c r="D49">
        <f>100*90500/1056702</f>
        <v>8.564382389737126</v>
      </c>
      <c r="E49">
        <f>IF(COUNT(C49:D49)=2,D49-C49,"")</f>
        <v>-33.33455367932806</v>
      </c>
      <c r="H49">
        <v>11</v>
      </c>
      <c r="I49">
        <v>10</v>
      </c>
      <c r="J49">
        <f>100*582667/1702410</f>
        <v>34.22600901075534</v>
      </c>
      <c r="K49">
        <f>100*22023/859244</f>
        <v>2.5630670682600054</v>
      </c>
      <c r="L49">
        <f>IF(COUNT(J49:K49)=2,K49-J49,"")</f>
        <v>-31.662941942495337</v>
      </c>
      <c r="O49">
        <v>11</v>
      </c>
      <c r="P49">
        <v>10</v>
      </c>
      <c r="Q49">
        <f>100*610513/1430887</f>
        <v>42.666751462554345</v>
      </c>
      <c r="R49">
        <f>100*339975/1257093</f>
        <v>27.044538470900722</v>
      </c>
      <c r="S49">
        <f>IF(COUNT(Q49:R49)=2,R49-Q49,"")</f>
        <v>-15.622212991653623</v>
      </c>
    </row>
    <row r="50" spans="1:19" x14ac:dyDescent="0.3">
      <c r="A50">
        <v>12</v>
      </c>
      <c r="B50">
        <v>11</v>
      </c>
      <c r="C50">
        <f>100*661603/1691906</f>
        <v>39.10400459600002</v>
      </c>
      <c r="D50">
        <f>100*74409/1065810</f>
        <v>6.981450727615616</v>
      </c>
      <c r="E50">
        <f>IF(COUNT(C50:D50)=2,D50-C50,"")</f>
        <v>-32.1225538683844</v>
      </c>
      <c r="H50">
        <v>12</v>
      </c>
      <c r="I50">
        <v>11</v>
      </c>
      <c r="J50">
        <f>100*2109/16409</f>
        <v>12.85270278505698</v>
      </c>
      <c r="K50">
        <f>100*86171/1062840</f>
        <v>8.10761732716119</v>
      </c>
      <c r="L50">
        <f>IF(COUNT(J50:K50)=2,K50-J50,"")</f>
        <v>-4.74508545789579</v>
      </c>
      <c r="O50">
        <v>12</v>
      </c>
      <c r="P50">
        <v>11</v>
      </c>
      <c r="Q50">
        <f>100*565746/1449544</f>
        <v>39.029239540158834</v>
      </c>
      <c r="R50">
        <f>100*413218/1525131</f>
        <v>27.093934881659347</v>
      </c>
      <c r="S50">
        <f>IF(COUNT(Q50:R50)=2,R50-Q50,"")</f>
        <v>-11.935304658499486</v>
      </c>
    </row>
    <row r="51" spans="1:19" x14ac:dyDescent="0.3">
      <c r="A51">
        <v>13</v>
      </c>
      <c r="B51">
        <v>12</v>
      </c>
      <c r="C51">
        <f>100*13444/609443</f>
        <v>2.20594871054389</v>
      </c>
      <c r="D51">
        <f>100*21104/920444</f>
        <v>2.2928065151166175</v>
      </c>
      <c r="E51">
        <f>IF(COUNT(C51:D51)=2,D51-C51,"")</f>
        <v>0.08685780457272729</v>
      </c>
      <c r="H51">
        <v>13</v>
      </c>
      <c r="I51">
        <v>12</v>
      </c>
      <c r="J51">
        <f>100*78998/737547</f>
        <v>10.710910626712602</v>
      </c>
      <c r="K51">
        <f>100*67742/743162</f>
        <v>9.115374575126285</v>
      </c>
      <c r="L51">
        <f>IF(COUNT(J51:K51)=2,K51-J51,"")</f>
        <v>-1.5955360515863166</v>
      </c>
      <c r="O51">
        <v>13</v>
      </c>
      <c r="P51">
        <v>12</v>
      </c>
      <c r="Q51">
        <f>100*653960/1481691</f>
        <v>44.136058057989146</v>
      </c>
      <c r="R51">
        <f>100*137941/890252</f>
        <v>15.49460152855596</v>
      </c>
      <c r="S51">
        <f>IF(COUNT(Q51:R51)=2,R51-Q51,"")</f>
        <v>-28.641456529433185</v>
      </c>
    </row>
    <row r="52" spans="1:19" x14ac:dyDescent="0.3">
      <c r="A52">
        <v>14</v>
      </c>
      <c r="B52">
        <v>13</v>
      </c>
      <c r="C52">
        <f>100*183005/843268</f>
        <v>21.701878880735425</v>
      </c>
      <c r="D52">
        <f>100*98255/858003</f>
        <v>11.451591661101418</v>
      </c>
      <c r="E52">
        <f>IF(COUNT(C52:D52)=2,D52-C52,"")</f>
        <v>-10.250287219634007</v>
      </c>
      <c r="H52">
        <v>14</v>
      </c>
      <c r="I52">
        <v>13</v>
      </c>
      <c r="J52">
        <f>100*450919/1374273</f>
        <v>32.811457403296146</v>
      </c>
      <c r="K52">
        <f>100*205002/1082028</f>
        <v>18.946090119664188</v>
      </c>
      <c r="L52">
        <f>IF(COUNT(J52:K52)=2,K52-J52,"")</f>
        <v>-13.865367283631958</v>
      </c>
      <c r="O52">
        <v>14</v>
      </c>
      <c r="P52">
        <v>13</v>
      </c>
      <c r="Q52">
        <f>100*1624/402681</f>
        <v>0.40329690251092054</v>
      </c>
      <c r="R52">
        <f>100*1624/402681</f>
        <v>0.40329690251092054</v>
      </c>
      <c r="S52">
        <f>IF(COUNT(Q52:R52)=2,R52-Q52,"")</f>
        <v>0.0</v>
      </c>
    </row>
    <row r="53" spans="1:19" x14ac:dyDescent="0.3">
      <c r="A53">
        <v>15</v>
      </c>
      <c r="B53">
        <v>14</v>
      </c>
      <c r="C53">
        <f>100*855788/1778828</f>
        <v>48.10965422176849</v>
      </c>
      <c r="D53">
        <f>100*307386/1516049</f>
        <v>20.275466030451522</v>
      </c>
      <c r="E53">
        <f>IF(COUNT(C53:D53)=2,D53-C53,"")</f>
        <v>-27.834188191316965</v>
      </c>
      <c r="H53">
        <v>15</v>
      </c>
      <c r="I53">
        <v>14</v>
      </c>
      <c r="J53">
        <f>100*381484/1238884</f>
        <v>30.792552006483255</v>
      </c>
      <c r="K53">
        <f>100*327474/1489348</f>
        <v>21.987742287229043</v>
      </c>
      <c r="L53">
        <f>IF(COUNT(J53:K53)=2,K53-J53,"")</f>
        <v>-8.804809719254212</v>
      </c>
      <c r="O53">
        <v>15</v>
      </c>
      <c r="P53">
        <v>14</v>
      </c>
      <c r="Q53">
        <f>100*373593/1196320</f>
        <v>31.22851745352414</v>
      </c>
      <c r="R53">
        <f>100*502298/1594470</f>
        <v>31.502505534754494</v>
      </c>
      <c r="S53">
        <f>IF(COUNT(Q53:R53)=2,R53-Q53,"")</f>
        <v>0.27398808123035323</v>
      </c>
    </row>
    <row r="54" spans="1:19" x14ac:dyDescent="0.3">
      <c r="A54">
        <v>16</v>
      </c>
      <c r="B54">
        <v>15</v>
      </c>
      <c r="C54">
        <f>100*888567/1959716</f>
        <v>45.34162092874682</v>
      </c>
      <c r="D54">
        <f>100*84107/1016693</f>
        <v>8.27260539808969</v>
      </c>
      <c r="E54">
        <f>IF(COUNT(C54:D54)=2,D54-C54,"")</f>
        <v>-37.06901553065713</v>
      </c>
      <c r="H54">
        <v>16</v>
      </c>
      <c r="I54">
        <v>15</v>
      </c>
      <c r="J54">
        <f>100*600755/1390841</f>
        <v>43.19365046040489</v>
      </c>
      <c r="K54">
        <f>100*309696/1459562</f>
        <v>21.218420320616733</v>
      </c>
      <c r="L54">
        <f>IF(COUNT(J54:K54)=2,K54-J54,"")</f>
        <v>-21.975230139788156</v>
      </c>
      <c r="O54">
        <v>16</v>
      </c>
      <c r="P54">
        <v>15</v>
      </c>
      <c r="Q54">
        <f>100*595830/1410973</f>
        <v>42.22830628226054</v>
      </c>
      <c r="R54">
        <f>100*673647/2070034</f>
        <v>32.54279881393253</v>
      </c>
      <c r="S54">
        <f>IF(COUNT(Q54:R54)=2,R54-Q54,"")</f>
        <v>-9.685507468328012</v>
      </c>
    </row>
    <row r="55" spans="1:19" x14ac:dyDescent="0.3">
      <c r="A55">
        <v>17</v>
      </c>
      <c r="B55">
        <v>16</v>
      </c>
      <c r="C55">
        <f>100*543691/1545910</f>
        <v>35.1696411822163</v>
      </c>
      <c r="D55">
        <f>100*167600/1074961</f>
        <v>15.591263310948024</v>
      </c>
      <c r="E55">
        <f>IF(COUNT(C55:D55)=2,D55-C55,"")</f>
        <v>-19.57837787126828</v>
      </c>
      <c r="H55">
        <v>17</v>
      </c>
      <c r="I55">
        <v>16</v>
      </c>
      <c r="J55">
        <f>100*627913/1725883</f>
        <v>36.38213019074873</v>
      </c>
      <c r="K55">
        <f>100*213601/1171905</f>
        <v>18.226818726773928</v>
      </c>
      <c r="L55">
        <f>IF(COUNT(J55:K55)=2,K55-J55,"")</f>
        <v>-18.155311463974805</v>
      </c>
      <c r="O55">
        <v>17</v>
      </c>
      <c r="P55">
        <v>16</v>
      </c>
      <c r="Q55">
        <f>100*6486/400160</f>
        <v>1.6208516593362654</v>
      </c>
      <c r="R55">
        <f>100*3749/404630</f>
        <v>0.9265254677112423</v>
      </c>
      <c r="S55">
        <f>IF(COUNT(Q55:R55)=2,R55-Q55,"")</f>
        <v>-0.6943261916250231</v>
      </c>
    </row>
    <row r="56" spans="1:19" x14ac:dyDescent="0.3">
      <c r="A56">
        <v>18</v>
      </c>
      <c r="B56">
        <v>17</v>
      </c>
      <c r="C56">
        <f>100*889308/1891000</f>
        <v>47.02845055526176</v>
      </c>
      <c r="D56">
        <f>100*158592/985672</f>
        <v>16.089733704518338</v>
      </c>
      <c r="E56">
        <f>IF(COUNT(C56:D56)=2,D56-C56,"")</f>
        <v>-30.938716850743425</v>
      </c>
      <c r="H56">
        <v>18</v>
      </c>
      <c r="I56">
        <v>17</v>
      </c>
      <c r="J56">
        <f>100*355/2215</f>
        <v>16.02708803611738</v>
      </c>
      <c r="K56">
        <f>100*183337/1120739</f>
        <v>16.358581257545243</v>
      </c>
      <c r="L56">
        <f>IF(COUNT(J56:K56)=2,K56-J56,"")</f>
        <v>0.33149322142786275</v>
      </c>
      <c r="O56">
        <v>18</v>
      </c>
      <c r="P56">
        <v>17</v>
      </c>
      <c r="Q56">
        <f>100*78465/548560</f>
        <v>14.303813621117106</v>
      </c>
      <c r="R56">
        <f>100*16609/493031</f>
        <v>3.368753688916113</v>
      </c>
      <c r="S56">
        <f>IF(COUNT(Q56:R56)=2,R56-Q56,"")</f>
        <v>-10.935059932200993</v>
      </c>
    </row>
    <row r="57" spans="1:19" x14ac:dyDescent="0.3">
      <c r="A57">
        <v>19</v>
      </c>
      <c r="B57">
        <v>18</v>
      </c>
      <c r="C57">
        <f>100*419048/1297589</f>
        <v>32.294355146352196</v>
      </c>
      <c r="D57">
        <f>100*55763/742263</f>
        <v>7.512566300623903</v>
      </c>
      <c r="E57">
        <f>IF(COUNT(C57:D57)=2,D57-C57,"")</f>
        <v>-24.781788845728293</v>
      </c>
      <c r="H57">
        <v>19</v>
      </c>
      <c r="I57">
        <v>18</v>
      </c>
      <c r="J57">
        <f>100*451032/1332344</f>
        <v>33.85251856877803</v>
      </c>
      <c r="K57">
        <f>100*246540/1281023</f>
        <v>19.24555609071812</v>
      </c>
      <c r="L57">
        <f>IF(COUNT(J57:K57)=2,K57-J57,"")</f>
        <v>-14.60696247805991</v>
      </c>
      <c r="O57">
        <v>19</v>
      </c>
      <c r="P57">
        <v>18</v>
      </c>
      <c r="Q57">
        <f>100*644704/1630522</f>
        <v>39.53973022136469</v>
      </c>
      <c r="R57">
        <f>100*167747/678686</f>
        <v>24.71643735099884</v>
      </c>
      <c r="S57">
        <f>IF(COUNT(Q57:R57)=2,R57-Q57,"")</f>
        <v>-14.82329287036585</v>
      </c>
    </row>
    <row r="58" spans="1:19" x14ac:dyDescent="0.3">
      <c r="A58">
        <v>20</v>
      </c>
      <c r="B58">
        <v>19</v>
      </c>
      <c r="C58">
        <f>100*679956/1609329</f>
        <v>42.250900841282295</v>
      </c>
      <c r="D58">
        <f>100*98314/1023034</f>
        <v>9.61004228598463</v>
      </c>
      <c r="E58">
        <f>IF(COUNT(C58:D58)=2,D58-C58,"")</f>
        <v>-32.64085855529767</v>
      </c>
      <c r="H58">
        <v>20</v>
      </c>
      <c r="I58">
        <v>19</v>
      </c>
      <c r="J58">
        <f>100*854529/1945718</f>
        <v>43.918440390642424</v>
      </c>
      <c r="K58">
        <f>100*227964/1151773</f>
        <v>19.792441739821996</v>
      </c>
      <c r="L58">
        <f>IF(COUNT(J58:K58)=2,K58-J58,"")</f>
        <v>-24.125998650820428</v>
      </c>
      <c r="O58">
        <v>20</v>
      </c>
      <c r="P58">
        <v>19</v>
      </c>
      <c r="Q58">
        <f>100*668214/1556077</f>
        <v>42.94221944029762</v>
      </c>
      <c r="R58">
        <f>100*271316/1151624</f>
        <v>23.559425645870526</v>
      </c>
      <c r="S58">
        <f>IF(COUNT(Q58:R58)=2,R58-Q58,"")</f>
        <v>-19.382793794427094</v>
      </c>
    </row>
    <row r="59" spans="1:19" x14ac:dyDescent="0.3">
      <c r="A59">
        <v>21</v>
      </c>
      <c r="B59">
        <v>20</v>
      </c>
      <c r="C59">
        <f>100*775725/1847570</f>
        <v>41.98623056230616</v>
      </c>
      <c r="D59">
        <f>100*35856/344497</f>
        <v>10.408218358940717</v>
      </c>
      <c r="E59">
        <f>IF(COUNT(C59:D59)=2,D59-C59,"")</f>
        <v>-31.578012203365446</v>
      </c>
      <c r="H59">
        <v>21</v>
      </c>
      <c r="I59">
        <v>20</v>
      </c>
      <c r="J59">
        <f>100*708159/1885839</f>
        <v>37.5514028504024</v>
      </c>
      <c r="K59">
        <f>100*161658/1192392</f>
        <v>13.557454260008454</v>
      </c>
      <c r="L59">
        <f>IF(COUNT(J59:K59)=2,K59-J59,"")</f>
        <v>-23.99394859039394</v>
      </c>
      <c r="O59">
        <v>21</v>
      </c>
      <c r="P59">
        <v>20</v>
      </c>
      <c r="Q59">
        <f>100*370589/1143839</f>
        <v>32.39870296431578</v>
      </c>
      <c r="R59">
        <f>100*438509/1440907</f>
        <v>30.43284542305645</v>
      </c>
      <c r="S59">
        <f>IF(COUNT(Q59:R59)=2,R59-Q59,"")</f>
        <v>-1.9658575412593322</v>
      </c>
    </row>
    <row r="60" spans="1:19" x14ac:dyDescent="0.3">
      <c r="A60">
        <v>22</v>
      </c>
      <c r="B60">
        <v>21</v>
      </c>
      <c r="C60">
        <f>100*654996/1913846</f>
        <v>34.22407027524681</v>
      </c>
      <c r="D60">
        <f>100*423055/1558617</f>
        <v>27.14297354641968</v>
      </c>
      <c r="E60">
        <f>IF(COUNT(C60:D60)=2,D60-C60,"")</f>
        <v>-7.081096728827131</v>
      </c>
      <c r="H60">
        <v>22</v>
      </c>
      <c r="I60">
        <v>21</v>
      </c>
      <c r="J60">
        <f>100*858363/1916826</f>
        <v>44.78043390479887</v>
      </c>
      <c r="K60">
        <f>100*416933/1602429</f>
        <v>26.018812689985015</v>
      </c>
      <c r="L60">
        <f>IF(COUNT(J60:K60)=2,K60-J60,"")</f>
        <v>-18.761621214813854</v>
      </c>
      <c r="O60">
        <v>22</v>
      </c>
      <c r="P60">
        <v>21</v>
      </c>
      <c r="Q60">
        <f>100*754527/1680084</f>
        <v>44.91007592477519</v>
      </c>
      <c r="R60">
        <f>100*407652/1417939</f>
        <v>28.749614757757563</v>
      </c>
      <c r="S60">
        <f>IF(COUNT(Q60:R60)=2,R60-Q60,"")</f>
        <v>-16.16046116701763</v>
      </c>
    </row>
    <row r="61" spans="1:19" x14ac:dyDescent="0.3">
      <c r="A61">
        <v>23</v>
      </c>
      <c r="B61">
        <v>22</v>
      </c>
      <c r="C61">
        <f>100*604684/1725077</f>
        <v>35.052580261634695</v>
      </c>
      <c r="D61">
        <f>100*313550/1416598</f>
        <v>22.134014025150396</v>
      </c>
      <c r="E61">
        <f>IF(COUNT(C61:D61)=2,D61-C61,"")</f>
        <v>-12.918566236484299</v>
      </c>
      <c r="H61">
        <v>23</v>
      </c>
      <c r="I61">
        <v>22</v>
      </c>
      <c r="J61">
        <f>100*941313/1944636</f>
        <v>48.40561421263414</v>
      </c>
      <c r="K61">
        <f>100*201211/932719</f>
        <v>21.57252076992106</v>
      </c>
      <c r="L61">
        <f>IF(COUNT(J61:K61)=2,K61-J61,"")</f>
        <v>-26.833093442713082</v>
      </c>
      <c r="O61">
        <v>23</v>
      </c>
      <c r="P61">
        <v>22</v>
      </c>
      <c r="Q61">
        <f>100*844/356205</f>
        <v>0.236942210244101</v>
      </c>
      <c r="R61">
        <f>100*844/356205</f>
        <v>0.236942210244101</v>
      </c>
      <c r="S61">
        <f>IF(COUNT(Q61:R61)=2,R61-Q61,"")</f>
        <v>0.0</v>
      </c>
    </row>
    <row r="62" spans="1:19" x14ac:dyDescent="0.3">
      <c r="A62">
        <v>24</v>
      </c>
      <c r="B62">
        <v>23</v>
      </c>
      <c r="C62">
        <f>100*344998/1193986</f>
        <v>28.894643655788258</v>
      </c>
      <c r="D62">
        <f>100*173258/1040063</f>
        <v>16.65841396146195</v>
      </c>
      <c r="E62">
        <f>IF(COUNT(C62:D62)=2,D62-C62,"")</f>
        <v>-12.236229694326308</v>
      </c>
      <c r="H62">
        <v>24</v>
      </c>
      <c r="I62">
        <v>23</v>
      </c>
      <c r="J62">
        <f>100*792417/1775752</f>
        <v>44.62430564628394</v>
      </c>
      <c r="K62">
        <f>100*120424/1003113</f>
        <v>12.005028346756546</v>
      </c>
      <c r="L62">
        <f>IF(COUNT(J62:K62)=2,K62-J62,"")</f>
        <v>-32.6192772995274</v>
      </c>
      <c r="O62">
        <v>24</v>
      </c>
      <c r="P62">
        <v>23</v>
      </c>
      <c r="Q62">
        <f>100*197250/941831</f>
        <v>20.94324778012191</v>
      </c>
      <c r="R62">
        <f>100*26838/645751</f>
        <v>4.156091124907278</v>
      </c>
      <c r="S62">
        <f>IF(COUNT(Q62:R62)=2,R62-Q62,"")</f>
        <v>-16.787156655214634</v>
      </c>
    </row>
    <row r="63" spans="1:19" x14ac:dyDescent="0.3">
      <c r="A63">
        <v>25</v>
      </c>
      <c r="B63">
        <v>24</v>
      </c>
      <c r="C63">
        <f>100*768464/1759518</f>
        <v>43.67468818164975</v>
      </c>
      <c r="D63">
        <f>100*496418/1924443</f>
        <v>25.795411971152173</v>
      </c>
      <c r="E63">
        <f>IF(COUNT(C63:D63)=2,D63-C63,"")</f>
        <v>-17.879276210497576</v>
      </c>
      <c r="H63">
        <v>25</v>
      </c>
      <c r="I63">
        <v>24</v>
      </c>
      <c r="J63">
        <f>100*708043/1588574</f>
        <v>44.57098001100358</v>
      </c>
      <c r="K63">
        <f>100*21635/723555</f>
        <v>2.990097504681745</v>
      </c>
      <c r="L63">
        <f>IF(COUNT(J63:K63)=2,K63-J63,"")</f>
        <v>-41.580882506321835</v>
      </c>
      <c r="O63">
        <v>25</v>
      </c>
      <c r="P63">
        <v>24</v>
      </c>
      <c r="Q63">
        <f>100*339441/1160878</f>
        <v>29.240023499454722</v>
      </c>
      <c r="R63">
        <f>100*408671/1467711</f>
        <v>27.844105549389493</v>
      </c>
      <c r="S63">
        <f>IF(COUNT(Q63:R63)=2,R63-Q63,"")</f>
        <v>-1.395917950065229</v>
      </c>
    </row>
    <row r="64" spans="1:19" x14ac:dyDescent="0.3">
      <c r="A64">
        <v>26</v>
      </c>
      <c r="B64">
        <v>25</v>
      </c>
      <c r="C64">
        <f>100*872598/1965096</f>
        <v>44.40485350334029</v>
      </c>
      <c r="D64">
        <f>100*428209/1689643</f>
        <v>25.34316420687684</v>
      </c>
      <c r="E64">
        <f>IF(COUNT(C64:D64)=2,D64-C64,"")</f>
        <v>-19.061689296463452</v>
      </c>
      <c r="H64">
        <v>26</v>
      </c>
      <c r="I64">
        <v>25</v>
      </c>
      <c r="J64">
        <f>100*398836/1246025</f>
        <v>32.008667562849865</v>
      </c>
      <c r="K64">
        <f>100*289968/1386796</f>
        <v>20.909203660812405</v>
      </c>
      <c r="L64">
        <f>IF(COUNT(J64:K64)=2,K64-J64,"")</f>
        <v>-11.09946390203746</v>
      </c>
      <c r="O64">
        <v>26</v>
      </c>
      <c r="P64">
        <v>25</v>
      </c>
      <c r="Q64">
        <f>100*775571/1671807</f>
        <v>46.39118032165196</v>
      </c>
      <c r="R64">
        <f>100*249382/1347668</f>
        <v>18.504705906796037</v>
      </c>
      <c r="S64">
        <f>IF(COUNT(Q64:R64)=2,R64-Q64,"")</f>
        <v>-27.886474414855922</v>
      </c>
    </row>
    <row r="65" spans="1:19" x14ac:dyDescent="0.3">
      <c r="A65">
        <v>27</v>
      </c>
      <c r="B65">
        <v>26</v>
      </c>
      <c r="C65">
        <f>100*588879/1713537</f>
        <v>34.36628447474435</v>
      </c>
      <c r="D65">
        <f>100*178129/1276983</f>
        <v>13.949206841437983</v>
      </c>
      <c r="E65">
        <f>IF(COUNT(C65:D65)=2,D65-C65,"")</f>
        <v>-20.417077633306363</v>
      </c>
      <c r="H65">
        <v>27</v>
      </c>
      <c r="I65">
        <v>26</v>
      </c>
      <c r="J65">
        <f>100*537175/1539092</f>
        <v>34.90207213084078</v>
      </c>
      <c r="K65">
        <f>100*151273/1003741</f>
        <v>15.070919689441798</v>
      </c>
      <c r="L65">
        <f>IF(COUNT(J65:K65)=2,K65-J65,"")</f>
        <v>-19.83115244139898</v>
      </c>
      <c r="O65">
        <v>27</v>
      </c>
      <c r="P65">
        <v>26</v>
      </c>
      <c r="Q65">
        <f>100*484579/1297589</f>
        <v>37.34456750172821</v>
      </c>
      <c r="R65">
        <f>100*265032/1215961</f>
        <v>21.796093789192252</v>
      </c>
      <c r="S65">
        <f>IF(COUNT(Q65:R65)=2,R65-Q65,"")</f>
        <v>-15.548473712535955</v>
      </c>
    </row>
    <row r="66" spans="1:19" x14ac:dyDescent="0.3">
      <c r="A66">
        <v>28</v>
      </c>
      <c r="B66">
        <v>27</v>
      </c>
      <c r="C66">
        <f>100*367929/1192094</f>
        <v>30.864092932268765</v>
      </c>
      <c r="D66">
        <f>100*289874/1251026</f>
        <v>23.170901324193103</v>
      </c>
      <c r="E66">
        <f>IF(COUNT(C66:D66)=2,D66-C66,"")</f>
        <v>-7.6931916080756615</v>
      </c>
      <c r="H66">
        <v>28</v>
      </c>
      <c r="I66">
        <v>27</v>
      </c>
      <c r="J66">
        <f>100*531985/1356503</f>
        <v>39.21738470169252</v>
      </c>
      <c r="K66">
        <f>100*548392/1876750</f>
        <v>29.22030105235114</v>
      </c>
      <c r="L66">
        <f>IF(COUNT(J66:K66)=2,K66-J66,"")</f>
        <v>-9.997083649341377</v>
      </c>
      <c r="O66">
        <v>28</v>
      </c>
      <c r="P66">
        <v>27</v>
      </c>
      <c r="Q66">
        <f>100*341/342230</f>
        <v>0.09964059258393478</v>
      </c>
      <c r="R66">
        <f>100*341/342230</f>
        <v>0.09964059258393478</v>
      </c>
      <c r="S66">
        <f>IF(COUNT(Q66:R66)=2,R66-Q66,"")</f>
        <v>0.0</v>
      </c>
    </row>
    <row r="67" spans="1:19" x14ac:dyDescent="0.3">
      <c r="A67">
        <v>29</v>
      </c>
      <c r="B67">
        <v>28</v>
      </c>
      <c r="C67">
        <f>100*656014/1602695</f>
        <v>40.93193027993473</v>
      </c>
      <c r="D67">
        <f>100*334026/1523228</f>
        <v>21.928824837778716</v>
      </c>
      <c r="E67">
        <f>IF(COUNT(C67:D67)=2,D67-C67,"")</f>
        <v>-19.003105442156016</v>
      </c>
      <c r="H67">
        <v>29</v>
      </c>
      <c r="I67">
        <v>28</v>
      </c>
      <c r="J67">
        <f>100*917947/2006663</f>
        <v>45.74495069675376</v>
      </c>
      <c r="K67">
        <f>100*344574/1584655</f>
        <v>21.74441755460968</v>
      </c>
      <c r="L67">
        <f>IF(COUNT(J67:K67)=2,K67-J67,"")</f>
        <v>-24.000533142144082</v>
      </c>
      <c r="O67">
        <v>29</v>
      </c>
      <c r="P67">
        <v>28</v>
      </c>
      <c r="Q67">
        <f>100*506385/1453010</f>
        <v>34.850758081499784</v>
      </c>
      <c r="R67">
        <f>100*497941/1688036</f>
        <v>29.49824529808606</v>
      </c>
      <c r="S67">
        <f>IF(COUNT(Q67:R67)=2,R67-Q67,"")</f>
        <v>-5.352512783413722</v>
      </c>
    </row>
    <row r="68" spans="1:19" x14ac:dyDescent="0.3">
      <c r="A68">
        <v>30</v>
      </c>
      <c r="B68">
        <v>29</v>
      </c>
      <c r="C68">
        <f>100*39372/653286</f>
        <v>6.026763163453679</v>
      </c>
      <c r="D68">
        <f>100*50014/803654</f>
        <v>6.223324963230445</v>
      </c>
      <c r="E68">
        <f>IF(COUNT(C68:D68)=2,D68-C68,"")</f>
        <v>0.1965617997767657</v>
      </c>
      <c r="H68">
        <v>30</v>
      </c>
      <c r="I68">
        <v>29</v>
      </c>
      <c r="J68">
        <f>100*537109/1458999</f>
        <v>36.81352763093052</v>
      </c>
      <c r="K68">
        <f>100*348440/1468737</f>
        <v>23.723784448815547</v>
      </c>
      <c r="L68">
        <f>IF(COUNT(J68:K68)=2,K68-J68,"")</f>
        <v>-13.089743182114976</v>
      </c>
      <c r="O68">
        <v>30</v>
      </c>
      <c r="P68">
        <v>29</v>
      </c>
      <c r="Q68">
        <f>100*609326/1423323</f>
        <v>42.81010002648731</v>
      </c>
      <c r="R68">
        <f>100*126803/760120</f>
        <v>16.681971267694575</v>
      </c>
      <c r="S68">
        <f>IF(COUNT(Q68:R68)=2,R68-Q68,"")</f>
        <v>-26.128128758792737</v>
      </c>
    </row>
    <row r="69" spans="1:19" x14ac:dyDescent="0.3">
      <c r="A69">
        <v>31</v>
      </c>
      <c r="B69">
        <v>30</v>
      </c>
      <c r="C69">
        <f>100*401250/1230061</f>
        <v>32.62033346313719</v>
      </c>
      <c r="D69">
        <f>100*353139/1383609</f>
        <v>25.52303432544888</v>
      </c>
      <c r="E69">
        <f>IF(COUNT(C69:D69)=2,D69-C69,"")</f>
        <v>-7.097299137688314</v>
      </c>
      <c r="H69">
        <v>31</v>
      </c>
      <c r="I69">
        <v>30</v>
      </c>
      <c r="J69">
        <f>100*589124/1665281</f>
        <v>35.3768523150147</v>
      </c>
      <c r="K69">
        <f>100*406729/1670002</f>
        <v>24.355000772454165</v>
      </c>
      <c r="L69">
        <f>IF(COUNT(J69:K69)=2,K69-J69,"")</f>
        <v>-11.021851542560537</v>
      </c>
      <c r="O69">
        <v>31</v>
      </c>
      <c r="P69">
        <v>30</v>
      </c>
      <c r="Q69">
        <f>100*1911/646412</f>
        <v>0.2956318880218808</v>
      </c>
      <c r="R69">
        <f>100*1911/646412</f>
        <v>0.2956318880218808</v>
      </c>
      <c r="S69">
        <f>IF(COUNT(Q69:R69)=2,R69-Q69,"")</f>
        <v>0.0</v>
      </c>
    </row>
    <row r="70" spans="1:19" x14ac:dyDescent="0.3">
      <c r="A70" t="s">
        <v>5</v>
      </c>
      <c r="C70">
        <f>IF(COUNT(C39:C69)&gt;0,AVERAGE(C39:C69),"")</f>
        <v>31.6417312238221</v>
      </c>
      <c r="D70">
        <f>IF(COUNT(D39:D69)&gt;0,AVERAGE(D39:D69),"")</f>
        <v>15.421475517602813</v>
      </c>
      <c r="E70">
        <f>IF(COUNT(E39:E69)&gt;0,AVERAGE(E39:E69),"")</f>
        <v>-16.22025570621928</v>
      </c>
      <c r="H70" t="s">
        <v>5</v>
      </c>
      <c r="J70">
        <f>IF(COUNT(J39:J69)&gt;0,AVERAGE(J39:J69),"")</f>
        <v>32.99518015949494</v>
      </c>
      <c r="K70">
        <f>IF(COUNT(K39:K69)&gt;0,AVERAGE(K39:K69),"")</f>
        <v>15.997252566237002</v>
      </c>
      <c r="L70">
        <f>IF(COUNT(L39:L69)&gt;0,AVERAGE(L39:L69),"")</f>
        <v>-16.99792759325794</v>
      </c>
      <c r="O70" t="s">
        <v>5</v>
      </c>
      <c r="Q70">
        <f>IF(COUNT(Q39:Q69)&gt;0,AVERAGE(Q39:Q69),"")</f>
        <v>30.180215695878577</v>
      </c>
      <c r="R70">
        <f>IF(COUNT(R39:R69)&gt;0,AVERAGE(R39:R69),"")</f>
        <v>17.377447222910273</v>
      </c>
      <c r="S70">
        <f>IF(COUNT(S39:S69)&gt;0,AVERAGE(S39:S69),"")</f>
        <v>-12.802768472968303</v>
      </c>
    </row>
    <row r="73" spans="1:19" s="2" customFormat="1" x14ac:dyDescent="0.3">
      <c r="A73" s="1" t="s">
        <v>12</v>
      </c>
      <c r="B73" s="1"/>
      <c r="C73" s="1"/>
      <c r="D73" s="1"/>
      <c r="E73" s="1"/>
      <c r="H73" s="1" t="s">
        <v>13</v>
      </c>
      <c r="I73" s="1"/>
      <c r="J73" s="1"/>
      <c r="K73" s="1"/>
      <c r="L73" s="1"/>
      <c r="O73" s="1" t="s">
        <v>14</v>
      </c>
      <c r="P73" s="1"/>
      <c r="Q73" s="1"/>
      <c r="R73" s="1"/>
      <c r="S73" s="1"/>
    </row>
    <row r="74" spans="1:19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O74" t="s">
        <v>0</v>
      </c>
      <c r="P74" t="s">
        <v>1</v>
      </c>
      <c r="Q74" t="s">
        <v>2</v>
      </c>
      <c r="R74" t="s">
        <v>3</v>
      </c>
      <c r="S74" t="s">
        <v>4</v>
      </c>
    </row>
    <row r="75" spans="1:19" x14ac:dyDescent="0.3">
      <c r="A75">
        <v>1</v>
      </c>
      <c r="B75">
        <v>0</v>
      </c>
      <c r="C75">
        <f>100*950574/2156408</f>
        <v>44.08136122663244</v>
      </c>
      <c r="D75">
        <f>100*230679/1342175</f>
        <v>17.186954011213142</v>
      </c>
      <c r="E75">
        <f>IF(COUNT(C75:D75)=2,D75-C75,"")</f>
        <v>-26.894407215419296</v>
      </c>
      <c r="H75">
        <v>1</v>
      </c>
      <c r="I75">
        <v>0</v>
      </c>
      <c r="J75">
        <f>100*1161020/2178231</f>
        <v>53.30105025591868</v>
      </c>
      <c r="K75">
        <f>100*57350/810126</f>
        <v>7.079145713135981</v>
      </c>
      <c r="L75">
        <f>IF(COUNT(J75:K75)=2,K75-J75,"")</f>
        <v>-46.2219045427827</v>
      </c>
      <c r="O75">
        <v>1</v>
      </c>
      <c r="P75">
        <v>0</v>
      </c>
      <c r="Q75">
        <f>100*17855/657603</f>
        <v>2.7151640123296272</v>
      </c>
      <c r="R75">
        <f>100*7439/675341</f>
        <v>1.1015176036994645</v>
      </c>
      <c r="S75">
        <f>IF(COUNT(Q75:R75)=2,R75-Q75,"")</f>
        <v>-1.6136464086301627</v>
      </c>
    </row>
    <row r="76" spans="1:19" x14ac:dyDescent="0.3">
      <c r="A76">
        <v>2</v>
      </c>
      <c r="B76">
        <v>1</v>
      </c>
      <c r="C76">
        <f>100*784284/1919387</f>
        <v>40.861170780045924</v>
      </c>
      <c r="D76">
        <f>100*527314/2002389</f>
        <v>26.334243745845587</v>
      </c>
      <c r="E76">
        <f>IF(COUNT(C76:D76)=2,D76-C76,"")</f>
        <v>-14.526927034200337</v>
      </c>
      <c r="H76">
        <v>2</v>
      </c>
      <c r="I76">
        <v>1</v>
      </c>
      <c r="J76">
        <f>100*920313/2115455</f>
        <v>43.50425794923551</v>
      </c>
      <c r="K76">
        <f>100*529760/2202295</f>
        <v>24.054906359048175</v>
      </c>
      <c r="L76">
        <f>IF(COUNT(J76:K76)=2,K76-J76,"")</f>
        <v>-19.449351590187334</v>
      </c>
      <c r="O76">
        <v>2</v>
      </c>
      <c r="P76">
        <v>1</v>
      </c>
      <c r="Q76">
        <f>100*506051/1366563</f>
        <v>37.03093088280599</v>
      </c>
      <c r="R76">
        <f>100*153208/659487</f>
        <v>23.23139045955417</v>
      </c>
      <c r="S76">
        <f>IF(COUNT(Q76:R76)=2,R76-Q76,"")</f>
        <v>-13.79954042325182</v>
      </c>
    </row>
    <row r="77" spans="1:19" x14ac:dyDescent="0.3">
      <c r="A77">
        <v>3</v>
      </c>
      <c r="B77">
        <v>2</v>
      </c>
      <c r="C77">
        <f>100*45924/1162874</f>
        <v>3.949181080667381</v>
      </c>
      <c r="D77">
        <f>100*20016/1036132</f>
        <v>1.9318001953419062</v>
      </c>
      <c r="E77">
        <f>IF(COUNT(C77:D77)=2,D77-C77,"")</f>
        <v>-2.017380885325475</v>
      </c>
      <c r="H77">
        <v>3</v>
      </c>
      <c r="I77">
        <v>2</v>
      </c>
      <c r="J77">
        <f>100*702390/1654096</f>
        <v>42.46367804528879</v>
      </c>
      <c r="K77">
        <f>100*599611/2255345</f>
        <v>26.586220733413292</v>
      </c>
      <c r="L77">
        <f>IF(COUNT(J77:K77)=2,K77-J77,"")</f>
        <v>-15.877457311875496</v>
      </c>
      <c r="O77">
        <v>3</v>
      </c>
      <c r="P77">
        <v>2</v>
      </c>
      <c r="Q77">
        <f>100*580189/1478595</f>
        <v>39.239210196165956</v>
      </c>
      <c r="R77">
        <f>100*426488/1493041</f>
        <v>28.56505615050089</v>
      </c>
      <c r="S77">
        <f>IF(COUNT(Q77:R77)=2,R77-Q77,"")</f>
        <v>-10.674154045665066</v>
      </c>
    </row>
    <row r="78" spans="1:19" x14ac:dyDescent="0.3">
      <c r="A78">
        <v>4</v>
      </c>
      <c r="B78">
        <v>3</v>
      </c>
      <c r="C78">
        <f>100*987891/1871797</f>
        <v>52.77767834866708</v>
      </c>
      <c r="D78">
        <f>100*200042/1151961</f>
        <v>17.36534483372267</v>
      </c>
      <c r="E78">
        <f>IF(COUNT(C78:D78)=2,D78-C78,"")</f>
        <v>-35.41233351494441</v>
      </c>
      <c r="H78">
        <v>4</v>
      </c>
      <c r="I78">
        <v>3</v>
      </c>
      <c r="J78">
        <f>100*827459/1741510</f>
        <v>47.51388163145776</v>
      </c>
      <c r="K78">
        <f>100*198702/1122838</f>
        <v>17.696408564726166</v>
      </c>
      <c r="L78">
        <f>IF(COUNT(J78:K78)=2,K78-J78,"")</f>
        <v>-29.81747306673159</v>
      </c>
      <c r="O78">
        <v>4</v>
      </c>
      <c r="P78">
        <v>3</v>
      </c>
      <c r="Q78">
        <f>100*617738/1364388</f>
        <v>45.27583062882406</v>
      </c>
      <c r="R78">
        <f>100*406375/1477714</f>
        <v>27.50024700314134</v>
      </c>
      <c r="S78">
        <f>IF(COUNT(Q78:R78)=2,R78-Q78,"")</f>
        <v>-17.77558362568272</v>
      </c>
    </row>
    <row r="79" spans="1:19" x14ac:dyDescent="0.3">
      <c r="A79">
        <v>5</v>
      </c>
      <c r="B79">
        <v>4</v>
      </c>
      <c r="C79">
        <f>100*1067979/2182567</f>
        <v>48.932243546246234</v>
      </c>
      <c r="D79">
        <f>100*773802/2516555</f>
        <v>30.748463673553726</v>
      </c>
      <c r="E79">
        <f>IF(COUNT(C79:D79)=2,D79-C79,"")</f>
        <v>-18.183779872692508</v>
      </c>
      <c r="H79">
        <v>5</v>
      </c>
      <c r="I79">
        <v>4</v>
      </c>
      <c r="J79">
        <f>100*1035328/2211231</f>
        <v>46.82134069213031</v>
      </c>
      <c r="K79">
        <f>100*720989/2565795</f>
        <v>28.100023579436392</v>
      </c>
      <c r="L79">
        <f>IF(COUNT(J79:K79)=2,K79-J79,"")</f>
        <v>-18.72131711269392</v>
      </c>
      <c r="O79">
        <v>5</v>
      </c>
      <c r="P79">
        <v>4</v>
      </c>
      <c r="Q79">
        <f>100*829508/1701576</f>
        <v>48.749394678815406</v>
      </c>
      <c r="R79">
        <f>100*43376/842366</f>
        <v>5.149305646239283</v>
      </c>
      <c r="S79">
        <f>IF(COUNT(Q79:R79)=2,R79-Q79,"")</f>
        <v>-43.60008903257612</v>
      </c>
    </row>
    <row r="80" spans="1:19" x14ac:dyDescent="0.3">
      <c r="A80">
        <v>6</v>
      </c>
      <c r="B80">
        <v>5</v>
      </c>
      <c r="C80">
        <f>100*819594/1914103</f>
        <v>42.81869888924473</v>
      </c>
      <c r="D80">
        <f>100*110687/1070978</f>
        <v>10.335132934570085</v>
      </c>
      <c r="E80">
        <f>IF(COUNT(C80:D80)=2,D80-C80,"")</f>
        <v>-32.483565954674646</v>
      </c>
      <c r="H80">
        <v>6</v>
      </c>
      <c r="I80">
        <v>5</v>
      </c>
      <c r="J80">
        <f>100*627723/1597246</f>
        <v>39.30033319851795</v>
      </c>
      <c r="K80">
        <f>100*413281/1803397</f>
        <v>22.91680644916233</v>
      </c>
      <c r="L80">
        <f>IF(COUNT(J80:K80)=2,K80-J80,"")</f>
        <v>-16.383526749355617</v>
      </c>
      <c r="O80">
        <v>6</v>
      </c>
      <c r="P80">
        <v>5</v>
      </c>
      <c r="Q80">
        <f>100*561642/1450968</f>
        <v>38.70809004747176</v>
      </c>
      <c r="R80">
        <f>100*179636/794128</f>
        <v>22.620534724880624</v>
      </c>
      <c r="S80">
        <f>IF(COUNT(Q80:R80)=2,R80-Q80,"")</f>
        <v>-16.087555322591133</v>
      </c>
    </row>
    <row r="81" spans="1:19" x14ac:dyDescent="0.3">
      <c r="A81">
        <v>7</v>
      </c>
      <c r="B81">
        <v>6</v>
      </c>
      <c r="C81">
        <f>100*6901/528040</f>
        <v>1.3069085675327627</v>
      </c>
      <c r="D81">
        <f>100*56156/788416</f>
        <v>7.122635765890088</v>
      </c>
      <c r="E81">
        <f>IF(COUNT(C81:D81)=2,D81-C81,"")</f>
        <v>5.815727198357325</v>
      </c>
      <c r="H81">
        <v>7</v>
      </c>
      <c r="I81">
        <v>6</v>
      </c>
      <c r="J81">
        <f>100*3904/710153</f>
        <v>0.5497406896823642</v>
      </c>
      <c r="K81">
        <f>100*4112/519142</f>
        <v>0.7920761564273359</v>
      </c>
      <c r="L81">
        <f>IF(COUNT(J81:K81)=2,K81-J81,"")</f>
        <v>0.24233546674497164</v>
      </c>
      <c r="O81">
        <v>7</v>
      </c>
      <c r="P81">
        <v>6</v>
      </c>
      <c r="Q81">
        <f>100*769806/1827455</f>
        <v>42.124484597431945</v>
      </c>
      <c r="R81">
        <f>100*418817/1528787</f>
        <v>27.395379474053613</v>
      </c>
      <c r="S81">
        <f>IF(COUNT(Q81:R81)=2,R81-Q81,"")</f>
        <v>-14.729105123378332</v>
      </c>
    </row>
    <row r="82" spans="1:19" x14ac:dyDescent="0.3">
      <c r="A82">
        <v>8</v>
      </c>
      <c r="B82">
        <v>7</v>
      </c>
      <c r="C82">
        <f>100*8971/665002</f>
        <v>1.3490184991924836</v>
      </c>
      <c r="D82">
        <f>100*26876/760882</f>
        <v>3.532216559203661</v>
      </c>
      <c r="E82">
        <f>IF(COUNT(C82:D82)=2,D82-C82,"")</f>
        <v>2.1831980600111773</v>
      </c>
      <c r="H82">
        <v>8</v>
      </c>
      <c r="I82">
        <v>7</v>
      </c>
      <c r="J82">
        <f>100*7411/619510</f>
        <v>1.1962680182725056</v>
      </c>
      <c r="K82">
        <f>100*4036/539902</f>
        <v>0.7475430726316998</v>
      </c>
      <c r="L82">
        <f>IF(COUNT(J82:K82)=2,K82-J82,"")</f>
        <v>-0.4487249456408058</v>
      </c>
      <c r="O82">
        <v>8</v>
      </c>
      <c r="P82">
        <v>7</v>
      </c>
      <c r="Q82">
        <f>100*842526/1806467</f>
        <v>46.63943487481365</v>
      </c>
      <c r="R82">
        <f>100*660938/2007471</f>
        <v>32.923912724019424</v>
      </c>
      <c r="S82">
        <f>IF(COUNT(Q82:R82)=2,R82-Q82,"")</f>
        <v>-13.715522150794229</v>
      </c>
    </row>
    <row r="83" spans="1:19" x14ac:dyDescent="0.3">
      <c r="A83">
        <v>9</v>
      </c>
      <c r="B83">
        <v>8</v>
      </c>
      <c r="C83">
        <f>100*766923/1967808</f>
        <v>38.9734669236023</v>
      </c>
      <c r="D83">
        <f>100*613578/2175275</f>
        <v>28.206916366896138</v>
      </c>
      <c r="E83">
        <f>IF(COUNT(C83:D83)=2,D83-C83,"")</f>
        <v>-10.766550556706164</v>
      </c>
      <c r="H83">
        <v>9</v>
      </c>
      <c r="I83">
        <v>8</v>
      </c>
      <c r="J83">
        <f>100*986121/2196978</f>
        <v>44.88533795058485</v>
      </c>
      <c r="K83">
        <f>100*652652/2224252</f>
        <v>29.34253852531098</v>
      </c>
      <c r="L83">
        <f>IF(COUNT(J83:K83)=2,K83-J83,"")</f>
        <v>-15.542799425273866</v>
      </c>
      <c r="O83">
        <v>9</v>
      </c>
      <c r="P83">
        <v>8</v>
      </c>
      <c r="Q83">
        <f>100*418704/1300185</f>
        <v>32.20341720601299</v>
      </c>
      <c r="R83">
        <f>100*555412/1914651</f>
        <v>29.00852426891376</v>
      </c>
      <c r="S83">
        <f>IF(COUNT(Q83:R83)=2,R83-Q83,"")</f>
        <v>-3.194892937099233</v>
      </c>
    </row>
    <row r="84" spans="1:19" x14ac:dyDescent="0.3">
      <c r="A84">
        <v>10</v>
      </c>
      <c r="B84">
        <v>9</v>
      </c>
      <c r="C84">
        <f>100*193316/1207283</f>
        <v>16.012484231120624</v>
      </c>
      <c r="D84">
        <f>100*119234/1209830</f>
        <v>9.85543423456188</v>
      </c>
      <c r="E84">
        <f>IF(COUNT(C84:D84)=2,D84-C84,"")</f>
        <v>-6.157049996558744</v>
      </c>
      <c r="H84">
        <v>10</v>
      </c>
      <c r="I84">
        <v>9</v>
      </c>
      <c r="J84">
        <f>100*1094395/2180634</f>
        <v>50.187009832920154</v>
      </c>
      <c r="K84">
        <f>100*218443/1247480</f>
        <v>17.510741655176837</v>
      </c>
      <c r="L84">
        <f>IF(COUNT(J84:K84)=2,K84-J84,"")</f>
        <v>-32.67626817774332</v>
      </c>
      <c r="O84">
        <v>10</v>
      </c>
      <c r="P84">
        <v>9</v>
      </c>
      <c r="Q84">
        <f>100*10580/624813</f>
        <v>1.6933066373458938</v>
      </c>
      <c r="R84">
        <f>100*10580/624813</f>
        <v>1.6933066373458938</v>
      </c>
      <c r="S84">
        <f>IF(COUNT(Q84:R84)=2,R84-Q84,"")</f>
        <v>0.0</v>
      </c>
    </row>
    <row r="85" spans="1:19" x14ac:dyDescent="0.3">
      <c r="A85">
        <v>11</v>
      </c>
      <c r="B85">
        <v>10</v>
      </c>
      <c r="C85">
        <f>100*1000200/2058009</f>
        <v>48.60037055231537</v>
      </c>
      <c r="D85">
        <f>100*94731/989856</f>
        <v>9.570179904955872</v>
      </c>
      <c r="E85">
        <f>IF(COUNT(C85:D85)=2,D85-C85,"")</f>
        <v>-39.0301906473595</v>
      </c>
      <c r="H85">
        <v>11</v>
      </c>
      <c r="I85">
        <v>10</v>
      </c>
      <c r="J85">
        <f>100*1248271/2251399</f>
        <v>55.444237116566185</v>
      </c>
      <c r="K85">
        <f>100*109934/1093926</f>
        <v>10.049491464687739</v>
      </c>
      <c r="L85">
        <f>IF(COUNT(J85:K85)=2,K85-J85,"")</f>
        <v>-45.394745651878445</v>
      </c>
      <c r="O85">
        <v>11</v>
      </c>
      <c r="P85">
        <v>10</v>
      </c>
      <c r="Q85">
        <f>100*858874/1796310</f>
        <v>47.8132393629162</v>
      </c>
      <c r="R85">
        <f>100*476825/1519579</f>
        <v>31.37875687937251</v>
      </c>
      <c r="S85">
        <f>IF(COUNT(Q85:R85)=2,R85-Q85,"")</f>
        <v>-16.43448248354369</v>
      </c>
    </row>
    <row r="86" spans="1:19" x14ac:dyDescent="0.3">
      <c r="A86">
        <v>12</v>
      </c>
      <c r="B86">
        <v>11</v>
      </c>
      <c r="C86">
        <f>100*1083380/2227336</f>
        <v>48.640169242539066</v>
      </c>
      <c r="D86">
        <f>100*94202/1068563</f>
        <v>8.815764723277898</v>
      </c>
      <c r="E86">
        <f>IF(COUNT(C86:D86)=2,D86-C86,"")</f>
        <v>-39.824404519261165</v>
      </c>
      <c r="H86">
        <v>12</v>
      </c>
      <c r="I86">
        <v>11</v>
      </c>
      <c r="J86">
        <f>100*847034/1777114</f>
        <v>47.66345884394586</v>
      </c>
      <c r="K86">
        <f>100*199938/1359057</f>
        <v>14.711524240705137</v>
      </c>
      <c r="L86">
        <f>IF(COUNT(J86:K86)=2,K86-J86,"")</f>
        <v>-32.95193460324072</v>
      </c>
      <c r="O86">
        <v>12</v>
      </c>
      <c r="P86">
        <v>11</v>
      </c>
      <c r="Q86">
        <f>100*739588/1710894</f>
        <v>43.22816024838476</v>
      </c>
      <c r="R86">
        <f>100*369149/1393607</f>
        <v>26.488744674789952</v>
      </c>
      <c r="S86">
        <f>IF(COUNT(Q86:R86)=2,R86-Q86,"")</f>
        <v>-16.73941557359481</v>
      </c>
    </row>
    <row r="87" spans="1:19" x14ac:dyDescent="0.3">
      <c r="A87">
        <v>13</v>
      </c>
      <c r="B87">
        <v>12</v>
      </c>
      <c r="C87">
        <f>100*7212/818878</f>
        <v>0.8807172741238621</v>
      </c>
      <c r="D87">
        <f>100*7212/818878</f>
        <v>0.8807172741238621</v>
      </c>
      <c r="E87">
        <f>IF(COUNT(C87:D87)=2,D87-C87,"")</f>
        <v>0.0</v>
      </c>
      <c r="H87">
        <v>13</v>
      </c>
      <c r="I87">
        <v>12</v>
      </c>
      <c r="J87">
        <f>100*767025/1720041</f>
        <v>44.593413761648705</v>
      </c>
      <c r="K87">
        <f>100*142107/1370502</f>
        <v>10.3689742882535</v>
      </c>
      <c r="L87">
        <f>IF(COUNT(J87:K87)=2,K87-J87,"")</f>
        <v>-34.22443947339521</v>
      </c>
      <c r="O87">
        <v>13</v>
      </c>
      <c r="P87">
        <v>12</v>
      </c>
      <c r="Q87">
        <f>100*371461/1317955</f>
        <v>28.18464970351795</v>
      </c>
      <c r="R87">
        <f>100*38579/752334</f>
        <v>5.127908615056611</v>
      </c>
      <c r="S87">
        <f>IF(COUNT(Q87:R87)=2,R87-Q87,"")</f>
        <v>-23.05674108846134</v>
      </c>
    </row>
    <row r="88" spans="1:19" x14ac:dyDescent="0.3">
      <c r="A88">
        <v>14</v>
      </c>
      <c r="B88">
        <v>13</v>
      </c>
      <c r="C88">
        <f>100*92689/774868</f>
        <v>11.961908350841691</v>
      </c>
      <c r="D88">
        <f>100*132859/901404</f>
        <v>14.739118086895553</v>
      </c>
      <c r="E88">
        <f>IF(COUNT(C88:D88)=2,D88-C88,"")</f>
        <v>2.7772097360538623</v>
      </c>
      <c r="H88">
        <v>14</v>
      </c>
      <c r="I88">
        <v>13</v>
      </c>
      <c r="J88">
        <f>100*438708/1328922</f>
        <v>33.01232126490494</v>
      </c>
      <c r="K88">
        <f>100*298104/1440285</f>
        <v>20.697570272550223</v>
      </c>
      <c r="L88">
        <f>IF(COUNT(J88:K88)=2,K88-J88,"")</f>
        <v>-12.314750992354718</v>
      </c>
      <c r="O88">
        <v>14</v>
      </c>
      <c r="P88">
        <v>13</v>
      </c>
      <c r="Q88">
        <f>100*183244/894097</f>
        <v>20.494868006491465</v>
      </c>
      <c r="R88">
        <f>100*64620/586774</f>
        <v>11.012757893158184</v>
      </c>
      <c r="S88">
        <f>IF(COUNT(Q88:R88)=2,R88-Q88,"")</f>
        <v>-9.482110113333281</v>
      </c>
    </row>
    <row r="89" spans="1:19" x14ac:dyDescent="0.3">
      <c r="A89">
        <v>15</v>
      </c>
      <c r="B89">
        <v>14</v>
      </c>
      <c r="C89">
        <f>100*410087/1559215</f>
        <v>26.30086293423293</v>
      </c>
      <c r="D89">
        <f>100*181990/1401029</f>
        <v>12.989738256667064</v>
      </c>
      <c r="E89">
        <f>IF(COUNT(C89:D89)=2,D89-C89,"")</f>
        <v>-13.311124677565868</v>
      </c>
      <c r="H89">
        <v>15</v>
      </c>
      <c r="I89">
        <v>14</v>
      </c>
      <c r="J89">
        <f>100*378843/1975907</f>
        <v>19.173118977765654</v>
      </c>
      <c r="K89">
        <f>100*338833/1657059</f>
        <v>20.447853697424172</v>
      </c>
      <c r="L89">
        <f>IF(COUNT(J89:K89)=2,K89-J89,"")</f>
        <v>1.2747347196585181</v>
      </c>
      <c r="O89">
        <v>15</v>
      </c>
      <c r="P89">
        <v>14</v>
      </c>
      <c r="Q89">
        <f>100*672160/1590176</f>
        <v>42.269534944559595</v>
      </c>
      <c r="R89">
        <f>100*746168/2132630</f>
        <v>34.98816015905244</v>
      </c>
      <c r="S89">
        <f>IF(COUNT(Q89:R89)=2,R89-Q89,"")</f>
        <v>-7.281374785507154</v>
      </c>
    </row>
    <row r="90" spans="1:19" x14ac:dyDescent="0.3">
      <c r="A90">
        <v>16</v>
      </c>
      <c r="B90">
        <v>15</v>
      </c>
      <c r="C90">
        <f>100*1111193/2179314</f>
        <v>50.988200874220055</v>
      </c>
      <c r="D90">
        <f>100*505410/1873408</f>
        <v>26.97810621071331</v>
      </c>
      <c r="E90">
        <f>IF(COUNT(C90:D90)=2,D90-C90,"")</f>
        <v>-24.010094663506745</v>
      </c>
      <c r="H90">
        <v>16</v>
      </c>
      <c r="I90">
        <v>15</v>
      </c>
      <c r="J90">
        <f>100*769550/1774401</f>
        <v>43.36956527864896</v>
      </c>
      <c r="K90">
        <f>100*141827/1295506</f>
        <v>10.947614291249906</v>
      </c>
      <c r="L90">
        <f>IF(COUNT(J90:K90)=2,K90-J90,"")</f>
        <v>-32.42195098739906</v>
      </c>
      <c r="O90">
        <v>16</v>
      </c>
      <c r="P90">
        <v>15</v>
      </c>
      <c r="Q90">
        <f>100*705277/1721980</f>
        <v>40.95732819196506</v>
      </c>
      <c r="R90">
        <f>100*521451/1707164</f>
        <v>30.544868565644542</v>
      </c>
      <c r="S90">
        <f>IF(COUNT(Q90:R90)=2,R90-Q90,"")</f>
        <v>-10.41245962632052</v>
      </c>
    </row>
    <row r="91" spans="1:19" x14ac:dyDescent="0.3">
      <c r="A91">
        <v>17</v>
      </c>
      <c r="B91">
        <v>16</v>
      </c>
      <c r="C91">
        <f>100*743599/1773793</f>
        <v>41.921407965867495</v>
      </c>
      <c r="D91">
        <f>100*487813/1816865</f>
        <v>26.84916050449538</v>
      </c>
      <c r="E91">
        <f>IF(COUNT(C91:D91)=2,D91-C91,"")</f>
        <v>-15.072247461372115</v>
      </c>
      <c r="H91">
        <v>17</v>
      </c>
      <c r="I91">
        <v>16</v>
      </c>
      <c r="J91">
        <f>100*3265/88900</f>
        <v>3.6726659167604048</v>
      </c>
      <c r="K91">
        <f>100*3265/88900</f>
        <v>3.6726659167604048</v>
      </c>
      <c r="L91">
        <f>IF(COUNT(J91:K91)=2,K91-J91,"")</f>
        <v>0.0</v>
      </c>
      <c r="O91">
        <v>17</v>
      </c>
      <c r="P91">
        <v>16</v>
      </c>
      <c r="Q91">
        <f>100*16305/441767</f>
        <v>3.690859661314675</v>
      </c>
      <c r="R91">
        <f>100*26313/471239</f>
        <v>5.583790815276325</v>
      </c>
      <c r="S91">
        <f>IF(COUNT(Q91:R91)=2,R91-Q91,"")</f>
        <v>1.89293115396165</v>
      </c>
    </row>
    <row r="92" spans="1:19" x14ac:dyDescent="0.3">
      <c r="A92">
        <v>18</v>
      </c>
      <c r="B92">
        <v>17</v>
      </c>
      <c r="C92">
        <f>100*929466/2060823</f>
        <v>45.10168995590597</v>
      </c>
      <c r="D92">
        <f>100*90502/1189370</f>
        <v>7.609238504418306</v>
      </c>
      <c r="E92">
        <f>IF(COUNT(C92:D92)=2,D92-C92,"")</f>
        <v>-37.49245145148766</v>
      </c>
      <c r="H92">
        <v>18</v>
      </c>
      <c r="I92">
        <v>17</v>
      </c>
      <c r="K92">
        <f>100*117999/1164558</f>
        <v>10.132513794933356</v>
      </c>
      <c r="L92" t="str">
        <f>IF(COUNT(J92:K92)=2,K92-J92,"")</f>
        <v/>
      </c>
      <c r="O92">
        <v>18</v>
      </c>
      <c r="P92">
        <v>17</v>
      </c>
      <c r="Q92">
        <f>100*156937/709883</f>
        <v>22.10744587488361</v>
      </c>
      <c r="R92">
        <f>100*13658/537609</f>
        <v>2.540508064411124</v>
      </c>
      <c r="S92">
        <f>IF(COUNT(Q92:R92)=2,R92-Q92,"")</f>
        <v>-19.566937810472485</v>
      </c>
    </row>
    <row r="93" spans="1:19" x14ac:dyDescent="0.3">
      <c r="A93">
        <v>19</v>
      </c>
      <c r="B93">
        <v>18</v>
      </c>
      <c r="C93">
        <f>100*675293/1785174</f>
        <v>37.82785319526276</v>
      </c>
      <c r="D93">
        <f>100*93409/791467</f>
        <v>11.802008169639416</v>
      </c>
      <c r="E93">
        <f>IF(COUNT(C93:D93)=2,D93-C93,"")</f>
        <v>-26.025845025623347</v>
      </c>
      <c r="H93">
        <v>19</v>
      </c>
      <c r="I93">
        <v>18</v>
      </c>
      <c r="J93">
        <f>100*453701/1228767</f>
        <v>36.9232734928591</v>
      </c>
      <c r="K93">
        <f>100*222546/1173195</f>
        <v>18.96922506488691</v>
      </c>
      <c r="L93">
        <f>IF(COUNT(J93:K93)=2,K93-J93,"")</f>
        <v>-17.954048427972193</v>
      </c>
      <c r="O93">
        <v>19</v>
      </c>
      <c r="P93">
        <v>18</v>
      </c>
      <c r="Q93">
        <f>100*736264/1588962</f>
        <v>46.33616159480214</v>
      </c>
      <c r="R93">
        <f>100*692776/1911838</f>
        <v>36.236124608884225</v>
      </c>
      <c r="S93">
        <f>IF(COUNT(Q93:R93)=2,R93-Q93,"")</f>
        <v>-10.100036985917917</v>
      </c>
    </row>
    <row r="94" spans="1:19" x14ac:dyDescent="0.3">
      <c r="A94">
        <v>20</v>
      </c>
      <c r="B94">
        <v>19</v>
      </c>
      <c r="C94">
        <f>100*1003210/2172217</f>
        <v>46.18369159250664</v>
      </c>
      <c r="D94">
        <f>100*356780/1572654</f>
        <v>22.68649048042354</v>
      </c>
      <c r="E94">
        <f>IF(COUNT(C94:D94)=2,D94-C94,"")</f>
        <v>-23.4972011120831</v>
      </c>
      <c r="H94">
        <v>20</v>
      </c>
      <c r="I94">
        <v>19</v>
      </c>
      <c r="J94">
        <f>100*896581/2145144</f>
        <v>41.79584214393066</v>
      </c>
      <c r="K94">
        <f>100*459608/1880757</f>
        <v>24.43739409184706</v>
      </c>
      <c r="L94">
        <f>IF(COUNT(J94:K94)=2,K94-J94,"")</f>
        <v>-17.358448052083602</v>
      </c>
      <c r="O94">
        <v>20</v>
      </c>
      <c r="P94">
        <v>19</v>
      </c>
      <c r="Q94">
        <f>100*596231/1430518</f>
        <v>41.67937767997327</v>
      </c>
      <c r="R94">
        <f>100*489318/1928046</f>
        <v>25.3789588007755</v>
      </c>
      <c r="S94">
        <f>IF(COUNT(Q94:R94)=2,R94-Q94,"")</f>
        <v>-16.30041887919777</v>
      </c>
    </row>
    <row r="95" spans="1:19" x14ac:dyDescent="0.3">
      <c r="A95">
        <v>21</v>
      </c>
      <c r="B95">
        <v>20</v>
      </c>
      <c r="C95">
        <f>100*814501/1741903</f>
        <v>46.759262714399135</v>
      </c>
      <c r="D95">
        <f>100*317756/1578823</f>
        <v>20.12613193499208</v>
      </c>
      <c r="E95">
        <f>IF(COUNT(C95:D95)=2,D95-C95,"")</f>
        <v>-26.633130779407054</v>
      </c>
      <c r="H95">
        <v>21</v>
      </c>
      <c r="I95">
        <v>20</v>
      </c>
      <c r="J95">
        <f>100*923720/1857736</f>
        <v>49.722888505148205</v>
      </c>
      <c r="K95">
        <f>100*178800/1038588</f>
        <v>17.215681290367307</v>
      </c>
      <c r="L95">
        <f>IF(COUNT(J95:K95)=2,K95-J95,"")</f>
        <v>-32.5072072147809</v>
      </c>
      <c r="O95">
        <v>21</v>
      </c>
      <c r="P95">
        <v>20</v>
      </c>
      <c r="Q95">
        <f>100*808426/1622789</f>
        <v>49.817074185245275</v>
      </c>
      <c r="R95">
        <f>100*55973/769157</f>
        <v>7.277187882317914</v>
      </c>
      <c r="S95">
        <f>IF(COUNT(Q95:R95)=2,R95-Q95,"")</f>
        <v>-42.53988630292736</v>
      </c>
    </row>
    <row r="96" spans="1:19" x14ac:dyDescent="0.3">
      <c r="A96">
        <v>22</v>
      </c>
      <c r="B96">
        <v>21</v>
      </c>
      <c r="C96">
        <f>100*599877/1809045</f>
        <v>33.15987164498396</v>
      </c>
      <c r="D96">
        <f>100*575223/2196986</f>
        <v>26.182369846689966</v>
      </c>
      <c r="E96">
        <f>IF(COUNT(C96:D96)=2,D96-C96,"")</f>
        <v>-6.977501798293993</v>
      </c>
      <c r="H96">
        <v>22</v>
      </c>
      <c r="I96">
        <v>21</v>
      </c>
      <c r="J96">
        <f>100*1034872/2267546</f>
        <v>45.63841262757183</v>
      </c>
      <c r="K96">
        <f>100*551950/2065091</f>
        <v>26.727635731306755</v>
      </c>
      <c r="L96">
        <f>IF(COUNT(J96:K96)=2,K96-J96,"")</f>
        <v>-18.910776896265077</v>
      </c>
      <c r="O96">
        <v>22</v>
      </c>
      <c r="P96">
        <v>21</v>
      </c>
      <c r="Q96">
        <f>100*248293/932917</f>
        <v>26.614693482914344</v>
      </c>
      <c r="R96">
        <f>100*538045/1963326</f>
        <v>27.404771291166114</v>
      </c>
      <c r="S96">
        <f>IF(COUNT(Q96:R96)=2,R96-Q96,"")</f>
        <v>0.7900778082517697</v>
      </c>
    </row>
    <row r="97" spans="1:19" x14ac:dyDescent="0.3">
      <c r="A97">
        <v>23</v>
      </c>
      <c r="B97">
        <v>22</v>
      </c>
      <c r="C97">
        <f>100*649730/1525642</f>
        <v>42.58731733919229</v>
      </c>
      <c r="D97">
        <f>100*524131/1865966</f>
        <v>28.08898983154034</v>
      </c>
      <c r="E97">
        <f>IF(COUNT(C97:D97)=2,D97-C97,"")</f>
        <v>-14.49832750765195</v>
      </c>
      <c r="H97">
        <v>23</v>
      </c>
      <c r="I97">
        <v>22</v>
      </c>
      <c r="J97">
        <f>100*954501/1934417</f>
        <v>49.34308373013678</v>
      </c>
      <c r="K97">
        <f>100*322624/1700068</f>
        <v>18.977123268010455</v>
      </c>
      <c r="L97">
        <f>IF(COUNT(J97:K97)=2,K97-J97,"")</f>
        <v>-30.365960462126328</v>
      </c>
      <c r="O97">
        <v>23</v>
      </c>
      <c r="P97">
        <v>22</v>
      </c>
      <c r="Q97">
        <f>100*491/406810</f>
        <v>0.12069516481895726</v>
      </c>
      <c r="R97">
        <f>100*491/406810</f>
        <v>0.12069516481895726</v>
      </c>
      <c r="S97">
        <f>IF(COUNT(Q97:R97)=2,R97-Q97,"")</f>
        <v>0.0</v>
      </c>
    </row>
    <row r="98" spans="1:19" x14ac:dyDescent="0.3">
      <c r="A98">
        <v>24</v>
      </c>
      <c r="B98">
        <v>23</v>
      </c>
      <c r="C98">
        <f>100*540481/1325139</f>
        <v>40.786740108018854</v>
      </c>
      <c r="D98">
        <f>100*370551/1615346</f>
        <v>22.93941978993974</v>
      </c>
      <c r="E98">
        <f>IF(COUNT(C98:D98)=2,D98-C98,"")</f>
        <v>-17.847320318079113</v>
      </c>
      <c r="H98">
        <v>24</v>
      </c>
      <c r="I98">
        <v>23</v>
      </c>
      <c r="J98">
        <f>100*677655/1567258</f>
        <v>43.238254326983814</v>
      </c>
      <c r="K98">
        <f>100*171572/1309085</f>
        <v>13.106253604616965</v>
      </c>
      <c r="L98">
        <f>IF(COUNT(J98:K98)=2,K98-J98,"")</f>
        <v>-30.132000722366847</v>
      </c>
      <c r="O98">
        <v>24</v>
      </c>
      <c r="P98">
        <v>23</v>
      </c>
      <c r="Q98">
        <f>100*462555/1165901</f>
        <v>39.67360865116335</v>
      </c>
      <c r="R98">
        <f>100*4032/799394</f>
        <v>0.5043820694175838</v>
      </c>
      <c r="S98">
        <f>IF(COUNT(Q98:R98)=2,R98-Q98,"")</f>
        <v>-39.16922658174577</v>
      </c>
    </row>
    <row r="99" spans="1:19" x14ac:dyDescent="0.3">
      <c r="A99">
        <v>25</v>
      </c>
      <c r="B99">
        <v>24</v>
      </c>
      <c r="C99">
        <f>100*628764/1681845</f>
        <v>37.3853714224557</v>
      </c>
      <c r="D99">
        <f>100*191595/1110905</f>
        <v>17.246749271989955</v>
      </c>
      <c r="E99">
        <f>IF(COUNT(C99:D99)=2,D99-C99,"")</f>
        <v>-20.138622150465743</v>
      </c>
      <c r="H99">
        <v>25</v>
      </c>
      <c r="I99">
        <v>24</v>
      </c>
      <c r="J99">
        <f>100*1059343/2107573</f>
        <v>50.26364448586123</v>
      </c>
      <c r="K99">
        <f>100*109096/1242222</f>
        <v>8.78232715247355</v>
      </c>
      <c r="L99">
        <f>IF(COUNT(J99:K99)=2,K99-J99,"")</f>
        <v>-41.48131733338768</v>
      </c>
      <c r="O99">
        <v>25</v>
      </c>
      <c r="P99">
        <v>24</v>
      </c>
      <c r="Q99">
        <f>100*667801/1611354</f>
        <v>41.4434692811139</v>
      </c>
      <c r="R99">
        <f>100*495729/1824223</f>
        <v>27.174802642001552</v>
      </c>
      <c r="S99">
        <f>IF(COUNT(Q99:R99)=2,R99-Q99,"")</f>
        <v>-14.268666639112347</v>
      </c>
    </row>
    <row r="100" spans="1:19" x14ac:dyDescent="0.3">
      <c r="A100">
        <v>26</v>
      </c>
      <c r="B100">
        <v>25</v>
      </c>
      <c r="C100">
        <f>100*1206228/2241810</f>
        <v>53.805987126473696</v>
      </c>
      <c r="D100">
        <f>100*297646/1757675</f>
        <v>16.934074843187734</v>
      </c>
      <c r="E100">
        <f>IF(COUNT(C100:D100)=2,D100-C100,"")</f>
        <v>-36.871912283285965</v>
      </c>
      <c r="H100">
        <v>26</v>
      </c>
      <c r="I100">
        <v>25</v>
      </c>
      <c r="J100">
        <f>100*50542/865957</f>
        <v>5.836548466032378</v>
      </c>
      <c r="K100">
        <f>100*176676/1006192</f>
        <v>17.558875443255364</v>
      </c>
      <c r="L100">
        <f>IF(COUNT(J100:K100)=2,K100-J100,"")</f>
        <v>11.722326977222986</v>
      </c>
      <c r="O100">
        <v>26</v>
      </c>
      <c r="P100">
        <v>25</v>
      </c>
      <c r="Q100">
        <f>100*825215/1789490</f>
        <v>46.114535426294644</v>
      </c>
      <c r="R100">
        <f>100*667050/1948751</f>
        <v>34.22961681610426</v>
      </c>
      <c r="S100">
        <f>IF(COUNT(Q100:R100)=2,R100-Q100,"")</f>
        <v>-11.884918610190383</v>
      </c>
    </row>
    <row r="101" spans="1:19" x14ac:dyDescent="0.3">
      <c r="A101">
        <v>27</v>
      </c>
      <c r="B101">
        <v>26</v>
      </c>
      <c r="C101">
        <f>100*312477/1386036</f>
        <v>22.54465251984797</v>
      </c>
      <c r="D101">
        <f>100*301109/1701918</f>
        <v>17.69233300311766</v>
      </c>
      <c r="E101">
        <f>IF(COUNT(C101:D101)=2,D101-C101,"")</f>
        <v>-4.852319516730308</v>
      </c>
      <c r="H101">
        <v>27</v>
      </c>
      <c r="I101">
        <v>26</v>
      </c>
      <c r="J101">
        <f>100*307157/1210949</f>
        <v>25.36498234029674</v>
      </c>
      <c r="K101">
        <f>100*250949/1585533</f>
        <v>15.827422071946783</v>
      </c>
      <c r="L101">
        <f>IF(COUNT(J101:K101)=2,K101-J101,"")</f>
        <v>-9.537560268349958</v>
      </c>
      <c r="O101">
        <v>27</v>
      </c>
      <c r="P101">
        <v>26</v>
      </c>
      <c r="Q101">
        <f>100*889999/1746112</f>
        <v>50.9703272184144</v>
      </c>
      <c r="R101">
        <f>100*663990/1882161</f>
        <v>35.278066010293486</v>
      </c>
      <c r="S101">
        <f>IF(COUNT(Q101:R101)=2,R101-Q101,"")</f>
        <v>-15.692261208120911</v>
      </c>
    </row>
    <row r="102" spans="1:19" x14ac:dyDescent="0.3">
      <c r="A102">
        <v>28</v>
      </c>
      <c r="B102">
        <v>27</v>
      </c>
      <c r="C102">
        <f>100*803250/1998379</f>
        <v>40.19507811080881</v>
      </c>
      <c r="D102">
        <f>100*413204/1769689</f>
        <v>23.348961314671673</v>
      </c>
      <c r="E102">
        <f>IF(COUNT(C102:D102)=2,D102-C102,"")</f>
        <v>-16.846116796137135</v>
      </c>
      <c r="H102">
        <v>28</v>
      </c>
      <c r="I102">
        <v>27</v>
      </c>
      <c r="J102">
        <f>100*499214/1645125</f>
        <v>30.345049768254693</v>
      </c>
      <c r="K102">
        <f>100*507810/1988813</f>
        <v>25.533320628937965</v>
      </c>
      <c r="L102">
        <f>IF(COUNT(J102:K102)=2,K102-J102,"")</f>
        <v>-4.8117291393167285</v>
      </c>
      <c r="O102">
        <v>28</v>
      </c>
      <c r="P102">
        <v>27</v>
      </c>
      <c r="Q102">
        <f>100*1300/408366</f>
        <v>0.3183418795884084</v>
      </c>
      <c r="R102">
        <f>100*1300/408366</f>
        <v>0.3183418795884084</v>
      </c>
      <c r="S102">
        <f>IF(COUNT(Q102:R102)=2,R102-Q102,"")</f>
        <v>0.0</v>
      </c>
    </row>
    <row r="103" spans="1:19" x14ac:dyDescent="0.3">
      <c r="A103">
        <v>29</v>
      </c>
      <c r="B103">
        <v>28</v>
      </c>
      <c r="C103">
        <f>100*764531/1746891</f>
        <v>43.76523778529971</v>
      </c>
      <c r="D103">
        <f>100*430185/1843863</f>
        <v>23.330637905310752</v>
      </c>
      <c r="E103">
        <f>IF(COUNT(C103:D103)=2,D103-C103,"")</f>
        <v>-20.43459987998896</v>
      </c>
      <c r="H103">
        <v>29</v>
      </c>
      <c r="I103">
        <v>28</v>
      </c>
      <c r="J103">
        <f>100*1050807/2150575</f>
        <v>48.86167652837032</v>
      </c>
      <c r="K103">
        <f>100*343460/1622091</f>
        <v>21.173904546662303</v>
      </c>
      <c r="L103">
        <f>IF(COUNT(J103:K103)=2,K103-J103,"")</f>
        <v>-27.687771981708014</v>
      </c>
      <c r="O103">
        <v>29</v>
      </c>
      <c r="P103">
        <v>28</v>
      </c>
      <c r="Q103">
        <f>100*827171/1762089</f>
        <v>46.94263456613145</v>
      </c>
      <c r="R103">
        <f>100*698525/2087796</f>
        <v>33.45753129137138</v>
      </c>
      <c r="S103">
        <f>IF(COUNT(Q103:R103)=2,R103-Q103,"")</f>
        <v>-13.485103274760071</v>
      </c>
    </row>
    <row r="104" spans="1:19" x14ac:dyDescent="0.3">
      <c r="A104">
        <v>30</v>
      </c>
      <c r="B104">
        <v>29</v>
      </c>
      <c r="C104">
        <f>100*7364/541662</f>
        <v>1.3595194050902593</v>
      </c>
      <c r="D104">
        <f>100*6109/539376</f>
        <v>1.132605084393818</v>
      </c>
      <c r="E104">
        <f>IF(COUNT(C104:D104)=2,D104-C104,"")</f>
        <v>-0.22691432069644124</v>
      </c>
      <c r="H104">
        <v>30</v>
      </c>
      <c r="I104">
        <v>29</v>
      </c>
      <c r="J104">
        <f>100*410139/1282634</f>
        <v>31.976308128429466</v>
      </c>
      <c r="K104">
        <f>100*310375/1533717</f>
        <v>20.236784230728354</v>
      </c>
      <c r="L104">
        <f>IF(COUNT(J104:K104)=2,K104-J104,"")</f>
        <v>-11.739523897701112</v>
      </c>
      <c r="O104">
        <v>30</v>
      </c>
      <c r="P104">
        <v>29</v>
      </c>
      <c r="Q104">
        <f>100*806811/1713643</f>
        <v>47.08162668653856</v>
      </c>
      <c r="R104">
        <f>100*396775/1559392</f>
        <v>25.444211590158215</v>
      </c>
      <c r="S104">
        <f>IF(COUNT(Q104:R104)=2,R104-Q104,"")</f>
        <v>-21.637415096380348</v>
      </c>
    </row>
    <row r="105" spans="1:19" x14ac:dyDescent="0.3">
      <c r="A105">
        <v>31</v>
      </c>
      <c r="B105">
        <v>30</v>
      </c>
      <c r="C105">
        <f>100*859640/1902385</f>
        <v>45.187488337008546</v>
      </c>
      <c r="D105">
        <f>100*390227/1734067</f>
        <v>22.503571084623605</v>
      </c>
      <c r="E105">
        <f>IF(COUNT(C105:D105)=2,D105-C105,"")</f>
        <v>-22.68391725238494</v>
      </c>
      <c r="H105">
        <v>31</v>
      </c>
      <c r="I105">
        <v>30</v>
      </c>
      <c r="J105">
        <f>100*349588/1410455</f>
        <v>24.785477026916848</v>
      </c>
      <c r="K105">
        <f>100*395525/1708543</f>
        <v>23.14984170723242</v>
      </c>
      <c r="L105">
        <f>IF(COUNT(J105:K105)=2,K105-J105,"")</f>
        <v>-1.6356353196844289</v>
      </c>
      <c r="O105">
        <v>31</v>
      </c>
      <c r="P105">
        <v>30</v>
      </c>
      <c r="Q105">
        <f>100*267010/983366</f>
        <v>27.15265730155405</v>
      </c>
      <c r="R105">
        <f>100*38711/817293</f>
        <v>4.7364898512528555</v>
      </c>
      <c r="S105">
        <f>IF(COUNT(Q105:R105)=2,R105-Q105,"")</f>
        <v>-22.416167450301195</v>
      </c>
    </row>
    <row r="106" spans="1:19" x14ac:dyDescent="0.3">
      <c r="A106" t="s">
        <v>5</v>
      </c>
      <c r="C106">
        <f>IF(COUNT(C75:C105)&gt;0,AVERAGE(C75:C105),"")</f>
        <v>34.096955178849896</v>
      </c>
      <c r="D106">
        <f>IF(COUNT(D75:D105)&gt;0,AVERAGE(D75:D105),"")</f>
        <v>16.615016398286016</v>
      </c>
      <c r="E106">
        <f>IF(COUNT(E75:E105)&gt;0,AVERAGE(E75:E105),"")</f>
        <v>-17.48193878056388</v>
      </c>
      <c r="H106" t="s">
        <v>5</v>
      </c>
      <c r="J106">
        <f>IF(COUNT(J75:J105)&gt;0,AVERAGE(J75:J105),"")</f>
        <v>36.69157069983473</v>
      </c>
      <c r="K106">
        <f>IF(COUNT(K75:K105)&gt;0,AVERAGE(K75:K105),"")</f>
        <v>17.01775508410664</v>
      </c>
      <c r="L106">
        <f>IF(COUNT(L75:L105)&gt;0,AVERAGE(L75:L105),"")</f>
        <v>-19.444307572755637</v>
      </c>
      <c r="O106" t="s">
        <v>5</v>
      </c>
      <c r="Q106">
        <f>IF(COUNT(Q75:Q105)&gt;0,AVERAGE(Q75:Q105),"")</f>
        <v>33.786792028213014</v>
      </c>
      <c r="R106">
        <f>IF(COUNT(R75:R105)&gt;0,AVERAGE(R75:R105),"")</f>
        <v>19.4972854921697</v>
      </c>
      <c r="S106">
        <f>IF(COUNT(S75:S105)&gt;0,AVERAGE(S75:S105),"")</f>
        <v>-14.289506536043312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9689-D3B2-4CE1-A0FE-D7D3C80000D2}">
  <dimension ref="A1:S106"/>
  <sheetViews>
    <sheetView workbookViewId="0">
      <selection activeCell="G70" sqref="G70"/>
    </sheetView>
  </sheetViews>
  <sheetFormatPr defaultRowHeight="16.5" x14ac:dyDescent="0.3"/>
  <sheetData>
    <row r="1" spans="1:19" s="2" customFormat="1" ht="17.25" customHeight="1" x14ac:dyDescent="0.3">
      <c r="A1" s="1" t="s">
        <v>6</v>
      </c>
      <c r="B1" s="1"/>
      <c r="C1" s="1"/>
      <c r="D1" s="1"/>
      <c r="E1" s="1"/>
      <c r="H1" s="1" t="s">
        <v>7</v>
      </c>
      <c r="I1" s="1"/>
      <c r="J1" s="1"/>
      <c r="K1" s="1"/>
      <c r="L1" s="1"/>
      <c r="O1" s="1" t="s">
        <v>8</v>
      </c>
      <c r="P1" s="1"/>
      <c r="Q1" s="1"/>
      <c r="R1" s="1"/>
      <c r="S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3">
      <c r="A3">
        <v>1</v>
      </c>
      <c r="B3">
        <v>0</v>
      </c>
      <c r="C3">
        <f>100*332764/1052174</f>
        <v>31.626327964766283</v>
      </c>
      <c r="D3">
        <f>100*101462/639158</f>
        <v>15.874322155085284</v>
      </c>
      <c r="E3">
        <f>IF(COUNT(C3:D3)=2,D3-C3,"")</f>
        <v>-15.752005809680998</v>
      </c>
      <c r="H3">
        <v>1</v>
      </c>
      <c r="I3">
        <v>0</v>
      </c>
      <c r="J3">
        <f>100*291815/1145550</f>
        <v>25.47378988258915</v>
      </c>
      <c r="K3">
        <f>100*51505/539998</f>
        <v>9.537998288882552</v>
      </c>
      <c r="L3">
        <f>IF(COUNT(J3:K3)=2,K3-J3,"")</f>
        <v>-15.935791593706597</v>
      </c>
      <c r="O3">
        <v>1</v>
      </c>
      <c r="P3">
        <v>0</v>
      </c>
      <c r="Q3">
        <f>100*208586/733698</f>
        <v>28.429408285152746</v>
      </c>
      <c r="R3">
        <f>100*105765/657887</f>
        <v>16.076469059276135</v>
      </c>
      <c r="S3">
        <f>IF(COUNT(Q3:R3)=2,R3-Q3,"")</f>
        <v>-12.35293922587661</v>
      </c>
    </row>
    <row r="4" spans="1:19" x14ac:dyDescent="0.3">
      <c r="A4">
        <v>2</v>
      </c>
      <c r="B4">
        <v>1</v>
      </c>
      <c r="C4">
        <f>100*356409/1118920</f>
        <v>31.852947485074893</v>
      </c>
      <c r="D4">
        <f>100*261079/1169269</f>
        <v>22.328394920245042</v>
      </c>
      <c r="E4">
        <f>IF(COUNT(C4:D4)=2,D4-C4,"")</f>
        <v>-9.52455256482985</v>
      </c>
      <c r="H4">
        <v>2</v>
      </c>
      <c r="I4">
        <v>1</v>
      </c>
      <c r="J4">
        <f>100*130334/783729</f>
        <v>16.629983068126865</v>
      </c>
      <c r="K4">
        <f>100*110275/763994</f>
        <v>14.434013879690154</v>
      </c>
      <c r="L4">
        <f>IF(COUNT(J4:K4)=2,K4-J4,"")</f>
        <v>-2.1959691884367114</v>
      </c>
      <c r="O4">
        <v>2</v>
      </c>
      <c r="P4">
        <v>1</v>
      </c>
      <c r="Q4">
        <f>100*510455/1451156</f>
        <v>35.17574954036644</v>
      </c>
      <c r="R4">
        <f>100*130523/526892</f>
        <v>24.772249341421013</v>
      </c>
      <c r="S4">
        <f>IF(COUNT(Q4:R4)=2,R4-Q4,"")</f>
        <v>-10.403500198945427</v>
      </c>
    </row>
    <row r="5" spans="1:19" x14ac:dyDescent="0.3">
      <c r="A5">
        <v>3</v>
      </c>
      <c r="B5">
        <v>2</v>
      </c>
      <c r="C5">
        <f>100*397332/1270809</f>
        <v>31.266067520768267</v>
      </c>
      <c r="D5">
        <f>100*83888/763390</f>
        <v>10.988878554867107</v>
      </c>
      <c r="E5">
        <f>IF(COUNT(C5:D5)=2,D5-C5,"")</f>
        <v>-20.27718896590116</v>
      </c>
      <c r="H5">
        <v>3</v>
      </c>
      <c r="I5">
        <v>2</v>
      </c>
      <c r="J5">
        <f>100*147851/1441835</f>
        <v>10.25436336335295</v>
      </c>
      <c r="K5">
        <f>100*55855/658287</f>
        <v>8.484900962650029</v>
      </c>
      <c r="L5">
        <f>IF(COUNT(J5:K5)=2,K5-J5,"")</f>
        <v>-1.7694624007029205</v>
      </c>
      <c r="O5">
        <v>3</v>
      </c>
      <c r="P5">
        <v>2</v>
      </c>
      <c r="Q5">
        <f>100*480143/1280935</f>
        <v>37.48379113694293</v>
      </c>
      <c r="R5">
        <f>100*227326/1010857</f>
        <v>22.4884429746245</v>
      </c>
      <c r="S5">
        <f>IF(COUNT(Q5:R5)=2,R5-Q5,"")</f>
        <v>-14.995348162318432</v>
      </c>
    </row>
    <row r="6" spans="1:19" x14ac:dyDescent="0.3">
      <c r="A6">
        <v>4</v>
      </c>
      <c r="B6">
        <v>3</v>
      </c>
      <c r="C6">
        <f>100*16403/519550</f>
        <v>3.1571552304879225</v>
      </c>
      <c r="D6">
        <f>100*19813/561199</f>
        <v>3.53047671146955</v>
      </c>
      <c r="E6">
        <f>IF(COUNT(C6:D6)=2,D6-C6,"")</f>
        <v>0.37332148098162765</v>
      </c>
      <c r="H6">
        <v>4</v>
      </c>
      <c r="I6">
        <v>3</v>
      </c>
      <c r="J6">
        <f>100*123870/784417</f>
        <v>15.791345674558302</v>
      </c>
      <c r="K6">
        <f>100*29848/535666</f>
        <v>5.572128901218297</v>
      </c>
      <c r="L6">
        <f>IF(COUNT(J6:K6)=2,K6-J6,"")</f>
        <v>-10.219216773340005</v>
      </c>
      <c r="O6">
        <v>4</v>
      </c>
      <c r="P6">
        <v>3</v>
      </c>
      <c r="Q6">
        <f>100*450191/1211277</f>
        <v>37.16664313777939</v>
      </c>
      <c r="R6">
        <f>100*170426/849240</f>
        <v>20.068060854411</v>
      </c>
      <c r="S6">
        <f>IF(COUNT(Q6:R6)=2,R6-Q6,"")</f>
        <v>-17.098582283368387</v>
      </c>
    </row>
    <row r="7" spans="1:19" x14ac:dyDescent="0.3">
      <c r="A7">
        <v>5</v>
      </c>
      <c r="B7">
        <v>4</v>
      </c>
      <c r="C7">
        <f>100*497044/1286267</f>
        <v>38.64236585405674</v>
      </c>
      <c r="D7">
        <f>100*288899/1224573</f>
        <v>23.59181526948577</v>
      </c>
      <c r="E7">
        <f>IF(COUNT(C7:D7)=2,D7-C7,"")</f>
        <v>-15.05055058457097</v>
      </c>
      <c r="H7">
        <v>5</v>
      </c>
      <c r="I7">
        <v>4</v>
      </c>
      <c r="J7">
        <f>100*342477/1148710</f>
        <v>29.814052284736793</v>
      </c>
      <c r="K7">
        <f>100*157275/938346</f>
        <v>16.76087498641226</v>
      </c>
      <c r="L7">
        <f>IF(COUNT(J7:K7)=2,K7-J7,"")</f>
        <v>-13.053177298324531</v>
      </c>
      <c r="O7">
        <v>5</v>
      </c>
      <c r="P7">
        <v>4</v>
      </c>
      <c r="Q7">
        <f>100*389359/1092762</f>
        <v>35.63072288384845</v>
      </c>
      <c r="R7">
        <f>100*101393/614268</f>
        <v>16.506313205311038</v>
      </c>
      <c r="S7">
        <f>IF(COUNT(Q7:R7)=2,R7-Q7,"")</f>
        <v>-19.12440967853741</v>
      </c>
    </row>
    <row r="8" spans="1:19" x14ac:dyDescent="0.3">
      <c r="A8">
        <v>6</v>
      </c>
      <c r="B8">
        <v>5</v>
      </c>
      <c r="C8">
        <f>100*295084/1125005</f>
        <v>26.229572313011943</v>
      </c>
      <c r="D8">
        <f>100*134591/878297</f>
        <v>15.324087410067436</v>
      </c>
      <c r="E8">
        <f>IF(COUNT(C8:D8)=2,D8-C8,"")</f>
        <v>-10.905484902944506</v>
      </c>
      <c r="H8">
        <v>6</v>
      </c>
      <c r="I8">
        <v>5</v>
      </c>
      <c r="J8">
        <f>100*246415/1039225</f>
        <v>23.71141956746614</v>
      </c>
      <c r="K8">
        <f>100*183659/917214</f>
        <v>20.02357138028857</v>
      </c>
      <c r="L8">
        <f>IF(COUNT(J8:K8)=2,K8-J8,"")</f>
        <v>-3.687848187177572</v>
      </c>
      <c r="O8">
        <v>6</v>
      </c>
      <c r="P8">
        <v>5</v>
      </c>
      <c r="Q8">
        <f>100*269836/994553</f>
        <v>27.131384652200538</v>
      </c>
      <c r="R8">
        <f>100*83421/610696</f>
        <v>13.659987948177163</v>
      </c>
      <c r="S8">
        <f>IF(COUNT(Q8:R8)=2,R8-Q8,"")</f>
        <v>-13.471396704023375</v>
      </c>
    </row>
    <row r="9" spans="1:19" x14ac:dyDescent="0.3">
      <c r="A9">
        <v>7</v>
      </c>
      <c r="B9">
        <v>6</v>
      </c>
      <c r="C9">
        <f>100*240424/851852</f>
        <v>28.223682048055295</v>
      </c>
      <c r="D9">
        <f>100*31293/492898</f>
        <v>6.348778043327423</v>
      </c>
      <c r="E9">
        <f>IF(COUNT(C9:D9)=2,D9-C9,"")</f>
        <v>-21.874904004727874</v>
      </c>
      <c r="H9">
        <v>7</v>
      </c>
      <c r="I9">
        <v>6</v>
      </c>
      <c r="J9">
        <f>100*3261/356727</f>
        <v>0.9141444297740289</v>
      </c>
      <c r="K9">
        <f>100*21789/430364</f>
        <v>5.062923478729633</v>
      </c>
      <c r="L9">
        <f>IF(COUNT(J9:K9)=2,K9-J9,"")</f>
        <v>4.148779048955604</v>
      </c>
      <c r="O9">
        <v>7</v>
      </c>
      <c r="P9">
        <v>6</v>
      </c>
      <c r="Q9">
        <f>100*460466/1246393</f>
        <v>36.94388527535055</v>
      </c>
      <c r="R9">
        <f>100*163954/941086</f>
        <v>17.421787169291648</v>
      </c>
      <c r="S9">
        <f>IF(COUNT(Q9:R9)=2,R9-Q9,"")</f>
        <v>-19.522098106058905</v>
      </c>
    </row>
    <row r="10" spans="1:19" x14ac:dyDescent="0.3">
      <c r="A10">
        <v>8</v>
      </c>
      <c r="B10">
        <v>7</v>
      </c>
      <c r="C10">
        <f>100*3447/313581</f>
        <v>1.09923751757919</v>
      </c>
      <c r="D10">
        <f>100*16755/363764</f>
        <v>4.606008291089828</v>
      </c>
      <c r="E10">
        <f>IF(COUNT(C10:D10)=2,D10-C10,"")</f>
        <v>3.506770773510638</v>
      </c>
      <c r="H10">
        <v>8</v>
      </c>
      <c r="I10">
        <v>7</v>
      </c>
      <c r="J10">
        <f>100*275/278589</f>
        <v>0.09871172228623527</v>
      </c>
      <c r="K10">
        <f>100*71211/627353</f>
        <v>11.3510256586005</v>
      </c>
      <c r="L10">
        <f>IF(COUNT(J10:K10)=2,K10-J10,"")</f>
        <v>11.252313936314264</v>
      </c>
      <c r="O10">
        <v>8</v>
      </c>
      <c r="P10">
        <v>7</v>
      </c>
      <c r="Q10">
        <f>100*631465/1523952</f>
        <v>41.43601635747058</v>
      </c>
      <c r="R10">
        <f>100*179827/876105</f>
        <v>20.525736070448175</v>
      </c>
      <c r="S10">
        <f>IF(COUNT(Q10:R10)=2,R10-Q10,"")</f>
        <v>-20.910280287022402</v>
      </c>
    </row>
    <row r="11" spans="1:19" x14ac:dyDescent="0.3">
      <c r="A11">
        <v>9</v>
      </c>
      <c r="B11">
        <v>8</v>
      </c>
      <c r="C11">
        <f>100*328851/1096172</f>
        <v>29.999945264064397</v>
      </c>
      <c r="D11">
        <f>100*259274/1215755</f>
        <v>21.32617180270696</v>
      </c>
      <c r="E11">
        <f>IF(COUNT(C11:D11)=2,D11-C11,"")</f>
        <v>-8.673773461357438</v>
      </c>
      <c r="H11">
        <v>9</v>
      </c>
      <c r="I11">
        <v>8</v>
      </c>
      <c r="J11">
        <f>100*382533/1287826</f>
        <v>29.70377985845914</v>
      </c>
      <c r="K11">
        <f>100*298529/1266839</f>
        <v>23.564872884399676</v>
      </c>
      <c r="L11">
        <f>IF(COUNT(J11:K11)=2,K11-J11,"")</f>
        <v>-6.138906974059463</v>
      </c>
      <c r="O11">
        <v>9</v>
      </c>
      <c r="P11">
        <v>8</v>
      </c>
      <c r="Q11">
        <f>100*511514/1411309</f>
        <v>36.24394090875917</v>
      </c>
      <c r="R11">
        <f>100*221976/1042449</f>
        <v>21.29370357686563</v>
      </c>
      <c r="S11">
        <f>IF(COUNT(Q11:R11)=2,R11-Q11,"")</f>
        <v>-14.95023733189354</v>
      </c>
    </row>
    <row r="12" spans="1:19" x14ac:dyDescent="0.3">
      <c r="A12">
        <v>10</v>
      </c>
      <c r="B12">
        <v>9</v>
      </c>
      <c r="C12">
        <f>100*147882/738636</f>
        <v>20.0209575487791</v>
      </c>
      <c r="D12">
        <f>100*11763/490141</f>
        <v>2.399921655197178</v>
      </c>
      <c r="E12">
        <f>IF(COUNT(C12:D12)=2,D12-C12,"")</f>
        <v>-17.621035893581922</v>
      </c>
      <c r="H12">
        <v>10</v>
      </c>
      <c r="I12">
        <v>9</v>
      </c>
      <c r="J12">
        <f>100*179400/747366</f>
        <v>24.00430311253121</v>
      </c>
      <c r="K12">
        <f>100*75271/702078</f>
        <v>10.721173430872353</v>
      </c>
      <c r="L12">
        <f>IF(COUNT(J12:K12)=2,K12-J12,"")</f>
        <v>-13.283129681658858</v>
      </c>
      <c r="O12">
        <v>10</v>
      </c>
      <c r="P12">
        <v>9</v>
      </c>
      <c r="Q12">
        <f>100*361827/1149672</f>
        <v>31.47219380832098</v>
      </c>
      <c r="R12">
        <f>100*5573/431237</f>
        <v>1.2923288122308614</v>
      </c>
      <c r="S12">
        <f>IF(COUNT(Q12:R12)=2,R12-Q12,"")</f>
        <v>-30.17986499609012</v>
      </c>
    </row>
    <row r="13" spans="1:19" x14ac:dyDescent="0.3">
      <c r="A13">
        <v>11</v>
      </c>
      <c r="B13">
        <v>10</v>
      </c>
      <c r="C13">
        <f>100*4137/540292</f>
        <v>0.7656970675116419</v>
      </c>
      <c r="D13">
        <f>100*16960/586138</f>
        <v>2.8935165438855694</v>
      </c>
      <c r="E13">
        <f>IF(COUNT(C13:D13)=2,D13-C13,"")</f>
        <v>2.1278194763739275</v>
      </c>
      <c r="H13">
        <v>11</v>
      </c>
      <c r="I13">
        <v>10</v>
      </c>
      <c r="J13">
        <f>100*29717/602395</f>
        <v>4.933141875347571</v>
      </c>
      <c r="K13">
        <f>100*41538/702063</f>
        <v>5.9165630434875505</v>
      </c>
      <c r="L13">
        <f>IF(COUNT(J13:K13)=2,K13-J13,"")</f>
        <v>0.9834211681399792</v>
      </c>
      <c r="O13">
        <v>11</v>
      </c>
      <c r="P13">
        <v>10</v>
      </c>
      <c r="Q13">
        <f>100*314083/1092488</f>
        <v>28.749331800440828</v>
      </c>
      <c r="R13">
        <f>100*213439/934847</f>
        <v>22.831436588019216</v>
      </c>
      <c r="S13">
        <f>IF(COUNT(Q13:R13)=2,R13-Q13,"")</f>
        <v>-5.917895212421612</v>
      </c>
    </row>
    <row r="14" spans="1:19" x14ac:dyDescent="0.3">
      <c r="A14">
        <v>12</v>
      </c>
      <c r="B14">
        <v>11</v>
      </c>
      <c r="C14">
        <f>100*469865/1292144</f>
        <v>36.363207196721106</v>
      </c>
      <c r="D14">
        <f>100*33932/599598</f>
        <v>5.6591249470478555</v>
      </c>
      <c r="E14">
        <f>IF(COUNT(C14:D14)=2,D14-C14,"")</f>
        <v>-30.70408224967325</v>
      </c>
      <c r="H14">
        <v>12</v>
      </c>
      <c r="I14">
        <v>11</v>
      </c>
      <c r="J14">
        <f>100*17227/518447</f>
        <v>3.3228083102033574</v>
      </c>
      <c r="K14">
        <f>100*90939/748351</f>
        <v>12.15191801708022</v>
      </c>
      <c r="L14">
        <f>IF(COUNT(J14:K14)=2,K14-J14,"")</f>
        <v>8.829109706876864</v>
      </c>
      <c r="O14">
        <v>12</v>
      </c>
      <c r="P14">
        <v>11</v>
      </c>
      <c r="Q14">
        <f>100*438660/1271352</f>
        <v>34.5034262737621</v>
      </c>
      <c r="R14">
        <f>100*262587/1038658</f>
        <v>25.281372694380632</v>
      </c>
      <c r="S14">
        <f>IF(COUNT(Q14:R14)=2,R14-Q14,"")</f>
        <v>-9.22205357938147</v>
      </c>
    </row>
    <row r="15" spans="1:19" x14ac:dyDescent="0.3">
      <c r="A15">
        <v>13</v>
      </c>
      <c r="B15">
        <v>12</v>
      </c>
      <c r="C15">
        <f>100*47266/521892</f>
        <v>9.0566630643888</v>
      </c>
      <c r="D15">
        <f>100*49997/529472</f>
        <v>9.442803396591321</v>
      </c>
      <c r="E15">
        <f>IF(COUNT(C15:D15)=2,D15-C15,"")</f>
        <v>0.38614033220252075</v>
      </c>
      <c r="H15">
        <v>13</v>
      </c>
      <c r="I15">
        <v>12</v>
      </c>
      <c r="J15">
        <f>100*544142/1461712</f>
        <v>37.22634828201451</v>
      </c>
      <c r="K15">
        <f>100*41966/554082</f>
        <v>7.5739691958951925</v>
      </c>
      <c r="L15">
        <f>IF(COUNT(J15:K15)=2,K15-J15,"")</f>
        <v>-29.65237908611932</v>
      </c>
      <c r="O15">
        <v>13</v>
      </c>
      <c r="P15">
        <v>12</v>
      </c>
      <c r="Q15">
        <f>100*357555/1108932</f>
        <v>32.243185335079154</v>
      </c>
      <c r="R15">
        <f>100*62051/620838</f>
        <v>9.994716818235997</v>
      </c>
      <c r="S15">
        <f>IF(COUNT(Q15:R15)=2,R15-Q15,"")</f>
        <v>-22.248468516843158</v>
      </c>
    </row>
    <row r="16" spans="1:19" x14ac:dyDescent="0.3">
      <c r="A16">
        <v>14</v>
      </c>
      <c r="B16">
        <v>13</v>
      </c>
      <c r="C16">
        <f>100*7402/385878</f>
        <v>1.9182228580017517</v>
      </c>
      <c r="D16">
        <f>100*51951/553479</f>
        <v>9.386263977495082</v>
      </c>
      <c r="E16">
        <f>IF(COUNT(C16:D16)=2,D16-C16,"")</f>
        <v>7.46804111949333</v>
      </c>
      <c r="H16">
        <v>14</v>
      </c>
      <c r="I16">
        <v>13</v>
      </c>
      <c r="J16">
        <f>100*181558/818931</f>
        <v>22.170121780711685</v>
      </c>
      <c r="K16">
        <f>100*169481/811300</f>
        <v>20.89005300135585</v>
      </c>
      <c r="L16">
        <f>IF(COUNT(J16:K16)=2,K16-J16,"")</f>
        <v>-1.2800687793558367</v>
      </c>
      <c r="O16">
        <v>14</v>
      </c>
      <c r="P16">
        <v>13</v>
      </c>
      <c r="Q16">
        <f>100*131266/578543</f>
        <v>22.689065462722738</v>
      </c>
      <c r="R16">
        <f>100*17586/516444</f>
        <v>3.405209470920371</v>
      </c>
      <c r="S16">
        <f>IF(COUNT(Q16:R16)=2,R16-Q16,"")</f>
        <v>-19.283855991802366</v>
      </c>
    </row>
    <row r="17" spans="1:19" x14ac:dyDescent="0.3">
      <c r="A17">
        <v>15</v>
      </c>
      <c r="B17">
        <v>14</v>
      </c>
      <c r="C17">
        <f>100*405804/1241849</f>
        <v>32.67740280823192</v>
      </c>
      <c r="D17">
        <f>100*157333/895419</f>
        <v>17.570880224788617</v>
      </c>
      <c r="E17">
        <f>IF(COUNT(C17:D17)=2,D17-C17,"")</f>
        <v>-15.1065225834433</v>
      </c>
      <c r="H17">
        <v>15</v>
      </c>
      <c r="I17">
        <v>14</v>
      </c>
      <c r="J17">
        <f>100*610081/1573211</f>
        <v>38.779350004544845</v>
      </c>
      <c r="K17">
        <f>100*164825/946000</f>
        <v>17.423361522198732</v>
      </c>
      <c r="L17">
        <f>IF(COUNT(J17:K17)=2,K17-J17,"")</f>
        <v>-21.355988482346113</v>
      </c>
      <c r="O17">
        <v>15</v>
      </c>
      <c r="P17">
        <v>14</v>
      </c>
      <c r="Q17">
        <f>100*384174/1163453</f>
        <v>33.020156379329464</v>
      </c>
      <c r="R17">
        <f>100*204343/1018447</f>
        <v>20.064176142695693</v>
      </c>
      <c r="S17">
        <f>IF(COUNT(Q17:R17)=2,R17-Q17,"")</f>
        <v>-12.95598023663377</v>
      </c>
    </row>
    <row r="18" spans="1:19" x14ac:dyDescent="0.3">
      <c r="A18">
        <v>16</v>
      </c>
      <c r="B18">
        <v>15</v>
      </c>
      <c r="C18">
        <f>100*397150/1193789</f>
        <v>33.26802307610474</v>
      </c>
      <c r="D18">
        <f>100*32624/577114</f>
        <v>5.652955915122488</v>
      </c>
      <c r="E18">
        <f>IF(COUNT(C18:D18)=2,D18-C18,"")</f>
        <v>-27.61506716098225</v>
      </c>
      <c r="H18">
        <v>16</v>
      </c>
      <c r="I18">
        <v>15</v>
      </c>
      <c r="J18">
        <f>100*311472/1035367</f>
        <v>30.083245844227218</v>
      </c>
      <c r="K18">
        <f>100*44498/551434</f>
        <v>8.06950605149483</v>
      </c>
      <c r="L18">
        <f>IF(COUNT(J18:K18)=2,K18-J18,"")</f>
        <v>-22.013739792732387</v>
      </c>
      <c r="O18">
        <v>16</v>
      </c>
      <c r="P18">
        <v>15</v>
      </c>
      <c r="Q18">
        <f>100*403580/1172064</f>
        <v>34.43327326835394</v>
      </c>
      <c r="R18">
        <f>100*304428/1137961</f>
        <v>26.75205916547228</v>
      </c>
      <c r="S18">
        <f>IF(COUNT(Q18:R18)=2,R18-Q18,"")</f>
        <v>-7.681214102881665</v>
      </c>
    </row>
    <row r="19" spans="1:19" x14ac:dyDescent="0.3">
      <c r="A19">
        <v>17</v>
      </c>
      <c r="B19">
        <v>16</v>
      </c>
      <c r="C19">
        <f>100*170884/804109</f>
        <v>21.251347765041803</v>
      </c>
      <c r="D19">
        <f>100*174344/779284</f>
        <v>22.37233152483562</v>
      </c>
      <c r="E19">
        <f>IF(COUNT(C19:D19)=2,D19-C19,"")</f>
        <v>1.1209837597938161</v>
      </c>
      <c r="H19">
        <v>17</v>
      </c>
      <c r="I19">
        <v>16</v>
      </c>
      <c r="J19">
        <f>100*547667/1465339</f>
        <v>37.37476447429571</v>
      </c>
      <c r="K19">
        <f>100*197509/1034136</f>
        <v>19.09893863089574</v>
      </c>
      <c r="L19">
        <f>IF(COUNT(J19:K19)=2,K19-J19,"")</f>
        <v>-18.275825843399968</v>
      </c>
      <c r="O19">
        <v>17</v>
      </c>
      <c r="P19">
        <v>16</v>
      </c>
      <c r="Q19">
        <f>100*34194/375756</f>
        <v>9.10005429055025</v>
      </c>
      <c r="R19">
        <f>100*2512/310840</f>
        <v>0.808132801441256</v>
      </c>
      <c r="S19">
        <f>IF(COUNT(Q19:R19)=2,R19-Q19,"")</f>
        <v>-8.291921489108995</v>
      </c>
    </row>
    <row r="20" spans="1:19" x14ac:dyDescent="0.3">
      <c r="A20">
        <v>18</v>
      </c>
      <c r="B20">
        <v>17</v>
      </c>
      <c r="C20">
        <f>100*269013/913065</f>
        <v>29.462634095053474</v>
      </c>
      <c r="D20">
        <f>100*105072/737585</f>
        <v>14.245409003708048</v>
      </c>
      <c r="E20">
        <f>IF(COUNT(C20:D20)=2,D20-C20,"")</f>
        <v>-15.217225091345426</v>
      </c>
      <c r="H20">
        <v>18</v>
      </c>
      <c r="I20">
        <v>17</v>
      </c>
      <c r="J20">
        <f>100*246590/976020</f>
        <v>25.264851130099792</v>
      </c>
      <c r="K20">
        <f>100*27830/553614</f>
        <v>5.026968248635331</v>
      </c>
      <c r="L20">
        <f>IF(COUNT(J20:K20)=2,K20-J20,"")</f>
        <v>-20.23788288146446</v>
      </c>
      <c r="O20">
        <v>18</v>
      </c>
      <c r="P20">
        <v>17</v>
      </c>
      <c r="Q20">
        <f>100*2176/318434</f>
        <v>0.6833441152640736</v>
      </c>
      <c r="R20">
        <f>100*2726/335996</f>
        <v>0.8113191823712187</v>
      </c>
      <c r="S20">
        <f>IF(COUNT(Q20:R20)=2,R20-Q20,"")</f>
        <v>0.12797506710714512</v>
      </c>
    </row>
    <row r="21" spans="1:19" x14ac:dyDescent="0.3">
      <c r="A21">
        <v>19</v>
      </c>
      <c r="B21">
        <v>18</v>
      </c>
      <c r="C21">
        <f>100*130405/675745</f>
        <v>19.297960029300995</v>
      </c>
      <c r="D21">
        <f>100*93137/671463</f>
        <v>13.870756839915229</v>
      </c>
      <c r="E21">
        <f>IF(COUNT(C21:D21)=2,D21-C21,"")</f>
        <v>-5.427203189385766</v>
      </c>
      <c r="H21">
        <v>19</v>
      </c>
      <c r="I21">
        <v>18</v>
      </c>
      <c r="J21">
        <f>100*94163/608895</f>
        <v>15.464571067261186</v>
      </c>
      <c r="K21">
        <f>100*74265/636164</f>
        <v>11.673876547556919</v>
      </c>
      <c r="L21">
        <f>IF(COUNT(J21:K21)=2,K21-J21,"")</f>
        <v>-3.7906945197042674</v>
      </c>
      <c r="O21">
        <v>19</v>
      </c>
      <c r="P21">
        <v>18</v>
      </c>
      <c r="Q21">
        <f>100*460785/1299362</f>
        <v>35.462403856661965</v>
      </c>
      <c r="R21">
        <f>100*343379/1238600</f>
        <v>27.723155175197803</v>
      </c>
      <c r="S21">
        <f>IF(COUNT(Q21:R21)=2,R21-Q21,"")</f>
        <v>-7.7392486814641615</v>
      </c>
    </row>
    <row r="22" spans="1:19" x14ac:dyDescent="0.3">
      <c r="A22">
        <v>20</v>
      </c>
      <c r="B22">
        <v>19</v>
      </c>
      <c r="C22">
        <f>100*271082/932573</f>
        <v>29.068180185358145</v>
      </c>
      <c r="D22">
        <f>100*132249/738748</f>
        <v>17.901774353365422</v>
      </c>
      <c r="E22">
        <f>IF(COUNT(C22:D22)=2,D22-C22,"")</f>
        <v>-11.166405831992723</v>
      </c>
      <c r="H22">
        <v>20</v>
      </c>
      <c r="I22">
        <v>19</v>
      </c>
      <c r="J22">
        <f>100*51102/454685</f>
        <v>11.238989630183534</v>
      </c>
      <c r="K22">
        <f>100*75649/651638</f>
        <v>11.60905287905248</v>
      </c>
      <c r="L22">
        <f>IF(COUNT(J22:K22)=2,K22-J22,"")</f>
        <v>0.3700632488689468</v>
      </c>
      <c r="O22">
        <v>20</v>
      </c>
      <c r="P22">
        <v>19</v>
      </c>
      <c r="Q22">
        <f>100*246053/750263</f>
        <v>32.795566354731605</v>
      </c>
      <c r="R22">
        <f>100*23017/590863</f>
        <v>3.8954884634847673</v>
      </c>
      <c r="S22">
        <f>IF(COUNT(Q22:R22)=2,R22-Q22,"")</f>
        <v>-28.900077891246838</v>
      </c>
    </row>
    <row r="23" spans="1:19" x14ac:dyDescent="0.3">
      <c r="A23">
        <v>21</v>
      </c>
      <c r="B23">
        <v>20</v>
      </c>
      <c r="C23">
        <f>100*144702/617823</f>
        <v>23.42127114076362</v>
      </c>
      <c r="D23">
        <f>100*170668/1049335</f>
        <v>16.264396022242657</v>
      </c>
      <c r="E23">
        <f>IF(COUNT(C23:D23)=2,D23-C23,"")</f>
        <v>-7.156875118520961</v>
      </c>
      <c r="H23">
        <v>21</v>
      </c>
      <c r="I23">
        <v>20</v>
      </c>
      <c r="J23">
        <f>100*591919/1541493</f>
        <v>38.399071549465354</v>
      </c>
      <c r="K23">
        <f>100*73652/711792</f>
        <v>10.347404859846696</v>
      </c>
      <c r="L23">
        <f>IF(COUNT(J23:K23)=2,K23-J23,"")</f>
        <v>-28.051666689618656</v>
      </c>
      <c r="O23">
        <v>21</v>
      </c>
      <c r="P23">
        <v>20</v>
      </c>
      <c r="Q23">
        <f>100*189374/774599</f>
        <v>24.448004709533578</v>
      </c>
      <c r="R23">
        <f>100*183388/878746</f>
        <v>20.86928418450838</v>
      </c>
      <c r="S23">
        <f>IF(COUNT(Q23:R23)=2,R23-Q23,"")</f>
        <v>-3.578720525025197</v>
      </c>
    </row>
    <row r="24" spans="1:19" x14ac:dyDescent="0.3">
      <c r="A24">
        <v>22</v>
      </c>
      <c r="B24">
        <v>21</v>
      </c>
      <c r="C24">
        <f>100*295116/1275471</f>
        <v>23.1378055635918</v>
      </c>
      <c r="D24">
        <f>100*213323/996136</f>
        <v>21.41504774448469</v>
      </c>
      <c r="E24">
        <f>IF(COUNT(C24:D24)=2,D24-C24,"")</f>
        <v>-1.7227578191071125</v>
      </c>
      <c r="H24">
        <v>22</v>
      </c>
      <c r="I24">
        <v>21</v>
      </c>
      <c r="J24">
        <f>100*392324/1270598</f>
        <v>30.87711455550851</v>
      </c>
      <c r="K24">
        <f>100*169764/1045305</f>
        <v>16.24061876677142</v>
      </c>
      <c r="L24">
        <f>IF(COUNT(J24:K24)=2,K24-J24,"")</f>
        <v>-14.63649578873709</v>
      </c>
      <c r="O24">
        <v>22</v>
      </c>
      <c r="P24">
        <v>21</v>
      </c>
      <c r="Q24">
        <f>100*423564/1232833</f>
        <v>34.356964811941275</v>
      </c>
      <c r="R24">
        <f>100*218915/1097191</f>
        <v>19.952314592445617</v>
      </c>
      <c r="S24">
        <f>IF(COUNT(Q24:R24)=2,R24-Q24,"")</f>
        <v>-14.404650219495657</v>
      </c>
    </row>
    <row r="25" spans="1:19" x14ac:dyDescent="0.3">
      <c r="A25">
        <v>23</v>
      </c>
      <c r="B25">
        <v>22</v>
      </c>
      <c r="C25">
        <f>100*354113/1097352</f>
        <v>32.26977305367831</v>
      </c>
      <c r="D25">
        <f>100*55292/630244</f>
        <v>8.77311009704178</v>
      </c>
      <c r="E25">
        <f>IF(COUNT(C25:D25)=2,D25-C25,"")</f>
        <v>-23.496662956636527</v>
      </c>
      <c r="H25">
        <v>23</v>
      </c>
      <c r="I25">
        <v>22</v>
      </c>
      <c r="J25">
        <f>100*155683/840858</f>
        <v>18.514778951975245</v>
      </c>
      <c r="K25">
        <f>100*126757/824868</f>
        <v>15.366943559454361</v>
      </c>
      <c r="L25">
        <f>IF(COUNT(J25:K25)=2,K25-J25,"")</f>
        <v>-3.147835392520884</v>
      </c>
      <c r="O25">
        <v>23</v>
      </c>
      <c r="P25">
        <v>22</v>
      </c>
      <c r="Q25">
        <f>100*592/261920</f>
        <v>0.22602321319486865</v>
      </c>
      <c r="R25">
        <f>100*4141/272812</f>
        <v>1.5178951072533466</v>
      </c>
      <c r="S25">
        <f>IF(COUNT(Q25:R25)=2,R25-Q25,"")</f>
        <v>1.291871894058478</v>
      </c>
    </row>
    <row r="26" spans="1:19" x14ac:dyDescent="0.3">
      <c r="A26">
        <v>24</v>
      </c>
      <c r="B26">
        <v>23</v>
      </c>
      <c r="C26">
        <f>100*240022/913843</f>
        <v>26.265124315664725</v>
      </c>
      <c r="D26">
        <f>100*10399/498997</f>
        <v>2.083980464812414</v>
      </c>
      <c r="E26">
        <f>IF(COUNT(C26:D26)=2,D26-C26,"")</f>
        <v>-24.18114385085231</v>
      </c>
      <c r="H26">
        <v>24</v>
      </c>
      <c r="I26">
        <v>23</v>
      </c>
      <c r="J26">
        <f>100*377574/1156306</f>
        <v>32.65346716180665</v>
      </c>
      <c r="K26">
        <f>100*19033/489459</f>
        <v>3.888579022962087</v>
      </c>
      <c r="L26">
        <f>IF(COUNT(J26:K26)=2,K26-J26,"")</f>
        <v>-28.764888138844565</v>
      </c>
      <c r="O26">
        <v>24</v>
      </c>
      <c r="P26">
        <v>23</v>
      </c>
      <c r="Q26">
        <f>100*122016/574638</f>
        <v>21.233541812410596</v>
      </c>
      <c r="R26">
        <f>100*35552/355697</f>
        <v>9.995023854572853</v>
      </c>
      <c r="S26">
        <f>IF(COUNT(Q26:R26)=2,R26-Q26,"")</f>
        <v>-11.238517957837743</v>
      </c>
    </row>
    <row r="27" spans="1:19" x14ac:dyDescent="0.3">
      <c r="A27">
        <v>25</v>
      </c>
      <c r="B27">
        <v>24</v>
      </c>
      <c r="C27">
        <f>100*56444/682080</f>
        <v>8.275275627492377</v>
      </c>
      <c r="D27">
        <f>100*62956/690864</f>
        <v>9.112647351721902</v>
      </c>
      <c r="E27">
        <f>IF(COUNT(C27:D27)=2,D27-C27,"")</f>
        <v>0.8373717242295253</v>
      </c>
      <c r="H27">
        <v>25</v>
      </c>
      <c r="I27">
        <v>24</v>
      </c>
      <c r="J27">
        <f>100*179842/875592</f>
        <v>20.53947500662409</v>
      </c>
      <c r="K27">
        <f>100*4534/381414</f>
        <v>1.1887345509079372</v>
      </c>
      <c r="L27">
        <f>IF(COUNT(J27:K27)=2,K27-J27,"")</f>
        <v>-19.350740455716153</v>
      </c>
      <c r="O27">
        <v>25</v>
      </c>
      <c r="P27">
        <v>24</v>
      </c>
      <c r="Q27">
        <f>100*497820/1342997</f>
        <v>37.06784155139587</v>
      </c>
      <c r="R27">
        <f>100*299728/1168503</f>
        <v>25.65059738828227</v>
      </c>
      <c r="S27">
        <f>IF(COUNT(Q27:R27)=2,R27-Q27,"")</f>
        <v>-11.417244163113601</v>
      </c>
    </row>
    <row r="28" spans="1:19" x14ac:dyDescent="0.3">
      <c r="A28">
        <v>26</v>
      </c>
      <c r="B28">
        <v>25</v>
      </c>
      <c r="C28">
        <f>100*366520/1167250</f>
        <v>31.400299850074962</v>
      </c>
      <c r="D28">
        <f>100*149016/928416</f>
        <v>16.050563540481853</v>
      </c>
      <c r="E28">
        <f>IF(COUNT(C28:D28)=2,D28-C28,"")</f>
        <v>-15.349736309593109</v>
      </c>
      <c r="H28">
        <v>26</v>
      </c>
      <c r="I28">
        <v>25</v>
      </c>
      <c r="J28">
        <f>100*403993/1263866</f>
        <v>31.964860198786898</v>
      </c>
      <c r="K28">
        <f>100*139492/877380</f>
        <v>15.898698397501652</v>
      </c>
      <c r="L28">
        <f>IF(COUNT(J28:K28)=2,K28-J28,"")</f>
        <v>-16.066161801285247</v>
      </c>
      <c r="O28">
        <v>26</v>
      </c>
      <c r="P28">
        <v>25</v>
      </c>
      <c r="Q28">
        <f>100*525172/1313199</f>
        <v>39.99180626850919</v>
      </c>
      <c r="R28">
        <f>100*181465/927386</f>
        <v>19.56736461408734</v>
      </c>
      <c r="S28">
        <f>IF(COUNT(Q28:R28)=2,R28-Q28,"")</f>
        <v>-20.424441654421848</v>
      </c>
    </row>
    <row r="29" spans="1:19" x14ac:dyDescent="0.3">
      <c r="A29">
        <v>27</v>
      </c>
      <c r="B29">
        <v>26</v>
      </c>
      <c r="C29">
        <f>100*597714/1505438</f>
        <v>39.703660994341845</v>
      </c>
      <c r="D29">
        <f>100*77016/748445</f>
        <v>10.290134879650475</v>
      </c>
      <c r="E29">
        <f>IF(COUNT(C29:D29)=2,D29-C29,"")</f>
        <v>-29.413526114691372</v>
      </c>
      <c r="H29">
        <v>27</v>
      </c>
      <c r="I29">
        <v>26</v>
      </c>
      <c r="J29">
        <f>100*136381/818474</f>
        <v>16.66283840415212</v>
      </c>
      <c r="K29">
        <f>100*214632/973291</f>
        <v>22.052191996021744</v>
      </c>
      <c r="L29">
        <f>IF(COUNT(J29:K29)=2,K29-J29,"")</f>
        <v>5.389353591869625</v>
      </c>
      <c r="O29">
        <v>27</v>
      </c>
      <c r="P29">
        <v>26</v>
      </c>
      <c r="Q29">
        <f>100*365374/1222824</f>
        <v>29.87952477216672</v>
      </c>
      <c r="R29">
        <f>100*246451/1073242</f>
        <v>22.963227305677563</v>
      </c>
      <c r="S29">
        <f>IF(COUNT(Q29:R29)=2,R29-Q29,"")</f>
        <v>-6.9162974664891586</v>
      </c>
    </row>
    <row r="30" spans="1:19" x14ac:dyDescent="0.3">
      <c r="A30">
        <v>28</v>
      </c>
      <c r="B30">
        <v>27</v>
      </c>
      <c r="C30">
        <f>100*262582/941033</f>
        <v>27.90359105366124</v>
      </c>
      <c r="D30">
        <f>100*186746/1084323</f>
        <v>17.222359020328813</v>
      </c>
      <c r="E30">
        <f>IF(COUNT(C30:D30)=2,D30-C30,"")</f>
        <v>-10.681232033332428</v>
      </c>
      <c r="H30">
        <v>28</v>
      </c>
      <c r="I30">
        <v>27</v>
      </c>
      <c r="J30">
        <f>100*471860/1401372</f>
        <v>33.67128785219057</v>
      </c>
      <c r="K30">
        <f>100*196412/1020157</f>
        <v>19.253114961716676</v>
      </c>
      <c r="L30">
        <f>IF(COUNT(J30:K30)=2,K30-J30,"")</f>
        <v>-14.41817289047389</v>
      </c>
      <c r="O30">
        <v>28</v>
      </c>
      <c r="P30">
        <v>27</v>
      </c>
      <c r="Q30">
        <f>100*191/261142</f>
        <v>0.07314028383025327</v>
      </c>
      <c r="R30">
        <f>100*218/259814</f>
        <v>0.08390617903577174</v>
      </c>
      <c r="S30">
        <f>IF(COUNT(Q30:R30)=2,R30-Q30,"")</f>
        <v>0.010765895205518475</v>
      </c>
    </row>
    <row r="31" spans="1:19" x14ac:dyDescent="0.3">
      <c r="A31">
        <v>29</v>
      </c>
      <c r="B31">
        <v>28</v>
      </c>
      <c r="C31">
        <f>100*549615/1490090</f>
        <v>36.88468481769558</v>
      </c>
      <c r="D31">
        <f>100*187102/1001162</f>
        <v>18.688483981613366</v>
      </c>
      <c r="E31">
        <f>IF(COUNT(C31:D31)=2,D31-C31,"")</f>
        <v>-18.196200836082213</v>
      </c>
      <c r="H31">
        <v>29</v>
      </c>
      <c r="I31">
        <v>28</v>
      </c>
      <c r="J31">
        <f>100*501796/1378717</f>
        <v>36.39586659191117</v>
      </c>
      <c r="K31">
        <f>100*211152/1078175</f>
        <v>19.58420479050247</v>
      </c>
      <c r="L31">
        <f>IF(COUNT(J31:K31)=2,K31-J31,"")</f>
        <v>-16.811661801408704</v>
      </c>
      <c r="O31">
        <v>29</v>
      </c>
      <c r="P31">
        <v>28</v>
      </c>
      <c r="Q31">
        <f>100*492377/1362039</f>
        <v>36.14999276819533</v>
      </c>
      <c r="R31">
        <f>100*327967/1281203</f>
        <v>25.598363413135935</v>
      </c>
      <c r="S31">
        <f>IF(COUNT(Q31:R31)=2,R31-Q31,"")</f>
        <v>-10.551629355059397</v>
      </c>
    </row>
    <row r="32" spans="1:19" x14ac:dyDescent="0.3">
      <c r="A32">
        <v>30</v>
      </c>
      <c r="B32">
        <v>29</v>
      </c>
      <c r="C32">
        <f>100*237648/919878</f>
        <v>25.834730257708088</v>
      </c>
      <c r="D32">
        <f>100*18799/498965</f>
        <v>3.767598929784654</v>
      </c>
      <c r="E32">
        <f>IF(COUNT(C32:D32)=2,D32-C32,"")</f>
        <v>-22.067131327923434</v>
      </c>
      <c r="H32">
        <v>30</v>
      </c>
      <c r="I32">
        <v>29</v>
      </c>
      <c r="J32">
        <f>100*264568/888302</f>
        <v>29.783564598526176</v>
      </c>
      <c r="K32">
        <f>100*125423/824339</f>
        <v>15.214978303828886</v>
      </c>
      <c r="L32">
        <f>IF(COUNT(J32:K32)=2,K32-J32,"")</f>
        <v>-14.56858629469729</v>
      </c>
      <c r="O32">
        <v>30</v>
      </c>
      <c r="P32">
        <v>29</v>
      </c>
      <c r="Q32">
        <f>100*465436/1240969</f>
        <v>37.50585228156384</v>
      </c>
      <c r="R32">
        <f>100*150723/812710</f>
        <v>18.54572971908799</v>
      </c>
      <c r="S32">
        <f>IF(COUNT(Q32:R32)=2,R32-Q32,"")</f>
        <v>-18.96012256247585</v>
      </c>
    </row>
    <row r="33" spans="1:19" x14ac:dyDescent="0.3">
      <c r="A33">
        <v>31</v>
      </c>
      <c r="B33">
        <v>30</v>
      </c>
      <c r="C33">
        <f>100*498726/1349876</f>
        <v>36.946060230717485</v>
      </c>
      <c r="D33">
        <f>100*181075/882985</f>
        <v>20.507143382956674</v>
      </c>
      <c r="E33">
        <f>IF(COUNT(C33:D33)=2,D33-C33,"")</f>
        <v>-16.43891684776081</v>
      </c>
      <c r="H33">
        <v>31</v>
      </c>
      <c r="I33">
        <v>30</v>
      </c>
      <c r="J33">
        <f>100*307741/1047349</f>
        <v>29.382851370460084</v>
      </c>
      <c r="K33">
        <f>100*185359/864706</f>
        <v>21.436071913459603</v>
      </c>
      <c r="L33">
        <f>IF(COUNT(J33:K33)=2,K33-J33,"")</f>
        <v>-7.946779457000481</v>
      </c>
      <c r="O33">
        <v>31</v>
      </c>
      <c r="P33">
        <v>30</v>
      </c>
      <c r="Q33">
        <f>100*7935/484889</f>
        <v>1.63645700356164</v>
      </c>
      <c r="R33">
        <f>100*21944/384866</f>
        <v>5.701724756148893</v>
      </c>
      <c r="S33">
        <f>IF(COUNT(Q33:R33)=2,R33-Q33,"")</f>
        <v>4.065267752587253</v>
      </c>
    </row>
    <row r="34" spans="1:19" x14ac:dyDescent="0.3">
      <c r="A34" t="s">
        <v>5</v>
      </c>
      <c r="C34">
        <f>IF(COUNT(C3:C33)&gt;0,AVERAGE(C3:C33),"")</f>
        <v>24.75128625154027</v>
      </c>
      <c r="D34">
        <f>IF(COUNT(D3:D33)&gt;0,AVERAGE(D3:D33),"")</f>
        <v>12.564197966303745</v>
      </c>
      <c r="E34">
        <f>IF(COUNT(E3:E33)&gt;0,AVERAGE(E3:E33),"")</f>
        <v>-12.187088285236527</v>
      </c>
      <c r="H34" t="s">
        <v>5</v>
      </c>
      <c r="J34">
        <f>IF(COUNT(J3:J33)&gt;0,AVERAGE(J3:J33),"")</f>
        <v>23.26126650336055</v>
      </c>
      <c r="K34">
        <f>IF(COUNT(K3:K33)&gt;0,AVERAGE(K3:K33),"")</f>
        <v>13.078039745560337</v>
      </c>
      <c r="L34">
        <f>IF(COUNT(L3:L33)&gt;0,AVERAGE(L3:L33),"")</f>
        <v>-10.183226757800218</v>
      </c>
      <c r="O34" t="s">
        <v>5</v>
      </c>
      <c r="Q34">
        <f>IF(COUNT(Q3:Q33)&gt;0,AVERAGE(Q3:Q33),"")</f>
        <v>28.172990083851328</v>
      </c>
      <c r="R34">
        <f>IF(COUNT(R3:R33)&gt;0,AVERAGE(R3:R33),"")</f>
        <v>15.68121214930685</v>
      </c>
      <c r="S34">
        <f>IF(COUNT(S3:S33)&gt;0,AVERAGE(S3:S33),"")</f>
        <v>-12.491777934544475</v>
      </c>
    </row>
    <row r="37" spans="1:19" s="2" customFormat="1" x14ac:dyDescent="0.3">
      <c r="A37" s="1" t="s">
        <v>9</v>
      </c>
      <c r="B37" s="1"/>
      <c r="C37" s="1"/>
      <c r="D37" s="1"/>
      <c r="E37" s="1"/>
      <c r="H37" s="1" t="s">
        <v>10</v>
      </c>
      <c r="I37" s="1"/>
      <c r="J37" s="1"/>
      <c r="K37" s="1"/>
      <c r="L37" s="1"/>
      <c r="O37" s="1" t="s">
        <v>11</v>
      </c>
      <c r="P37" s="1"/>
      <c r="Q37" s="1"/>
      <c r="R37" s="1"/>
      <c r="S37" s="1"/>
    </row>
    <row r="38" spans="1:19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O38" t="s">
        <v>0</v>
      </c>
      <c r="P38" t="s">
        <v>1</v>
      </c>
      <c r="Q38" t="s">
        <v>2</v>
      </c>
      <c r="R38" t="s">
        <v>3</v>
      </c>
      <c r="S38" t="s">
        <v>4</v>
      </c>
    </row>
    <row r="39" spans="1:19" x14ac:dyDescent="0.3">
      <c r="A39">
        <v>1</v>
      </c>
      <c r="B39">
        <v>0</v>
      </c>
      <c r="C39">
        <f>100*192841/1049609</f>
        <v>18.372651149142204</v>
      </c>
      <c r="D39">
        <f>100*75078/888575</f>
        <v>8.449258644458824</v>
      </c>
      <c r="E39">
        <f>IF(COUNT(C39:D39)=2,D39-C39,"")</f>
        <v>-9.92339250468338</v>
      </c>
      <c r="H39">
        <v>1</v>
      </c>
      <c r="I39">
        <v>0</v>
      </c>
      <c r="J39">
        <f>100*402854/1288411</f>
        <v>31.267507029977235</v>
      </c>
      <c r="K39">
        <f>100*206544/781566</f>
        <v>26.426942830164055</v>
      </c>
      <c r="L39">
        <f>IF(COUNT(J39:K39)=2,K39-J39,"")</f>
        <v>-4.84056419981318</v>
      </c>
      <c r="O39">
        <v>1</v>
      </c>
      <c r="P39">
        <v>0</v>
      </c>
      <c r="Q39">
        <f>100*88041/674269</f>
        <v>13.057251631025599</v>
      </c>
      <c r="R39">
        <f>100*9141/541622</f>
        <v>1.6877084018005177</v>
      </c>
      <c r="S39">
        <f>IF(COUNT(Q39:R39)=2,R39-Q39,"")</f>
        <v>-11.369543229225082</v>
      </c>
    </row>
    <row r="40" spans="1:19" x14ac:dyDescent="0.3">
      <c r="A40">
        <v>2</v>
      </c>
      <c r="B40">
        <v>1</v>
      </c>
      <c r="C40">
        <f>100*767234/1849227</f>
        <v>41.489443967668656</v>
      </c>
      <c r="D40">
        <f>100*424083/1707246</f>
        <v>24.840181204114696</v>
      </c>
      <c r="E40">
        <f>IF(COUNT(C40:D40)=2,D40-C40,"")</f>
        <v>-16.64926276355396</v>
      </c>
      <c r="H40">
        <v>2</v>
      </c>
      <c r="I40">
        <v>1</v>
      </c>
      <c r="J40">
        <f>100*573780/1506160</f>
        <v>38.095554257183835</v>
      </c>
      <c r="K40">
        <f>100*139034/1201151</f>
        <v>11.575064250872705</v>
      </c>
      <c r="L40">
        <f>IF(COUNT(J40:K40)=2,K40-J40,"")</f>
        <v>-26.520490006311128</v>
      </c>
      <c r="O40">
        <v>2</v>
      </c>
      <c r="P40">
        <v>1</v>
      </c>
      <c r="Q40">
        <f>100*291073/995685</f>
        <v>29.233442303539775</v>
      </c>
      <c r="R40">
        <f>100*179403/929496</f>
        <v>19.30110511503008</v>
      </c>
      <c r="S40">
        <f>IF(COUNT(Q40:R40)=2,R40-Q40,"")</f>
        <v>-9.932337188509695</v>
      </c>
    </row>
    <row r="41" spans="1:19" x14ac:dyDescent="0.3">
      <c r="A41">
        <v>3</v>
      </c>
      <c r="B41">
        <v>2</v>
      </c>
      <c r="C41">
        <f>100*647494/1597730</f>
        <v>40.525871079594175</v>
      </c>
      <c r="D41">
        <f>100*351058/1621537</f>
        <v>21.649706420513375</v>
      </c>
      <c r="E41">
        <f>IF(COUNT(C41:D41)=2,D41-C41,"")</f>
        <v>-18.8761646590808</v>
      </c>
      <c r="H41">
        <v>3</v>
      </c>
      <c r="I41">
        <v>2</v>
      </c>
      <c r="J41">
        <f>100*646730/1702231</f>
        <v>37.99308084507919</v>
      </c>
      <c r="K41">
        <f>100*12311/357994</f>
        <v>3.438884450577384</v>
      </c>
      <c r="L41">
        <f>IF(COUNT(J41:K41)=2,K41-J41,"")</f>
        <v>-34.55419639450181</v>
      </c>
      <c r="O41">
        <v>3</v>
      </c>
      <c r="P41">
        <v>2</v>
      </c>
      <c r="Q41">
        <f>100*505429/1286969</f>
        <v>39.272818537198646</v>
      </c>
      <c r="R41">
        <f>100*95813/512594</f>
        <v>18.69179116415721</v>
      </c>
      <c r="S41">
        <f>IF(COUNT(Q41:R41)=2,R41-Q41,"")</f>
        <v>-20.581027373041437</v>
      </c>
    </row>
    <row r="42" spans="1:19" x14ac:dyDescent="0.3">
      <c r="A42">
        <v>4</v>
      </c>
      <c r="B42">
        <v>3</v>
      </c>
      <c r="C42">
        <f>100*45060/760183</f>
        <v>5.927520083979778</v>
      </c>
      <c r="D42">
        <f>100*184505/1801780</f>
        <v>10.24015140583201</v>
      </c>
      <c r="E42">
        <f>IF(COUNT(C42:D42)=2,D42-C42,"")</f>
        <v>4.3126313218522325</v>
      </c>
      <c r="H42">
        <v>4</v>
      </c>
      <c r="I42">
        <v>3</v>
      </c>
      <c r="J42">
        <f>100*44764/778520</f>
        <v>5.749884396033499</v>
      </c>
      <c r="K42">
        <f>100*47087/704486</f>
        <v>6.683880162274339</v>
      </c>
      <c r="L42">
        <f>IF(COUNT(J42:K42)=2,K42-J42,"")</f>
        <v>0.93399576624084</v>
      </c>
      <c r="O42">
        <v>4</v>
      </c>
      <c r="P42">
        <v>3</v>
      </c>
      <c r="Q42">
        <f>100*589890/1404698</f>
        <v>41.9940798662773</v>
      </c>
      <c r="R42">
        <f>100*624/2054</f>
        <v>30.379746835443036</v>
      </c>
      <c r="S42">
        <f>IF(COUNT(Q42:R42)=2,R42-Q42,"")</f>
        <v>-11.614333030834267</v>
      </c>
    </row>
    <row r="43" spans="1:19" x14ac:dyDescent="0.3">
      <c r="A43">
        <v>5</v>
      </c>
      <c r="B43">
        <v>4</v>
      </c>
      <c r="C43">
        <f>100*964627/2043023</f>
        <v>47.21567011237759</v>
      </c>
      <c r="D43">
        <f>100*552897/2030794</f>
        <v>27.225656565855523</v>
      </c>
      <c r="E43">
        <f>IF(COUNT(C43:D43)=2,D43-C43,"")</f>
        <v>-19.990013546522064</v>
      </c>
      <c r="H43">
        <v>5</v>
      </c>
      <c r="I43">
        <v>4</v>
      </c>
      <c r="J43">
        <f>100*942269/2236809</f>
        <v>42.12559051756319</v>
      </c>
      <c r="K43">
        <f>100*434227/1714474</f>
        <v>25.32712657059833</v>
      </c>
      <c r="L43">
        <f>IF(COUNT(J43:K43)=2,K43-J43,"")</f>
        <v>-16.79846394696486</v>
      </c>
      <c r="O43">
        <v>5</v>
      </c>
      <c r="P43">
        <v>4</v>
      </c>
      <c r="Q43">
        <f>100*141535/798132</f>
        <v>17.73328221396962</v>
      </c>
      <c r="R43">
        <f>100*82342/746178</f>
        <v>11.03516855227573</v>
      </c>
      <c r="S43">
        <f>IF(COUNT(Q43:R43)=2,R43-Q43,"")</f>
        <v>-6.69811366169389</v>
      </c>
    </row>
    <row r="44" spans="1:19" x14ac:dyDescent="0.3">
      <c r="A44">
        <v>6</v>
      </c>
      <c r="B44">
        <v>5</v>
      </c>
      <c r="C44">
        <f>100*200146/1105970</f>
        <v>18.09687423709504</v>
      </c>
      <c r="D44">
        <f>100*326375/1477123</f>
        <v>22.095316368372842</v>
      </c>
      <c r="E44">
        <f>IF(COUNT(C44:D44)=2,D44-C44,"")</f>
        <v>3.998442131277802</v>
      </c>
      <c r="H44">
        <v>6</v>
      </c>
      <c r="I44">
        <v>5</v>
      </c>
      <c r="J44">
        <f>100*712109/1711457</f>
        <v>41.60834890973013</v>
      </c>
      <c r="K44">
        <f>100*501896/1899869</f>
        <v>26.417400357603604</v>
      </c>
      <c r="L44">
        <f>IF(COUNT(J44:K44)=2,K44-J44,"")</f>
        <v>-15.190948552126528</v>
      </c>
      <c r="O44">
        <v>6</v>
      </c>
      <c r="P44">
        <v>5</v>
      </c>
      <c r="Q44">
        <f>100*603941/1377183</f>
        <v>43.8533586313511</v>
      </c>
      <c r="R44">
        <f>100*173945/1056961</f>
        <v>16.457087820648066</v>
      </c>
      <c r="S44">
        <f>IF(COUNT(Q44:R44)=2,R44-Q44,"")</f>
        <v>-27.396270810703033</v>
      </c>
    </row>
    <row r="45" spans="1:19" x14ac:dyDescent="0.3">
      <c r="A45">
        <v>7</v>
      </c>
      <c r="B45">
        <v>6</v>
      </c>
      <c r="C45">
        <f>100*18395/700580</f>
        <v>2.6256815781209855</v>
      </c>
      <c r="D45">
        <f>100*13208/506140</f>
        <v>2.6095546686687476</v>
      </c>
      <c r="E45">
        <f>IF(COUNT(C45:D45)=2,D45-C45,"")</f>
        <v>-0.016126909452237825</v>
      </c>
      <c r="H45">
        <v>7</v>
      </c>
      <c r="I45">
        <v>6</v>
      </c>
      <c r="J45">
        <f>100*1624/545527</f>
        <v>0.2976937896749382</v>
      </c>
      <c r="K45">
        <f>100*18179/494998</f>
        <v>3.672540091071075</v>
      </c>
      <c r="L45">
        <f>IF(COUNT(J45:K45)=2,K45-J45,"")</f>
        <v>3.3748463013961367</v>
      </c>
      <c r="O45">
        <v>7</v>
      </c>
      <c r="P45">
        <v>6</v>
      </c>
      <c r="Q45">
        <f>100*672106/1493090</f>
        <v>45.01443315540256</v>
      </c>
      <c r="R45">
        <f>100*305987/1312102</f>
        <v>23.32036686172264</v>
      </c>
      <c r="S45">
        <f>IF(COUNT(Q45:R45)=2,R45-Q45,"")</f>
        <v>-21.694066293679917</v>
      </c>
    </row>
    <row r="46" spans="1:19" x14ac:dyDescent="0.3">
      <c r="A46">
        <v>8</v>
      </c>
      <c r="B46">
        <v>7</v>
      </c>
      <c r="C46">
        <f>100*20606/505497</f>
        <v>4.076384231756074</v>
      </c>
      <c r="D46">
        <f>100*10914/656700</f>
        <v>1.6619460941068982</v>
      </c>
      <c r="E46">
        <f>IF(COUNT(C46:D46)=2,D46-C46,"")</f>
        <v>-2.4144381376491757</v>
      </c>
      <c r="H46">
        <v>8</v>
      </c>
      <c r="I46">
        <v>7</v>
      </c>
      <c r="J46">
        <f>100*2064/453926</f>
        <v>0.45469966470305734</v>
      </c>
      <c r="K46">
        <f>100*81/403463</f>
        <v>0.020076190381769828</v>
      </c>
      <c r="L46">
        <f>IF(COUNT(J46:K46)=2,K46-J46,"")</f>
        <v>-0.4346234743212875</v>
      </c>
      <c r="O46">
        <v>8</v>
      </c>
      <c r="P46">
        <v>7</v>
      </c>
      <c r="Q46">
        <f>100*703275/1703373</f>
        <v>41.28719898695118</v>
      </c>
      <c r="R46">
        <f>100*307826/1303644</f>
        <v>23.612734765012533</v>
      </c>
      <c r="S46">
        <f>IF(COUNT(Q46:R46)=2,R46-Q46,"")</f>
        <v>-17.67446422193865</v>
      </c>
    </row>
    <row r="47" spans="1:19" x14ac:dyDescent="0.3">
      <c r="A47">
        <v>9</v>
      </c>
      <c r="B47">
        <v>8</v>
      </c>
      <c r="C47">
        <f>100*929076/2063992</f>
        <v>45.01354656413397</v>
      </c>
      <c r="D47">
        <f>100*374826/1741454</f>
        <v>21.52373820956511</v>
      </c>
      <c r="E47">
        <f>IF(COUNT(C47:D47)=2,D47-C47,"")</f>
        <v>-23.489808354568858</v>
      </c>
      <c r="H47">
        <v>9</v>
      </c>
      <c r="I47">
        <v>8</v>
      </c>
      <c r="J47">
        <f>100*779177/1827411</f>
        <v>42.63830085295535</v>
      </c>
      <c r="K47">
        <f>100*329484/1409673</f>
        <v>23.373080139862225</v>
      </c>
      <c r="L47">
        <f>IF(COUNT(J47:K47)=2,K47-J47,"")</f>
        <v>-19.26522071309313</v>
      </c>
      <c r="O47">
        <v>9</v>
      </c>
      <c r="P47">
        <v>8</v>
      </c>
      <c r="Q47">
        <f>100*785425/1662476</f>
        <v>47.244291045404566</v>
      </c>
      <c r="R47">
        <f>100*488457/1498306</f>
        <v>32.600616963424024</v>
      </c>
      <c r="S47">
        <f>IF(COUNT(Q47:R47)=2,R47-Q47,"")</f>
        <v>-14.643674081980542</v>
      </c>
    </row>
    <row r="48" spans="1:19" x14ac:dyDescent="0.3">
      <c r="A48">
        <v>10</v>
      </c>
      <c r="B48">
        <v>9</v>
      </c>
      <c r="C48">
        <f>100*401887/1367048</f>
        <v>29.39816304913946</v>
      </c>
      <c r="D48">
        <f>100*10756/769153</f>
        <v>1.3984213804015586</v>
      </c>
      <c r="E48">
        <f>IF(COUNT(C48:D48)=2,D48-C48,"")</f>
        <v>-27.9997416687379</v>
      </c>
      <c r="H48">
        <v>10</v>
      </c>
      <c r="I48">
        <v>9</v>
      </c>
      <c r="J48">
        <f>100*872985/1990559</f>
        <v>43.85627353924199</v>
      </c>
      <c r="K48">
        <f>100*239028/1291855</f>
        <v>18.502695735976562</v>
      </c>
      <c r="L48">
        <f>IF(COUNT(J48:K48)=2,K48-J48,"")</f>
        <v>-25.353577803265427</v>
      </c>
      <c r="O48">
        <v>10</v>
      </c>
      <c r="P48">
        <v>9</v>
      </c>
      <c r="Q48">
        <f>100*317010/1082800</f>
        <v>29.276874769117104</v>
      </c>
      <c r="R48">
        <f>100*2283/506222</f>
        <v>0.4509879064916183</v>
      </c>
      <c r="S48">
        <f>IF(COUNT(Q48:R48)=2,R48-Q48,"")</f>
        <v>-28.825886862625484</v>
      </c>
    </row>
    <row r="49" spans="1:19" x14ac:dyDescent="0.3">
      <c r="A49">
        <v>11</v>
      </c>
      <c r="B49">
        <v>10</v>
      </c>
      <c r="C49">
        <f>100*705082/1682816</f>
        <v>41.898936069065186</v>
      </c>
      <c r="D49">
        <f>100*161306/1213211</f>
        <v>13.295791086628789</v>
      </c>
      <c r="E49">
        <f>IF(COUNT(C49:D49)=2,D49-C49,"")</f>
        <v>-28.603144982436397</v>
      </c>
      <c r="H49">
        <v>11</v>
      </c>
      <c r="I49">
        <v>10</v>
      </c>
      <c r="J49">
        <f>100*582667/1702410</f>
        <v>34.22600901075534</v>
      </c>
      <c r="K49">
        <f>100*27767/893127</f>
        <v>3.108964346615879</v>
      </c>
      <c r="L49">
        <f>IF(COUNT(J49:K49)=2,K49-J49,"")</f>
        <v>-31.117044664139463</v>
      </c>
      <c r="O49">
        <v>11</v>
      </c>
      <c r="P49">
        <v>10</v>
      </c>
      <c r="Q49">
        <f>100*610513/1430887</f>
        <v>42.666751462554345</v>
      </c>
      <c r="R49">
        <f>100*484097/1664453</f>
        <v>29.084449966445433</v>
      </c>
      <c r="S49">
        <f>IF(COUNT(Q49:R49)=2,R49-Q49,"")</f>
        <v>-13.582301496108911</v>
      </c>
    </row>
    <row r="50" spans="1:19" x14ac:dyDescent="0.3">
      <c r="A50">
        <v>12</v>
      </c>
      <c r="B50">
        <v>11</v>
      </c>
      <c r="C50">
        <f>100*661603/1691906</f>
        <v>39.10400459600002</v>
      </c>
      <c r="D50">
        <f>100*61418/905956</f>
        <v>6.779357937913099</v>
      </c>
      <c r="E50">
        <f>IF(COUNT(C50:D50)=2,D50-C50,"")</f>
        <v>-32.32464665808692</v>
      </c>
      <c r="H50">
        <v>12</v>
      </c>
      <c r="I50">
        <v>11</v>
      </c>
      <c r="J50">
        <f>100*2109/16409</f>
        <v>12.85270278505698</v>
      </c>
      <c r="K50">
        <f>100*15813/913213</f>
        <v>1.7315785035911666</v>
      </c>
      <c r="L50">
        <f>IF(COUNT(J50:K50)=2,K50-J50,"")</f>
        <v>-11.121124281465814</v>
      </c>
      <c r="O50">
        <v>12</v>
      </c>
      <c r="P50">
        <v>11</v>
      </c>
      <c r="Q50">
        <f>100*565746/1449544</f>
        <v>39.029239540158834</v>
      </c>
      <c r="R50">
        <f>100*336864/1263133</f>
        <v>26.66892560007537</v>
      </c>
      <c r="S50">
        <f>IF(COUNT(Q50:R50)=2,R50-Q50,"")</f>
        <v>-12.360313940083465</v>
      </c>
    </row>
    <row r="51" spans="1:19" x14ac:dyDescent="0.3">
      <c r="A51">
        <v>13</v>
      </c>
      <c r="B51">
        <v>12</v>
      </c>
      <c r="C51">
        <f>100*13444/609443</f>
        <v>2.20594871054389</v>
      </c>
      <c r="D51">
        <f>100*14066/613451</f>
        <v>2.292929671644516</v>
      </c>
      <c r="E51">
        <f>IF(COUNT(C51:D51)=2,D51-C51,"")</f>
        <v>0.08698096110062581</v>
      </c>
      <c r="H51">
        <v>13</v>
      </c>
      <c r="I51">
        <v>12</v>
      </c>
      <c r="J51">
        <f>100*78998/737547</f>
        <v>10.710910626712602</v>
      </c>
      <c r="K51">
        <f>100*42282/728693</f>
        <v>5.802443553046345</v>
      </c>
      <c r="L51">
        <f>IF(COUNT(J51:K51)=2,K51-J51,"")</f>
        <v>-4.908467073666257</v>
      </c>
      <c r="O51">
        <v>13</v>
      </c>
      <c r="P51">
        <v>12</v>
      </c>
      <c r="Q51">
        <f>100*653960/1481691</f>
        <v>44.136058057989146</v>
      </c>
      <c r="R51">
        <f>100*161750/953606</f>
        <v>16.96193186703943</v>
      </c>
      <c r="S51">
        <f>IF(COUNT(Q51:R51)=2,R51-Q51,"")</f>
        <v>-27.174126190949718</v>
      </c>
    </row>
    <row r="52" spans="1:19" x14ac:dyDescent="0.3">
      <c r="A52">
        <v>14</v>
      </c>
      <c r="B52">
        <v>13</v>
      </c>
      <c r="C52">
        <f>100*183005/843268</f>
        <v>21.701878880735425</v>
      </c>
      <c r="D52">
        <f>100*1823/445650</f>
        <v>0.4090654100751711</v>
      </c>
      <c r="E52">
        <f>IF(COUNT(C52:D52)=2,D52-C52,"")</f>
        <v>-21.292813470660253</v>
      </c>
      <c r="H52">
        <v>14</v>
      </c>
      <c r="I52">
        <v>13</v>
      </c>
      <c r="J52">
        <f>100*450919/1374273</f>
        <v>32.811457403296146</v>
      </c>
      <c r="K52">
        <f>100*249552/1228425</f>
        <v>20.314793332926307</v>
      </c>
      <c r="L52">
        <f>IF(COUNT(J52:K52)=2,K52-J52,"")</f>
        <v>-12.496664070369839</v>
      </c>
      <c r="O52">
        <v>14</v>
      </c>
      <c r="P52">
        <v>13</v>
      </c>
      <c r="Q52">
        <f>100*1624/402681</f>
        <v>0.40329690251092054</v>
      </c>
      <c r="R52">
        <f>100*8014/376760</f>
        <v>2.1270835545174647</v>
      </c>
      <c r="S52">
        <f>IF(COUNT(Q52:R52)=2,R52-Q52,"")</f>
        <v>1.7237866520065441</v>
      </c>
    </row>
    <row r="53" spans="1:19" x14ac:dyDescent="0.3">
      <c r="A53">
        <v>15</v>
      </c>
      <c r="B53">
        <v>14</v>
      </c>
      <c r="C53">
        <f>100*855788/1778828</f>
        <v>48.10965422176849</v>
      </c>
      <c r="D53">
        <f>100*372677/1632737</f>
        <v>22.825292744636766</v>
      </c>
      <c r="E53">
        <f>IF(COUNT(C53:D53)=2,D53-C53,"")</f>
        <v>-25.28436147713172</v>
      </c>
      <c r="H53">
        <v>15</v>
      </c>
      <c r="I53">
        <v>14</v>
      </c>
      <c r="J53">
        <f>100*381484/1238884</f>
        <v>30.792552006483255</v>
      </c>
      <c r="K53">
        <f>100*72065/1040090</f>
        <v>6.928727321674086</v>
      </c>
      <c r="L53">
        <f>IF(COUNT(J53:K53)=2,K53-J53,"")</f>
        <v>-23.86382468480917</v>
      </c>
      <c r="O53">
        <v>15</v>
      </c>
      <c r="P53">
        <v>14</v>
      </c>
      <c r="Q53">
        <f>100*373593/1196320</f>
        <v>31.22851745352414</v>
      </c>
      <c r="R53">
        <f>100*325266/1214497</f>
        <v>26.781951705109194</v>
      </c>
      <c r="S53">
        <f>IF(COUNT(Q53:R53)=2,R53-Q53,"")</f>
        <v>-4.4465657484149474</v>
      </c>
    </row>
    <row r="54" spans="1:19" x14ac:dyDescent="0.3">
      <c r="A54">
        <v>16</v>
      </c>
      <c r="B54">
        <v>15</v>
      </c>
      <c r="C54">
        <f>100*888567/1959716</f>
        <v>45.34162092874682</v>
      </c>
      <c r="D54">
        <f>100*69787/916976</f>
        <v>7.610559054980719</v>
      </c>
      <c r="E54">
        <f>IF(COUNT(C54:D54)=2,D54-C54,"")</f>
        <v>-37.7310618737661</v>
      </c>
      <c r="H54">
        <v>16</v>
      </c>
      <c r="I54">
        <v>15</v>
      </c>
      <c r="J54">
        <f>100*600755/1390841</f>
        <v>43.19365046040489</v>
      </c>
      <c r="K54">
        <f>100*128912/1002095</f>
        <v>12.864249397512213</v>
      </c>
      <c r="L54">
        <f>IF(COUNT(J54:K54)=2,K54-J54,"")</f>
        <v>-30.32940106289268</v>
      </c>
      <c r="O54">
        <v>16</v>
      </c>
      <c r="P54">
        <v>15</v>
      </c>
      <c r="Q54">
        <f>100*595830/1410973</f>
        <v>42.22830628226054</v>
      </c>
      <c r="R54">
        <f>100*368506/1487773</f>
        <v>24.76896677114049</v>
      </c>
      <c r="S54">
        <f>IF(COUNT(Q54:R54)=2,R54-Q54,"")</f>
        <v>-17.45933951112005</v>
      </c>
    </row>
    <row r="55" spans="1:19" x14ac:dyDescent="0.3">
      <c r="A55">
        <v>17</v>
      </c>
      <c r="B55">
        <v>16</v>
      </c>
      <c r="C55">
        <f>100*543691/1545910</f>
        <v>35.1696411822163</v>
      </c>
      <c r="D55">
        <f>100*238909/1208003</f>
        <v>19.77718598380964</v>
      </c>
      <c r="E55">
        <f>IF(COUNT(C55:D55)=2,D55-C55,"")</f>
        <v>-15.392455198406662</v>
      </c>
      <c r="H55">
        <v>17</v>
      </c>
      <c r="I55">
        <v>16</v>
      </c>
      <c r="J55">
        <f>100*627913/1725883</f>
        <v>36.38213019074873</v>
      </c>
      <c r="K55">
        <f>100*381050/1695040</f>
        <v>22.48029545025486</v>
      </c>
      <c r="L55">
        <f>IF(COUNT(J55:K55)=2,K55-J55,"")</f>
        <v>-13.901834740493872</v>
      </c>
      <c r="O55">
        <v>17</v>
      </c>
      <c r="P55">
        <v>16</v>
      </c>
      <c r="Q55">
        <f>100*6486/400160</f>
        <v>1.6208516593362654</v>
      </c>
      <c r="R55">
        <f>100*9233/429726</f>
        <v>2.148578396466586</v>
      </c>
      <c r="S55">
        <f>IF(COUNT(Q55:R55)=2,R55-Q55,"")</f>
        <v>0.5277267371303205</v>
      </c>
    </row>
    <row r="56" spans="1:19" x14ac:dyDescent="0.3">
      <c r="A56">
        <v>18</v>
      </c>
      <c r="B56">
        <v>17</v>
      </c>
      <c r="C56">
        <f>100*889308/1891000</f>
        <v>47.02845055526176</v>
      </c>
      <c r="D56">
        <f>100*46378/874630</f>
        <v>5.302585093125093</v>
      </c>
      <c r="E56">
        <f>IF(COUNT(C56:D56)=2,D56-C56,"")</f>
        <v>-41.72586546213667</v>
      </c>
      <c r="H56">
        <v>18</v>
      </c>
      <c r="I56">
        <v>17</v>
      </c>
      <c r="J56">
        <f>100*355/2215</f>
        <v>16.02708803611738</v>
      </c>
      <c r="K56">
        <f>100*45850/802027</f>
        <v>5.716765146310536</v>
      </c>
      <c r="L56">
        <f>IF(COUNT(J56:K56)=2,K56-J56,"")</f>
        <v>-10.310322889806844</v>
      </c>
      <c r="O56">
        <v>18</v>
      </c>
      <c r="P56">
        <v>17</v>
      </c>
      <c r="Q56">
        <f>100*78465/548560</f>
        <v>14.303813621117106</v>
      </c>
      <c r="R56">
        <f>100*4727/433698</f>
        <v>1.0899289367255556</v>
      </c>
      <c r="S56">
        <f>IF(COUNT(Q56:R56)=2,R56-Q56,"")</f>
        <v>-13.21388468439155</v>
      </c>
    </row>
    <row r="57" spans="1:19" x14ac:dyDescent="0.3">
      <c r="A57">
        <v>19</v>
      </c>
      <c r="B57">
        <v>18</v>
      </c>
      <c r="C57">
        <f>100*419048/1297589</f>
        <v>32.294355146352196</v>
      </c>
      <c r="D57">
        <f>100*86623/943203</f>
        <v>9.183919050299883</v>
      </c>
      <c r="E57">
        <f>IF(COUNT(C57:D57)=2,D57-C57,"")</f>
        <v>-23.11043609605231</v>
      </c>
      <c r="H57">
        <v>19</v>
      </c>
      <c r="I57">
        <v>18</v>
      </c>
      <c r="J57">
        <f>100*451032/1332344</f>
        <v>33.85251856877803</v>
      </c>
      <c r="K57">
        <f>100*225738/1167967</f>
        <v>19.327429627720647</v>
      </c>
      <c r="L57">
        <f>IF(COUNT(J57:K57)=2,K57-J57,"")</f>
        <v>-14.525088941057383</v>
      </c>
      <c r="O57">
        <v>19</v>
      </c>
      <c r="P57">
        <v>18</v>
      </c>
      <c r="Q57">
        <f>100*644704/1630522</f>
        <v>39.53973022136469</v>
      </c>
      <c r="R57">
        <f>100*235423/1084219</f>
        <v>21.71360214126482</v>
      </c>
      <c r="S57">
        <f>IF(COUNT(Q57:R57)=2,R57-Q57,"")</f>
        <v>-17.826128080099874</v>
      </c>
    </row>
    <row r="58" spans="1:19" x14ac:dyDescent="0.3">
      <c r="A58">
        <v>20</v>
      </c>
      <c r="B58">
        <v>19</v>
      </c>
      <c r="C58">
        <f>100*679956/1609329</f>
        <v>42.250900841282295</v>
      </c>
      <c r="D58">
        <f>100*164352/1136117</f>
        <v>14.466115725757119</v>
      </c>
      <c r="E58">
        <f>IF(COUNT(C58:D58)=2,D58-C58,"")</f>
        <v>-27.784785115525175</v>
      </c>
      <c r="H58">
        <v>20</v>
      </c>
      <c r="I58">
        <v>19</v>
      </c>
      <c r="J58">
        <f>100*854529/1945718</f>
        <v>43.918440390642424</v>
      </c>
      <c r="K58">
        <f>100*110334/962257</f>
        <v>11.466167562304042</v>
      </c>
      <c r="L58">
        <f>IF(COUNT(J58:K58)=2,K58-J58,"")</f>
        <v>-32.45227282833838</v>
      </c>
      <c r="O58">
        <v>20</v>
      </c>
      <c r="P58">
        <v>19</v>
      </c>
      <c r="Q58">
        <f>100*668214/1556077</f>
        <v>42.94221944029762</v>
      </c>
      <c r="R58">
        <f>100*69047/696410</f>
        <v>9.9147054177855</v>
      </c>
      <c r="S58">
        <f>IF(COUNT(Q58:R58)=2,R58-Q58,"")</f>
        <v>-33.02751402251212</v>
      </c>
    </row>
    <row r="59" spans="1:19" x14ac:dyDescent="0.3">
      <c r="A59">
        <v>21</v>
      </c>
      <c r="B59">
        <v>20</v>
      </c>
      <c r="C59">
        <f>100*775725/1847570</f>
        <v>41.98623056230616</v>
      </c>
      <c r="D59">
        <f>100*190767/1237291</f>
        <v>15.418119100518794</v>
      </c>
      <c r="E59">
        <f>IF(COUNT(C59:D59)=2,D59-C59,"")</f>
        <v>-26.568111461787367</v>
      </c>
      <c r="H59">
        <v>21</v>
      </c>
      <c r="I59">
        <v>20</v>
      </c>
      <c r="J59">
        <f>100*708159/1885839</f>
        <v>37.5514028504024</v>
      </c>
      <c r="K59">
        <f>100*174494/1315814</f>
        <v>13.261296809427472</v>
      </c>
      <c r="L59">
        <f>IF(COUNT(J59:K59)=2,K59-J59,"")</f>
        <v>-24.290106040974926</v>
      </c>
      <c r="O59">
        <v>21</v>
      </c>
      <c r="P59">
        <v>20</v>
      </c>
      <c r="Q59">
        <f>100*370589/1143839</f>
        <v>32.39870296431578</v>
      </c>
      <c r="R59">
        <f>100*74430/611194</f>
        <v>12.17780279256668</v>
      </c>
      <c r="S59">
        <f>IF(COUNT(Q59:R59)=2,R59-Q59,"")</f>
        <v>-20.2209001717491</v>
      </c>
    </row>
    <row r="60" spans="1:19" x14ac:dyDescent="0.3">
      <c r="A60">
        <v>22</v>
      </c>
      <c r="B60">
        <v>21</v>
      </c>
      <c r="C60">
        <f>100*654996/1913846</f>
        <v>34.22407027524681</v>
      </c>
      <c r="D60">
        <f>100*550/1914</f>
        <v>28.735632183908045</v>
      </c>
      <c r="E60">
        <f>IF(COUNT(C60:D60)=2,D60-C60,"")</f>
        <v>-5.4884380913387645</v>
      </c>
      <c r="H60">
        <v>22</v>
      </c>
      <c r="I60">
        <v>21</v>
      </c>
      <c r="J60">
        <f>100*858363/1916826</f>
        <v>44.78043390479887</v>
      </c>
      <c r="K60">
        <f>100*328308/1418890</f>
        <v>23.1383687248483</v>
      </c>
      <c r="L60">
        <f>IF(COUNT(J60:K60)=2,K60-J60,"")</f>
        <v>-21.64206517995057</v>
      </c>
      <c r="O60">
        <v>22</v>
      </c>
      <c r="P60">
        <v>21</v>
      </c>
      <c r="Q60">
        <f>100*754527/1680084</f>
        <v>44.91007592477519</v>
      </c>
      <c r="R60">
        <f>100*226939/974304</f>
        <v>23.292422077708807</v>
      </c>
      <c r="S60">
        <f>IF(COUNT(Q60:R60)=2,R60-Q60,"")</f>
        <v>-21.617653847066386</v>
      </c>
    </row>
    <row r="61" spans="1:19" x14ac:dyDescent="0.3">
      <c r="A61">
        <v>23</v>
      </c>
      <c r="B61">
        <v>22</v>
      </c>
      <c r="C61">
        <f>100*604684/1725077</f>
        <v>35.052580261634695</v>
      </c>
      <c r="D61">
        <f>100*339956/1496149</f>
        <v>22.72206845708549</v>
      </c>
      <c r="E61">
        <f>IF(COUNT(C61:D61)=2,D61-C61,"")</f>
        <v>-12.330511804549204</v>
      </c>
      <c r="H61">
        <v>23</v>
      </c>
      <c r="I61">
        <v>22</v>
      </c>
      <c r="J61">
        <f>100*941313/1944636</f>
        <v>48.40561421263414</v>
      </c>
      <c r="K61">
        <f>100*97770/1178961</f>
        <v>8.292895184827996</v>
      </c>
      <c r="L61">
        <f>IF(COUNT(J61:K61)=2,K61-J61,"")</f>
        <v>-40.11271902780614</v>
      </c>
      <c r="O61">
        <v>23</v>
      </c>
      <c r="P61">
        <v>22</v>
      </c>
      <c r="Q61">
        <f>100*844/356205</f>
        <v>0.236942210244101</v>
      </c>
      <c r="R61">
        <f>100*1642/360722</f>
        <v>0.45519818586057964</v>
      </c>
      <c r="S61">
        <f>IF(COUNT(Q61:R61)=2,R61-Q61,"")</f>
        <v>0.21825597561647864</v>
      </c>
    </row>
    <row r="62" spans="1:19" x14ac:dyDescent="0.3">
      <c r="A62">
        <v>24</v>
      </c>
      <c r="B62">
        <v>23</v>
      </c>
      <c r="C62">
        <f>100*344998/1193986</f>
        <v>28.894643655788258</v>
      </c>
      <c r="D62">
        <f>100*73789/947234</f>
        <v>7.789944195415282</v>
      </c>
      <c r="E62">
        <f>IF(COUNT(C62:D62)=2,D62-C62,"")</f>
        <v>-21.104699460372977</v>
      </c>
      <c r="H62">
        <v>24</v>
      </c>
      <c r="I62">
        <v>23</v>
      </c>
      <c r="J62">
        <f>100*792417/1775752</f>
        <v>44.62430564628394</v>
      </c>
      <c r="K62">
        <f>100*4453/151392</f>
        <v>2.9413707461424647</v>
      </c>
      <c r="L62">
        <f>IF(COUNT(J62:K62)=2,K62-J62,"")</f>
        <v>-41.682934900141476</v>
      </c>
      <c r="O62">
        <v>24</v>
      </c>
      <c r="P62">
        <v>23</v>
      </c>
      <c r="Q62">
        <f>100*197250/941831</f>
        <v>20.94324778012191</v>
      </c>
      <c r="R62">
        <f>100*62806/790283</f>
        <v>7.947279645392853</v>
      </c>
      <c r="S62">
        <f>IF(COUNT(Q62:R62)=2,R62-Q62,"")</f>
        <v>-12.995968134729058</v>
      </c>
    </row>
    <row r="63" spans="1:19" x14ac:dyDescent="0.3">
      <c r="A63">
        <v>25</v>
      </c>
      <c r="B63">
        <v>24</v>
      </c>
      <c r="C63">
        <f>100*768464/1759518</f>
        <v>43.67468818164975</v>
      </c>
      <c r="D63">
        <f>100*57765/772686</f>
        <v>7.475869887638704</v>
      </c>
      <c r="E63">
        <f>IF(COUNT(C63:D63)=2,D63-C63,"")</f>
        <v>-36.19881829401105</v>
      </c>
      <c r="H63">
        <v>25</v>
      </c>
      <c r="I63">
        <v>24</v>
      </c>
      <c r="J63">
        <f>100*708043/1588574</f>
        <v>44.57098001100358</v>
      </c>
      <c r="K63">
        <f>100*66217/1007740</f>
        <v>6.57084168535535</v>
      </c>
      <c r="L63">
        <f>IF(COUNT(J63:K63)=2,K63-J63,"")</f>
        <v>-38.00013832564823</v>
      </c>
      <c r="O63">
        <v>25</v>
      </c>
      <c r="P63">
        <v>24</v>
      </c>
      <c r="Q63">
        <f>100*339441/1160878</f>
        <v>29.240023499454722</v>
      </c>
      <c r="R63">
        <f>100*478009/1590193</f>
        <v>30.059810350064428</v>
      </c>
      <c r="S63">
        <f>IF(COUNT(Q63:R63)=2,R63-Q63,"")</f>
        <v>0.8197868506097059</v>
      </c>
    </row>
    <row r="64" spans="1:19" x14ac:dyDescent="0.3">
      <c r="A64">
        <v>26</v>
      </c>
      <c r="B64">
        <v>25</v>
      </c>
      <c r="C64">
        <f>100*872598/1965096</f>
        <v>44.40485350334029</v>
      </c>
      <c r="D64">
        <f>100*334693/1442140</f>
        <v>23.208079659395064</v>
      </c>
      <c r="E64">
        <f>IF(COUNT(C64:D64)=2,D64-C64,"")</f>
        <v>-21.196773843945227</v>
      </c>
      <c r="H64">
        <v>26</v>
      </c>
      <c r="I64">
        <v>25</v>
      </c>
      <c r="J64">
        <f>100*398836/1246025</f>
        <v>32.008667562849865</v>
      </c>
      <c r="K64">
        <f>100*165653/1223537</f>
        <v>13.53886314839682</v>
      </c>
      <c r="L64">
        <f>IF(COUNT(J64:K64)=2,K64-J64,"")</f>
        <v>-18.469804414453044</v>
      </c>
      <c r="O64">
        <v>26</v>
      </c>
      <c r="P64">
        <v>25</v>
      </c>
      <c r="Q64">
        <f>100*775571/1671807</f>
        <v>46.39118032165196</v>
      </c>
      <c r="R64">
        <f>100*481845/1575056</f>
        <v>30.592245609045012</v>
      </c>
      <c r="S64">
        <f>IF(COUNT(Q64:R64)=2,R64-Q64,"")</f>
        <v>-15.798934712606947</v>
      </c>
    </row>
    <row r="65" spans="1:19" x14ac:dyDescent="0.3">
      <c r="A65">
        <v>27</v>
      </c>
      <c r="B65">
        <v>26</v>
      </c>
      <c r="C65">
        <f>100*588879/1713537</f>
        <v>34.36628447474435</v>
      </c>
      <c r="D65">
        <f>100*156266/1151175</f>
        <v>13.574478250483201</v>
      </c>
      <c r="E65">
        <f>IF(COUNT(C65:D65)=2,D65-C65,"")</f>
        <v>-20.791806224261144</v>
      </c>
      <c r="H65">
        <v>27</v>
      </c>
      <c r="I65">
        <v>26</v>
      </c>
      <c r="J65">
        <f>100*537175/1539092</f>
        <v>34.90207213084078</v>
      </c>
      <c r="K65">
        <f>100*338365/1667641</f>
        <v>20.290038443525916</v>
      </c>
      <c r="L65">
        <f>IF(COUNT(J65:K65)=2,K65-J65,"")</f>
        <v>-14.612033687314863</v>
      </c>
      <c r="O65">
        <v>27</v>
      </c>
      <c r="P65">
        <v>26</v>
      </c>
      <c r="Q65">
        <f>100*484579/1297589</f>
        <v>37.34456750172821</v>
      </c>
      <c r="R65">
        <f>100*393412/1509371</f>
        <v>26.064632220971518</v>
      </c>
      <c r="S65">
        <f>IF(COUNT(Q65:R65)=2,R65-Q65,"")</f>
        <v>-11.279935280756689</v>
      </c>
    </row>
    <row r="66" spans="1:19" x14ac:dyDescent="0.3">
      <c r="A66">
        <v>28</v>
      </c>
      <c r="B66">
        <v>27</v>
      </c>
      <c r="C66">
        <f>100*367929/1192094</f>
        <v>30.864092932268765</v>
      </c>
      <c r="D66">
        <f>100*194177/1354513</f>
        <v>14.335558241227659</v>
      </c>
      <c r="E66">
        <f>IF(COUNT(C66:D66)=2,D66-C66,"")</f>
        <v>-16.528534691041106</v>
      </c>
      <c r="H66">
        <v>28</v>
      </c>
      <c r="I66">
        <v>27</v>
      </c>
      <c r="J66">
        <f>100*531985/1356503</f>
        <v>39.21738470169252</v>
      </c>
      <c r="K66">
        <f>100*161846/1060171</f>
        <v>15.266027838905233</v>
      </c>
      <c r="L66">
        <f>IF(COUNT(J66:K66)=2,K66-J66,"")</f>
        <v>-23.951356862787286</v>
      </c>
      <c r="O66">
        <v>28</v>
      </c>
      <c r="P66">
        <v>27</v>
      </c>
      <c r="Q66">
        <f>100*341/342230</f>
        <v>0.09964059258393478</v>
      </c>
      <c r="R66">
        <f>100*651/342335</f>
        <v>0.19016460484613026</v>
      </c>
      <c r="S66">
        <f>IF(COUNT(Q66:R66)=2,R66-Q66,"")</f>
        <v>0.09052401226219549</v>
      </c>
    </row>
    <row r="67" spans="1:19" x14ac:dyDescent="0.3">
      <c r="A67">
        <v>29</v>
      </c>
      <c r="B67">
        <v>28</v>
      </c>
      <c r="C67">
        <f>100*656014/1602695</f>
        <v>40.93193027993473</v>
      </c>
      <c r="D67">
        <f>100*251046/1366431</f>
        <v>18.37238762879355</v>
      </c>
      <c r="E67">
        <f>IF(COUNT(C67:D67)=2,D67-C67,"")</f>
        <v>-22.559542651141182</v>
      </c>
      <c r="H67">
        <v>29</v>
      </c>
      <c r="I67">
        <v>28</v>
      </c>
      <c r="J67">
        <f>100*917947/2006663</f>
        <v>45.74495069675376</v>
      </c>
      <c r="K67">
        <f>100*294353/1494275</f>
        <v>19.698716769001688</v>
      </c>
      <c r="L67">
        <f>IF(COUNT(J67:K67)=2,K67-J67,"")</f>
        <v>-26.046233927752073</v>
      </c>
      <c r="O67">
        <v>29</v>
      </c>
      <c r="P67">
        <v>28</v>
      </c>
      <c r="Q67">
        <f>100*506385/1453010</f>
        <v>34.850758081499784</v>
      </c>
      <c r="R67">
        <f>100*591001/1890631</f>
        <v>31.259457821224764</v>
      </c>
      <c r="S67">
        <f>IF(COUNT(Q67:R67)=2,R67-Q67,"")</f>
        <v>-3.5913002602750197</v>
      </c>
    </row>
    <row r="68" spans="1:19" x14ac:dyDescent="0.3">
      <c r="A68">
        <v>30</v>
      </c>
      <c r="B68">
        <v>29</v>
      </c>
      <c r="C68">
        <f>100*39372/653286</f>
        <v>6.026763163453679</v>
      </c>
      <c r="D68">
        <f>100*238312/1013088</f>
        <v>23.523326700148456</v>
      </c>
      <c r="E68">
        <f>IF(COUNT(C68:D68)=2,D68-C68,"")</f>
        <v>17.496563536694776</v>
      </c>
      <c r="H68">
        <v>30</v>
      </c>
      <c r="I68">
        <v>29</v>
      </c>
      <c r="J68">
        <f>100*537109/1458999</f>
        <v>36.81352763093052</v>
      </c>
      <c r="K68">
        <f>100*79783/762318</f>
        <v>10.465842338761513</v>
      </c>
      <c r="L68">
        <f>IF(COUNT(J68:K68)=2,K68-J68,"")</f>
        <v>-26.34768529216901</v>
      </c>
      <c r="O68">
        <v>30</v>
      </c>
      <c r="P68">
        <v>29</v>
      </c>
      <c r="Q68">
        <f>100*609326/1423323</f>
        <v>42.81010002648731</v>
      </c>
      <c r="R68">
        <f>100*298982/1307110</f>
        <v>22.87351485337883</v>
      </c>
      <c r="S68">
        <f>IF(COUNT(Q68:R68)=2,R68-Q68,"")</f>
        <v>-19.936585173108483</v>
      </c>
    </row>
    <row r="69" spans="1:19" x14ac:dyDescent="0.3">
      <c r="A69">
        <v>31</v>
      </c>
      <c r="B69">
        <v>30</v>
      </c>
      <c r="C69">
        <f>100*401250/1230061</f>
        <v>32.62033346313719</v>
      </c>
      <c r="D69">
        <f>100*244210/1343113</f>
        <v>18.182386738867095</v>
      </c>
      <c r="E69">
        <f>IF(COUNT(C69:D69)=2,D69-C69,"")</f>
        <v>-14.437946724270098</v>
      </c>
      <c r="H69">
        <v>31</v>
      </c>
      <c r="I69">
        <v>30</v>
      </c>
      <c r="J69">
        <f>100*589124/1665281</f>
        <v>35.3768523150147</v>
      </c>
      <c r="K69">
        <f>100*216198/1245118</f>
        <v>17.36365549289304</v>
      </c>
      <c r="L69">
        <f>IF(COUNT(J69:K69)=2,K69-J69,"")</f>
        <v>-18.01319682212166</v>
      </c>
      <c r="O69">
        <v>31</v>
      </c>
      <c r="P69">
        <v>30</v>
      </c>
      <c r="Q69">
        <f>100*1911/646412</f>
        <v>0.2956318880218808</v>
      </c>
      <c r="R69">
        <f>100*14302/582134</f>
        <v>2.456822655952066</v>
      </c>
      <c r="S69">
        <f>IF(COUNT(Q69:R69)=2,R69-Q69,"")</f>
        <v>2.161190767930185</v>
      </c>
    </row>
    <row r="70" spans="1:19" x14ac:dyDescent="0.3">
      <c r="A70" t="s">
        <v>5</v>
      </c>
      <c r="C70">
        <f>IF(COUNT(C39:C69)&gt;0,AVERAGE(C39:C69),"")</f>
        <v>31.6417312238221</v>
      </c>
      <c r="D70">
        <f>IF(COUNT(D39:D69)&gt;0,AVERAGE(D39:D69),"")</f>
        <v>14.095954314975538</v>
      </c>
      <c r="E70">
        <f>IF(COUNT(E39:E69)&gt;0,AVERAGE(E39:E69),"")</f>
        <v>-17.545776908846555</v>
      </c>
      <c r="H70" t="s">
        <v>5</v>
      </c>
      <c r="J70">
        <f>IF(COUNT(J39:J69)&gt;0,AVERAGE(J39:J69),"")</f>
        <v>32.99518015949494</v>
      </c>
      <c r="K70">
        <f>IF(COUNT(K39:K69)&gt;0,AVERAGE(K39:K69),"")</f>
        <v>13.097000716239481</v>
      </c>
      <c r="L70">
        <f>IF(COUNT(L39:L69)&gt;0,AVERAGE(L39:L69),"")</f>
        <v>-19.898179443255465</v>
      </c>
      <c r="O70" t="s">
        <v>5</v>
      </c>
      <c r="Q70">
        <f>IF(COUNT(Q39:Q69)&gt;0,AVERAGE(Q39:Q69),"")</f>
        <v>30.180215695878577</v>
      </c>
      <c r="R70">
        <f>IF(COUNT(R39:R69)&gt;0,AVERAGE(R39:R69),"")</f>
        <v>16.973122243857645</v>
      </c>
      <c r="S70">
        <f>IF(COUNT(S39:S69)&gt;0,AVERAGE(S39:S69),"")</f>
        <v>-13.20709345202093</v>
      </c>
    </row>
    <row r="73" spans="1:19" s="2" customFormat="1" x14ac:dyDescent="0.3">
      <c r="A73" s="1" t="s">
        <v>12</v>
      </c>
      <c r="B73" s="1"/>
      <c r="C73" s="1"/>
      <c r="D73" s="1"/>
      <c r="E73" s="1"/>
      <c r="H73" s="1" t="s">
        <v>13</v>
      </c>
      <c r="I73" s="1"/>
      <c r="J73" s="1"/>
      <c r="K73" s="1"/>
      <c r="L73" s="1"/>
      <c r="O73" s="1" t="s">
        <v>14</v>
      </c>
      <c r="P73" s="1"/>
      <c r="Q73" s="1"/>
      <c r="R73" s="1"/>
      <c r="S73" s="1"/>
    </row>
    <row r="74" spans="1:19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O74" t="s">
        <v>0</v>
      </c>
      <c r="P74" t="s">
        <v>1</v>
      </c>
      <c r="Q74" t="s">
        <v>2</v>
      </c>
      <c r="R74" t="s">
        <v>3</v>
      </c>
      <c r="S74" t="s">
        <v>4</v>
      </c>
    </row>
    <row r="75" spans="1:19" x14ac:dyDescent="0.3">
      <c r="A75">
        <v>1</v>
      </c>
      <c r="B75">
        <v>0</v>
      </c>
      <c r="C75">
        <f>100*950574/2156408</f>
        <v>44.08136122663244</v>
      </c>
      <c r="D75">
        <f>100*225352/1060150</f>
        <v>21.25661463000519</v>
      </c>
      <c r="E75">
        <f>IF(COUNT(C75:D75)=2,D75-C75,"")</f>
        <v>-22.82474659662725</v>
      </c>
      <c r="H75">
        <v>1</v>
      </c>
      <c r="I75">
        <v>0</v>
      </c>
      <c r="J75">
        <f>100*1161020/2178231</f>
        <v>53.30105025591868</v>
      </c>
      <c r="K75">
        <f>100*225291/1325840</f>
        <v>16.9923218487902</v>
      </c>
      <c r="L75">
        <f>IF(COUNT(J75:K75)=2,K75-J75,"")</f>
        <v>-36.308728407128484</v>
      </c>
      <c r="O75">
        <v>1</v>
      </c>
      <c r="P75">
        <v>0</v>
      </c>
      <c r="Q75">
        <f>100*17855/657603</f>
        <v>2.7151640123296272</v>
      </c>
      <c r="R75">
        <f>100*169380/957641</f>
        <v>17.687212640227393</v>
      </c>
      <c r="S75">
        <f>IF(COUNT(Q75:R75)=2,R75-Q75,"")</f>
        <v>14.972048627897767</v>
      </c>
    </row>
    <row r="76" spans="1:19" x14ac:dyDescent="0.3">
      <c r="A76">
        <v>2</v>
      </c>
      <c r="B76">
        <v>1</v>
      </c>
      <c r="C76">
        <f>100*784284/1919387</f>
        <v>40.861170780045924</v>
      </c>
      <c r="D76">
        <f>100*379848/1672032</f>
        <v>22.717747028765</v>
      </c>
      <c r="E76">
        <f>IF(COUNT(C76:D76)=2,D76-C76,"")</f>
        <v>-18.143423751280924</v>
      </c>
      <c r="H76">
        <v>2</v>
      </c>
      <c r="I76">
        <v>1</v>
      </c>
      <c r="J76">
        <f>100*920313/2115455</f>
        <v>43.50425794923551</v>
      </c>
      <c r="K76">
        <f>100*813316/2596297</f>
        <v>31.326000068559182</v>
      </c>
      <c r="L76">
        <f>IF(COUNT(J76:K76)=2,K76-J76,"")</f>
        <v>-12.178257880676327</v>
      </c>
      <c r="O76">
        <v>2</v>
      </c>
      <c r="P76">
        <v>1</v>
      </c>
      <c r="Q76">
        <f>100*506051/1366563</f>
        <v>37.03093088280599</v>
      </c>
      <c r="R76">
        <f>100*299115/1437718</f>
        <v>20.804844900042983</v>
      </c>
      <c r="S76">
        <f>IF(COUNT(Q76:R76)=2,R76-Q76,"")</f>
        <v>-16.226085982763006</v>
      </c>
    </row>
    <row r="77" spans="1:19" x14ac:dyDescent="0.3">
      <c r="A77">
        <v>3</v>
      </c>
      <c r="B77">
        <v>2</v>
      </c>
      <c r="C77">
        <f>100*45924/1162874</f>
        <v>3.949181080667381</v>
      </c>
      <c r="D77">
        <f>100*391644/1764829</f>
        <v>22.19161176521918</v>
      </c>
      <c r="E77">
        <f>IF(COUNT(C77:D77)=2,D77-C77,"")</f>
        <v>18.2424306845518</v>
      </c>
      <c r="H77">
        <v>3</v>
      </c>
      <c r="I77">
        <v>2</v>
      </c>
      <c r="J77">
        <f>100*702390/1654096</f>
        <v>42.46367804528879</v>
      </c>
      <c r="K77">
        <f>100*580014/2133309</f>
        <v>27.188466368444516</v>
      </c>
      <c r="L77">
        <f>IF(COUNT(J77:K77)=2,K77-J77,"")</f>
        <v>-15.275211676844272</v>
      </c>
      <c r="O77">
        <v>3</v>
      </c>
      <c r="P77">
        <v>2</v>
      </c>
      <c r="Q77">
        <f>100*580189/1478595</f>
        <v>39.239210196165956</v>
      </c>
      <c r="R77">
        <f>100*275033/1347467</f>
        <v>20.41111210886797</v>
      </c>
      <c r="S77">
        <f>IF(COUNT(Q77:R77)=2,R77-Q77,"")</f>
        <v>-18.828098087297985</v>
      </c>
    </row>
    <row r="78" spans="1:19" x14ac:dyDescent="0.3">
      <c r="A78">
        <v>4</v>
      </c>
      <c r="B78">
        <v>3</v>
      </c>
      <c r="C78">
        <f>100*987891/1871797</f>
        <v>52.77767834866708</v>
      </c>
      <c r="D78">
        <f>100*149460/1190611</f>
        <v>12.553218473540056</v>
      </c>
      <c r="E78">
        <f>IF(COUNT(C78:D78)=2,D78-C78,"")</f>
        <v>-40.224459875127025</v>
      </c>
      <c r="H78">
        <v>4</v>
      </c>
      <c r="I78">
        <v>3</v>
      </c>
      <c r="J78">
        <f>100*827459/1741510</f>
        <v>47.51388163145776</v>
      </c>
      <c r="K78">
        <f>100*188957/1278072</f>
        <v>14.784534830588575</v>
      </c>
      <c r="L78">
        <f>IF(COUNT(J78:K78)=2,K78-J78,"")</f>
        <v>-32.72934680086918</v>
      </c>
      <c r="O78">
        <v>4</v>
      </c>
      <c r="P78">
        <v>3</v>
      </c>
      <c r="Q78">
        <f>100*617738/1364388</f>
        <v>45.27583062882406</v>
      </c>
      <c r="R78">
        <f>100*421134/1727782</f>
        <v>24.37425554844303</v>
      </c>
      <c r="S78">
        <f>IF(COUNT(Q78:R78)=2,R78-Q78,"")</f>
        <v>-20.90157508038103</v>
      </c>
    </row>
    <row r="79" spans="1:19" x14ac:dyDescent="0.3">
      <c r="A79">
        <v>5</v>
      </c>
      <c r="B79">
        <v>4</v>
      </c>
      <c r="C79">
        <f>100*1067979/2182567</f>
        <v>48.932243546246234</v>
      </c>
      <c r="D79">
        <f>100*362469/1776954</f>
        <v>20.398333327705725</v>
      </c>
      <c r="E79">
        <f>IF(COUNT(C79:D79)=2,D79-C79,"")</f>
        <v>-28.53391021854051</v>
      </c>
      <c r="H79">
        <v>5</v>
      </c>
      <c r="I79">
        <v>4</v>
      </c>
      <c r="J79">
        <f>100*1035328/2211231</f>
        <v>46.82134069213031</v>
      </c>
      <c r="K79">
        <f>100*197804/1416700</f>
        <v>13.962306769252487</v>
      </c>
      <c r="L79">
        <f>IF(COUNT(J79:K79)=2,K79-J79,"")</f>
        <v>-32.85903392287783</v>
      </c>
      <c r="O79">
        <v>5</v>
      </c>
      <c r="P79">
        <v>4</v>
      </c>
      <c r="Q79">
        <f>100*829508/1701576</f>
        <v>48.749394678815406</v>
      </c>
      <c r="R79">
        <f>100*61752/604364</f>
        <v>10.217683382861983</v>
      </c>
      <c r="S79">
        <f>IF(COUNT(Q79:R79)=2,R79-Q79,"")</f>
        <v>-38.53171129595342</v>
      </c>
    </row>
    <row r="80" spans="1:19" x14ac:dyDescent="0.3">
      <c r="A80">
        <v>6</v>
      </c>
      <c r="B80">
        <v>5</v>
      </c>
      <c r="C80">
        <f>100*819594/1914103</f>
        <v>42.81869888924473</v>
      </c>
      <c r="D80">
        <f>100*313106/1664057</f>
        <v>18.815821813796042</v>
      </c>
      <c r="E80">
        <f>IF(COUNT(C80:D80)=2,D80-C80,"")</f>
        <v>-24.002877075448687</v>
      </c>
      <c r="H80">
        <v>6</v>
      </c>
      <c r="I80">
        <v>5</v>
      </c>
      <c r="J80">
        <f>100*627723/1597246</f>
        <v>39.30033319851795</v>
      </c>
      <c r="K80">
        <f>100*298452/1607269</f>
        <v>18.568889215184267</v>
      </c>
      <c r="L80">
        <f>IF(COUNT(J80:K80)=2,K80-J80,"")</f>
        <v>-20.73144398333368</v>
      </c>
      <c r="O80">
        <v>6</v>
      </c>
      <c r="P80">
        <v>5</v>
      </c>
      <c r="Q80">
        <f>100*561642/1450968</f>
        <v>38.70809004747176</v>
      </c>
      <c r="R80">
        <f>100*175544/1169022</f>
        <v>15.016312781111049</v>
      </c>
      <c r="S80">
        <f>IF(COUNT(Q80:R80)=2,R80-Q80,"")</f>
        <v>-23.69177726636071</v>
      </c>
    </row>
    <row r="81" spans="1:19" x14ac:dyDescent="0.3">
      <c r="A81">
        <v>7</v>
      </c>
      <c r="B81">
        <v>6</v>
      </c>
      <c r="C81">
        <f>100*6901/528040</f>
        <v>1.3069085675327627</v>
      </c>
      <c r="D81">
        <f>100*31489/176209</f>
        <v>17.870256343319582</v>
      </c>
      <c r="E81">
        <f>IF(COUNT(C81:D81)=2,D81-C81,"")</f>
        <v>16.56334777578682</v>
      </c>
      <c r="H81">
        <v>7</v>
      </c>
      <c r="I81">
        <v>6</v>
      </c>
      <c r="J81">
        <f>100*3904/710153</f>
        <v>0.5497406896823642</v>
      </c>
      <c r="K81">
        <f>100*19289/1042077</f>
        <v>1.851014848230985</v>
      </c>
      <c r="L81">
        <f>IF(COUNT(J81:K81)=2,K81-J81,"")</f>
        <v>1.3012741585486207</v>
      </c>
      <c r="O81">
        <v>7</v>
      </c>
      <c r="P81">
        <v>6</v>
      </c>
      <c r="Q81">
        <f>100*769806/1827455</f>
        <v>42.124484597431945</v>
      </c>
      <c r="R81">
        <f>100*403791/1620541</f>
        <v>24.917049306373613</v>
      </c>
      <c r="S81">
        <f>IF(COUNT(Q81:R81)=2,R81-Q81,"")</f>
        <v>-17.20743529105833</v>
      </c>
    </row>
    <row r="82" spans="1:19" x14ac:dyDescent="0.3">
      <c r="A82">
        <v>8</v>
      </c>
      <c r="B82">
        <v>7</v>
      </c>
      <c r="C82">
        <f>100*8971/665002</f>
        <v>1.3490184991924836</v>
      </c>
      <c r="D82">
        <f>100*2397/531706</f>
        <v>0.45081304329836414</v>
      </c>
      <c r="E82">
        <f>IF(COUNT(C82:D82)=2,D82-C82,"")</f>
        <v>-0.8982054558941195</v>
      </c>
      <c r="H82">
        <v>8</v>
      </c>
      <c r="I82">
        <v>7</v>
      </c>
      <c r="J82">
        <f>100*7411/619510</f>
        <v>1.1962680182725056</v>
      </c>
      <c r="K82">
        <f>100*1289/504756</f>
        <v>0.25537091188613903</v>
      </c>
      <c r="L82">
        <f>IF(COUNT(J82:K82)=2,K82-J82,"")</f>
        <v>-0.9408971063863666</v>
      </c>
      <c r="O82">
        <v>8</v>
      </c>
      <c r="P82">
        <v>7</v>
      </c>
      <c r="Q82">
        <f>100*842526/1806467</f>
        <v>46.63943487481365</v>
      </c>
      <c r="R82">
        <f>100*476571/1706571</f>
        <v>27.925647394687946</v>
      </c>
      <c r="S82">
        <f>IF(COUNT(Q82:R82)=2,R82-Q82,"")</f>
        <v>-18.713787480125706</v>
      </c>
    </row>
    <row r="83" spans="1:19" x14ac:dyDescent="0.3">
      <c r="A83">
        <v>9</v>
      </c>
      <c r="B83">
        <v>8</v>
      </c>
      <c r="C83">
        <f>100*766923/1967808</f>
        <v>38.9734669236023</v>
      </c>
      <c r="D83">
        <f>100*487221/2097458</f>
        <v>23.229118294621394</v>
      </c>
      <c r="E83">
        <f>IF(COUNT(C83:D83)=2,D83-C83,"")</f>
        <v>-15.744348628980909</v>
      </c>
      <c r="H83">
        <v>9</v>
      </c>
      <c r="I83">
        <v>8</v>
      </c>
      <c r="J83">
        <f>100*986121/2196978</f>
        <v>44.88533795058485</v>
      </c>
      <c r="K83">
        <f>100*473676/2218274</f>
        <v>21.353358512068393</v>
      </c>
      <c r="L83">
        <f>IF(COUNT(J83:K83)=2,K83-J83,"")</f>
        <v>-23.531979438516455</v>
      </c>
      <c r="O83">
        <v>9</v>
      </c>
      <c r="P83">
        <v>8</v>
      </c>
      <c r="Q83">
        <f>100*418704/1300185</f>
        <v>32.20341720601299</v>
      </c>
      <c r="R83">
        <f>100*198910/903136</f>
        <v>22.02436842291748</v>
      </c>
      <c r="S83">
        <f>IF(COUNT(Q83:R83)=2,R83-Q83,"")</f>
        <v>-10.179048783095514</v>
      </c>
    </row>
    <row r="84" spans="1:19" x14ac:dyDescent="0.3">
      <c r="A84">
        <v>10</v>
      </c>
      <c r="B84">
        <v>9</v>
      </c>
      <c r="C84">
        <f>100*193316/1207283</f>
        <v>16.012484231120624</v>
      </c>
      <c r="D84">
        <f>100*67767/998501</f>
        <v>6.786873523411594</v>
      </c>
      <c r="E84">
        <f>IF(COUNT(C84:D84)=2,D84-C84,"")</f>
        <v>-9.22561070770903</v>
      </c>
      <c r="H84">
        <v>10</v>
      </c>
      <c r="I84">
        <v>9</v>
      </c>
      <c r="J84">
        <f>100*1094395/2180634</f>
        <v>50.187009832920154</v>
      </c>
      <c r="K84">
        <f>100*48268/732761</f>
        <v>6.587140964106987</v>
      </c>
      <c r="L84">
        <f>IF(COUNT(J84:K84)=2,K84-J84,"")</f>
        <v>-43.59986886881317</v>
      </c>
      <c r="O84">
        <v>10</v>
      </c>
      <c r="P84">
        <v>9</v>
      </c>
      <c r="Q84">
        <f>100*10580/624813</f>
        <v>1.6933066373458938</v>
      </c>
      <c r="R84">
        <f>100*9713/124327</f>
        <v>7.8124622970070865</v>
      </c>
      <c r="S84">
        <f>IF(COUNT(Q84:R84)=2,R84-Q84,"")</f>
        <v>6.1191556596611925</v>
      </c>
    </row>
    <row r="85" spans="1:19" x14ac:dyDescent="0.3">
      <c r="A85">
        <v>11</v>
      </c>
      <c r="B85">
        <v>10</v>
      </c>
      <c r="C85">
        <f>100*1000200/2058009</f>
        <v>48.60037055231537</v>
      </c>
      <c r="D85">
        <f>100*257578/1511673</f>
        <v>17.039267090170956</v>
      </c>
      <c r="E85">
        <f>IF(COUNT(C85:D85)=2,D85-C85,"")</f>
        <v>-31.561103462144413</v>
      </c>
      <c r="H85">
        <v>11</v>
      </c>
      <c r="I85">
        <v>10</v>
      </c>
      <c r="J85">
        <f>100*1248271/2251399</f>
        <v>55.444237116566185</v>
      </c>
      <c r="K85">
        <f>100*45288/1091477</f>
        <v>4.149239974823106</v>
      </c>
      <c r="L85">
        <f>IF(COUNT(J85:K85)=2,K85-J85,"")</f>
        <v>-51.29499714174308</v>
      </c>
      <c r="O85">
        <v>11</v>
      </c>
      <c r="P85">
        <v>10</v>
      </c>
      <c r="Q85">
        <f>100*858874/1796310</f>
        <v>47.8132393629162</v>
      </c>
      <c r="R85">
        <f>100*10450/42768</f>
        <v>24.43415637860082</v>
      </c>
      <c r="S85">
        <f>IF(COUNT(Q85:R85)=2,R85-Q85,"")</f>
        <v>-23.379082984315378</v>
      </c>
    </row>
    <row r="86" spans="1:19" x14ac:dyDescent="0.3">
      <c r="A86">
        <v>12</v>
      </c>
      <c r="B86">
        <v>11</v>
      </c>
      <c r="C86">
        <f>100*1083380/2227336</f>
        <v>48.640169242539066</v>
      </c>
      <c r="D86">
        <f>100*79339/962414</f>
        <v>8.243749571390275</v>
      </c>
      <c r="E86">
        <f>IF(COUNT(C86:D86)=2,D86-C86,"")</f>
        <v>-40.39641967114879</v>
      </c>
      <c r="H86">
        <v>12</v>
      </c>
      <c r="I86">
        <v>11</v>
      </c>
      <c r="J86">
        <f>100*847034/1777114</f>
        <v>47.66345884394586</v>
      </c>
      <c r="K86">
        <f>100*32386/1019137</f>
        <v>3.1777866959986736</v>
      </c>
      <c r="L86">
        <f>IF(COUNT(J86:K86)=2,K86-J86,"")</f>
        <v>-44.485672147947184</v>
      </c>
      <c r="O86">
        <v>12</v>
      </c>
      <c r="P86">
        <v>11</v>
      </c>
      <c r="Q86">
        <f>100*739588/1710894</f>
        <v>43.22816024838476</v>
      </c>
      <c r="R86">
        <f>100*350249/1616207</f>
        <v>21.671048324874228</v>
      </c>
      <c r="S86">
        <f>IF(COUNT(Q86:R86)=2,R86-Q86,"")</f>
        <v>-21.557111923510533</v>
      </c>
    </row>
    <row r="87" spans="1:19" x14ac:dyDescent="0.3">
      <c r="A87">
        <v>13</v>
      </c>
      <c r="B87">
        <v>12</v>
      </c>
      <c r="C87">
        <f>100*7212/818878</f>
        <v>0.8807172741238621</v>
      </c>
      <c r="D87">
        <f>100*80362/917193</f>
        <v>8.76173280868912</v>
      </c>
      <c r="E87">
        <f>IF(COUNT(C87:D87)=2,D87-C87,"")</f>
        <v>7.8810155345652575</v>
      </c>
      <c r="H87">
        <v>13</v>
      </c>
      <c r="I87">
        <v>12</v>
      </c>
      <c r="J87">
        <f>100*767025/1720041</f>
        <v>44.593413761648705</v>
      </c>
      <c r="K87">
        <f>100*366354/1612232</f>
        <v>22.723404572046704</v>
      </c>
      <c r="L87">
        <f>IF(COUNT(J87:K87)=2,K87-J87,"")</f>
        <v>-21.870009189602</v>
      </c>
      <c r="O87">
        <v>13</v>
      </c>
      <c r="P87">
        <v>12</v>
      </c>
      <c r="Q87">
        <f>100*371461/1317955</f>
        <v>28.18464970351795</v>
      </c>
      <c r="R87">
        <f>100*117250/1060922</f>
        <v>11.0517078541118</v>
      </c>
      <c r="S87">
        <f>IF(COUNT(Q87:R87)=2,R87-Q87,"")</f>
        <v>-17.13294184940615</v>
      </c>
    </row>
    <row r="88" spans="1:19" x14ac:dyDescent="0.3">
      <c r="A88">
        <v>14</v>
      </c>
      <c r="B88">
        <v>13</v>
      </c>
      <c r="C88">
        <f>100*92689/774868</f>
        <v>11.961908350841691</v>
      </c>
      <c r="D88">
        <f>100*12679/577532</f>
        <v>2.195376186947217</v>
      </c>
      <c r="E88">
        <f>IF(COUNT(C88:D88)=2,D88-C88,"")</f>
        <v>-9.766532163894475</v>
      </c>
      <c r="H88">
        <v>14</v>
      </c>
      <c r="I88">
        <v>13</v>
      </c>
      <c r="J88">
        <f>100*438708/1328922</f>
        <v>33.01232126490494</v>
      </c>
      <c r="K88">
        <f>100*486/519607</f>
        <v>0.0935322272409725</v>
      </c>
      <c r="L88">
        <f>IF(COUNT(J88:K88)=2,K88-J88,"")</f>
        <v>-32.91878903766397</v>
      </c>
      <c r="O88">
        <v>14</v>
      </c>
      <c r="P88">
        <v>13</v>
      </c>
      <c r="Q88">
        <f>100*183244/894097</f>
        <v>20.494868006491465</v>
      </c>
      <c r="R88">
        <f>100*3310/498640</f>
        <v>0.6638055510989892</v>
      </c>
      <c r="S88">
        <f>IF(COUNT(Q88:R88)=2,R88-Q88,"")</f>
        <v>-19.831062455392477</v>
      </c>
    </row>
    <row r="89" spans="1:19" x14ac:dyDescent="0.3">
      <c r="A89">
        <v>15</v>
      </c>
      <c r="B89">
        <v>14</v>
      </c>
      <c r="C89">
        <f>100*410087/1559215</f>
        <v>26.30086293423293</v>
      </c>
      <c r="D89">
        <f>100*438484/2066506</f>
        <v>21.218617318314102</v>
      </c>
      <c r="E89">
        <f>IF(COUNT(C89:D89)=2,D89-C89,"")</f>
        <v>-5.082245615918829</v>
      </c>
      <c r="H89">
        <v>15</v>
      </c>
      <c r="I89">
        <v>14</v>
      </c>
      <c r="J89">
        <f>100*378843/1975907</f>
        <v>19.173118977765654</v>
      </c>
      <c r="K89">
        <f>100*247511/1517317</f>
        <v>16.312411974557723</v>
      </c>
      <c r="L89">
        <f>IF(COUNT(J89:K89)=2,K89-J89,"")</f>
        <v>-2.8607070032079314</v>
      </c>
      <c r="O89">
        <v>15</v>
      </c>
      <c r="P89">
        <v>14</v>
      </c>
      <c r="Q89">
        <f>100*672160/1590176</f>
        <v>42.269534944559595</v>
      </c>
      <c r="R89">
        <f>100*474827/1753893</f>
        <v>27.072746170946573</v>
      </c>
      <c r="S89">
        <f>IF(COUNT(Q89:R89)=2,R89-Q89,"")</f>
        <v>-15.196788773613022</v>
      </c>
    </row>
    <row r="90" spans="1:19" x14ac:dyDescent="0.3">
      <c r="A90">
        <v>16</v>
      </c>
      <c r="B90">
        <v>15</v>
      </c>
      <c r="C90">
        <f>100*1111193/2179314</f>
        <v>50.988200874220055</v>
      </c>
      <c r="D90">
        <f>100*232259/1368106</f>
        <v>16.976681631394058</v>
      </c>
      <c r="E90">
        <f>IF(COUNT(C90:D90)=2,D90-C90,"")</f>
        <v>-34.011519242826</v>
      </c>
      <c r="H90">
        <v>16</v>
      </c>
      <c r="I90">
        <v>15</v>
      </c>
      <c r="J90">
        <f>100*769550/1774401</f>
        <v>43.36956527864896</v>
      </c>
      <c r="K90">
        <f>100*76680/1179792</f>
        <v>6.499450750640791</v>
      </c>
      <c r="L90">
        <f>IF(COUNT(J90:K90)=2,K90-J90,"")</f>
        <v>-36.87011452800817</v>
      </c>
      <c r="O90">
        <v>16</v>
      </c>
      <c r="P90">
        <v>15</v>
      </c>
      <c r="Q90">
        <f>100*705277/1721980</f>
        <v>40.95732819196506</v>
      </c>
      <c r="R90">
        <f>100*508197/1713458</f>
        <v>29.659145424048912</v>
      </c>
      <c r="S90">
        <f>IF(COUNT(Q90:R90)=2,R90-Q90,"")</f>
        <v>-11.298182767916149</v>
      </c>
    </row>
    <row r="91" spans="1:19" x14ac:dyDescent="0.3">
      <c r="A91">
        <v>17</v>
      </c>
      <c r="B91">
        <v>16</v>
      </c>
      <c r="C91">
        <f>100*743599/1773793</f>
        <v>41.921407965867495</v>
      </c>
      <c r="D91">
        <f>100*147277/1082818</f>
        <v>13.601270019523133</v>
      </c>
      <c r="E91">
        <f>IF(COUNT(C91:D91)=2,D91-C91,"")</f>
        <v>-28.32013794634436</v>
      </c>
      <c r="H91">
        <v>17</v>
      </c>
      <c r="I91">
        <v>16</v>
      </c>
      <c r="J91">
        <f>100*3265/88900</f>
        <v>3.6726659167604048</v>
      </c>
      <c r="K91">
        <f>100*482031/2223953</f>
        <v>21.674513804923034</v>
      </c>
      <c r="L91">
        <f>IF(COUNT(J91:K91)=2,K91-J91,"")</f>
        <v>18.00184788816263</v>
      </c>
      <c r="O91">
        <v>17</v>
      </c>
      <c r="P91">
        <v>16</v>
      </c>
      <c r="Q91">
        <f>100*16305/441767</f>
        <v>3.690859661314675</v>
      </c>
      <c r="R91">
        <f>100*20867/511004</f>
        <v>4.083529678828346</v>
      </c>
      <c r="S91">
        <f>IF(COUNT(Q91:R91)=2,R91-Q91,"")</f>
        <v>0.3926700175136708</v>
      </c>
    </row>
    <row r="92" spans="1:19" x14ac:dyDescent="0.3">
      <c r="A92">
        <v>18</v>
      </c>
      <c r="B92">
        <v>17</v>
      </c>
      <c r="C92">
        <f>100*929466/2060823</f>
        <v>45.10168995590597</v>
      </c>
      <c r="D92">
        <f>100*97478/1059357</f>
        <v>9.201619472944436</v>
      </c>
      <c r="E92">
        <f>IF(COUNT(C92:D92)=2,D92-C92,"")</f>
        <v>-35.90007048296153</v>
      </c>
      <c r="H92">
        <v>18</v>
      </c>
      <c r="I92">
        <v>17</v>
      </c>
      <c r="K92">
        <f>100*205622/1362552</f>
        <v>15.090946987711295</v>
      </c>
      <c r="L92" t="str">
        <f>IF(COUNT(J92:K92)=2,K92-J92,"")</f>
        <v/>
      </c>
      <c r="O92">
        <v>18</v>
      </c>
      <c r="P92">
        <v>17</v>
      </c>
      <c r="Q92">
        <f>100*156937/709883</f>
        <v>22.10744587488361</v>
      </c>
      <c r="R92">
        <f>100*81595/878364</f>
        <v>9.289428983883674</v>
      </c>
      <c r="S92">
        <f>IF(COUNT(Q92:R92)=2,R92-Q92,"")</f>
        <v>-12.818016890999935</v>
      </c>
    </row>
    <row r="93" spans="1:19" x14ac:dyDescent="0.3">
      <c r="A93">
        <v>19</v>
      </c>
      <c r="B93">
        <v>18</v>
      </c>
      <c r="C93">
        <f>100*675293/1785174</f>
        <v>37.82785319526276</v>
      </c>
      <c r="D93">
        <f>100*220891/1542610</f>
        <v>14.31930299946195</v>
      </c>
      <c r="E93">
        <f>IF(COUNT(C93:D93)=2,D93-C93,"")</f>
        <v>-23.50855019580081</v>
      </c>
      <c r="H93">
        <v>19</v>
      </c>
      <c r="I93">
        <v>18</v>
      </c>
      <c r="J93">
        <f>100*453701/1228767</f>
        <v>36.9232734928591</v>
      </c>
      <c r="K93">
        <f>100*48839/1071884</f>
        <v>4.556369905698751</v>
      </c>
      <c r="L93">
        <f>IF(COUNT(J93:K93)=2,K93-J93,"")</f>
        <v>-32.36690358716035</v>
      </c>
      <c r="O93">
        <v>19</v>
      </c>
      <c r="P93">
        <v>18</v>
      </c>
      <c r="Q93">
        <f>100*736264/1588962</f>
        <v>46.33616159480214</v>
      </c>
      <c r="R93">
        <f>100*267402/1253238</f>
        <v>21.336888922934033</v>
      </c>
      <c r="S93">
        <f>IF(COUNT(Q93:R93)=2,R93-Q93,"")</f>
        <v>-24.99927267186811</v>
      </c>
    </row>
    <row r="94" spans="1:19" x14ac:dyDescent="0.3">
      <c r="A94">
        <v>20</v>
      </c>
      <c r="B94">
        <v>19</v>
      </c>
      <c r="C94">
        <f>100*1003210/2172217</f>
        <v>46.18369159250664</v>
      </c>
      <c r="D94">
        <f>100*163864/1235925</f>
        <v>13.258409693144811</v>
      </c>
      <c r="E94">
        <f>IF(COUNT(C94:D94)=2,D94-C94,"")</f>
        <v>-32.92528189936183</v>
      </c>
      <c r="H94">
        <v>20</v>
      </c>
      <c r="I94">
        <v>19</v>
      </c>
      <c r="J94">
        <f>100*896581/2145144</f>
        <v>41.79584214393066</v>
      </c>
      <c r="K94">
        <f>100*287860/1365665</f>
        <v>21.078375736362872</v>
      </c>
      <c r="L94">
        <f>IF(COUNT(J94:K94)=2,K94-J94,"")</f>
        <v>-20.71746640756779</v>
      </c>
      <c r="O94">
        <v>20</v>
      </c>
      <c r="P94">
        <v>19</v>
      </c>
      <c r="Q94">
        <f>100*596231/1430518</f>
        <v>41.67937767997327</v>
      </c>
      <c r="R94">
        <f>100*406427/1529524</f>
        <v>26.572123091890028</v>
      </c>
      <c r="S94">
        <f>IF(COUNT(Q94:R94)=2,R94-Q94,"")</f>
        <v>-15.107254588083244</v>
      </c>
    </row>
    <row r="95" spans="1:19" x14ac:dyDescent="0.3">
      <c r="A95">
        <v>21</v>
      </c>
      <c r="B95">
        <v>20</v>
      </c>
      <c r="C95">
        <f>100*814501/1741903</f>
        <v>46.759262714399135</v>
      </c>
      <c r="D95">
        <f>100*57835/409649</f>
        <v>14.118184103952409</v>
      </c>
      <c r="E95">
        <f>IF(COUNT(C95:D95)=2,D95-C95,"")</f>
        <v>-32.641078610446726</v>
      </c>
      <c r="H95">
        <v>21</v>
      </c>
      <c r="I95">
        <v>20</v>
      </c>
      <c r="J95">
        <f>100*923720/1857736</f>
        <v>49.722888505148205</v>
      </c>
      <c r="K95">
        <f>100*336906/1651278</f>
        <v>20.40274260300204</v>
      </c>
      <c r="L95">
        <f>IF(COUNT(J95:K95)=2,K95-J95,"")</f>
        <v>-29.320145902146166</v>
      </c>
      <c r="O95">
        <v>21</v>
      </c>
      <c r="P95">
        <v>20</v>
      </c>
      <c r="Q95">
        <f>100*808426/1622789</f>
        <v>49.817074185245275</v>
      </c>
      <c r="R95">
        <f>100*400420/1515037</f>
        <v>26.42971755805304</v>
      </c>
      <c r="S95">
        <f>IF(COUNT(Q95:R95)=2,R95-Q95,"")</f>
        <v>-23.387356627192236</v>
      </c>
    </row>
    <row r="96" spans="1:19" x14ac:dyDescent="0.3">
      <c r="A96">
        <v>22</v>
      </c>
      <c r="B96">
        <v>21</v>
      </c>
      <c r="C96">
        <f>100*599877/1809045</f>
        <v>33.15987164498396</v>
      </c>
      <c r="D96">
        <f>100*132084/949548</f>
        <v>13.910197272807693</v>
      </c>
      <c r="E96">
        <f>IF(COUNT(C96:D96)=2,D96-C96,"")</f>
        <v>-19.249674372176266</v>
      </c>
      <c r="H96">
        <v>22</v>
      </c>
      <c r="I96">
        <v>21</v>
      </c>
      <c r="J96">
        <f>100*1034872/2267546</f>
        <v>45.63841262757183</v>
      </c>
      <c r="K96">
        <f>100*221082/1369344</f>
        <v>16.145103056646104</v>
      </c>
      <c r="L96">
        <f>IF(COUNT(J96:K96)=2,K96-J96,"")</f>
        <v>-29.493309570925728</v>
      </c>
      <c r="O96">
        <v>22</v>
      </c>
      <c r="P96">
        <v>21</v>
      </c>
      <c r="Q96">
        <f>100*248293/932917</f>
        <v>26.614693482914344</v>
      </c>
      <c r="R96">
        <f>100*341252/1518310</f>
        <v>22.47577899111512</v>
      </c>
      <c r="S96">
        <f>IF(COUNT(Q96:R96)=2,R96-Q96,"")</f>
        <v>-4.138914491799223</v>
      </c>
    </row>
    <row r="97" spans="1:19" x14ac:dyDescent="0.3">
      <c r="A97">
        <v>23</v>
      </c>
      <c r="B97">
        <v>22</v>
      </c>
      <c r="C97">
        <f>100*649730/1525642</f>
        <v>42.58731733919229</v>
      </c>
      <c r="D97">
        <f>100*462500/1802824</f>
        <v>25.654195861603796</v>
      </c>
      <c r="E97">
        <f>IF(COUNT(C97:D97)=2,D97-C97,"")</f>
        <v>-16.933121477588493</v>
      </c>
      <c r="H97">
        <v>23</v>
      </c>
      <c r="I97">
        <v>22</v>
      </c>
      <c r="J97">
        <f>100*954501/1934417</f>
        <v>49.34308373013678</v>
      </c>
      <c r="K97">
        <f>100*458510/1962911</f>
        <v>23.35867494756512</v>
      </c>
      <c r="L97">
        <f>IF(COUNT(J97:K97)=2,K97-J97,"")</f>
        <v>-25.984408782571663</v>
      </c>
      <c r="O97">
        <v>23</v>
      </c>
      <c r="P97">
        <v>22</v>
      </c>
      <c r="Q97">
        <f>100*491/406810</f>
        <v>0.12069516481895726</v>
      </c>
      <c r="R97">
        <f>100*2933/722476</f>
        <v>0.40596504243739584</v>
      </c>
      <c r="S97">
        <f>IF(COUNT(Q97:R97)=2,R97-Q97,"")</f>
        <v>0.2852698776184386</v>
      </c>
    </row>
    <row r="98" spans="1:19" x14ac:dyDescent="0.3">
      <c r="A98">
        <v>24</v>
      </c>
      <c r="B98">
        <v>23</v>
      </c>
      <c r="C98">
        <f>100*540481/1325139</f>
        <v>40.786740108018854</v>
      </c>
      <c r="D98">
        <f>100*263529/1350066</f>
        <v>19.519712369617487</v>
      </c>
      <c r="E98">
        <f>IF(COUNT(C98:D98)=2,D98-C98,"")</f>
        <v>-21.267027738401367</v>
      </c>
      <c r="H98">
        <v>24</v>
      </c>
      <c r="I98">
        <v>23</v>
      </c>
      <c r="J98">
        <f>100*677655/1567258</f>
        <v>43.238254326983814</v>
      </c>
      <c r="K98">
        <f>100*9183/804857</f>
        <v>1.1409480193375967</v>
      </c>
      <c r="L98">
        <f>IF(COUNT(J98:K98)=2,K98-J98,"")</f>
        <v>-42.097306307646214</v>
      </c>
      <c r="O98">
        <v>24</v>
      </c>
      <c r="P98">
        <v>23</v>
      </c>
      <c r="Q98">
        <f>100*462555/1165901</f>
        <v>39.67360865116335</v>
      </c>
      <c r="R98">
        <f>100*184167/1108768</f>
        <v>16.610057288810644</v>
      </c>
      <c r="S98">
        <f>IF(COUNT(Q98:R98)=2,R98-Q98,"")</f>
        <v>-23.063551362352705</v>
      </c>
    </row>
    <row r="99" spans="1:19" x14ac:dyDescent="0.3">
      <c r="A99">
        <v>25</v>
      </c>
      <c r="B99">
        <v>24</v>
      </c>
      <c r="C99">
        <f>100*628764/1681845</f>
        <v>37.3853714224557</v>
      </c>
      <c r="D99">
        <f>100*178209/1151245</f>
        <v>15.479676350385887</v>
      </c>
      <c r="E99">
        <f>IF(COUNT(C99:D99)=2,D99-C99,"")</f>
        <v>-21.90569507206981</v>
      </c>
      <c r="H99">
        <v>25</v>
      </c>
      <c r="I99">
        <v>24</v>
      </c>
      <c r="J99">
        <f>100*1059343/2107573</f>
        <v>50.26364448586123</v>
      </c>
      <c r="K99">
        <f>100*237052/1401836</f>
        <v>16.910109313785636</v>
      </c>
      <c r="L99">
        <f>IF(COUNT(J99:K99)=2,K99-J99,"")</f>
        <v>-33.353535172075595</v>
      </c>
      <c r="O99">
        <v>25</v>
      </c>
      <c r="P99">
        <v>24</v>
      </c>
      <c r="Q99">
        <f>100*667801/1611354</f>
        <v>41.4434692811139</v>
      </c>
      <c r="R99">
        <f>100*391605/1485165</f>
        <v>26.367777317671774</v>
      </c>
      <c r="S99">
        <f>IF(COUNT(Q99:R99)=2,R99-Q99,"")</f>
        <v>-15.075691963442125</v>
      </c>
    </row>
    <row r="100" spans="1:19" x14ac:dyDescent="0.3">
      <c r="A100">
        <v>26</v>
      </c>
      <c r="B100">
        <v>25</v>
      </c>
      <c r="C100">
        <f>100*1206228/2241810</f>
        <v>53.805987126473696</v>
      </c>
      <c r="D100">
        <f>100*277222/1618032</f>
        <v>17.133282901697864</v>
      </c>
      <c r="E100">
        <f>IF(COUNT(C100:D100)=2,D100-C100,"")</f>
        <v>-36.67270422477583</v>
      </c>
      <c r="H100">
        <v>26</v>
      </c>
      <c r="I100">
        <v>25</v>
      </c>
      <c r="J100">
        <f>100*50542/865957</f>
        <v>5.836548466032378</v>
      </c>
      <c r="K100">
        <f>100*6866/166434</f>
        <v>4.125359001165627</v>
      </c>
      <c r="L100">
        <f>IF(COUNT(J100:K100)=2,K100-J100,"")</f>
        <v>-1.7111894648667505</v>
      </c>
      <c r="O100">
        <v>26</v>
      </c>
      <c r="P100">
        <v>25</v>
      </c>
      <c r="Q100">
        <f>100*825215/1789490</f>
        <v>46.114535426294644</v>
      </c>
      <c r="R100">
        <f>100*312050/1223942</f>
        <v>25.495489165336267</v>
      </c>
      <c r="S100">
        <f>IF(COUNT(Q100:R100)=2,R100-Q100,"")</f>
        <v>-20.619046260958378</v>
      </c>
    </row>
    <row r="101" spans="1:19" x14ac:dyDescent="0.3">
      <c r="A101">
        <v>27</v>
      </c>
      <c r="B101">
        <v>26</v>
      </c>
      <c r="C101">
        <f>100*312477/1386036</f>
        <v>22.54465251984797</v>
      </c>
      <c r="D101">
        <f>100*67122/1077314</f>
        <v>6.230495473000444</v>
      </c>
      <c r="E101">
        <f>IF(COUNT(C101:D101)=2,D101-C101,"")</f>
        <v>-16.314157046847527</v>
      </c>
      <c r="H101">
        <v>27</v>
      </c>
      <c r="I101">
        <v>26</v>
      </c>
      <c r="J101">
        <f>100*307157/1210949</f>
        <v>25.36498234029674</v>
      </c>
      <c r="K101">
        <f>100*201677/1158305</f>
        <v>17.4113899188901</v>
      </c>
      <c r="L101">
        <f>IF(COUNT(J101:K101)=2,K101-J101,"")</f>
        <v>-7.95359242140664</v>
      </c>
      <c r="O101">
        <v>27</v>
      </c>
      <c r="P101">
        <v>26</v>
      </c>
      <c r="Q101">
        <f>100*889999/1746112</f>
        <v>50.9703272184144</v>
      </c>
      <c r="R101">
        <f>100*375295/1567479</f>
        <v>23.94258551470227</v>
      </c>
      <c r="S101">
        <f>IF(COUNT(Q101:R101)=2,R101-Q101,"")</f>
        <v>-27.027741703712127</v>
      </c>
    </row>
    <row r="102" spans="1:19" x14ac:dyDescent="0.3">
      <c r="A102">
        <v>28</v>
      </c>
      <c r="B102">
        <v>27</v>
      </c>
      <c r="C102">
        <f>100*803250/1998379</f>
        <v>40.19507811080881</v>
      </c>
      <c r="D102">
        <f>100*318829/1618356</f>
        <v>19.700795127895223</v>
      </c>
      <c r="E102">
        <f>IF(COUNT(C102:D102)=2,D102-C102,"")</f>
        <v>-20.494282982913585</v>
      </c>
      <c r="H102">
        <v>28</v>
      </c>
      <c r="I102">
        <v>27</v>
      </c>
      <c r="J102">
        <f>100*499214/1645125</f>
        <v>30.345049768254693</v>
      </c>
      <c r="K102">
        <f>100*522355/2071405</f>
        <v>25.217424887938378</v>
      </c>
      <c r="L102">
        <f>IF(COUNT(J102:K102)=2,K102-J102,"")</f>
        <v>-5.127624880316315</v>
      </c>
      <c r="O102">
        <v>28</v>
      </c>
      <c r="P102">
        <v>27</v>
      </c>
      <c r="Q102">
        <f>100*1300/408366</f>
        <v>0.3183418795884084</v>
      </c>
      <c r="R102">
        <f>100*420/401896</f>
        <v>0.1045046479686287</v>
      </c>
      <c r="S102">
        <f>IF(COUNT(Q102:R102)=2,R102-Q102,"")</f>
        <v>-0.21383723161977974</v>
      </c>
    </row>
    <row r="103" spans="1:19" x14ac:dyDescent="0.3">
      <c r="A103">
        <v>29</v>
      </c>
      <c r="B103">
        <v>28</v>
      </c>
      <c r="C103">
        <f>100*764531/1746891</f>
        <v>43.76523778529971</v>
      </c>
      <c r="D103">
        <f>100*349579/1615106</f>
        <v>21.644337894850246</v>
      </c>
      <c r="E103">
        <f>IF(COUNT(C103:D103)=2,D103-C103,"")</f>
        <v>-22.120899890449465</v>
      </c>
      <c r="H103">
        <v>29</v>
      </c>
      <c r="I103">
        <v>28</v>
      </c>
      <c r="J103">
        <f>100*1050807/2150575</f>
        <v>48.86167652837032</v>
      </c>
      <c r="K103">
        <f>100*553815/2216548</f>
        <v>24.985472906519508</v>
      </c>
      <c r="L103">
        <f>IF(COUNT(J103:K103)=2,K103-J103,"")</f>
        <v>-23.87620362185081</v>
      </c>
      <c r="O103">
        <v>29</v>
      </c>
      <c r="P103">
        <v>28</v>
      </c>
      <c r="Q103">
        <f>100*827171/1762089</f>
        <v>46.94263456613145</v>
      </c>
      <c r="R103">
        <f>100*567225/1903471</f>
        <v>29.799508371811285</v>
      </c>
      <c r="S103">
        <f>IF(COUNT(Q103:R103)=2,R103-Q103,"")</f>
        <v>-17.143126194320168</v>
      </c>
    </row>
    <row r="104" spans="1:19" x14ac:dyDescent="0.3">
      <c r="A104">
        <v>30</v>
      </c>
      <c r="B104">
        <v>29</v>
      </c>
      <c r="C104">
        <f>100*7364/541662</f>
        <v>1.3595194050902593</v>
      </c>
      <c r="D104">
        <f>100*3880/528756</f>
        <v>0.7337978197883334</v>
      </c>
      <c r="E104">
        <f>IF(COUNT(C104:D104)=2,D104-C104,"")</f>
        <v>-0.6257215853019259</v>
      </c>
      <c r="H104">
        <v>30</v>
      </c>
      <c r="I104">
        <v>29</v>
      </c>
      <c r="J104">
        <f>100*410139/1282634</f>
        <v>31.976308128429466</v>
      </c>
      <c r="K104">
        <f>100*27631/885968</f>
        <v>3.118735665396493</v>
      </c>
      <c r="L104">
        <f>IF(COUNT(J104:K104)=2,K104-J104,"")</f>
        <v>-28.857572463032973</v>
      </c>
      <c r="O104">
        <v>30</v>
      </c>
      <c r="P104">
        <v>29</v>
      </c>
      <c r="Q104">
        <f>100*806811/1713643</f>
        <v>47.08162668653856</v>
      </c>
      <c r="R104">
        <f>100*251876/1310968</f>
        <v>19.212978501382185</v>
      </c>
      <c r="S104">
        <f>IF(COUNT(Q104:R104)=2,R104-Q104,"")</f>
        <v>-27.868648185156378</v>
      </c>
    </row>
    <row r="105" spans="1:19" x14ac:dyDescent="0.3">
      <c r="A105">
        <v>31</v>
      </c>
      <c r="B105">
        <v>30</v>
      </c>
      <c r="C105">
        <f>100*859640/1902385</f>
        <v>45.187488337008546</v>
      </c>
      <c r="D105">
        <f>100*161168/1118364</f>
        <v>14.411050427231206</v>
      </c>
      <c r="E105">
        <f>IF(COUNT(C105:D105)=2,D105-C105,"")</f>
        <v>-30.77643790977734</v>
      </c>
      <c r="H105">
        <v>31</v>
      </c>
      <c r="I105">
        <v>30</v>
      </c>
      <c r="J105">
        <f>100*349588/1410455</f>
        <v>24.785477026916848</v>
      </c>
      <c r="K105">
        <f>100*418087/1855582</f>
        <v>22.531313625590247</v>
      </c>
      <c r="L105">
        <f>IF(COUNT(J105:K105)=2,K105-J105,"")</f>
        <v>-2.2541634013266005</v>
      </c>
      <c r="O105">
        <v>31</v>
      </c>
      <c r="P105">
        <v>30</v>
      </c>
      <c r="Q105">
        <f>100*267010/983366</f>
        <v>27.15265730155405</v>
      </c>
      <c r="R105">
        <f>100*13588/814788</f>
        <v>1.6676730634226327</v>
      </c>
      <c r="S105">
        <f>IF(COUNT(Q105:R105)=2,R105-Q105,"")</f>
        <v>-25.484984238131418</v>
      </c>
    </row>
    <row r="106" spans="1:19" x14ac:dyDescent="0.3">
      <c r="A106" t="s">
        <v>5</v>
      </c>
      <c r="C106">
        <f>IF(COUNT(C75:C105)&gt;0,AVERAGE(C75:C105),"")</f>
        <v>34.096955178849896</v>
      </c>
      <c r="D106">
        <f>IF(COUNT(D75:D105)&gt;0,AVERAGE(D75:D105),"")</f>
        <v>14.826521310919121</v>
      </c>
      <c r="E106">
        <f>IF(COUNT(E75:E105)&gt;0,AVERAGE(E75:E105),"")</f>
        <v>-19.27043386793077</v>
      </c>
      <c r="H106" t="s">
        <v>5</v>
      </c>
      <c r="J106">
        <f>IF(COUNT(J75:J105)&gt;0,AVERAGE(J75:J105),"")</f>
        <v>36.69157069983473</v>
      </c>
      <c r="K106">
        <f>IF(COUNT(K75:K105)&gt;0,AVERAGE(K75:K105),"")</f>
        <v>14.308797126224276</v>
      </c>
      <c r="L106">
        <f>IF(COUNT(L75:L105)&gt;0,AVERAGE(L75:L105),"")</f>
        <v>-22.40884523566001</v>
      </c>
      <c r="O106" t="s">
        <v>5</v>
      </c>
      <c r="Q106">
        <f>IF(COUNT(Q75:Q105)&gt;0,AVERAGE(Q75:Q105),"")</f>
        <v>33.786792028213014</v>
      </c>
      <c r="R106">
        <f>IF(COUNT(R75:R105)&gt;0,AVERAGE(R75:R105),"")</f>
        <v>18.04959885891836</v>
      </c>
      <c r="S106">
        <f>IF(COUNT(S75:S105)&gt;0,AVERAGE(S75:S105),"")</f>
        <v>-15.73719316929465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DF8F6-3B8D-4726-8776-C031942D7746}">
  <dimension ref="A1:S106"/>
  <sheetViews>
    <sheetView topLeftCell="A58" workbookViewId="0">
      <selection activeCell="A73" sqref="A73:XFD73"/>
    </sheetView>
  </sheetViews>
  <sheetFormatPr defaultRowHeight="16.5" x14ac:dyDescent="0.3"/>
  <sheetData>
    <row r="1" spans="1:19" s="2" customFormat="1" ht="17.25" customHeight="1" x14ac:dyDescent="0.3">
      <c r="A1" s="1" t="s">
        <v>6</v>
      </c>
      <c r="B1" s="1"/>
      <c r="C1" s="1"/>
      <c r="D1" s="1"/>
      <c r="E1" s="1"/>
      <c r="H1" s="1" t="s">
        <v>7</v>
      </c>
      <c r="I1" s="1"/>
      <c r="J1" s="1"/>
      <c r="K1" s="1"/>
      <c r="L1" s="1"/>
      <c r="O1" s="1" t="s">
        <v>8</v>
      </c>
      <c r="P1" s="1"/>
      <c r="Q1" s="1"/>
      <c r="R1" s="1"/>
      <c r="S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3">
      <c r="A3">
        <v>1</v>
      </c>
      <c r="B3">
        <v>0</v>
      </c>
      <c r="C3">
        <f>100*332764/1052174</f>
        <v>31.626327964766283</v>
      </c>
      <c r="D3">
        <f>100*154396/845762</f>
        <v>18.25525384209742</v>
      </c>
      <c r="E3">
        <f>IF(COUNT(C3:D3)=2,D3-C3,"")</f>
        <v>-13.371074122668862</v>
      </c>
      <c r="H3">
        <v>1</v>
      </c>
      <c r="I3">
        <v>0</v>
      </c>
      <c r="J3">
        <f>100*291815/1145550</f>
        <v>25.47378988258915</v>
      </c>
      <c r="K3">
        <f>100*116068/926717</f>
        <v>12.524643445625795</v>
      </c>
      <c r="L3">
        <f>IF(COUNT(J3:K3)=2,K3-J3,"")</f>
        <v>-12.949146436963353</v>
      </c>
      <c r="O3">
        <v>1</v>
      </c>
      <c r="P3">
        <v>0</v>
      </c>
      <c r="Q3">
        <f>100*208586/733698</f>
        <v>28.429408285152746</v>
      </c>
      <c r="R3">
        <f>100*52092/512415</f>
        <v>10.165978747694739</v>
      </c>
      <c r="S3">
        <f>IF(COUNT(Q3:R3)=2,R3-Q3,"")</f>
        <v>-18.26342953745801</v>
      </c>
    </row>
    <row r="4" spans="1:19" x14ac:dyDescent="0.3">
      <c r="A4">
        <v>2</v>
      </c>
      <c r="B4">
        <v>1</v>
      </c>
      <c r="C4">
        <f>100*356409/1118920</f>
        <v>31.852947485074893</v>
      </c>
      <c r="D4">
        <f>100*178269/1023840</f>
        <v>17.41180262541022</v>
      </c>
      <c r="E4">
        <f>IF(COUNT(C4:D4)=2,D4-C4,"")</f>
        <v>-14.441144859664671</v>
      </c>
      <c r="H4">
        <v>2</v>
      </c>
      <c r="I4">
        <v>1</v>
      </c>
      <c r="J4">
        <f>100*130334/783729</f>
        <v>16.629983068126865</v>
      </c>
      <c r="K4">
        <f>100*126874/871447</f>
        <v>14.559003588284773</v>
      </c>
      <c r="L4">
        <f>IF(COUNT(J4:K4)=2,K4-J4,"")</f>
        <v>-2.0709794798420926</v>
      </c>
      <c r="O4">
        <v>2</v>
      </c>
      <c r="P4">
        <v>1</v>
      </c>
      <c r="Q4">
        <f>100*510455/1451156</f>
        <v>35.17574954036644</v>
      </c>
      <c r="R4">
        <f>100*192859/920971</f>
        <v>20.94083309897923</v>
      </c>
      <c r="S4">
        <f>IF(COUNT(Q4:R4)=2,R4-Q4,"")</f>
        <v>-14.23491644138721</v>
      </c>
    </row>
    <row r="5" spans="1:19" x14ac:dyDescent="0.3">
      <c r="A5">
        <v>3</v>
      </c>
      <c r="B5">
        <v>2</v>
      </c>
      <c r="C5">
        <f>100*397332/1270809</f>
        <v>31.266067520768267</v>
      </c>
      <c r="D5">
        <f>100*80981/689023</f>
        <v>11.75301840432032</v>
      </c>
      <c r="E5">
        <f>IF(COUNT(C5:D5)=2,D5-C5,"")</f>
        <v>-19.513049116447945</v>
      </c>
      <c r="H5">
        <v>3</v>
      </c>
      <c r="I5">
        <v>2</v>
      </c>
      <c r="J5">
        <f>100*147851/1441835</f>
        <v>10.25436336335295</v>
      </c>
      <c r="K5">
        <f>100*85058/724846</f>
        <v>11.73463052841569</v>
      </c>
      <c r="L5">
        <f>IF(COUNT(J5:K5)=2,K5-J5,"")</f>
        <v>1.4802671650627417</v>
      </c>
      <c r="O5">
        <v>3</v>
      </c>
      <c r="P5">
        <v>2</v>
      </c>
      <c r="Q5">
        <f>100*480143/1280935</f>
        <v>37.48379113694293</v>
      </c>
      <c r="R5">
        <f>100*74899/627568</f>
        <v>11.934802284373964</v>
      </c>
      <c r="S5">
        <f>IF(COUNT(Q5:R5)=2,R5-Q5,"")</f>
        <v>-25.548988852568968</v>
      </c>
    </row>
    <row r="6" spans="1:19" x14ac:dyDescent="0.3">
      <c r="A6">
        <v>4</v>
      </c>
      <c r="B6">
        <v>3</v>
      </c>
      <c r="C6">
        <f>100*16403/519550</f>
        <v>3.1571552304879225</v>
      </c>
      <c r="D6">
        <f>100*42516/547933</f>
        <v>7.7593428393617465</v>
      </c>
      <c r="E6">
        <f>IF(COUNT(C6:D6)=2,D6-C6,"")</f>
        <v>4.602187608873824</v>
      </c>
      <c r="H6">
        <v>4</v>
      </c>
      <c r="I6">
        <v>3</v>
      </c>
      <c r="J6">
        <f>100*123870/784417</f>
        <v>15.791345674558302</v>
      </c>
      <c r="K6">
        <f>100*44885/565569</f>
        <v>7.936255346385675</v>
      </c>
      <c r="L6">
        <f>IF(COUNT(J6:K6)=2,K6-J6,"")</f>
        <v>-7.855090328172627</v>
      </c>
      <c r="O6">
        <v>4</v>
      </c>
      <c r="P6">
        <v>3</v>
      </c>
      <c r="Q6">
        <f>100*450191/1211277</f>
        <v>37.16664313777939</v>
      </c>
      <c r="R6">
        <f>100*113194/768195</f>
        <v>14.735060759312415</v>
      </c>
      <c r="S6">
        <f>IF(COUNT(Q6:R6)=2,R6-Q6,"")</f>
        <v>-22.431582378466974</v>
      </c>
    </row>
    <row r="7" spans="1:19" x14ac:dyDescent="0.3">
      <c r="A7">
        <v>5</v>
      </c>
      <c r="B7">
        <v>4</v>
      </c>
      <c r="C7">
        <f>100*497044/1286267</f>
        <v>38.64236585405674</v>
      </c>
      <c r="D7">
        <f>100*155031/1016564</f>
        <v>15.250490869241878</v>
      </c>
      <c r="E7">
        <f>IF(COUNT(C7:D7)=2,D7-C7,"")</f>
        <v>-23.391874984814862</v>
      </c>
      <c r="H7">
        <v>5</v>
      </c>
      <c r="I7">
        <v>4</v>
      </c>
      <c r="J7">
        <f>100*342477/1148710</f>
        <v>29.814052284736793</v>
      </c>
      <c r="K7">
        <f>100*137137/891704</f>
        <v>15.379206552847133</v>
      </c>
      <c r="L7">
        <f>IF(COUNT(J7:K7)=2,K7-J7,"")</f>
        <v>-14.43484573188966</v>
      </c>
      <c r="O7">
        <v>5</v>
      </c>
      <c r="P7">
        <v>4</v>
      </c>
      <c r="Q7">
        <f>100*389359/1092762</f>
        <v>35.63072288384845</v>
      </c>
      <c r="R7">
        <f>100*7044/434971</f>
        <v>1.6194183060479894</v>
      </c>
      <c r="S7">
        <f>IF(COUNT(Q7:R7)=2,R7-Q7,"")</f>
        <v>-34.01130457780046</v>
      </c>
    </row>
    <row r="8" spans="1:19" x14ac:dyDescent="0.3">
      <c r="A8">
        <v>6</v>
      </c>
      <c r="B8">
        <v>5</v>
      </c>
      <c r="C8">
        <f>100*295084/1125005</f>
        <v>26.229572313011943</v>
      </c>
      <c r="D8">
        <f>100*81460/856675</f>
        <v>9.508856917734263</v>
      </c>
      <c r="E8">
        <f>IF(COUNT(C8:D8)=2,D8-C8,"")</f>
        <v>-16.72071539527768</v>
      </c>
      <c r="H8">
        <v>6</v>
      </c>
      <c r="I8">
        <v>5</v>
      </c>
      <c r="J8">
        <f>100*246415/1039225</f>
        <v>23.71141956746614</v>
      </c>
      <c r="K8">
        <f>100*66624/608793</f>
        <v>10.943621230861721</v>
      </c>
      <c r="L8">
        <f>IF(COUNT(J8:K8)=2,K8-J8,"")</f>
        <v>-12.76779833660442</v>
      </c>
      <c r="O8">
        <v>6</v>
      </c>
      <c r="P8">
        <v>5</v>
      </c>
      <c r="Q8">
        <f>100*269836/994553</f>
        <v>27.131384652200538</v>
      </c>
      <c r="R8">
        <f>100*80019/640774</f>
        <v>12.487866236769907</v>
      </c>
      <c r="S8">
        <f>IF(COUNT(Q8:R8)=2,R8-Q8,"")</f>
        <v>-14.64351841543063</v>
      </c>
    </row>
    <row r="9" spans="1:19" x14ac:dyDescent="0.3">
      <c r="A9">
        <v>7</v>
      </c>
      <c r="B9">
        <v>6</v>
      </c>
      <c r="C9">
        <f>100*240424/851852</f>
        <v>28.223682048055295</v>
      </c>
      <c r="D9">
        <f>100*8499/441021</f>
        <v>1.927119116776752</v>
      </c>
      <c r="E9">
        <f>IF(COUNT(C9:D9)=2,D9-C9,"")</f>
        <v>-26.296562931278544</v>
      </c>
      <c r="H9">
        <v>7</v>
      </c>
      <c r="I9">
        <v>6</v>
      </c>
      <c r="J9">
        <f>100*3261/356727</f>
        <v>0.9141444297740289</v>
      </c>
      <c r="K9">
        <f>100*3837/321485</f>
        <v>1.1935238035989237</v>
      </c>
      <c r="L9">
        <f>IF(COUNT(J9:K9)=2,K9-J9,"")</f>
        <v>0.27937937382489486</v>
      </c>
      <c r="O9">
        <v>7</v>
      </c>
      <c r="P9">
        <v>6</v>
      </c>
      <c r="Q9">
        <f>100*460466/1246393</f>
        <v>36.94388527535055</v>
      </c>
      <c r="R9">
        <f>100*111944/731004</f>
        <v>15.31373289339046</v>
      </c>
      <c r="S9">
        <f>IF(COUNT(Q9:R9)=2,R9-Q9,"")</f>
        <v>-21.630152381960094</v>
      </c>
    </row>
    <row r="10" spans="1:19" x14ac:dyDescent="0.3">
      <c r="A10">
        <v>8</v>
      </c>
      <c r="B10">
        <v>7</v>
      </c>
      <c r="C10">
        <f>100*3447/313581</f>
        <v>1.09923751757919</v>
      </c>
      <c r="D10">
        <f>100*2355/322749</f>
        <v>0.7296691856520082</v>
      </c>
      <c r="E10">
        <f>IF(COUNT(C10:D10)=2,D10-C10,"")</f>
        <v>-0.36956833192718175</v>
      </c>
      <c r="H10">
        <v>8</v>
      </c>
      <c r="I10">
        <v>7</v>
      </c>
      <c r="J10">
        <f>100*275/278589</f>
        <v>0.09871172228623527</v>
      </c>
      <c r="K10">
        <f>100*12828/594954</f>
        <v>2.1561330791960387</v>
      </c>
      <c r="L10">
        <f>IF(COUNT(J10:K10)=2,K10-J10,"")</f>
        <v>2.057421356909803</v>
      </c>
      <c r="O10">
        <v>8</v>
      </c>
      <c r="P10">
        <v>7</v>
      </c>
      <c r="Q10">
        <f>100*631465/1523952</f>
        <v>41.43601635747058</v>
      </c>
      <c r="R10">
        <f>100*165123/927739</f>
        <v>17.79843253328792</v>
      </c>
      <c r="S10">
        <f>IF(COUNT(Q10:R10)=2,R10-Q10,"")</f>
        <v>-23.63758382418266</v>
      </c>
    </row>
    <row r="11" spans="1:19" x14ac:dyDescent="0.3">
      <c r="A11">
        <v>9</v>
      </c>
      <c r="B11">
        <v>8</v>
      </c>
      <c r="C11">
        <f>100*328851/1096172</f>
        <v>29.999945264064397</v>
      </c>
      <c r="D11">
        <f>100*231218/1169758</f>
        <v>19.766310638610722</v>
      </c>
      <c r="E11">
        <f>IF(COUNT(C11:D11)=2,D11-C11,"")</f>
        <v>-10.233634625453675</v>
      </c>
      <c r="H11">
        <v>9</v>
      </c>
      <c r="I11">
        <v>8</v>
      </c>
      <c r="J11">
        <f>100*382533/1287826</f>
        <v>29.70377985845914</v>
      </c>
      <c r="K11">
        <f>100*336400/1396958</f>
        <v>24.080895774962453</v>
      </c>
      <c r="L11">
        <f>IF(COUNT(J11:K11)=2,K11-J11,"")</f>
        <v>-5.622884083496686</v>
      </c>
      <c r="O11">
        <v>9</v>
      </c>
      <c r="P11">
        <v>8</v>
      </c>
      <c r="Q11">
        <f>100*511514/1411309</f>
        <v>36.24394090875917</v>
      </c>
      <c r="R11">
        <f>100*249420/1087741</f>
        <v>22.930090894799406</v>
      </c>
      <c r="S11">
        <f>IF(COUNT(Q11:R11)=2,R11-Q11,"")</f>
        <v>-13.313850013959765</v>
      </c>
    </row>
    <row r="12" spans="1:19" x14ac:dyDescent="0.3">
      <c r="A12">
        <v>10</v>
      </c>
      <c r="B12">
        <v>9</v>
      </c>
      <c r="C12">
        <f>100*147882/738636</f>
        <v>20.0209575487791</v>
      </c>
      <c r="D12">
        <f>100*42677/583524</f>
        <v>7.31366661868235</v>
      </c>
      <c r="E12">
        <f>IF(COUNT(C12:D12)=2,D12-C12,"")</f>
        <v>-12.70729093009675</v>
      </c>
      <c r="H12">
        <v>10</v>
      </c>
      <c r="I12">
        <v>9</v>
      </c>
      <c r="J12">
        <f>100*179400/747366</f>
        <v>24.00430311253121</v>
      </c>
      <c r="K12">
        <f>100*37375/471839</f>
        <v>7.921134115662334</v>
      </c>
      <c r="L12">
        <f>IF(COUNT(J12:K12)=2,K12-J12,"")</f>
        <v>-16.083168996868878</v>
      </c>
      <c r="O12">
        <v>10</v>
      </c>
      <c r="P12">
        <v>9</v>
      </c>
      <c r="Q12">
        <f>100*361827/1149672</f>
        <v>31.47219380832098</v>
      </c>
      <c r="R12">
        <f>100*17254/557077</f>
        <v>3.0972379042753517</v>
      </c>
      <c r="S12">
        <f>IF(COUNT(Q12:R12)=2,R12-Q12,"")</f>
        <v>-28.374955904045628</v>
      </c>
    </row>
    <row r="13" spans="1:19" x14ac:dyDescent="0.3">
      <c r="A13">
        <v>11</v>
      </c>
      <c r="B13">
        <v>10</v>
      </c>
      <c r="C13">
        <f>100*4137/540292</f>
        <v>0.7656970675116419</v>
      </c>
      <c r="D13">
        <f>100*104799/843588</f>
        <v>12.423007439650636</v>
      </c>
      <c r="E13">
        <f>IF(COUNT(C13:D13)=2,D13-C13,"")</f>
        <v>11.657310372138994</v>
      </c>
      <c r="H13">
        <v>11</v>
      </c>
      <c r="I13">
        <v>10</v>
      </c>
      <c r="J13">
        <f>100*29717/602395</f>
        <v>4.933141875347571</v>
      </c>
      <c r="K13">
        <f>100*64488/743464</f>
        <v>8.673990939709253</v>
      </c>
      <c r="L13">
        <f>IF(COUNT(J13:K13)=2,K13-J13,"")</f>
        <v>3.740849064361681</v>
      </c>
      <c r="O13">
        <v>11</v>
      </c>
      <c r="P13">
        <v>10</v>
      </c>
      <c r="Q13">
        <f>100*314083/1092488</f>
        <v>28.749331800440828</v>
      </c>
      <c r="R13">
        <f>100*84111/707781</f>
        <v>11.88376065477881</v>
      </c>
      <c r="S13">
        <f>IF(COUNT(Q13:R13)=2,R13-Q13,"")</f>
        <v>-16.865571145662017</v>
      </c>
    </row>
    <row r="14" spans="1:19" x14ac:dyDescent="0.3">
      <c r="A14">
        <v>12</v>
      </c>
      <c r="B14">
        <v>11</v>
      </c>
      <c r="C14">
        <f>100*469865/1292144</f>
        <v>36.363207196721106</v>
      </c>
      <c r="D14">
        <f>100*54913/670022</f>
        <v>8.195701036682378</v>
      </c>
      <c r="E14">
        <f>IF(COUNT(C14:D14)=2,D14-C14,"")</f>
        <v>-28.167506160038727</v>
      </c>
      <c r="H14">
        <v>12</v>
      </c>
      <c r="I14">
        <v>11</v>
      </c>
      <c r="J14">
        <f>100*17227/518447</f>
        <v>3.3228083102033574</v>
      </c>
      <c r="K14">
        <f>100*10249/587428</f>
        <v>1.7447244598486964</v>
      </c>
      <c r="L14">
        <f>IF(COUNT(J14:K14)=2,K14-J14,"")</f>
        <v>-1.578083850354661</v>
      </c>
      <c r="O14">
        <v>12</v>
      </c>
      <c r="P14">
        <v>11</v>
      </c>
      <c r="Q14">
        <f>100*438660/1271352</f>
        <v>34.5034262737621</v>
      </c>
      <c r="R14">
        <f>100*226740/1108273</f>
        <v>20.458858061145584</v>
      </c>
      <c r="S14">
        <f>IF(COUNT(Q14:R14)=2,R14-Q14,"")</f>
        <v>-14.044568212616518</v>
      </c>
    </row>
    <row r="15" spans="1:19" x14ac:dyDescent="0.3">
      <c r="A15">
        <v>13</v>
      </c>
      <c r="B15">
        <v>12</v>
      </c>
      <c r="C15">
        <f>100*47266/521892</f>
        <v>9.0566630643888</v>
      </c>
      <c r="D15">
        <f>100*41691/528819</f>
        <v>7.883793887889808</v>
      </c>
      <c r="E15">
        <f>IF(COUNT(C15:D15)=2,D15-C15,"")</f>
        <v>-1.1728691764989927</v>
      </c>
      <c r="H15">
        <v>13</v>
      </c>
      <c r="I15">
        <v>12</v>
      </c>
      <c r="J15">
        <f>100*544142/1461712</f>
        <v>37.22634828201451</v>
      </c>
      <c r="K15">
        <f>100*102822/723571</f>
        <v>14.21035392518495</v>
      </c>
      <c r="L15">
        <f>IF(COUNT(J15:K15)=2,K15-J15,"")</f>
        <v>-23.015994356829562</v>
      </c>
      <c r="O15">
        <v>13</v>
      </c>
      <c r="P15">
        <v>12</v>
      </c>
      <c r="Q15">
        <f>100*357555/1108932</f>
        <v>32.243185335079154</v>
      </c>
      <c r="R15">
        <f>100*33430/575835</f>
        <v>5.8054824732779355</v>
      </c>
      <c r="S15">
        <f>IF(COUNT(Q15:R15)=2,R15-Q15,"")</f>
        <v>-26.43770286180122</v>
      </c>
    </row>
    <row r="16" spans="1:19" x14ac:dyDescent="0.3">
      <c r="A16">
        <v>14</v>
      </c>
      <c r="B16">
        <v>13</v>
      </c>
      <c r="C16">
        <f>100*7402/385878</f>
        <v>1.9182228580017517</v>
      </c>
      <c r="D16">
        <f>100*31468/413854</f>
        <v>7.603647663185568</v>
      </c>
      <c r="E16">
        <f>IF(COUNT(C16:D16)=2,D16-C16,"")</f>
        <v>5.685424805183817</v>
      </c>
      <c r="H16">
        <v>14</v>
      </c>
      <c r="I16">
        <v>13</v>
      </c>
      <c r="J16">
        <f>100*181558/818931</f>
        <v>22.170121780711685</v>
      </c>
      <c r="K16">
        <f>100*404/115812</f>
        <v>0.3488412254343246</v>
      </c>
      <c r="L16">
        <f>IF(COUNT(J16:K16)=2,K16-J16,"")</f>
        <v>-21.82128055527736</v>
      </c>
      <c r="O16">
        <v>14</v>
      </c>
      <c r="P16">
        <v>13</v>
      </c>
      <c r="Q16">
        <f>100*131266/578543</f>
        <v>22.689065462722738</v>
      </c>
      <c r="R16">
        <f>100*943/460101</f>
        <v>0.20495499901108669</v>
      </c>
      <c r="S16">
        <f>IF(COUNT(Q16:R16)=2,R16-Q16,"")</f>
        <v>-22.48411046371165</v>
      </c>
    </row>
    <row r="17" spans="1:19" x14ac:dyDescent="0.3">
      <c r="A17">
        <v>15</v>
      </c>
      <c r="B17">
        <v>14</v>
      </c>
      <c r="C17">
        <f>100*405804/1241849</f>
        <v>32.67740280823192</v>
      </c>
      <c r="D17">
        <f>100*175796/977109</f>
        <v>17.99144210113713</v>
      </c>
      <c r="E17">
        <f>IF(COUNT(C17:D17)=2,D17-C17,"")</f>
        <v>-14.685960707094786</v>
      </c>
      <c r="H17">
        <v>15</v>
      </c>
      <c r="I17">
        <v>14</v>
      </c>
      <c r="J17">
        <f>100*610081/1573211</f>
        <v>38.779350004544845</v>
      </c>
      <c r="K17">
        <f>100*82472/735997</f>
        <v>11.205480457121428</v>
      </c>
      <c r="L17">
        <f>IF(COUNT(J17:K17)=2,K17-J17,"")</f>
        <v>-27.573869547423417</v>
      </c>
      <c r="O17">
        <v>15</v>
      </c>
      <c r="P17">
        <v>14</v>
      </c>
      <c r="Q17">
        <f>100*384174/1163453</f>
        <v>33.020156379329464</v>
      </c>
      <c r="R17">
        <f>100*221020/1063869</f>
        <v>20.775114229289507</v>
      </c>
      <c r="S17">
        <f>IF(COUNT(Q17:R17)=2,R17-Q17,"")</f>
        <v>-12.245042150039957</v>
      </c>
    </row>
    <row r="18" spans="1:19" x14ac:dyDescent="0.3">
      <c r="A18">
        <v>16</v>
      </c>
      <c r="B18">
        <v>15</v>
      </c>
      <c r="C18">
        <f>100*397150/1193789</f>
        <v>33.26802307610474</v>
      </c>
      <c r="D18">
        <f>100*84771/622831</f>
        <v>13.610594206132964</v>
      </c>
      <c r="E18">
        <f>IF(COUNT(C18:D18)=2,D18-C18,"")</f>
        <v>-19.657428869971774</v>
      </c>
      <c r="H18">
        <v>16</v>
      </c>
      <c r="I18">
        <v>15</v>
      </c>
      <c r="J18">
        <f>100*311472/1035367</f>
        <v>30.083245844227218</v>
      </c>
      <c r="K18">
        <f>100*40133/719309</f>
        <v>5.579382435087007</v>
      </c>
      <c r="L18">
        <f>IF(COUNT(J18:K18)=2,K18-J18,"")</f>
        <v>-24.50386340914021</v>
      </c>
      <c r="O18">
        <v>16</v>
      </c>
      <c r="P18">
        <v>15</v>
      </c>
      <c r="Q18">
        <f>100*403580/1172064</f>
        <v>34.43327326835394</v>
      </c>
      <c r="R18">
        <f>100*233176/1052760</f>
        <v>22.149017819825982</v>
      </c>
      <c r="S18">
        <f>IF(COUNT(Q18:R18)=2,R18-Q18,"")</f>
        <v>-12.284255448527961</v>
      </c>
    </row>
    <row r="19" spans="1:19" x14ac:dyDescent="0.3">
      <c r="A19">
        <v>17</v>
      </c>
      <c r="B19">
        <v>16</v>
      </c>
      <c r="C19">
        <f>100*170884/804109</f>
        <v>21.251347765041803</v>
      </c>
      <c r="D19">
        <f>100*111605/763662</f>
        <v>14.614449848231285</v>
      </c>
      <c r="E19">
        <f>IF(COUNT(C19:D19)=2,D19-C19,"")</f>
        <v>-6.636897916810518</v>
      </c>
      <c r="H19">
        <v>17</v>
      </c>
      <c r="I19">
        <v>16</v>
      </c>
      <c r="J19">
        <f>100*547667/1465339</f>
        <v>37.37476447429571</v>
      </c>
      <c r="K19">
        <f>100*188761/983568</f>
        <v>19.191453971662355</v>
      </c>
      <c r="L19">
        <f>IF(COUNT(J19:K19)=2,K19-J19,"")</f>
        <v>-18.183310502633354</v>
      </c>
      <c r="O19">
        <v>17</v>
      </c>
      <c r="P19">
        <v>16</v>
      </c>
      <c r="Q19">
        <f>100*34194/375756</f>
        <v>9.10005429055025</v>
      </c>
      <c r="R19">
        <f>100*15018/333576</f>
        <v>4.502122454852867</v>
      </c>
      <c r="S19">
        <f>IF(COUNT(Q19:R19)=2,R19-Q19,"")</f>
        <v>-4.597931835697383</v>
      </c>
    </row>
    <row r="20" spans="1:19" x14ac:dyDescent="0.3">
      <c r="A20">
        <v>18</v>
      </c>
      <c r="B20">
        <v>17</v>
      </c>
      <c r="C20">
        <f>100*269013/913065</f>
        <v>29.462634095053474</v>
      </c>
      <c r="D20">
        <f>100*25171/516586</f>
        <v>4.872567200814578</v>
      </c>
      <c r="E20">
        <f>IF(COUNT(C20:D20)=2,D20-C20,"")</f>
        <v>-24.590066894238895</v>
      </c>
      <c r="H20">
        <v>18</v>
      </c>
      <c r="I20">
        <v>17</v>
      </c>
      <c r="J20">
        <f>100*246590/976020</f>
        <v>25.264851130099792</v>
      </c>
      <c r="K20">
        <f>100*31817/554567</f>
        <v>5.73726889627403</v>
      </c>
      <c r="L20">
        <f>IF(COUNT(J20:K20)=2,K20-J20,"")</f>
        <v>-19.52758223382576</v>
      </c>
      <c r="O20">
        <v>18</v>
      </c>
      <c r="P20">
        <v>17</v>
      </c>
      <c r="Q20">
        <f>100*2176/318434</f>
        <v>0.6833441152640736</v>
      </c>
      <c r="R20">
        <f>100*5369/328773</f>
        <v>1.6330416427139698</v>
      </c>
      <c r="S20">
        <f>IF(COUNT(Q20:R20)=2,R20-Q20,"")</f>
        <v>0.9496975274498962</v>
      </c>
    </row>
    <row r="21" spans="1:19" x14ac:dyDescent="0.3">
      <c r="A21">
        <v>19</v>
      </c>
      <c r="B21">
        <v>18</v>
      </c>
      <c r="C21">
        <f>100*130405/675745</f>
        <v>19.297960029300995</v>
      </c>
      <c r="D21">
        <f>100*56980/572845</f>
        <v>9.946844259791042</v>
      </c>
      <c r="E21">
        <f>IF(COUNT(C21:D21)=2,D21-C21,"")</f>
        <v>-9.351115769509953</v>
      </c>
      <c r="H21">
        <v>19</v>
      </c>
      <c r="I21">
        <v>18</v>
      </c>
      <c r="J21">
        <f>100*94163/608895</f>
        <v>15.464571067261186</v>
      </c>
      <c r="K21">
        <f>100*75250/670176</f>
        <v>11.228393735376976</v>
      </c>
      <c r="L21">
        <f>IF(COUNT(J21:K21)=2,K21-J21,"")</f>
        <v>-4.23617733188421</v>
      </c>
      <c r="O21">
        <v>19</v>
      </c>
      <c r="P21">
        <v>18</v>
      </c>
      <c r="Q21">
        <f>100*460785/1299362</f>
        <v>35.462403856661965</v>
      </c>
      <c r="R21">
        <f>100*137599/857545</f>
        <v>16.04568856444851</v>
      </c>
      <c r="S21">
        <f>IF(COUNT(Q21:R21)=2,R21-Q21,"")</f>
        <v>-19.416715292213453</v>
      </c>
    </row>
    <row r="22" spans="1:19" x14ac:dyDescent="0.3">
      <c r="A22">
        <v>20</v>
      </c>
      <c r="B22">
        <v>19</v>
      </c>
      <c r="C22">
        <f>100*271082/932573</f>
        <v>29.068180185358145</v>
      </c>
      <c r="D22">
        <f>100*16920/466496</f>
        <v>3.627040746330086</v>
      </c>
      <c r="E22">
        <f>IF(COUNT(C22:D22)=2,D22-C22,"")</f>
        <v>-25.44113943902806</v>
      </c>
      <c r="H22">
        <v>20</v>
      </c>
      <c r="I22">
        <v>19</v>
      </c>
      <c r="J22">
        <f>100*51102/454685</f>
        <v>11.238989630183534</v>
      </c>
      <c r="K22">
        <f>100*71495/614769</f>
        <v>11.629571432521809</v>
      </c>
      <c r="L22">
        <f>IF(COUNT(J22:K22)=2,K22-J22,"")</f>
        <v>0.390581802338275</v>
      </c>
      <c r="O22">
        <v>20</v>
      </c>
      <c r="P22">
        <v>19</v>
      </c>
      <c r="Q22">
        <f>100*246053/750263</f>
        <v>32.795566354731605</v>
      </c>
      <c r="R22">
        <f>100*175821/883536</f>
        <v>19.89969848427229</v>
      </c>
      <c r="S22">
        <f>IF(COUNT(Q22:R22)=2,R22-Q22,"")</f>
        <v>-12.895867870459316</v>
      </c>
    </row>
    <row r="23" spans="1:19" x14ac:dyDescent="0.3">
      <c r="A23">
        <v>21</v>
      </c>
      <c r="B23">
        <v>20</v>
      </c>
      <c r="C23">
        <f>100*144702/617823</f>
        <v>23.42127114076362</v>
      </c>
      <c r="D23">
        <f>100*244656/1169180</f>
        <v>20.925434920200484</v>
      </c>
      <c r="E23">
        <f>IF(COUNT(C23:D23)=2,D23-C23,"")</f>
        <v>-2.4958362205631346</v>
      </c>
      <c r="H23">
        <v>21</v>
      </c>
      <c r="I23">
        <v>20</v>
      </c>
      <c r="J23">
        <f>100*591919/1541493</f>
        <v>38.399071549465354</v>
      </c>
      <c r="K23">
        <f>100*69260/627480</f>
        <v>11.037802001657424</v>
      </c>
      <c r="L23">
        <f>IF(COUNT(J23:K23)=2,K23-J23,"")</f>
        <v>-27.36126954780793</v>
      </c>
      <c r="O23">
        <v>21</v>
      </c>
      <c r="P23">
        <v>20</v>
      </c>
      <c r="Q23">
        <f>100*189374/774599</f>
        <v>24.448004709533578</v>
      </c>
      <c r="R23">
        <f>100*60905/589268</f>
        <v>10.33570463693939</v>
      </c>
      <c r="S23">
        <f>IF(COUNT(Q23:R23)=2,R23-Q23,"")</f>
        <v>-14.112300072594188</v>
      </c>
    </row>
    <row r="24" spans="1:19" x14ac:dyDescent="0.3">
      <c r="A24">
        <v>22</v>
      </c>
      <c r="B24">
        <v>21</v>
      </c>
      <c r="C24">
        <f>100*295116/1275471</f>
        <v>23.1378055635918</v>
      </c>
      <c r="D24">
        <f>100*151712/796407</f>
        <v>19.0495563198214</v>
      </c>
      <c r="E24">
        <f>IF(COUNT(C24:D24)=2,D24-C24,"")</f>
        <v>-4.088249243770402</v>
      </c>
      <c r="H24">
        <v>22</v>
      </c>
      <c r="I24">
        <v>21</v>
      </c>
      <c r="J24">
        <f>100*392324/1270598</f>
        <v>30.87711455550851</v>
      </c>
      <c r="K24">
        <f>100*145555/939726</f>
        <v>15.489089372859748</v>
      </c>
      <c r="L24">
        <f>IF(COUNT(J24:K24)=2,K24-J24,"")</f>
        <v>-15.38802518264876</v>
      </c>
      <c r="O24">
        <v>22</v>
      </c>
      <c r="P24">
        <v>21</v>
      </c>
      <c r="Q24">
        <f>100*423564/1232833</f>
        <v>34.356964811941275</v>
      </c>
      <c r="R24">
        <f>100*175772/845531</f>
        <v>20.78835666581119</v>
      </c>
      <c r="S24">
        <f>IF(COUNT(Q24:R24)=2,R24-Q24,"")</f>
        <v>-13.568608146130085</v>
      </c>
    </row>
    <row r="25" spans="1:19" x14ac:dyDescent="0.3">
      <c r="A25">
        <v>23</v>
      </c>
      <c r="B25">
        <v>22</v>
      </c>
      <c r="C25">
        <f>100*354113/1097352</f>
        <v>32.26977305367831</v>
      </c>
      <c r="D25">
        <f>100*100951/819353</f>
        <v>12.320818987664657</v>
      </c>
      <c r="E25">
        <f>IF(COUNT(C25:D25)=2,D25-C25,"")</f>
        <v>-19.94895406601365</v>
      </c>
      <c r="H25">
        <v>23</v>
      </c>
      <c r="I25">
        <v>22</v>
      </c>
      <c r="J25">
        <f>100*155683/840858</f>
        <v>18.514778951975245</v>
      </c>
      <c r="K25">
        <f>100*27158/508393</f>
        <v>5.341930357026945</v>
      </c>
      <c r="L25">
        <f>IF(COUNT(J25:K25)=2,K25-J25,"")</f>
        <v>-13.172848594948299</v>
      </c>
      <c r="O25">
        <v>23</v>
      </c>
      <c r="P25">
        <v>22</v>
      </c>
      <c r="Q25">
        <f>100*592/261920</f>
        <v>0.22602321319486865</v>
      </c>
      <c r="R25">
        <f>100*558/267571</f>
        <v>0.2085427792996999</v>
      </c>
      <c r="S25">
        <f>IF(COUNT(Q25:R25)=2,R25-Q25,"")</f>
        <v>-0.017480433895168762</v>
      </c>
    </row>
    <row r="26" spans="1:19" x14ac:dyDescent="0.3">
      <c r="A26">
        <v>24</v>
      </c>
      <c r="B26">
        <v>23</v>
      </c>
      <c r="C26">
        <f>100*240022/913843</f>
        <v>26.265124315664725</v>
      </c>
      <c r="D26">
        <f>100*43825/632678</f>
        <v>6.926904365253731</v>
      </c>
      <c r="E26">
        <f>IF(COUNT(C26:D26)=2,D26-C26,"")</f>
        <v>-19.338219950410995</v>
      </c>
      <c r="H26">
        <v>24</v>
      </c>
      <c r="I26">
        <v>23</v>
      </c>
      <c r="J26">
        <f>100*377574/1156306</f>
        <v>32.65346716180665</v>
      </c>
      <c r="K26">
        <f>100*79505/730894</f>
        <v>10.877774342107063</v>
      </c>
      <c r="L26">
        <f>IF(COUNT(J26:K26)=2,K26-J26,"")</f>
        <v>-21.77569281969959</v>
      </c>
      <c r="O26">
        <v>24</v>
      </c>
      <c r="P26">
        <v>23</v>
      </c>
      <c r="Q26">
        <f>100*122016/574638</f>
        <v>21.233541812410596</v>
      </c>
      <c r="R26">
        <f>100*16525/411324</f>
        <v>4.0175141737413815</v>
      </c>
      <c r="S26">
        <f>IF(COUNT(Q26:R26)=2,R26-Q26,"")</f>
        <v>-17.216027638669214</v>
      </c>
    </row>
    <row r="27" spans="1:19" x14ac:dyDescent="0.3">
      <c r="A27">
        <v>25</v>
      </c>
      <c r="B27">
        <v>24</v>
      </c>
      <c r="C27">
        <f>100*56444/682080</f>
        <v>8.275275627492377</v>
      </c>
      <c r="D27">
        <f>100*62975/626569</f>
        <v>10.050768550630497</v>
      </c>
      <c r="E27">
        <f>IF(COUNT(C27:D27)=2,D27-C27,"")</f>
        <v>1.7754929231381205</v>
      </c>
      <c r="H27">
        <v>25</v>
      </c>
      <c r="I27">
        <v>24</v>
      </c>
      <c r="J27">
        <f>100*179842/875592</f>
        <v>20.53947500662409</v>
      </c>
      <c r="K27">
        <f>100*121433/780787</f>
        <v>15.552641117231715</v>
      </c>
      <c r="L27">
        <f>IF(COUNT(J27:K27)=2,K27-J27,"")</f>
        <v>-4.986833889392376</v>
      </c>
      <c r="O27">
        <v>25</v>
      </c>
      <c r="P27">
        <v>24</v>
      </c>
      <c r="Q27">
        <f>100*497820/1342997</f>
        <v>37.06784155139587</v>
      </c>
      <c r="R27">
        <f>100*117149/729255</f>
        <v>16.064202508039028</v>
      </c>
      <c r="S27">
        <f>IF(COUNT(Q27:R27)=2,R27-Q27,"")</f>
        <v>-21.003639043356845</v>
      </c>
    </row>
    <row r="28" spans="1:19" x14ac:dyDescent="0.3">
      <c r="A28">
        <v>26</v>
      </c>
      <c r="B28">
        <v>25</v>
      </c>
      <c r="C28">
        <f>100*366520/1167250</f>
        <v>31.400299850074962</v>
      </c>
      <c r="D28">
        <f>100*74256/649464</f>
        <v>11.433428180776763</v>
      </c>
      <c r="E28">
        <f>IF(COUNT(C28:D28)=2,D28-C28,"")</f>
        <v>-19.9668716692982</v>
      </c>
      <c r="H28">
        <v>26</v>
      </c>
      <c r="I28">
        <v>25</v>
      </c>
      <c r="J28">
        <f>100*403993/1263866</f>
        <v>31.964860198786898</v>
      </c>
      <c r="K28">
        <f>100*63922/649540</f>
        <v>9.841118329895002</v>
      </c>
      <c r="L28">
        <f>IF(COUNT(J28:K28)=2,K28-J28,"")</f>
        <v>-22.123741868891898</v>
      </c>
      <c r="O28">
        <v>26</v>
      </c>
      <c r="P28">
        <v>25</v>
      </c>
      <c r="Q28">
        <f>100*525172/1313199</f>
        <v>39.99180626850919</v>
      </c>
      <c r="R28">
        <f>100*178869/1006025</f>
        <v>17.779776844511815</v>
      </c>
      <c r="S28">
        <f>IF(COUNT(Q28:R28)=2,R28-Q28,"")</f>
        <v>-22.21202942399737</v>
      </c>
    </row>
    <row r="29" spans="1:19" x14ac:dyDescent="0.3">
      <c r="A29">
        <v>27</v>
      </c>
      <c r="B29">
        <v>26</v>
      </c>
      <c r="C29">
        <f>100*597714/1505438</f>
        <v>39.703660994341845</v>
      </c>
      <c r="D29">
        <f>100*109591/780336</f>
        <v>14.044078448258187</v>
      </c>
      <c r="E29">
        <f>IF(COUNT(C29:D29)=2,D29-C29,"")</f>
        <v>-25.65958254608366</v>
      </c>
      <c r="H29">
        <v>27</v>
      </c>
      <c r="I29">
        <v>26</v>
      </c>
      <c r="J29">
        <f>100*136381/818474</f>
        <v>16.66283840415212</v>
      </c>
      <c r="K29">
        <f>100*99868/767944</f>
        <v>13.004594084985364</v>
      </c>
      <c r="L29">
        <f>IF(COUNT(J29:K29)=2,K29-J29,"")</f>
        <v>-3.658244319166755</v>
      </c>
      <c r="O29">
        <v>27</v>
      </c>
      <c r="P29">
        <v>26</v>
      </c>
      <c r="Q29">
        <f>100*365374/1222824</f>
        <v>29.87952477216672</v>
      </c>
      <c r="R29">
        <f>100*193851/993197</f>
        <v>19.51788013858278</v>
      </c>
      <c r="S29">
        <f>IF(COUNT(Q29:R29)=2,R29-Q29,"")</f>
        <v>-10.361644633583943</v>
      </c>
    </row>
    <row r="30" spans="1:19" x14ac:dyDescent="0.3">
      <c r="A30">
        <v>28</v>
      </c>
      <c r="B30">
        <v>27</v>
      </c>
      <c r="C30">
        <f>100*262582/941033</f>
        <v>27.90359105366124</v>
      </c>
      <c r="D30">
        <f>100*111637/700374</f>
        <v>15.939626542390208</v>
      </c>
      <c r="E30">
        <f>IF(COUNT(C30:D30)=2,D30-C30,"")</f>
        <v>-11.963964511271033</v>
      </c>
      <c r="H30">
        <v>28</v>
      </c>
      <c r="I30">
        <v>27</v>
      </c>
      <c r="J30">
        <f>100*471860/1401372</f>
        <v>33.67128785219057</v>
      </c>
      <c r="K30">
        <f>100*103345/870924</f>
        <v>11.866132980604508</v>
      </c>
      <c r="L30">
        <f>IF(COUNT(J30:K30)=2,K30-J30,"")</f>
        <v>-21.80515487158606</v>
      </c>
      <c r="O30">
        <v>28</v>
      </c>
      <c r="P30">
        <v>27</v>
      </c>
      <c r="Q30">
        <f>100*191/261142</f>
        <v>0.07314028383025327</v>
      </c>
      <c r="R30">
        <f>100*342/259948</f>
        <v>0.1315647744933602</v>
      </c>
      <c r="S30">
        <f>IF(COUNT(Q30:R30)=2,R30-Q30,"")</f>
        <v>0.05842449066310694</v>
      </c>
    </row>
    <row r="31" spans="1:19" x14ac:dyDescent="0.3">
      <c r="A31">
        <v>29</v>
      </c>
      <c r="B31">
        <v>28</v>
      </c>
      <c r="C31">
        <f>100*549615/1490090</f>
        <v>36.88468481769558</v>
      </c>
      <c r="D31">
        <f>100*93501/881015</f>
        <v>10.612872652565507</v>
      </c>
      <c r="E31">
        <f>IF(COUNT(C31:D31)=2,D31-C31,"")</f>
        <v>-26.271812165130072</v>
      </c>
      <c r="H31">
        <v>29</v>
      </c>
      <c r="I31">
        <v>28</v>
      </c>
      <c r="J31">
        <f>100*501796/1378717</f>
        <v>36.39586659191117</v>
      </c>
      <c r="K31">
        <f>100*142496/921400</f>
        <v>15.465161710440634</v>
      </c>
      <c r="L31">
        <f>IF(COUNT(J31:K31)=2,K31-J31,"")</f>
        <v>-20.93070488147054</v>
      </c>
      <c r="O31">
        <v>29</v>
      </c>
      <c r="P31">
        <v>28</v>
      </c>
      <c r="Q31">
        <f>100*492377/1362039</f>
        <v>36.14999276819533</v>
      </c>
      <c r="R31">
        <f>100*207557/1038366</f>
        <v>19.988809340829725</v>
      </c>
      <c r="S31">
        <f>IF(COUNT(Q31:R31)=2,R31-Q31,"")</f>
        <v>-16.161183427365607</v>
      </c>
    </row>
    <row r="32" spans="1:19" x14ac:dyDescent="0.3">
      <c r="A32">
        <v>30</v>
      </c>
      <c r="B32">
        <v>29</v>
      </c>
      <c r="C32">
        <f>100*237648/919878</f>
        <v>25.834730257708088</v>
      </c>
      <c r="D32">
        <f>100*44034/435231</f>
        <v>10.1173859398802</v>
      </c>
      <c r="E32">
        <f>IF(COUNT(C32:D32)=2,D32-C32,"")</f>
        <v>-15.717344317827887</v>
      </c>
      <c r="H32">
        <v>30</v>
      </c>
      <c r="I32">
        <v>29</v>
      </c>
      <c r="J32">
        <f>100*264568/888302</f>
        <v>29.783564598526176</v>
      </c>
      <c r="K32">
        <f>100*101536/820427</f>
        <v>12.37599445166968</v>
      </c>
      <c r="L32">
        <f>IF(COUNT(J32:K32)=2,K32-J32,"")</f>
        <v>-17.407570146856497</v>
      </c>
      <c r="O32">
        <v>30</v>
      </c>
      <c r="P32">
        <v>29</v>
      </c>
      <c r="Q32">
        <f>100*465436/1240969</f>
        <v>37.50585228156384</v>
      </c>
      <c r="R32">
        <f>100*156205/846175</f>
        <v>18.460129405855763</v>
      </c>
      <c r="S32">
        <f>IF(COUNT(Q32:R32)=2,R32-Q32,"")</f>
        <v>-19.045722875708076</v>
      </c>
    </row>
    <row r="33" spans="1:19" x14ac:dyDescent="0.3">
      <c r="A33">
        <v>31</v>
      </c>
      <c r="B33">
        <v>30</v>
      </c>
      <c r="C33">
        <f>100*498726/1349876</f>
        <v>36.946060230717485</v>
      </c>
      <c r="D33">
        <f>100*172573/1246075</f>
        <v>13.84932688642337</v>
      </c>
      <c r="E33">
        <f>IF(COUNT(C33:D33)=2,D33-C33,"")</f>
        <v>-23.096733344294115</v>
      </c>
      <c r="H33">
        <v>31</v>
      </c>
      <c r="I33">
        <v>30</v>
      </c>
      <c r="J33">
        <f>100*307741/1047349</f>
        <v>29.382851370460084</v>
      </c>
      <c r="K33">
        <f>100*157064/943803</f>
        <v>16.641608471259364</v>
      </c>
      <c r="L33">
        <f>IF(COUNT(J33:K33)=2,K33-J33,"")</f>
        <v>-12.74124289920072</v>
      </c>
      <c r="O33">
        <v>31</v>
      </c>
      <c r="P33">
        <v>30</v>
      </c>
      <c r="Q33">
        <f>100*7935/484889</f>
        <v>1.63645700356164</v>
      </c>
      <c r="R33">
        <f>100*3032/361264</f>
        <v>0.8392754329243988</v>
      </c>
      <c r="S33">
        <f>IF(COUNT(Q33:R33)=2,R33-Q33,"")</f>
        <v>-0.7971815706372412</v>
      </c>
    </row>
    <row r="34" spans="1:19" x14ac:dyDescent="0.3">
      <c r="A34" t="s">
        <v>5</v>
      </c>
      <c r="C34">
        <f>IF(COUNT(C3:C33)&gt;0,AVERAGE(C3:C33),"")</f>
        <v>24.75128625154027</v>
      </c>
      <c r="D34">
        <f>IF(COUNT(D3:D33)&gt;0,AVERAGE(D3:D33),"")</f>
        <v>11.47467165295478</v>
      </c>
      <c r="E34">
        <f>IF(COUNT(E3:E33)&gt;0,AVERAGE(E3:E33),"")</f>
        <v>-13.276614598585493</v>
      </c>
      <c r="H34" t="s">
        <v>5</v>
      </c>
      <c r="J34">
        <f>IF(COUNT(J3:J33)&gt;0,AVERAGE(J3:J33),"")</f>
        <v>23.26126650336055</v>
      </c>
      <c r="K34">
        <f>IF(COUNT(K3:K33)&gt;0,AVERAGE(K3:K33),"")</f>
        <v>10.821688908509637</v>
      </c>
      <c r="L34">
        <f>IF(COUNT(L3:L33)&gt;0,AVERAGE(L3:L33),"")</f>
        <v>-12.43957759485091</v>
      </c>
      <c r="O34" t="s">
        <v>5</v>
      </c>
      <c r="Q34">
        <f>IF(COUNT(Q3:Q33)&gt;0,AVERAGE(Q3:Q33),"")</f>
        <v>28.172990083851328</v>
      </c>
      <c r="R34">
        <f>IF(COUNT(R3:R33)&gt;0,AVERAGE(R3:R33),"")</f>
        <v>12.339127411083112</v>
      </c>
      <c r="S34">
        <f>IF(COUNT(S3:S33)&gt;0,AVERAGE(S3:S33),"")</f>
        <v>-15.833862672768209</v>
      </c>
    </row>
    <row r="37" spans="1:19" s="2" customFormat="1" x14ac:dyDescent="0.3">
      <c r="A37" s="1" t="s">
        <v>9</v>
      </c>
      <c r="B37" s="1"/>
      <c r="C37" s="1"/>
      <c r="D37" s="1"/>
      <c r="E37" s="1"/>
      <c r="H37" s="1" t="s">
        <v>10</v>
      </c>
      <c r="I37" s="1"/>
      <c r="J37" s="1"/>
      <c r="K37" s="1"/>
      <c r="L37" s="1"/>
      <c r="O37" s="1" t="s">
        <v>11</v>
      </c>
      <c r="P37" s="1"/>
      <c r="Q37" s="1"/>
      <c r="R37" s="1"/>
      <c r="S37" s="1"/>
    </row>
    <row r="38" spans="1:19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O38" t="s">
        <v>0</v>
      </c>
      <c r="P38" t="s">
        <v>1</v>
      </c>
      <c r="Q38" t="s">
        <v>2</v>
      </c>
      <c r="R38" t="s">
        <v>3</v>
      </c>
      <c r="S38" t="s">
        <v>4</v>
      </c>
    </row>
    <row r="39" spans="1:19" x14ac:dyDescent="0.3">
      <c r="A39">
        <v>1</v>
      </c>
      <c r="B39">
        <v>0</v>
      </c>
      <c r="C39">
        <f>100*192841/1049609</f>
        <v>18.372651149142204</v>
      </c>
      <c r="D39">
        <f>100*3944/19692</f>
        <v>20.02843794434288</v>
      </c>
      <c r="E39">
        <f>IF(COUNT(C39:D39)=2,D39-C39,"")</f>
        <v>1.655786795200676</v>
      </c>
      <c r="H39">
        <v>1</v>
      </c>
      <c r="I39">
        <v>0</v>
      </c>
      <c r="J39">
        <f>100*402854/1288411</f>
        <v>31.267507029977235</v>
      </c>
      <c r="K39">
        <f>100*87940/790997</f>
        <v>11.117614858210587</v>
      </c>
      <c r="L39">
        <f>IF(COUNT(J39:K39)=2,K39-J39,"")</f>
        <v>-20.14989217176665</v>
      </c>
      <c r="O39">
        <v>1</v>
      </c>
      <c r="P39">
        <v>0</v>
      </c>
      <c r="Q39">
        <f>100*88041/674269</f>
        <v>13.057251631025599</v>
      </c>
      <c r="R39">
        <f>100*14585/540655</f>
        <v>2.6976537718138185</v>
      </c>
      <c r="S39">
        <f>IF(COUNT(Q39:R39)=2,R39-Q39,"")</f>
        <v>-10.35959785921178</v>
      </c>
    </row>
    <row r="40" spans="1:19" x14ac:dyDescent="0.3">
      <c r="A40">
        <v>2</v>
      </c>
      <c r="B40">
        <v>1</v>
      </c>
      <c r="C40">
        <f>100*767234/1849227</f>
        <v>41.489443967668656</v>
      </c>
      <c r="D40">
        <f>100*5939/23866</f>
        <v>24.88477331769044</v>
      </c>
      <c r="E40">
        <f>IF(COUNT(C40:D40)=2,D40-C40,"")</f>
        <v>-16.604670649978218</v>
      </c>
      <c r="H40">
        <v>2</v>
      </c>
      <c r="I40">
        <v>1</v>
      </c>
      <c r="J40">
        <f>100*573780/1506160</f>
        <v>38.095554257183835</v>
      </c>
      <c r="K40">
        <f>100*190411/1330994</f>
        <v>14.305924744965042</v>
      </c>
      <c r="L40">
        <f>IF(COUNT(J40:K40)=2,K40-J40,"")</f>
        <v>-23.789629512218795</v>
      </c>
      <c r="O40">
        <v>2</v>
      </c>
      <c r="P40">
        <v>1</v>
      </c>
      <c r="Q40">
        <f>100*291073/995685</f>
        <v>29.233442303539775</v>
      </c>
      <c r="R40">
        <f>100*210121/959710</f>
        <v>21.89421804503444</v>
      </c>
      <c r="S40">
        <f>IF(COUNT(Q40:R40)=2,R40-Q40,"")</f>
        <v>-7.339224258505336</v>
      </c>
    </row>
    <row r="41" spans="1:19" x14ac:dyDescent="0.3">
      <c r="A41">
        <v>3</v>
      </c>
      <c r="B41">
        <v>2</v>
      </c>
      <c r="C41">
        <f>100*647494/1597730</f>
        <v>40.525871079594175</v>
      </c>
      <c r="D41">
        <f>100*79296/964486</f>
        <v>8.221581236015867</v>
      </c>
      <c r="E41">
        <f>IF(COUNT(C41:D41)=2,D41-C41,"")</f>
        <v>-32.30428984357831</v>
      </c>
      <c r="H41">
        <v>3</v>
      </c>
      <c r="I41">
        <v>2</v>
      </c>
      <c r="J41">
        <f>100*646730/1702231</f>
        <v>37.99308084507919</v>
      </c>
      <c r="K41">
        <f>100*234074/1396682</f>
        <v>16.75929094811847</v>
      </c>
      <c r="L41">
        <f>IF(COUNT(J41:K41)=2,K41-J41,"")</f>
        <v>-21.233789896960722</v>
      </c>
      <c r="O41">
        <v>3</v>
      </c>
      <c r="P41">
        <v>2</v>
      </c>
      <c r="Q41">
        <f>100*505429/1286969</f>
        <v>39.272818537198646</v>
      </c>
      <c r="R41">
        <f>100*201617/1095935</f>
        <v>18.39680273008892</v>
      </c>
      <c r="S41">
        <f>IF(COUNT(Q41:R41)=2,R41-Q41,"")</f>
        <v>-20.876015807109727</v>
      </c>
    </row>
    <row r="42" spans="1:19" x14ac:dyDescent="0.3">
      <c r="A42">
        <v>4</v>
      </c>
      <c r="B42">
        <v>3</v>
      </c>
      <c r="C42">
        <f>100*45060/760183</f>
        <v>5.927520083979778</v>
      </c>
      <c r="D42">
        <f>100*8936/707163</f>
        <v>1.2636407730608077</v>
      </c>
      <c r="E42">
        <f>IF(COUNT(C42:D42)=2,D42-C42,"")</f>
        <v>-4.66387931091897</v>
      </c>
      <c r="H42">
        <v>4</v>
      </c>
      <c r="I42">
        <v>3</v>
      </c>
      <c r="J42">
        <f>100*44764/778520</f>
        <v>5.749884396033499</v>
      </c>
      <c r="K42">
        <f>100*131475/924417</f>
        <v>14.222477518262862</v>
      </c>
      <c r="L42">
        <f>IF(COUNT(J42:K42)=2,K42-J42,"")</f>
        <v>8.472593122229362</v>
      </c>
      <c r="O42">
        <v>4</v>
      </c>
      <c r="P42">
        <v>3</v>
      </c>
      <c r="Q42">
        <f>100*589890/1404698</f>
        <v>41.9940798662773</v>
      </c>
      <c r="R42">
        <f>100*232567/1213311</f>
        <v>19.16796270700587</v>
      </c>
      <c r="S42">
        <f>IF(COUNT(Q42:R42)=2,R42-Q42,"")</f>
        <v>-22.826117159271433</v>
      </c>
    </row>
    <row r="43" spans="1:19" x14ac:dyDescent="0.3">
      <c r="A43">
        <v>5</v>
      </c>
      <c r="B43">
        <v>4</v>
      </c>
      <c r="C43">
        <f>100*964627/2043023</f>
        <v>47.21567011237759</v>
      </c>
      <c r="D43">
        <f>100*337489/1658099</f>
        <v>20.35397162654341</v>
      </c>
      <c r="E43">
        <f>IF(COUNT(C43:D43)=2,D43-C43,"")</f>
        <v>-26.86169848583418</v>
      </c>
      <c r="H43">
        <v>5</v>
      </c>
      <c r="I43">
        <v>4</v>
      </c>
      <c r="J43">
        <f>100*942269/2236809</f>
        <v>42.12559051756319</v>
      </c>
      <c r="K43">
        <f>100*269586/1399557</f>
        <v>19.262237979589255</v>
      </c>
      <c r="L43">
        <f>IF(COUNT(J43:K43)=2,K43-J43,"")</f>
        <v>-22.863352537973935</v>
      </c>
      <c r="O43">
        <v>5</v>
      </c>
      <c r="P43">
        <v>4</v>
      </c>
      <c r="Q43">
        <f>100*141535/798132</f>
        <v>17.73328221396962</v>
      </c>
      <c r="R43">
        <f>100*31306/749437</f>
        <v>4.177269069981866</v>
      </c>
      <c r="S43">
        <f>IF(COUNT(Q43:R43)=2,R43-Q43,"")</f>
        <v>-13.556013143987753</v>
      </c>
    </row>
    <row r="44" spans="1:19" x14ac:dyDescent="0.3">
      <c r="A44">
        <v>6</v>
      </c>
      <c r="B44">
        <v>5</v>
      </c>
      <c r="C44">
        <f>100*200146/1105970</f>
        <v>18.09687423709504</v>
      </c>
      <c r="D44">
        <f>100*114799/1093194</f>
        <v>10.501246805233105</v>
      </c>
      <c r="E44">
        <f>IF(COUNT(C44:D44)=2,D44-C44,"")</f>
        <v>-7.595627431861935</v>
      </c>
      <c r="H44">
        <v>6</v>
      </c>
      <c r="I44">
        <v>5</v>
      </c>
      <c r="J44">
        <f>100*712109/1711457</f>
        <v>41.60834890973013</v>
      </c>
      <c r="K44">
        <f>100*387341/1764312</f>
        <v>21.95422351602211</v>
      </c>
      <c r="L44">
        <f>IF(COUNT(J44:K44)=2,K44-J44,"")</f>
        <v>-19.65412539370802</v>
      </c>
      <c r="O44">
        <v>6</v>
      </c>
      <c r="P44">
        <v>5</v>
      </c>
      <c r="Q44">
        <f>100*603941/1377183</f>
        <v>43.8533586313511</v>
      </c>
      <c r="R44">
        <f>100*40677/196920</f>
        <v>20.65661182205972</v>
      </c>
      <c r="S44">
        <f>IF(COUNT(Q44:R44)=2,R44-Q44,"")</f>
        <v>-23.19674680929138</v>
      </c>
    </row>
    <row r="45" spans="1:19" x14ac:dyDescent="0.3">
      <c r="A45">
        <v>7</v>
      </c>
      <c r="B45">
        <v>6</v>
      </c>
      <c r="C45">
        <f>100*18395/700580</f>
        <v>2.6256815781209855</v>
      </c>
      <c r="D45">
        <f>100*22378/691445</f>
        <v>3.2364107051175437</v>
      </c>
      <c r="E45">
        <f>IF(COUNT(C45:D45)=2,D45-C45,"")</f>
        <v>0.6107291269965582</v>
      </c>
      <c r="H45">
        <v>7</v>
      </c>
      <c r="I45">
        <v>6</v>
      </c>
      <c r="J45">
        <f>100*1624/545527</f>
        <v>0.2976937896749382</v>
      </c>
      <c r="K45">
        <f>100*23131/497246</f>
        <v>4.651822236880739</v>
      </c>
      <c r="L45">
        <f>IF(COUNT(J45:K45)=2,K45-J45,"")</f>
        <v>4.354128447205801</v>
      </c>
      <c r="O45">
        <v>7</v>
      </c>
      <c r="P45">
        <v>6</v>
      </c>
      <c r="Q45">
        <f>100*672106/1493090</f>
        <v>45.01443315540256</v>
      </c>
      <c r="R45">
        <f>100*165284/993671</f>
        <v>16.63367452607553</v>
      </c>
      <c r="S45">
        <f>IF(COUNT(Q45:R45)=2,R45-Q45,"")</f>
        <v>-28.380758629327026</v>
      </c>
    </row>
    <row r="46" spans="1:19" x14ac:dyDescent="0.3">
      <c r="A46">
        <v>8</v>
      </c>
      <c r="B46">
        <v>7</v>
      </c>
      <c r="C46">
        <f>100*20606/505497</f>
        <v>4.076384231756074</v>
      </c>
      <c r="D46">
        <f>100*34551/904785</f>
        <v>3.818697259569953</v>
      </c>
      <c r="E46">
        <f>IF(COUNT(C46:D46)=2,D46-C46,"")</f>
        <v>-0.257686972186121</v>
      </c>
      <c r="H46">
        <v>8</v>
      </c>
      <c r="I46">
        <v>7</v>
      </c>
      <c r="J46">
        <f>100*2064/453926</f>
        <v>0.45469966470305734</v>
      </c>
      <c r="K46">
        <f>100*964/409686</f>
        <v>0.23530215823826053</v>
      </c>
      <c r="L46">
        <f>IF(COUNT(J46:K46)=2,K46-J46,"")</f>
        <v>-0.2193975064647968</v>
      </c>
      <c r="O46">
        <v>8</v>
      </c>
      <c r="P46">
        <v>7</v>
      </c>
      <c r="Q46">
        <f>100*703275/1703373</f>
        <v>41.28719898695118</v>
      </c>
      <c r="R46">
        <f>100*149731/986695</f>
        <v>15.175003420509883</v>
      </c>
      <c r="S46">
        <f>IF(COUNT(Q46:R46)=2,R46-Q46,"")</f>
        <v>-26.1121955664413</v>
      </c>
    </row>
    <row r="47" spans="1:19" x14ac:dyDescent="0.3">
      <c r="A47">
        <v>9</v>
      </c>
      <c r="B47">
        <v>8</v>
      </c>
      <c r="C47">
        <f>100*929076/2063992</f>
        <v>45.01354656413397</v>
      </c>
      <c r="D47">
        <f>100*304962/1585613</f>
        <v>19.2330663282907</v>
      </c>
      <c r="E47">
        <f>IF(COUNT(C47:D47)=2,D47-C47,"")</f>
        <v>-25.780480235843267</v>
      </c>
      <c r="H47">
        <v>9</v>
      </c>
      <c r="I47">
        <v>8</v>
      </c>
      <c r="J47">
        <f>100*779177/1827411</f>
        <v>42.63830085295535</v>
      </c>
      <c r="K47">
        <f>100*244726/1181531</f>
        <v>20.71261778150552</v>
      </c>
      <c r="L47">
        <f>IF(COUNT(J47:K47)=2,K47-J47,"")</f>
        <v>-21.925683071449832</v>
      </c>
      <c r="O47">
        <v>9</v>
      </c>
      <c r="P47">
        <v>8</v>
      </c>
      <c r="Q47">
        <f>100*785425/1662476</f>
        <v>47.244291045404566</v>
      </c>
      <c r="R47">
        <f>100*276032/1285712</f>
        <v>21.469193723011063</v>
      </c>
      <c r="S47">
        <f>IF(COUNT(Q47:R47)=2,R47-Q47,"")</f>
        <v>-25.775097322393503</v>
      </c>
    </row>
    <row r="48" spans="1:19" x14ac:dyDescent="0.3">
      <c r="A48">
        <v>10</v>
      </c>
      <c r="B48">
        <v>9</v>
      </c>
      <c r="C48">
        <f>100*401887/1367048</f>
        <v>29.39816304913946</v>
      </c>
      <c r="D48">
        <f>100*18119/801484</f>
        <v>2.260681435936338</v>
      </c>
      <c r="E48">
        <f>IF(COUNT(C48:D48)=2,D48-C48,"")</f>
        <v>-27.13748161320312</v>
      </c>
      <c r="H48">
        <v>10</v>
      </c>
      <c r="I48">
        <v>9</v>
      </c>
      <c r="J48">
        <f>100*872985/1990559</f>
        <v>43.85627353924199</v>
      </c>
      <c r="K48">
        <f>100*55242/763333</f>
        <v>7.236946391679647</v>
      </c>
      <c r="L48">
        <f>IF(COUNT(J48:K48)=2,K48-J48,"")</f>
        <v>-36.619327147562345</v>
      </c>
      <c r="O48">
        <v>10</v>
      </c>
      <c r="P48">
        <v>9</v>
      </c>
      <c r="Q48">
        <f>100*317010/1082800</f>
        <v>29.276874769117104</v>
      </c>
      <c r="R48">
        <f>100*8211/503951</f>
        <v>1.6293250732710125</v>
      </c>
      <c r="S48">
        <f>IF(COUNT(Q48:R48)=2,R48-Q48,"")</f>
        <v>-27.64754969584609</v>
      </c>
    </row>
    <row r="49" spans="1:19" x14ac:dyDescent="0.3">
      <c r="A49">
        <v>11</v>
      </c>
      <c r="B49">
        <v>10</v>
      </c>
      <c r="C49">
        <f>100*705082/1682816</f>
        <v>41.898936069065186</v>
      </c>
      <c r="D49">
        <f>100*154454/1060661</f>
        <v>14.562051400023194</v>
      </c>
      <c r="E49">
        <f>IF(COUNT(C49:D49)=2,D49-C49,"")</f>
        <v>-27.336884669041993</v>
      </c>
      <c r="H49">
        <v>11</v>
      </c>
      <c r="I49">
        <v>10</v>
      </c>
      <c r="J49">
        <f>100*582667/1702410</f>
        <v>34.22600901075534</v>
      </c>
      <c r="K49">
        <f>100*26799/737078</f>
        <v>3.6358431536418125</v>
      </c>
      <c r="L49">
        <f>IF(COUNT(J49:K49)=2,K49-J49,"")</f>
        <v>-30.59016585711353</v>
      </c>
      <c r="O49">
        <v>11</v>
      </c>
      <c r="P49">
        <v>10</v>
      </c>
      <c r="Q49">
        <f>100*610513/1430887</f>
        <v>42.666751462554345</v>
      </c>
      <c r="R49">
        <f>100*382211/1424833</f>
        <v>26.824968259438123</v>
      </c>
      <c r="S49">
        <f>IF(COUNT(Q49:R49)=2,R49-Q49,"")</f>
        <v>-15.841783203116222</v>
      </c>
    </row>
    <row r="50" spans="1:19" x14ac:dyDescent="0.3">
      <c r="A50">
        <v>12</v>
      </c>
      <c r="B50">
        <v>11</v>
      </c>
      <c r="C50">
        <f>100*661603/1691906</f>
        <v>39.10400459600002</v>
      </c>
      <c r="D50">
        <f>100*39518/854769</f>
        <v>4.623237389282952</v>
      </c>
      <c r="E50">
        <f>IF(COUNT(C50:D50)=2,D50-C50,"")</f>
        <v>-34.48076720671706</v>
      </c>
      <c r="H50">
        <v>12</v>
      </c>
      <c r="I50">
        <v>11</v>
      </c>
      <c r="J50">
        <f>100*2109/16409</f>
        <v>12.85270278505698</v>
      </c>
      <c r="K50">
        <f>100*3190/22477</f>
        <v>14.192285447346176</v>
      </c>
      <c r="L50">
        <f>IF(COUNT(J50:K50)=2,K50-J50,"")</f>
        <v>1.339582662289196</v>
      </c>
      <c r="O50">
        <v>12</v>
      </c>
      <c r="P50">
        <v>11</v>
      </c>
      <c r="Q50">
        <f>100*565746/1449544</f>
        <v>39.029239540158834</v>
      </c>
      <c r="R50">
        <f>100*284658/1301887</f>
        <v>21.865031296879067</v>
      </c>
      <c r="S50">
        <f>IF(COUNT(Q50:R50)=2,R50-Q50,"")</f>
        <v>-17.164208243279766</v>
      </c>
    </row>
    <row r="51" spans="1:19" x14ac:dyDescent="0.3">
      <c r="A51">
        <v>13</v>
      </c>
      <c r="B51">
        <v>12</v>
      </c>
      <c r="C51">
        <f>100*13444/609443</f>
        <v>2.20594871054389</v>
      </c>
      <c r="D51">
        <f>100*14798/725602</f>
        <v>2.0394100347022195</v>
      </c>
      <c r="E51">
        <f>IF(COUNT(C51:D51)=2,D51-C51,"")</f>
        <v>-0.1665386758416707</v>
      </c>
      <c r="H51">
        <v>13</v>
      </c>
      <c r="I51">
        <v>12</v>
      </c>
      <c r="J51">
        <f>100*78998/737547</f>
        <v>10.710910626712602</v>
      </c>
      <c r="K51">
        <f>100*57887/922627</f>
        <v>6.2741497918443745</v>
      </c>
      <c r="L51">
        <f>IF(COUNT(J51:K51)=2,K51-J51,"")</f>
        <v>-4.4367608348682275</v>
      </c>
      <c r="O51">
        <v>13</v>
      </c>
      <c r="P51">
        <v>12</v>
      </c>
      <c r="Q51">
        <f>100*653960/1481691</f>
        <v>44.136058057989146</v>
      </c>
      <c r="R51">
        <f>100*16868/738264</f>
        <v>2.284819522555617</v>
      </c>
      <c r="S51">
        <f>IF(COUNT(Q51:R51)=2,R51-Q51,"")</f>
        <v>-41.85123853543353</v>
      </c>
    </row>
    <row r="52" spans="1:19" x14ac:dyDescent="0.3">
      <c r="A52">
        <v>14</v>
      </c>
      <c r="B52">
        <v>13</v>
      </c>
      <c r="C52">
        <f>100*183005/843268</f>
        <v>21.701878880735425</v>
      </c>
      <c r="D52">
        <f>100*2730/464474</f>
        <v>0.5877616400487433</v>
      </c>
      <c r="E52">
        <f>IF(COUNT(C52:D52)=2,D52-C52,"")</f>
        <v>-21.11411724068668</v>
      </c>
      <c r="H52">
        <v>14</v>
      </c>
      <c r="I52">
        <v>13</v>
      </c>
      <c r="J52">
        <f>100*450919/1374273</f>
        <v>32.811457403296146</v>
      </c>
      <c r="K52">
        <f>100*225764/1291199</f>
        <v>17.484833863718915</v>
      </c>
      <c r="L52">
        <f>IF(COUNT(J52:K52)=2,K52-J52,"")</f>
        <v>-15.32662353957723</v>
      </c>
      <c r="O52">
        <v>14</v>
      </c>
      <c r="P52">
        <v>13</v>
      </c>
      <c r="Q52">
        <f>100*1624/402681</f>
        <v>0.40329690251092054</v>
      </c>
      <c r="R52">
        <f>100*3195/439897</f>
        <v>0.7263063853583908</v>
      </c>
      <c r="S52">
        <f>IF(COUNT(Q52:R52)=2,R52-Q52,"")</f>
        <v>0.3230094828474702</v>
      </c>
    </row>
    <row r="53" spans="1:19" x14ac:dyDescent="0.3">
      <c r="A53">
        <v>15</v>
      </c>
      <c r="B53">
        <v>14</v>
      </c>
      <c r="C53">
        <f>100*855788/1778828</f>
        <v>48.10965422176849</v>
      </c>
      <c r="D53">
        <f>100*120527/1040132</f>
        <v>11.587663873431449</v>
      </c>
      <c r="E53">
        <f>IF(COUNT(C53:D53)=2,D53-C53,"")</f>
        <v>-36.52199034833704</v>
      </c>
      <c r="H53">
        <v>15</v>
      </c>
      <c r="I53">
        <v>14</v>
      </c>
      <c r="J53">
        <f>100*381484/1238884</f>
        <v>30.792552006483255</v>
      </c>
      <c r="K53">
        <f>100*182430/1267075</f>
        <v>14.397727048517254</v>
      </c>
      <c r="L53">
        <f>IF(COUNT(J53:K53)=2,K53-J53,"")</f>
        <v>-16.394824957966</v>
      </c>
      <c r="O53">
        <v>15</v>
      </c>
      <c r="P53">
        <v>14</v>
      </c>
      <c r="Q53">
        <f>100*373593/1196320</f>
        <v>31.22851745352414</v>
      </c>
      <c r="R53">
        <f>100*177323/1016769</f>
        <v>17.439851136295463</v>
      </c>
      <c r="S53">
        <f>IF(COUNT(Q53:R53)=2,R53-Q53,"")</f>
        <v>-13.788666317228678</v>
      </c>
    </row>
    <row r="54" spans="1:19" x14ac:dyDescent="0.3">
      <c r="A54">
        <v>16</v>
      </c>
      <c r="B54">
        <v>15</v>
      </c>
      <c r="C54">
        <f>100*888567/1959716</f>
        <v>45.34162092874682</v>
      </c>
      <c r="D54">
        <f>100*121781/1035504</f>
        <v>11.760553315100665</v>
      </c>
      <c r="E54">
        <f>IF(COUNT(C54:D54)=2,D54-C54,"")</f>
        <v>-33.581067613646155</v>
      </c>
      <c r="H54">
        <v>16</v>
      </c>
      <c r="I54">
        <v>15</v>
      </c>
      <c r="J54">
        <f>100*600755/1390841</f>
        <v>43.19365046040489</v>
      </c>
      <c r="K54">
        <f>100*29773/773330</f>
        <v>3.8499734912650485</v>
      </c>
      <c r="L54">
        <f>IF(COUNT(J54:K54)=2,K54-J54,"")</f>
        <v>-39.34367696913984</v>
      </c>
      <c r="O54">
        <v>16</v>
      </c>
      <c r="P54">
        <v>15</v>
      </c>
      <c r="Q54">
        <f>100*595830/1410973</f>
        <v>42.22830628226054</v>
      </c>
      <c r="R54">
        <f>100*385446/1552578</f>
        <v>24.826192307246398</v>
      </c>
      <c r="S54">
        <f>IF(COUNT(Q54:R54)=2,R54-Q54,"")</f>
        <v>-17.402113975014142</v>
      </c>
    </row>
    <row r="55" spans="1:19" x14ac:dyDescent="0.3">
      <c r="A55">
        <v>17</v>
      </c>
      <c r="B55">
        <v>16</v>
      </c>
      <c r="C55">
        <f>100*543691/1545910</f>
        <v>35.1696411822163</v>
      </c>
      <c r="D55">
        <f>100*323125/1683651</f>
        <v>19.19192279159992</v>
      </c>
      <c r="E55">
        <f>IF(COUNT(C55:D55)=2,D55-C55,"")</f>
        <v>-15.977718390616381</v>
      </c>
      <c r="H55">
        <v>17</v>
      </c>
      <c r="I55">
        <v>16</v>
      </c>
      <c r="J55">
        <f>100*627913/1725883</f>
        <v>36.38213019074873</v>
      </c>
      <c r="K55">
        <f>100*105323/904174</f>
        <v>11.648532251535656</v>
      </c>
      <c r="L55">
        <f>IF(COUNT(J55:K55)=2,K55-J55,"")</f>
        <v>-24.733597939213077</v>
      </c>
      <c r="O55">
        <v>17</v>
      </c>
      <c r="P55">
        <v>16</v>
      </c>
      <c r="Q55">
        <f>100*6486/400160</f>
        <v>1.6208516593362654</v>
      </c>
      <c r="R55">
        <f>100*15193/437491</f>
        <v>3.472757153861451</v>
      </c>
      <c r="S55">
        <f>IF(COUNT(Q55:R55)=2,R55-Q55,"")</f>
        <v>1.8519054945251854</v>
      </c>
    </row>
    <row r="56" spans="1:19" x14ac:dyDescent="0.3">
      <c r="A56">
        <v>18</v>
      </c>
      <c r="B56">
        <v>17</v>
      </c>
      <c r="C56">
        <f>100*889308/1891000</f>
        <v>47.02845055526176</v>
      </c>
      <c r="D56">
        <f>100*44879/759542</f>
        <v>5.908692343543873</v>
      </c>
      <c r="E56">
        <f>IF(COUNT(C56:D56)=2,D56-C56,"")</f>
        <v>-41.119758211717894</v>
      </c>
      <c r="H56">
        <v>18</v>
      </c>
      <c r="I56">
        <v>17</v>
      </c>
      <c r="J56">
        <f>100*355/2215</f>
        <v>16.02708803611738</v>
      </c>
      <c r="K56">
        <f>100*9506/803803</f>
        <v>1.1826280817563508</v>
      </c>
      <c r="L56">
        <f>IF(COUNT(J56:K56)=2,K56-J56,"")</f>
        <v>-14.84445995436103</v>
      </c>
      <c r="O56">
        <v>18</v>
      </c>
      <c r="P56">
        <v>17</v>
      </c>
      <c r="Q56">
        <f>100*78465/548560</f>
        <v>14.303813621117106</v>
      </c>
      <c r="R56">
        <f>100*7448/428609</f>
        <v>1.7377143270439959</v>
      </c>
      <c r="S56">
        <f>IF(COUNT(Q56:R56)=2,R56-Q56,"")</f>
        <v>-12.56609929407311</v>
      </c>
    </row>
    <row r="57" spans="1:19" x14ac:dyDescent="0.3">
      <c r="A57">
        <v>19</v>
      </c>
      <c r="B57">
        <v>18</v>
      </c>
      <c r="C57">
        <f>100*419048/1297589</f>
        <v>32.294355146352196</v>
      </c>
      <c r="D57">
        <f>100*92618/763766</f>
        <v>12.126489003176365</v>
      </c>
      <c r="E57">
        <f>IF(COUNT(C57:D57)=2,D57-C57,"")</f>
        <v>-20.16786614317583</v>
      </c>
      <c r="H57">
        <v>19</v>
      </c>
      <c r="I57">
        <v>18</v>
      </c>
      <c r="J57">
        <f>100*451032/1332344</f>
        <v>33.85251856877803</v>
      </c>
      <c r="K57">
        <f>100*11775/110299</f>
        <v>10.675527429985767</v>
      </c>
      <c r="L57">
        <f>IF(COUNT(J57:K57)=2,K57-J57,"")</f>
        <v>-23.176991138792264</v>
      </c>
      <c r="O57">
        <v>19</v>
      </c>
      <c r="P57">
        <v>18</v>
      </c>
      <c r="Q57">
        <f>100*644704/1630522</f>
        <v>39.53973022136469</v>
      </c>
      <c r="R57">
        <f>100*140939/667282</f>
        <v>21.121354989344834</v>
      </c>
      <c r="S57">
        <f>IF(COUNT(Q57:R57)=2,R57-Q57,"")</f>
        <v>-18.41837523201986</v>
      </c>
    </row>
    <row r="58" spans="1:19" x14ac:dyDescent="0.3">
      <c r="A58">
        <v>20</v>
      </c>
      <c r="B58">
        <v>19</v>
      </c>
      <c r="C58">
        <f>100*679956/1609329</f>
        <v>42.250900841282295</v>
      </c>
      <c r="D58">
        <f>100*97170/1046550</f>
        <v>9.284792890927333</v>
      </c>
      <c r="E58">
        <f>IF(COUNT(C58:D58)=2,D58-C58,"")</f>
        <v>-32.96610795035496</v>
      </c>
      <c r="H58">
        <v>20</v>
      </c>
      <c r="I58">
        <v>19</v>
      </c>
      <c r="J58">
        <f>100*854529/1945718</f>
        <v>43.918440390642424</v>
      </c>
      <c r="K58">
        <f>100*153203/999206</f>
        <v>15.332473984343569</v>
      </c>
      <c r="L58">
        <f>IF(COUNT(J58:K58)=2,K58-J58,"")</f>
        <v>-28.585966406298855</v>
      </c>
      <c r="O58">
        <v>20</v>
      </c>
      <c r="P58">
        <v>19</v>
      </c>
      <c r="Q58">
        <f>100*668214/1556077</f>
        <v>42.94221944029762</v>
      </c>
      <c r="R58">
        <f>100*384787/1432298</f>
        <v>26.865009935083343</v>
      </c>
      <c r="S58">
        <f>IF(COUNT(Q58:R58)=2,R58-Q58,"")</f>
        <v>-16.077209505214277</v>
      </c>
    </row>
    <row r="59" spans="1:19" x14ac:dyDescent="0.3">
      <c r="A59">
        <v>21</v>
      </c>
      <c r="B59">
        <v>20</v>
      </c>
      <c r="C59">
        <f>100*775725/1847570</f>
        <v>41.98623056230616</v>
      </c>
      <c r="D59">
        <f>100*155737/1004744</f>
        <v>15.500167206771078</v>
      </c>
      <c r="E59">
        <f>IF(COUNT(C59:D59)=2,D59-C59,"")</f>
        <v>-26.486063355535084</v>
      </c>
      <c r="H59">
        <v>21</v>
      </c>
      <c r="I59">
        <v>20</v>
      </c>
      <c r="J59">
        <f>100*708159/1885839</f>
        <v>37.5514028504024</v>
      </c>
      <c r="K59">
        <f>100*32307/764698</f>
        <v>4.22480508645243</v>
      </c>
      <c r="L59">
        <f>IF(COUNT(J59:K59)=2,K59-J59,"")</f>
        <v>-33.32659776394997</v>
      </c>
      <c r="O59">
        <v>21</v>
      </c>
      <c r="P59">
        <v>20</v>
      </c>
      <c r="Q59">
        <f>100*370589/1143839</f>
        <v>32.39870296431578</v>
      </c>
      <c r="R59">
        <f>100*137428/898401</f>
        <v>15.296955368482449</v>
      </c>
      <c r="S59">
        <f>IF(COUNT(Q59:R59)=2,R59-Q59,"")</f>
        <v>-17.10174759583333</v>
      </c>
    </row>
    <row r="60" spans="1:19" x14ac:dyDescent="0.3">
      <c r="A60">
        <v>22</v>
      </c>
      <c r="B60">
        <v>21</v>
      </c>
      <c r="C60">
        <f>100*654996/1913846</f>
        <v>34.22407027524681</v>
      </c>
      <c r="D60">
        <f>100*276164/1309926</f>
        <v>21.08241228893846</v>
      </c>
      <c r="E60">
        <f>IF(COUNT(C60:D60)=2,D60-C60,"")</f>
        <v>-13.14165798630835</v>
      </c>
      <c r="H60">
        <v>22</v>
      </c>
      <c r="I60">
        <v>21</v>
      </c>
      <c r="J60">
        <f>100*858363/1916826</f>
        <v>44.78043390479887</v>
      </c>
      <c r="K60">
        <f>100*440065/1702045</f>
        <v>25.855074337047494</v>
      </c>
      <c r="L60">
        <f>IF(COUNT(J60:K60)=2,K60-J60,"")</f>
        <v>-18.925359567751375</v>
      </c>
      <c r="O60">
        <v>22</v>
      </c>
      <c r="P60">
        <v>21</v>
      </c>
      <c r="Q60">
        <f>100*754527/1680084</f>
        <v>44.91007592477519</v>
      </c>
      <c r="R60">
        <f>100*191183/993937</f>
        <v>19.234921328011737</v>
      </c>
      <c r="S60">
        <f>IF(COUNT(Q60:R60)=2,R60-Q60,"")</f>
        <v>-25.675154596763456</v>
      </c>
    </row>
    <row r="61" spans="1:19" x14ac:dyDescent="0.3">
      <c r="A61">
        <v>23</v>
      </c>
      <c r="B61">
        <v>22</v>
      </c>
      <c r="C61">
        <f>100*604684/1725077</f>
        <v>35.052580261634695</v>
      </c>
      <c r="D61">
        <f>100*158601/1207382</f>
        <v>13.135942063075316</v>
      </c>
      <c r="E61">
        <f>IF(COUNT(C61:D61)=2,D61-C61,"")</f>
        <v>-21.91663819855938</v>
      </c>
      <c r="H61">
        <v>23</v>
      </c>
      <c r="I61">
        <v>22</v>
      </c>
      <c r="J61">
        <f>100*941313/1944636</f>
        <v>48.40561421263414</v>
      </c>
      <c r="K61">
        <f>100*82675/804743</f>
        <v>10.273466187341798</v>
      </c>
      <c r="L61">
        <f>IF(COUNT(J61:K61)=2,K61-J61,"")</f>
        <v>-38.132148025292345</v>
      </c>
      <c r="O61">
        <v>23</v>
      </c>
      <c r="P61">
        <v>22</v>
      </c>
      <c r="Q61">
        <f>100*844/356205</f>
        <v>0.236942210244101</v>
      </c>
      <c r="R61">
        <f>100*656/348816</f>
        <v>0.18806476767120775</v>
      </c>
      <c r="S61">
        <f>IF(COUNT(Q61:R61)=2,R61-Q61,"")</f>
        <v>-0.048877442572893254</v>
      </c>
    </row>
    <row r="62" spans="1:19" x14ac:dyDescent="0.3">
      <c r="A62">
        <v>24</v>
      </c>
      <c r="B62">
        <v>23</v>
      </c>
      <c r="C62">
        <f>100*344998/1193986</f>
        <v>28.894643655788258</v>
      </c>
      <c r="D62">
        <f>100*13475/623454</f>
        <v>2.1613463062230736</v>
      </c>
      <c r="E62">
        <f>IF(COUNT(C62:D62)=2,D62-C62,"")</f>
        <v>-26.733297349565184</v>
      </c>
      <c r="H62">
        <v>24</v>
      </c>
      <c r="I62">
        <v>23</v>
      </c>
      <c r="J62">
        <f>100*792417/1775752</f>
        <v>44.62430564628394</v>
      </c>
      <c r="K62">
        <f>100*106525/1015472</f>
        <v>10.490195692249516</v>
      </c>
      <c r="L62">
        <f>IF(COUNT(J62:K62)=2,K62-J62,"")</f>
        <v>-34.13410995403443</v>
      </c>
      <c r="O62">
        <v>24</v>
      </c>
      <c r="P62">
        <v>23</v>
      </c>
      <c r="Q62">
        <f>100*197250/941831</f>
        <v>20.94324778012191</v>
      </c>
      <c r="R62">
        <f>100*32215/702602</f>
        <v>4.585099387704561</v>
      </c>
      <c r="S62">
        <f>IF(COUNT(Q62:R62)=2,R62-Q62,"")</f>
        <v>-16.35814839241735</v>
      </c>
    </row>
    <row r="63" spans="1:19" x14ac:dyDescent="0.3">
      <c r="A63">
        <v>25</v>
      </c>
      <c r="B63">
        <v>24</v>
      </c>
      <c r="C63">
        <f>100*768464/1759518</f>
        <v>43.67468818164975</v>
      </c>
      <c r="D63">
        <f>100*70739/946713</f>
        <v>7.472063867296636</v>
      </c>
      <c r="E63">
        <f>IF(COUNT(C63:D63)=2,D63-C63,"")</f>
        <v>-36.202624314353116</v>
      </c>
      <c r="H63">
        <v>25</v>
      </c>
      <c r="I63">
        <v>24</v>
      </c>
      <c r="J63">
        <f>100*708043/1588574</f>
        <v>44.57098001100358</v>
      </c>
      <c r="K63">
        <f>100*97888/846548</f>
        <v>11.56319547149128</v>
      </c>
      <c r="L63">
        <f>IF(COUNT(J63:K63)=2,K63-J63,"")</f>
        <v>-33.0077845395123</v>
      </c>
      <c r="O63">
        <v>25</v>
      </c>
      <c r="P63">
        <v>24</v>
      </c>
      <c r="Q63">
        <f>100*339441/1160878</f>
        <v>29.240023499454722</v>
      </c>
      <c r="R63">
        <f>100*276862/1215810</f>
        <v>22.771814674990335</v>
      </c>
      <c r="S63">
        <f>IF(COUNT(Q63:R63)=2,R63-Q63,"")</f>
        <v>-6.468208824464387</v>
      </c>
    </row>
    <row r="64" spans="1:19" x14ac:dyDescent="0.3">
      <c r="A64">
        <v>26</v>
      </c>
      <c r="B64">
        <v>25</v>
      </c>
      <c r="C64">
        <f>100*872598/1965096</f>
        <v>44.40485350334029</v>
      </c>
      <c r="D64">
        <f>100*69455/806443</f>
        <v>8.612511981627964</v>
      </c>
      <c r="E64">
        <f>IF(COUNT(C64:D64)=2,D64-C64,"")</f>
        <v>-35.79234152171233</v>
      </c>
      <c r="H64">
        <v>26</v>
      </c>
      <c r="I64">
        <v>25</v>
      </c>
      <c r="J64">
        <f>100*398836/1246025</f>
        <v>32.008667562849865</v>
      </c>
      <c r="K64">
        <f>100*277005/1521146</f>
        <v>18.21028356252457</v>
      </c>
      <c r="L64">
        <f>IF(COUNT(J64:K64)=2,K64-J64,"")</f>
        <v>-13.798384000325296</v>
      </c>
      <c r="O64">
        <v>26</v>
      </c>
      <c r="P64">
        <v>25</v>
      </c>
      <c r="Q64">
        <f>100*775571/1671807</f>
        <v>46.39118032165196</v>
      </c>
      <c r="R64">
        <f>100*4841/16749</f>
        <v>28.903218102573287</v>
      </c>
      <c r="S64">
        <f>IF(COUNT(Q64:R64)=2,R64-Q64,"")</f>
        <v>-17.48796221907867</v>
      </c>
    </row>
    <row r="65" spans="1:19" x14ac:dyDescent="0.3">
      <c r="A65">
        <v>27</v>
      </c>
      <c r="B65">
        <v>26</v>
      </c>
      <c r="C65">
        <f>100*588879/1713537</f>
        <v>34.36628447474435</v>
      </c>
      <c r="D65">
        <f>100*185120/1323140</f>
        <v>13.990960896050305</v>
      </c>
      <c r="E65">
        <f>IF(COUNT(C65:D65)=2,D65-C65,"")</f>
        <v>-20.375323578694044</v>
      </c>
      <c r="H65">
        <v>27</v>
      </c>
      <c r="I65">
        <v>26</v>
      </c>
      <c r="J65">
        <f>100*537175/1539092</f>
        <v>34.90207213084078</v>
      </c>
      <c r="K65">
        <f>100*370239/1689615</f>
        <v>21.912625065473495</v>
      </c>
      <c r="L65">
        <f>IF(COUNT(J65:K65)=2,K65-J65,"")</f>
        <v>-12.989447065367283</v>
      </c>
      <c r="O65">
        <v>27</v>
      </c>
      <c r="P65">
        <v>26</v>
      </c>
      <c r="Q65">
        <f>100*484579/1297589</f>
        <v>37.34456750172821</v>
      </c>
      <c r="R65">
        <f>100*445656/1593556</f>
        <v>27.96613360308643</v>
      </c>
      <c r="S65">
        <f>IF(COUNT(Q65:R65)=2,R65-Q65,"")</f>
        <v>-9.378433898641777</v>
      </c>
    </row>
    <row r="66" spans="1:19" x14ac:dyDescent="0.3">
      <c r="A66">
        <v>28</v>
      </c>
      <c r="B66">
        <v>27</v>
      </c>
      <c r="C66">
        <f>100*367929/1192094</f>
        <v>30.864092932268765</v>
      </c>
      <c r="D66">
        <f>100*264653/1438516</f>
        <v>18.397640346023262</v>
      </c>
      <c r="E66">
        <f>IF(COUNT(C66:D66)=2,D66-C66,"")</f>
        <v>-12.466452586245502</v>
      </c>
      <c r="H66">
        <v>28</v>
      </c>
      <c r="I66">
        <v>27</v>
      </c>
      <c r="J66">
        <f>100*531985/1356503</f>
        <v>39.21738470169252</v>
      </c>
      <c r="K66">
        <f>100*220506/1280574</f>
        <v>17.21930946591138</v>
      </c>
      <c r="L66">
        <f>IF(COUNT(J66:K66)=2,K66-J66,"")</f>
        <v>-21.998075235781137</v>
      </c>
      <c r="O66">
        <v>28</v>
      </c>
      <c r="P66">
        <v>27</v>
      </c>
      <c r="Q66">
        <f>100*341/342230</f>
        <v>0.09964059258393478</v>
      </c>
      <c r="R66">
        <f>100*3891/349009</f>
        <v>1.114870963212983</v>
      </c>
      <c r="S66">
        <f>IF(COUNT(Q66:R66)=2,R66-Q66,"")</f>
        <v>1.0152303706290482</v>
      </c>
    </row>
    <row r="67" spans="1:19" x14ac:dyDescent="0.3">
      <c r="A67">
        <v>29</v>
      </c>
      <c r="B67">
        <v>28</v>
      </c>
      <c r="C67">
        <f>100*656014/1602695</f>
        <v>40.93193027993473</v>
      </c>
      <c r="D67">
        <f>100*141720/1192855</f>
        <v>11.88073990552079</v>
      </c>
      <c r="E67">
        <f>IF(COUNT(C67:D67)=2,D67-C67,"")</f>
        <v>-29.05119037441394</v>
      </c>
      <c r="H67">
        <v>29</v>
      </c>
      <c r="I67">
        <v>28</v>
      </c>
      <c r="J67">
        <f>100*917947/2006663</f>
        <v>45.74495069675376</v>
      </c>
      <c r="K67">
        <f>100*257660/1433024</f>
        <v>17.980159439060337</v>
      </c>
      <c r="L67">
        <f>IF(COUNT(J67:K67)=2,K67-J67,"")</f>
        <v>-27.764791257693425</v>
      </c>
      <c r="O67">
        <v>29</v>
      </c>
      <c r="P67">
        <v>28</v>
      </c>
      <c r="Q67">
        <f>100*506385/1453010</f>
        <v>34.850758081499784</v>
      </c>
      <c r="R67">
        <f>100*322232/1667967</f>
        <v>19.31884743523103</v>
      </c>
      <c r="S67">
        <f>IF(COUNT(Q67:R67)=2,R67-Q67,"")</f>
        <v>-15.531910646268752</v>
      </c>
    </row>
    <row r="68" spans="1:19" x14ac:dyDescent="0.3">
      <c r="A68">
        <v>30</v>
      </c>
      <c r="B68">
        <v>29</v>
      </c>
      <c r="C68">
        <f>100*39372/653286</f>
        <v>6.026763163453679</v>
      </c>
      <c r="D68">
        <f>100*13507/505514</f>
        <v>2.6719339128095365</v>
      </c>
      <c r="E68">
        <f>IF(COUNT(C68:D68)=2,D68-C68,"")</f>
        <v>-3.3548292506441424</v>
      </c>
      <c r="H68">
        <v>30</v>
      </c>
      <c r="I68">
        <v>29</v>
      </c>
      <c r="J68">
        <f>100*537109/1458999</f>
        <v>36.81352763093052</v>
      </c>
      <c r="K68">
        <f>100*127956/1019984</f>
        <v>12.544902665139846</v>
      </c>
      <c r="L68">
        <f>IF(COUNT(J68:K68)=2,K68-J68,"")</f>
        <v>-24.26862496579068</v>
      </c>
      <c r="O68">
        <v>30</v>
      </c>
      <c r="P68">
        <v>29</v>
      </c>
      <c r="Q68">
        <f>100*609326/1423323</f>
        <v>42.81010002648731</v>
      </c>
      <c r="R68">
        <f>100*171975/943996</f>
        <v>18.217767871897763</v>
      </c>
      <c r="S68">
        <f>IF(COUNT(Q68:R68)=2,R68-Q68,"")</f>
        <v>-24.59233215458955</v>
      </c>
    </row>
    <row r="69" spans="1:19" x14ac:dyDescent="0.3">
      <c r="A69">
        <v>31</v>
      </c>
      <c r="B69">
        <v>30</v>
      </c>
      <c r="C69">
        <f>100*401250/1230061</f>
        <v>32.62033346313719</v>
      </c>
      <c r="D69">
        <f>100*179616/1135415</f>
        <v>15.819414046846306</v>
      </c>
      <c r="E69">
        <f>IF(COUNT(C69:D69)=2,D69-C69,"")</f>
        <v>-16.80091941629089</v>
      </c>
      <c r="H69">
        <v>31</v>
      </c>
      <c r="I69">
        <v>30</v>
      </c>
      <c r="J69">
        <f>100*589124/1665281</f>
        <v>35.3768523150147</v>
      </c>
      <c r="K69">
        <f>100*163138/1176942</f>
        <v>13.861175826846182</v>
      </c>
      <c r="L69">
        <f>IF(COUNT(J69:K69)=2,K69-J69,"")</f>
        <v>-21.51567648816852</v>
      </c>
      <c r="O69">
        <v>31</v>
      </c>
      <c r="P69">
        <v>30</v>
      </c>
      <c r="Q69">
        <f>100*1911/646412</f>
        <v>0.2956318880218808</v>
      </c>
      <c r="R69">
        <f>100*55171/2790057</f>
        <v>1.9774147983356611</v>
      </c>
      <c r="S69">
        <f>IF(COUNT(Q69:R69)=2,R69-Q69,"")</f>
        <v>1.6817829103137805</v>
      </c>
    </row>
    <row r="70" spans="1:19" x14ac:dyDescent="0.3">
      <c r="A70" t="s">
        <v>5</v>
      </c>
      <c r="C70">
        <f>IF(COUNT(C39:C69)&gt;0,AVERAGE(C39:C69),"")</f>
        <v>31.6417312238221</v>
      </c>
      <c r="D70">
        <f>IF(COUNT(D39:D69)&gt;0,AVERAGE(D39:D69),"")</f>
        <v>10.845168223703885</v>
      </c>
      <c r="E70">
        <f>IF(COUNT(E39:E69)&gt;0,AVERAGE(E39:E69),"")</f>
        <v>-20.796563000118216</v>
      </c>
      <c r="H70" t="s">
        <v>5</v>
      </c>
      <c r="J70">
        <f>IF(COUNT(J39:J69)&gt;0,AVERAGE(J39:J69),"")</f>
        <v>32.99518015949494</v>
      </c>
      <c r="K70">
        <f>IF(COUNT(K39:K69)&gt;0,AVERAGE(K39:K69),"")</f>
        <v>12.686052434740828</v>
      </c>
      <c r="L70">
        <f>IF(COUNT(L39:L69)&gt;0,AVERAGE(L39:L69),"")</f>
        <v>-20.309127724754113</v>
      </c>
      <c r="O70" t="s">
        <v>5</v>
      </c>
      <c r="Q70">
        <f>IF(COUNT(Q39:Q69)&gt;0,AVERAGE(Q39:Q69),"")</f>
        <v>30.180215695878577</v>
      </c>
      <c r="R70">
        <f>IF(COUNT(R39:R69)&gt;0,AVERAGE(R39:R69),"")</f>
        <v>14.472155758166329</v>
      </c>
      <c r="S70">
        <f>IF(COUNT(S39:S69)&gt;0,AVERAGE(S39:S69),"")</f>
        <v>-15.708059937712244</v>
      </c>
    </row>
    <row r="73" spans="1:19" s="2" customFormat="1" x14ac:dyDescent="0.3">
      <c r="A73" s="1" t="s">
        <v>12</v>
      </c>
      <c r="B73" s="1"/>
      <c r="C73" s="1"/>
      <c r="D73" s="1"/>
      <c r="E73" s="1"/>
      <c r="H73" s="1" t="s">
        <v>13</v>
      </c>
      <c r="I73" s="1"/>
      <c r="J73" s="1"/>
      <c r="K73" s="1"/>
      <c r="L73" s="1"/>
      <c r="O73" s="1" t="s">
        <v>14</v>
      </c>
      <c r="P73" s="1"/>
      <c r="Q73" s="1"/>
      <c r="R73" s="1"/>
      <c r="S73" s="1"/>
    </row>
    <row r="74" spans="1:19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O74" t="s">
        <v>0</v>
      </c>
      <c r="P74" t="s">
        <v>1</v>
      </c>
      <c r="Q74" t="s">
        <v>2</v>
      </c>
      <c r="R74" t="s">
        <v>3</v>
      </c>
      <c r="S74" t="s">
        <v>4</v>
      </c>
    </row>
    <row r="75" spans="1:19" x14ac:dyDescent="0.3">
      <c r="A75">
        <v>1</v>
      </c>
      <c r="B75">
        <v>0</v>
      </c>
      <c r="C75">
        <f>100*950574/2156408</f>
        <v>44.08136122663244</v>
      </c>
      <c r="D75">
        <f>100*54612/951399</f>
        <v>5.740178410950611</v>
      </c>
      <c r="E75">
        <f>IF(COUNT(C75:D75)=2,D75-C75,"")</f>
        <v>-38.341182815681826</v>
      </c>
      <c r="H75">
        <v>1</v>
      </c>
      <c r="I75">
        <v>0</v>
      </c>
      <c r="J75">
        <f>100*1161020/2178231</f>
        <v>53.30105025591868</v>
      </c>
      <c r="K75">
        <f>100*64095/903116</f>
        <v>7.097094946828536</v>
      </c>
      <c r="L75">
        <f>IF(COUNT(J75:K75)=2,K75-J75,"")</f>
        <v>-46.20395530909015</v>
      </c>
      <c r="O75">
        <v>1</v>
      </c>
      <c r="P75">
        <v>0</v>
      </c>
      <c r="Q75">
        <f>100*17855/657603</f>
        <v>2.7151640123296272</v>
      </c>
      <c r="R75">
        <f>100*110169/864503</f>
        <v>12.743622636358694</v>
      </c>
      <c r="S75">
        <f>IF(COUNT(Q75:R75)=2,R75-Q75,"")</f>
        <v>10.028458624029067</v>
      </c>
    </row>
    <row r="76" spans="1:19" x14ac:dyDescent="0.3">
      <c r="A76">
        <v>2</v>
      </c>
      <c r="B76">
        <v>1</v>
      </c>
      <c r="C76">
        <f>100*784284/1919387</f>
        <v>40.861170780045924</v>
      </c>
      <c r="D76">
        <f>100*39673/600146</f>
        <v>6.610558097529601</v>
      </c>
      <c r="E76">
        <f>IF(COUNT(C76:D76)=2,D76-C76,"")</f>
        <v>-34.25061268251632</v>
      </c>
      <c r="H76">
        <v>2</v>
      </c>
      <c r="I76">
        <v>1</v>
      </c>
      <c r="J76">
        <f>100*920313/2115455</f>
        <v>43.50425794923551</v>
      </c>
      <c r="K76">
        <f>100*300487/1691384</f>
        <v>17.765746867653945</v>
      </c>
      <c r="L76">
        <f>IF(COUNT(J76:K76)=2,K76-J76,"")</f>
        <v>-25.738511081581564</v>
      </c>
      <c r="O76">
        <v>2</v>
      </c>
      <c r="P76">
        <v>1</v>
      </c>
      <c r="Q76">
        <f>100*506051/1366563</f>
        <v>37.03093088280599</v>
      </c>
      <c r="R76">
        <f>100*171294/978218</f>
        <v>17.510820696409183</v>
      </c>
      <c r="S76">
        <f>IF(COUNT(Q76:R76)=2,R76-Q76,"")</f>
        <v>-19.520110186396806</v>
      </c>
    </row>
    <row r="77" spans="1:19" x14ac:dyDescent="0.3">
      <c r="A77">
        <v>3</v>
      </c>
      <c r="B77">
        <v>2</v>
      </c>
      <c r="C77">
        <f>100*45924/1162874</f>
        <v>3.949181080667381</v>
      </c>
      <c r="D77">
        <f>100*449270/1859690</f>
        <v>24.158327463179347</v>
      </c>
      <c r="E77">
        <f>IF(COUNT(C77:D77)=2,D77-C77,"")</f>
        <v>20.209146382511967</v>
      </c>
      <c r="H77">
        <v>3</v>
      </c>
      <c r="I77">
        <v>2</v>
      </c>
      <c r="J77">
        <f>100*702390/1654096</f>
        <v>42.46367804528879</v>
      </c>
      <c r="K77">
        <f>100*190805/1432966</f>
        <v>13.315389199743748</v>
      </c>
      <c r="L77">
        <f>IF(COUNT(J77:K77)=2,K77-J77,"")</f>
        <v>-29.14828884554504</v>
      </c>
      <c r="O77">
        <v>3</v>
      </c>
      <c r="P77">
        <v>2</v>
      </c>
      <c r="Q77">
        <f>100*580189/1478595</f>
        <v>39.239210196165956</v>
      </c>
      <c r="R77">
        <f>100*327362/1479487</f>
        <v>22.126723654888487</v>
      </c>
      <c r="S77">
        <f>IF(COUNT(Q77:R77)=2,R77-Q77,"")</f>
        <v>-17.11248654127747</v>
      </c>
    </row>
    <row r="78" spans="1:19" x14ac:dyDescent="0.3">
      <c r="A78">
        <v>4</v>
      </c>
      <c r="B78">
        <v>3</v>
      </c>
      <c r="C78">
        <f>100*987891/1871797</f>
        <v>52.77767834866708</v>
      </c>
      <c r="D78">
        <f>100*126874/1106636</f>
        <v>11.464835772557553</v>
      </c>
      <c r="E78">
        <f>IF(COUNT(C78:D78)=2,D78-C78,"")</f>
        <v>-41.31284257610953</v>
      </c>
      <c r="H78">
        <v>4</v>
      </c>
      <c r="I78">
        <v>3</v>
      </c>
      <c r="J78">
        <f>100*827459/1741510</f>
        <v>47.51388163145776</v>
      </c>
      <c r="K78">
        <f>100*55486/913015</f>
        <v>6.077227646862319</v>
      </c>
      <c r="L78">
        <f>IF(COUNT(J78:K78)=2,K78-J78,"")</f>
        <v>-41.43665398459544</v>
      </c>
      <c r="O78">
        <v>4</v>
      </c>
      <c r="P78">
        <v>3</v>
      </c>
      <c r="Q78">
        <f>100*617738/1364388</f>
        <v>45.27583062882406</v>
      </c>
      <c r="R78">
        <f>100*455606/1779315</f>
        <v>25.60569657424346</v>
      </c>
      <c r="S78">
        <f>IF(COUNT(Q78:R78)=2,R78-Q78,"")</f>
        <v>-19.6701340545806</v>
      </c>
    </row>
    <row r="79" spans="1:19" x14ac:dyDescent="0.3">
      <c r="A79">
        <v>5</v>
      </c>
      <c r="B79">
        <v>4</v>
      </c>
      <c r="C79">
        <f>100*1067979/2182567</f>
        <v>48.932243546246234</v>
      </c>
      <c r="D79">
        <f>100*461050/1956994</f>
        <v>23.559091136712734</v>
      </c>
      <c r="E79">
        <f>IF(COUNT(C79:D79)=2,D79-C79,"")</f>
        <v>-25.3731524095335</v>
      </c>
      <c r="H79">
        <v>5</v>
      </c>
      <c r="I79">
        <v>4</v>
      </c>
      <c r="J79">
        <f>100*1035328/2211231</f>
        <v>46.82134069213031</v>
      </c>
      <c r="K79">
        <f>100*412970/1912690</f>
        <v>21.59105762041941</v>
      </c>
      <c r="L79">
        <f>IF(COUNT(J79:K79)=2,K79-J79,"")</f>
        <v>-25.230283071710904</v>
      </c>
      <c r="O79">
        <v>5</v>
      </c>
      <c r="P79">
        <v>4</v>
      </c>
      <c r="Q79">
        <f>100*829508/1701576</f>
        <v>48.749394678815406</v>
      </c>
      <c r="R79">
        <f>100*107835/903488</f>
        <v>11.935410320889707</v>
      </c>
      <c r="S79">
        <f>IF(COUNT(Q79:R79)=2,R79-Q79,"")</f>
        <v>-36.8139843579257</v>
      </c>
    </row>
    <row r="80" spans="1:19" x14ac:dyDescent="0.3">
      <c r="A80">
        <v>6</v>
      </c>
      <c r="B80">
        <v>5</v>
      </c>
      <c r="C80">
        <f>100*819594/1914103</f>
        <v>42.81869888924473</v>
      </c>
      <c r="D80">
        <f>100*286208/1652130</f>
        <v>17.323576231894585</v>
      </c>
      <c r="E80">
        <f>IF(COUNT(C80:D80)=2,D80-C80,"")</f>
        <v>-25.495122657350144</v>
      </c>
      <c r="H80">
        <v>6</v>
      </c>
      <c r="I80">
        <v>5</v>
      </c>
      <c r="J80">
        <f>100*627723/1597246</f>
        <v>39.30033319851795</v>
      </c>
      <c r="K80">
        <f>100*500545/1997676</f>
        <v>25.056365496707173</v>
      </c>
      <c r="L80">
        <f>IF(COUNT(J80:K80)=2,K80-J80,"")</f>
        <v>-14.243967701810774</v>
      </c>
      <c r="O80">
        <v>6</v>
      </c>
      <c r="P80">
        <v>5</v>
      </c>
      <c r="Q80">
        <f>100*561642/1450968</f>
        <v>38.70809004747176</v>
      </c>
      <c r="R80">
        <f>100*208988/1050486</f>
        <v>19.894410777487753</v>
      </c>
      <c r="S80">
        <f>IF(COUNT(Q80:R80)=2,R80-Q80,"")</f>
        <v>-18.813679269984004</v>
      </c>
    </row>
    <row r="81" spans="1:19" x14ac:dyDescent="0.3">
      <c r="A81">
        <v>7</v>
      </c>
      <c r="B81">
        <v>6</v>
      </c>
      <c r="C81">
        <f>100*6901/528040</f>
        <v>1.3069085675327627</v>
      </c>
      <c r="D81">
        <f>100*58351/711078</f>
        <v>8.205991466477657</v>
      </c>
      <c r="E81">
        <f>IF(COUNT(C81:D81)=2,D81-C81,"")</f>
        <v>6.8990828989448945</v>
      </c>
      <c r="H81">
        <v>7</v>
      </c>
      <c r="I81">
        <v>6</v>
      </c>
      <c r="J81">
        <f>100*3904/710153</f>
        <v>0.5497406896823642</v>
      </c>
      <c r="K81">
        <f>100*28621/706947</f>
        <v>4.048535463054515</v>
      </c>
      <c r="L81">
        <f>IF(COUNT(J81:K81)=2,K81-J81,"")</f>
        <v>3.4987947733721505</v>
      </c>
      <c r="O81">
        <v>7</v>
      </c>
      <c r="P81">
        <v>6</v>
      </c>
      <c r="Q81">
        <f>100*769806/1827455</f>
        <v>42.124484597431945</v>
      </c>
      <c r="R81">
        <f>100*369666/1609537</f>
        <v>22.967225978651005</v>
      </c>
      <c r="S81">
        <f>IF(COUNT(Q81:R81)=2,R81-Q81,"")</f>
        <v>-19.15725861878094</v>
      </c>
    </row>
    <row r="82" spans="1:19" x14ac:dyDescent="0.3">
      <c r="A82">
        <v>8</v>
      </c>
      <c r="B82">
        <v>7</v>
      </c>
      <c r="C82">
        <f>100*8971/665002</f>
        <v>1.3490184991924836</v>
      </c>
      <c r="D82">
        <f>100*14016/524391</f>
        <v>2.672814750825243</v>
      </c>
      <c r="E82">
        <f>IF(COUNT(C82:D82)=2,D82-C82,"")</f>
        <v>1.3237962516327595</v>
      </c>
      <c r="H82">
        <v>8</v>
      </c>
      <c r="I82">
        <v>7</v>
      </c>
      <c r="J82">
        <f>100*7411/619510</f>
        <v>1.1962680182725056</v>
      </c>
      <c r="K82">
        <f>100*431/501878</f>
        <v>0.08587744431913732</v>
      </c>
      <c r="L82">
        <f>IF(COUNT(J82:K82)=2,K82-J82,"")</f>
        <v>-1.1103905739533684</v>
      </c>
      <c r="O82">
        <v>8</v>
      </c>
      <c r="P82">
        <v>7</v>
      </c>
      <c r="Q82">
        <f>100*842526/1806467</f>
        <v>46.63943487481365</v>
      </c>
      <c r="R82">
        <f>100*294206/3461739</f>
        <v>8.49879208108988</v>
      </c>
      <c r="S82">
        <f>IF(COUNT(Q82:R82)=2,R82-Q82,"")</f>
        <v>-38.14064279372377</v>
      </c>
    </row>
    <row r="83" spans="1:19" x14ac:dyDescent="0.3">
      <c r="A83">
        <v>9</v>
      </c>
      <c r="B83">
        <v>8</v>
      </c>
      <c r="C83">
        <f>100*766923/1967808</f>
        <v>38.9734669236023</v>
      </c>
      <c r="D83">
        <f>100*327509/1607477</f>
        <v>20.374101775639712</v>
      </c>
      <c r="E83">
        <f>IF(COUNT(C83:D83)=2,D83-C83,"")</f>
        <v>-18.59936514796259</v>
      </c>
      <c r="H83">
        <v>9</v>
      </c>
      <c r="I83">
        <v>8</v>
      </c>
      <c r="J83">
        <f>100*986121/2196978</f>
        <v>44.88533795058485</v>
      </c>
      <c r="K83">
        <f>100*180047/1101549</f>
        <v>16.344892510455733</v>
      </c>
      <c r="L83">
        <f>IF(COUNT(J83:K83)=2,K83-J83,"")</f>
        <v>-28.540445440129115</v>
      </c>
      <c r="O83">
        <v>9</v>
      </c>
      <c r="P83">
        <v>8</v>
      </c>
      <c r="Q83">
        <f>100*418704/1300185</f>
        <v>32.20341720601299</v>
      </c>
      <c r="R83">
        <f>100*43130/418812</f>
        <v>10.298176747562152</v>
      </c>
      <c r="S83">
        <f>IF(COUNT(Q83:R83)=2,R83-Q83,"")</f>
        <v>-21.90524045845084</v>
      </c>
    </row>
    <row r="84" spans="1:19" x14ac:dyDescent="0.3">
      <c r="A84">
        <v>10</v>
      </c>
      <c r="B84">
        <v>9</v>
      </c>
      <c r="C84">
        <f>100*193316/1207283</f>
        <v>16.012484231120624</v>
      </c>
      <c r="D84">
        <f>100*201665/1443379</f>
        <v>13.971728839064445</v>
      </c>
      <c r="E84">
        <f>IF(COUNT(C84:D84)=2,D84-C84,"")</f>
        <v>-2.0407553920561785</v>
      </c>
      <c r="H84">
        <v>10</v>
      </c>
      <c r="I84">
        <v>9</v>
      </c>
      <c r="J84">
        <f>100*1094395/2180634</f>
        <v>50.187009832920154</v>
      </c>
      <c r="K84">
        <f>100*65973/1084288</f>
        <v>6.084453576909456</v>
      </c>
      <c r="L84">
        <f>IF(COUNT(J84:K84)=2,K84-J84,"")</f>
        <v>-44.1025562560107</v>
      </c>
      <c r="O84">
        <v>10</v>
      </c>
      <c r="P84">
        <v>9</v>
      </c>
      <c r="Q84">
        <f>100*10580/624813</f>
        <v>1.6933066373458938</v>
      </c>
      <c r="R84">
        <f>100*7869/618875</f>
        <v>1.2715007069278934</v>
      </c>
      <c r="S84">
        <f>IF(COUNT(Q84:R84)=2,R84-Q84,"")</f>
        <v>-0.4218059304180004</v>
      </c>
    </row>
    <row r="85" spans="1:19" x14ac:dyDescent="0.3">
      <c r="A85">
        <v>11</v>
      </c>
      <c r="B85">
        <v>10</v>
      </c>
      <c r="C85">
        <f>100*1000200/2058009</f>
        <v>48.60037055231537</v>
      </c>
      <c r="D85">
        <f>100*35219/863124</f>
        <v>4.080410230743207</v>
      </c>
      <c r="E85">
        <f>IF(COUNT(C85:D85)=2,D85-C85,"")</f>
        <v>-44.519960321572164</v>
      </c>
      <c r="H85">
        <v>11</v>
      </c>
      <c r="I85">
        <v>10</v>
      </c>
      <c r="J85">
        <f>100*1248271/2251399</f>
        <v>55.444237116566185</v>
      </c>
      <c r="K85">
        <f>100*53975/939384</f>
        <v>5.745786600580806</v>
      </c>
      <c r="L85">
        <f>IF(COUNT(J85:K85)=2,K85-J85,"")</f>
        <v>-49.69845051598538</v>
      </c>
      <c r="O85">
        <v>11</v>
      </c>
      <c r="P85">
        <v>10</v>
      </c>
      <c r="Q85">
        <f>100*858874/1796310</f>
        <v>47.8132393629162</v>
      </c>
      <c r="R85">
        <f>100*275951/1279044</f>
        <v>21.57478554295239</v>
      </c>
      <c r="S85">
        <f>IF(COUNT(Q85:R85)=2,R85-Q85,"")</f>
        <v>-26.23845381996381</v>
      </c>
    </row>
    <row r="86" spans="1:19" x14ac:dyDescent="0.3">
      <c r="A86">
        <v>12</v>
      </c>
      <c r="B86">
        <v>11</v>
      </c>
      <c r="C86">
        <f>100*1083380/2227336</f>
        <v>48.640169242539066</v>
      </c>
      <c r="D86">
        <f>100*154006/1305198</f>
        <v>11.799435794415867</v>
      </c>
      <c r="E86">
        <f>IF(COUNT(C86:D86)=2,D86-C86,"")</f>
        <v>-36.8407334481232</v>
      </c>
      <c r="H86">
        <v>12</v>
      </c>
      <c r="I86">
        <v>11</v>
      </c>
      <c r="J86">
        <f>100*847034/1777114</f>
        <v>47.66345884394586</v>
      </c>
      <c r="K86">
        <f>100*21015/800274</f>
        <v>2.6259756033558506</v>
      </c>
      <c r="L86">
        <f>IF(COUNT(J86:K86)=2,K86-J86,"")</f>
        <v>-45.037483240590014</v>
      </c>
      <c r="O86">
        <v>12</v>
      </c>
      <c r="P86">
        <v>11</v>
      </c>
      <c r="Q86">
        <f>100*739588/1710894</f>
        <v>43.22816024838476</v>
      </c>
      <c r="R86">
        <f>100*131269/1066549</f>
        <v>12.30782645710605</v>
      </c>
      <c r="S86">
        <f>IF(COUNT(Q86:R86)=2,R86-Q86,"")</f>
        <v>-30.92033379127871</v>
      </c>
    </row>
    <row r="87" spans="1:19" x14ac:dyDescent="0.3">
      <c r="A87">
        <v>13</v>
      </c>
      <c r="B87">
        <v>12</v>
      </c>
      <c r="C87">
        <f>100*7212/818878</f>
        <v>0.8807172741238621</v>
      </c>
      <c r="D87">
        <f>100*11259/771768</f>
        <v>1.4588581024349285</v>
      </c>
      <c r="E87">
        <f>IF(COUNT(C87:D87)=2,D87-C87,"")</f>
        <v>0.5781408283110664</v>
      </c>
      <c r="H87">
        <v>13</v>
      </c>
      <c r="I87">
        <v>12</v>
      </c>
      <c r="J87">
        <f>100*767025/1720041</f>
        <v>44.593413761648705</v>
      </c>
      <c r="K87">
        <f>100*15437/862146</f>
        <v>1.7905319980606533</v>
      </c>
      <c r="L87">
        <f>IF(COUNT(J87:K87)=2,K87-J87,"")</f>
        <v>-42.802881763588054</v>
      </c>
      <c r="O87">
        <v>13</v>
      </c>
      <c r="P87">
        <v>12</v>
      </c>
      <c r="Q87">
        <f>100*371461/1317955</f>
        <v>28.18464970351795</v>
      </c>
      <c r="R87">
        <f>100*70504/1002237</f>
        <v>7.034663457844801</v>
      </c>
      <c r="S87">
        <f>IF(COUNT(Q87:R87)=2,R87-Q87,"")</f>
        <v>-21.14998624567315</v>
      </c>
    </row>
    <row r="88" spans="1:19" x14ac:dyDescent="0.3">
      <c r="A88">
        <v>14</v>
      </c>
      <c r="B88">
        <v>13</v>
      </c>
      <c r="C88">
        <f>100*92689/774868</f>
        <v>11.961908350841691</v>
      </c>
      <c r="D88">
        <f>100*146132/1127290</f>
        <v>12.96312395213299</v>
      </c>
      <c r="E88">
        <f>IF(COUNT(C88:D88)=2,D88-C88,"")</f>
        <v>1.0012156012912996</v>
      </c>
      <c r="H88">
        <v>14</v>
      </c>
      <c r="I88">
        <v>13</v>
      </c>
      <c r="J88">
        <f>100*438708/1328922</f>
        <v>33.01232126490494</v>
      </c>
      <c r="K88">
        <f>100*287123/1373902</f>
        <v>20.898361018471476</v>
      </c>
      <c r="L88">
        <f>IF(COUNT(J88:K88)=2,K88-J88,"")</f>
        <v>-12.113960246433464</v>
      </c>
      <c r="O88">
        <v>14</v>
      </c>
      <c r="P88">
        <v>13</v>
      </c>
      <c r="Q88">
        <f>100*183244/894097</f>
        <v>20.494868006491465</v>
      </c>
      <c r="R88">
        <f>100*16285/687763</f>
        <v>2.367821473385454</v>
      </c>
      <c r="S88">
        <f>IF(COUNT(Q88:R88)=2,R88-Q88,"")</f>
        <v>-18.12704653310601</v>
      </c>
    </row>
    <row r="89" spans="1:19" x14ac:dyDescent="0.3">
      <c r="A89">
        <v>15</v>
      </c>
      <c r="B89">
        <v>14</v>
      </c>
      <c r="C89">
        <f>100*410087/1559215</f>
        <v>26.30086293423293</v>
      </c>
      <c r="D89">
        <f>100*186218/1307964</f>
        <v>14.237242003602546</v>
      </c>
      <c r="E89">
        <f>IF(COUNT(C89:D89)=2,D89-C89,"")</f>
        <v>-12.063620930630385</v>
      </c>
      <c r="H89">
        <v>15</v>
      </c>
      <c r="I89">
        <v>14</v>
      </c>
      <c r="J89">
        <f>100*378843/1975907</f>
        <v>19.173118977765654</v>
      </c>
      <c r="K89">
        <f>100*203773/1515089</f>
        <v>13.449572929379066</v>
      </c>
      <c r="L89">
        <f>IF(COUNT(J89:K89)=2,K89-J89,"")</f>
        <v>-5.723546048386588</v>
      </c>
      <c r="O89">
        <v>15</v>
      </c>
      <c r="P89">
        <v>14</v>
      </c>
      <c r="Q89">
        <f>100*672160/1590176</f>
        <v>42.269534944559595</v>
      </c>
      <c r="R89">
        <f>100*130215/644892</f>
        <v>20.191753037717945</v>
      </c>
      <c r="S89">
        <f>IF(COUNT(Q89:R89)=2,R89-Q89,"")</f>
        <v>-22.07778190684165</v>
      </c>
    </row>
    <row r="90" spans="1:19" x14ac:dyDescent="0.3">
      <c r="A90">
        <v>16</v>
      </c>
      <c r="B90">
        <v>15</v>
      </c>
      <c r="C90">
        <f>100*1111193/2179314</f>
        <v>50.988200874220055</v>
      </c>
      <c r="D90">
        <f>100*41490/1068046</f>
        <v>3.884664143679205</v>
      </c>
      <c r="E90">
        <f>IF(COUNT(C90:D90)=2,D90-C90,"")</f>
        <v>-47.10353673054085</v>
      </c>
      <c r="H90">
        <v>16</v>
      </c>
      <c r="I90">
        <v>15</v>
      </c>
      <c r="J90">
        <f>100*769550/1774401</f>
        <v>43.36956527864896</v>
      </c>
      <c r="K90">
        <f>100*113991/1202451</f>
        <v>9.479887330128212</v>
      </c>
      <c r="L90">
        <f>IF(COUNT(J90:K90)=2,K90-J90,"")</f>
        <v>-33.88967794852075</v>
      </c>
      <c r="O90">
        <v>16</v>
      </c>
      <c r="P90">
        <v>15</v>
      </c>
      <c r="Q90">
        <f>100*705277/1721980</f>
        <v>40.95732819196506</v>
      </c>
      <c r="R90">
        <f>100*51541/935392</f>
        <v>5.510096301871301</v>
      </c>
      <c r="S90">
        <f>IF(COUNT(Q90:R90)=2,R90-Q90,"")</f>
        <v>-35.44723189009376</v>
      </c>
    </row>
    <row r="91" spans="1:19" x14ac:dyDescent="0.3">
      <c r="A91">
        <v>17</v>
      </c>
      <c r="B91">
        <v>16</v>
      </c>
      <c r="C91">
        <f>100*743599/1773793</f>
        <v>41.921407965867495</v>
      </c>
      <c r="D91">
        <f>100*283545/1526387</f>
        <v>18.576219530171574</v>
      </c>
      <c r="E91">
        <f>IF(COUNT(C91:D91)=2,D91-C91,"")</f>
        <v>-23.34518843569592</v>
      </c>
      <c r="H91">
        <v>17</v>
      </c>
      <c r="I91">
        <v>16</v>
      </c>
      <c r="J91">
        <f>100*3265/88900</f>
        <v>3.6726659167604048</v>
      </c>
      <c r="K91">
        <f>100*364971/1750121</f>
        <v>20.854043806113978</v>
      </c>
      <c r="L91">
        <f>IF(COUNT(J91:K91)=2,K91-J91,"")</f>
        <v>17.181377889353573</v>
      </c>
      <c r="O91">
        <v>17</v>
      </c>
      <c r="P91">
        <v>16</v>
      </c>
      <c r="Q91">
        <f>100*16305/441767</f>
        <v>3.690859661314675</v>
      </c>
      <c r="R91">
        <f>100*3031/459948</f>
        <v>0.6589875377216555</v>
      </c>
      <c r="S91">
        <f>IF(COUNT(Q91:R91)=2,R91-Q91,"")</f>
        <v>-3.0318721235930197</v>
      </c>
    </row>
    <row r="92" spans="1:19" x14ac:dyDescent="0.3">
      <c r="A92">
        <v>18</v>
      </c>
      <c r="B92">
        <v>17</v>
      </c>
      <c r="C92">
        <f>100*929466/2060823</f>
        <v>45.10168995590597</v>
      </c>
      <c r="D92">
        <f>100*76736/1155388</f>
        <v>6.64157841348534</v>
      </c>
      <c r="E92">
        <f>IF(COUNT(C92:D92)=2,D92-C92,"")</f>
        <v>-38.46011154242063</v>
      </c>
      <c r="H92">
        <v>18</v>
      </c>
      <c r="I92">
        <v>17</v>
      </c>
      <c r="K92">
        <f>100*58339/956489</f>
        <v>6.099286034653822</v>
      </c>
      <c r="L92" t="str">
        <f>IF(COUNT(J92:K92)=2,K92-J92,"")</f>
        <v/>
      </c>
      <c r="O92">
        <v>18</v>
      </c>
      <c r="P92">
        <v>17</v>
      </c>
      <c r="Q92">
        <f>100*156937/709883</f>
        <v>22.10744587488361</v>
      </c>
      <c r="R92">
        <f>100*7669/542967</f>
        <v>1.4124246961601719</v>
      </c>
      <c r="S92">
        <f>IF(COUNT(Q92:R92)=2,R92-Q92,"")</f>
        <v>-20.695021178723437</v>
      </c>
    </row>
    <row r="93" spans="1:19" x14ac:dyDescent="0.3">
      <c r="A93">
        <v>19</v>
      </c>
      <c r="B93">
        <v>18</v>
      </c>
      <c r="C93">
        <f>100*675293/1785174</f>
        <v>37.82785319526276</v>
      </c>
      <c r="D93">
        <f>100*27326/805267</f>
        <v>3.3934086458280297</v>
      </c>
      <c r="E93">
        <f>IF(COUNT(C93:D93)=2,D93-C93,"")</f>
        <v>-34.43444454943473</v>
      </c>
      <c r="H93">
        <v>19</v>
      </c>
      <c r="I93">
        <v>18</v>
      </c>
      <c r="J93">
        <f>100*453701/1228767</f>
        <v>36.9232734928591</v>
      </c>
      <c r="K93">
        <f>100*33709/951984</f>
        <v>3.5409208558127028</v>
      </c>
      <c r="L93">
        <f>IF(COUNT(J93:K93)=2,K93-J93,"")</f>
        <v>-33.3823526370464</v>
      </c>
      <c r="O93">
        <v>19</v>
      </c>
      <c r="P93">
        <v>18</v>
      </c>
      <c r="Q93">
        <f>100*736264/1588962</f>
        <v>46.33616159480214</v>
      </c>
      <c r="R93">
        <f>100*259564/1348765</f>
        <v>19.24456817903786</v>
      </c>
      <c r="S93">
        <f>IF(COUNT(Q93:R93)=2,R93-Q93,"")</f>
        <v>-27.091593415764283</v>
      </c>
    </row>
    <row r="94" spans="1:19" x14ac:dyDescent="0.3">
      <c r="A94">
        <v>20</v>
      </c>
      <c r="B94">
        <v>19</v>
      </c>
      <c r="C94">
        <f>100*1003210/2172217</f>
        <v>46.18369159250664</v>
      </c>
      <c r="D94">
        <f>100*186050/1476225</f>
        <v>12.603092347033819</v>
      </c>
      <c r="E94">
        <f>IF(COUNT(C94:D94)=2,D94-C94,"")</f>
        <v>-33.580599245472825</v>
      </c>
      <c r="H94">
        <v>20</v>
      </c>
      <c r="I94">
        <v>19</v>
      </c>
      <c r="J94">
        <f>100*896581/2145144</f>
        <v>41.79584214393066</v>
      </c>
      <c r="K94">
        <f>100*189025/1368117</f>
        <v>13.816435290256608</v>
      </c>
      <c r="L94">
        <f>IF(COUNT(J94:K94)=2,K94-J94,"")</f>
        <v>-27.979406853674057</v>
      </c>
      <c r="O94">
        <v>20</v>
      </c>
      <c r="P94">
        <v>19</v>
      </c>
      <c r="Q94">
        <f>100*596231/1430518</f>
        <v>41.67937767997327</v>
      </c>
      <c r="R94">
        <f>100*154317/1074758</f>
        <v>14.358302054974237</v>
      </c>
      <c r="S94">
        <f>IF(COUNT(Q94:R94)=2,R94-Q94,"")</f>
        <v>-27.321075624999033</v>
      </c>
    </row>
    <row r="95" spans="1:19" x14ac:dyDescent="0.3">
      <c r="A95">
        <v>21</v>
      </c>
      <c r="B95">
        <v>20</v>
      </c>
      <c r="C95">
        <f>100*814501/1741903</f>
        <v>46.759262714399135</v>
      </c>
      <c r="D95">
        <f>100*521231/2317432</f>
        <v>22.491749488226624</v>
      </c>
      <c r="E95">
        <f>IF(COUNT(C95:D95)=2,D95-C95,"")</f>
        <v>-24.26751322617251</v>
      </c>
      <c r="H95">
        <v>21</v>
      </c>
      <c r="I95">
        <v>20</v>
      </c>
      <c r="J95">
        <f>100*923720/1857736</f>
        <v>49.722888505148205</v>
      </c>
      <c r="K95">
        <f>100*72073/846942</f>
        <v>8.509791697660525</v>
      </c>
      <c r="L95">
        <f>IF(COUNT(J95:K95)=2,K95-J95,"")</f>
        <v>-41.21309680748768</v>
      </c>
      <c r="O95">
        <v>21</v>
      </c>
      <c r="P95">
        <v>20</v>
      </c>
      <c r="Q95">
        <f>100*808426/1622789</f>
        <v>49.817074185245275</v>
      </c>
      <c r="R95">
        <f>100*14732/715745</f>
        <v>2.0582749442888177</v>
      </c>
      <c r="S95">
        <f>IF(COUNT(Q95:R95)=2,R95-Q95,"")</f>
        <v>-47.758799240956456</v>
      </c>
    </row>
    <row r="96" spans="1:19" x14ac:dyDescent="0.3">
      <c r="A96">
        <v>22</v>
      </c>
      <c r="B96">
        <v>21</v>
      </c>
      <c r="C96">
        <f>100*599877/1809045</f>
        <v>33.15987164498396</v>
      </c>
      <c r="D96">
        <f>100*439677/2133525</f>
        <v>20.608007874292543</v>
      </c>
      <c r="E96">
        <f>IF(COUNT(C96:D96)=2,D96-C96,"")</f>
        <v>-12.551863770691416</v>
      </c>
      <c r="H96">
        <v>22</v>
      </c>
      <c r="I96">
        <v>21</v>
      </c>
      <c r="J96">
        <f>100*1034872/2267546</f>
        <v>45.63841262757183</v>
      </c>
      <c r="K96">
        <f>100*335266/1567828</f>
        <v>21.384105909576817</v>
      </c>
      <c r="L96">
        <f>IF(COUNT(J96:K96)=2,K96-J96,"")</f>
        <v>-24.254306717995014</v>
      </c>
      <c r="O96">
        <v>22</v>
      </c>
      <c r="P96">
        <v>21</v>
      </c>
      <c r="Q96">
        <f>100*248293/932917</f>
        <v>26.614693482914344</v>
      </c>
      <c r="R96">
        <f>100*316040/1488428</f>
        <v>21.233139930181373</v>
      </c>
      <c r="S96">
        <f>IF(COUNT(Q96:R96)=2,R96-Q96,"")</f>
        <v>-5.381553552732971</v>
      </c>
    </row>
    <row r="97" spans="1:19" x14ac:dyDescent="0.3">
      <c r="A97">
        <v>23</v>
      </c>
      <c r="B97">
        <v>22</v>
      </c>
      <c r="C97">
        <f>100*649730/1525642</f>
        <v>42.58731733919229</v>
      </c>
      <c r="D97">
        <f>100*296275/1450131</f>
        <v>20.43091279339591</v>
      </c>
      <c r="E97">
        <f>IF(COUNT(C97:D97)=2,D97-C97,"")</f>
        <v>-22.15640454579638</v>
      </c>
      <c r="H97">
        <v>23</v>
      </c>
      <c r="I97">
        <v>22</v>
      </c>
      <c r="J97">
        <f>100*954501/1934417</f>
        <v>49.34308373013678</v>
      </c>
      <c r="K97">
        <f>100*127601/1091562</f>
        <v>11.689762010769888</v>
      </c>
      <c r="L97">
        <f>IF(COUNT(J97:K97)=2,K97-J97,"")</f>
        <v>-37.65332171936689</v>
      </c>
      <c r="O97">
        <v>23</v>
      </c>
      <c r="P97">
        <v>22</v>
      </c>
      <c r="Q97">
        <f>100*491/406810</f>
        <v>0.12069516481895726</v>
      </c>
      <c r="R97">
        <f>100*3518/418167</f>
        <v>0.8412906805175923</v>
      </c>
      <c r="S97">
        <f>IF(COUNT(Q97:R97)=2,R97-Q97,"")</f>
        <v>0.720595515698635</v>
      </c>
    </row>
    <row r="98" spans="1:19" x14ac:dyDescent="0.3">
      <c r="A98">
        <v>24</v>
      </c>
      <c r="B98">
        <v>23</v>
      </c>
      <c r="C98">
        <f>100*540481/1325139</f>
        <v>40.786740108018854</v>
      </c>
      <c r="D98">
        <f>100*65116/1019377</f>
        <v>6.387823150806816</v>
      </c>
      <c r="E98">
        <f>IF(COUNT(C98:D98)=2,D98-C98,"")</f>
        <v>-34.39891695721204</v>
      </c>
      <c r="H98">
        <v>24</v>
      </c>
      <c r="I98">
        <v>23</v>
      </c>
      <c r="J98">
        <f>100*677655/1567258</f>
        <v>43.238254326983814</v>
      </c>
      <c r="K98">
        <f>100*44060/603539</f>
        <v>7.3002738845377015</v>
      </c>
      <c r="L98">
        <f>IF(COUNT(J98:K98)=2,K98-J98,"")</f>
        <v>-35.93798044244611</v>
      </c>
      <c r="O98">
        <v>24</v>
      </c>
      <c r="P98">
        <v>23</v>
      </c>
      <c r="Q98">
        <f>100*462555/1165901</f>
        <v>39.67360865116335</v>
      </c>
      <c r="R98">
        <f>100*51389/881726</f>
        <v>5.828227816804767</v>
      </c>
      <c r="S98">
        <f>IF(COUNT(Q98:R98)=2,R98-Q98,"")</f>
        <v>-33.84538083435858</v>
      </c>
    </row>
    <row r="99" spans="1:19" x14ac:dyDescent="0.3">
      <c r="A99">
        <v>25</v>
      </c>
      <c r="B99">
        <v>24</v>
      </c>
      <c r="C99">
        <f>100*628764/1681845</f>
        <v>37.3853714224557</v>
      </c>
      <c r="D99">
        <f>100*46885/987403</f>
        <v>4.748314517983032</v>
      </c>
      <c r="E99">
        <f>IF(COUNT(C99:D99)=2,D99-C99,"")</f>
        <v>-32.637056904472665</v>
      </c>
      <c r="H99">
        <v>25</v>
      </c>
      <c r="I99">
        <v>24</v>
      </c>
      <c r="J99">
        <f>100*1059343/2107573</f>
        <v>50.26364448586123</v>
      </c>
      <c r="K99">
        <f>100*39907/971395</f>
        <v>4.108215504506406</v>
      </c>
      <c r="L99">
        <f>IF(COUNT(J99:K99)=2,K99-J99,"")</f>
        <v>-46.155428981354824</v>
      </c>
      <c r="O99">
        <v>25</v>
      </c>
      <c r="P99">
        <v>24</v>
      </c>
      <c r="Q99">
        <f>100*667801/1611354</f>
        <v>41.4434692811139</v>
      </c>
      <c r="R99">
        <f>100*544046/1879049</f>
        <v>28.95326306019694</v>
      </c>
      <c r="S99">
        <f>IF(COUNT(Q99:R99)=2,R99-Q99,"")</f>
        <v>-12.49020622091696</v>
      </c>
    </row>
    <row r="100" spans="1:19" x14ac:dyDescent="0.3">
      <c r="A100">
        <v>26</v>
      </c>
      <c r="B100">
        <v>25</v>
      </c>
      <c r="C100">
        <f>100*1206228/2241810</f>
        <v>53.805987126473696</v>
      </c>
      <c r="D100">
        <f>100*291538/1593933</f>
        <v>18.29048021466398</v>
      </c>
      <c r="E100">
        <f>IF(COUNT(C100:D100)=2,D100-C100,"")</f>
        <v>-35.515506911809716</v>
      </c>
      <c r="H100">
        <v>26</v>
      </c>
      <c r="I100">
        <v>25</v>
      </c>
      <c r="J100">
        <f>100*50542/865957</f>
        <v>5.836548466032378</v>
      </c>
      <c r="K100">
        <f>100*81164/978088</f>
        <v>8.298230834035383</v>
      </c>
      <c r="L100">
        <f>IF(COUNT(J100:K100)=2,K100-J100,"")</f>
        <v>2.4616823680030055</v>
      </c>
      <c r="O100">
        <v>26</v>
      </c>
      <c r="P100">
        <v>25</v>
      </c>
      <c r="Q100">
        <f>100*825215/1789490</f>
        <v>46.114535426294644</v>
      </c>
      <c r="R100">
        <f>100*418499/1565641</f>
        <v>26.73020187897481</v>
      </c>
      <c r="S100">
        <f>IF(COUNT(Q100:R100)=2,R100-Q100,"")</f>
        <v>-19.384333547319834</v>
      </c>
    </row>
    <row r="101" spans="1:19" x14ac:dyDescent="0.3">
      <c r="A101">
        <v>27</v>
      </c>
      <c r="B101">
        <v>26</v>
      </c>
      <c r="C101">
        <f>100*312477/1386036</f>
        <v>22.54465251984797</v>
      </c>
      <c r="D101">
        <f>100*218373/1511833</f>
        <v>14.444254094202204</v>
      </c>
      <c r="E101">
        <f>IF(COUNT(C101:D101)=2,D101-C101,"")</f>
        <v>-8.100398425645764</v>
      </c>
      <c r="H101">
        <v>27</v>
      </c>
      <c r="I101">
        <v>26</v>
      </c>
      <c r="J101">
        <f>100*307157/1210949</f>
        <v>25.36498234029674</v>
      </c>
      <c r="K101">
        <f>100*238796/1678545</f>
        <v>14.226368670485451</v>
      </c>
      <c r="L101">
        <f>IF(COUNT(J101:K101)=2,K101-J101,"")</f>
        <v>-11.13861366981129</v>
      </c>
      <c r="O101">
        <v>27</v>
      </c>
      <c r="P101">
        <v>26</v>
      </c>
      <c r="Q101">
        <f>100*889999/1746112</f>
        <v>50.9703272184144</v>
      </c>
      <c r="R101">
        <f>100*310943/1425581</f>
        <v>21.81166836538927</v>
      </c>
      <c r="S101">
        <f>IF(COUNT(Q101:R101)=2,R101-Q101,"")</f>
        <v>-29.158658853025127</v>
      </c>
    </row>
    <row r="102" spans="1:19" x14ac:dyDescent="0.3">
      <c r="A102">
        <v>28</v>
      </c>
      <c r="B102">
        <v>27</v>
      </c>
      <c r="C102">
        <f>100*803250/1998379</f>
        <v>40.19507811080881</v>
      </c>
      <c r="D102">
        <f>100*147950/1119336</f>
        <v>13.217657611298126</v>
      </c>
      <c r="E102">
        <f>IF(COUNT(C102:D102)=2,D102-C102,"")</f>
        <v>-26.977420499510682</v>
      </c>
      <c r="H102">
        <v>28</v>
      </c>
      <c r="I102">
        <v>27</v>
      </c>
      <c r="J102">
        <f>100*499214/1645125</f>
        <v>30.345049768254693</v>
      </c>
      <c r="K102">
        <f>100*187424/1382831</f>
        <v>13.553644660844311</v>
      </c>
      <c r="L102">
        <f>IF(COUNT(J102:K102)=2,K102-J102,"")</f>
        <v>-16.791405107410384</v>
      </c>
      <c r="O102">
        <v>28</v>
      </c>
      <c r="P102">
        <v>27</v>
      </c>
      <c r="Q102">
        <f>100*1300/408366</f>
        <v>0.3183418795884084</v>
      </c>
      <c r="R102">
        <f>100*2279/409066</f>
        <v>0.5571228114778545</v>
      </c>
      <c r="S102">
        <f>IF(COUNT(Q102:R102)=2,R102-Q102,"")</f>
        <v>0.23878093188944605</v>
      </c>
    </row>
    <row r="103" spans="1:19" x14ac:dyDescent="0.3">
      <c r="A103">
        <v>29</v>
      </c>
      <c r="B103">
        <v>28</v>
      </c>
      <c r="C103">
        <f>100*764531/1746891</f>
        <v>43.76523778529971</v>
      </c>
      <c r="D103">
        <f>100*727390/2403915</f>
        <v>30.25855739491621</v>
      </c>
      <c r="E103">
        <f>IF(COUNT(C103:D103)=2,D103-C103,"")</f>
        <v>-13.5066803903835</v>
      </c>
      <c r="H103">
        <v>29</v>
      </c>
      <c r="I103">
        <v>28</v>
      </c>
      <c r="J103">
        <f>100*1050807/2150575</f>
        <v>48.86167652837032</v>
      </c>
      <c r="K103">
        <f>100*633163/2201823</f>
        <v>28.756307841275163</v>
      </c>
      <c r="L103">
        <f>IF(COUNT(J103:K103)=2,K103-J103,"")</f>
        <v>-20.105368687095154</v>
      </c>
      <c r="O103">
        <v>29</v>
      </c>
      <c r="P103">
        <v>28</v>
      </c>
      <c r="Q103">
        <f>100*827171/1762089</f>
        <v>46.94263456613145</v>
      </c>
      <c r="R103">
        <f>100*473429/1968250</f>
        <v>24.0532960751937</v>
      </c>
      <c r="S103">
        <f>IF(COUNT(Q103:R103)=2,R103-Q103,"")</f>
        <v>-22.889338490937753</v>
      </c>
    </row>
    <row r="104" spans="1:19" x14ac:dyDescent="0.3">
      <c r="A104">
        <v>30</v>
      </c>
      <c r="B104">
        <v>29</v>
      </c>
      <c r="C104">
        <f>100*7364/541662</f>
        <v>1.3595194050902593</v>
      </c>
      <c r="D104">
        <f>100*9223/632986</f>
        <v>1.4570622415029717</v>
      </c>
      <c r="E104">
        <f>IF(COUNT(C104:D104)=2,D104-C104,"")</f>
        <v>0.09754283641271244</v>
      </c>
      <c r="H104">
        <v>30</v>
      </c>
      <c r="I104">
        <v>29</v>
      </c>
      <c r="J104">
        <f>100*410139/1282634</f>
        <v>31.976308128429466</v>
      </c>
      <c r="K104">
        <f>100*29078/762371</f>
        <v>3.8141534764570006</v>
      </c>
      <c r="L104">
        <f>IF(COUNT(J104:K104)=2,K104-J104,"")</f>
        <v>-28.162154651972465</v>
      </c>
      <c r="O104">
        <v>30</v>
      </c>
      <c r="P104">
        <v>29</v>
      </c>
      <c r="Q104">
        <f>100*806811/1713643</f>
        <v>47.08162668653856</v>
      </c>
      <c r="R104">
        <f>100*210154/1403705</f>
        <v>14.971379314029658</v>
      </c>
      <c r="S104">
        <f>IF(COUNT(Q104:R104)=2,R104-Q104,"")</f>
        <v>-32.11024737250891</v>
      </c>
    </row>
    <row r="105" spans="1:19" x14ac:dyDescent="0.3">
      <c r="A105">
        <v>31</v>
      </c>
      <c r="B105">
        <v>30</v>
      </c>
      <c r="C105">
        <f>100*859640/1902385</f>
        <v>45.187488337008546</v>
      </c>
      <c r="D105">
        <f>100*246261/1385858</f>
        <v>17.76956946526989</v>
      </c>
      <c r="E105">
        <f>IF(COUNT(C105:D105)=2,D105-C105,"")</f>
        <v>-27.417918871738657</v>
      </c>
      <c r="H105">
        <v>31</v>
      </c>
      <c r="I105">
        <v>30</v>
      </c>
      <c r="J105">
        <f>100*349588/1410455</f>
        <v>24.785477026916848</v>
      </c>
      <c r="K105">
        <f>100*326826/1613625</f>
        <v>20.25414826864978</v>
      </c>
      <c r="L105">
        <f>IF(COUNT(J105:K105)=2,K105-J105,"")</f>
        <v>-4.531328758267069</v>
      </c>
      <c r="O105">
        <v>31</v>
      </c>
      <c r="P105">
        <v>30</v>
      </c>
      <c r="Q105">
        <f>100*267010/983366</f>
        <v>27.15265730155405</v>
      </c>
      <c r="R105">
        <f>100*26434/575703</f>
        <v>4.591603656746621</v>
      </c>
      <c r="S105">
        <f>IF(COUNT(Q105:R105)=2,R105-Q105,"")</f>
        <v>-22.56105364480743</v>
      </c>
    </row>
    <row r="106" spans="1:19" x14ac:dyDescent="0.3">
      <c r="A106" t="s">
        <v>5</v>
      </c>
      <c r="C106">
        <f>IF(COUNT(C75:C105)&gt;0,AVERAGE(C75:C105),"")</f>
        <v>34.096955178849896</v>
      </c>
      <c r="D106">
        <f>IF(COUNT(D75:D105)&gt;0,AVERAGE(D75:D105),"")</f>
        <v>12.703987934029593</v>
      </c>
      <c r="E106">
        <f>IF(COUNT(E75:E105)&gt;0,AVERAGE(E75:E105),"")</f>
        <v>-21.392967244820298</v>
      </c>
      <c r="H106" t="s">
        <v>5</v>
      </c>
      <c r="J106">
        <f>IF(COUNT(J75:J105)&gt;0,AVERAGE(J75:J105),"")</f>
        <v>36.69157069983473</v>
      </c>
      <c r="K106">
        <f>IF(COUNT(K75:K105)&gt;0,AVERAGE(K75:K105),"")</f>
        <v>11.537498225760181</v>
      </c>
      <c r="L106">
        <f>IF(COUNT(L75:L105)&gt;0,AVERAGE(L75:L105),"")</f>
        <v>-24.972798734370997</v>
      </c>
      <c r="O106" t="s">
        <v>5</v>
      </c>
      <c r="Q106">
        <f>IF(COUNT(Q75:Q105)&gt;0,AVERAGE(Q75:Q105),"")</f>
        <v>33.786792028213014</v>
      </c>
      <c r="R106">
        <f>IF(COUNT(R75:R105)&gt;0,AVERAGE(R75:R105),"")</f>
        <v>13.198163788615533</v>
      </c>
      <c r="S106">
        <f>IF(COUNT(S75:S105)&gt;0,AVERAGE(S75:S105),"")</f>
        <v>-20.58862823959748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6B744-6BF9-447B-BBB0-BEAAB5AF9E1C}">
  <dimension ref="A1:S106"/>
  <sheetViews>
    <sheetView tabSelected="1" topLeftCell="A52" workbookViewId="0">
      <selection activeCell="G68" sqref="G68"/>
    </sheetView>
  </sheetViews>
  <sheetFormatPr defaultRowHeight="16.5" x14ac:dyDescent="0.3"/>
  <sheetData>
    <row r="1" spans="1:19" s="2" customFormat="1" ht="17.25" customHeight="1" x14ac:dyDescent="0.3">
      <c r="A1" s="1" t="s">
        <v>6</v>
      </c>
      <c r="B1" s="1"/>
      <c r="C1" s="1"/>
      <c r="D1" s="1"/>
      <c r="E1" s="1"/>
      <c r="H1" s="1" t="s">
        <v>7</v>
      </c>
      <c r="I1" s="1"/>
      <c r="J1" s="1"/>
      <c r="K1" s="1"/>
      <c r="L1" s="1"/>
      <c r="O1" s="1" t="s">
        <v>8</v>
      </c>
      <c r="P1" s="1"/>
      <c r="Q1" s="1"/>
      <c r="R1" s="1"/>
      <c r="S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3">
      <c r="A3">
        <v>1</v>
      </c>
      <c r="B3">
        <v>0</v>
      </c>
      <c r="C3">
        <f>100*332764/1052174</f>
        <v>31.626327964766283</v>
      </c>
      <c r="D3">
        <f>100*118662/809107</f>
        <v>14.665798219518555</v>
      </c>
      <c r="E3">
        <f>IF(COUNT(C3:D3)=2,D3-C3,"")</f>
        <v>-16.960529745247726</v>
      </c>
      <c r="H3">
        <v>1</v>
      </c>
      <c r="I3">
        <v>0</v>
      </c>
      <c r="J3">
        <f>100*291815/1145550</f>
        <v>25.47378988258915</v>
      </c>
      <c r="K3">
        <f>100*117025/803888</f>
        <v>14.557376151901757</v>
      </c>
      <c r="L3">
        <f>IF(COUNT(J3:K3)=2,K3-J3,"")</f>
        <v>-10.916413730687392</v>
      </c>
      <c r="O3">
        <v>1</v>
      </c>
      <c r="P3">
        <v>0</v>
      </c>
      <c r="Q3">
        <f>100*208586/733698</f>
        <v>28.429408285152746</v>
      </c>
      <c r="R3">
        <f>100*17722/450952</f>
        <v>3.9299082829214638</v>
      </c>
      <c r="S3">
        <f>IF(COUNT(Q3:R3)=2,R3-Q3,"")</f>
        <v>-24.499500002231283</v>
      </c>
    </row>
    <row r="4" spans="1:19" x14ac:dyDescent="0.3">
      <c r="A4">
        <v>2</v>
      </c>
      <c r="B4">
        <v>1</v>
      </c>
      <c r="C4">
        <f>100*356409/1118920</f>
        <v>31.852947485074893</v>
      </c>
      <c r="D4">
        <f>100*134834/1003660</f>
        <v>13.434230715580973</v>
      </c>
      <c r="E4">
        <f>IF(COUNT(C4:D4)=2,D4-C4,"")</f>
        <v>-18.41871676949392</v>
      </c>
      <c r="H4">
        <v>2</v>
      </c>
      <c r="I4">
        <v>1</v>
      </c>
      <c r="J4">
        <f>100*130334/783729</f>
        <v>16.629983068126865</v>
      </c>
      <c r="K4">
        <f>100*120897/892843</f>
        <v>13.540678484347191</v>
      </c>
      <c r="L4">
        <f>IF(COUNT(J4:K4)=2,K4-J4,"")</f>
        <v>-3.0893045837796738</v>
      </c>
      <c r="O4">
        <v>2</v>
      </c>
      <c r="P4">
        <v>1</v>
      </c>
      <c r="Q4">
        <f>100*510455/1451156</f>
        <v>35.17574954036644</v>
      </c>
      <c r="R4">
        <f>100*114958/653349</f>
        <v>17.59519031941581</v>
      </c>
      <c r="S4">
        <f>IF(COUNT(Q4:R4)=2,R4-Q4,"")</f>
        <v>-17.58055922095063</v>
      </c>
    </row>
    <row r="5" spans="1:19" x14ac:dyDescent="0.3">
      <c r="A5">
        <v>3</v>
      </c>
      <c r="B5">
        <v>2</v>
      </c>
      <c r="C5">
        <f>100*397332/1270809</f>
        <v>31.266067520768267</v>
      </c>
      <c r="D5">
        <f>100*62246/662554</f>
        <v>9.394856872043638</v>
      </c>
      <c r="E5">
        <f>IF(COUNT(C5:D5)=2,D5-C5,"")</f>
        <v>-21.871210648724627</v>
      </c>
      <c r="H5">
        <v>3</v>
      </c>
      <c r="I5">
        <v>2</v>
      </c>
      <c r="J5">
        <f>100*147851/1441835</f>
        <v>10.25436336335295</v>
      </c>
      <c r="K5">
        <f>100*87380/788782</f>
        <v>11.077838997340203</v>
      </c>
      <c r="L5">
        <f>IF(COUNT(J5:K5)=2,K5-J5,"")</f>
        <v>0.823475633987254</v>
      </c>
      <c r="O5">
        <v>3</v>
      </c>
      <c r="P5">
        <v>2</v>
      </c>
      <c r="Q5">
        <f>100*480143/1280935</f>
        <v>37.48379113694293</v>
      </c>
      <c r="R5">
        <f>100*87939/648290</f>
        <v>13.564762683367011</v>
      </c>
      <c r="S5">
        <f>IF(COUNT(Q5:R5)=2,R5-Q5,"")</f>
        <v>-23.919028453575923</v>
      </c>
    </row>
    <row r="6" spans="1:19" x14ac:dyDescent="0.3">
      <c r="A6">
        <v>4</v>
      </c>
      <c r="B6">
        <v>3</v>
      </c>
      <c r="C6">
        <f>100*16403/519550</f>
        <v>3.1571552304879225</v>
      </c>
      <c r="D6">
        <f>100*58440/587985</f>
        <v>9.939029056863696</v>
      </c>
      <c r="E6">
        <f>IF(COUNT(C6:D6)=2,D6-C6,"")</f>
        <v>6.781873826375773</v>
      </c>
      <c r="H6">
        <v>4</v>
      </c>
      <c r="I6">
        <v>3</v>
      </c>
      <c r="J6">
        <f>100*123870/784417</f>
        <v>15.791345674558302</v>
      </c>
      <c r="K6">
        <f>100*20821/568424</f>
        <v>3.6629347107089076</v>
      </c>
      <c r="L6">
        <f>IF(COUNT(J6:K6)=2,K6-J6,"")</f>
        <v>-12.128410963849394</v>
      </c>
      <c r="O6">
        <v>4</v>
      </c>
      <c r="P6">
        <v>3</v>
      </c>
      <c r="Q6">
        <f>100*450191/1211277</f>
        <v>37.16664313777939</v>
      </c>
      <c r="R6">
        <f>100*174632/949944</f>
        <v>18.383399442493452</v>
      </c>
      <c r="S6">
        <f>IF(COUNT(Q6:R6)=2,R6-Q6,"")</f>
        <v>-18.783243695285936</v>
      </c>
    </row>
    <row r="7" spans="1:19" x14ac:dyDescent="0.3">
      <c r="A7">
        <v>5</v>
      </c>
      <c r="B7">
        <v>4</v>
      </c>
      <c r="C7">
        <f>100*497044/1286267</f>
        <v>38.64236585405674</v>
      </c>
      <c r="D7">
        <f>100*283916/1224359</f>
        <v>23.188950299707848</v>
      </c>
      <c r="E7">
        <f>IF(COUNT(C7:D7)=2,D7-C7,"")</f>
        <v>-15.453415554348894</v>
      </c>
      <c r="H7">
        <v>5</v>
      </c>
      <c r="I7">
        <v>4</v>
      </c>
      <c r="J7">
        <f>100*342477/1148710</f>
        <v>29.814052284736793</v>
      </c>
      <c r="K7">
        <f>100*223079/1171108</f>
        <v>19.048542064438124</v>
      </c>
      <c r="L7">
        <f>IF(COUNT(J7:K7)=2,K7-J7,"")</f>
        <v>-10.765510220298669</v>
      </c>
      <c r="O7">
        <v>5</v>
      </c>
      <c r="P7">
        <v>4</v>
      </c>
      <c r="Q7">
        <f>100*389359/1092762</f>
        <v>35.63072288384845</v>
      </c>
      <c r="R7">
        <f>100*29037/505937</f>
        <v>5.739252120323282</v>
      </c>
      <c r="S7">
        <f>IF(COUNT(Q7:R7)=2,R7-Q7,"")</f>
        <v>-29.891470763525167</v>
      </c>
    </row>
    <row r="8" spans="1:19" x14ac:dyDescent="0.3">
      <c r="A8">
        <v>6</v>
      </c>
      <c r="B8">
        <v>5</v>
      </c>
      <c r="C8">
        <f>100*295084/1125005</f>
        <v>26.229572313011943</v>
      </c>
      <c r="D8">
        <f>100*77099/695680</f>
        <v>11.082537948482061</v>
      </c>
      <c r="E8">
        <f>IF(COUNT(C8:D8)=2,D8-C8,"")</f>
        <v>-15.147034364529882</v>
      </c>
      <c r="H8">
        <v>6</v>
      </c>
      <c r="I8">
        <v>5</v>
      </c>
      <c r="J8">
        <f>100*246415/1039225</f>
        <v>23.71141956746614</v>
      </c>
      <c r="K8">
        <f>100*91867/680743</f>
        <v>13.495107551601706</v>
      </c>
      <c r="L8">
        <f>IF(COUNT(J8:K8)=2,K8-J8,"")</f>
        <v>-10.216312015864435</v>
      </c>
      <c r="O8">
        <v>6</v>
      </c>
      <c r="P8">
        <v>5</v>
      </c>
      <c r="Q8">
        <f>100*269836/994553</f>
        <v>27.131384652200538</v>
      </c>
      <c r="R8">
        <f>100*89534/693091</f>
        <v>12.918072807178278</v>
      </c>
      <c r="S8">
        <f>IF(COUNT(Q8:R8)=2,R8-Q8,"")</f>
        <v>-14.21331184502226</v>
      </c>
    </row>
    <row r="9" spans="1:19" x14ac:dyDescent="0.3">
      <c r="A9">
        <v>7</v>
      </c>
      <c r="B9">
        <v>6</v>
      </c>
      <c r="C9">
        <f>100*240424/851852</f>
        <v>28.223682048055295</v>
      </c>
      <c r="D9">
        <f>100*64782/608920</f>
        <v>10.638835971884648</v>
      </c>
      <c r="E9">
        <f>IF(COUNT(C9:D9)=2,D9-C9,"")</f>
        <v>-17.58484607617065</v>
      </c>
      <c r="H9">
        <v>7</v>
      </c>
      <c r="I9">
        <v>6</v>
      </c>
      <c r="J9">
        <f>100*3261/356727</f>
        <v>0.9141444297740289</v>
      </c>
      <c r="K9">
        <f>100*14951/554736</f>
        <v>2.6951558939747917</v>
      </c>
      <c r="L9">
        <f>IF(COUNT(J9:K9)=2,K9-J9,"")</f>
        <v>1.7810114642007628</v>
      </c>
      <c r="O9">
        <v>7</v>
      </c>
      <c r="P9">
        <v>6</v>
      </c>
      <c r="Q9">
        <f>100*460466/1246393</f>
        <v>36.94388527535055</v>
      </c>
      <c r="R9">
        <f>100*137236/854209</f>
        <v>16.065857418968893</v>
      </c>
      <c r="S9">
        <f>IF(COUNT(Q9:R9)=2,R9-Q9,"")</f>
        <v>-20.87802785638166</v>
      </c>
    </row>
    <row r="10" spans="1:19" x14ac:dyDescent="0.3">
      <c r="A10">
        <v>8</v>
      </c>
      <c r="B10">
        <v>7</v>
      </c>
      <c r="C10">
        <f>100*3447/313581</f>
        <v>1.09923751757919</v>
      </c>
      <c r="D10">
        <f>100*14386/401476</f>
        <v>3.583277705267563</v>
      </c>
      <c r="E10">
        <f>IF(COUNT(C10:D10)=2,D10-C10,"")</f>
        <v>2.4840401876883726</v>
      </c>
      <c r="H10">
        <v>8</v>
      </c>
      <c r="I10">
        <v>7</v>
      </c>
      <c r="J10">
        <f>100*275/278589</f>
        <v>0.09871172228623527</v>
      </c>
      <c r="K10">
        <f>100*272/283728</f>
        <v>0.09586646365533187</v>
      </c>
      <c r="L10">
        <f>IF(COUNT(J10:K10)=2,K10-J10,"")</f>
        <v>-0.0028452586309034023</v>
      </c>
      <c r="O10">
        <v>8</v>
      </c>
      <c r="P10">
        <v>7</v>
      </c>
      <c r="Q10">
        <f>100*631465/1523952</f>
        <v>41.43601635747058</v>
      </c>
      <c r="R10">
        <f>100*23515/158025</f>
        <v>14.880556873912356</v>
      </c>
      <c r="S10">
        <f>IF(COUNT(Q10:R10)=2,R10-Q10,"")</f>
        <v>-26.555459483558224</v>
      </c>
    </row>
    <row r="11" spans="1:19" x14ac:dyDescent="0.3">
      <c r="A11">
        <v>9</v>
      </c>
      <c r="B11">
        <v>8</v>
      </c>
      <c r="C11">
        <f>100*328851/1096172</f>
        <v>29.999945264064397</v>
      </c>
      <c r="D11">
        <f>100*247228/1245835</f>
        <v>19.844361412225535</v>
      </c>
      <c r="E11">
        <f>IF(COUNT(C11:D11)=2,D11-C11,"")</f>
        <v>-10.155583851838863</v>
      </c>
      <c r="H11">
        <v>9</v>
      </c>
      <c r="I11">
        <v>8</v>
      </c>
      <c r="J11">
        <f>100*382533/1287826</f>
        <v>29.70377985845914</v>
      </c>
      <c r="K11">
        <f>100*175885/1038519</f>
        <v>16.93613694116333</v>
      </c>
      <c r="L11">
        <f>IF(COUNT(J11:K11)=2,K11-J11,"")</f>
        <v>-12.76764291729581</v>
      </c>
      <c r="O11">
        <v>9</v>
      </c>
      <c r="P11">
        <v>8</v>
      </c>
      <c r="Q11">
        <f>100*511514/1411309</f>
        <v>36.24394090875917</v>
      </c>
      <c r="R11">
        <f>100*131002/759560</f>
        <v>17.24709042076992</v>
      </c>
      <c r="S11">
        <f>IF(COUNT(Q11:R11)=2,R11-Q11,"")</f>
        <v>-18.996850487989253</v>
      </c>
    </row>
    <row r="12" spans="1:19" x14ac:dyDescent="0.3">
      <c r="A12">
        <v>10</v>
      </c>
      <c r="B12">
        <v>9</v>
      </c>
      <c r="C12">
        <f>100*147882/738636</f>
        <v>20.0209575487791</v>
      </c>
      <c r="D12">
        <f>100*14320/555287</f>
        <v>2.5788466144534268</v>
      </c>
      <c r="E12">
        <f>IF(COUNT(C12:D12)=2,D12-C12,"")</f>
        <v>-17.442110934325676</v>
      </c>
      <c r="H12">
        <v>10</v>
      </c>
      <c r="I12">
        <v>9</v>
      </c>
      <c r="J12">
        <f>100*179400/747366</f>
        <v>24.00430311253121</v>
      </c>
      <c r="K12">
        <f>100*72598/731217</f>
        <v>9.928379673886138</v>
      </c>
      <c r="L12">
        <f>IF(COUNT(J12:K12)=2,K12-J12,"")</f>
        <v>-14.075923438645074</v>
      </c>
      <c r="O12">
        <v>10</v>
      </c>
      <c r="P12">
        <v>9</v>
      </c>
      <c r="Q12">
        <f>100*361827/1149672</f>
        <v>31.47219380832098</v>
      </c>
      <c r="R12">
        <f>100*7819/500921</f>
        <v>1.5609247765615737</v>
      </c>
      <c r="S12">
        <f>IF(COUNT(Q12:R12)=2,R12-Q12,"")</f>
        <v>-29.911269031759407</v>
      </c>
    </row>
    <row r="13" spans="1:19" x14ac:dyDescent="0.3">
      <c r="A13">
        <v>11</v>
      </c>
      <c r="B13">
        <v>10</v>
      </c>
      <c r="C13">
        <f>100*4137/540292</f>
        <v>0.7656970675116419</v>
      </c>
      <c r="D13">
        <f>100*52832/610714</f>
        <v>8.65085784835455</v>
      </c>
      <c r="E13">
        <f>IF(COUNT(C13:D13)=2,D13-C13,"")</f>
        <v>7.885160780842908</v>
      </c>
      <c r="H13">
        <v>11</v>
      </c>
      <c r="I13">
        <v>10</v>
      </c>
      <c r="J13">
        <f>100*29717/602395</f>
        <v>4.933141875347571</v>
      </c>
      <c r="K13">
        <f>100*24305/530129</f>
        <v>4.584733149855978</v>
      </c>
      <c r="L13">
        <f>IF(COUNT(J13:K13)=2,K13-J13,"")</f>
        <v>-0.3484087254915931</v>
      </c>
      <c r="O13">
        <v>11</v>
      </c>
      <c r="P13">
        <v>10</v>
      </c>
      <c r="Q13">
        <f>100*314083/1092488</f>
        <v>28.749331800440828</v>
      </c>
      <c r="R13">
        <f>100*103605/838189</f>
        <v>12.36057738767748</v>
      </c>
      <c r="S13">
        <f>IF(COUNT(Q13:R13)=2,R13-Q13,"")</f>
        <v>-16.388754412763348</v>
      </c>
    </row>
    <row r="14" spans="1:19" x14ac:dyDescent="0.3">
      <c r="A14">
        <v>12</v>
      </c>
      <c r="B14">
        <v>11</v>
      </c>
      <c r="C14">
        <f>100*469865/1292144</f>
        <v>36.363207196721106</v>
      </c>
      <c r="D14">
        <f>100*7718/597849</f>
        <v>1.290961430060099</v>
      </c>
      <c r="E14">
        <f>IF(COUNT(C14:D14)=2,D14-C14,"")</f>
        <v>-35.072245766661005</v>
      </c>
      <c r="H14">
        <v>12</v>
      </c>
      <c r="I14">
        <v>11</v>
      </c>
      <c r="J14">
        <f>100*17227/518447</f>
        <v>3.3228083102033574</v>
      </c>
      <c r="K14">
        <f>100*73677/595150</f>
        <v>12.37956817609006</v>
      </c>
      <c r="L14">
        <f>IF(COUNT(J14:K14)=2,K14-J14,"")</f>
        <v>9.056759865886704</v>
      </c>
      <c r="O14">
        <v>12</v>
      </c>
      <c r="P14">
        <v>11</v>
      </c>
      <c r="Q14">
        <f>100*438660/1271352</f>
        <v>34.5034262737621</v>
      </c>
      <c r="R14">
        <f>100*144087/773947</f>
        <v>18.61716629174866</v>
      </c>
      <c r="S14">
        <f>IF(COUNT(Q14:R14)=2,R14-Q14,"")</f>
        <v>-15.886259982013442</v>
      </c>
    </row>
    <row r="15" spans="1:19" x14ac:dyDescent="0.3">
      <c r="A15">
        <v>13</v>
      </c>
      <c r="B15">
        <v>12</v>
      </c>
      <c r="C15">
        <f>100*47266/521892</f>
        <v>9.0566630643888</v>
      </c>
      <c r="D15">
        <f>100*99466/731402</f>
        <v>13.599361226794567</v>
      </c>
      <c r="E15">
        <f>IF(COUNT(C15:D15)=2,D15-C15,"")</f>
        <v>4.542698162405767</v>
      </c>
      <c r="H15">
        <v>13</v>
      </c>
      <c r="I15">
        <v>12</v>
      </c>
      <c r="J15">
        <f>100*544142/1461712</f>
        <v>37.22634828201451</v>
      </c>
      <c r="K15">
        <f>100*126550/831303</f>
        <v>15.223089535343911</v>
      </c>
      <c r="L15">
        <f>IF(COUNT(J15:K15)=2,K15-J15,"")</f>
        <v>-22.003258746670603</v>
      </c>
      <c r="O15">
        <v>13</v>
      </c>
      <c r="P15">
        <v>12</v>
      </c>
      <c r="Q15">
        <f>100*357555/1108932</f>
        <v>32.243185335079154</v>
      </c>
      <c r="R15">
        <f>100*18911/495107</f>
        <v>3.8195783941653016</v>
      </c>
      <c r="S15">
        <f>IF(COUNT(Q15:R15)=2,R15-Q15,"")</f>
        <v>-28.423606940913853</v>
      </c>
    </row>
    <row r="16" spans="1:19" x14ac:dyDescent="0.3">
      <c r="A16">
        <v>14</v>
      </c>
      <c r="B16">
        <v>13</v>
      </c>
      <c r="C16">
        <f>100*7402/385878</f>
        <v>1.9182228580017517</v>
      </c>
      <c r="D16">
        <f>100*21112/396859</f>
        <v>5.319773521578193</v>
      </c>
      <c r="E16">
        <f>IF(COUNT(C16:D16)=2,D16-C16,"")</f>
        <v>3.401550663576441</v>
      </c>
      <c r="H16">
        <v>14</v>
      </c>
      <c r="I16">
        <v>13</v>
      </c>
      <c r="J16">
        <f>100*181558/818931</f>
        <v>22.170121780711685</v>
      </c>
      <c r="K16">
        <f>100*85939/629906</f>
        <v>13.643146755230145</v>
      </c>
      <c r="L16">
        <f>IF(COUNT(J16:K16)=2,K16-J16,"")</f>
        <v>-8.52697502548154</v>
      </c>
      <c r="O16">
        <v>14</v>
      </c>
      <c r="P16">
        <v>13</v>
      </c>
      <c r="Q16">
        <f>100*131266/578543</f>
        <v>22.689065462722738</v>
      </c>
      <c r="R16">
        <f>100*15966/364848</f>
        <v>4.376068938297593</v>
      </c>
      <c r="S16">
        <f>IF(COUNT(Q16:R16)=2,R16-Q16,"")</f>
        <v>-18.312996524425145</v>
      </c>
    </row>
    <row r="17" spans="1:19" x14ac:dyDescent="0.3">
      <c r="A17">
        <v>15</v>
      </c>
      <c r="B17">
        <v>14</v>
      </c>
      <c r="C17">
        <f>100*405804/1241849</f>
        <v>32.67740280823192</v>
      </c>
      <c r="D17">
        <f>100*100340/792591</f>
        <v>12.659745063973727</v>
      </c>
      <c r="E17">
        <f>IF(COUNT(C17:D17)=2,D17-C17,"")</f>
        <v>-20.01765774425819</v>
      </c>
      <c r="H17">
        <v>15</v>
      </c>
      <c r="I17">
        <v>14</v>
      </c>
      <c r="J17">
        <f>100*610081/1573211</f>
        <v>38.779350004544845</v>
      </c>
      <c r="K17">
        <f>100*85911/807076</f>
        <v>10.644722430105714</v>
      </c>
      <c r="L17">
        <f>IF(COUNT(J17:K17)=2,K17-J17,"")</f>
        <v>-28.13462757443913</v>
      </c>
      <c r="O17">
        <v>15</v>
      </c>
      <c r="P17">
        <v>14</v>
      </c>
      <c r="Q17">
        <f>100*384174/1163453</f>
        <v>33.020156379329464</v>
      </c>
      <c r="R17">
        <f>100*155284/870492</f>
        <v>17.838647569420512</v>
      </c>
      <c r="S17">
        <f>IF(COUNT(Q17:R17)=2,R17-Q17,"")</f>
        <v>-15.181508809908951</v>
      </c>
    </row>
    <row r="18" spans="1:19" x14ac:dyDescent="0.3">
      <c r="A18">
        <v>16</v>
      </c>
      <c r="B18">
        <v>15</v>
      </c>
      <c r="C18">
        <f>100*397150/1193789</f>
        <v>33.26802307610474</v>
      </c>
      <c r="D18">
        <f>100*47289/696515</f>
        <v>6.789372806041507</v>
      </c>
      <c r="E18">
        <f>IF(COUNT(C18:D18)=2,D18-C18,"")</f>
        <v>-26.478650270063234</v>
      </c>
      <c r="H18">
        <v>16</v>
      </c>
      <c r="I18">
        <v>15</v>
      </c>
      <c r="J18">
        <f>100*311472/1035367</f>
        <v>30.083245844227218</v>
      </c>
      <c r="K18">
        <f>100*17517/444048</f>
        <v>3.944843800670198</v>
      </c>
      <c r="L18">
        <f>IF(COUNT(J18:K18)=2,K18-J18,"")</f>
        <v>-26.13840204355702</v>
      </c>
      <c r="O18">
        <v>16</v>
      </c>
      <c r="P18">
        <v>15</v>
      </c>
      <c r="Q18">
        <f>100*403580/1172064</f>
        <v>34.43327326835394</v>
      </c>
      <c r="R18">
        <f>100*175639/952950</f>
        <v>18.43108242824912</v>
      </c>
      <c r="S18">
        <f>IF(COUNT(Q18:R18)=2,R18-Q18,"")</f>
        <v>-16.002190840104824</v>
      </c>
    </row>
    <row r="19" spans="1:19" x14ac:dyDescent="0.3">
      <c r="A19">
        <v>17</v>
      </c>
      <c r="B19">
        <v>16</v>
      </c>
      <c r="C19">
        <f>100*170884/804109</f>
        <v>21.251347765041803</v>
      </c>
      <c r="D19">
        <f>100*114632/826019</f>
        <v>13.877646882214574</v>
      </c>
      <c r="E19">
        <f>IF(COUNT(C19:D19)=2,D19-C19,"")</f>
        <v>-7.3737008828272295</v>
      </c>
      <c r="H19">
        <v>17</v>
      </c>
      <c r="I19">
        <v>16</v>
      </c>
      <c r="J19">
        <f>100*547667/1465339</f>
        <v>37.37476447429571</v>
      </c>
      <c r="K19">
        <f>100*100033/708681</f>
        <v>14.115377722840037</v>
      </c>
      <c r="L19">
        <f>IF(COUNT(J19:K19)=2,K19-J19,"")</f>
        <v>-23.259386751455672</v>
      </c>
      <c r="O19">
        <v>17</v>
      </c>
      <c r="P19">
        <v>16</v>
      </c>
      <c r="Q19">
        <f>100*34194/375756</f>
        <v>9.10005429055025</v>
      </c>
      <c r="R19">
        <f>100*16576/341457</f>
        <v>4.854491195084593</v>
      </c>
      <c r="S19">
        <f>IF(COUNT(Q19:R19)=2,R19-Q19,"")</f>
        <v>-4.245563095465657</v>
      </c>
    </row>
    <row r="20" spans="1:19" x14ac:dyDescent="0.3">
      <c r="A20">
        <v>18</v>
      </c>
      <c r="B20">
        <v>17</v>
      </c>
      <c r="C20">
        <f>100*269013/913065</f>
        <v>29.462634095053474</v>
      </c>
      <c r="D20">
        <f>100*39399/576697</f>
        <v>6.831837169258727</v>
      </c>
      <c r="E20">
        <f>IF(COUNT(C20:D20)=2,D20-C20,"")</f>
        <v>-22.630796925794748</v>
      </c>
      <c r="H20">
        <v>18</v>
      </c>
      <c r="I20">
        <v>17</v>
      </c>
      <c r="J20">
        <f>100*246590/976020</f>
        <v>25.264851130099792</v>
      </c>
      <c r="K20">
        <f>100*67791/680167</f>
        <v>9.96681697289048</v>
      </c>
      <c r="L20">
        <f>IF(COUNT(J20:K20)=2,K20-J20,"")</f>
        <v>-15.298034157209312</v>
      </c>
      <c r="O20">
        <v>18</v>
      </c>
      <c r="P20">
        <v>17</v>
      </c>
      <c r="Q20">
        <f>100*2176/318434</f>
        <v>0.6833441152640736</v>
      </c>
      <c r="R20">
        <f>100*11058/344930</f>
        <v>3.205867857246398</v>
      </c>
      <c r="S20">
        <f>IF(COUNT(Q20:R20)=2,R20-Q20,"")</f>
        <v>2.522523741982324</v>
      </c>
    </row>
    <row r="21" spans="1:19" x14ac:dyDescent="0.3">
      <c r="A21">
        <v>19</v>
      </c>
      <c r="B21">
        <v>18</v>
      </c>
      <c r="C21">
        <f>100*130405/675745</f>
        <v>19.297960029300995</v>
      </c>
      <c r="D21">
        <f>100*75350/678755</f>
        <v>11.101207357588526</v>
      </c>
      <c r="E21">
        <f>IF(COUNT(C21:D21)=2,D21-C21,"")</f>
        <v>-8.196752671712469</v>
      </c>
      <c r="H21">
        <v>19</v>
      </c>
      <c r="I21">
        <v>18</v>
      </c>
      <c r="J21">
        <f>100*94163/608895</f>
        <v>15.464571067261186</v>
      </c>
      <c r="K21">
        <f>100*17957/465089</f>
        <v>3.860981446561841</v>
      </c>
      <c r="L21">
        <f>IF(COUNT(J21:K21)=2,K21-J21,"")</f>
        <v>-11.603589620699346</v>
      </c>
      <c r="O21">
        <v>19</v>
      </c>
      <c r="P21">
        <v>18</v>
      </c>
      <c r="Q21">
        <f>100*460785/1299362</f>
        <v>35.462403856661965</v>
      </c>
      <c r="R21">
        <f>100*165450/923099</f>
        <v>17.923321333898098</v>
      </c>
      <c r="S21">
        <f>IF(COUNT(Q21:R21)=2,R21-Q21,"")</f>
        <v>-17.539082522763866</v>
      </c>
    </row>
    <row r="22" spans="1:19" x14ac:dyDescent="0.3">
      <c r="A22">
        <v>20</v>
      </c>
      <c r="B22">
        <v>19</v>
      </c>
      <c r="C22">
        <f>100*271082/932573</f>
        <v>29.068180185358145</v>
      </c>
      <c r="D22">
        <f>100*71171/699652</f>
        <v>10.17234282186001</v>
      </c>
      <c r="E22">
        <f>IF(COUNT(C22:D22)=2,D22-C22,"")</f>
        <v>-18.895837363498135</v>
      </c>
      <c r="H22">
        <v>20</v>
      </c>
      <c r="I22">
        <v>19</v>
      </c>
      <c r="J22">
        <f>100*51102/454685</f>
        <v>11.238989630183534</v>
      </c>
      <c r="K22">
        <f>100*91594/590936</f>
        <v>15.49981723909188</v>
      </c>
      <c r="L22">
        <f>IF(COUNT(J22:K22)=2,K22-J22,"")</f>
        <v>4.260827608908347</v>
      </c>
      <c r="O22">
        <v>20</v>
      </c>
      <c r="P22">
        <v>19</v>
      </c>
      <c r="Q22">
        <f>100*246053/750263</f>
        <v>32.795566354731605</v>
      </c>
      <c r="R22">
        <f>100*40506/587222</f>
        <v>6.897902326547711</v>
      </c>
      <c r="S22">
        <f>IF(COUNT(Q22:R22)=2,R22-Q22,"")</f>
        <v>-25.897664028183893</v>
      </c>
    </row>
    <row r="23" spans="1:19" x14ac:dyDescent="0.3">
      <c r="A23">
        <v>21</v>
      </c>
      <c r="B23">
        <v>20</v>
      </c>
      <c r="C23">
        <f>100*144702/617823</f>
        <v>23.42127114076362</v>
      </c>
      <c r="D23">
        <f>100*52451/602525</f>
        <v>8.705198954400233</v>
      </c>
      <c r="E23">
        <f>IF(COUNT(C23:D23)=2,D23-C23,"")</f>
        <v>-14.716072186363386</v>
      </c>
      <c r="H23">
        <v>21</v>
      </c>
      <c r="I23">
        <v>20</v>
      </c>
      <c r="J23">
        <f>100*591919/1541493</f>
        <v>38.399071549465354</v>
      </c>
      <c r="K23">
        <f>100*62740/525440</f>
        <v>11.940468940316688</v>
      </c>
      <c r="L23">
        <f>IF(COUNT(J23:K23)=2,K23-J23,"")</f>
        <v>-26.458602609148667</v>
      </c>
      <c r="O23">
        <v>21</v>
      </c>
      <c r="P23">
        <v>20</v>
      </c>
      <c r="Q23">
        <f>100*189374/774599</f>
        <v>24.448004709533578</v>
      </c>
      <c r="R23">
        <f>100*85967/681227</f>
        <v>12.619435224969063</v>
      </c>
      <c r="S23">
        <f>IF(COUNT(Q23:R23)=2,R23-Q23,"")</f>
        <v>-11.828569484564515</v>
      </c>
    </row>
    <row r="24" spans="1:19" x14ac:dyDescent="0.3">
      <c r="A24">
        <v>22</v>
      </c>
      <c r="B24">
        <v>21</v>
      </c>
      <c r="C24">
        <f>100*295116/1275471</f>
        <v>23.1378055635918</v>
      </c>
      <c r="D24">
        <f>100*178660/1019677</f>
        <v>17.52123466548721</v>
      </c>
      <c r="E24">
        <f>IF(COUNT(C24:D24)=2,D24-C24,"")</f>
        <v>-5.616570898104591</v>
      </c>
      <c r="H24">
        <v>22</v>
      </c>
      <c r="I24">
        <v>21</v>
      </c>
      <c r="J24">
        <f>100*392324/1270598</f>
        <v>30.87711455550851</v>
      </c>
      <c r="K24">
        <f>100*173500/870665</f>
        <v>19.927296951180995</v>
      </c>
      <c r="L24">
        <f>IF(COUNT(J24:K24)=2,K24-J24,"")</f>
        <v>-10.949817604327514</v>
      </c>
      <c r="O24">
        <v>22</v>
      </c>
      <c r="P24">
        <v>21</v>
      </c>
      <c r="Q24">
        <f>100*423564/1232833</f>
        <v>34.356964811941275</v>
      </c>
      <c r="R24">
        <f>100*162939/972616</f>
        <v>16.75265469620076</v>
      </c>
      <c r="S24">
        <f>IF(COUNT(Q24:R24)=2,R24-Q24,"")</f>
        <v>-17.604310115740514</v>
      </c>
    </row>
    <row r="25" spans="1:19" x14ac:dyDescent="0.3">
      <c r="A25">
        <v>23</v>
      </c>
      <c r="B25">
        <v>22</v>
      </c>
      <c r="C25">
        <f>100*354113/1097352</f>
        <v>32.26977305367831</v>
      </c>
      <c r="D25">
        <f>100*66974/644414</f>
        <v>10.393008221422875</v>
      </c>
      <c r="E25">
        <f>IF(COUNT(C25:D25)=2,D25-C25,"")</f>
        <v>-21.876764832255432</v>
      </c>
      <c r="H25">
        <v>23</v>
      </c>
      <c r="I25">
        <v>22</v>
      </c>
      <c r="J25">
        <f>100*155683/840858</f>
        <v>18.514778951975245</v>
      </c>
      <c r="K25">
        <f>100*60664/603106</f>
        <v>10.05859666459959</v>
      </c>
      <c r="L25">
        <f>IF(COUNT(J25:K25)=2,K25-J25,"")</f>
        <v>-8.456182287375656</v>
      </c>
      <c r="O25">
        <v>23</v>
      </c>
      <c r="P25">
        <v>22</v>
      </c>
      <c r="Q25">
        <f>100*592/261920</f>
        <v>0.22602321319486865</v>
      </c>
      <c r="R25">
        <f>100*427/262413</f>
        <v>0.16272059692164642</v>
      </c>
      <c r="S25">
        <f>IF(COUNT(Q25:R25)=2,R25-Q25,"")</f>
        <v>-0.06330261627322223</v>
      </c>
    </row>
    <row r="26" spans="1:19" x14ac:dyDescent="0.3">
      <c r="A26">
        <v>24</v>
      </c>
      <c r="B26">
        <v>23</v>
      </c>
      <c r="C26">
        <f>100*240022/913843</f>
        <v>26.265124315664725</v>
      </c>
      <c r="D26">
        <f>100*26836/589030</f>
        <v>4.5559648914316755</v>
      </c>
      <c r="E26">
        <f>IF(COUNT(C26:D26)=2,D26-C26,"")</f>
        <v>-21.70915942423305</v>
      </c>
      <c r="H26">
        <v>24</v>
      </c>
      <c r="I26">
        <v>23</v>
      </c>
      <c r="J26">
        <f>100*377574/1156306</f>
        <v>32.65346716180665</v>
      </c>
      <c r="K26">
        <f>100*61577/674576</f>
        <v>9.128252413367804</v>
      </c>
      <c r="L26">
        <f>IF(COUNT(J26:K26)=2,K26-J26,"")</f>
        <v>-23.52521474843885</v>
      </c>
      <c r="O26">
        <v>24</v>
      </c>
      <c r="P26">
        <v>23</v>
      </c>
      <c r="Q26">
        <f>100*122016/574638</f>
        <v>21.233541812410596</v>
      </c>
      <c r="R26">
        <f>100*3906/350904</f>
        <v>1.1131249572532658</v>
      </c>
      <c r="S26">
        <f>IF(COUNT(Q26:R26)=2,R26-Q26,"")</f>
        <v>-20.12041685515733</v>
      </c>
    </row>
    <row r="27" spans="1:19" x14ac:dyDescent="0.3">
      <c r="A27">
        <v>25</v>
      </c>
      <c r="B27">
        <v>24</v>
      </c>
      <c r="C27">
        <f>100*56444/682080</f>
        <v>8.275275627492377</v>
      </c>
      <c r="D27">
        <f>100*40063/549180</f>
        <v>7.295058086601843</v>
      </c>
      <c r="E27">
        <f>IF(COUNT(C27:D27)=2,D27-C27,"")</f>
        <v>-0.9802175408905338</v>
      </c>
      <c r="H27">
        <v>25</v>
      </c>
      <c r="I27">
        <v>24</v>
      </c>
      <c r="J27">
        <f>100*179842/875592</f>
        <v>20.53947500662409</v>
      </c>
      <c r="K27">
        <f>100*21694/442720</f>
        <v>4.900162631008312</v>
      </c>
      <c r="L27">
        <f>IF(COUNT(J27:K27)=2,K27-J27,"")</f>
        <v>-15.639312375615779</v>
      </c>
      <c r="O27">
        <v>25</v>
      </c>
      <c r="P27">
        <v>24</v>
      </c>
      <c r="Q27">
        <f>100*497820/1342997</f>
        <v>37.06784155139587</v>
      </c>
      <c r="R27">
        <f>100*195804/980906</f>
        <v>19.96154575463908</v>
      </c>
      <c r="S27">
        <f>IF(COUNT(Q27:R27)=2,R27-Q27,"")</f>
        <v>-17.106295796756793</v>
      </c>
    </row>
    <row r="28" spans="1:19" x14ac:dyDescent="0.3">
      <c r="A28">
        <v>26</v>
      </c>
      <c r="B28">
        <v>25</v>
      </c>
      <c r="C28">
        <f>100*366520/1167250</f>
        <v>31.400299850074962</v>
      </c>
      <c r="D28">
        <f>100*123342/919854</f>
        <v>13.408867059337677</v>
      </c>
      <c r="E28">
        <f>IF(COUNT(C28:D28)=2,D28-C28,"")</f>
        <v>-17.991432790737285</v>
      </c>
      <c r="H28">
        <v>26</v>
      </c>
      <c r="I28">
        <v>25</v>
      </c>
      <c r="J28">
        <f>100*403993/1263866</f>
        <v>31.964860198786898</v>
      </c>
      <c r="K28">
        <f>100*80546/650048</f>
        <v>12.390777296445801</v>
      </c>
      <c r="L28">
        <f>IF(COUNT(J28:K28)=2,K28-J28,"")</f>
        <v>-19.574082902341097</v>
      </c>
      <c r="O28">
        <v>26</v>
      </c>
      <c r="P28">
        <v>25</v>
      </c>
      <c r="Q28">
        <f>100*525172/1313199</f>
        <v>39.99180626850919</v>
      </c>
      <c r="R28">
        <f>100*252831/1177896</f>
        <v>21.464628456162515</v>
      </c>
      <c r="S28">
        <f>IF(COUNT(Q28:R28)=2,R28-Q28,"")</f>
        <v>-18.52717781234667</v>
      </c>
    </row>
    <row r="29" spans="1:19" x14ac:dyDescent="0.3">
      <c r="A29">
        <v>27</v>
      </c>
      <c r="B29">
        <v>26</v>
      </c>
      <c r="C29">
        <f>100*597714/1505438</f>
        <v>39.703660994341845</v>
      </c>
      <c r="D29">
        <f>100*79902/657142</f>
        <v>12.159015859585903</v>
      </c>
      <c r="E29">
        <f>IF(COUNT(C29:D29)=2,D29-C29,"")</f>
        <v>-27.544645134755942</v>
      </c>
      <c r="H29">
        <v>27</v>
      </c>
      <c r="I29">
        <v>26</v>
      </c>
      <c r="J29">
        <f>100*136381/818474</f>
        <v>16.66283840415212</v>
      </c>
      <c r="K29">
        <f>100*117468/901657</f>
        <v>13.02801397870809</v>
      </c>
      <c r="L29">
        <f>IF(COUNT(J29:K29)=2,K29-J29,"")</f>
        <v>-3.6348244254440285</v>
      </c>
      <c r="O29">
        <v>27</v>
      </c>
      <c r="P29">
        <v>26</v>
      </c>
      <c r="Q29">
        <f>100*365374/1222824</f>
        <v>29.87952477216672</v>
      </c>
      <c r="R29">
        <f>100*114273/829048</f>
        <v>13.783640995455029</v>
      </c>
      <c r="S29">
        <f>IF(COUNT(Q29:R29)=2,R29-Q29,"")</f>
        <v>-16.095883776711695</v>
      </c>
    </row>
    <row r="30" spans="1:19" x14ac:dyDescent="0.3">
      <c r="A30">
        <v>28</v>
      </c>
      <c r="B30">
        <v>27</v>
      </c>
      <c r="C30">
        <f>100*262582/941033</f>
        <v>27.90359105366124</v>
      </c>
      <c r="D30">
        <f>100*103619/830042</f>
        <v>12.483585167979452</v>
      </c>
      <c r="E30">
        <f>IF(COUNT(C30:D30)=2,D30-C30,"")</f>
        <v>-15.420005885681789</v>
      </c>
      <c r="H30">
        <v>28</v>
      </c>
      <c r="I30">
        <v>27</v>
      </c>
      <c r="J30">
        <f>100*471860/1401372</f>
        <v>33.67128785219057</v>
      </c>
      <c r="K30">
        <f>100*197727/1218353</f>
        <v>16.229040352016206</v>
      </c>
      <c r="L30">
        <f>IF(COUNT(J30:K30)=2,K30-J30,"")</f>
        <v>-17.44224750017436</v>
      </c>
      <c r="O30">
        <v>28</v>
      </c>
      <c r="P30">
        <v>27</v>
      </c>
      <c r="Q30">
        <f>100*191/261142</f>
        <v>0.07314028383025327</v>
      </c>
      <c r="R30">
        <f>100*282/263049</f>
        <v>0.10720436116464993</v>
      </c>
      <c r="S30">
        <f>IF(COUNT(Q30:R30)=2,R30-Q30,"")</f>
        <v>0.03406407733439666</v>
      </c>
    </row>
    <row r="31" spans="1:19" x14ac:dyDescent="0.3">
      <c r="A31">
        <v>29</v>
      </c>
      <c r="B31">
        <v>28</v>
      </c>
      <c r="C31">
        <f>100*549615/1490090</f>
        <v>36.88468481769558</v>
      </c>
      <c r="D31">
        <f>100*85259/821519</f>
        <v>10.378214015744005</v>
      </c>
      <c r="E31">
        <f>IF(COUNT(C31:D31)=2,D31-C31,"")</f>
        <v>-26.506470801951572</v>
      </c>
      <c r="H31">
        <v>29</v>
      </c>
      <c r="I31">
        <v>28</v>
      </c>
      <c r="J31">
        <f>100*501796/1378717</f>
        <v>36.39586659191117</v>
      </c>
      <c r="K31">
        <f>100*88633/897690</f>
        <v>9.87345297374372</v>
      </c>
      <c r="L31">
        <f>IF(COUNT(J31:K31)=2,K31-J31,"")</f>
        <v>-26.52241361816745</v>
      </c>
      <c r="O31">
        <v>29</v>
      </c>
      <c r="P31">
        <v>28</v>
      </c>
      <c r="Q31">
        <f>100*492377/1362039</f>
        <v>36.14999276819533</v>
      </c>
      <c r="R31">
        <f>100*239639/1157776</f>
        <v>20.698217962714722</v>
      </c>
      <c r="S31">
        <f>IF(COUNT(Q31:R31)=2,R31-Q31,"")</f>
        <v>-15.45177480548061</v>
      </c>
    </row>
    <row r="32" spans="1:19" x14ac:dyDescent="0.3">
      <c r="A32">
        <v>30</v>
      </c>
      <c r="B32">
        <v>29</v>
      </c>
      <c r="C32">
        <f>100*237648/919878</f>
        <v>25.834730257708088</v>
      </c>
      <c r="D32">
        <f>100*111092/719698</f>
        <v>15.43591895489497</v>
      </c>
      <c r="E32">
        <f>IF(COUNT(C32:D32)=2,D32-C32,"")</f>
        <v>-10.398811302813119</v>
      </c>
      <c r="H32">
        <v>30</v>
      </c>
      <c r="I32">
        <v>29</v>
      </c>
      <c r="J32">
        <f>100*264568/888302</f>
        <v>29.783564598526176</v>
      </c>
      <c r="K32">
        <f>100*57111/699837</f>
        <v>8.16061454310075</v>
      </c>
      <c r="L32">
        <f>IF(COUNT(J32:K32)=2,K32-J32,"")</f>
        <v>-21.622950055425427</v>
      </c>
      <c r="O32">
        <v>30</v>
      </c>
      <c r="P32">
        <v>29</v>
      </c>
      <c r="Q32">
        <f>100*465436/1240969</f>
        <v>37.50585228156384</v>
      </c>
      <c r="R32">
        <f>100*92756/723313</f>
        <v>12.82377062212348</v>
      </c>
      <c r="S32">
        <f>IF(COUNT(Q32:R32)=2,R32-Q32,"")</f>
        <v>-24.68208165944036</v>
      </c>
    </row>
    <row r="33" spans="1:19" x14ac:dyDescent="0.3">
      <c r="A33">
        <v>31</v>
      </c>
      <c r="B33">
        <v>30</v>
      </c>
      <c r="C33">
        <f>100*498726/1349876</f>
        <v>36.946060230717485</v>
      </c>
      <c r="D33">
        <f>100*83794/681154</f>
        <v>12.301770231107797</v>
      </c>
      <c r="E33">
        <f>IF(COUNT(C33:D33)=2,D33-C33,"")</f>
        <v>-24.64428999960969</v>
      </c>
      <c r="H33">
        <v>31</v>
      </c>
      <c r="I33">
        <v>30</v>
      </c>
      <c r="J33">
        <f>100*307741/1047349</f>
        <v>29.382851370460084</v>
      </c>
      <c r="K33">
        <f>100*119355/818276</f>
        <v>14.586154304904458</v>
      </c>
      <c r="L33">
        <f>IF(COUNT(J33:K33)=2,K33-J33,"")</f>
        <v>-14.796697065555627</v>
      </c>
      <c r="O33">
        <v>31</v>
      </c>
      <c r="P33">
        <v>30</v>
      </c>
      <c r="Q33">
        <f>100*7935/484889</f>
        <v>1.63645700356164</v>
      </c>
      <c r="R33">
        <f>100*605/482053</f>
        <v>0.12550487187093534</v>
      </c>
      <c r="S33">
        <f>IF(COUNT(Q33:R33)=2,R33-Q33,"")</f>
        <v>-1.5109521316907046</v>
      </c>
    </row>
    <row r="34" spans="1:19" x14ac:dyDescent="0.3">
      <c r="A34" t="s">
        <v>5</v>
      </c>
      <c r="C34">
        <f>IF(COUNT(C3:C33)&gt;0,AVERAGE(C3:C33),"")</f>
        <v>24.75128625154027</v>
      </c>
      <c r="D34">
        <f>IF(COUNT(D3:D33)&gt;0,AVERAGE(D3:D33),"")</f>
        <v>10.751021517798263</v>
      </c>
      <c r="E34">
        <f>IF(COUNT(E3:E33)&gt;0,AVERAGE(E3:E33),"")</f>
        <v>-14.000264733742013</v>
      </c>
      <c r="H34" t="s">
        <v>5</v>
      </c>
      <c r="J34">
        <f>IF(COUNT(J3:J33)&gt;0,AVERAGE(J3:J33),"")</f>
        <v>23.26126650336055</v>
      </c>
      <c r="K34">
        <f>IF(COUNT(K3:K33)&gt;0,AVERAGE(K3:K33),"")</f>
        <v>10.939482103583552</v>
      </c>
      <c r="L34">
        <f>IF(COUNT(L3:L33)&gt;0,AVERAGE(L3:L33),"")</f>
        <v>-12.321784399776998</v>
      </c>
      <c r="O34" t="s">
        <v>5</v>
      </c>
      <c r="Q34">
        <f>IF(COUNT(Q3:Q33)&gt;0,AVERAGE(Q3:Q33),"")</f>
        <v>28.172990083851328</v>
      </c>
      <c r="R34">
        <f>IF(COUNT(R3:R33)&gt;0,AVERAGE(R3:R33),"")</f>
        <v>11.284586044120086</v>
      </c>
      <c r="S34">
        <f>IF(COUNT(S3:S33)&gt;0,AVERAGE(S3:S33),"")</f>
        <v>-16.88840403973124</v>
      </c>
    </row>
    <row r="37" spans="1:19" s="2" customFormat="1" x14ac:dyDescent="0.3">
      <c r="A37" s="1" t="s">
        <v>9</v>
      </c>
      <c r="B37" s="1"/>
      <c r="C37" s="1"/>
      <c r="D37" s="1"/>
      <c r="E37" s="1"/>
      <c r="H37" s="1" t="s">
        <v>10</v>
      </c>
      <c r="I37" s="1"/>
      <c r="J37" s="1"/>
      <c r="K37" s="1"/>
      <c r="L37" s="1"/>
      <c r="O37" s="1" t="s">
        <v>11</v>
      </c>
      <c r="P37" s="1"/>
      <c r="Q37" s="1"/>
      <c r="R37" s="1"/>
      <c r="S37" s="1"/>
    </row>
    <row r="38" spans="1:19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O38" t="s">
        <v>0</v>
      </c>
      <c r="P38" t="s">
        <v>1</v>
      </c>
      <c r="Q38" t="s">
        <v>2</v>
      </c>
      <c r="R38" t="s">
        <v>3</v>
      </c>
      <c r="S38" t="s">
        <v>4</v>
      </c>
    </row>
    <row r="39" spans="1:19" x14ac:dyDescent="0.3">
      <c r="A39">
        <v>1</v>
      </c>
      <c r="B39">
        <v>0</v>
      </c>
      <c r="C39">
        <f>100*192841/1049609</f>
        <v>18.372651149142204</v>
      </c>
      <c r="D39">
        <f>100*210282/1284783</f>
        <v>16.367121918643072</v>
      </c>
      <c r="E39">
        <f>IF(COUNT(C39:D39)=2,D39-C39,"")</f>
        <v>-2.005529230499132</v>
      </c>
      <c r="H39">
        <v>1</v>
      </c>
      <c r="I39">
        <v>0</v>
      </c>
      <c r="J39">
        <f>100*402854/1288411</f>
        <v>31.267507029977235</v>
      </c>
      <c r="K39">
        <f>100*233171/1131874</f>
        <v>20.600437857924117</v>
      </c>
      <c r="L39">
        <f>IF(COUNT(J39:K39)=2,K39-J39,"")</f>
        <v>-10.667069172053118</v>
      </c>
      <c r="O39">
        <v>1</v>
      </c>
      <c r="P39">
        <v>0</v>
      </c>
      <c r="Q39">
        <f>100*88041/674269</f>
        <v>13.057251631025599</v>
      </c>
      <c r="R39">
        <f>100*78400/708531</f>
        <v>11.065147467083303</v>
      </c>
      <c r="S39">
        <f>IF(COUNT(Q39:R39)=2,R39-Q39,"")</f>
        <v>-1.9921041639422956</v>
      </c>
    </row>
    <row r="40" spans="1:19" x14ac:dyDescent="0.3">
      <c r="A40">
        <v>2</v>
      </c>
      <c r="B40">
        <v>1</v>
      </c>
      <c r="C40">
        <f>100*767234/1849227</f>
        <v>41.489443967668656</v>
      </c>
      <c r="D40">
        <f>100*89300/655194</f>
        <v>13.629550942163695</v>
      </c>
      <c r="E40">
        <f>IF(COUNT(C40:D40)=2,D40-C40,"")</f>
        <v>-27.85989302550496</v>
      </c>
      <c r="H40">
        <v>2</v>
      </c>
      <c r="I40">
        <v>1</v>
      </c>
      <c r="J40">
        <f>100*573780/1506160</f>
        <v>38.095554257183835</v>
      </c>
      <c r="K40">
        <f>100*268813/1522670</f>
        <v>17.65405504804061</v>
      </c>
      <c r="L40">
        <f>IF(COUNT(J40:K40)=2,K40-J40,"")</f>
        <v>-20.441499209143224</v>
      </c>
      <c r="O40">
        <v>2</v>
      </c>
      <c r="P40">
        <v>1</v>
      </c>
      <c r="Q40">
        <f>100*291073/995685</f>
        <v>29.233442303539775</v>
      </c>
      <c r="R40">
        <f>100*208817/1093523</f>
        <v>19.095803197555057</v>
      </c>
      <c r="S40">
        <f>IF(COUNT(Q40:R40)=2,R40-Q40,"")</f>
        <v>-10.137639105984718</v>
      </c>
    </row>
    <row r="41" spans="1:19" x14ac:dyDescent="0.3">
      <c r="A41">
        <v>3</v>
      </c>
      <c r="B41">
        <v>2</v>
      </c>
      <c r="C41">
        <f>100*647494/1597730</f>
        <v>40.525871079594175</v>
      </c>
      <c r="D41">
        <f>100*97441/1023922</f>
        <v>9.516447541902606</v>
      </c>
      <c r="E41">
        <f>IF(COUNT(C41:D41)=2,D41-C41,"")</f>
        <v>-31.009423537691568</v>
      </c>
      <c r="H41">
        <v>3</v>
      </c>
      <c r="I41">
        <v>2</v>
      </c>
      <c r="J41">
        <f>100*646730/1702231</f>
        <v>37.99308084507919</v>
      </c>
      <c r="K41">
        <f>100*129143/999108</f>
        <v>12.925829840217474</v>
      </c>
      <c r="L41">
        <f>IF(COUNT(J41:K41)=2,K41-J41,"")</f>
        <v>-25.067251004861717</v>
      </c>
      <c r="O41">
        <v>3</v>
      </c>
      <c r="P41">
        <v>2</v>
      </c>
      <c r="Q41">
        <f>100*505429/1286969</f>
        <v>39.272818537198646</v>
      </c>
      <c r="R41">
        <f>100*202540/1142147</f>
        <v>17.73326901003111</v>
      </c>
      <c r="S41">
        <f>IF(COUNT(Q41:R41)=2,R41-Q41,"")</f>
        <v>-21.539549527167537</v>
      </c>
    </row>
    <row r="42" spans="1:19" x14ac:dyDescent="0.3">
      <c r="A42">
        <v>4</v>
      </c>
      <c r="B42">
        <v>3</v>
      </c>
      <c r="C42">
        <f>100*45060/760183</f>
        <v>5.927520083979778</v>
      </c>
      <c r="D42">
        <f>100*45534/728452</f>
        <v>6.250789345076957</v>
      </c>
      <c r="E42">
        <f>IF(COUNT(C42:D42)=2,D42-C42,"")</f>
        <v>0.32326926109717924</v>
      </c>
      <c r="H42">
        <v>4</v>
      </c>
      <c r="I42">
        <v>3</v>
      </c>
      <c r="J42">
        <f>100*44764/778520</f>
        <v>5.749884396033499</v>
      </c>
      <c r="K42">
        <f>100*63418/1029533</f>
        <v>6.159880256388091</v>
      </c>
      <c r="L42">
        <f>IF(COUNT(J42:K42)=2,K42-J42,"")</f>
        <v>0.40999586035459146</v>
      </c>
      <c r="O42">
        <v>4</v>
      </c>
      <c r="P42">
        <v>3</v>
      </c>
      <c r="Q42">
        <f>100*589890/1404698</f>
        <v>41.9940798662773</v>
      </c>
      <c r="R42">
        <f>100*257529/1337665</f>
        <v>19.25212964381964</v>
      </c>
      <c r="S42">
        <f>IF(COUNT(Q42:R42)=2,R42-Q42,"")</f>
        <v>-22.741950222457664</v>
      </c>
    </row>
    <row r="43" spans="1:19" x14ac:dyDescent="0.3">
      <c r="A43">
        <v>5</v>
      </c>
      <c r="B43">
        <v>4</v>
      </c>
      <c r="C43">
        <f>100*964627/2043023</f>
        <v>47.21567011237759</v>
      </c>
      <c r="D43">
        <f>100*234482/1487723</f>
        <v>15.761132952841356</v>
      </c>
      <c r="E43">
        <f>IF(COUNT(C43:D43)=2,D43-C43,"")</f>
        <v>-31.45453715953623</v>
      </c>
      <c r="H43">
        <v>5</v>
      </c>
      <c r="I43">
        <v>4</v>
      </c>
      <c r="J43">
        <f>100*942269/2236809</f>
        <v>42.12559051756319</v>
      </c>
      <c r="K43">
        <f>100*512018/1898824</f>
        <v>26.965005708796603</v>
      </c>
      <c r="L43">
        <f>IF(COUNT(J43:K43)=2,K43-J43,"")</f>
        <v>-15.160584808766586</v>
      </c>
      <c r="O43">
        <v>5</v>
      </c>
      <c r="P43">
        <v>4</v>
      </c>
      <c r="Q43">
        <f>100*141535/798132</f>
        <v>17.73328221396962</v>
      </c>
      <c r="R43">
        <f>100*36691/806080</f>
        <v>4.551781460897182</v>
      </c>
      <c r="S43">
        <f>IF(COUNT(Q43:R43)=2,R43-Q43,"")</f>
        <v>-13.181500753072438</v>
      </c>
    </row>
    <row r="44" spans="1:19" x14ac:dyDescent="0.3">
      <c r="A44">
        <v>6</v>
      </c>
      <c r="B44">
        <v>5</v>
      </c>
      <c r="C44">
        <f>100*200146/1105970</f>
        <v>18.09687423709504</v>
      </c>
      <c r="D44">
        <f>100*126026/1079858</f>
        <v>11.670608542975096</v>
      </c>
      <c r="E44">
        <f>IF(COUNT(C44:D44)=2,D44-C44,"")</f>
        <v>-6.4262656941199445</v>
      </c>
      <c r="H44">
        <v>6</v>
      </c>
      <c r="I44">
        <v>5</v>
      </c>
      <c r="J44">
        <f>100*712109/1711457</f>
        <v>41.60834890973013</v>
      </c>
      <c r="K44">
        <f>100*230275/1300518</f>
        <v>17.70640621659985</v>
      </c>
      <c r="L44">
        <f>IF(COUNT(J44:K44)=2,K44-J44,"")</f>
        <v>-23.901942693130284</v>
      </c>
      <c r="O44">
        <v>6</v>
      </c>
      <c r="P44">
        <v>5</v>
      </c>
      <c r="Q44">
        <f>100*603941/1377183</f>
        <v>43.8533586313511</v>
      </c>
      <c r="R44">
        <f>100*58271/816566</f>
        <v>7.136104123855267</v>
      </c>
      <c r="S44">
        <f>IF(COUNT(Q44:R44)=2,R44-Q44,"")</f>
        <v>-36.71725450749583</v>
      </c>
    </row>
    <row r="45" spans="1:19" x14ac:dyDescent="0.3">
      <c r="A45">
        <v>7</v>
      </c>
      <c r="B45">
        <v>6</v>
      </c>
      <c r="C45">
        <f>100*18395/700580</f>
        <v>2.6256815781209855</v>
      </c>
      <c r="D45">
        <f>100*75317/752844</f>
        <v>10.004330246372422</v>
      </c>
      <c r="E45">
        <f>IF(COUNT(C45:D45)=2,D45-C45,"")</f>
        <v>7.3786486682514365</v>
      </c>
      <c r="H45">
        <v>7</v>
      </c>
      <c r="I45">
        <v>6</v>
      </c>
      <c r="J45">
        <f>100*1624/545527</f>
        <v>0.2976937896749382</v>
      </c>
      <c r="K45">
        <f>100*4178/639409</f>
        <v>0.6534158887347535</v>
      </c>
      <c r="L45">
        <f>IF(COUNT(J45:K45)=2,K45-J45,"")</f>
        <v>0.35572209905981533</v>
      </c>
      <c r="O45">
        <v>7</v>
      </c>
      <c r="P45">
        <v>6</v>
      </c>
      <c r="Q45">
        <f>100*672106/1493090</f>
        <v>45.01443315540256</v>
      </c>
      <c r="R45">
        <f>100*67860/836625</f>
        <v>8.111160914388167</v>
      </c>
      <c r="S45">
        <f>IF(COUNT(Q45:R45)=2,R45-Q45,"")</f>
        <v>-36.90327224101439</v>
      </c>
    </row>
    <row r="46" spans="1:19" x14ac:dyDescent="0.3">
      <c r="A46">
        <v>8</v>
      </c>
      <c r="B46">
        <v>7</v>
      </c>
      <c r="C46">
        <f>100*20606/505497</f>
        <v>4.076384231756074</v>
      </c>
      <c r="D46">
        <f>100*6672/467546</f>
        <v>1.4270253622103493</v>
      </c>
      <c r="E46">
        <f>IF(COUNT(C46:D46)=2,D46-C46,"")</f>
        <v>-2.6493588695457246</v>
      </c>
      <c r="H46">
        <v>8</v>
      </c>
      <c r="I46">
        <v>7</v>
      </c>
      <c r="J46">
        <f>100*2064/453926</f>
        <v>0.45469966470305734</v>
      </c>
      <c r="K46">
        <f>100*2071/519594</f>
        <v>0.39858043010504357</v>
      </c>
      <c r="L46">
        <f>IF(COUNT(J46:K46)=2,K46-J46,"")</f>
        <v>-0.05611923459801377</v>
      </c>
      <c r="O46">
        <v>8</v>
      </c>
      <c r="P46">
        <v>7</v>
      </c>
      <c r="Q46">
        <f>100*703275/1703373</f>
        <v>41.28719898695118</v>
      </c>
      <c r="R46">
        <f>100*282745/1538120</f>
        <v>18.38250591631342</v>
      </c>
      <c r="S46">
        <f>IF(COUNT(Q46:R46)=2,R46-Q46,"")</f>
        <v>-22.904693070637762</v>
      </c>
    </row>
    <row r="47" spans="1:19" x14ac:dyDescent="0.3">
      <c r="A47">
        <v>9</v>
      </c>
      <c r="B47">
        <v>8</v>
      </c>
      <c r="C47">
        <f>100*929076/2063992</f>
        <v>45.01354656413397</v>
      </c>
      <c r="D47">
        <f>100*458425/1596443</f>
        <v>28.71540042456887</v>
      </c>
      <c r="E47">
        <f>IF(COUNT(C47:D47)=2,D47-C47,"")</f>
        <v>-16.298146139565098</v>
      </c>
      <c r="H47">
        <v>9</v>
      </c>
      <c r="I47">
        <v>8</v>
      </c>
      <c r="J47">
        <f>100*779177/1827411</f>
        <v>42.63830085295535</v>
      </c>
      <c r="K47">
        <f>100*202430/1280162</f>
        <v>15.812842437129051</v>
      </c>
      <c r="L47">
        <f>IF(COUNT(J47:K47)=2,K47-J47,"")</f>
        <v>-26.825458415826304</v>
      </c>
      <c r="O47">
        <v>9</v>
      </c>
      <c r="P47">
        <v>8</v>
      </c>
      <c r="Q47">
        <f>100*785425/1662476</f>
        <v>47.244291045404566</v>
      </c>
      <c r="R47">
        <f>100*278204/1383448</f>
        <v>20.10946562501807</v>
      </c>
      <c r="S47">
        <f>IF(COUNT(Q47:R47)=2,R47-Q47,"")</f>
        <v>-27.134825420386495</v>
      </c>
    </row>
    <row r="48" spans="1:19" x14ac:dyDescent="0.3">
      <c r="A48">
        <v>10</v>
      </c>
      <c r="B48">
        <v>9</v>
      </c>
      <c r="C48">
        <f>100*401887/1367048</f>
        <v>29.39816304913946</v>
      </c>
      <c r="D48">
        <f>100*8775/581795</f>
        <v>1.5082632198626664</v>
      </c>
      <c r="E48">
        <f>IF(COUNT(C48:D48)=2,D48-C48,"")</f>
        <v>-27.889899829276793</v>
      </c>
      <c r="H48">
        <v>10</v>
      </c>
      <c r="I48">
        <v>9</v>
      </c>
      <c r="J48">
        <f>100*872985/1990559</f>
        <v>43.85627353924199</v>
      </c>
      <c r="K48">
        <f>100*61361/931241</f>
        <v>6.589164351655479</v>
      </c>
      <c r="L48">
        <f>IF(COUNT(J48:K48)=2,K48-J48,"")</f>
        <v>-37.26710918758651</v>
      </c>
      <c r="O48">
        <v>10</v>
      </c>
      <c r="P48">
        <v>9</v>
      </c>
      <c r="Q48">
        <f>100*317010/1082800</f>
        <v>29.276874769117104</v>
      </c>
      <c r="R48">
        <f>100*12542/681685</f>
        <v>1.8398527178975626</v>
      </c>
      <c r="S48">
        <f>IF(COUNT(Q48:R48)=2,R48-Q48,"")</f>
        <v>-27.43702205121954</v>
      </c>
    </row>
    <row r="49" spans="1:19" x14ac:dyDescent="0.3">
      <c r="A49">
        <v>11</v>
      </c>
      <c r="B49">
        <v>10</v>
      </c>
      <c r="C49">
        <f>100*705082/1682816</f>
        <v>41.898936069065186</v>
      </c>
      <c r="D49">
        <f>100*74189/1017262</f>
        <v>7.293008094276598</v>
      </c>
      <c r="E49">
        <f>IF(COUNT(C49:D49)=2,D49-C49,"")</f>
        <v>-34.605927974788585</v>
      </c>
      <c r="H49">
        <v>11</v>
      </c>
      <c r="I49">
        <v>10</v>
      </c>
      <c r="J49">
        <f>100*582667/1702410</f>
        <v>34.22600901075534</v>
      </c>
      <c r="K49">
        <f>100*40499/965405</f>
        <v>4.195026957598106</v>
      </c>
      <c r="L49">
        <f>IF(COUNT(J49:K49)=2,K49-J49,"")</f>
        <v>-30.030982053157235</v>
      </c>
      <c r="O49">
        <v>11</v>
      </c>
      <c r="P49">
        <v>10</v>
      </c>
      <c r="Q49">
        <f>100*610513/1430887</f>
        <v>42.666751462554345</v>
      </c>
      <c r="R49">
        <f>100*129796/977889</f>
        <v>13.273081096116226</v>
      </c>
      <c r="S49">
        <f>IF(COUNT(Q49:R49)=2,R49-Q49,"")</f>
        <v>-29.39367036643812</v>
      </c>
    </row>
    <row r="50" spans="1:19" x14ac:dyDescent="0.3">
      <c r="A50">
        <v>12</v>
      </c>
      <c r="B50">
        <v>11</v>
      </c>
      <c r="C50">
        <f>100*661603/1691906</f>
        <v>39.10400459600002</v>
      </c>
      <c r="D50">
        <f>100*97160/841175</f>
        <v>11.550509703688293</v>
      </c>
      <c r="E50">
        <f>IF(COUNT(C50:D50)=2,D50-C50,"")</f>
        <v>-27.553494892311726</v>
      </c>
      <c r="H50">
        <v>12</v>
      </c>
      <c r="I50">
        <v>11</v>
      </c>
      <c r="J50">
        <f>100*2109/16409</f>
        <v>12.85270278505698</v>
      </c>
      <c r="K50">
        <f>100*155000/1188618</f>
        <v>13.040354428420233</v>
      </c>
      <c r="L50">
        <f>IF(COUNT(J50:K50)=2,K50-J50,"")</f>
        <v>0.18765164336325313</v>
      </c>
      <c r="O50">
        <v>12</v>
      </c>
      <c r="P50">
        <v>11</v>
      </c>
      <c r="Q50">
        <f>100*565746/1449544</f>
        <v>39.029239540158834</v>
      </c>
      <c r="R50">
        <f>100*217296/1150426</f>
        <v>18.888307461757645</v>
      </c>
      <c r="S50">
        <f>IF(COUNT(Q50:R50)=2,R50-Q50,"")</f>
        <v>-20.14093207840119</v>
      </c>
    </row>
    <row r="51" spans="1:19" x14ac:dyDescent="0.3">
      <c r="A51">
        <v>13</v>
      </c>
      <c r="B51">
        <v>12</v>
      </c>
      <c r="C51">
        <f>100*13444/609443</f>
        <v>2.20594871054389</v>
      </c>
      <c r="D51">
        <f>100*19198/727356</f>
        <v>2.6394227860909925</v>
      </c>
      <c r="E51">
        <f>IF(COUNT(C51:D51)=2,D51-C51,"")</f>
        <v>0.43347407554710227</v>
      </c>
      <c r="H51">
        <v>13</v>
      </c>
      <c r="I51">
        <v>12</v>
      </c>
      <c r="J51">
        <f>100*78998/737547</f>
        <v>10.710910626712602</v>
      </c>
      <c r="K51">
        <f>100*17015/745128</f>
        <v>2.2835002845148753</v>
      </c>
      <c r="L51">
        <f>IF(COUNT(J51:K51)=2,K51-J51,"")</f>
        <v>-8.427410342197726</v>
      </c>
      <c r="O51">
        <v>13</v>
      </c>
      <c r="P51">
        <v>12</v>
      </c>
      <c r="Q51">
        <f>100*653960/1481691</f>
        <v>44.136058057989146</v>
      </c>
      <c r="R51">
        <f>100*45889/723135</f>
        <v>6.345841371251565</v>
      </c>
      <c r="S51">
        <f>IF(COUNT(Q51:R51)=2,R51-Q51,"")</f>
        <v>-37.79021668673758</v>
      </c>
    </row>
    <row r="52" spans="1:19" x14ac:dyDescent="0.3">
      <c r="A52">
        <v>14</v>
      </c>
      <c r="B52">
        <v>13</v>
      </c>
      <c r="C52">
        <f>100*183005/843268</f>
        <v>21.701878880735425</v>
      </c>
      <c r="D52">
        <f>100*145372/1054375</f>
        <v>13.787504445761707</v>
      </c>
      <c r="E52">
        <f>IF(COUNT(C52:D52)=2,D52-C52,"")</f>
        <v>-7.914374434973718</v>
      </c>
      <c r="H52">
        <v>14</v>
      </c>
      <c r="I52">
        <v>13</v>
      </c>
      <c r="J52">
        <f>100*450919/1374273</f>
        <v>32.811457403296146</v>
      </c>
      <c r="K52">
        <f>100*51047/642438</f>
        <v>7.945825122424265</v>
      </c>
      <c r="L52">
        <f>IF(COUNT(J52:K52)=2,K52-J52,"")</f>
        <v>-24.865632280871882</v>
      </c>
      <c r="O52">
        <v>14</v>
      </c>
      <c r="P52">
        <v>13</v>
      </c>
      <c r="Q52">
        <f>100*1624/402681</f>
        <v>0.40329690251092054</v>
      </c>
      <c r="R52">
        <f>100*10208/661509</f>
        <v>1.5431384909351196</v>
      </c>
      <c r="S52">
        <f>IF(COUNT(Q52:R52)=2,R52-Q52,"")</f>
        <v>1.139841588424199</v>
      </c>
    </row>
    <row r="53" spans="1:19" x14ac:dyDescent="0.3">
      <c r="A53">
        <v>15</v>
      </c>
      <c r="B53">
        <v>14</v>
      </c>
      <c r="C53">
        <f>100*855788/1778828</f>
        <v>48.10965422176849</v>
      </c>
      <c r="D53">
        <f>100*94716/1123685</f>
        <v>8.429052625958342</v>
      </c>
      <c r="E53">
        <f>IF(COUNT(C53:D53)=2,D53-C53,"")</f>
        <v>-39.680601595810145</v>
      </c>
      <c r="H53">
        <v>15</v>
      </c>
      <c r="I53">
        <v>14</v>
      </c>
      <c r="J53">
        <f>100*381484/1238884</f>
        <v>30.792552006483255</v>
      </c>
      <c r="K53">
        <f>100*297058/1565699</f>
        <v>18.97286770956614</v>
      </c>
      <c r="L53">
        <f>IF(COUNT(J53:K53)=2,K53-J53,"")</f>
        <v>-11.819684296917114</v>
      </c>
      <c r="O53">
        <v>15</v>
      </c>
      <c r="P53">
        <v>14</v>
      </c>
      <c r="Q53">
        <f>100*373593/1196320</f>
        <v>31.22851745352414</v>
      </c>
      <c r="R53">
        <f>100*260509/1152744</f>
        <v>22.599033263239715</v>
      </c>
      <c r="S53">
        <f>IF(COUNT(Q53:R53)=2,R53-Q53,"")</f>
        <v>-8.629484190284426</v>
      </c>
    </row>
    <row r="54" spans="1:19" x14ac:dyDescent="0.3">
      <c r="A54">
        <v>16</v>
      </c>
      <c r="B54">
        <v>15</v>
      </c>
      <c r="C54">
        <f>100*888567/1959716</f>
        <v>45.34162092874682</v>
      </c>
      <c r="D54">
        <f>100*43801/872302</f>
        <v>5.021311426547228</v>
      </c>
      <c r="E54">
        <f>IF(COUNT(C54:D54)=2,D54-C54,"")</f>
        <v>-40.32030950219959</v>
      </c>
      <c r="H54">
        <v>16</v>
      </c>
      <c r="I54">
        <v>15</v>
      </c>
      <c r="J54">
        <f>100*600755/1390841</f>
        <v>43.19365046040489</v>
      </c>
      <c r="K54">
        <f>100*3506/437153</f>
        <v>0.8020075351192831</v>
      </c>
      <c r="L54">
        <f>IF(COUNT(J54:K54)=2,K54-J54,"")</f>
        <v>-42.39164292528561</v>
      </c>
      <c r="O54">
        <v>16</v>
      </c>
      <c r="P54">
        <v>15</v>
      </c>
      <c r="Q54">
        <f>100*595830/1410973</f>
        <v>42.22830628226054</v>
      </c>
      <c r="R54">
        <f>100*199541/1217334</f>
        <v>16.39163943502769</v>
      </c>
      <c r="S54">
        <f>IF(COUNT(Q54:R54)=2,R54-Q54,"")</f>
        <v>-25.83666684723285</v>
      </c>
    </row>
    <row r="55" spans="1:19" x14ac:dyDescent="0.3">
      <c r="A55">
        <v>17</v>
      </c>
      <c r="B55">
        <v>16</v>
      </c>
      <c r="C55">
        <f>100*543691/1545910</f>
        <v>35.1696411822163</v>
      </c>
      <c r="D55">
        <f>100*214785/1306193</f>
        <v>16.443588351797935</v>
      </c>
      <c r="E55">
        <f>IF(COUNT(C55:D55)=2,D55-C55,"")</f>
        <v>-18.726052830418368</v>
      </c>
      <c r="H55">
        <v>17</v>
      </c>
      <c r="I55">
        <v>16</v>
      </c>
      <c r="J55">
        <f>100*627913/1725883</f>
        <v>36.38213019074873</v>
      </c>
      <c r="K55">
        <f>100*304968/1488119</f>
        <v>20.493522359434966</v>
      </c>
      <c r="L55">
        <f>IF(COUNT(J55:K55)=2,K55-J55,"")</f>
        <v>-15.888607831313767</v>
      </c>
      <c r="O55">
        <v>17</v>
      </c>
      <c r="P55">
        <v>16</v>
      </c>
      <c r="Q55">
        <f>100*6486/400160</f>
        <v>1.6208516593362654</v>
      </c>
      <c r="R55">
        <f>100*5391/403834</f>
        <v>1.3349544614866504</v>
      </c>
      <c r="S55">
        <f>IF(COUNT(Q55:R55)=2,R55-Q55,"")</f>
        <v>-0.285897197849615</v>
      </c>
    </row>
    <row r="56" spans="1:19" x14ac:dyDescent="0.3">
      <c r="A56">
        <v>18</v>
      </c>
      <c r="B56">
        <v>17</v>
      </c>
      <c r="C56">
        <f>100*889308/1891000</f>
        <v>47.02845055526176</v>
      </c>
      <c r="D56">
        <f>100*49147/755263</f>
        <v>6.507269653087732</v>
      </c>
      <c r="E56">
        <f>IF(COUNT(C56:D56)=2,D56-C56,"")</f>
        <v>-40.52118090217403</v>
      </c>
      <c r="H56">
        <v>18</v>
      </c>
      <c r="I56">
        <v>17</v>
      </c>
      <c r="J56">
        <f>100*355/2215</f>
        <v>16.02708803611738</v>
      </c>
      <c r="K56">
        <f>100*192808/1398906</f>
        <v>13.78277025046715</v>
      </c>
      <c r="L56">
        <f>IF(COUNT(J56:K56)=2,K56-J56,"")</f>
        <v>-2.24431778565023</v>
      </c>
      <c r="O56">
        <v>18</v>
      </c>
      <c r="P56">
        <v>17</v>
      </c>
      <c r="Q56">
        <f>100*78465/548560</f>
        <v>14.303813621117106</v>
      </c>
      <c r="R56">
        <f>100*36381/519928</f>
        <v>6.997315012847933</v>
      </c>
      <c r="S56">
        <f>IF(COUNT(Q56:R56)=2,R56-Q56,"")</f>
        <v>-7.306498608269173</v>
      </c>
    </row>
    <row r="57" spans="1:19" x14ac:dyDescent="0.3">
      <c r="A57">
        <v>19</v>
      </c>
      <c r="B57">
        <v>18</v>
      </c>
      <c r="C57">
        <f>100*419048/1297589</f>
        <v>32.294355146352196</v>
      </c>
      <c r="D57">
        <f>100*85206/762733</f>
        <v>11.171143768527125</v>
      </c>
      <c r="E57">
        <f>IF(COUNT(C57:D57)=2,D57-C57,"")</f>
        <v>-21.123211377825072</v>
      </c>
      <c r="H57">
        <v>19</v>
      </c>
      <c r="I57">
        <v>18</v>
      </c>
      <c r="J57">
        <f>100*451032/1332344</f>
        <v>33.85251856877803</v>
      </c>
      <c r="K57">
        <f>100*153153/1219109</f>
        <v>12.56269947970198</v>
      </c>
      <c r="L57">
        <f>IF(COUNT(J57:K57)=2,K57-J57,"")</f>
        <v>-21.28981908907605</v>
      </c>
      <c r="O57">
        <v>19</v>
      </c>
      <c r="P57">
        <v>18</v>
      </c>
      <c r="Q57">
        <f>100*644704/1630522</f>
        <v>39.53973022136469</v>
      </c>
      <c r="R57">
        <f>100*92062/793192</f>
        <v>11.606521497947533</v>
      </c>
      <c r="S57">
        <f>IF(COUNT(Q57:R57)=2,R57-Q57,"")</f>
        <v>-27.93320872341716</v>
      </c>
    </row>
    <row r="58" spans="1:19" x14ac:dyDescent="0.3">
      <c r="A58">
        <v>20</v>
      </c>
      <c r="B58">
        <v>19</v>
      </c>
      <c r="C58">
        <f>100*679956/1609329</f>
        <v>42.250900841282295</v>
      </c>
      <c r="D58">
        <f>100*148514/1130021</f>
        <v>13.142587615628383</v>
      </c>
      <c r="E58">
        <f>IF(COUNT(C58:D58)=2,D58-C58,"")</f>
        <v>-29.108313225653912</v>
      </c>
      <c r="H58">
        <v>20</v>
      </c>
      <c r="I58">
        <v>19</v>
      </c>
      <c r="J58">
        <f>100*854529/1945718</f>
        <v>43.918440390642424</v>
      </c>
      <c r="K58">
        <f>100*69798/925771</f>
        <v>7.539445500021063</v>
      </c>
      <c r="L58">
        <f>IF(COUNT(J58:K58)=2,K58-J58,"")</f>
        <v>-36.37899489062136</v>
      </c>
      <c r="O58">
        <v>20</v>
      </c>
      <c r="P58">
        <v>19</v>
      </c>
      <c r="Q58">
        <f>100*668214/1556077</f>
        <v>42.94221944029762</v>
      </c>
      <c r="R58">
        <f>100*163894/1041494</f>
        <v>15.7364324710464</v>
      </c>
      <c r="S58">
        <f>IF(COUNT(Q58:R58)=2,R58-Q58,"")</f>
        <v>-27.20578696925122</v>
      </c>
    </row>
    <row r="59" spans="1:19" x14ac:dyDescent="0.3">
      <c r="A59">
        <v>21</v>
      </c>
      <c r="B59">
        <v>20</v>
      </c>
      <c r="C59">
        <f>100*775725/1847570</f>
        <v>41.98623056230616</v>
      </c>
      <c r="D59">
        <f>100*95491/1077114</f>
        <v>8.865449710986953</v>
      </c>
      <c r="E59">
        <f>IF(COUNT(C59:D59)=2,D59-C59,"")</f>
        <v>-33.12078085131921</v>
      </c>
      <c r="H59">
        <v>21</v>
      </c>
      <c r="I59">
        <v>20</v>
      </c>
      <c r="J59">
        <f>100*708159/1885839</f>
        <v>37.5514028504024</v>
      </c>
      <c r="K59">
        <f>100*34759/890080</f>
        <v>3.905154592845587</v>
      </c>
      <c r="L59">
        <f>IF(COUNT(J59:K59)=2,K59-J59,"")</f>
        <v>-33.64624825755681</v>
      </c>
      <c r="O59">
        <v>21</v>
      </c>
      <c r="P59">
        <v>20</v>
      </c>
      <c r="Q59">
        <f>100*370589/1143839</f>
        <v>32.39870296431578</v>
      </c>
      <c r="R59">
        <f>100*107004/913739</f>
        <v>11.710565051945906</v>
      </c>
      <c r="S59">
        <f>IF(COUNT(Q59:R59)=2,R59-Q59,"")</f>
        <v>-20.688137912369875</v>
      </c>
    </row>
    <row r="60" spans="1:19" x14ac:dyDescent="0.3">
      <c r="A60">
        <v>22</v>
      </c>
      <c r="B60">
        <v>21</v>
      </c>
      <c r="C60">
        <f>100*654996/1913846</f>
        <v>34.22407027524681</v>
      </c>
      <c r="D60">
        <f>100*176887/1121176</f>
        <v>15.776916380657452</v>
      </c>
      <c r="E60">
        <f>IF(COUNT(C60:D60)=2,D60-C60,"")</f>
        <v>-18.447153894589356</v>
      </c>
      <c r="H60">
        <v>22</v>
      </c>
      <c r="I60">
        <v>21</v>
      </c>
      <c r="J60">
        <f>100*858363/1916826</f>
        <v>44.78043390479887</v>
      </c>
      <c r="K60">
        <f>100*180614/1137614</f>
        <v>15.876562700529353</v>
      </c>
      <c r="L60">
        <f>IF(COUNT(J60:K60)=2,K60-J60,"")</f>
        <v>-28.903871204269514</v>
      </c>
      <c r="O60">
        <v>22</v>
      </c>
      <c r="P60">
        <v>21</v>
      </c>
      <c r="Q60">
        <f>100*754527/1680084</f>
        <v>44.91007592477519</v>
      </c>
      <c r="R60">
        <f>100*207571/1115980</f>
        <v>18.59988530260399</v>
      </c>
      <c r="S60">
        <f>IF(COUNT(Q60:R60)=2,R60-Q60,"")</f>
        <v>-26.310190622171202</v>
      </c>
    </row>
    <row r="61" spans="1:19" x14ac:dyDescent="0.3">
      <c r="A61">
        <v>23</v>
      </c>
      <c r="B61">
        <v>22</v>
      </c>
      <c r="C61">
        <f>100*604684/1725077</f>
        <v>35.052580261634695</v>
      </c>
      <c r="D61">
        <f>100*126615/1051897</f>
        <v>12.036824898255247</v>
      </c>
      <c r="E61">
        <f>IF(COUNT(C61:D61)=2,D61-C61,"")</f>
        <v>-23.015755363379448</v>
      </c>
      <c r="H61">
        <v>23</v>
      </c>
      <c r="I61">
        <v>22</v>
      </c>
      <c r="J61">
        <f>100*941313/1944636</f>
        <v>48.40561421263414</v>
      </c>
      <c r="K61">
        <f>100*85686/1071831</f>
        <v>7.994357319390836</v>
      </c>
      <c r="L61">
        <f>IF(COUNT(J61:K61)=2,K61-J61,"")</f>
        <v>-40.411256893243305</v>
      </c>
      <c r="O61">
        <v>23</v>
      </c>
      <c r="P61">
        <v>22</v>
      </c>
      <c r="Q61">
        <f>100*844/356205</f>
        <v>0.236942210244101</v>
      </c>
      <c r="R61">
        <f>100*34/334307</f>
        <v>0.010170292575387294</v>
      </c>
      <c r="S61">
        <f>IF(COUNT(Q61:R61)=2,R61-Q61,"")</f>
        <v>-0.2267719176687137</v>
      </c>
    </row>
    <row r="62" spans="1:19" x14ac:dyDescent="0.3">
      <c r="A62">
        <v>24</v>
      </c>
      <c r="B62">
        <v>23</v>
      </c>
      <c r="C62">
        <f>100*344998/1193986</f>
        <v>28.894643655788258</v>
      </c>
      <c r="D62">
        <f>100*118923/959044</f>
        <v>12.400160993656183</v>
      </c>
      <c r="E62">
        <f>IF(COUNT(C62:D62)=2,D62-C62,"")</f>
        <v>-16.494482662132075</v>
      </c>
      <c r="H62">
        <v>24</v>
      </c>
      <c r="I62">
        <v>23</v>
      </c>
      <c r="J62">
        <f>100*792417/1775752</f>
        <v>44.62430564628394</v>
      </c>
      <c r="K62">
        <f>100*112244/1024139</f>
        <v>10.959840412287786</v>
      </c>
      <c r="L62">
        <f>IF(COUNT(J62:K62)=2,K62-J62,"")</f>
        <v>-33.664465233996154</v>
      </c>
      <c r="O62">
        <v>24</v>
      </c>
      <c r="P62">
        <v>23</v>
      </c>
      <c r="Q62">
        <f>100*197250/941831</f>
        <v>20.94324778012191</v>
      </c>
      <c r="R62">
        <f>100*18125/693454</f>
        <v>2.6137278031419533</v>
      </c>
      <c r="S62">
        <f>IF(COUNT(Q62:R62)=2,R62-Q62,"")</f>
        <v>-18.32951997697996</v>
      </c>
    </row>
    <row r="63" spans="1:19" x14ac:dyDescent="0.3">
      <c r="A63">
        <v>25</v>
      </c>
      <c r="B63">
        <v>24</v>
      </c>
      <c r="C63">
        <f>100*768464/1759518</f>
        <v>43.67468818164975</v>
      </c>
      <c r="D63">
        <f>100*35324/659049</f>
        <v>5.35984426044194</v>
      </c>
      <c r="E63">
        <f>IF(COUNT(C63:D63)=2,D63-C63,"")</f>
        <v>-38.31484392120781</v>
      </c>
      <c r="H63">
        <v>25</v>
      </c>
      <c r="I63">
        <v>24</v>
      </c>
      <c r="J63">
        <f>100*708043/1588574</f>
        <v>44.57098001100358</v>
      </c>
      <c r="K63">
        <f>100*12051/599832</f>
        <v>2.009062537510503</v>
      </c>
      <c r="L63">
        <f>IF(COUNT(J63:K63)=2,K63-J63,"")</f>
        <v>-42.561917473493075</v>
      </c>
      <c r="O63">
        <v>25</v>
      </c>
      <c r="P63">
        <v>24</v>
      </c>
      <c r="Q63">
        <f>100*339441/1160878</f>
        <v>29.240023499454722</v>
      </c>
      <c r="R63">
        <f>100*254356/1112617</f>
        <v>22.86105641024719</v>
      </c>
      <c r="S63">
        <f>IF(COUNT(Q63:R63)=2,R63-Q63,"")</f>
        <v>-6.378967089207531</v>
      </c>
    </row>
    <row r="64" spans="1:19" x14ac:dyDescent="0.3">
      <c r="A64">
        <v>26</v>
      </c>
      <c r="B64">
        <v>25</v>
      </c>
      <c r="C64">
        <f>100*872598/1965096</f>
        <v>44.40485350334029</v>
      </c>
      <c r="D64">
        <f>100*270094/1364122</f>
        <v>19.79984194962034</v>
      </c>
      <c r="E64">
        <f>IF(COUNT(C64:D64)=2,D64-C64,"")</f>
        <v>-24.60501155371995</v>
      </c>
      <c r="H64">
        <v>26</v>
      </c>
      <c r="I64">
        <v>25</v>
      </c>
      <c r="J64">
        <f>100*398836/1246025</f>
        <v>32.008667562849865</v>
      </c>
      <c r="K64">
        <f>100*110366/987903</f>
        <v>11.171744594357948</v>
      </c>
      <c r="L64">
        <f>IF(COUNT(J64:K64)=2,K64-J64,"")</f>
        <v>-20.83692296849192</v>
      </c>
      <c r="O64">
        <v>26</v>
      </c>
      <c r="P64">
        <v>25</v>
      </c>
      <c r="Q64">
        <f>100*775571/1671807</f>
        <v>46.39118032165196</v>
      </c>
      <c r="R64">
        <f>100*280619/1235841</f>
        <v>22.706723599556902</v>
      </c>
      <c r="S64">
        <f>IF(COUNT(Q64:R64)=2,R64-Q64,"")</f>
        <v>-23.684456722095057</v>
      </c>
    </row>
    <row r="65" spans="1:19" x14ac:dyDescent="0.3">
      <c r="A65">
        <v>27</v>
      </c>
      <c r="B65">
        <v>26</v>
      </c>
      <c r="C65">
        <f>100*588879/1713537</f>
        <v>34.36628447474435</v>
      </c>
      <c r="D65">
        <f>100*143966/1153006</f>
        <v>12.486144911648335</v>
      </c>
      <c r="E65">
        <f>IF(COUNT(C65:D65)=2,D65-C65,"")</f>
        <v>-21.880139563096012</v>
      </c>
      <c r="H65">
        <v>27</v>
      </c>
      <c r="I65">
        <v>26</v>
      </c>
      <c r="J65">
        <f>100*537175/1539092</f>
        <v>34.90207213084078</v>
      </c>
      <c r="K65">
        <f>100*135935/1165703</f>
        <v>11.661203582730764</v>
      </c>
      <c r="L65">
        <f>IF(COUNT(J65:K65)=2,K65-J65,"")</f>
        <v>-23.240868548110015</v>
      </c>
      <c r="O65">
        <v>27</v>
      </c>
      <c r="P65">
        <v>26</v>
      </c>
      <c r="Q65">
        <f>100*484579/1297589</f>
        <v>37.34456750172821</v>
      </c>
      <c r="R65">
        <f>100*225546/1225940</f>
        <v>18.397800871168247</v>
      </c>
      <c r="S65">
        <f>IF(COUNT(Q65:R65)=2,R65-Q65,"")</f>
        <v>-18.94676663055996</v>
      </c>
    </row>
    <row r="66" spans="1:19" x14ac:dyDescent="0.3">
      <c r="A66">
        <v>28</v>
      </c>
      <c r="B66">
        <v>27</v>
      </c>
      <c r="C66">
        <f>100*367929/1192094</f>
        <v>30.864092932268765</v>
      </c>
      <c r="D66">
        <f>100*191154/1238710</f>
        <v>15.431699106328358</v>
      </c>
      <c r="E66">
        <f>IF(COUNT(C66:D66)=2,D66-C66,"")</f>
        <v>-15.432393825940407</v>
      </c>
      <c r="H66">
        <v>28</v>
      </c>
      <c r="I66">
        <v>27</v>
      </c>
      <c r="J66">
        <f>100*531985/1356503</f>
        <v>39.21738470169252</v>
      </c>
      <c r="K66">
        <f>100*223253/1366706</f>
        <v>16.335115233268898</v>
      </c>
      <c r="L66">
        <f>IF(COUNT(J66:K66)=2,K66-J66,"")</f>
        <v>-22.88226946842362</v>
      </c>
      <c r="O66">
        <v>28</v>
      </c>
      <c r="P66">
        <v>27</v>
      </c>
      <c r="Q66">
        <f>100*341/342230</f>
        <v>0.09964059258393478</v>
      </c>
      <c r="R66">
        <f>100*669/347800</f>
        <v>0.1923519263944796</v>
      </c>
      <c r="S66">
        <f>IF(COUNT(Q66:R66)=2,R66-Q66,"")</f>
        <v>0.09271133381054482</v>
      </c>
    </row>
    <row r="67" spans="1:19" x14ac:dyDescent="0.3">
      <c r="A67">
        <v>29</v>
      </c>
      <c r="B67">
        <v>28</v>
      </c>
      <c r="C67">
        <f>100*656014/1602695</f>
        <v>40.93193027993473</v>
      </c>
      <c r="D67">
        <f>100*166363/1307482</f>
        <v>12.723922776757156</v>
      </c>
      <c r="E67">
        <f>IF(COUNT(C67:D67)=2,D67-C67,"")</f>
        <v>-28.208007503177576</v>
      </c>
      <c r="H67">
        <v>29</v>
      </c>
      <c r="I67">
        <v>28</v>
      </c>
      <c r="J67">
        <f>100*917947/2006663</f>
        <v>45.74495069675376</v>
      </c>
      <c r="K67">
        <f>100*109779/1023155</f>
        <v>10.729459368326403</v>
      </c>
      <c r="L67">
        <f>IF(COUNT(J67:K67)=2,K67-J67,"")</f>
        <v>-35.01549132842736</v>
      </c>
      <c r="O67">
        <v>29</v>
      </c>
      <c r="P67">
        <v>28</v>
      </c>
      <c r="Q67">
        <f>100*506385/1453010</f>
        <v>34.850758081499784</v>
      </c>
      <c r="R67">
        <f>100*318599/1467794</f>
        <v>21.705975089147387</v>
      </c>
      <c r="S67">
        <f>IF(COUNT(Q67:R67)=2,R67-Q67,"")</f>
        <v>-13.144782992352397</v>
      </c>
    </row>
    <row r="68" spans="1:19" x14ac:dyDescent="0.3">
      <c r="A68">
        <v>30</v>
      </c>
      <c r="B68">
        <v>29</v>
      </c>
      <c r="C68">
        <f>100*39372/653286</f>
        <v>6.026763163453679</v>
      </c>
      <c r="D68">
        <f>100*58548/748101</f>
        <v>7.826215978858469</v>
      </c>
      <c r="E68">
        <f>IF(COUNT(C68:D68)=2,D68-C68,"")</f>
        <v>1.7994528154047904</v>
      </c>
      <c r="H68">
        <v>30</v>
      </c>
      <c r="I68">
        <v>29</v>
      </c>
      <c r="J68">
        <f>100*537109/1458999</f>
        <v>36.81352763093052</v>
      </c>
      <c r="K68">
        <f>100*96929/906682</f>
        <v>10.690517733891266</v>
      </c>
      <c r="L68">
        <f>IF(COUNT(J68:K68)=2,K68-J68,"")</f>
        <v>-26.123009897039257</v>
      </c>
      <c r="O68">
        <v>30</v>
      </c>
      <c r="P68">
        <v>29</v>
      </c>
      <c r="Q68">
        <f>100*609326/1423323</f>
        <v>42.81010002648731</v>
      </c>
      <c r="R68">
        <f>100*91381/877838</f>
        <v>10.409779480952066</v>
      </c>
      <c r="S68">
        <f>IF(COUNT(Q68:R68)=2,R68-Q68,"")</f>
        <v>-32.400320545535244</v>
      </c>
    </row>
    <row r="69" spans="1:19" x14ac:dyDescent="0.3">
      <c r="A69">
        <v>31</v>
      </c>
      <c r="B69">
        <v>30</v>
      </c>
      <c r="C69">
        <f>100*401250/1230061</f>
        <v>32.62033346313719</v>
      </c>
      <c r="D69">
        <f>100*133704/1044519</f>
        <v>12.800533068330973</v>
      </c>
      <c r="E69">
        <f>IF(COUNT(C69:D69)=2,D69-C69,"")</f>
        <v>-19.819800394806222</v>
      </c>
      <c r="H69">
        <v>31</v>
      </c>
      <c r="I69">
        <v>30</v>
      </c>
      <c r="J69">
        <f>100*589124/1665281</f>
        <v>35.3768523150147</v>
      </c>
      <c r="K69">
        <f>100*31644/595508</f>
        <v>5.313782518454832</v>
      </c>
      <c r="L69">
        <f>IF(COUNT(J69:K69)=2,K69-J69,"")</f>
        <v>-30.06306979655987</v>
      </c>
      <c r="O69">
        <v>31</v>
      </c>
      <c r="P69">
        <v>30</v>
      </c>
      <c r="Q69">
        <f>100*1911/646412</f>
        <v>0.2956318880218808</v>
      </c>
      <c r="R69">
        <f>100*5754/50971</f>
        <v>11.28877204685017</v>
      </c>
      <c r="S69">
        <f>IF(COUNT(Q69:R69)=2,R69-Q69,"")</f>
        <v>10.99314015882829</v>
      </c>
    </row>
    <row r="70" spans="1:19" x14ac:dyDescent="0.3">
      <c r="A70" t="s">
        <v>5</v>
      </c>
      <c r="C70">
        <f>IF(COUNT(C39:C69)&gt;0,AVERAGE(C39:C69),"")</f>
        <v>31.6417312238221</v>
      </c>
      <c r="D70">
        <f>IF(COUNT(D39:D69)&gt;0,AVERAGE(D39:D69),"")</f>
        <v>11.172374935597512</v>
      </c>
      <c r="E70">
        <f>IF(COUNT(E39:E69)&gt;0,AVERAGE(E39:E69),"")</f>
        <v>-20.46935628822458</v>
      </c>
      <c r="H70" t="s">
        <v>5</v>
      </c>
      <c r="J70">
        <f>IF(COUNT(J39:J69)&gt;0,AVERAGE(J39:J69),"")</f>
        <v>32.99518015949494</v>
      </c>
      <c r="K70">
        <f>IF(COUNT(K39:K69)&gt;0,AVERAGE(K39:K69),"")</f>
        <v>10.765498008272688</v>
      </c>
      <c r="L70">
        <f>IF(COUNT(L39:L69)&gt;0,AVERAGE(L39:L69),"")</f>
        <v>-22.229682151222256</v>
      </c>
      <c r="O70" t="s">
        <v>5</v>
      </c>
      <c r="Q70">
        <f>IF(COUNT(Q39:Q69)&gt;0,AVERAGE(Q39:Q69),"")</f>
        <v>30.180215695878577</v>
      </c>
      <c r="R70">
        <f>IF(COUNT(R39:R69)&gt;0,AVERAGE(R39:R69),"")</f>
        <v>12.338396532680612</v>
      </c>
      <c r="S70">
        <f>IF(COUNT(S39:S69)&gt;0,AVERAGE(S39:S69),"")</f>
        <v>-17.841819163197965</v>
      </c>
    </row>
    <row r="73" spans="1:19" s="2" customFormat="1" x14ac:dyDescent="0.3">
      <c r="A73" s="1" t="s">
        <v>12</v>
      </c>
      <c r="B73" s="1"/>
      <c r="C73" s="1"/>
      <c r="D73" s="1"/>
      <c r="E73" s="1"/>
      <c r="H73" s="1" t="s">
        <v>13</v>
      </c>
      <c r="I73" s="1"/>
      <c r="J73" s="1"/>
      <c r="K73" s="1"/>
      <c r="L73" s="1"/>
      <c r="O73" s="1" t="s">
        <v>14</v>
      </c>
      <c r="P73" s="1"/>
      <c r="Q73" s="1"/>
      <c r="R73" s="1"/>
      <c r="S73" s="1"/>
    </row>
    <row r="74" spans="1:19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O74" t="s">
        <v>0</v>
      </c>
      <c r="P74" t="s">
        <v>1</v>
      </c>
      <c r="Q74" t="s">
        <v>2</v>
      </c>
      <c r="R74" t="s">
        <v>3</v>
      </c>
      <c r="S74" t="s">
        <v>4</v>
      </c>
    </row>
    <row r="75" spans="1:19" x14ac:dyDescent="0.3">
      <c r="A75">
        <v>1</v>
      </c>
      <c r="B75">
        <v>0</v>
      </c>
      <c r="C75">
        <f>100*950574/2156408</f>
        <v>44.08136122663244</v>
      </c>
      <c r="D75">
        <f>100*175842/1282407</f>
        <v>13.711871504132464</v>
      </c>
      <c r="E75">
        <f>IF(COUNT(C75:D75)=2,D75-C75,"")</f>
        <v>-30.369489722499974</v>
      </c>
      <c r="H75">
        <v>1</v>
      </c>
      <c r="I75">
        <v>0</v>
      </c>
      <c r="J75">
        <f>100*1161020/2178231</f>
        <v>53.30105025591868</v>
      </c>
      <c r="K75">
        <f>100*212192/1488095</f>
        <v>14.259304681488748</v>
      </c>
      <c r="L75">
        <f>IF(COUNT(J75:K75)=2,K75-J75,"")</f>
        <v>-39.04174557442993</v>
      </c>
      <c r="O75">
        <v>1</v>
      </c>
      <c r="P75">
        <v>0</v>
      </c>
      <c r="Q75">
        <f>100*17855/657603</f>
        <v>2.7151640123296272</v>
      </c>
      <c r="R75">
        <f>100*40645/630835</f>
        <v>6.443047706611079</v>
      </c>
      <c r="S75">
        <f>IF(COUNT(Q75:R75)=2,R75-Q75,"")</f>
        <v>3.7278836942814517</v>
      </c>
    </row>
    <row r="76" spans="1:19" x14ac:dyDescent="0.3">
      <c r="A76">
        <v>2</v>
      </c>
      <c r="B76">
        <v>1</v>
      </c>
      <c r="C76">
        <f>100*784284/1919387</f>
        <v>40.861170780045924</v>
      </c>
      <c r="D76">
        <f>100*407231/2103493</f>
        <v>19.35975066235067</v>
      </c>
      <c r="E76">
        <f>IF(COUNT(C76:D76)=2,D76-C76,"")</f>
        <v>-21.501420117695254</v>
      </c>
      <c r="H76">
        <v>2</v>
      </c>
      <c r="I76">
        <v>1</v>
      </c>
      <c r="J76">
        <f>100*920313/2115455</f>
        <v>43.50425794923551</v>
      </c>
      <c r="K76">
        <f>100*540182/2134480</f>
        <v>25.30742850717739</v>
      </c>
      <c r="L76">
        <f>IF(COUNT(J76:K76)=2,K76-J76,"")</f>
        <v>-18.196829442058117</v>
      </c>
      <c r="O76">
        <v>2</v>
      </c>
      <c r="P76">
        <v>1</v>
      </c>
      <c r="Q76">
        <f>100*506051/1366563</f>
        <v>37.03093088280599</v>
      </c>
      <c r="R76">
        <f>100*251785/1279103</f>
        <v>19.6844976518701</v>
      </c>
      <c r="S76">
        <f>IF(COUNT(Q76:R76)=2,R76-Q76,"")</f>
        <v>-17.34643323093589</v>
      </c>
    </row>
    <row r="77" spans="1:19" x14ac:dyDescent="0.3">
      <c r="A77">
        <v>3</v>
      </c>
      <c r="B77">
        <v>2</v>
      </c>
      <c r="C77">
        <f>100*45924/1162874</f>
        <v>3.949181080667381</v>
      </c>
      <c r="D77">
        <f>100*207861/1408250</f>
        <v>14.760234333392509</v>
      </c>
      <c r="E77">
        <f>IF(COUNT(C77:D77)=2,D77-C77,"")</f>
        <v>10.811053252725127</v>
      </c>
      <c r="H77">
        <v>3</v>
      </c>
      <c r="I77">
        <v>2</v>
      </c>
      <c r="J77">
        <f>100*702390/1654096</f>
        <v>42.46367804528879</v>
      </c>
      <c r="K77">
        <f>100*151304/1241210</f>
        <v>12.190040363838513</v>
      </c>
      <c r="L77">
        <f>IF(COUNT(J77:K77)=2,K77-J77,"")</f>
        <v>-30.273637681450275</v>
      </c>
      <c r="O77">
        <v>3</v>
      </c>
      <c r="P77">
        <v>2</v>
      </c>
      <c r="Q77">
        <f>100*580189/1478595</f>
        <v>39.239210196165956</v>
      </c>
      <c r="R77">
        <f>100*28895/921484</f>
        <v>3.135702844542065</v>
      </c>
      <c r="S77">
        <f>IF(COUNT(Q77:R77)=2,R77-Q77,"")</f>
        <v>-36.10350735162389</v>
      </c>
    </row>
    <row r="78" spans="1:19" x14ac:dyDescent="0.3">
      <c r="A78">
        <v>4</v>
      </c>
      <c r="B78">
        <v>3</v>
      </c>
      <c r="C78">
        <f>100*987891/1871797</f>
        <v>52.77767834866708</v>
      </c>
      <c r="D78">
        <f>100*116706/1035470</f>
        <v>11.270823877079973</v>
      </c>
      <c r="E78">
        <f>IF(COUNT(C78:D78)=2,D78-C78,"")</f>
        <v>-41.506854471587104</v>
      </c>
      <c r="H78">
        <v>4</v>
      </c>
      <c r="I78">
        <v>3</v>
      </c>
      <c r="J78">
        <f>100*827459/1741510</f>
        <v>47.51388163145776</v>
      </c>
      <c r="K78">
        <f>100*5357/648027</f>
        <v>0.8266630865689238</v>
      </c>
      <c r="L78">
        <f>IF(COUNT(J78:K78)=2,K78-J78,"")</f>
        <v>-46.687218544888836</v>
      </c>
      <c r="O78">
        <v>4</v>
      </c>
      <c r="P78">
        <v>3</v>
      </c>
      <c r="Q78">
        <f>100*617738/1364388</f>
        <v>45.27583062882406</v>
      </c>
      <c r="R78">
        <f>100*346786/1564611</f>
        <v>22.164359064329727</v>
      </c>
      <c r="S78">
        <f>IF(COUNT(Q78:R78)=2,R78-Q78,"")</f>
        <v>-23.111471564494334</v>
      </c>
    </row>
    <row r="79" spans="1:19" x14ac:dyDescent="0.3">
      <c r="A79">
        <v>5</v>
      </c>
      <c r="B79">
        <v>4</v>
      </c>
      <c r="C79">
        <f>100*1067979/2182567</f>
        <v>48.932243546246234</v>
      </c>
      <c r="D79">
        <f>100*206436/1286809</f>
        <v>16.042474057921574</v>
      </c>
      <c r="E79">
        <f>IF(COUNT(C79:D79)=2,D79-C79,"")</f>
        <v>-32.88976948832466</v>
      </c>
      <c r="H79">
        <v>5</v>
      </c>
      <c r="I79">
        <v>4</v>
      </c>
      <c r="J79">
        <f>100*1035328/2211231</f>
        <v>46.82134069213031</v>
      </c>
      <c r="K79">
        <f>100*5927/25649</f>
        <v>23.108113376739833</v>
      </c>
      <c r="L79">
        <f>IF(COUNT(J79:K79)=2,K79-J79,"")</f>
        <v>-23.71322731539048</v>
      </c>
      <c r="O79">
        <v>5</v>
      </c>
      <c r="P79">
        <v>4</v>
      </c>
      <c r="Q79">
        <f>100*829508/1701576</f>
        <v>48.749394678815406</v>
      </c>
      <c r="R79">
        <f>100*23303/704811</f>
        <v>3.306276434391631</v>
      </c>
      <c r="S79">
        <f>IF(COUNT(Q79:R79)=2,R79-Q79,"")</f>
        <v>-45.44311824442377</v>
      </c>
    </row>
    <row r="80" spans="1:19" x14ac:dyDescent="0.3">
      <c r="A80">
        <v>6</v>
      </c>
      <c r="B80">
        <v>5</v>
      </c>
      <c r="C80">
        <f>100*819594/1914103</f>
        <v>42.81869888924473</v>
      </c>
      <c r="D80">
        <f>100*139203/1470078</f>
        <v>9.469089395256578</v>
      </c>
      <c r="E80">
        <f>IF(COUNT(C80:D80)=2,D80-C80,"")</f>
        <v>-33.349609493988154</v>
      </c>
      <c r="H80">
        <v>6</v>
      </c>
      <c r="I80">
        <v>5</v>
      </c>
      <c r="J80">
        <f>100*627723/1597246</f>
        <v>39.30033319851795</v>
      </c>
      <c r="K80">
        <f>100*129732/1245702</f>
        <v>10.414368765563514</v>
      </c>
      <c r="L80">
        <f>IF(COUNT(J80:K80)=2,K80-J80,"")</f>
        <v>-28.88596443295443</v>
      </c>
      <c r="O80">
        <v>6</v>
      </c>
      <c r="P80">
        <v>5</v>
      </c>
      <c r="Q80">
        <f>100*561642/1450968</f>
        <v>38.70809004747176</v>
      </c>
      <c r="R80">
        <f>100*46172/729869</f>
        <v>6.326066732523234</v>
      </c>
      <c r="S80">
        <f>IF(COUNT(Q80:R80)=2,R80-Q80,"")</f>
        <v>-32.382023314948526</v>
      </c>
    </row>
    <row r="81" spans="1:19" x14ac:dyDescent="0.3">
      <c r="A81">
        <v>7</v>
      </c>
      <c r="B81">
        <v>6</v>
      </c>
      <c r="C81">
        <f>100*6901/528040</f>
        <v>1.3069085675327627</v>
      </c>
      <c r="D81">
        <f>100*60021/845792</f>
        <v>7.096425598728765</v>
      </c>
      <c r="E81">
        <f>IF(COUNT(C81:D81)=2,D81-C81,"")</f>
        <v>5.789517031196002</v>
      </c>
      <c r="H81">
        <v>7</v>
      </c>
      <c r="I81">
        <v>6</v>
      </c>
      <c r="J81">
        <f>100*3904/710153</f>
        <v>0.5497406896823642</v>
      </c>
      <c r="K81">
        <f>100*28487/789528</f>
        <v>3.608105095702749</v>
      </c>
      <c r="L81">
        <f>IF(COUNT(J81:K81)=2,K81-J81,"")</f>
        <v>3.0583644060203845</v>
      </c>
      <c r="O81">
        <v>7</v>
      </c>
      <c r="P81">
        <v>6</v>
      </c>
      <c r="Q81">
        <f>100*769806/1827455</f>
        <v>42.124484597431945</v>
      </c>
      <c r="R81">
        <f>100*126589/1044833</f>
        <v>12.115716100084894</v>
      </c>
      <c r="S81">
        <f>IF(COUNT(Q81:R81)=2,R81-Q81,"")</f>
        <v>-30.00876849734705</v>
      </c>
    </row>
    <row r="82" spans="1:19" x14ac:dyDescent="0.3">
      <c r="A82">
        <v>8</v>
      </c>
      <c r="B82">
        <v>7</v>
      </c>
      <c r="C82">
        <f>100*8971/665002</f>
        <v>1.3490184991924836</v>
      </c>
      <c r="D82">
        <f>100*14451/572804</f>
        <v>2.522852494046829</v>
      </c>
      <c r="E82">
        <f>IF(COUNT(C82:D82)=2,D82-C82,"")</f>
        <v>1.1738339948543455</v>
      </c>
      <c r="H82">
        <v>8</v>
      </c>
      <c r="I82">
        <v>7</v>
      </c>
      <c r="J82">
        <f>100*7411/619510</f>
        <v>1.1962680182725056</v>
      </c>
      <c r="K82">
        <f>100*1924/483696</f>
        <v>0.39777050047964013</v>
      </c>
      <c r="L82">
        <f>IF(COUNT(J82:K82)=2,K82-J82,"")</f>
        <v>-0.7984975177928655</v>
      </c>
      <c r="O82">
        <v>8</v>
      </c>
      <c r="P82">
        <v>7</v>
      </c>
      <c r="Q82">
        <f>100*842526/1806467</f>
        <v>46.63943487481365</v>
      </c>
      <c r="R82">
        <f>100*242247/1307111</f>
        <v>18.53300905584912</v>
      </c>
      <c r="S82">
        <f>IF(COUNT(Q82:R82)=2,R82-Q82,"")</f>
        <v>-28.10642581896453</v>
      </c>
    </row>
    <row r="83" spans="1:19" x14ac:dyDescent="0.3">
      <c r="A83">
        <v>9</v>
      </c>
      <c r="B83">
        <v>8</v>
      </c>
      <c r="C83">
        <f>100*766923/1967808</f>
        <v>38.9734669236023</v>
      </c>
      <c r="D83">
        <f>100*359059/1694941</f>
        <v>21.18415921262156</v>
      </c>
      <c r="E83">
        <f>IF(COUNT(C83:D83)=2,D83-C83,"")</f>
        <v>-17.789307710980744</v>
      </c>
      <c r="H83">
        <v>9</v>
      </c>
      <c r="I83">
        <v>8</v>
      </c>
      <c r="J83">
        <f>100*986121/2196978</f>
        <v>44.88533795058485</v>
      </c>
      <c r="K83">
        <f>100*244092/1534174</f>
        <v>15.910320472123761</v>
      </c>
      <c r="L83">
        <f>IF(COUNT(J83:K83)=2,K83-J83,"")</f>
        <v>-28.975017478461087</v>
      </c>
      <c r="O83">
        <v>9</v>
      </c>
      <c r="P83">
        <v>8</v>
      </c>
      <c r="Q83">
        <f>100*418704/1300185</f>
        <v>32.20341720601299</v>
      </c>
      <c r="R83">
        <f>100*183027/945619</f>
        <v>19.35525830170502</v>
      </c>
      <c r="S83">
        <f>IF(COUNT(Q83:R83)=2,R83-Q83,"")</f>
        <v>-12.848158904307972</v>
      </c>
    </row>
    <row r="84" spans="1:19" x14ac:dyDescent="0.3">
      <c r="A84">
        <v>10</v>
      </c>
      <c r="B84">
        <v>9</v>
      </c>
      <c r="C84">
        <f>100*193316/1207283</f>
        <v>16.012484231120624</v>
      </c>
      <c r="D84">
        <f>100*51689/889814</f>
        <v>5.808966817784391</v>
      </c>
      <c r="E84">
        <f>IF(COUNT(C84:D84)=2,D84-C84,"")</f>
        <v>-10.203517413336233</v>
      </c>
      <c r="H84">
        <v>10</v>
      </c>
      <c r="I84">
        <v>9</v>
      </c>
      <c r="J84">
        <f>100*1094395/2180634</f>
        <v>50.187009832920154</v>
      </c>
      <c r="K84">
        <f>100*97549/1138323</f>
        <v>8.569536063138495</v>
      </c>
      <c r="L84">
        <f>IF(COUNT(J84:K84)=2,K84-J84,"")</f>
        <v>-41.61747376978166</v>
      </c>
      <c r="O84">
        <v>10</v>
      </c>
      <c r="P84">
        <v>9</v>
      </c>
      <c r="Q84">
        <f>100*10580/624813</f>
        <v>1.6933066373458938</v>
      </c>
      <c r="R84">
        <f>100*57903/871202</f>
        <v>6.646334604374187</v>
      </c>
      <c r="S84">
        <f>IF(COUNT(Q84:R84)=2,R84-Q84,"")</f>
        <v>4.953027967028293</v>
      </c>
    </row>
    <row r="85" spans="1:19" x14ac:dyDescent="0.3">
      <c r="A85">
        <v>11</v>
      </c>
      <c r="B85">
        <v>10</v>
      </c>
      <c r="C85">
        <f>100*1000200/2058009</f>
        <v>48.60037055231537</v>
      </c>
      <c r="D85">
        <f>100*61577/1083007</f>
        <v>5.685743490115946</v>
      </c>
      <c r="E85">
        <f>IF(COUNT(C85:D85)=2,D85-C85,"")</f>
        <v>-42.91462706219942</v>
      </c>
      <c r="H85">
        <v>11</v>
      </c>
      <c r="I85">
        <v>10</v>
      </c>
      <c r="J85">
        <f>100*1248271/2251399</f>
        <v>55.444237116566185</v>
      </c>
      <c r="K85">
        <f>100*97475/1185626</f>
        <v>8.221395279793121</v>
      </c>
      <c r="L85">
        <f>IF(COUNT(J85:K85)=2,K85-J85,"")</f>
        <v>-47.222841836773064</v>
      </c>
      <c r="O85">
        <v>11</v>
      </c>
      <c r="P85">
        <v>10</v>
      </c>
      <c r="Q85">
        <f>100*858874/1796310</f>
        <v>47.8132393629162</v>
      </c>
      <c r="R85">
        <f>100*421910/2272997</f>
        <v>18.561837081175206</v>
      </c>
      <c r="S85">
        <f>IF(COUNT(Q85:R85)=2,R85-Q85,"")</f>
        <v>-29.251402281740994</v>
      </c>
    </row>
    <row r="86" spans="1:19" x14ac:dyDescent="0.3">
      <c r="A86">
        <v>12</v>
      </c>
      <c r="B86">
        <v>11</v>
      </c>
      <c r="C86">
        <f>100*1083380/2227336</f>
        <v>48.640169242539066</v>
      </c>
      <c r="D86">
        <f>100*56228/1153825</f>
        <v>4.873182675015709</v>
      </c>
      <c r="E86">
        <f>IF(COUNT(C86:D86)=2,D86-C86,"")</f>
        <v>-43.76698656752336</v>
      </c>
      <c r="H86">
        <v>12</v>
      </c>
      <c r="I86">
        <v>11</v>
      </c>
      <c r="J86">
        <f>100*847034/1777114</f>
        <v>47.66345884394586</v>
      </c>
      <c r="K86">
        <f>100*40224/1106162</f>
        <v>3.636357061623885</v>
      </c>
      <c r="L86">
        <f>IF(COUNT(J86:K86)=2,K86-J86,"")</f>
        <v>-44.02710178232198</v>
      </c>
      <c r="O86">
        <v>12</v>
      </c>
      <c r="P86">
        <v>11</v>
      </c>
      <c r="Q86">
        <f>100*739588/1710894</f>
        <v>43.22816024838476</v>
      </c>
      <c r="R86">
        <f>100*252815/1297808</f>
        <v>19.48015422928507</v>
      </c>
      <c r="S86">
        <f>IF(COUNT(Q86:R86)=2,R86-Q86,"")</f>
        <v>-23.74800601909969</v>
      </c>
    </row>
    <row r="87" spans="1:19" x14ac:dyDescent="0.3">
      <c r="A87">
        <v>13</v>
      </c>
      <c r="B87">
        <v>12</v>
      </c>
      <c r="C87">
        <f>100*7212/818878</f>
        <v>0.8807172741238621</v>
      </c>
      <c r="D87">
        <f>100*7648/676193</f>
        <v>1.131038032041148</v>
      </c>
      <c r="E87">
        <f>IF(COUNT(C87:D87)=2,D87-C87,"")</f>
        <v>0.2503207579172858</v>
      </c>
      <c r="H87">
        <v>13</v>
      </c>
      <c r="I87">
        <v>12</v>
      </c>
      <c r="J87">
        <f>100*767025/1720041</f>
        <v>44.593413761648705</v>
      </c>
      <c r="K87">
        <f>100*22889/810806</f>
        <v>2.8229934164276043</v>
      </c>
      <c r="L87">
        <f>IF(COUNT(J87:K87)=2,K87-J87,"")</f>
        <v>-41.7704203452211</v>
      </c>
      <c r="O87">
        <v>13</v>
      </c>
      <c r="P87">
        <v>12</v>
      </c>
      <c r="Q87">
        <f>100*371461/1317955</f>
        <v>28.18464970351795</v>
      </c>
      <c r="R87">
        <f>100*36340/440918</f>
        <v>8.241895318403875</v>
      </c>
      <c r="S87">
        <f>IF(COUNT(Q87:R87)=2,R87-Q87,"")</f>
        <v>-19.94275438511408</v>
      </c>
    </row>
    <row r="88" spans="1:19" x14ac:dyDescent="0.3">
      <c r="A88">
        <v>14</v>
      </c>
      <c r="B88">
        <v>13</v>
      </c>
      <c r="C88">
        <f>100*92689/774868</f>
        <v>11.961908350841691</v>
      </c>
      <c r="D88">
        <f>100*2014/544682</f>
        <v>0.36975703254375947</v>
      </c>
      <c r="E88">
        <f>IF(COUNT(C88:D88)=2,D88-C88,"")</f>
        <v>-11.592151318297931</v>
      </c>
      <c r="H88">
        <v>14</v>
      </c>
      <c r="I88">
        <v>13</v>
      </c>
      <c r="J88">
        <f>100*438708/1328922</f>
        <v>33.01232126490494</v>
      </c>
      <c r="K88">
        <f>100*2571/555761</f>
        <v>0.4626089272187145</v>
      </c>
      <c r="L88">
        <f>IF(COUNT(J88:K88)=2,K88-J88,"")</f>
        <v>-32.54971233768622</v>
      </c>
      <c r="O88">
        <v>14</v>
      </c>
      <c r="P88">
        <v>13</v>
      </c>
      <c r="Q88">
        <f>100*183244/894097</f>
        <v>20.494868006491465</v>
      </c>
      <c r="R88">
        <f>100*10588/616425</f>
        <v>1.7176461045544875</v>
      </c>
      <c r="S88">
        <f>IF(COUNT(Q88:R88)=2,R88-Q88,"")</f>
        <v>-18.77722190193698</v>
      </c>
    </row>
    <row r="89" spans="1:19" x14ac:dyDescent="0.3">
      <c r="A89">
        <v>15</v>
      </c>
      <c r="B89">
        <v>14</v>
      </c>
      <c r="C89">
        <f>100*410087/1559215</f>
        <v>26.30086293423293</v>
      </c>
      <c r="D89">
        <f>100*214084/1572512</f>
        <v>13.614140941372785</v>
      </c>
      <c r="E89">
        <f>IF(COUNT(C89:D89)=2,D89-C89,"")</f>
        <v>-12.686721992860146</v>
      </c>
      <c r="H89">
        <v>15</v>
      </c>
      <c r="I89">
        <v>14</v>
      </c>
      <c r="J89">
        <f>100*378843/1975907</f>
        <v>19.173118977765654</v>
      </c>
      <c r="K89">
        <f>100*273360/1458874</f>
        <v>18.737738831454944</v>
      </c>
      <c r="L89">
        <f>IF(COUNT(J89:K89)=2,K89-J89,"")</f>
        <v>-0.43538014631070965</v>
      </c>
      <c r="O89">
        <v>15</v>
      </c>
      <c r="P89">
        <v>14</v>
      </c>
      <c r="Q89">
        <f>100*672160/1590176</f>
        <v>42.269534944559595</v>
      </c>
      <c r="R89">
        <f>100*313100/1408914</f>
        <v>22.22279003544574</v>
      </c>
      <c r="S89">
        <f>IF(COUNT(Q89:R89)=2,R89-Q89,"")</f>
        <v>-20.046744909113855</v>
      </c>
    </row>
    <row r="90" spans="1:19" x14ac:dyDescent="0.3">
      <c r="A90">
        <v>16</v>
      </c>
      <c r="B90">
        <v>15</v>
      </c>
      <c r="C90">
        <f>100*1111193/2179314</f>
        <v>50.988200874220055</v>
      </c>
      <c r="D90">
        <f>100*170794/1409178</f>
        <v>12.120115414802104</v>
      </c>
      <c r="E90">
        <f>IF(COUNT(C90:D90)=2,D90-C90,"")</f>
        <v>-38.868085459417955</v>
      </c>
      <c r="H90">
        <v>16</v>
      </c>
      <c r="I90">
        <v>15</v>
      </c>
      <c r="J90">
        <f>100*769550/1774401</f>
        <v>43.36956527864896</v>
      </c>
      <c r="K90">
        <f>100*133438/1805685</f>
        <v>7.389882509961594</v>
      </c>
      <c r="L90">
        <f>IF(COUNT(J90:K90)=2,K90-J90,"")</f>
        <v>-35.97968276868737</v>
      </c>
      <c r="O90">
        <v>16</v>
      </c>
      <c r="P90">
        <v>15</v>
      </c>
      <c r="Q90">
        <f>100*705277/1721980</f>
        <v>40.95732819196506</v>
      </c>
      <c r="R90">
        <f>100*183191/1238279</f>
        <v>14.794000382789338</v>
      </c>
      <c r="S90">
        <f>IF(COUNT(Q90:R90)=2,R90-Q90,"")</f>
        <v>-26.163327809175723</v>
      </c>
    </row>
    <row r="91" spans="1:19" x14ac:dyDescent="0.3">
      <c r="A91">
        <v>17</v>
      </c>
      <c r="B91">
        <v>16</v>
      </c>
      <c r="C91">
        <f>100*743599/1773793</f>
        <v>41.921407965867495</v>
      </c>
      <c r="D91">
        <f>100*195441/1220742</f>
        <v>16.010016858599116</v>
      </c>
      <c r="E91">
        <f>IF(COUNT(C91:D91)=2,D91-C91,"")</f>
        <v>-25.91139110726838</v>
      </c>
      <c r="H91">
        <v>17</v>
      </c>
      <c r="I91">
        <v>16</v>
      </c>
      <c r="J91">
        <f>100*3265/88900</f>
        <v>3.6726659167604048</v>
      </c>
      <c r="K91">
        <f>100*513974/2081615</f>
        <v>24.691117233494186</v>
      </c>
      <c r="L91">
        <f>IF(COUNT(J91:K91)=2,K91-J91,"")</f>
        <v>21.01845131673378</v>
      </c>
      <c r="O91">
        <v>17</v>
      </c>
      <c r="P91">
        <v>16</v>
      </c>
      <c r="Q91">
        <f>100*16305/441767</f>
        <v>3.690859661314675</v>
      </c>
      <c r="R91">
        <f>100*9457/450561</f>
        <v>2.098938878420458</v>
      </c>
      <c r="S91">
        <f>IF(COUNT(Q91:R91)=2,R91-Q91,"")</f>
        <v>-1.591920782894217</v>
      </c>
    </row>
    <row r="92" spans="1:19" x14ac:dyDescent="0.3">
      <c r="A92">
        <v>18</v>
      </c>
      <c r="B92">
        <v>17</v>
      </c>
      <c r="C92">
        <f>100*929466/2060823</f>
        <v>45.10168995590597</v>
      </c>
      <c r="D92">
        <f>100*52024/1000474</f>
        <v>5.199935230700648</v>
      </c>
      <c r="E92">
        <f>IF(COUNT(C92:D92)=2,D92-C92,"")</f>
        <v>-39.90175472520532</v>
      </c>
      <c r="H92">
        <v>18</v>
      </c>
      <c r="I92">
        <v>17</v>
      </c>
      <c r="K92">
        <f>100*315/17515</f>
        <v>1.7984584641735655</v>
      </c>
      <c r="L92" t="str">
        <f>IF(COUNT(J92:K92)=2,K92-J92,"")</f>
        <v/>
      </c>
      <c r="O92">
        <v>18</v>
      </c>
      <c r="P92">
        <v>17</v>
      </c>
      <c r="Q92">
        <f>100*156937/709883</f>
        <v>22.10744587488361</v>
      </c>
      <c r="R92">
        <f>100*2777/498167</f>
        <v>0.5574435881943204</v>
      </c>
      <c r="S92">
        <f>IF(COUNT(Q92:R92)=2,R92-Q92,"")</f>
        <v>-21.55000228668929</v>
      </c>
    </row>
    <row r="93" spans="1:19" x14ac:dyDescent="0.3">
      <c r="A93">
        <v>19</v>
      </c>
      <c r="B93">
        <v>18</v>
      </c>
      <c r="C93">
        <f>100*675293/1785174</f>
        <v>37.82785319526276</v>
      </c>
      <c r="D93">
        <f>100*21391/620903</f>
        <v>3.445143605361868</v>
      </c>
      <c r="E93">
        <f>IF(COUNT(C93:D93)=2,D93-C93,"")</f>
        <v>-34.38270958990089</v>
      </c>
      <c r="H93">
        <v>19</v>
      </c>
      <c r="I93">
        <v>18</v>
      </c>
      <c r="J93">
        <f>100*453701/1228767</f>
        <v>36.9232734928591</v>
      </c>
      <c r="K93">
        <f>100*87300/802085</f>
        <v>10.884133227775111</v>
      </c>
      <c r="L93">
        <f>IF(COUNT(J93:K93)=2,K93-J93,"")</f>
        <v>-26.039140265083994</v>
      </c>
      <c r="O93">
        <v>19</v>
      </c>
      <c r="P93">
        <v>18</v>
      </c>
      <c r="Q93">
        <f>100*736264/1588962</f>
        <v>46.33616159480214</v>
      </c>
      <c r="R93">
        <f>100*323859/1554680</f>
        <v>20.831232150667663</v>
      </c>
      <c r="S93">
        <f>IF(COUNT(Q93:R93)=2,R93-Q93,"")</f>
        <v>-25.50492944413448</v>
      </c>
    </row>
    <row r="94" spans="1:19" x14ac:dyDescent="0.3">
      <c r="A94">
        <v>20</v>
      </c>
      <c r="B94">
        <v>19</v>
      </c>
      <c r="C94">
        <f>100*1003210/2172217</f>
        <v>46.18369159250664</v>
      </c>
      <c r="D94">
        <f>100*106140/907392</f>
        <v>11.697259839187474</v>
      </c>
      <c r="E94">
        <f>IF(COUNT(C94:D94)=2,D94-C94,"")</f>
        <v>-34.48643175331917</v>
      </c>
      <c r="H94">
        <v>20</v>
      </c>
      <c r="I94">
        <v>19</v>
      </c>
      <c r="J94">
        <f>100*896581/2145144</f>
        <v>41.79584214393066</v>
      </c>
      <c r="K94">
        <f>100*121345/1016290</f>
        <v>11.939997441675112</v>
      </c>
      <c r="L94">
        <f>IF(COUNT(J94:K94)=2,K94-J94,"")</f>
        <v>-29.855844702255553</v>
      </c>
      <c r="O94">
        <v>20</v>
      </c>
      <c r="P94">
        <v>19</v>
      </c>
      <c r="Q94">
        <f>100*596231/1430518</f>
        <v>41.67937767997327</v>
      </c>
      <c r="R94">
        <f>100*18601/105986</f>
        <v>17.550431189024966</v>
      </c>
      <c r="S94">
        <f>IF(COUNT(Q94:R94)=2,R94-Q94,"")</f>
        <v>-24.128946490948305</v>
      </c>
    </row>
    <row r="95" spans="1:19" x14ac:dyDescent="0.3">
      <c r="A95">
        <v>21</v>
      </c>
      <c r="B95">
        <v>20</v>
      </c>
      <c r="C95">
        <f>100*814501/1741903</f>
        <v>46.759262714399135</v>
      </c>
      <c r="D95">
        <f>100*89683/906058</f>
        <v>9.898152215421089</v>
      </c>
      <c r="E95">
        <f>IF(COUNT(C95:D95)=2,D95-C95,"")</f>
        <v>-36.86111049897805</v>
      </c>
      <c r="H95">
        <v>21</v>
      </c>
      <c r="I95">
        <v>20</v>
      </c>
      <c r="J95">
        <f>100*923720/1857736</f>
        <v>49.722888505148205</v>
      </c>
      <c r="K95">
        <f>100*67821/890474</f>
        <v>7.6162807673216735</v>
      </c>
      <c r="L95">
        <f>IF(COUNT(J95:K95)=2,K95-J95,"")</f>
        <v>-42.10660773782653</v>
      </c>
      <c r="O95">
        <v>21</v>
      </c>
      <c r="P95">
        <v>20</v>
      </c>
      <c r="Q95">
        <f>100*808426/1622789</f>
        <v>49.817074185245275</v>
      </c>
      <c r="R95">
        <f>100*266020/1345065</f>
        <v>19.777482872574932</v>
      </c>
      <c r="S95">
        <f>IF(COUNT(Q95:R95)=2,R95-Q95,"")</f>
        <v>-30.039591312670343</v>
      </c>
    </row>
    <row r="96" spans="1:19" x14ac:dyDescent="0.3">
      <c r="A96">
        <v>22</v>
      </c>
      <c r="B96">
        <v>21</v>
      </c>
      <c r="C96">
        <f>100*599877/1809045</f>
        <v>33.15987164498396</v>
      </c>
      <c r="D96">
        <f>100*279904/1582311</f>
        <v>17.689569243972898</v>
      </c>
      <c r="E96">
        <f>IF(COUNT(C96:D96)=2,D96-C96,"")</f>
        <v>-15.470302401011061</v>
      </c>
      <c r="H96">
        <v>22</v>
      </c>
      <c r="I96">
        <v>21</v>
      </c>
      <c r="J96">
        <f>100*1034872/2267546</f>
        <v>45.63841262757183</v>
      </c>
      <c r="K96">
        <f>100*346391/1666239</f>
        <v>20.788794404644232</v>
      </c>
      <c r="L96">
        <f>IF(COUNT(J96:K96)=2,K96-J96,"")</f>
        <v>-24.8496182229276</v>
      </c>
      <c r="O96">
        <v>22</v>
      </c>
      <c r="P96">
        <v>21</v>
      </c>
      <c r="Q96">
        <f>100*248293/932917</f>
        <v>26.614693482914344</v>
      </c>
      <c r="R96">
        <f>100*268874/1347611</f>
        <v>19.951900066117002</v>
      </c>
      <c r="S96">
        <f>IF(COUNT(Q96:R96)=2,R96-Q96,"")</f>
        <v>-6.662793416797342</v>
      </c>
    </row>
    <row r="97" spans="1:19" x14ac:dyDescent="0.3">
      <c r="A97">
        <v>23</v>
      </c>
      <c r="B97">
        <v>22</v>
      </c>
      <c r="C97">
        <f>100*649730/1525642</f>
        <v>42.58731733919229</v>
      </c>
      <c r="D97">
        <f>100*265352/1508945</f>
        <v>17.585266527275678</v>
      </c>
      <c r="E97">
        <f>IF(COUNT(C97:D97)=2,D97-C97,"")</f>
        <v>-25.00205081191661</v>
      </c>
      <c r="H97">
        <v>23</v>
      </c>
      <c r="I97">
        <v>22</v>
      </c>
      <c r="J97">
        <f>100*954501/1934417</f>
        <v>49.34308373013678</v>
      </c>
      <c r="K97">
        <f>100*349564/1759933</f>
        <v>19.86234703252908</v>
      </c>
      <c r="L97">
        <f>IF(COUNT(J97:K97)=2,K97-J97,"")</f>
        <v>-29.480736697607703</v>
      </c>
      <c r="O97">
        <v>23</v>
      </c>
      <c r="P97">
        <v>22</v>
      </c>
      <c r="Q97">
        <f>100*491/406810</f>
        <v>0.12069516481895726</v>
      </c>
      <c r="R97">
        <f>100*1758/758282</f>
        <v>0.23183986959996414</v>
      </c>
      <c r="S97">
        <f>IF(COUNT(Q97:R97)=2,R97-Q97,"")</f>
        <v>0.11114470478100688</v>
      </c>
    </row>
    <row r="98" spans="1:19" x14ac:dyDescent="0.3">
      <c r="A98">
        <v>24</v>
      </c>
      <c r="B98">
        <v>23</v>
      </c>
      <c r="C98">
        <f>100*540481/1325139</f>
        <v>40.786740108018854</v>
      </c>
      <c r="D98">
        <f>100*300752/1554716</f>
        <v>19.344497644585893</v>
      </c>
      <c r="E98">
        <f>IF(COUNT(C98:D98)=2,D98-C98,"")</f>
        <v>-21.44224246343296</v>
      </c>
      <c r="H98">
        <v>24</v>
      </c>
      <c r="I98">
        <v>23</v>
      </c>
      <c r="J98">
        <f>100*677655/1567258</f>
        <v>43.238254326983814</v>
      </c>
      <c r="K98">
        <f>100*109020/1111007</f>
        <v>9.812719451812635</v>
      </c>
      <c r="L98">
        <f>IF(COUNT(J98:K98)=2,K98-J98,"")</f>
        <v>-33.42553487517118</v>
      </c>
      <c r="O98">
        <v>24</v>
      </c>
      <c r="P98">
        <v>23</v>
      </c>
      <c r="Q98">
        <f>100*462555/1165901</f>
        <v>39.67360865116335</v>
      </c>
      <c r="R98">
        <f>100*54793/863867</f>
        <v>6.342758781154969</v>
      </c>
      <c r="S98">
        <f>IF(COUNT(Q98:R98)=2,R98-Q98,"")</f>
        <v>-33.33084987000838</v>
      </c>
    </row>
    <row r="99" spans="1:19" x14ac:dyDescent="0.3">
      <c r="A99">
        <v>25</v>
      </c>
      <c r="B99">
        <v>24</v>
      </c>
      <c r="C99">
        <f>100*628764/1681845</f>
        <v>37.3853714224557</v>
      </c>
      <c r="D99">
        <f>100*191262/1456496</f>
        <v>13.131652953389505</v>
      </c>
      <c r="E99">
        <f>IF(COUNT(C99:D99)=2,D99-C99,"")</f>
        <v>-24.253718469066193</v>
      </c>
      <c r="H99">
        <v>25</v>
      </c>
      <c r="I99">
        <v>24</v>
      </c>
      <c r="J99">
        <f>100*1059343/2107573</f>
        <v>50.26364448586123</v>
      </c>
      <c r="K99">
        <f>100*223194/1291259</f>
        <v>17.284990850015372</v>
      </c>
      <c r="L99">
        <f>IF(COUNT(J99:K99)=2,K99-J99,"")</f>
        <v>-32.97865363584586</v>
      </c>
      <c r="O99">
        <v>25</v>
      </c>
      <c r="P99">
        <v>24</v>
      </c>
      <c r="Q99">
        <f>100*667801/1611354</f>
        <v>41.4434692811139</v>
      </c>
      <c r="R99">
        <f>100*358389/1578905</f>
        <v>22.698579078538607</v>
      </c>
      <c r="S99">
        <f>IF(COUNT(Q99:R99)=2,R99-Q99,"")</f>
        <v>-18.74489020257529</v>
      </c>
    </row>
    <row r="100" spans="1:19" x14ac:dyDescent="0.3">
      <c r="A100">
        <v>26</v>
      </c>
      <c r="B100">
        <v>25</v>
      </c>
      <c r="C100">
        <f>100*1206228/2241810</f>
        <v>53.805987126473696</v>
      </c>
      <c r="D100">
        <f>100*156542/1288805</f>
        <v>12.146290555980151</v>
      </c>
      <c r="E100">
        <f>IF(COUNT(C100:D100)=2,D100-C100,"")</f>
        <v>-41.659696570493544</v>
      </c>
      <c r="H100">
        <v>26</v>
      </c>
      <c r="I100">
        <v>25</v>
      </c>
      <c r="J100">
        <f>100*50542/865957</f>
        <v>5.836548466032378</v>
      </c>
      <c r="K100">
        <f>100*57675/666664</f>
        <v>8.65128460513842</v>
      </c>
      <c r="L100">
        <f>IF(COUNT(J100:K100)=2,K100-J100,"")</f>
        <v>2.814736139106042</v>
      </c>
      <c r="O100">
        <v>26</v>
      </c>
      <c r="P100">
        <v>25</v>
      </c>
      <c r="Q100">
        <f>100*825215/1789490</f>
        <v>46.114535426294644</v>
      </c>
      <c r="R100">
        <f>100*6167/23931</f>
        <v>25.76992185867703</v>
      </c>
      <c r="S100">
        <f>IF(COUNT(Q100:R100)=2,R100-Q100,"")</f>
        <v>-20.344613567617614</v>
      </c>
    </row>
    <row r="101" spans="1:19" x14ac:dyDescent="0.3">
      <c r="A101">
        <v>27</v>
      </c>
      <c r="B101">
        <v>26</v>
      </c>
      <c r="C101">
        <f>100*312477/1386036</f>
        <v>22.54465251984797</v>
      </c>
      <c r="D101">
        <f>100*287927/1578880</f>
        <v>18.236154742602352</v>
      </c>
      <c r="E101">
        <f>IF(COUNT(C101:D101)=2,D101-C101,"")</f>
        <v>-4.308497777245616</v>
      </c>
      <c r="H101">
        <v>27</v>
      </c>
      <c r="I101">
        <v>26</v>
      </c>
      <c r="J101">
        <f>100*307157/1210949</f>
        <v>25.36498234029674</v>
      </c>
      <c r="K101">
        <f>100*180497/1370974</f>
        <v>13.165603432304332</v>
      </c>
      <c r="L101">
        <f>IF(COUNT(J101:K101)=2,K101-J101,"")</f>
        <v>-12.19937890799241</v>
      </c>
      <c r="O101">
        <v>27</v>
      </c>
      <c r="P101">
        <v>26</v>
      </c>
      <c r="Q101">
        <f>100*889999/1746112</f>
        <v>50.9703272184144</v>
      </c>
      <c r="R101">
        <f>100*295758/1516328</f>
        <v>19.504882848565746</v>
      </c>
      <c r="S101">
        <f>IF(COUNT(Q101:R101)=2,R101-Q101,"")</f>
        <v>-31.46544436984865</v>
      </c>
    </row>
    <row r="102" spans="1:19" x14ac:dyDescent="0.3">
      <c r="A102">
        <v>28</v>
      </c>
      <c r="B102">
        <v>27</v>
      </c>
      <c r="C102">
        <f>100*803250/1998379</f>
        <v>40.19507811080881</v>
      </c>
      <c r="D102">
        <f>100*333958/1794800</f>
        <v>18.606975707599734</v>
      </c>
      <c r="E102">
        <f>IF(COUNT(C102:D102)=2,D102-C102,"")</f>
        <v>-21.588102403209074</v>
      </c>
      <c r="H102">
        <v>28</v>
      </c>
      <c r="I102">
        <v>27</v>
      </c>
      <c r="J102">
        <f>100*499214/1645125</f>
        <v>30.345049768254693</v>
      </c>
      <c r="K102">
        <f>100*217764/1555427</f>
        <v>14.000271308135964</v>
      </c>
      <c r="L102">
        <f>IF(COUNT(J102:K102)=2,K102-J102,"")</f>
        <v>-16.34477846011873</v>
      </c>
      <c r="O102">
        <v>28</v>
      </c>
      <c r="P102">
        <v>27</v>
      </c>
      <c r="Q102">
        <f>100*1300/408366</f>
        <v>0.3183418795884084</v>
      </c>
      <c r="R102">
        <f>100*4587/763658</f>
        <v>0.6006615526845787</v>
      </c>
      <c r="S102">
        <f>IF(COUNT(Q102:R102)=2,R102-Q102,"")</f>
        <v>0.28231967309617023</v>
      </c>
    </row>
    <row r="103" spans="1:19" x14ac:dyDescent="0.3">
      <c r="A103">
        <v>29</v>
      </c>
      <c r="B103">
        <v>28</v>
      </c>
      <c r="C103">
        <f>100*764531/1746891</f>
        <v>43.76523778529971</v>
      </c>
      <c r="D103">
        <f>100*247805/1654102</f>
        <v>14.9812405764578</v>
      </c>
      <c r="E103">
        <f>IF(COUNT(C103:D103)=2,D103-C103,"")</f>
        <v>-28.78399720884191</v>
      </c>
      <c r="H103">
        <v>29</v>
      </c>
      <c r="I103">
        <v>28</v>
      </c>
      <c r="J103">
        <f>100*1050807/2150575</f>
        <v>48.86167652837032</v>
      </c>
      <c r="K103">
        <f>100*116877/1019470</f>
        <v>11.464486448841065</v>
      </c>
      <c r="L103">
        <f>IF(COUNT(J103:K103)=2,K103-J103,"")</f>
        <v>-37.39719007952925</v>
      </c>
      <c r="O103">
        <v>29</v>
      </c>
      <c r="P103">
        <v>28</v>
      </c>
      <c r="Q103">
        <f>100*827171/1762089</f>
        <v>46.94263456613145</v>
      </c>
      <c r="R103">
        <f>100*375819/1780123</f>
        <v>21.11196810557473</v>
      </c>
      <c r="S103">
        <f>IF(COUNT(Q103:R103)=2,R103-Q103,"")</f>
        <v>-25.830666460556724</v>
      </c>
    </row>
    <row r="104" spans="1:19" x14ac:dyDescent="0.3">
      <c r="A104">
        <v>30</v>
      </c>
      <c r="B104">
        <v>29</v>
      </c>
      <c r="C104">
        <f>100*7364/541662</f>
        <v>1.3595194050902593</v>
      </c>
      <c r="D104">
        <f>100*25204/931434</f>
        <v>2.705935149457718</v>
      </c>
      <c r="E104">
        <f>IF(COUNT(C104:D104)=2,D104-C104,"")</f>
        <v>1.3464157443674587</v>
      </c>
      <c r="H104">
        <v>30</v>
      </c>
      <c r="I104">
        <v>29</v>
      </c>
      <c r="J104">
        <f>100*410139/1282634</f>
        <v>31.976308128429466</v>
      </c>
      <c r="K104">
        <f>100*33157/806873</f>
        <v>4.109320797696787</v>
      </c>
      <c r="L104">
        <f>IF(COUNT(J104:K104)=2,K104-J104,"")</f>
        <v>-27.866987330732677</v>
      </c>
      <c r="O104">
        <v>30</v>
      </c>
      <c r="P104">
        <v>29</v>
      </c>
      <c r="Q104">
        <f>100*806811/1713643</f>
        <v>47.08162668653856</v>
      </c>
      <c r="R104">
        <f>100*151495/1082840</f>
        <v>13.99052491596173</v>
      </c>
      <c r="S104">
        <f>IF(COUNT(Q104:R104)=2,R104-Q104,"")</f>
        <v>-33.091101770576834</v>
      </c>
    </row>
    <row r="105" spans="1:19" x14ac:dyDescent="0.3">
      <c r="A105">
        <v>31</v>
      </c>
      <c r="B105">
        <v>30</v>
      </c>
      <c r="C105">
        <f>100*859640/1902385</f>
        <v>45.187488337008546</v>
      </c>
      <c r="D105">
        <f>100*143937/1191284</f>
        <v>12.082509292494485</v>
      </c>
      <c r="E105">
        <f>IF(COUNT(C105:D105)=2,D105-C105,"")</f>
        <v>-33.10497904451406</v>
      </c>
      <c r="H105">
        <v>31</v>
      </c>
      <c r="I105">
        <v>30</v>
      </c>
      <c r="J105">
        <f>100*349588/1410455</f>
        <v>24.785477026916848</v>
      </c>
      <c r="K105">
        <f>100*198562/1244252</f>
        <v>15.95834284373262</v>
      </c>
      <c r="L105">
        <f>IF(COUNT(J105:K105)=2,K105-J105,"")</f>
        <v>-8.827134183184228</v>
      </c>
      <c r="O105">
        <v>31</v>
      </c>
      <c r="P105">
        <v>30</v>
      </c>
      <c r="Q105">
        <f>100*267010/983366</f>
        <v>27.15265730155405</v>
      </c>
      <c r="R105">
        <f>100*2617/426597</f>
        <v>0.6134595414407509</v>
      </c>
      <c r="S105">
        <f>IF(COUNT(Q105:R105)=2,R105-Q105,"")</f>
        <v>-26.5391977601133</v>
      </c>
    </row>
    <row r="106" spans="1:19" x14ac:dyDescent="0.3">
      <c r="A106" t="s">
        <v>5</v>
      </c>
      <c r="C106">
        <f>IF(COUNT(C75:C105)&gt;0,AVERAGE(C75:C105),"")</f>
        <v>34.096955178849896</v>
      </c>
      <c r="D106">
        <f>IF(COUNT(D75:D105)&gt;0,AVERAGE(D75:D105),"")</f>
        <v>11.347781473622362</v>
      </c>
      <c r="E106">
        <f>IF(COUNT(E75:E105)&gt;0,AVERAGE(E75:E105),"")</f>
        <v>-22.749173705227534</v>
      </c>
      <c r="H106" t="s">
        <v>5</v>
      </c>
      <c r="J106">
        <f>IF(COUNT(J75:J105)&gt;0,AVERAGE(J75:J105),"")</f>
        <v>36.69157069983473</v>
      </c>
      <c r="K106">
        <f>IF(COUNT(K75:K105)&gt;0,AVERAGE(K75:K105),"")</f>
        <v>11.222283072535213</v>
      </c>
      <c r="L106">
        <f>IF(COUNT(L75:L105)&gt;0,AVERAGE(L75:L105),"")</f>
        <v>-25.155160140354116</v>
      </c>
      <c r="O106" t="s">
        <v>5</v>
      </c>
      <c r="Q106">
        <f>IF(COUNT(Q75:Q105)&gt;0,AVERAGE(Q75:Q105),"")</f>
        <v>33.786792028213014</v>
      </c>
      <c r="R106">
        <f>IF(COUNT(R75:R105)&gt;0,AVERAGE(R75:R105),"")</f>
        <v>12.721310224036522</v>
      </c>
      <c r="S106">
        <f>IF(COUNT(S75:S105)&gt;0,AVERAGE(S75:S105),"")</f>
        <v>-21.06548180417649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LCC(RREQ, q_1)</vt:lpstr>
      <vt:lpstr>LCC(RREQ, q_2)</vt:lpstr>
      <vt:lpstr>LCC(RREQ, q_3)</vt:lpstr>
      <vt:lpstr>LCC(RREQ, q_4)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JongHyeon Choe</dc:creator>
  <cp:lastModifiedBy>JongHyeon Choe</cp:lastModifiedBy>
  <dcterms:created xsi:type="dcterms:W3CDTF">2015-06-05T18:19:34Z</dcterms:created>
  <dcterms:modified xsi:type="dcterms:W3CDTF">2026-09-14T05:20:47Z</dcterms:modified>
</cp:coreProperties>
</file>