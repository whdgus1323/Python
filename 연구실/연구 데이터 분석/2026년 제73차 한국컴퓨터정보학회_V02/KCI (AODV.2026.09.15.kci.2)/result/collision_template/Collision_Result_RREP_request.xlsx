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Choe JongHyeon\Desktop\KCI_작성_3\Figure_1\Result\Collision\Ping_Reply\"/>
    </mc:Choice>
  </mc:AlternateContent>
  <xr:revisionPtr revIDLastSave="0" documentId="13_ncr:1_{82B65950-E6ED-487E-A55B-5AA72CF38313}" xr6:coauthVersionLast="36" xr6:coauthVersionMax="36" xr10:uidLastSave="{00000000-0000-0000-0000-000000000000}"/>
  <bookViews>
    <workbookView xWindow="0" yWindow="0" windowWidth="22260" windowHeight="12645" activeTab="3" xr2:uid="{00000000-000D-0000-FFFF-FFFF00000000}"/>
  </bookViews>
  <sheets>
    <sheet name="LCC(RREP, q_1)" sheetId="1" r:id="rId1"/>
    <sheet name="LCC(RREP, q_2)" sheetId="2" r:id="rId2"/>
    <sheet name="LCC(RREP, q_3)" sheetId="4" r:id="rId3"/>
    <sheet name="LCC(RREP, q_4)" sheetId="3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<sst xmlns="http://schemas.openxmlformats.org/spreadsheetml/2006/main" count="252" uniqueCount="15">
  <si>
    <t>No</t>
  </si>
  <si>
    <t>nodeId</t>
  </si>
  <si>
    <t>Legacy</t>
  </si>
  <si>
    <t>Proposed</t>
  </si>
  <si>
    <t>Delta</t>
  </si>
  <si>
    <t>AVG</t>
  </si>
  <si>
    <t>차량대수 70, 최고 속력 30km/h</t>
    <phoneticPr fontId="1" type="noConversion"/>
  </si>
  <si>
    <t>차량대수 70, 최고 속력 20km/h</t>
    <phoneticPr fontId="1" type="noConversion"/>
  </si>
  <si>
    <t>차량대수 70, 최고 속력 10km/h</t>
    <phoneticPr fontId="1" type="noConversion"/>
  </si>
  <si>
    <t>차량대수 100, 최고 속력 30km/h</t>
    <phoneticPr fontId="1" type="noConversion"/>
  </si>
  <si>
    <t>차량대수 100, 최고 속력 20km/h</t>
    <phoneticPr fontId="1" type="noConversion"/>
  </si>
  <si>
    <t>차량대수 100, 최고 속력 10km/h</t>
    <phoneticPr fontId="1" type="noConversion"/>
  </si>
  <si>
    <t>차량대수 120, 최고 속력 30km/h</t>
    <phoneticPr fontId="1" type="noConversion"/>
  </si>
  <si>
    <t>차량대수 120, 최고 속력 20km/h</t>
    <phoneticPr fontId="1" type="noConversion"/>
  </si>
  <si>
    <t>차량대수 120, 최고 속력 10km/h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</si>
</sst>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6"/>
  <sheetViews>
    <sheetView workbookViewId="0">
      <selection activeCell="F65" sqref="F65"/>
    </sheetView>
  </sheetViews>
  <sheetFormatPr defaultRowHeight="16.5" x14ac:dyDescent="0.3"/>
  <sheetData>
    <row r="1" spans="1:19" s="2" customFormat="1" ht="17.25" customHeight="1" x14ac:dyDescent="0.3">
      <c r="A1" s="1" t="s">
        <v>6</v>
      </c>
      <c r="B1" s="1"/>
      <c r="C1" s="1"/>
      <c r="D1" s="1"/>
      <c r="E1" s="1"/>
      <c r="H1" s="1" t="s">
        <v>7</v>
      </c>
      <c r="I1" s="1"/>
      <c r="J1" s="1"/>
      <c r="K1" s="1"/>
      <c r="L1" s="1"/>
      <c r="O1" s="1" t="s">
        <v>8</v>
      </c>
      <c r="P1" s="1"/>
      <c r="Q1" s="1"/>
      <c r="R1" s="1"/>
      <c r="S1" s="1"/>
    </row>
    <row r="2" spans="1:19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H2" t="s">
        <v>0</v>
      </c>
      <c r="I2" t="s">
        <v>1</v>
      </c>
      <c r="J2" t="s">
        <v>2</v>
      </c>
      <c r="K2" t="s">
        <v>3</v>
      </c>
      <c r="L2" t="s">
        <v>4</v>
      </c>
      <c r="O2" t="s">
        <v>0</v>
      </c>
      <c r="P2" t="s">
        <v>1</v>
      </c>
      <c r="Q2" t="s">
        <v>2</v>
      </c>
      <c r="R2" t="s">
        <v>3</v>
      </c>
      <c r="S2" t="s">
        <v>4</v>
      </c>
    </row>
    <row r="3" spans="1:19" x14ac:dyDescent="0.3">
      <c r="A3">
        <v>1</v>
      </c>
      <c r="B3">
        <v>0</v>
      </c>
      <c r="C3">
        <f>100*332764/1052174</f>
        <v>31.626327964766283</v>
      </c>
      <c r="D3">
        <f>100*145365/695547</f>
        <v>20.899378474783155</v>
      </c>
      <c r="E3">
        <f>IF(COUNT(C3:D3)=2,D3-C3,"")</f>
        <v>-10.726949489983127</v>
      </c>
      <c r="H3">
        <v>1</v>
      </c>
      <c r="I3">
        <v>0</v>
      </c>
      <c r="J3">
        <f>100*291815/1145550</f>
        <v>25.47378988258915</v>
      </c>
      <c r="K3">
        <f>100*184795/874296</f>
        <v>21.136434342602506</v>
      </c>
      <c r="L3">
        <f>IF(COUNT(J3:K3)=2,K3-J3,"")</f>
        <v>-4.337355539986643</v>
      </c>
      <c r="O3">
        <v>1</v>
      </c>
      <c r="P3">
        <v>0</v>
      </c>
      <c r="Q3">
        <f>100*208586/733698</f>
        <v>28.429408285152746</v>
      </c>
      <c r="R3">
        <f>100*62984/569611</f>
        <v>11.057370731955668</v>
      </c>
      <c r="S3">
        <f>IF(COUNT(Q3:R3)=2,R3-Q3,"")</f>
        <v>-17.372037553197078</v>
      </c>
    </row>
    <row r="4" spans="1:19" x14ac:dyDescent="0.3">
      <c r="A4">
        <v>2</v>
      </c>
      <c r="B4">
        <v>1</v>
      </c>
      <c r="C4">
        <f>100*356409/1118920</f>
        <v>31.852947485074893</v>
      </c>
      <c r="D4">
        <f>100*275634/1132407</f>
        <v>24.340541872312695</v>
      </c>
      <c r="E4">
        <f>IF(COUNT(C4:D4)=2,D4-C4,"")</f>
        <v>-7.512405612762198</v>
      </c>
      <c r="H4">
        <v>2</v>
      </c>
      <c r="I4">
        <v>1</v>
      </c>
      <c r="J4">
        <f>100*130334/783729</f>
        <v>16.629983068126865</v>
      </c>
      <c r="K4">
        <f>100*220728/977100</f>
        <v>22.59011360147375</v>
      </c>
      <c r="L4">
        <f>IF(COUNT(J4:K4)=2,K4-J4,"")</f>
        <v>5.960130533346884</v>
      </c>
      <c r="O4">
        <v>2</v>
      </c>
      <c r="P4">
        <v>1</v>
      </c>
      <c r="Q4">
        <f>100*510455/1451156</f>
        <v>35.17574954036644</v>
      </c>
      <c r="R4">
        <f>100*367160/1551095</f>
        <v>23.671019505575092</v>
      </c>
      <c r="S4">
        <f>IF(COUNT(Q4:R4)=2,R4-Q4,"")</f>
        <v>-11.504730034791347</v>
      </c>
    </row>
    <row r="5" spans="1:19" x14ac:dyDescent="0.3">
      <c r="A5">
        <v>3</v>
      </c>
      <c r="B5">
        <v>2</v>
      </c>
      <c r="C5">
        <f>100*397332/1270809</f>
        <v>31.266067520768267</v>
      </c>
      <c r="D5">
        <f>100*253884/1012231</f>
        <v>25.08162662475265</v>
      </c>
      <c r="E5">
        <f>IF(COUNT(C5:D5)=2,D5-C5,"")</f>
        <v>-6.184440896015616</v>
      </c>
      <c r="H5">
        <v>3</v>
      </c>
      <c r="I5">
        <v>2</v>
      </c>
      <c r="J5">
        <f>100*147851/1441835</f>
        <v>10.25436336335295</v>
      </c>
      <c r="K5">
        <f>100*242691/874969</f>
        <v>27.73709697143556</v>
      </c>
      <c r="L5">
        <f>IF(COUNT(J5:K5)=2,K5-J5,"")</f>
        <v>17.48273360808261</v>
      </c>
      <c r="O5">
        <v>3</v>
      </c>
      <c r="P5">
        <v>2</v>
      </c>
      <c r="Q5">
        <f>100*480143/1280935</f>
        <v>37.48379113694293</v>
      </c>
      <c r="R5">
        <f>100*314056/1062737</f>
        <v>29.551620015111922</v>
      </c>
      <c r="S5">
        <f>IF(COUNT(Q5:R5)=2,R5-Q5,"")</f>
        <v>-7.932171121831011</v>
      </c>
    </row>
    <row r="6" spans="1:19" x14ac:dyDescent="0.3">
      <c r="A6">
        <v>4</v>
      </c>
      <c r="B6">
        <v>3</v>
      </c>
      <c r="C6">
        <f>100*16403/519550</f>
        <v>3.1571552304879225</v>
      </c>
      <c r="D6">
        <f>100*95685/785859</f>
        <v>12.175848339205888</v>
      </c>
      <c r="E6">
        <f>IF(COUNT(C6:D6)=2,D6-C6,"")</f>
        <v>9.018693108717965</v>
      </c>
      <c r="H6">
        <v>4</v>
      </c>
      <c r="I6">
        <v>3</v>
      </c>
      <c r="J6">
        <f>100*123870/784417</f>
        <v>15.791345674558302</v>
      </c>
      <c r="K6">
        <f>100*116584/715752</f>
        <v>16.288323329868447</v>
      </c>
      <c r="L6">
        <f>IF(COUNT(J6:K6)=2,K6-J6,"")</f>
        <v>0.49697765531014504</v>
      </c>
      <c r="O6">
        <v>4</v>
      </c>
      <c r="P6">
        <v>3</v>
      </c>
      <c r="Q6">
        <f>100*450191/1211277</f>
        <v>37.16664313777939</v>
      </c>
      <c r="R6">
        <f>100*234285/954735</f>
        <v>24.539270059231097</v>
      </c>
      <c r="S6">
        <f>IF(COUNT(Q6:R6)=2,R6-Q6,"")</f>
        <v>-12.627373078548292</v>
      </c>
    </row>
    <row r="7" spans="1:19" x14ac:dyDescent="0.3">
      <c r="A7">
        <v>5</v>
      </c>
      <c r="B7">
        <v>4</v>
      </c>
      <c r="C7">
        <f>100*497044/1286267</f>
        <v>38.64236585405674</v>
      </c>
      <c r="D7">
        <f>100*388005/1292833</f>
        <v>30.011996909113552</v>
      </c>
      <c r="E7">
        <f>IF(COUNT(C7:D7)=2,D7-C7,"")</f>
        <v>-8.63036894494319</v>
      </c>
      <c r="H7">
        <v>5</v>
      </c>
      <c r="I7">
        <v>4</v>
      </c>
      <c r="J7">
        <f>100*342477/1148710</f>
        <v>29.814052284736793</v>
      </c>
      <c r="K7">
        <f>100*326142/1168911</f>
        <v>27.90135433749875</v>
      </c>
      <c r="L7">
        <f>IF(COUNT(J7:K7)=2,K7-J7,"")</f>
        <v>-1.912697947238044</v>
      </c>
      <c r="O7">
        <v>5</v>
      </c>
      <c r="P7">
        <v>4</v>
      </c>
      <c r="Q7">
        <f>100*389359/1092762</f>
        <v>35.63072288384845</v>
      </c>
      <c r="R7">
        <f>100*152843/792041</f>
        <v>19.297359606384013</v>
      </c>
      <c r="S7">
        <f>IF(COUNT(Q7:R7)=2,R7-Q7,"")</f>
        <v>-16.333363277464436</v>
      </c>
    </row>
    <row r="8" spans="1:19" x14ac:dyDescent="0.3">
      <c r="A8">
        <v>6</v>
      </c>
      <c r="B8">
        <v>5</v>
      </c>
      <c r="C8">
        <f>100*295084/1125005</f>
        <v>26.229572313011943</v>
      </c>
      <c r="D8">
        <f>100*295869/1176470</f>
        <v>25.14887757443879</v>
      </c>
      <c r="E8">
        <f>IF(COUNT(C8:D8)=2,D8-C8,"")</f>
        <v>-1.080694738573154</v>
      </c>
      <c r="H8">
        <v>6</v>
      </c>
      <c r="I8">
        <v>5</v>
      </c>
      <c r="J8">
        <f>100*246415/1039225</f>
        <v>23.71141956746614</v>
      </c>
      <c r="K8">
        <f>100*314267/1199744</f>
        <v>26.194504827696576</v>
      </c>
      <c r="L8">
        <f>IF(COUNT(J8:K8)=2,K8-J8,"")</f>
        <v>2.4830852602304354</v>
      </c>
      <c r="O8">
        <v>6</v>
      </c>
      <c r="P8">
        <v>5</v>
      </c>
      <c r="Q8">
        <f>100*269836/994553</f>
        <v>27.131384652200538</v>
      </c>
      <c r="R8">
        <f>100*93725/687280</f>
        <v>13.637091141892679</v>
      </c>
      <c r="S8">
        <f>IF(COUNT(Q8:R8)=2,R8-Q8,"")</f>
        <v>-13.494293510307859</v>
      </c>
    </row>
    <row r="9" spans="1:19" x14ac:dyDescent="0.3">
      <c r="A9">
        <v>7</v>
      </c>
      <c r="B9">
        <v>6</v>
      </c>
      <c r="C9">
        <f>100*240424/851852</f>
        <v>28.223682048055295</v>
      </c>
      <c r="D9">
        <f>100*48365/674015</f>
        <v>7.175656328123261</v>
      </c>
      <c r="E9">
        <f>IF(COUNT(C9:D9)=2,D9-C9,"")</f>
        <v>-21.048025719932035</v>
      </c>
      <c r="H9">
        <v>7</v>
      </c>
      <c r="I9">
        <v>6</v>
      </c>
      <c r="J9">
        <f>100*3261/356727</f>
        <v>0.9141444297740289</v>
      </c>
      <c r="K9">
        <f>100*3185/356537</f>
        <v>0.8933154202789613</v>
      </c>
      <c r="L9">
        <f>IF(COUNT(J9:K9)=2,K9-J9,"")</f>
        <v>-0.020829009495067607</v>
      </c>
      <c r="O9">
        <v>7</v>
      </c>
      <c r="P9">
        <v>6</v>
      </c>
      <c r="Q9">
        <f>100*460466/1246393</f>
        <v>36.94388527535055</v>
      </c>
      <c r="R9">
        <f>100*292002/1090920</f>
        <v>26.766582334176658</v>
      </c>
      <c r="S9">
        <f>IF(COUNT(Q9:R9)=2,R9-Q9,"")</f>
        <v>-10.177302941173895</v>
      </c>
    </row>
    <row r="10" spans="1:19" x14ac:dyDescent="0.3">
      <c r="A10">
        <v>8</v>
      </c>
      <c r="B10">
        <v>7</v>
      </c>
      <c r="C10">
        <f>100*3447/313581</f>
        <v>1.09923751757919</v>
      </c>
      <c r="D10">
        <f>100*3447/313581</f>
        <v>1.09923751757919</v>
      </c>
      <c r="E10">
        <f>IF(COUNT(C10:D10)=2,D10-C10,"")</f>
        <v>0.0</v>
      </c>
      <c r="H10">
        <v>8</v>
      </c>
      <c r="I10">
        <v>7</v>
      </c>
      <c r="J10">
        <f>100*275/278589</f>
        <v>0.09871172228623527</v>
      </c>
      <c r="K10">
        <f>100*275/278589</f>
        <v>0.09871172228623527</v>
      </c>
      <c r="L10">
        <f>IF(COUNT(J10:K10)=2,K10-J10,"")</f>
        <v>0.0</v>
      </c>
      <c r="O10">
        <v>8</v>
      </c>
      <c r="P10">
        <v>7</v>
      </c>
      <c r="Q10">
        <f>100*631465/1523952</f>
        <v>41.43601635747058</v>
      </c>
      <c r="R10">
        <f>100*398133/1178971</f>
        <v>33.76953292320167</v>
      </c>
      <c r="S10">
        <f>IF(COUNT(Q10:R10)=2,R10-Q10,"")</f>
        <v>-7.666483434268905</v>
      </c>
    </row>
    <row r="11" spans="1:19" x14ac:dyDescent="0.3">
      <c r="A11">
        <v>9</v>
      </c>
      <c r="B11">
        <v>8</v>
      </c>
      <c r="C11">
        <f>100*328851/1096172</f>
        <v>29.999945264064397</v>
      </c>
      <c r="D11">
        <f>100*145199/655782</f>
        <v>22.14135185168242</v>
      </c>
      <c r="E11">
        <f>IF(COUNT(C11:D11)=2,D11-C11,"")</f>
        <v>-7.858593412381978</v>
      </c>
      <c r="H11">
        <v>9</v>
      </c>
      <c r="I11">
        <v>8</v>
      </c>
      <c r="J11">
        <f>100*382533/1287826</f>
        <v>29.70377985845914</v>
      </c>
      <c r="K11">
        <f>100*387232/1293630</f>
        <v>29.933752309392947</v>
      </c>
      <c r="L11">
        <f>IF(COUNT(J11:K11)=2,K11-J11,"")</f>
        <v>0.2299724509338077</v>
      </c>
      <c r="O11">
        <v>9</v>
      </c>
      <c r="P11">
        <v>8</v>
      </c>
      <c r="Q11">
        <f>100*511514/1411309</f>
        <v>36.24394090875917</v>
      </c>
      <c r="R11">
        <f>100*367535/1130789</f>
        <v>32.50252699663686</v>
      </c>
      <c r="S11">
        <f>IF(COUNT(Q11:R11)=2,R11-Q11,"")</f>
        <v>-3.7414139121223116</v>
      </c>
    </row>
    <row r="12" spans="1:19" x14ac:dyDescent="0.3">
      <c r="A12">
        <v>10</v>
      </c>
      <c r="B12">
        <v>9</v>
      </c>
      <c r="C12">
        <f>100*147882/738636</f>
        <v>20.0209575487791</v>
      </c>
      <c r="D12">
        <f>100*219720/845877</f>
        <v>25.975407772051966</v>
      </c>
      <c r="E12">
        <f>IF(COUNT(C12:D12)=2,D12-C12,"")</f>
        <v>5.954450223272865</v>
      </c>
      <c r="H12">
        <v>10</v>
      </c>
      <c r="I12">
        <v>9</v>
      </c>
      <c r="J12">
        <f>100*179400/747366</f>
        <v>24.00430311253121</v>
      </c>
      <c r="K12">
        <f>100*50182/562282</f>
        <v>8.924703262775617</v>
      </c>
      <c r="L12">
        <f>IF(COUNT(J12:K12)=2,K12-J12,"")</f>
        <v>-15.079599849755594</v>
      </c>
      <c r="O12">
        <v>10</v>
      </c>
      <c r="P12">
        <v>9</v>
      </c>
      <c r="Q12">
        <f>100*361827/1149672</f>
        <v>31.47219380832098</v>
      </c>
      <c r="R12">
        <f>100*9379/409226</f>
        <v>2.2918876122240524</v>
      </c>
      <c r="S12">
        <f>IF(COUNT(Q12:R12)=2,R12-Q12,"")</f>
        <v>-29.18030619609693</v>
      </c>
    </row>
    <row r="13" spans="1:19" x14ac:dyDescent="0.3">
      <c r="A13">
        <v>11</v>
      </c>
      <c r="B13">
        <v>10</v>
      </c>
      <c r="C13">
        <f>100*4137/540292</f>
        <v>0.7656970675116419</v>
      </c>
      <c r="D13">
        <f>100*4419/543354</f>
        <v>0.8132819487847701</v>
      </c>
      <c r="E13">
        <f>IF(COUNT(C13:D13)=2,D13-C13,"")</f>
        <v>0.04758488127312821</v>
      </c>
      <c r="H13">
        <v>11</v>
      </c>
      <c r="I13">
        <v>10</v>
      </c>
      <c r="J13">
        <f>100*29717/602395</f>
        <v>4.933141875347571</v>
      </c>
      <c r="K13">
        <f>100*153779/868894</f>
        <v>17.698246276300676</v>
      </c>
      <c r="L13">
        <f>IF(COUNT(J13:K13)=2,K13-J13,"")</f>
        <v>12.765104400953105</v>
      </c>
      <c r="O13">
        <v>11</v>
      </c>
      <c r="P13">
        <v>10</v>
      </c>
      <c r="Q13">
        <f>100*314083/1092488</f>
        <v>28.749331800440828</v>
      </c>
      <c r="R13">
        <f>100*371802/1169378</f>
        <v>31.79485162197339</v>
      </c>
      <c r="S13">
        <f>IF(COUNT(Q13:R13)=2,R13-Q13,"")</f>
        <v>3.0455198215325616</v>
      </c>
    </row>
    <row r="14" spans="1:19" x14ac:dyDescent="0.3">
      <c r="A14">
        <v>12</v>
      </c>
      <c r="B14">
        <v>11</v>
      </c>
      <c r="C14">
        <f>100*469865/1292144</f>
        <v>36.363207196721106</v>
      </c>
      <c r="D14">
        <f>100*286979/1115354</f>
        <v>25.729857964377228</v>
      </c>
      <c r="E14">
        <f>IF(COUNT(C14:D14)=2,D14-C14,"")</f>
        <v>-10.633349232343878</v>
      </c>
      <c r="H14">
        <v>12</v>
      </c>
      <c r="I14">
        <v>11</v>
      </c>
      <c r="J14">
        <f>100*17227/518447</f>
        <v>3.3228083102033574</v>
      </c>
      <c r="K14">
        <f>100*7709/508876</f>
        <v>1.5149073644659996</v>
      </c>
      <c r="L14">
        <f>IF(COUNT(J14:K14)=2,K14-J14,"")</f>
        <v>-1.8079009457373578</v>
      </c>
      <c r="O14">
        <v>12</v>
      </c>
      <c r="P14">
        <v>11</v>
      </c>
      <c r="Q14">
        <f>100*438660/1271352</f>
        <v>34.5034262737621</v>
      </c>
      <c r="R14">
        <f>100*389444/1186916</f>
        <v>32.811420521755544</v>
      </c>
      <c r="S14">
        <f>IF(COUNT(Q14:R14)=2,R14-Q14,"")</f>
        <v>-1.6920057520065583</v>
      </c>
    </row>
    <row r="15" spans="1:19" x14ac:dyDescent="0.3">
      <c r="A15">
        <v>13</v>
      </c>
      <c r="B15">
        <v>12</v>
      </c>
      <c r="C15">
        <f>100*47266/521892</f>
        <v>9.0566630643888</v>
      </c>
      <c r="D15">
        <f>100*35860/510091</f>
        <v>7.03011815538796</v>
      </c>
      <c r="E15">
        <f>IF(COUNT(C15:D15)=2,D15-C15,"")</f>
        <v>-2.0265449090008403</v>
      </c>
      <c r="H15">
        <v>13</v>
      </c>
      <c r="I15">
        <v>12</v>
      </c>
      <c r="J15">
        <f>100*544142/1461712</f>
        <v>37.22634828201451</v>
      </c>
      <c r="K15">
        <f>100*280474/1051696</f>
        <v>26.668733170041534</v>
      </c>
      <c r="L15">
        <f>IF(COUNT(J15:K15)=2,K15-J15,"")</f>
        <v>-10.557615111972979</v>
      </c>
      <c r="O15">
        <v>13</v>
      </c>
      <c r="P15">
        <v>12</v>
      </c>
      <c r="Q15">
        <f>100*357555/1108932</f>
        <v>32.243185335079154</v>
      </c>
      <c r="R15">
        <f>100*104501/737029</f>
        <v>14.178682249952173</v>
      </c>
      <c r="S15">
        <f>IF(COUNT(Q15:R15)=2,R15-Q15,"")</f>
        <v>-18.06450308512698</v>
      </c>
    </row>
    <row r="16" spans="1:19" x14ac:dyDescent="0.3">
      <c r="A16">
        <v>14</v>
      </c>
      <c r="B16">
        <v>13</v>
      </c>
      <c r="C16">
        <f>100*7402/385878</f>
        <v>1.9182228580017517</v>
      </c>
      <c r="D16">
        <f>100*6843/368545</f>
        <v>1.8567610468192486</v>
      </c>
      <c r="E16">
        <f>IF(COUNT(C16:D16)=2,D16-C16,"")</f>
        <v>-0.06146181118250316</v>
      </c>
      <c r="H16">
        <v>14</v>
      </c>
      <c r="I16">
        <v>13</v>
      </c>
      <c r="J16">
        <f>100*181558/818931</f>
        <v>22.170121780711685</v>
      </c>
      <c r="K16">
        <f>100*197379/853576</f>
        <v>23.123775738774285</v>
      </c>
      <c r="L16">
        <f>IF(COUNT(J16:K16)=2,K16-J16,"")</f>
        <v>0.9536539580625991</v>
      </c>
      <c r="O16">
        <v>14</v>
      </c>
      <c r="P16">
        <v>13</v>
      </c>
      <c r="Q16">
        <f>100*131266/578543</f>
        <v>22.689065462722738</v>
      </c>
      <c r="R16">
        <f>100*39418/402866</f>
        <v>9.78439481117791</v>
      </c>
      <c r="S16">
        <f>IF(COUNT(Q16:R16)=2,R16-Q16,"")</f>
        <v>-12.904670651544828</v>
      </c>
    </row>
    <row r="17" spans="1:19" x14ac:dyDescent="0.3">
      <c r="A17">
        <v>15</v>
      </c>
      <c r="B17">
        <v>14</v>
      </c>
      <c r="C17">
        <f>100*405804/1241849</f>
        <v>32.67740280823192</v>
      </c>
      <c r="D17">
        <f>100*236918/1026410</f>
        <v>23.082199121208873</v>
      </c>
      <c r="E17">
        <f>IF(COUNT(C17:D17)=2,D17-C17,"")</f>
        <v>-9.595203687023044</v>
      </c>
      <c r="H17">
        <v>15</v>
      </c>
      <c r="I17">
        <v>14</v>
      </c>
      <c r="J17">
        <f>100*610081/1573211</f>
        <v>38.779350004544845</v>
      </c>
      <c r="K17">
        <f>100*357523/1224679</f>
        <v>29.193200830584995</v>
      </c>
      <c r="L17">
        <f>IF(COUNT(J17:K17)=2,K17-J17,"")</f>
        <v>-9.58614917395985</v>
      </c>
      <c r="O17">
        <v>15</v>
      </c>
      <c r="P17">
        <v>14</v>
      </c>
      <c r="Q17">
        <f>100*384174/1163453</f>
        <v>33.020156379329464</v>
      </c>
      <c r="R17">
        <f>100*276853/1036658</f>
        <v>26.706300438524565</v>
      </c>
      <c r="S17">
        <f>IF(COUNT(Q17:R17)=2,R17-Q17,"")</f>
        <v>-6.313855940804899</v>
      </c>
    </row>
    <row r="18" spans="1:19" x14ac:dyDescent="0.3">
      <c r="A18">
        <v>16</v>
      </c>
      <c r="B18">
        <v>15</v>
      </c>
      <c r="C18">
        <f>100*397150/1193789</f>
        <v>33.26802307610474</v>
      </c>
      <c r="D18">
        <f>100*143778/759279</f>
        <v>18.936122294966673</v>
      </c>
      <c r="E18">
        <f>IF(COUNT(C18:D18)=2,D18-C18,"")</f>
        <v>-14.331900781138067</v>
      </c>
      <c r="H18">
        <v>16</v>
      </c>
      <c r="I18">
        <v>15</v>
      </c>
      <c r="J18">
        <f>100*311472/1035367</f>
        <v>30.083245844227218</v>
      </c>
      <c r="K18">
        <f>100*132858/726501</f>
        <v>18.28738019631081</v>
      </c>
      <c r="L18">
        <f>IF(COUNT(J18:K18)=2,K18-J18,"")</f>
        <v>-11.795865647916408</v>
      </c>
      <c r="O18">
        <v>16</v>
      </c>
      <c r="P18">
        <v>15</v>
      </c>
      <c r="Q18">
        <f>100*403580/1172064</f>
        <v>34.43327326835394</v>
      </c>
      <c r="R18">
        <f>100*392347/1214075</f>
        <v>32.31653728146943</v>
      </c>
      <c r="S18">
        <f>IF(COUNT(Q18:R18)=2,R18-Q18,"")</f>
        <v>-2.116735986884514</v>
      </c>
    </row>
    <row r="19" spans="1:19" x14ac:dyDescent="0.3">
      <c r="A19">
        <v>17</v>
      </c>
      <c r="B19">
        <v>16</v>
      </c>
      <c r="C19">
        <f>100*170884/804109</f>
        <v>21.251347765041803</v>
      </c>
      <c r="D19">
        <f>100*282714/1092284</f>
        <v>25.882829007840453</v>
      </c>
      <c r="E19">
        <f>IF(COUNT(C19:D19)=2,D19-C19,"")</f>
        <v>4.63148124279865</v>
      </c>
      <c r="H19">
        <v>17</v>
      </c>
      <c r="I19">
        <v>16</v>
      </c>
      <c r="J19">
        <f>100*547667/1465339</f>
        <v>37.37476447429571</v>
      </c>
      <c r="K19">
        <f>100*327844/1201182</f>
        <v>27.293449285786835</v>
      </c>
      <c r="L19">
        <f>IF(COUNT(J19:K19)=2,K19-J19,"")</f>
        <v>-10.081315188508874</v>
      </c>
      <c r="O19">
        <v>17</v>
      </c>
      <c r="P19">
        <v>16</v>
      </c>
      <c r="Q19">
        <f>100*34194/375756</f>
        <v>9.10005429055025</v>
      </c>
      <c r="R19">
        <f>100*7793/331896</f>
        <v>2.348024682430641</v>
      </c>
      <c r="S19">
        <f>IF(COUNT(Q19:R19)=2,R19-Q19,"")</f>
        <v>-6.75202960811961</v>
      </c>
    </row>
    <row r="20" spans="1:19" x14ac:dyDescent="0.3">
      <c r="A20">
        <v>18</v>
      </c>
      <c r="B20">
        <v>17</v>
      </c>
      <c r="C20">
        <f>100*269013/913065</f>
        <v>29.462634095053474</v>
      </c>
      <c r="D20">
        <f>100*81796/627254</f>
        <v>13.040331349022884</v>
      </c>
      <c r="E20">
        <f>IF(COUNT(C20:D20)=2,D20-C20,"")</f>
        <v>-16.42230274603059</v>
      </c>
      <c r="H20">
        <v>18</v>
      </c>
      <c r="I20">
        <v>17</v>
      </c>
      <c r="J20">
        <f>100*246590/976020</f>
        <v>25.264851130099792</v>
      </c>
      <c r="K20">
        <f>100*112437/716678</f>
        <v>15.688635621576218</v>
      </c>
      <c r="L20">
        <f>IF(COUNT(J20:K20)=2,K20-J20,"")</f>
        <v>-9.576215508523575</v>
      </c>
      <c r="O20">
        <v>18</v>
      </c>
      <c r="P20">
        <v>17</v>
      </c>
      <c r="Q20">
        <f>100*2176/318434</f>
        <v>0.6833441152640736</v>
      </c>
      <c r="R20">
        <f>100*2176/318434</f>
        <v>0.6833441152640736</v>
      </c>
      <c r="S20">
        <f>IF(COUNT(Q20:R20)=2,R20-Q20,"")</f>
        <v>0.0</v>
      </c>
    </row>
    <row r="21" spans="1:19" x14ac:dyDescent="0.3">
      <c r="A21">
        <v>19</v>
      </c>
      <c r="B21">
        <v>18</v>
      </c>
      <c r="C21">
        <f>100*130405/675745</f>
        <v>19.297960029300995</v>
      </c>
      <c r="D21">
        <f>100*95038/668238</f>
        <v>14.222178325686357</v>
      </c>
      <c r="E21">
        <f>IF(COUNT(C21:D21)=2,D21-C21,"")</f>
        <v>-5.075781703614638</v>
      </c>
      <c r="H21">
        <v>19</v>
      </c>
      <c r="I21">
        <v>18</v>
      </c>
      <c r="J21">
        <f>100*94163/608895</f>
        <v>15.464571067261186</v>
      </c>
      <c r="K21">
        <f>100*115792/686672</f>
        <v>16.862781648297876</v>
      </c>
      <c r="L21">
        <f>IF(COUNT(J21:K21)=2,K21-J21,"")</f>
        <v>1.3982105810366896</v>
      </c>
      <c r="O21">
        <v>19</v>
      </c>
      <c r="P21">
        <v>18</v>
      </c>
      <c r="Q21">
        <f>100*460785/1299362</f>
        <v>35.462403856661965</v>
      </c>
      <c r="R21">
        <f>100*404091/1263000</f>
        <v>31.994536817102137</v>
      </c>
      <c r="S21">
        <f>IF(COUNT(Q21:R21)=2,R21-Q21,"")</f>
        <v>-3.4678670395598274</v>
      </c>
    </row>
    <row r="22" spans="1:19" x14ac:dyDescent="0.3">
      <c r="A22">
        <v>20</v>
      </c>
      <c r="B22">
        <v>19</v>
      </c>
      <c r="C22">
        <f>100*271082/932573</f>
        <v>29.068180185358145</v>
      </c>
      <c r="D22">
        <f>100*199574/847472</f>
        <v>23.549332603319048</v>
      </c>
      <c r="E22">
        <f>IF(COUNT(C22:D22)=2,D22-C22,"")</f>
        <v>-5.518847582039097</v>
      </c>
      <c r="H22">
        <v>20</v>
      </c>
      <c r="I22">
        <v>19</v>
      </c>
      <c r="J22">
        <f>100*51102/454685</f>
        <v>11.238989630183534</v>
      </c>
      <c r="K22">
        <f>100*138928/621925</f>
        <v>22.338384853479116</v>
      </c>
      <c r="L22">
        <f>IF(COUNT(J22:K22)=2,K22-J22,"")</f>
        <v>11.099395223295582</v>
      </c>
      <c r="O22">
        <v>20</v>
      </c>
      <c r="P22">
        <v>19</v>
      </c>
      <c r="Q22">
        <f>100*246053/750263</f>
        <v>32.795566354731605</v>
      </c>
      <c r="R22">
        <f>100*177192/828439</f>
        <v>21.388659877190715</v>
      </c>
      <c r="S22">
        <f>IF(COUNT(Q22:R22)=2,R22-Q22,"")</f>
        <v>-11.40690647754089</v>
      </c>
    </row>
    <row r="23" spans="1:19" x14ac:dyDescent="0.3">
      <c r="A23">
        <v>21</v>
      </c>
      <c r="B23">
        <v>20</v>
      </c>
      <c r="C23">
        <f>100*144702/617823</f>
        <v>23.42127114076362</v>
      </c>
      <c r="D23">
        <f>100*281847/989421</f>
        <v>28.48605396489462</v>
      </c>
      <c r="E23">
        <f>IF(COUNT(C23:D23)=2,D23-C23,"")</f>
        <v>5.064782824131001</v>
      </c>
      <c r="H23">
        <v>21</v>
      </c>
      <c r="I23">
        <v>20</v>
      </c>
      <c r="J23">
        <f>100*591919/1541493</f>
        <v>38.399071549465354</v>
      </c>
      <c r="K23">
        <f>100*209893/824375</f>
        <v>25.460864291129642</v>
      </c>
      <c r="L23">
        <f>IF(COUNT(J23:K23)=2,K23-J23,"")</f>
        <v>-12.938207258335712</v>
      </c>
      <c r="O23">
        <v>21</v>
      </c>
      <c r="P23">
        <v>20</v>
      </c>
      <c r="Q23">
        <f>100*189374/774599</f>
        <v>24.448004709533578</v>
      </c>
      <c r="R23">
        <f>100*194466/844126</f>
        <v>23.03755600467229</v>
      </c>
      <c r="S23">
        <f>IF(COUNT(Q23:R23)=2,R23-Q23,"")</f>
        <v>-1.4104487048612881</v>
      </c>
    </row>
    <row r="24" spans="1:19" x14ac:dyDescent="0.3">
      <c r="A24">
        <v>22</v>
      </c>
      <c r="B24">
        <v>21</v>
      </c>
      <c r="C24">
        <f>100*295116/1275471</f>
        <v>23.1378055635918</v>
      </c>
      <c r="D24">
        <f>100*297364/1117844</f>
        <v>26.601565155782023</v>
      </c>
      <c r="E24">
        <f>IF(COUNT(C24:D24)=2,D24-C24,"")</f>
        <v>3.463759592190222</v>
      </c>
      <c r="H24">
        <v>22</v>
      </c>
      <c r="I24">
        <v>21</v>
      </c>
      <c r="J24">
        <f>100*392324/1270598</f>
        <v>30.87711455550851</v>
      </c>
      <c r="K24">
        <f>100*352605/1255608</f>
        <v>28.082411070971194</v>
      </c>
      <c r="L24">
        <f>IF(COUNT(J24:K24)=2,K24-J24,"")</f>
        <v>-2.7947034845373153</v>
      </c>
      <c r="O24">
        <v>22</v>
      </c>
      <c r="P24">
        <v>21</v>
      </c>
      <c r="Q24">
        <f>100*423564/1232833</f>
        <v>34.356964811941275</v>
      </c>
      <c r="R24">
        <f>100*355106/1166884</f>
        <v>30.431988098217133</v>
      </c>
      <c r="S24">
        <f>IF(COUNT(Q24:R24)=2,R24-Q24,"")</f>
        <v>-3.924976713724142</v>
      </c>
    </row>
    <row r="25" spans="1:19" x14ac:dyDescent="0.3">
      <c r="A25">
        <v>23</v>
      </c>
      <c r="B25">
        <v>22</v>
      </c>
      <c r="C25">
        <f>100*354113/1097352</f>
        <v>32.26977305367831</v>
      </c>
      <c r="D25">
        <f>100*236253/944479</f>
        <v>25.014108307331345</v>
      </c>
      <c r="E25">
        <f>IF(COUNT(C25:D25)=2,D25-C25,"")</f>
        <v>-7.255664746346962</v>
      </c>
      <c r="H25">
        <v>23</v>
      </c>
      <c r="I25">
        <v>22</v>
      </c>
      <c r="J25">
        <f>100*155683/840858</f>
        <v>18.514778951975245</v>
      </c>
      <c r="K25">
        <f>100*143412/801769</f>
        <v>17.886947487368555</v>
      </c>
      <c r="L25">
        <f>IF(COUNT(J25:K25)=2,K25-J25,"")</f>
        <v>-0.6278314646066896</v>
      </c>
      <c r="O25">
        <v>23</v>
      </c>
      <c r="P25">
        <v>22</v>
      </c>
      <c r="Q25">
        <f>100*592/261920</f>
        <v>0.22602321319486865</v>
      </c>
      <c r="R25">
        <f>100*592/261920</f>
        <v>0.22602321319486865</v>
      </c>
      <c r="S25">
        <f>IF(COUNT(Q25:R25)=2,R25-Q25,"")</f>
        <v>0.0</v>
      </c>
    </row>
    <row r="26" spans="1:19" x14ac:dyDescent="0.3">
      <c r="A26">
        <v>24</v>
      </c>
      <c r="B26">
        <v>23</v>
      </c>
      <c r="C26">
        <f>100*240022/913843</f>
        <v>26.265124315664725</v>
      </c>
      <c r="D26">
        <f>100*146193/770675</f>
        <v>18.969474811042268</v>
      </c>
      <c r="E26">
        <f>IF(COUNT(C26:D26)=2,D26-C26,"")</f>
        <v>-7.295649504622457</v>
      </c>
      <c r="H26">
        <v>24</v>
      </c>
      <c r="I26">
        <v>23</v>
      </c>
      <c r="J26">
        <f>100*377574/1156306</f>
        <v>32.65346716180665</v>
      </c>
      <c r="K26">
        <f>100*38530/578291</f>
        <v>6.662735543178089</v>
      </c>
      <c r="L26">
        <f>IF(COUNT(J26:K26)=2,K26-J26,"")</f>
        <v>-25.990731618628566</v>
      </c>
      <c r="O26">
        <v>24</v>
      </c>
      <c r="P26">
        <v>23</v>
      </c>
      <c r="Q26">
        <f>100*122016/574638</f>
        <v>21.233541812410596</v>
      </c>
      <c r="R26">
        <f>100*128532/611776</f>
        <v>21.009650591066013</v>
      </c>
      <c r="S26">
        <f>IF(COUNT(Q26:R26)=2,R26-Q26,"")</f>
        <v>-0.2238912213445836</v>
      </c>
    </row>
    <row r="27" spans="1:19" x14ac:dyDescent="0.3">
      <c r="A27">
        <v>25</v>
      </c>
      <c r="B27">
        <v>24</v>
      </c>
      <c r="C27">
        <f>100*56444/682080</f>
        <v>8.275275627492377</v>
      </c>
      <c r="D27">
        <f>100*77735/678933</f>
        <v>11.449583390408185</v>
      </c>
      <c r="E27">
        <f>IF(COUNT(C27:D27)=2,D27-C27,"")</f>
        <v>3.1743077629158076</v>
      </c>
      <c r="H27">
        <v>25</v>
      </c>
      <c r="I27">
        <v>24</v>
      </c>
      <c r="J27">
        <f>100*179842/875592</f>
        <v>20.53947500662409</v>
      </c>
      <c r="K27">
        <f>100*179587/957901</f>
        <v>18.747970823707252</v>
      </c>
      <c r="L27">
        <f>IF(COUNT(J27:K27)=2,K27-J27,"")</f>
        <v>-1.7915041829168388</v>
      </c>
      <c r="O27">
        <v>25</v>
      </c>
      <c r="P27">
        <v>24</v>
      </c>
      <c r="Q27">
        <f>100*497820/1342997</f>
        <v>37.06784155139587</v>
      </c>
      <c r="R27">
        <f>100*382913/1214572</f>
        <v>31.526578910101666</v>
      </c>
      <c r="S27">
        <f>IF(COUNT(Q27:R27)=2,R27-Q27,"")</f>
        <v>-5.541262641294207</v>
      </c>
    </row>
    <row r="28" spans="1:19" x14ac:dyDescent="0.3">
      <c r="A28">
        <v>26</v>
      </c>
      <c r="B28">
        <v>25</v>
      </c>
      <c r="C28">
        <f>100*366520/1167250</f>
        <v>31.400299850074962</v>
      </c>
      <c r="D28">
        <f>100*212545/950944</f>
        <v>22.350948110509137</v>
      </c>
      <c r="E28">
        <f>IF(COUNT(C28:D28)=2,D28-C28,"")</f>
        <v>-9.049351739565825</v>
      </c>
      <c r="H28">
        <v>26</v>
      </c>
      <c r="I28">
        <v>25</v>
      </c>
      <c r="J28">
        <f>100*403993/1263866</f>
        <v>31.964860198786898</v>
      </c>
      <c r="K28">
        <f>100*270075/975569</f>
        <v>27.68384399258279</v>
      </c>
      <c r="L28">
        <f>IF(COUNT(J28:K28)=2,K28-J28,"")</f>
        <v>-4.281016206204107</v>
      </c>
      <c r="O28">
        <v>26</v>
      </c>
      <c r="P28">
        <v>25</v>
      </c>
      <c r="Q28">
        <f>100*525172/1313199</f>
        <v>39.99180626850919</v>
      </c>
      <c r="R28">
        <f>100*377101/1220697</f>
        <v>30.89226892504856</v>
      </c>
      <c r="S28">
        <f>IF(COUNT(Q28:R28)=2,R28-Q28,"")</f>
        <v>-9.099537343460629</v>
      </c>
    </row>
    <row r="29" spans="1:19" x14ac:dyDescent="0.3">
      <c r="A29">
        <v>27</v>
      </c>
      <c r="B29">
        <v>26</v>
      </c>
      <c r="C29">
        <f>100*597714/1505438</f>
        <v>39.703660994341845</v>
      </c>
      <c r="D29">
        <f>100*88658/772163</f>
        <v>11.48177263090824</v>
      </c>
      <c r="E29">
        <f>IF(COUNT(C29:D29)=2,D29-C29,"")</f>
        <v>-28.221888363433607</v>
      </c>
      <c r="H29">
        <v>27</v>
      </c>
      <c r="I29">
        <v>26</v>
      </c>
      <c r="J29">
        <f>100*136381/818474</f>
        <v>16.66283840415212</v>
      </c>
      <c r="K29">
        <f>100*313286/1096675</f>
        <v>28.566895388332917</v>
      </c>
      <c r="L29">
        <f>IF(COUNT(J29:K29)=2,K29-J29,"")</f>
        <v>11.904056984180798</v>
      </c>
      <c r="O29">
        <v>27</v>
      </c>
      <c r="P29">
        <v>26</v>
      </c>
      <c r="Q29">
        <f>100*365374/1222824</f>
        <v>29.87952477216672</v>
      </c>
      <c r="R29">
        <f>100*231613/921105</f>
        <v>25.145124605772416</v>
      </c>
      <c r="S29">
        <f>IF(COUNT(Q29:R29)=2,R29-Q29,"")</f>
        <v>-4.734400166394305</v>
      </c>
    </row>
    <row r="30" spans="1:19" x14ac:dyDescent="0.3">
      <c r="A30">
        <v>28</v>
      </c>
      <c r="B30">
        <v>27</v>
      </c>
      <c r="C30">
        <f>100*262582/941033</f>
        <v>27.90359105366124</v>
      </c>
      <c r="D30">
        <f>100*164352/743976</f>
        <v>22.0910351946837</v>
      </c>
      <c r="E30">
        <f>IF(COUNT(C30:D30)=2,D30-C30,"")</f>
        <v>-5.812555858977543</v>
      </c>
      <c r="H30">
        <v>28</v>
      </c>
      <c r="I30">
        <v>27</v>
      </c>
      <c r="J30">
        <f>100*471860/1401372</f>
        <v>33.67128785219057</v>
      </c>
      <c r="K30">
        <f>100*248461/1012145</f>
        <v>24.547964965494074</v>
      </c>
      <c r="L30">
        <f>IF(COUNT(J30:K30)=2,K30-J30,"")</f>
        <v>-9.123322886696492</v>
      </c>
      <c r="O30">
        <v>28</v>
      </c>
      <c r="P30">
        <v>27</v>
      </c>
      <c r="Q30">
        <f>100*191/261142</f>
        <v>0.07314028383025327</v>
      </c>
      <c r="R30">
        <f>100*191/261142</f>
        <v>0.07314028383025327</v>
      </c>
      <c r="S30">
        <f>IF(COUNT(Q30:R30)=2,R30-Q30,"")</f>
        <v>0.0</v>
      </c>
    </row>
    <row r="31" spans="1:19" x14ac:dyDescent="0.3">
      <c r="A31">
        <v>29</v>
      </c>
      <c r="B31">
        <v>28</v>
      </c>
      <c r="C31">
        <f>100*549615/1490090</f>
        <v>36.88468481769558</v>
      </c>
      <c r="D31">
        <f>100*316574/1213731</f>
        <v>26.0827151980134</v>
      </c>
      <c r="E31">
        <f>IF(COUNT(C31:D31)=2,D31-C31,"")</f>
        <v>-10.801969619682179</v>
      </c>
      <c r="H31">
        <v>29</v>
      </c>
      <c r="I31">
        <v>28</v>
      </c>
      <c r="J31">
        <f>100*501796/1378717</f>
        <v>36.39586659191117</v>
      </c>
      <c r="K31">
        <f>100*340452/1194557</f>
        <v>28.50027248595086</v>
      </c>
      <c r="L31">
        <f>IF(COUNT(J31:K31)=2,K31-J31,"")</f>
        <v>-7.895594105960313</v>
      </c>
      <c r="O31">
        <v>29</v>
      </c>
      <c r="P31">
        <v>28</v>
      </c>
      <c r="Q31">
        <f>100*492377/1362039</f>
        <v>36.14999276819533</v>
      </c>
      <c r="R31">
        <f>100*400273/1257626</f>
        <v>31.827665776629935</v>
      </c>
      <c r="S31">
        <f>IF(COUNT(Q31:R31)=2,R31-Q31,"")</f>
        <v>-4.322326991565397</v>
      </c>
    </row>
    <row r="32" spans="1:19" x14ac:dyDescent="0.3">
      <c r="A32">
        <v>30</v>
      </c>
      <c r="B32">
        <v>29</v>
      </c>
      <c r="C32">
        <f>100*237648/919878</f>
        <v>25.834730257708088</v>
      </c>
      <c r="D32">
        <f>100*302969/1046845</f>
        <v>28.941151746438106</v>
      </c>
      <c r="E32">
        <f>IF(COUNT(C32:D32)=2,D32-C32,"")</f>
        <v>3.1064214887300174</v>
      </c>
      <c r="H32">
        <v>30</v>
      </c>
      <c r="I32">
        <v>29</v>
      </c>
      <c r="J32">
        <f>100*264568/888302</f>
        <v>29.783564598526176</v>
      </c>
      <c r="K32">
        <f>100*224189/928658</f>
        <v>24.14118006844285</v>
      </c>
      <c r="L32">
        <f>IF(COUNT(J32:K32)=2,K32-J32,"")</f>
        <v>-5.642384530083326</v>
      </c>
      <c r="O32">
        <v>30</v>
      </c>
      <c r="P32">
        <v>29</v>
      </c>
      <c r="Q32">
        <f>100*465436/1240969</f>
        <v>37.50585228156384</v>
      </c>
      <c r="R32">
        <f>100*378047/1177588</f>
        <v>32.103503092762494</v>
      </c>
      <c r="S32">
        <f>IF(COUNT(Q32:R32)=2,R32-Q32,"")</f>
        <v>-5.402349188801345</v>
      </c>
    </row>
    <row r="33" spans="1:19" x14ac:dyDescent="0.3">
      <c r="A33">
        <v>31</v>
      </c>
      <c r="B33">
        <v>30</v>
      </c>
      <c r="C33">
        <f>100*498726/1349876</f>
        <v>36.946060230717485</v>
      </c>
      <c r="D33">
        <f>100*323778/1184560</f>
        <v>27.333187006145742</v>
      </c>
      <c r="E33">
        <f>IF(COUNT(C33:D33)=2,D33-C33,"")</f>
        <v>-9.612873224571743</v>
      </c>
      <c r="H33">
        <v>31</v>
      </c>
      <c r="I33">
        <v>30</v>
      </c>
      <c r="J33">
        <f>100*307741/1047349</f>
        <v>29.382851370460084</v>
      </c>
      <c r="K33">
        <f>100*247746/997801</f>
        <v>24.829199409501495</v>
      </c>
      <c r="L33">
        <f>IF(COUNT(J33:K33)=2,K33-J33,"")</f>
        <v>-4.5536519609585895</v>
      </c>
      <c r="O33">
        <v>31</v>
      </c>
      <c r="P33">
        <v>30</v>
      </c>
      <c r="Q33">
        <f>100*7935/484889</f>
        <v>1.63645700356164</v>
      </c>
      <c r="R33">
        <f>100*14404/510532</f>
        <v>2.8213706486566954</v>
      </c>
      <c r="S33">
        <f>IF(COUNT(Q33:R33)=2,R33-Q33,"")</f>
        <v>1.1849136450950555</v>
      </c>
    </row>
    <row r="34" spans="1:19" x14ac:dyDescent="0.3">
      <c r="A34" t="s">
        <v>5</v>
      </c>
      <c r="C34">
        <f>IF(COUNT(C3:C33)&gt;0,AVERAGE(C3:C33),"")</f>
        <v>24.75128625154027</v>
      </c>
      <c r="D34">
        <f>IF(COUNT(D3:D33)&gt;0,AVERAGE(D3:D33),"")</f>
        <v>19.257888083793997</v>
      </c>
      <c r="E34">
        <f>IF(COUNT(E3:E33)&gt;0,AVERAGE(E3:E33),"")</f>
        <v>-5.493398167746279</v>
      </c>
      <c r="H34" t="s">
        <v>5</v>
      </c>
      <c r="J34">
        <f>IF(COUNT(J3:J33)&gt;0,AVERAGE(J3:J33),"")</f>
        <v>23.26126650336055</v>
      </c>
      <c r="K34">
        <f>IF(COUNT(K3:K33)&gt;0,AVERAGE(K3:K33),"")</f>
        <v>20.49929324637379</v>
      </c>
      <c r="L34">
        <f>IF(COUNT(L3:L33)&gt;0,AVERAGE(L3:L33),"")</f>
        <v>-2.7619732569867645</v>
      </c>
      <c r="O34" t="s">
        <v>5</v>
      </c>
      <c r="Q34">
        <f>IF(COUNT(Q3:Q33)&gt;0,AVERAGE(Q3:Q33),"")</f>
        <v>28.172990083851328</v>
      </c>
      <c r="R34">
        <f>IF(COUNT(R3:R33)&gt;0,AVERAGE(R3:R33),"")</f>
        <v>20.973738177199444</v>
      </c>
      <c r="S34">
        <f>IF(COUNT(S3:S33)&gt;0,AVERAGE(S3:S33),"")</f>
        <v>-7.1992519066518845</v>
      </c>
    </row>
    <row r="37" spans="1:19" s="2" customFormat="1" x14ac:dyDescent="0.3">
      <c r="A37" s="1" t="s">
        <v>9</v>
      </c>
      <c r="B37" s="1"/>
      <c r="C37" s="1"/>
      <c r="D37" s="1"/>
      <c r="E37" s="1"/>
      <c r="H37" s="1" t="s">
        <v>10</v>
      </c>
      <c r="I37" s="1"/>
      <c r="J37" s="1"/>
      <c r="K37" s="1"/>
      <c r="L37" s="1"/>
      <c r="O37" s="1" t="s">
        <v>11</v>
      </c>
      <c r="P37" s="1"/>
      <c r="Q37" s="1"/>
      <c r="R37" s="1"/>
      <c r="S37" s="1"/>
    </row>
    <row r="38" spans="1:19" x14ac:dyDescent="0.3">
      <c r="A38" t="s">
        <v>0</v>
      </c>
      <c r="B38" t="s">
        <v>1</v>
      </c>
      <c r="C38" t="s">
        <v>2</v>
      </c>
      <c r="D38" t="s">
        <v>3</v>
      </c>
      <c r="E38" t="s">
        <v>4</v>
      </c>
      <c r="H38" t="s">
        <v>0</v>
      </c>
      <c r="I38" t="s">
        <v>1</v>
      </c>
      <c r="J38" t="s">
        <v>2</v>
      </c>
      <c r="K38" t="s">
        <v>3</v>
      </c>
      <c r="L38" t="s">
        <v>4</v>
      </c>
      <c r="O38" t="s">
        <v>0</v>
      </c>
      <c r="P38" t="s">
        <v>1</v>
      </c>
      <c r="Q38" t="s">
        <v>2</v>
      </c>
      <c r="R38" t="s">
        <v>3</v>
      </c>
      <c r="S38" t="s">
        <v>4</v>
      </c>
    </row>
    <row r="39" spans="1:19" x14ac:dyDescent="0.3">
      <c r="A39">
        <v>1</v>
      </c>
      <c r="B39">
        <v>0</v>
      </c>
      <c r="C39">
        <f>100*192841/1049609</f>
        <v>18.372651149142204</v>
      </c>
      <c r="D39">
        <f>100*247314/1080432</f>
        <v>22.8902883291128</v>
      </c>
      <c r="E39">
        <f>IF(COUNT(C39:D39)=2,D39-C39,"")</f>
        <v>4.517637179970595</v>
      </c>
      <c r="H39">
        <v>1</v>
      </c>
      <c r="I39">
        <v>0</v>
      </c>
      <c r="J39">
        <f>100*402854/1288411</f>
        <v>31.267507029977235</v>
      </c>
      <c r="K39">
        <f>100*306843/1170713</f>
        <v>26.2099250627609</v>
      </c>
      <c r="L39">
        <f>IF(COUNT(J39:K39)=2,K39-J39,"")</f>
        <v>-5.057581967216336</v>
      </c>
      <c r="O39">
        <v>1</v>
      </c>
      <c r="P39">
        <v>0</v>
      </c>
      <c r="Q39">
        <f>100*88041/674269</f>
        <v>13.057251631025599</v>
      </c>
      <c r="R39">
        <f>100*109570/720682</f>
        <v>15.203654316328144</v>
      </c>
      <c r="S39">
        <f>IF(COUNT(Q39:R39)=2,R39-Q39,"")</f>
        <v>2.1464026853025455</v>
      </c>
    </row>
    <row r="40" spans="1:19" x14ac:dyDescent="0.3">
      <c r="A40">
        <v>2</v>
      </c>
      <c r="B40">
        <v>1</v>
      </c>
      <c r="C40">
        <f>100*767234/1849227</f>
        <v>41.489443967668656</v>
      </c>
      <c r="D40">
        <f>100*409457/1519491</f>
        <v>26.946984220373796</v>
      </c>
      <c r="E40">
        <f>IF(COUNT(C40:D40)=2,D40-C40,"")</f>
        <v>-14.54245974729486</v>
      </c>
      <c r="H40">
        <v>2</v>
      </c>
      <c r="I40">
        <v>1</v>
      </c>
      <c r="J40">
        <f>100*573780/1506160</f>
        <v>38.095554257183835</v>
      </c>
      <c r="K40">
        <f>100*431884/1727252</f>
        <v>25.0041105756427</v>
      </c>
      <c r="L40">
        <f>IF(COUNT(J40:K40)=2,K40-J40,"")</f>
        <v>-13.091443681541136</v>
      </c>
      <c r="O40">
        <v>2</v>
      </c>
      <c r="P40">
        <v>1</v>
      </c>
      <c r="Q40">
        <f>100*291073/995685</f>
        <v>29.233442303539775</v>
      </c>
      <c r="R40">
        <f>100*367925/1273092</f>
        <v>28.9001109110732</v>
      </c>
      <c r="S40">
        <f>IF(COUNT(Q40:R40)=2,R40-Q40,"")</f>
        <v>-0.33333139246657595</v>
      </c>
    </row>
    <row r="41" spans="1:19" x14ac:dyDescent="0.3">
      <c r="A41">
        <v>3</v>
      </c>
      <c r="B41">
        <v>2</v>
      </c>
      <c r="C41">
        <f>100*647494/1597730</f>
        <v>40.525871079594175</v>
      </c>
      <c r="D41">
        <f>100*704515/1875619</f>
        <v>37.56173295322771</v>
      </c>
      <c r="E41">
        <f>IF(COUNT(C41:D41)=2,D41-C41,"")</f>
        <v>-2.964138126366464</v>
      </c>
      <c r="H41">
        <v>3</v>
      </c>
      <c r="I41">
        <v>2</v>
      </c>
      <c r="J41">
        <f>100*646730/1702231</f>
        <v>37.99308084507919</v>
      </c>
      <c r="K41">
        <f>100*166412/1209266</f>
        <v>13.761405679147517</v>
      </c>
      <c r="L41">
        <f>IF(COUNT(J41:K41)=2,K41-J41,"")</f>
        <v>-24.231675165931676</v>
      </c>
      <c r="O41">
        <v>3</v>
      </c>
      <c r="P41">
        <v>2</v>
      </c>
      <c r="Q41">
        <f>100*505429/1286969</f>
        <v>39.272818537198646</v>
      </c>
      <c r="R41">
        <f>100*440492/1452238</f>
        <v>30.331942835816168</v>
      </c>
      <c r="S41">
        <f>IF(COUNT(Q41:R41)=2,R41-Q41,"")</f>
        <v>-8.940875701382478</v>
      </c>
    </row>
    <row r="42" spans="1:19" x14ac:dyDescent="0.3">
      <c r="A42">
        <v>4</v>
      </c>
      <c r="B42">
        <v>3</v>
      </c>
      <c r="C42">
        <f>100*45060/760183</f>
        <v>5.927520083979778</v>
      </c>
      <c r="D42">
        <f>100*11496/660463</f>
        <v>1.7405971265612155</v>
      </c>
      <c r="E42">
        <f>IF(COUNT(C42:D42)=2,D42-C42,"")</f>
        <v>-4.186922957418563</v>
      </c>
      <c r="H42">
        <v>4</v>
      </c>
      <c r="I42">
        <v>3</v>
      </c>
      <c r="J42">
        <f>100*44764/778520</f>
        <v>5.749884396033499</v>
      </c>
      <c r="K42">
        <f>100*212985/1039161</f>
        <v>20.495861565243498</v>
      </c>
      <c r="L42">
        <f>IF(COUNT(J42:K42)=2,K42-J42,"")</f>
        <v>14.745977169209999</v>
      </c>
      <c r="O42">
        <v>4</v>
      </c>
      <c r="P42">
        <v>3</v>
      </c>
      <c r="Q42">
        <f>100*589890/1404698</f>
        <v>41.9940798662773</v>
      </c>
      <c r="R42">
        <f>100*680796/1631958</f>
        <v>41.71651476324758</v>
      </c>
      <c r="S42">
        <f>IF(COUNT(Q42:R42)=2,R42-Q42,"")</f>
        <v>-0.2775651030297226</v>
      </c>
    </row>
    <row r="43" spans="1:19" x14ac:dyDescent="0.3">
      <c r="A43">
        <v>5</v>
      </c>
      <c r="B43">
        <v>4</v>
      </c>
      <c r="C43">
        <f>100*964627/2043023</f>
        <v>47.21567011237759</v>
      </c>
      <c r="D43">
        <f>100*599765/1803169</f>
        <v>33.261718674178624</v>
      </c>
      <c r="E43">
        <f>IF(COUNT(C43:D43)=2,D43-C43,"")</f>
        <v>-13.953951438198963</v>
      </c>
      <c r="H43">
        <v>5</v>
      </c>
      <c r="I43">
        <v>4</v>
      </c>
      <c r="J43">
        <f>100*942269/2236809</f>
        <v>42.12559051756319</v>
      </c>
      <c r="K43">
        <f>100*609023/1686473</f>
        <v>36.11222948721978</v>
      </c>
      <c r="L43">
        <f>IF(COUNT(J43:K43)=2,K43-J43,"")</f>
        <v>-6.013361030343411</v>
      </c>
      <c r="O43">
        <v>5</v>
      </c>
      <c r="P43">
        <v>4</v>
      </c>
      <c r="Q43">
        <f>100*141535/798132</f>
        <v>17.73328221396962</v>
      </c>
      <c r="R43">
        <f>100*7003/597070</f>
        <v>1.1728943005007788</v>
      </c>
      <c r="S43">
        <f>IF(COUNT(Q43:R43)=2,R43-Q43,"")</f>
        <v>-16.56038791346884</v>
      </c>
    </row>
    <row r="44" spans="1:19" x14ac:dyDescent="0.3">
      <c r="A44">
        <v>6</v>
      </c>
      <c r="B44">
        <v>5</v>
      </c>
      <c r="C44">
        <f>100*200146/1105970</f>
        <v>18.09687423709504</v>
      </c>
      <c r="D44">
        <f>100*93465/1082518</f>
        <v>8.634036570292595</v>
      </c>
      <c r="E44">
        <f>IF(COUNT(C44:D44)=2,D44-C44,"")</f>
        <v>-9.462837666802445</v>
      </c>
      <c r="H44">
        <v>6</v>
      </c>
      <c r="I44">
        <v>5</v>
      </c>
      <c r="J44">
        <f>100*712109/1711457</f>
        <v>41.60834890973013</v>
      </c>
      <c r="K44">
        <f>100*419626/1428602</f>
        <v>29.373191413703747</v>
      </c>
      <c r="L44">
        <f>IF(COUNT(J44:K44)=2,K44-J44,"")</f>
        <v>-12.235157496026385</v>
      </c>
      <c r="O44">
        <v>6</v>
      </c>
      <c r="P44">
        <v>5</v>
      </c>
      <c r="Q44">
        <f>100*603941/1377183</f>
        <v>43.8533586313511</v>
      </c>
      <c r="R44">
        <f>100*393376/1250816</f>
        <v>31.449549733933686</v>
      </c>
      <c r="S44">
        <f>IF(COUNT(Q44:R44)=2,R44-Q44,"")</f>
        <v>-12.403808897417413</v>
      </c>
    </row>
    <row r="45" spans="1:19" x14ac:dyDescent="0.3">
      <c r="A45">
        <v>7</v>
      </c>
      <c r="B45">
        <v>6</v>
      </c>
      <c r="C45">
        <f>100*18395/700580</f>
        <v>2.6256815781209855</v>
      </c>
      <c r="D45">
        <f>100*112829/794098</f>
        <v>14.208447823820233</v>
      </c>
      <c r="E45">
        <f>IF(COUNT(C45:D45)=2,D45-C45,"")</f>
        <v>11.582766245699247</v>
      </c>
      <c r="H45">
        <v>7</v>
      </c>
      <c r="I45">
        <v>6</v>
      </c>
      <c r="J45">
        <f>100*1624/545527</f>
        <v>0.2976937896749382</v>
      </c>
      <c r="K45">
        <f>100*1624/545527</f>
        <v>0.2976937896749382</v>
      </c>
      <c r="L45">
        <f>IF(COUNT(J45:K45)=2,K45-J45,"")</f>
        <v>0.0</v>
      </c>
      <c r="O45">
        <v>7</v>
      </c>
      <c r="P45">
        <v>6</v>
      </c>
      <c r="Q45">
        <f>100*672106/1493090</f>
        <v>45.01443315540256</v>
      </c>
      <c r="R45">
        <f>100*423696/1304278</f>
        <v>32.48509903563504</v>
      </c>
      <c r="S45">
        <f>IF(COUNT(Q45:R45)=2,R45-Q45,"")</f>
        <v>-12.529334119767519</v>
      </c>
    </row>
    <row r="46" spans="1:19" x14ac:dyDescent="0.3">
      <c r="A46">
        <v>8</v>
      </c>
      <c r="B46">
        <v>7</v>
      </c>
      <c r="C46">
        <f>100*20606/505497</f>
        <v>4.076384231756074</v>
      </c>
      <c r="D46">
        <f>100*41553/678714</f>
        <v>6.1223136696752976</v>
      </c>
      <c r="E46">
        <f>IF(COUNT(C46:D46)=2,D46-C46,"")</f>
        <v>2.0459294379192237</v>
      </c>
      <c r="H46">
        <v>8</v>
      </c>
      <c r="I46">
        <v>7</v>
      </c>
      <c r="J46">
        <f>100*2064/453926</f>
        <v>0.45469966470305734</v>
      </c>
      <c r="K46">
        <f>100*2064/453926</f>
        <v>0.45469966470305734</v>
      </c>
      <c r="L46">
        <f>IF(COUNT(J46:K46)=2,K46-J46,"")</f>
        <v>0.0</v>
      </c>
      <c r="O46">
        <v>8</v>
      </c>
      <c r="P46">
        <v>7</v>
      </c>
      <c r="Q46">
        <f>100*703275/1703373</f>
        <v>41.28719898695118</v>
      </c>
      <c r="R46">
        <f>100*443074/1406882</f>
        <v>31.493330641802228</v>
      </c>
      <c r="S46">
        <f>IF(COUNT(Q46:R46)=2,R46-Q46,"")</f>
        <v>-9.793868345148955</v>
      </c>
    </row>
    <row r="47" spans="1:19" x14ac:dyDescent="0.3">
      <c r="A47">
        <v>9</v>
      </c>
      <c r="B47">
        <v>8</v>
      </c>
      <c r="C47">
        <f>100*929076/2063992</f>
        <v>45.01354656413397</v>
      </c>
      <c r="D47">
        <f>100*586881/1745576</f>
        <v>33.621051160190106</v>
      </c>
      <c r="E47">
        <f>IF(COUNT(C47:D47)=2,D47-C47,"")</f>
        <v>-11.392495403943862</v>
      </c>
      <c r="H47">
        <v>9</v>
      </c>
      <c r="I47">
        <v>8</v>
      </c>
      <c r="J47">
        <f>100*779177/1827411</f>
        <v>42.63830085295535</v>
      </c>
      <c r="K47">
        <f>100*445979/1364820</f>
        <v>32.67676323617766</v>
      </c>
      <c r="L47">
        <f>IF(COUNT(J47:K47)=2,K47-J47,"")</f>
        <v>-9.96153761677769</v>
      </c>
      <c r="O47">
        <v>9</v>
      </c>
      <c r="P47">
        <v>8</v>
      </c>
      <c r="Q47">
        <f>100*785425/1662476</f>
        <v>47.244291045404566</v>
      </c>
      <c r="R47">
        <f>100*553186/1479858</f>
        <v>37.38101898965982</v>
      </c>
      <c r="S47">
        <f>IF(COUNT(Q47:R47)=2,R47-Q47,"")</f>
        <v>-9.863272055744744</v>
      </c>
    </row>
    <row r="48" spans="1:19" x14ac:dyDescent="0.3">
      <c r="A48">
        <v>10</v>
      </c>
      <c r="B48">
        <v>9</v>
      </c>
      <c r="C48">
        <f>100*401887/1367048</f>
        <v>29.39816304913946</v>
      </c>
      <c r="D48">
        <f>100*384458/1419583</f>
        <v>27.082460130897594</v>
      </c>
      <c r="E48">
        <f>IF(COUNT(C48:D48)=2,D48-C48,"")</f>
        <v>-2.3157029182418647</v>
      </c>
      <c r="H48">
        <v>10</v>
      </c>
      <c r="I48">
        <v>9</v>
      </c>
      <c r="J48">
        <f>100*872985/1990559</f>
        <v>43.85627353924199</v>
      </c>
      <c r="K48">
        <f>100*283631/1176071</f>
        <v>24.116826280046016</v>
      </c>
      <c r="L48">
        <f>IF(COUNT(J48:K48)=2,K48-J48,"")</f>
        <v>-19.739447259195973</v>
      </c>
      <c r="O48">
        <v>10</v>
      </c>
      <c r="P48">
        <v>9</v>
      </c>
      <c r="Q48">
        <f>100*317010/1082800</f>
        <v>29.276874769117104</v>
      </c>
      <c r="R48">
        <f>100*8129/527300</f>
        <v>1.541627157216006</v>
      </c>
      <c r="S48">
        <f>IF(COUNT(Q48:R48)=2,R48-Q48,"")</f>
        <v>-27.735247611901098</v>
      </c>
    </row>
    <row r="49" spans="1:19" x14ac:dyDescent="0.3">
      <c r="A49">
        <v>11</v>
      </c>
      <c r="B49">
        <v>10</v>
      </c>
      <c r="C49">
        <f>100*705082/1682816</f>
        <v>41.898936069065186</v>
      </c>
      <c r="D49">
        <f>100*485198/1536200</f>
        <v>31.584298919411534</v>
      </c>
      <c r="E49">
        <f>IF(COUNT(C49:D49)=2,D49-C49,"")</f>
        <v>-10.314637149653652</v>
      </c>
      <c r="H49">
        <v>11</v>
      </c>
      <c r="I49">
        <v>10</v>
      </c>
      <c r="J49">
        <f>100*582667/1702410</f>
        <v>34.22600901075534</v>
      </c>
      <c r="K49">
        <f>100*151076/1026506</f>
        <v>14.717497998063333</v>
      </c>
      <c r="L49">
        <f>IF(COUNT(J49:K49)=2,K49-J49,"")</f>
        <v>-19.508511012692008</v>
      </c>
      <c r="O49">
        <v>11</v>
      </c>
      <c r="P49">
        <v>10</v>
      </c>
      <c r="Q49">
        <f>100*610513/1430887</f>
        <v>42.666751462554345</v>
      </c>
      <c r="R49">
        <f>100*595732/1531271</f>
        <v>38.9044133925347</v>
      </c>
      <c r="S49">
        <f>IF(COUNT(Q49:R49)=2,R49-Q49,"")</f>
        <v>-3.762338070019645</v>
      </c>
    </row>
    <row r="50" spans="1:19" x14ac:dyDescent="0.3">
      <c r="A50">
        <v>12</v>
      </c>
      <c r="B50">
        <v>11</v>
      </c>
      <c r="C50">
        <f>100*661603/1691906</f>
        <v>39.10400459600002</v>
      </c>
      <c r="D50">
        <f>100*227562/1176318</f>
        <v>19.345279082697026</v>
      </c>
      <c r="E50">
        <f>IF(COUNT(C50:D50)=2,D50-C50,"")</f>
        <v>-19.75872551330299</v>
      </c>
      <c r="H50">
        <v>12</v>
      </c>
      <c r="I50">
        <v>11</v>
      </c>
      <c r="J50">
        <f>100*2109/16409</f>
        <v>12.85270278505698</v>
      </c>
      <c r="K50">
        <f>100*373450/1482836</f>
        <v>25.18484849302283</v>
      </c>
      <c r="L50">
        <f>IF(COUNT(J50:K50)=2,K50-J50,"")</f>
        <v>12.33214570796585</v>
      </c>
      <c r="O50">
        <v>12</v>
      </c>
      <c r="P50">
        <v>11</v>
      </c>
      <c r="Q50">
        <f>100*565746/1449544</f>
        <v>39.029239540158834</v>
      </c>
      <c r="R50">
        <f>100*502798/1458933</f>
        <v>34.46340579039613</v>
      </c>
      <c r="S50">
        <f>IF(COUNT(Q50:R50)=2,R50-Q50,"")</f>
        <v>-4.565833749762703</v>
      </c>
    </row>
    <row r="51" spans="1:19" x14ac:dyDescent="0.3">
      <c r="A51">
        <v>13</v>
      </c>
      <c r="B51">
        <v>12</v>
      </c>
      <c r="C51">
        <f>100*13444/609443</f>
        <v>2.20594871054389</v>
      </c>
      <c r="D51">
        <f>100*31925/805122</f>
        <v>3.965237566480608</v>
      </c>
      <c r="E51">
        <f>IF(COUNT(C51:D51)=2,D51-C51,"")</f>
        <v>1.7592888559367177</v>
      </c>
      <c r="H51">
        <v>13</v>
      </c>
      <c r="I51">
        <v>12</v>
      </c>
      <c r="J51">
        <f>100*78998/737547</f>
        <v>10.710910626712602</v>
      </c>
      <c r="K51">
        <f>100*55687/729825</f>
        <v>7.630185318398246</v>
      </c>
      <c r="L51">
        <f>IF(COUNT(J51:K51)=2,K51-J51,"")</f>
        <v>-3.0807253083143555</v>
      </c>
      <c r="O51">
        <v>13</v>
      </c>
      <c r="P51">
        <v>12</v>
      </c>
      <c r="Q51">
        <f>100*653960/1481691</f>
        <v>44.136058057989146</v>
      </c>
      <c r="R51">
        <f>100*625422/1587442</f>
        <v>39.39810084399934</v>
      </c>
      <c r="S51">
        <f>IF(COUNT(Q51:R51)=2,R51-Q51,"")</f>
        <v>-4.737957213989809</v>
      </c>
    </row>
    <row r="52" spans="1:19" x14ac:dyDescent="0.3">
      <c r="A52">
        <v>14</v>
      </c>
      <c r="B52">
        <v>13</v>
      </c>
      <c r="C52">
        <f>100*183005/843268</f>
        <v>21.701878880735425</v>
      </c>
      <c r="D52">
        <f>100*80063/738226</f>
        <v>10.845323789733767</v>
      </c>
      <c r="E52">
        <f>IF(COUNT(C52:D52)=2,D52-C52,"")</f>
        <v>-10.856555091001658</v>
      </c>
      <c r="H52">
        <v>14</v>
      </c>
      <c r="I52">
        <v>13</v>
      </c>
      <c r="J52">
        <f>100*450919/1374273</f>
        <v>32.811457403296146</v>
      </c>
      <c r="K52">
        <f>100*337636/1224940</f>
        <v>27.56347249661208</v>
      </c>
      <c r="L52">
        <f>IF(COUNT(J52:K52)=2,K52-J52,"")</f>
        <v>-5.247984906684067</v>
      </c>
      <c r="O52">
        <v>14</v>
      </c>
      <c r="P52">
        <v>13</v>
      </c>
      <c r="Q52">
        <f>100*1624/402681</f>
        <v>0.40329690251092054</v>
      </c>
      <c r="R52">
        <f>100*1624/402681</f>
        <v>0.40329690251092054</v>
      </c>
      <c r="S52">
        <f>IF(COUNT(Q52:R52)=2,R52-Q52,"")</f>
        <v>0.0</v>
      </c>
    </row>
    <row r="53" spans="1:19" x14ac:dyDescent="0.3">
      <c r="A53">
        <v>15</v>
      </c>
      <c r="B53">
        <v>14</v>
      </c>
      <c r="C53">
        <f>100*855788/1778828</f>
        <v>48.10965422176849</v>
      </c>
      <c r="D53">
        <f>100*513561/1764299</f>
        <v>29.108501450151024</v>
      </c>
      <c r="E53">
        <f>IF(COUNT(C53:D53)=2,D53-C53,"")</f>
        <v>-19.001152771617463</v>
      </c>
      <c r="H53">
        <v>15</v>
      </c>
      <c r="I53">
        <v>14</v>
      </c>
      <c r="J53">
        <f>100*381484/1238884</f>
        <v>30.792552006483255</v>
      </c>
      <c r="K53">
        <f>100*376593/1400052</f>
        <v>26.898500912823238</v>
      </c>
      <c r="L53">
        <f>IF(COUNT(J53:K53)=2,K53-J53,"")</f>
        <v>-3.8940510936600177</v>
      </c>
      <c r="O53">
        <v>15</v>
      </c>
      <c r="P53">
        <v>14</v>
      </c>
      <c r="Q53">
        <f>100*373593/1196320</f>
        <v>31.22851745352414</v>
      </c>
      <c r="R53">
        <f>100*606818/1494611</f>
        <v>40.600397026383455</v>
      </c>
      <c r="S53">
        <f>IF(COUNT(Q53:R53)=2,R53-Q53,"")</f>
        <v>9.371879572859314</v>
      </c>
    </row>
    <row r="54" spans="1:19" x14ac:dyDescent="0.3">
      <c r="A54">
        <v>16</v>
      </c>
      <c r="B54">
        <v>15</v>
      </c>
      <c r="C54">
        <f>100*888567/1959716</f>
        <v>45.34162092874682</v>
      </c>
      <c r="D54">
        <f>100*114640/862758</f>
        <v>13.287619471508812</v>
      </c>
      <c r="E54">
        <f>IF(COUNT(C54:D54)=2,D54-C54,"")</f>
        <v>-32.05400145723801</v>
      </c>
      <c r="H54">
        <v>16</v>
      </c>
      <c r="I54">
        <v>15</v>
      </c>
      <c r="J54">
        <f>100*600755/1390841</f>
        <v>43.19365046040489</v>
      </c>
      <c r="K54">
        <f>100*208381/1127978</f>
        <v>18.4738532134492</v>
      </c>
      <c r="L54">
        <f>IF(COUNT(J54:K54)=2,K54-J54,"")</f>
        <v>-24.71979724695569</v>
      </c>
      <c r="O54">
        <v>16</v>
      </c>
      <c r="P54">
        <v>15</v>
      </c>
      <c r="Q54">
        <f>100*595830/1410973</f>
        <v>42.22830628226054</v>
      </c>
      <c r="R54">
        <f>100*551090/1522649</f>
        <v>36.19284549492365</v>
      </c>
      <c r="S54">
        <f>IF(COUNT(Q54:R54)=2,R54-Q54,"")</f>
        <v>-6.035460787336888</v>
      </c>
    </row>
    <row r="55" spans="1:19" x14ac:dyDescent="0.3">
      <c r="A55">
        <v>17</v>
      </c>
      <c r="B55">
        <v>16</v>
      </c>
      <c r="C55">
        <f>100*543691/1545910</f>
        <v>35.1696411822163</v>
      </c>
      <c r="D55">
        <f>100*679206/1841583</f>
        <v>36.881639328773126</v>
      </c>
      <c r="E55">
        <f>IF(COUNT(C55:D55)=2,D55-C55,"")</f>
        <v>1.711998146556823</v>
      </c>
      <c r="H55">
        <v>17</v>
      </c>
      <c r="I55">
        <v>16</v>
      </c>
      <c r="J55">
        <f>100*627913/1725883</f>
        <v>36.38213019074873</v>
      </c>
      <c r="K55">
        <f>100*385616/1504906</f>
        <v>25.62392601265461</v>
      </c>
      <c r="L55">
        <f>IF(COUNT(J55:K55)=2,K55-J55,"")</f>
        <v>-10.758204178094122</v>
      </c>
      <c r="O55">
        <v>17</v>
      </c>
      <c r="P55">
        <v>16</v>
      </c>
      <c r="Q55">
        <f>100*6486/400160</f>
        <v>1.6208516593362654</v>
      </c>
      <c r="R55">
        <f>100*8104/415663</f>
        <v>1.949656332172938</v>
      </c>
      <c r="S55">
        <f>IF(COUNT(Q55:R55)=2,R55-Q55,"")</f>
        <v>0.3288046728366727</v>
      </c>
    </row>
    <row r="56" spans="1:19" x14ac:dyDescent="0.3">
      <c r="A56">
        <v>18</v>
      </c>
      <c r="B56">
        <v>17</v>
      </c>
      <c r="C56">
        <f>100*889308/1891000</f>
        <v>47.02845055526176</v>
      </c>
      <c r="D56">
        <f>100*186195/1084340</f>
        <v>17.171274692439642</v>
      </c>
      <c r="E56">
        <f>IF(COUNT(C56:D56)=2,D56-C56,"")</f>
        <v>-29.85717586282212</v>
      </c>
      <c r="H56">
        <v>18</v>
      </c>
      <c r="I56">
        <v>17</v>
      </c>
      <c r="J56">
        <f>100*355/2215</f>
        <v>16.02708803611738</v>
      </c>
      <c r="K56">
        <f>100*699724/1850478</f>
        <v>37.813148818845725</v>
      </c>
      <c r="L56">
        <f>IF(COUNT(J56:K56)=2,K56-J56,"")</f>
        <v>21.786060782728345</v>
      </c>
      <c r="O56">
        <v>18</v>
      </c>
      <c r="P56">
        <v>17</v>
      </c>
      <c r="Q56">
        <f>100*78465/548560</f>
        <v>14.303813621117106</v>
      </c>
      <c r="R56">
        <f>100*85799/574671</f>
        <v>14.930107835613768</v>
      </c>
      <c r="S56">
        <f>IF(COUNT(Q56:R56)=2,R56-Q56,"")</f>
        <v>0.6262942144966619</v>
      </c>
    </row>
    <row r="57" spans="1:19" x14ac:dyDescent="0.3">
      <c r="A57">
        <v>19</v>
      </c>
      <c r="B57">
        <v>18</v>
      </c>
      <c r="C57">
        <f>100*419048/1297589</f>
        <v>32.294355146352196</v>
      </c>
      <c r="D57">
        <f>100*238648/1058982</f>
        <v>22.53560494890376</v>
      </c>
      <c r="E57">
        <f>IF(COUNT(C57:D57)=2,D57-C57,"")</f>
        <v>-9.758750197448435</v>
      </c>
      <c r="H57">
        <v>19</v>
      </c>
      <c r="I57">
        <v>18</v>
      </c>
      <c r="J57">
        <f>100*451032/1332344</f>
        <v>33.85251856877803</v>
      </c>
      <c r="K57">
        <f>100*291848/1255508</f>
        <v>23.245411419122778</v>
      </c>
      <c r="L57">
        <f>IF(COUNT(J57:K57)=2,K57-J57,"")</f>
        <v>-10.607107149655253</v>
      </c>
      <c r="O57">
        <v>19</v>
      </c>
      <c r="P57">
        <v>18</v>
      </c>
      <c r="Q57">
        <f>100*644704/1630522</f>
        <v>39.53973022136469</v>
      </c>
      <c r="R57">
        <f>100*709162/1748996</f>
        <v>40.54680513849088</v>
      </c>
      <c r="S57">
        <f>IF(COUNT(Q57:R57)=2,R57-Q57,"")</f>
        <v>1.0070749171261895</v>
      </c>
    </row>
    <row r="58" spans="1:19" x14ac:dyDescent="0.3">
      <c r="A58">
        <v>20</v>
      </c>
      <c r="B58">
        <v>19</v>
      </c>
      <c r="C58">
        <f>100*679956/1609329</f>
        <v>42.250900841282295</v>
      </c>
      <c r="D58">
        <f>100*243042/1132759</f>
        <v>21.455755372502008</v>
      </c>
      <c r="E58">
        <f>IF(COUNT(C58:D58)=2,D58-C58,"")</f>
        <v>-20.795145468780287</v>
      </c>
      <c r="H58">
        <v>20</v>
      </c>
      <c r="I58">
        <v>19</v>
      </c>
      <c r="J58">
        <f>100*854529/1945718</f>
        <v>43.918440390642424</v>
      </c>
      <c r="K58">
        <f>100*400361/1318661</f>
        <v>30.361176981801993</v>
      </c>
      <c r="L58">
        <f>IF(COUNT(J58:K58)=2,K58-J58,"")</f>
        <v>-13.55726340884043</v>
      </c>
      <c r="O58">
        <v>20</v>
      </c>
      <c r="P58">
        <v>19</v>
      </c>
      <c r="Q58">
        <f>100*668214/1556077</f>
        <v>42.94221944029762</v>
      </c>
      <c r="R58">
        <f>100*456340/1346561</f>
        <v>33.88929279846958</v>
      </c>
      <c r="S58">
        <f>IF(COUNT(Q58:R58)=2,R58-Q58,"")</f>
        <v>-9.052926641828037</v>
      </c>
    </row>
    <row r="59" spans="1:19" x14ac:dyDescent="0.3">
      <c r="A59">
        <v>21</v>
      </c>
      <c r="B59">
        <v>20</v>
      </c>
      <c r="C59">
        <f>100*775725/1847570</f>
        <v>41.98623056230616</v>
      </c>
      <c r="D59">
        <f>100*570286/1781113</f>
        <v>32.01851875765322</v>
      </c>
      <c r="E59">
        <f>IF(COUNT(C59:D59)=2,D59-C59,"")</f>
        <v>-9.967711804652943</v>
      </c>
      <c r="H59">
        <v>21</v>
      </c>
      <c r="I59">
        <v>20</v>
      </c>
      <c r="J59">
        <f>100*708159/1885839</f>
        <v>37.5514028504024</v>
      </c>
      <c r="K59">
        <f>100*348257/1448516</f>
        <v>24.042330219341725</v>
      </c>
      <c r="L59">
        <f>IF(COUNT(J59:K59)=2,K59-J59,"")</f>
        <v>-13.509072631060672</v>
      </c>
      <c r="O59">
        <v>21</v>
      </c>
      <c r="P59">
        <v>20</v>
      </c>
      <c r="Q59">
        <f>100*370589/1143839</f>
        <v>32.39870296431578</v>
      </c>
      <c r="R59">
        <f>100*375798/1186370</f>
        <v>31.6762898589816</v>
      </c>
      <c r="S59">
        <f>IF(COUNT(Q59:R59)=2,R59-Q59,"")</f>
        <v>-0.72241310533418</v>
      </c>
    </row>
    <row r="60" spans="1:19" x14ac:dyDescent="0.3">
      <c r="A60">
        <v>22</v>
      </c>
      <c r="B60">
        <v>21</v>
      </c>
      <c r="C60">
        <f>100*654996/1913846</f>
        <v>34.22407027524681</v>
      </c>
      <c r="D60">
        <f>100*731868/2016615</f>
        <v>36.291904999218985</v>
      </c>
      <c r="E60">
        <f>IF(COUNT(C60:D60)=2,D60-C60,"")</f>
        <v>2.067834723972176</v>
      </c>
      <c r="H60">
        <v>22</v>
      </c>
      <c r="I60">
        <v>21</v>
      </c>
      <c r="J60">
        <f>100*858363/1916826</f>
        <v>44.78043390479887</v>
      </c>
      <c r="K60">
        <f>100*317009/1124647</f>
        <v>28.187422364528604</v>
      </c>
      <c r="L60">
        <f>IF(COUNT(J60:K60)=2,K60-J60,"")</f>
        <v>-16.593011540270265</v>
      </c>
      <c r="O60">
        <v>22</v>
      </c>
      <c r="P60">
        <v>21</v>
      </c>
      <c r="Q60">
        <f>100*754527/1680084</f>
        <v>44.91007592477519</v>
      </c>
      <c r="R60">
        <f>100*524810/1430211</f>
        <v>36.694585624079245</v>
      </c>
      <c r="S60">
        <f>IF(COUNT(Q60:R60)=2,R60-Q60,"")</f>
        <v>-8.215490300695947</v>
      </c>
    </row>
    <row r="61" spans="1:19" x14ac:dyDescent="0.3">
      <c r="A61">
        <v>23</v>
      </c>
      <c r="B61">
        <v>22</v>
      </c>
      <c r="C61">
        <f>100*604684/1725077</f>
        <v>35.052580261634695</v>
      </c>
      <c r="D61">
        <f>100*789854/2011815</f>
        <v>39.260767018836226</v>
      </c>
      <c r="E61">
        <f>IF(COUNT(C61:D61)=2,D61-C61,"")</f>
        <v>4.208186757201531</v>
      </c>
      <c r="H61">
        <v>23</v>
      </c>
      <c r="I61">
        <v>22</v>
      </c>
      <c r="J61">
        <f>100*941313/1944636</f>
        <v>48.40561421263414</v>
      </c>
      <c r="K61">
        <f>100*690336/1907090</f>
        <v>36.198396509865816</v>
      </c>
      <c r="L61">
        <f>IF(COUNT(J61:K61)=2,K61-J61,"")</f>
        <v>-12.207217702768325</v>
      </c>
      <c r="O61">
        <v>23</v>
      </c>
      <c r="P61">
        <v>22</v>
      </c>
      <c r="Q61">
        <f>100*844/356205</f>
        <v>0.236942210244101</v>
      </c>
      <c r="R61">
        <f>100*844/356205</f>
        <v>0.236942210244101</v>
      </c>
      <c r="S61">
        <f>IF(COUNT(Q61:R61)=2,R61-Q61,"")</f>
        <v>0.0</v>
      </c>
    </row>
    <row r="62" spans="1:19" x14ac:dyDescent="0.3">
      <c r="A62">
        <v>24</v>
      </c>
      <c r="B62">
        <v>23</v>
      </c>
      <c r="C62">
        <f>100*344998/1193986</f>
        <v>28.894643655788258</v>
      </c>
      <c r="D62">
        <f>100*329592/1271606</f>
        <v>25.91934923238802</v>
      </c>
      <c r="E62">
        <f>IF(COUNT(C62:D62)=2,D62-C62,"")</f>
        <v>-2.975294423400239</v>
      </c>
      <c r="H62">
        <v>24</v>
      </c>
      <c r="I62">
        <v>23</v>
      </c>
      <c r="J62">
        <f>100*792417/1775752</f>
        <v>44.62430564628394</v>
      </c>
      <c r="K62">
        <f>100*599347/1810246</f>
        <v>33.10859408058352</v>
      </c>
      <c r="L62">
        <f>IF(COUNT(J62:K62)=2,K62-J62,"")</f>
        <v>-11.515711565700421</v>
      </c>
      <c r="O62">
        <v>24</v>
      </c>
      <c r="P62">
        <v>23</v>
      </c>
      <c r="Q62">
        <f>100*197250/941831</f>
        <v>20.94324778012191</v>
      </c>
      <c r="R62">
        <f>100*19361/524837</f>
        <v>3.6889548564601964</v>
      </c>
      <c r="S62">
        <f>IF(COUNT(Q62:R62)=2,R62-Q62,"")</f>
        <v>-17.254292923661716</v>
      </c>
    </row>
    <row r="63" spans="1:19" x14ac:dyDescent="0.3">
      <c r="A63">
        <v>25</v>
      </c>
      <c r="B63">
        <v>24</v>
      </c>
      <c r="C63">
        <f>100*768464/1759518</f>
        <v>43.67468818164975</v>
      </c>
      <c r="D63">
        <f>100*525467/1682586</f>
        <v>31.229726147727366</v>
      </c>
      <c r="E63">
        <f>IF(COUNT(C63:D63)=2,D63-C63,"")</f>
        <v>-12.444962033922383</v>
      </c>
      <c r="H63">
        <v>25</v>
      </c>
      <c r="I63">
        <v>24</v>
      </c>
      <c r="J63">
        <f>100*708043/1588574</f>
        <v>44.57098001100358</v>
      </c>
      <c r="K63">
        <f>100*14978/511610</f>
        <v>2.9276206485408807</v>
      </c>
      <c r="L63">
        <f>IF(COUNT(J63:K63)=2,K63-J63,"")</f>
        <v>-41.6433593624627</v>
      </c>
      <c r="O63">
        <v>25</v>
      </c>
      <c r="P63">
        <v>24</v>
      </c>
      <c r="Q63">
        <f>100*339441/1160878</f>
        <v>29.240023499454722</v>
      </c>
      <c r="R63">
        <f>100*396616/1211298</f>
        <v>32.743057447465446</v>
      </c>
      <c r="S63">
        <f>IF(COUNT(Q63:R63)=2,R63-Q63,"")</f>
        <v>3.5030339480107244</v>
      </c>
    </row>
    <row r="64" spans="1:19" x14ac:dyDescent="0.3">
      <c r="A64">
        <v>26</v>
      </c>
      <c r="B64">
        <v>25</v>
      </c>
      <c r="C64">
        <f>100*872598/1965096</f>
        <v>44.40485350334029</v>
      </c>
      <c r="D64">
        <f>100*418200/1556407</f>
        <v>26.869578458590844</v>
      </c>
      <c r="E64">
        <f>IF(COUNT(C64:D64)=2,D64-C64,"")</f>
        <v>-17.535275044749447</v>
      </c>
      <c r="H64">
        <v>26</v>
      </c>
      <c r="I64">
        <v>25</v>
      </c>
      <c r="J64">
        <f>100*398836/1246025</f>
        <v>32.008667562849865</v>
      </c>
      <c r="K64">
        <f>100*305429/1335297</f>
        <v>22.873488070444253</v>
      </c>
      <c r="L64">
        <f>IF(COUNT(J64:K64)=2,K64-J64,"")</f>
        <v>-9.135179492405612</v>
      </c>
      <c r="O64">
        <v>26</v>
      </c>
      <c r="P64">
        <v>25</v>
      </c>
      <c r="Q64">
        <f>100*775571/1671807</f>
        <v>46.39118032165196</v>
      </c>
      <c r="R64">
        <f>100*580208/1568675</f>
        <v>36.98713882735429</v>
      </c>
      <c r="S64">
        <f>IF(COUNT(Q64:R64)=2,R64-Q64,"")</f>
        <v>-9.404041494297665</v>
      </c>
    </row>
    <row r="65" spans="1:19" x14ac:dyDescent="0.3">
      <c r="A65">
        <v>27</v>
      </c>
      <c r="B65">
        <v>26</v>
      </c>
      <c r="C65">
        <f>100*588879/1713537</f>
        <v>34.36628447474435</v>
      </c>
      <c r="D65">
        <f>100*291990/1392367</f>
        <v>20.97076417352609</v>
      </c>
      <c r="E65">
        <f>IF(COUNT(C65:D65)=2,D65-C65,"")</f>
        <v>-13.395520301218259</v>
      </c>
      <c r="H65">
        <v>27</v>
      </c>
      <c r="I65">
        <v>26</v>
      </c>
      <c r="J65">
        <f>100*537175/1539092</f>
        <v>34.90207213084078</v>
      </c>
      <c r="K65">
        <f>100*424437/1514632</f>
        <v>28.022450337771815</v>
      </c>
      <c r="L65">
        <f>IF(COUNT(J65:K65)=2,K65-J65,"")</f>
        <v>-6.879621793068964</v>
      </c>
      <c r="O65">
        <v>27</v>
      </c>
      <c r="P65">
        <v>26</v>
      </c>
      <c r="Q65">
        <f>100*484579/1297589</f>
        <v>37.34456750172821</v>
      </c>
      <c r="R65">
        <f>100*290163/1080843</f>
        <v>26.845989658072448</v>
      </c>
      <c r="S65">
        <f>IF(COUNT(Q65:R65)=2,R65-Q65,"")</f>
        <v>-10.49857784365576</v>
      </c>
    </row>
    <row r="66" spans="1:19" x14ac:dyDescent="0.3">
      <c r="A66">
        <v>28</v>
      </c>
      <c r="B66">
        <v>27</v>
      </c>
      <c r="C66">
        <f>100*367929/1192094</f>
        <v>30.864092932268765</v>
      </c>
      <c r="D66">
        <f>100*432322/1430760</f>
        <v>30.216248706980906</v>
      </c>
      <c r="E66">
        <f>IF(COUNT(C66:D66)=2,D66-C66,"")</f>
        <v>-0.6478442252878587</v>
      </c>
      <c r="H66">
        <v>28</v>
      </c>
      <c r="I66">
        <v>27</v>
      </c>
      <c r="J66">
        <f>100*531985/1356503</f>
        <v>39.21738470169252</v>
      </c>
      <c r="K66">
        <f>100*593393/1612386</f>
        <v>36.80216771914417</v>
      </c>
      <c r="L66">
        <f>IF(COUNT(J66:K66)=2,K66-J66,"")</f>
        <v>-2.415216982548344</v>
      </c>
      <c r="O66">
        <v>28</v>
      </c>
      <c r="P66">
        <v>27</v>
      </c>
      <c r="Q66">
        <f>100*341/342230</f>
        <v>0.09964059258393478</v>
      </c>
      <c r="R66">
        <f>100*341/342230</f>
        <v>0.09964059258393478</v>
      </c>
      <c r="S66">
        <f>IF(COUNT(Q66:R66)=2,R66-Q66,"")</f>
        <v>0.0</v>
      </c>
    </row>
    <row r="67" spans="1:19" x14ac:dyDescent="0.3">
      <c r="A67">
        <v>29</v>
      </c>
      <c r="B67">
        <v>28</v>
      </c>
      <c r="C67">
        <f>100*656014/1602695</f>
        <v>40.93193027993473</v>
      </c>
      <c r="D67">
        <f>100*664862/1966630</f>
        <v>33.80717267610074</v>
      </c>
      <c r="E67">
        <f>IF(COUNT(C67:D67)=2,D67-C67,"")</f>
        <v>-7.1247576038339915</v>
      </c>
      <c r="H67">
        <v>29</v>
      </c>
      <c r="I67">
        <v>28</v>
      </c>
      <c r="J67">
        <f>100*917947/2006663</f>
        <v>45.74495069675376</v>
      </c>
      <c r="K67">
        <f>100*818260/2146091</f>
        <v>38.12792654179157</v>
      </c>
      <c r="L67">
        <f>IF(COUNT(J67:K67)=2,K67-J67,"")</f>
        <v>-7.617024154962195</v>
      </c>
      <c r="O67">
        <v>29</v>
      </c>
      <c r="P67">
        <v>28</v>
      </c>
      <c r="Q67">
        <f>100*506385/1453010</f>
        <v>34.850758081499784</v>
      </c>
      <c r="R67">
        <f>100*615947/1596591</f>
        <v>38.578884636077746</v>
      </c>
      <c r="S67">
        <f>IF(COUNT(Q67:R67)=2,R67-Q67,"")</f>
        <v>3.728126554577962</v>
      </c>
    </row>
    <row r="68" spans="1:19" x14ac:dyDescent="0.3">
      <c r="A68">
        <v>30</v>
      </c>
      <c r="B68">
        <v>29</v>
      </c>
      <c r="C68">
        <f>100*39372/653286</f>
        <v>6.026763163453679</v>
      </c>
      <c r="D68">
        <f>100*59100/888553</f>
        <v>6.651263346136921</v>
      </c>
      <c r="E68">
        <f>IF(COUNT(C68:D68)=2,D68-C68,"")</f>
        <v>0.6245001826832421</v>
      </c>
      <c r="H68">
        <v>30</v>
      </c>
      <c r="I68">
        <v>29</v>
      </c>
      <c r="J68">
        <f>100*537109/1458999</f>
        <v>36.81352763093052</v>
      </c>
      <c r="K68">
        <f>100*302600/1179755</f>
        <v>25.64939330623731</v>
      </c>
      <c r="L68">
        <f>IF(COUNT(J68:K68)=2,K68-J68,"")</f>
        <v>-11.164134324693212</v>
      </c>
      <c r="O68">
        <v>30</v>
      </c>
      <c r="P68">
        <v>29</v>
      </c>
      <c r="Q68">
        <f>100*609326/1423323</f>
        <v>42.81010002648731</v>
      </c>
      <c r="R68">
        <f>100*395236/1149571</f>
        <v>34.381173498635576</v>
      </c>
      <c r="S68">
        <f>IF(COUNT(Q68:R68)=2,R68-Q68,"")</f>
        <v>-8.428926527851736</v>
      </c>
    </row>
    <row r="69" spans="1:19" x14ac:dyDescent="0.3">
      <c r="A69">
        <v>31</v>
      </c>
      <c r="B69">
        <v>30</v>
      </c>
      <c r="C69">
        <f>100*401250/1230061</f>
        <v>32.62033346313719</v>
      </c>
      <c r="D69">
        <f>100*530838/1618451</f>
        <v>32.79913942405423</v>
      </c>
      <c r="E69">
        <f>IF(COUNT(C69:D69)=2,D69-C69,"")</f>
        <v>0.17880596091703893</v>
      </c>
      <c r="H69">
        <v>31</v>
      </c>
      <c r="I69">
        <v>30</v>
      </c>
      <c r="J69">
        <f>100*589124/1665281</f>
        <v>35.3768523150147</v>
      </c>
      <c r="K69">
        <f>100*554068/1682599</f>
        <v>32.92929569077362</v>
      </c>
      <c r="L69">
        <f>IF(COUNT(J69:K69)=2,K69-J69,"")</f>
        <v>-2.4475566242410807</v>
      </c>
      <c r="O69">
        <v>31</v>
      </c>
      <c r="P69">
        <v>30</v>
      </c>
      <c r="Q69">
        <f>100*1911/646412</f>
        <v>0.2956318880218808</v>
      </c>
      <c r="R69">
        <f>100*1911/646412</f>
        <v>0.2956318880218808</v>
      </c>
      <c r="S69">
        <f>IF(COUNT(Q69:R69)=2,R69-Q69,"")</f>
        <v>0.0</v>
      </c>
    </row>
    <row r="70" spans="1:19" x14ac:dyDescent="0.3">
      <c r="A70" t="s">
        <v>5</v>
      </c>
      <c r="C70">
        <f>IF(COUNT(C39:C69)&gt;0,AVERAGE(C39:C69),"")</f>
        <v>31.6417312238221</v>
      </c>
      <c r="D70">
        <f>IF(COUNT(D39:D69)&gt;0,AVERAGE(D39:D69),"")</f>
        <v>23.68659994264983</v>
      </c>
      <c r="E70">
        <f>IF(COUNT(E39:E69)&gt;0,AVERAGE(E39:E69),"")</f>
        <v>-7.955131281172264</v>
      </c>
      <c r="H70" t="s">
        <v>5</v>
      </c>
      <c r="J70">
        <f>IF(COUNT(J39:J69)&gt;0,AVERAGE(J39:J69),"")</f>
        <v>32.99518015949494</v>
      </c>
      <c r="K70">
        <f>IF(COUNT(K39:K69)&gt;0,AVERAGE(K39:K69),"")</f>
        <v>24.351090771230233</v>
      </c>
      <c r="L70">
        <f>IF(COUNT(L39:L69)&gt;0,AVERAGE(L39:L69),"")</f>
        <v>-8.644089388264716</v>
      </c>
      <c r="O70" t="s">
        <v>5</v>
      </c>
      <c r="Q70">
        <f>IF(COUNT(Q39:Q69)&gt;0,AVERAGE(Q39:Q69),"")</f>
        <v>30.180215695878577</v>
      </c>
      <c r="R70">
        <f>IF(COUNT(R39:R69)&gt;0,AVERAGE(R39:R69),"")</f>
        <v>25.005882365764013</v>
      </c>
      <c r="S70">
        <f>IF(COUNT(S39:S69)&gt;0,AVERAGE(S39:S69),"")</f>
        <v>-5.174333330114561</v>
      </c>
    </row>
    <row r="73" spans="1:19" s="2" customFormat="1" x14ac:dyDescent="0.3">
      <c r="A73" s="1" t="s">
        <v>12</v>
      </c>
      <c r="B73" s="1"/>
      <c r="C73" s="1"/>
      <c r="D73" s="1"/>
      <c r="E73" s="1"/>
      <c r="H73" s="1" t="s">
        <v>13</v>
      </c>
      <c r="I73" s="1"/>
      <c r="J73" s="1"/>
      <c r="K73" s="1"/>
      <c r="L73" s="1"/>
      <c r="O73" s="1" t="s">
        <v>14</v>
      </c>
      <c r="P73" s="1"/>
      <c r="Q73" s="1"/>
      <c r="R73" s="1"/>
      <c r="S73" s="1"/>
    </row>
    <row r="74" spans="1:19" x14ac:dyDescent="0.3">
      <c r="A74" t="s">
        <v>0</v>
      </c>
      <c r="B74" t="s">
        <v>1</v>
      </c>
      <c r="C74" t="s">
        <v>2</v>
      </c>
      <c r="D74" t="s">
        <v>3</v>
      </c>
      <c r="E74" t="s">
        <v>4</v>
      </c>
      <c r="H74" t="s">
        <v>0</v>
      </c>
      <c r="I74" t="s">
        <v>1</v>
      </c>
      <c r="J74" t="s">
        <v>2</v>
      </c>
      <c r="K74" t="s">
        <v>3</v>
      </c>
      <c r="L74" t="s">
        <v>4</v>
      </c>
      <c r="O74" t="s">
        <v>0</v>
      </c>
      <c r="P74" t="s">
        <v>1</v>
      </c>
      <c r="Q74" t="s">
        <v>2</v>
      </c>
      <c r="R74" t="s">
        <v>3</v>
      </c>
      <c r="S74" t="s">
        <v>4</v>
      </c>
    </row>
    <row r="75" spans="1:19" x14ac:dyDescent="0.3">
      <c r="A75">
        <v>1</v>
      </c>
      <c r="B75">
        <v>0</v>
      </c>
      <c r="C75">
        <f>100*950574/2156408</f>
        <v>44.08136122663244</v>
      </c>
      <c r="D75">
        <f>100*641800/1756502</f>
        <v>36.53852941812762</v>
      </c>
      <c r="E75">
        <f>IF(COUNT(C75:D75)=2,D75-C75,"")</f>
        <v>-7.542831808504822</v>
      </c>
      <c r="H75">
        <v>1</v>
      </c>
      <c r="I75">
        <v>0</v>
      </c>
      <c r="J75">
        <f>100*1161020/2178231</f>
        <v>53.30105025591868</v>
      </c>
      <c r="K75">
        <f>100*150238/966903</f>
        <v>15.538063280391105</v>
      </c>
      <c r="L75">
        <f>IF(COUNT(J75:K75)=2,K75-J75,"")</f>
        <v>-37.762986975527575</v>
      </c>
      <c r="O75">
        <v>1</v>
      </c>
      <c r="P75">
        <v>0</v>
      </c>
      <c r="Q75">
        <f>100*17855/657603</f>
        <v>2.7151640123296272</v>
      </c>
      <c r="R75">
        <f>100*7439/675341</f>
        <v>1.1015176036994645</v>
      </c>
      <c r="S75">
        <f>IF(COUNT(Q75:R75)=2,R75-Q75,"")</f>
        <v>-1.6136464086301627</v>
      </c>
    </row>
    <row r="76" spans="1:19" x14ac:dyDescent="0.3">
      <c r="A76">
        <v>2</v>
      </c>
      <c r="B76">
        <v>1</v>
      </c>
      <c r="C76">
        <f>100*784284/1919387</f>
        <v>40.861170780045924</v>
      </c>
      <c r="D76">
        <f>100*816165/2134676</f>
        <v>38.23367105827769</v>
      </c>
      <c r="E76">
        <f>IF(COUNT(C76:D76)=2,D76-C76,"")</f>
        <v>-2.627499721768231</v>
      </c>
      <c r="H76">
        <v>2</v>
      </c>
      <c r="I76">
        <v>1</v>
      </c>
      <c r="J76">
        <f>100*920313/2115455</f>
        <v>43.50425794923551</v>
      </c>
      <c r="K76">
        <f>100*463269/1776709</f>
        <v>26.074556947705</v>
      </c>
      <c r="L76">
        <f>IF(COUNT(J76:K76)=2,K76-J76,"")</f>
        <v>-17.42970100153051</v>
      </c>
      <c r="O76">
        <v>2</v>
      </c>
      <c r="P76">
        <v>1</v>
      </c>
      <c r="Q76">
        <f>100*506051/1366563</f>
        <v>37.03093088280599</v>
      </c>
      <c r="R76">
        <f>100*139126/410123</f>
        <v>33.92299383355725</v>
      </c>
      <c r="S76">
        <f>IF(COUNT(Q76:R76)=2,R76-Q76,"")</f>
        <v>-3.10793704924874</v>
      </c>
    </row>
    <row r="77" spans="1:19" x14ac:dyDescent="0.3">
      <c r="A77">
        <v>3</v>
      </c>
      <c r="B77">
        <v>2</v>
      </c>
      <c r="C77">
        <f>100*45924/1162874</f>
        <v>3.949181080667381</v>
      </c>
      <c r="D77">
        <f>100*20016/1036132</f>
        <v>1.9318001953419062</v>
      </c>
      <c r="E77">
        <f>IF(COUNT(C77:D77)=2,D77-C77,"")</f>
        <v>-2.017380885325475</v>
      </c>
      <c r="H77">
        <v>3</v>
      </c>
      <c r="I77">
        <v>2</v>
      </c>
      <c r="J77">
        <f>100*702390/1654096</f>
        <v>42.46367804528879</v>
      </c>
      <c r="K77">
        <f>100*760439/2021644</f>
        <v>37.61488174970469</v>
      </c>
      <c r="L77">
        <f>IF(COUNT(J77:K77)=2,K77-J77,"")</f>
        <v>-4.848796295584094</v>
      </c>
      <c r="O77">
        <v>3</v>
      </c>
      <c r="P77">
        <v>2</v>
      </c>
      <c r="Q77">
        <f>100*580189/1478595</f>
        <v>39.239210196165956</v>
      </c>
      <c r="R77">
        <f>100*710322/1774571</f>
        <v>40.02781517335739</v>
      </c>
      <c r="S77">
        <f>IF(COUNT(Q77:R77)=2,R77-Q77,"")</f>
        <v>0.788604977191433</v>
      </c>
    </row>
    <row r="78" spans="1:19" x14ac:dyDescent="0.3">
      <c r="A78">
        <v>4</v>
      </c>
      <c r="B78">
        <v>3</v>
      </c>
      <c r="C78">
        <f>100*987891/1871797</f>
        <v>52.77767834866708</v>
      </c>
      <c r="D78">
        <f>100*421387/1422975</f>
        <v>29.613099316572672</v>
      </c>
      <c r="E78">
        <f>IF(COUNT(C78:D78)=2,D78-C78,"")</f>
        <v>-23.16457903209441</v>
      </c>
      <c r="H78">
        <v>4</v>
      </c>
      <c r="I78">
        <v>3</v>
      </c>
      <c r="J78">
        <f>100*827459/1741510</f>
        <v>47.51388163145776</v>
      </c>
      <c r="K78">
        <f>100*771361/1961131</f>
        <v>39.33245662834354</v>
      </c>
      <c r="L78">
        <f>IF(COUNT(J78:K78)=2,K78-J78,"")</f>
        <v>-8.181425003114214</v>
      </c>
      <c r="O78">
        <v>4</v>
      </c>
      <c r="P78">
        <v>3</v>
      </c>
      <c r="Q78">
        <f>100*617738/1364388</f>
        <v>45.27583062882406</v>
      </c>
      <c r="R78">
        <f>100*592317/1593293</f>
        <v>37.175648170173346</v>
      </c>
      <c r="S78">
        <f>IF(COUNT(Q78:R78)=2,R78-Q78,"")</f>
        <v>-8.100182458650714</v>
      </c>
    </row>
    <row r="79" spans="1:19" x14ac:dyDescent="0.3">
      <c r="A79">
        <v>5</v>
      </c>
      <c r="B79">
        <v>4</v>
      </c>
      <c r="C79">
        <f>100*1067979/2182567</f>
        <v>48.932243546246234</v>
      </c>
      <c r="D79">
        <f>100*739803/2094413</f>
        <v>35.32268946000622</v>
      </c>
      <c r="E79">
        <f>IF(COUNT(C79:D79)=2,D79-C79,"")</f>
        <v>-13.609554086240017</v>
      </c>
      <c r="H79">
        <v>5</v>
      </c>
      <c r="I79">
        <v>4</v>
      </c>
      <c r="J79">
        <f>100*1035328/2211231</f>
        <v>46.82134069213031</v>
      </c>
      <c r="K79">
        <f>100*913179/2366716</f>
        <v>38.58422387815015</v>
      </c>
      <c r="L79">
        <f>IF(COUNT(J79:K79)=2,K79-J79,"")</f>
        <v>-8.237116813980165</v>
      </c>
      <c r="O79">
        <v>5</v>
      </c>
      <c r="P79">
        <v>4</v>
      </c>
      <c r="Q79">
        <f>100*829508/1701576</f>
        <v>48.749394678815406</v>
      </c>
      <c r="R79">
        <f>100*413800/1301793</f>
        <v>31.78692772199574</v>
      </c>
      <c r="S79">
        <f>IF(COUNT(Q79:R79)=2,R79-Q79,"")</f>
        <v>-16.962466956819668</v>
      </c>
    </row>
    <row r="80" spans="1:19" x14ac:dyDescent="0.3">
      <c r="A80">
        <v>6</v>
      </c>
      <c r="B80">
        <v>5</v>
      </c>
      <c r="C80">
        <f>100*819594/1914103</f>
        <v>42.81869888924473</v>
      </c>
      <c r="D80">
        <f>100*624006/1970579</f>
        <v>31.6661245248224</v>
      </c>
      <c r="E80">
        <f>IF(COUNT(C80:D80)=2,D80-C80,"")</f>
        <v>-11.152574364422328</v>
      </c>
      <c r="H80">
        <v>6</v>
      </c>
      <c r="I80">
        <v>5</v>
      </c>
      <c r="J80">
        <f>100*627723/1597246</f>
        <v>39.30033319851795</v>
      </c>
      <c r="K80">
        <f>100*629641/1879204</f>
        <v>33.505729021436736</v>
      </c>
      <c r="L80">
        <f>IF(COUNT(J80:K80)=2,K80-J80,"")</f>
        <v>-5.794604177081212</v>
      </c>
      <c r="O80">
        <v>6</v>
      </c>
      <c r="P80">
        <v>5</v>
      </c>
      <c r="Q80">
        <f>100*561642/1450968</f>
        <v>38.70809004747176</v>
      </c>
      <c r="R80">
        <f>100*610701/1583129</f>
        <v>38.57556775221729</v>
      </c>
      <c r="S80">
        <f>IF(COUNT(Q80:R80)=2,R80-Q80,"")</f>
        <v>-0.1325222952544678</v>
      </c>
    </row>
    <row r="81" spans="1:19" x14ac:dyDescent="0.3">
      <c r="A81">
        <v>7</v>
      </c>
      <c r="B81">
        <v>6</v>
      </c>
      <c r="C81">
        <f>100*6901/528040</f>
        <v>1.3069085675327627</v>
      </c>
      <c r="D81">
        <f>100*212556/908198</f>
        <v>23.40414755372727</v>
      </c>
      <c r="E81">
        <f>IF(COUNT(C81:D81)=2,D81-C81,"")</f>
        <v>22.097238986194508</v>
      </c>
      <c r="H81">
        <v>7</v>
      </c>
      <c r="I81">
        <v>6</v>
      </c>
      <c r="J81">
        <f>100*3904/710153</f>
        <v>0.5497406896823642</v>
      </c>
      <c r="K81">
        <f>100*3904/710153</f>
        <v>0.5497406896823642</v>
      </c>
      <c r="L81">
        <f>IF(COUNT(J81:K81)=2,K81-J81,"")</f>
        <v>0.0</v>
      </c>
      <c r="O81">
        <v>7</v>
      </c>
      <c r="P81">
        <v>6</v>
      </c>
      <c r="Q81">
        <f>100*769806/1827455</f>
        <v>42.124484597431945</v>
      </c>
      <c r="R81">
        <f>100*1999/8230</f>
        <v>24.289185905224787</v>
      </c>
      <c r="S81">
        <f>IF(COUNT(Q81:R81)=2,R81-Q81,"")</f>
        <v>-17.835298692207157</v>
      </c>
    </row>
    <row r="82" spans="1:19" x14ac:dyDescent="0.3">
      <c r="A82">
        <v>8</v>
      </c>
      <c r="B82">
        <v>7</v>
      </c>
      <c r="C82">
        <f>100*8971/665002</f>
        <v>1.3490184991924836</v>
      </c>
      <c r="D82">
        <f>100*12252/593065</f>
        <v>2.0658781077959416</v>
      </c>
      <c r="E82">
        <f>IF(COUNT(C82:D82)=2,D82-C82,"")</f>
        <v>0.716859608603458</v>
      </c>
      <c r="H82">
        <v>8</v>
      </c>
      <c r="I82">
        <v>7</v>
      </c>
      <c r="J82">
        <f>100*7411/619510</f>
        <v>1.1962680182725056</v>
      </c>
      <c r="K82">
        <f>100*16674/969249</f>
        <v>1.720300975291179</v>
      </c>
      <c r="L82">
        <f>IF(COUNT(J82:K82)=2,K82-J82,"")</f>
        <v>0.5240329570186735</v>
      </c>
      <c r="O82">
        <v>8</v>
      </c>
      <c r="P82">
        <v>7</v>
      </c>
      <c r="Q82">
        <f>100*842526/1806467</f>
        <v>46.63943487481365</v>
      </c>
      <c r="R82">
        <f>100*715831/1770029</f>
        <v>40.44176677331275</v>
      </c>
      <c r="S82">
        <f>IF(COUNT(Q82:R82)=2,R82-Q82,"")</f>
        <v>-6.197668101500902</v>
      </c>
    </row>
    <row r="83" spans="1:19" x14ac:dyDescent="0.3">
      <c r="A83">
        <v>9</v>
      </c>
      <c r="B83">
        <v>8</v>
      </c>
      <c r="C83">
        <f>100*766923/1967808</f>
        <v>38.9734669236023</v>
      </c>
      <c r="D83">
        <f>100*692363/1915396</f>
        <v>36.1472510123233</v>
      </c>
      <c r="E83">
        <f>IF(COUNT(C83:D83)=2,D83-C83,"")</f>
        <v>-2.826215911279</v>
      </c>
      <c r="H83">
        <v>9</v>
      </c>
      <c r="I83">
        <v>8</v>
      </c>
      <c r="J83">
        <f>100*986121/2196978</f>
        <v>44.88533795058485</v>
      </c>
      <c r="K83">
        <f>100*943326/2364851</f>
        <v>39.889447580418384</v>
      </c>
      <c r="L83">
        <f>IF(COUNT(J83:K83)=2,K83-J83,"")</f>
        <v>-4.995890370166464</v>
      </c>
      <c r="O83">
        <v>9</v>
      </c>
      <c r="P83">
        <v>8</v>
      </c>
      <c r="Q83">
        <f>100*418704/1300185</f>
        <v>32.20341720601299</v>
      </c>
      <c r="R83">
        <f>100*681149/1799196</f>
        <v>37.85852125060305</v>
      </c>
      <c r="S83">
        <f>IF(COUNT(Q83:R83)=2,R83-Q83,"")</f>
        <v>5.655104044590054</v>
      </c>
    </row>
    <row r="84" spans="1:19" x14ac:dyDescent="0.3">
      <c r="A84">
        <v>10</v>
      </c>
      <c r="B84">
        <v>9</v>
      </c>
      <c r="C84">
        <f>100*193316/1207283</f>
        <v>16.012484231120624</v>
      </c>
      <c r="D84">
        <f>100*56552/1055293</f>
        <v>5.358890848323641</v>
      </c>
      <c r="E84">
        <f>IF(COUNT(C84:D84)=2,D84-C84,"")</f>
        <v>-10.653593382796982</v>
      </c>
      <c r="H84">
        <v>10</v>
      </c>
      <c r="I84">
        <v>9</v>
      </c>
      <c r="J84">
        <f>100*1094395/2180634</f>
        <v>50.187009832920154</v>
      </c>
      <c r="K84">
        <f>100*136713/1048077</f>
        <v>13.044175189418334</v>
      </c>
      <c r="L84">
        <f>IF(COUNT(J84:K84)=2,K84-J84,"")</f>
        <v>-37.14283464350182</v>
      </c>
      <c r="O84">
        <v>10</v>
      </c>
      <c r="P84">
        <v>9</v>
      </c>
      <c r="Q84">
        <f>100*10580/624813</f>
        <v>1.6933066373458938</v>
      </c>
      <c r="R84">
        <f>100*10580/624813</f>
        <v>1.6933066373458938</v>
      </c>
      <c r="S84">
        <f>IF(COUNT(Q84:R84)=2,R84-Q84,"")</f>
        <v>0.0</v>
      </c>
    </row>
    <row r="85" spans="1:19" x14ac:dyDescent="0.3">
      <c r="A85">
        <v>11</v>
      </c>
      <c r="B85">
        <v>10</v>
      </c>
      <c r="C85">
        <f>100*1000200/2058009</f>
        <v>48.60037055231537</v>
      </c>
      <c r="D85">
        <f>100*836933/2122695</f>
        <v>39.427849973736215</v>
      </c>
      <c r="E85">
        <f>IF(COUNT(C85:D85)=2,D85-C85,"")</f>
        <v>-9.172520578579153</v>
      </c>
      <c r="H85">
        <v>11</v>
      </c>
      <c r="I85">
        <v>10</v>
      </c>
      <c r="J85">
        <f>100*1248271/2251399</f>
        <v>55.444237116566185</v>
      </c>
      <c r="K85">
        <f>100*668331/1869281</f>
        <v>35.753372553404226</v>
      </c>
      <c r="L85">
        <f>IF(COUNT(J85:K85)=2,K85-J85,"")</f>
        <v>-19.69086456316196</v>
      </c>
      <c r="O85">
        <v>11</v>
      </c>
      <c r="P85">
        <v>10</v>
      </c>
      <c r="Q85">
        <f>100*858874/1796310</f>
        <v>47.8132393629162</v>
      </c>
      <c r="R85">
        <f>100*609842/1642984</f>
        <v>37.11795123993904</v>
      </c>
      <c r="S85">
        <f>IF(COUNT(Q85:R85)=2,R85-Q85,"")</f>
        <v>-10.69528812297716</v>
      </c>
    </row>
    <row r="86" spans="1:19" x14ac:dyDescent="0.3">
      <c r="A86">
        <v>12</v>
      </c>
      <c r="B86">
        <v>11</v>
      </c>
      <c r="C86">
        <f>100*1083380/2227336</f>
        <v>48.640169242539066</v>
      </c>
      <c r="D86">
        <f>100*660096/1845856</f>
        <v>35.760969436402405</v>
      </c>
      <c r="E86">
        <f>IF(COUNT(C86:D86)=2,D86-C86,"")</f>
        <v>-12.879199806136661</v>
      </c>
      <c r="H86">
        <v>12</v>
      </c>
      <c r="I86">
        <v>11</v>
      </c>
      <c r="J86">
        <f>100*847034/1777114</f>
        <v>47.66345884394586</v>
      </c>
      <c r="K86">
        <f>100*669219/1938884</f>
        <v>34.51568015415053</v>
      </c>
      <c r="L86">
        <f>IF(COUNT(J86:K86)=2,K86-J86,"")</f>
        <v>-13.14777868979533</v>
      </c>
      <c r="O86">
        <v>12</v>
      </c>
      <c r="P86">
        <v>11</v>
      </c>
      <c r="Q86">
        <f>100*739588/1710894</f>
        <v>43.22816024838476</v>
      </c>
      <c r="R86">
        <f>100*397726/1265182</f>
        <v>31.4362676674186</v>
      </c>
      <c r="S86">
        <f>IF(COUNT(Q86:R86)=2,R86-Q86,"")</f>
        <v>-11.79189258096616</v>
      </c>
    </row>
    <row r="87" spans="1:19" x14ac:dyDescent="0.3">
      <c r="A87">
        <v>13</v>
      </c>
      <c r="B87">
        <v>12</v>
      </c>
      <c r="C87">
        <f>100*7212/818878</f>
        <v>0.8807172741238621</v>
      </c>
      <c r="D87">
        <f>100*7212/818878</f>
        <v>0.8807172741238621</v>
      </c>
      <c r="E87">
        <f>IF(COUNT(C87:D87)=2,D87-C87,"")</f>
        <v>0.0</v>
      </c>
      <c r="H87">
        <v>13</v>
      </c>
      <c r="I87">
        <v>12</v>
      </c>
      <c r="J87">
        <f>100*767025/1720041</f>
        <v>44.593413761648705</v>
      </c>
      <c r="K87">
        <f>100*606655/1703605</f>
        <v>35.610073931457116</v>
      </c>
      <c r="L87">
        <f>IF(COUNT(J87:K87)=2,K87-J87,"")</f>
        <v>-8.98333983019159</v>
      </c>
      <c r="O87">
        <v>13</v>
      </c>
      <c r="P87">
        <v>12</v>
      </c>
      <c r="Q87">
        <f>100*371461/1317955</f>
        <v>28.18464970351795</v>
      </c>
      <c r="R87">
        <f>100*188372/1084352</f>
        <v>17.371849731452517</v>
      </c>
      <c r="S87">
        <f>IF(COUNT(Q87:R87)=2,R87-Q87,"")</f>
        <v>-10.812799972065434</v>
      </c>
    </row>
    <row r="88" spans="1:19" x14ac:dyDescent="0.3">
      <c r="A88">
        <v>14</v>
      </c>
      <c r="B88">
        <v>13</v>
      </c>
      <c r="C88">
        <f>100*92689/774868</f>
        <v>11.961908350841691</v>
      </c>
      <c r="D88">
        <f>100*85987/745193</f>
        <v>11.538889925160328</v>
      </c>
      <c r="E88">
        <f>IF(COUNT(C88:D88)=2,D88-C88,"")</f>
        <v>-0.42301842568136294</v>
      </c>
      <c r="H88">
        <v>14</v>
      </c>
      <c r="I88">
        <v>13</v>
      </c>
      <c r="J88">
        <f>100*438708/1328922</f>
        <v>33.01232126490494</v>
      </c>
      <c r="K88">
        <f>100*223410/1083379</f>
        <v>20.621592259034003</v>
      </c>
      <c r="L88">
        <f>IF(COUNT(J88:K88)=2,K88-J88,"")</f>
        <v>-12.390729005870938</v>
      </c>
      <c r="O88">
        <v>14</v>
      </c>
      <c r="P88">
        <v>13</v>
      </c>
      <c r="Q88">
        <f>100*183244/894097</f>
        <v>20.494868006491465</v>
      </c>
      <c r="R88">
        <f>100*82239/280299</f>
        <v>29.339740776813333</v>
      </c>
      <c r="S88">
        <f>IF(COUNT(Q88:R88)=2,R88-Q88,"")</f>
        <v>8.844872770321867</v>
      </c>
    </row>
    <row r="89" spans="1:19" x14ac:dyDescent="0.3">
      <c r="A89">
        <v>15</v>
      </c>
      <c r="B89">
        <v>14</v>
      </c>
      <c r="C89">
        <f>100*410087/1559215</f>
        <v>26.30086293423293</v>
      </c>
      <c r="D89">
        <f>100*356952/1707876</f>
        <v>20.900346395171546</v>
      </c>
      <c r="E89">
        <f>IF(COUNT(C89:D89)=2,D89-C89,"")</f>
        <v>-5.400516539061385</v>
      </c>
      <c r="H89">
        <v>15</v>
      </c>
      <c r="I89">
        <v>14</v>
      </c>
      <c r="J89">
        <f>100*378843/1975907</f>
        <v>19.173118977765654</v>
      </c>
      <c r="K89">
        <f>100*746904/2052384</f>
        <v>36.39202020674494</v>
      </c>
      <c r="L89">
        <f>IF(COUNT(J89:K89)=2,K89-J89,"")</f>
        <v>17.218901228979284</v>
      </c>
      <c r="O89">
        <v>15</v>
      </c>
      <c r="P89">
        <v>14</v>
      </c>
      <c r="Q89">
        <f>100*672160/1590176</f>
        <v>42.269534944559595</v>
      </c>
      <c r="R89">
        <f>100*647893/1735577</f>
        <v>37.33012133716914</v>
      </c>
      <c r="S89">
        <f>IF(COUNT(Q89:R89)=2,R89-Q89,"")</f>
        <v>-4.939413607390456</v>
      </c>
    </row>
    <row r="90" spans="1:19" x14ac:dyDescent="0.3">
      <c r="A90">
        <v>16</v>
      </c>
      <c r="B90">
        <v>15</v>
      </c>
      <c r="C90">
        <f>100*1111193/2179314</f>
        <v>50.988200874220055</v>
      </c>
      <c r="D90">
        <f>100*691930/2057444</f>
        <v>33.63056297036517</v>
      </c>
      <c r="E90">
        <f>IF(COUNT(C90:D90)=2,D90-C90,"")</f>
        <v>-17.357637903854886</v>
      </c>
      <c r="H90">
        <v>16</v>
      </c>
      <c r="I90">
        <v>15</v>
      </c>
      <c r="J90">
        <f>100*769550/1774401</f>
        <v>43.36956527864896</v>
      </c>
      <c r="K90">
        <f>100*216141/1139515</f>
        <v>18.967806479072237</v>
      </c>
      <c r="L90">
        <f>IF(COUNT(J90:K90)=2,K90-J90,"")</f>
        <v>-24.401758799576726</v>
      </c>
      <c r="O90">
        <v>16</v>
      </c>
      <c r="P90">
        <v>15</v>
      </c>
      <c r="Q90">
        <f>100*705277/1721980</f>
        <v>40.95732819196506</v>
      </c>
      <c r="R90">
        <f>100*703148/1775711</f>
        <v>39.59811027808016</v>
      </c>
      <c r="S90">
        <f>IF(COUNT(Q90:R90)=2,R90-Q90,"")</f>
        <v>-1.3592179138848977</v>
      </c>
    </row>
    <row r="91" spans="1:19" x14ac:dyDescent="0.3">
      <c r="A91">
        <v>17</v>
      </c>
      <c r="B91">
        <v>16</v>
      </c>
      <c r="C91">
        <f>100*743599/1773793</f>
        <v>41.921407965867495</v>
      </c>
      <c r="D91">
        <f>100*658363/1895345</f>
        <v>34.735786888402906</v>
      </c>
      <c r="E91">
        <f>IF(COUNT(C91:D91)=2,D91-C91,"")</f>
        <v>-7.185621077464589</v>
      </c>
      <c r="H91">
        <v>17</v>
      </c>
      <c r="I91">
        <v>16</v>
      </c>
      <c r="J91">
        <f>100*3265/88900</f>
        <v>3.6726659167604048</v>
      </c>
      <c r="K91">
        <f>100*3265/88900</f>
        <v>3.6726659167604048</v>
      </c>
      <c r="L91">
        <f>IF(COUNT(J91:K91)=2,K91-J91,"")</f>
        <v>0.0</v>
      </c>
      <c r="O91">
        <v>17</v>
      </c>
      <c r="P91">
        <v>16</v>
      </c>
      <c r="Q91">
        <f>100*16305/441767</f>
        <v>3.690859661314675</v>
      </c>
      <c r="R91">
        <f>100*15487/458672</f>
        <v>3.376486901315101</v>
      </c>
      <c r="S91">
        <f>IF(COUNT(Q91:R91)=2,R91-Q91,"")</f>
        <v>-0.31437275999957404</v>
      </c>
    </row>
    <row r="92" spans="1:19" x14ac:dyDescent="0.3">
      <c r="A92">
        <v>18</v>
      </c>
      <c r="B92">
        <v>17</v>
      </c>
      <c r="C92">
        <f>100*929466/2060823</f>
        <v>45.10168995590597</v>
      </c>
      <c r="D92">
        <f>100*745013/2005966</f>
        <v>37.13986179227365</v>
      </c>
      <c r="E92">
        <f>IF(COUNT(C92:D92)=2,D92-C92,"")</f>
        <v>-7.961828163632319</v>
      </c>
      <c r="H92">
        <v>18</v>
      </c>
      <c r="I92">
        <v>17</v>
      </c>
      <c r="K92">
        <f>100*663980/1880073</f>
        <v>35.316713765901646</v>
      </c>
      <c r="L92" t="str">
        <f>IF(COUNT(J92:K92)=2,K92-J92,"")</f>
        <v/>
      </c>
      <c r="O92">
        <v>18</v>
      </c>
      <c r="P92">
        <v>17</v>
      </c>
      <c r="Q92">
        <f>100*156937/709883</f>
        <v>22.10744587488361</v>
      </c>
      <c r="R92">
        <f>100*64916/650458</f>
        <v>9.98004482995059</v>
      </c>
      <c r="S92">
        <f>IF(COUNT(Q92:R92)=2,R92-Q92,"")</f>
        <v>-12.12740104493302</v>
      </c>
    </row>
    <row r="93" spans="1:19" x14ac:dyDescent="0.3">
      <c r="A93">
        <v>19</v>
      </c>
      <c r="B93">
        <v>18</v>
      </c>
      <c r="C93">
        <f>100*675293/1785174</f>
        <v>37.82785319526276</v>
      </c>
      <c r="D93">
        <f>100*251707/1274939</f>
        <v>19.74267004146865</v>
      </c>
      <c r="E93">
        <f>IF(COUNT(C93:D93)=2,D93-C93,"")</f>
        <v>-18.085183153794112</v>
      </c>
      <c r="H93">
        <v>19</v>
      </c>
      <c r="I93">
        <v>18</v>
      </c>
      <c r="J93">
        <f>100*453701/1228767</f>
        <v>36.9232734928591</v>
      </c>
      <c r="K93">
        <f>100*293878/1423263</f>
        <v>20.64818659657421</v>
      </c>
      <c r="L93">
        <f>IF(COUNT(J93:K93)=2,K93-J93,"")</f>
        <v>-16.275086896284893</v>
      </c>
      <c r="O93">
        <v>19</v>
      </c>
      <c r="P93">
        <v>18</v>
      </c>
      <c r="Q93">
        <f>100*736264/1588962</f>
        <v>46.33616159480214</v>
      </c>
      <c r="R93">
        <f>100*878615/1983726</f>
        <v>44.29114706365698</v>
      </c>
      <c r="S93">
        <f>IF(COUNT(Q93:R93)=2,R93-Q93,"")</f>
        <v>-2.0450145311451635</v>
      </c>
    </row>
    <row r="94" spans="1:19" x14ac:dyDescent="0.3">
      <c r="A94">
        <v>20</v>
      </c>
      <c r="B94">
        <v>19</v>
      </c>
      <c r="C94">
        <f>100*1003210/2172217</f>
        <v>46.18369159250664</v>
      </c>
      <c r="D94">
        <f>100*636868/1768700</f>
        <v>36.007689263300726</v>
      </c>
      <c r="E94">
        <f>IF(COUNT(C94:D94)=2,D94-C94,"")</f>
        <v>-10.176002329205915</v>
      </c>
      <c r="H94">
        <v>20</v>
      </c>
      <c r="I94">
        <v>19</v>
      </c>
      <c r="J94">
        <f>100*896581/2145144</f>
        <v>41.79584214393066</v>
      </c>
      <c r="K94">
        <f>100*525378/1823103</f>
        <v>28.817790327809234</v>
      </c>
      <c r="L94">
        <f>IF(COUNT(J94:K94)=2,K94-J94,"")</f>
        <v>-12.978051816121429</v>
      </c>
      <c r="O94">
        <v>20</v>
      </c>
      <c r="P94">
        <v>19</v>
      </c>
      <c r="Q94">
        <f>100*596231/1430518</f>
        <v>41.67937767997327</v>
      </c>
      <c r="R94">
        <f>100*661567/1624687</f>
        <v>40.719658617321365</v>
      </c>
      <c r="S94">
        <f>IF(COUNT(Q94:R94)=2,R94-Q94,"")</f>
        <v>-0.9597190626519065</v>
      </c>
    </row>
    <row r="95" spans="1:19" x14ac:dyDescent="0.3">
      <c r="A95">
        <v>21</v>
      </c>
      <c r="B95">
        <v>20</v>
      </c>
      <c r="C95">
        <f>100*814501/1741903</f>
        <v>46.759262714399135</v>
      </c>
      <c r="D95">
        <f>100*895580/2244967</f>
        <v>39.89279129715492</v>
      </c>
      <c r="E95">
        <f>IF(COUNT(C95:D95)=2,D95-C95,"")</f>
        <v>-6.866471417244213</v>
      </c>
      <c r="H95">
        <v>21</v>
      </c>
      <c r="I95">
        <v>20</v>
      </c>
      <c r="J95">
        <f>100*923720/1857736</f>
        <v>49.722888505148205</v>
      </c>
      <c r="K95">
        <f>100*225718/1091228</f>
        <v>20.68476981895626</v>
      </c>
      <c r="L95">
        <f>IF(COUNT(J95:K95)=2,K95-J95,"")</f>
        <v>-29.038118686191947</v>
      </c>
      <c r="O95">
        <v>21</v>
      </c>
      <c r="P95">
        <v>20</v>
      </c>
      <c r="Q95">
        <f>100*808426/1622789</f>
        <v>49.817074185245275</v>
      </c>
      <c r="R95">
        <f>100*664524/1611701</f>
        <v>41.231220927454906</v>
      </c>
      <c r="S95">
        <f>IF(COUNT(Q95:R95)=2,R95-Q95,"")</f>
        <v>-8.585853257790369</v>
      </c>
    </row>
    <row r="96" spans="1:19" x14ac:dyDescent="0.3">
      <c r="A96">
        <v>22</v>
      </c>
      <c r="B96">
        <v>21</v>
      </c>
      <c r="C96">
        <f>100*599877/1809045</f>
        <v>33.15987164498396</v>
      </c>
      <c r="D96">
        <f>100*795285/2275742</f>
        <v>34.94618458507159</v>
      </c>
      <c r="E96">
        <f>IF(COUNT(C96:D96)=2,D96-C96,"")</f>
        <v>1.7863129400876332</v>
      </c>
      <c r="H96">
        <v>22</v>
      </c>
      <c r="I96">
        <v>21</v>
      </c>
      <c r="J96">
        <f>100*1034872/2267546</f>
        <v>45.63841262757183</v>
      </c>
      <c r="K96">
        <f>100*638902/1839546</f>
        <v>34.73150440380398</v>
      </c>
      <c r="L96">
        <f>IF(COUNT(J96:K96)=2,K96-J96,"")</f>
        <v>-10.90690822376785</v>
      </c>
      <c r="O96">
        <v>22</v>
      </c>
      <c r="P96">
        <v>21</v>
      </c>
      <c r="Q96">
        <f>100*248293/932917</f>
        <v>26.614693482914344</v>
      </c>
      <c r="R96">
        <f>100*867864/1965652</f>
        <v>44.15145712465889</v>
      </c>
      <c r="S96">
        <f>IF(COUNT(Q96:R96)=2,R96-Q96,"")</f>
        <v>17.536763641744546</v>
      </c>
    </row>
    <row r="97" spans="1:19" x14ac:dyDescent="0.3">
      <c r="A97">
        <v>23</v>
      </c>
      <c r="B97">
        <v>22</v>
      </c>
      <c r="C97">
        <f>100*649730/1525642</f>
        <v>42.58731733919229</v>
      </c>
      <c r="D97">
        <f>100*617624/1853913</f>
        <v>33.31461616591501</v>
      </c>
      <c r="E97">
        <f>IF(COUNT(C97:D97)=2,D97-C97,"")</f>
        <v>-9.272701173277277</v>
      </c>
      <c r="H97">
        <v>23</v>
      </c>
      <c r="I97">
        <v>22</v>
      </c>
      <c r="J97">
        <f>100*954501/1934417</f>
        <v>49.34308373013678</v>
      </c>
      <c r="K97">
        <f>100*671319/1819968</f>
        <v>36.88630789112776</v>
      </c>
      <c r="L97">
        <f>IF(COUNT(J97:K97)=2,K97-J97,"")</f>
        <v>-12.456775839009026</v>
      </c>
      <c r="O97">
        <v>23</v>
      </c>
      <c r="P97">
        <v>22</v>
      </c>
      <c r="Q97">
        <f>100*491/406810</f>
        <v>0.12069516481895726</v>
      </c>
      <c r="R97">
        <f>100*491/406810</f>
        <v>0.12069516481895726</v>
      </c>
      <c r="S97">
        <f>IF(COUNT(Q97:R97)=2,R97-Q97,"")</f>
        <v>0.0</v>
      </c>
    </row>
    <row r="98" spans="1:19" x14ac:dyDescent="0.3">
      <c r="A98">
        <v>24</v>
      </c>
      <c r="B98">
        <v>23</v>
      </c>
      <c r="C98">
        <f>100*540481/1325139</f>
        <v>40.786740108018854</v>
      </c>
      <c r="D98">
        <f>100*474009/1562591</f>
        <v>30.334809300706326</v>
      </c>
      <c r="E98">
        <f>IF(COUNT(C98:D98)=2,D98-C98,"")</f>
        <v>-10.451930807312529</v>
      </c>
      <c r="H98">
        <v>24</v>
      </c>
      <c r="I98">
        <v>23</v>
      </c>
      <c r="J98">
        <f>100*677655/1567258</f>
        <v>43.238254326983814</v>
      </c>
      <c r="K98">
        <f>100*788937/2068082</f>
        <v>38.14824557246763</v>
      </c>
      <c r="L98">
        <f>IF(COUNT(J98:K98)=2,K98-J98,"")</f>
        <v>-5.090008754516184</v>
      </c>
      <c r="O98">
        <v>24</v>
      </c>
      <c r="P98">
        <v>23</v>
      </c>
      <c r="Q98">
        <f>100*462555/1165901</f>
        <v>39.67360865116335</v>
      </c>
      <c r="R98">
        <f>100*259886/940725</f>
        <v>27.626139413750032</v>
      </c>
      <c r="S98">
        <f>IF(COUNT(Q98:R98)=2,R98-Q98,"")</f>
        <v>-12.047469237413317</v>
      </c>
    </row>
    <row r="99" spans="1:19" x14ac:dyDescent="0.3">
      <c r="A99">
        <v>25</v>
      </c>
      <c r="B99">
        <v>24</v>
      </c>
      <c r="C99">
        <f>100*628764/1681845</f>
        <v>37.3853714224557</v>
      </c>
      <c r="D99">
        <f>100*564280/1682783</f>
        <v>33.53254697723949</v>
      </c>
      <c r="E99">
        <f>IF(COUNT(C99:D99)=2,D99-C99,"")</f>
        <v>-3.852824445216207</v>
      </c>
      <c r="H99">
        <v>25</v>
      </c>
      <c r="I99">
        <v>24</v>
      </c>
      <c r="J99">
        <f>100*1059343/2107573</f>
        <v>50.26364448586123</v>
      </c>
      <c r="K99">
        <f>100*376893/1443148</f>
        <v>26.11603245128012</v>
      </c>
      <c r="L99">
        <f>IF(COUNT(J99:K99)=2,K99-J99,"")</f>
        <v>-24.14761203458111</v>
      </c>
      <c r="O99">
        <v>25</v>
      </c>
      <c r="P99">
        <v>24</v>
      </c>
      <c r="Q99">
        <f>100*667801/1611354</f>
        <v>41.4434692811139</v>
      </c>
      <c r="R99">
        <f>100*595452/1706552</f>
        <v>34.8921099386365</v>
      </c>
      <c r="S99">
        <f>IF(COUNT(Q99:R99)=2,R99-Q99,"")</f>
        <v>-6.551359342477397</v>
      </c>
    </row>
    <row r="100" spans="1:19" x14ac:dyDescent="0.3">
      <c r="A100">
        <v>26</v>
      </c>
      <c r="B100">
        <v>25</v>
      </c>
      <c r="C100">
        <f>100*1206228/2241810</f>
        <v>53.805987126473696</v>
      </c>
      <c r="D100">
        <f>100*389961/1648342</f>
        <v>23.65777247682823</v>
      </c>
      <c r="E100">
        <f>IF(COUNT(C100:D100)=2,D100-C100,"")</f>
        <v>-30.148214649645464</v>
      </c>
      <c r="H100">
        <v>26</v>
      </c>
      <c r="I100">
        <v>25</v>
      </c>
      <c r="J100">
        <f>100*50542/865957</f>
        <v>5.836548466032378</v>
      </c>
      <c r="K100">
        <f>100*307209/1241291</f>
        <v>24.749152293861794</v>
      </c>
      <c r="L100">
        <f>IF(COUNT(J100:K100)=2,K100-J100,"")</f>
        <v>18.912603827829415</v>
      </c>
      <c r="O100">
        <v>26</v>
      </c>
      <c r="P100">
        <v>25</v>
      </c>
      <c r="Q100">
        <f>100*825215/1789490</f>
        <v>46.114535426294644</v>
      </c>
      <c r="R100">
        <f>100*651721/1657524</f>
        <v>39.318948021265456</v>
      </c>
      <c r="S100">
        <f>IF(COUNT(Q100:R100)=2,R100-Q100,"")</f>
        <v>-6.795587405029188</v>
      </c>
    </row>
    <row r="101" spans="1:19" x14ac:dyDescent="0.3">
      <c r="A101">
        <v>27</v>
      </c>
      <c r="B101">
        <v>26</v>
      </c>
      <c r="C101">
        <f>100*312477/1386036</f>
        <v>22.54465251984797</v>
      </c>
      <c r="D101">
        <f>100*943182/2304429</f>
        <v>40.92909783725166</v>
      </c>
      <c r="E101">
        <f>IF(COUNT(C101:D101)=2,D101-C101,"")</f>
        <v>18.384445317403692</v>
      </c>
      <c r="H101">
        <v>27</v>
      </c>
      <c r="I101">
        <v>26</v>
      </c>
      <c r="J101">
        <f>100*307157/1210949</f>
        <v>25.36498234029674</v>
      </c>
      <c r="K101">
        <f>100*314530/1275980</f>
        <v>24.65007288515494</v>
      </c>
      <c r="L101">
        <f>IF(COUNT(J101:K101)=2,K101-J101,"")</f>
        <v>-0.7149094551418003</v>
      </c>
      <c r="O101">
        <v>27</v>
      </c>
      <c r="P101">
        <v>26</v>
      </c>
      <c r="Q101">
        <f>100*889999/1746112</f>
        <v>50.9703272184144</v>
      </c>
      <c r="R101">
        <f>100*891908/1984032</f>
        <v>44.95431525297979</v>
      </c>
      <c r="S101">
        <f>IF(COUNT(Q101:R101)=2,R101-Q101,"")</f>
        <v>-6.016011965434608</v>
      </c>
    </row>
    <row r="102" spans="1:19" x14ac:dyDescent="0.3">
      <c r="A102">
        <v>28</v>
      </c>
      <c r="B102">
        <v>27</v>
      </c>
      <c r="C102">
        <f>100*803250/1998379</f>
        <v>40.19507811080881</v>
      </c>
      <c r="D102">
        <f>100*870000/2224820</f>
        <v>39.10428708839367</v>
      </c>
      <c r="E102">
        <f>IF(COUNT(C102:D102)=2,D102-C102,"")</f>
        <v>-1.0907910224151394</v>
      </c>
      <c r="H102">
        <v>28</v>
      </c>
      <c r="I102">
        <v>27</v>
      </c>
      <c r="J102">
        <f>100*499214/1645125</f>
        <v>30.345049768254693</v>
      </c>
      <c r="K102">
        <f>100*601288/1909547</f>
        <v>31.488515338978303</v>
      </c>
      <c r="L102">
        <f>IF(COUNT(J102:K102)=2,K102-J102,"")</f>
        <v>1.1434655707236097</v>
      </c>
      <c r="O102">
        <v>28</v>
      </c>
      <c r="P102">
        <v>27</v>
      </c>
      <c r="Q102">
        <f>100*1300/408366</f>
        <v>0.3183418795884084</v>
      </c>
      <c r="R102">
        <f>100*1300/408366</f>
        <v>0.3183418795884084</v>
      </c>
      <c r="S102">
        <f>IF(COUNT(Q102:R102)=2,R102-Q102,"")</f>
        <v>0.0</v>
      </c>
    </row>
    <row r="103" spans="1:19" x14ac:dyDescent="0.3">
      <c r="A103">
        <v>29</v>
      </c>
      <c r="B103">
        <v>28</v>
      </c>
      <c r="C103">
        <f>100*764531/1746891</f>
        <v>43.76523778529971</v>
      </c>
      <c r="D103">
        <f>100*686867/1958329</f>
        <v>35.07413718532484</v>
      </c>
      <c r="E103">
        <f>IF(COUNT(C103:D103)=2,D103-C103,"")</f>
        <v>-8.691100599974874</v>
      </c>
      <c r="H103">
        <v>29</v>
      </c>
      <c r="I103">
        <v>28</v>
      </c>
      <c r="J103">
        <f>100*1050807/2150575</f>
        <v>48.86167652837032</v>
      </c>
      <c r="K103">
        <f>100*586096/1726586</f>
        <v>33.945369648543426</v>
      </c>
      <c r="L103">
        <f>IF(COUNT(J103:K103)=2,K103-J103,"")</f>
        <v>-14.916306879826891</v>
      </c>
      <c r="O103">
        <v>29</v>
      </c>
      <c r="P103">
        <v>28</v>
      </c>
      <c r="Q103">
        <f>100*827171/1762089</f>
        <v>46.94263456613145</v>
      </c>
      <c r="R103">
        <f>100*715929/1798581</f>
        <v>39.805213109668124</v>
      </c>
      <c r="S103">
        <f>IF(COUNT(Q103:R103)=2,R103-Q103,"")</f>
        <v>-7.137421456463329</v>
      </c>
    </row>
    <row r="104" spans="1:19" x14ac:dyDescent="0.3">
      <c r="A104">
        <v>30</v>
      </c>
      <c r="B104">
        <v>29</v>
      </c>
      <c r="C104">
        <f>100*7364/541662</f>
        <v>1.3595194050902593</v>
      </c>
      <c r="D104">
        <f>100*6109/539376</f>
        <v>1.132605084393818</v>
      </c>
      <c r="E104">
        <f>IF(COUNT(C104:D104)=2,D104-C104,"")</f>
        <v>-0.22691432069644124</v>
      </c>
      <c r="H104">
        <v>30</v>
      </c>
      <c r="I104">
        <v>29</v>
      </c>
      <c r="J104">
        <f>100*410139/1282634</f>
        <v>31.976308128429466</v>
      </c>
      <c r="K104">
        <f>100*412461/1325888</f>
        <v>31.10828365593474</v>
      </c>
      <c r="L104">
        <f>IF(COUNT(J104:K104)=2,K104-J104,"")</f>
        <v>-0.8680244724947244</v>
      </c>
      <c r="O104">
        <v>30</v>
      </c>
      <c r="P104">
        <v>29</v>
      </c>
      <c r="Q104">
        <f>100*806811/1713643</f>
        <v>47.08162668653856</v>
      </c>
      <c r="R104">
        <f>100*572669/1584335</f>
        <v>36.14570150883494</v>
      </c>
      <c r="S104">
        <f>IF(COUNT(Q104:R104)=2,R104-Q104,"")</f>
        <v>-10.935925177703623</v>
      </c>
    </row>
    <row r="105" spans="1:19" x14ac:dyDescent="0.3">
      <c r="A105">
        <v>31</v>
      </c>
      <c r="B105">
        <v>30</v>
      </c>
      <c r="C105">
        <f>100*859640/1902385</f>
        <v>45.187488337008546</v>
      </c>
      <c r="D105">
        <f>100*666687/1849697</f>
        <v>36.043038400343406</v>
      </c>
      <c r="E105">
        <f>IF(COUNT(C105:D105)=2,D105-C105,"")</f>
        <v>-9.14444993666514</v>
      </c>
      <c r="H105">
        <v>31</v>
      </c>
      <c r="I105">
        <v>30</v>
      </c>
      <c r="J105">
        <f>100*349588/1410455</f>
        <v>24.785477026916848</v>
      </c>
      <c r="K105">
        <f>100*535530/1653405</f>
        <v>32.38952343799613</v>
      </c>
      <c r="L105">
        <f>IF(COUNT(J105:K105)=2,K105-J105,"")</f>
        <v>7.604046411079285</v>
      </c>
      <c r="O105">
        <v>31</v>
      </c>
      <c r="P105">
        <v>30</v>
      </c>
      <c r="Q105">
        <f>100*267010/983366</f>
        <v>27.15265730155405</v>
      </c>
      <c r="R105">
        <f>100*68372/813343</f>
        <v>8.406293531757205</v>
      </c>
      <c r="S105">
        <f>IF(COUNT(Q105:R105)=2,R105-Q105,"")</f>
        <v>-18.746363769796844</v>
      </c>
    </row>
    <row r="106" spans="1:19" x14ac:dyDescent="0.3">
      <c r="A106" t="s">
        <v>5</v>
      </c>
      <c r="C106">
        <f>IF(COUNT(C75:C105)&gt;0,AVERAGE(C75:C105),"")</f>
        <v>34.096955178849896</v>
      </c>
      <c r="D106">
        <f>IF(COUNT(D75:D105)&gt;0,AVERAGE(D75:D105),"")</f>
        <v>27.677719737237005</v>
      </c>
      <c r="E106">
        <f>IF(COUNT(E75:E105)&gt;0,AVERAGE(E75:E105),"")</f>
        <v>-6.4192354416128925</v>
      </c>
      <c r="H106" t="s">
        <v>5</v>
      </c>
      <c r="J106">
        <f>IF(COUNT(J75:J105)&gt;0,AVERAGE(J75:J105),"")</f>
        <v>36.69157069983473</v>
      </c>
      <c r="K106">
        <f>IF(COUNT(K75:K105)&gt;0,AVERAGE(K75:K105),"")</f>
        <v>27.453782436437265</v>
      </c>
      <c r="L106">
        <f>IF(COUNT(L75:L105)&gt;0,AVERAGE(L75:L105),"")</f>
        <v>-9.499885974379605</v>
      </c>
      <c r="O106" t="s">
        <v>5</v>
      </c>
      <c r="Q106">
        <f>IF(COUNT(Q75:Q105)&gt;0,AVERAGE(Q75:Q105),"")</f>
        <v>33.786792028213014</v>
      </c>
      <c r="R106">
        <f>IF(COUNT(R75:R105)&gt;0,AVERAGE(R75:R105),"")</f>
        <v>28.85177629477474</v>
      </c>
      <c r="S106">
        <f>IF(COUNT(S75:S105)&gt;0,AVERAGE(S75:S105),"")</f>
        <v>-4.93501573343827</v>
      </c>
    </row>
  </sheetData>
  <mergeCells count="9">
    <mergeCell ref="A73:E73"/>
    <mergeCell ref="H73:L73"/>
    <mergeCell ref="O73:S73"/>
    <mergeCell ref="A1:E1"/>
    <mergeCell ref="H1:L1"/>
    <mergeCell ref="O1:S1"/>
    <mergeCell ref="A37:E37"/>
    <mergeCell ref="H37:L37"/>
    <mergeCell ref="O37:S37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39689-D3B2-4CE1-A0FE-D7D3C80000D2}">
  <dimension ref="A1:S106"/>
  <sheetViews>
    <sheetView workbookViewId="0">
      <selection activeCell="G70" sqref="G70"/>
    </sheetView>
  </sheetViews>
  <sheetFormatPr defaultRowHeight="16.5" x14ac:dyDescent="0.3"/>
  <sheetData>
    <row r="1" spans="1:19" s="2" customFormat="1" ht="17.25" customHeight="1" x14ac:dyDescent="0.3">
      <c r="A1" s="1" t="s">
        <v>6</v>
      </c>
      <c r="B1" s="1"/>
      <c r="C1" s="1"/>
      <c r="D1" s="1"/>
      <c r="E1" s="1"/>
      <c r="H1" s="1" t="s">
        <v>7</v>
      </c>
      <c r="I1" s="1"/>
      <c r="J1" s="1"/>
      <c r="K1" s="1"/>
      <c r="L1" s="1"/>
      <c r="O1" s="1" t="s">
        <v>8</v>
      </c>
      <c r="P1" s="1"/>
      <c r="Q1" s="1"/>
      <c r="R1" s="1"/>
      <c r="S1" s="1"/>
    </row>
    <row r="2" spans="1:19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H2" t="s">
        <v>0</v>
      </c>
      <c r="I2" t="s">
        <v>1</v>
      </c>
      <c r="J2" t="s">
        <v>2</v>
      </c>
      <c r="K2" t="s">
        <v>3</v>
      </c>
      <c r="L2" t="s">
        <v>4</v>
      </c>
      <c r="O2" t="s">
        <v>0</v>
      </c>
      <c r="P2" t="s">
        <v>1</v>
      </c>
      <c r="Q2" t="s">
        <v>2</v>
      </c>
      <c r="R2" t="s">
        <v>3</v>
      </c>
      <c r="S2" t="s">
        <v>4</v>
      </c>
    </row>
    <row r="3" spans="1:19" x14ac:dyDescent="0.3">
      <c r="A3">
        <v>1</v>
      </c>
      <c r="B3">
        <v>0</v>
      </c>
      <c r="C3">
        <f>100*332764/1052174</f>
        <v>31.626327964766283</v>
      </c>
      <c r="D3">
        <f>100*44340/553817</f>
        <v>8.00625477368878</v>
      </c>
      <c r="E3">
        <f>IF(COUNT(C3:D3)=2,D3-C3,"")</f>
        <v>-23.620073191077502</v>
      </c>
      <c r="H3">
        <v>1</v>
      </c>
      <c r="I3">
        <v>0</v>
      </c>
      <c r="J3">
        <f>100*291815/1145550</f>
        <v>25.47378988258915</v>
      </c>
      <c r="K3">
        <f>100*90577/709644</f>
        <v>12.763723782629036</v>
      </c>
      <c r="L3">
        <f>IF(COUNT(J3:K3)=2,K3-J3,"")</f>
        <v>-12.710066099960112</v>
      </c>
      <c r="O3">
        <v>1</v>
      </c>
      <c r="P3">
        <v>0</v>
      </c>
      <c r="Q3">
        <f>100*208586/733698</f>
        <v>28.429408285152746</v>
      </c>
      <c r="R3">
        <f>100*96525/622771</f>
        <v>15.49927662013806</v>
      </c>
      <c r="S3">
        <f>IF(COUNT(Q3:R3)=2,R3-Q3,"")</f>
        <v>-12.930131665014686</v>
      </c>
    </row>
    <row r="4" spans="1:19" x14ac:dyDescent="0.3">
      <c r="A4">
        <v>2</v>
      </c>
      <c r="B4">
        <v>1</v>
      </c>
      <c r="C4">
        <f>100*356409/1118920</f>
        <v>31.852947485074893</v>
      </c>
      <c r="D4">
        <f>100*249869/1099363</f>
        <v>22.728525518868654</v>
      </c>
      <c r="E4">
        <f>IF(COUNT(C4:D4)=2,D4-C4,"")</f>
        <v>-9.124421966206238</v>
      </c>
      <c r="H4">
        <v>2</v>
      </c>
      <c r="I4">
        <v>1</v>
      </c>
      <c r="J4">
        <f>100*130334/783729</f>
        <v>16.629983068126865</v>
      </c>
      <c r="K4">
        <f>100*274062/1049737</f>
        <v>26.107682209924963</v>
      </c>
      <c r="L4">
        <f>IF(COUNT(J4:K4)=2,K4-J4,"")</f>
        <v>9.477699141798098</v>
      </c>
      <c r="O4">
        <v>2</v>
      </c>
      <c r="P4">
        <v>1</v>
      </c>
      <c r="Q4">
        <f>100*510455/1451156</f>
        <v>35.17574954036644</v>
      </c>
      <c r="R4">
        <f>100*283154/1107433</f>
        <v>25.568499403575657</v>
      </c>
      <c r="S4">
        <f>IF(COUNT(Q4:R4)=2,R4-Q4,"")</f>
        <v>-9.607250136790782</v>
      </c>
    </row>
    <row r="5" spans="1:19" x14ac:dyDescent="0.3">
      <c r="A5">
        <v>3</v>
      </c>
      <c r="B5">
        <v>2</v>
      </c>
      <c r="C5">
        <f>100*397332/1270809</f>
        <v>31.266067520768267</v>
      </c>
      <c r="D5">
        <f>100*237107/1007332</f>
        <v>23.53811851504767</v>
      </c>
      <c r="E5">
        <f>IF(COUNT(C5:D5)=2,D5-C5,"")</f>
        <v>-7.727949005720596</v>
      </c>
      <c r="H5">
        <v>3</v>
      </c>
      <c r="I5">
        <v>2</v>
      </c>
      <c r="J5">
        <f>100*147851/1441835</f>
        <v>10.25436336335295</v>
      </c>
      <c r="K5">
        <f>100*136269/852469</f>
        <v>15.985214711620012</v>
      </c>
      <c r="L5">
        <f>IF(COUNT(J5:K5)=2,K5-J5,"")</f>
        <v>5.730851348267063</v>
      </c>
      <c r="O5">
        <v>3</v>
      </c>
      <c r="P5">
        <v>2</v>
      </c>
      <c r="Q5">
        <f>100*480143/1280935</f>
        <v>37.48379113694293</v>
      </c>
      <c r="R5">
        <f>100*285006/1102255</f>
        <v>25.856630271579625</v>
      </c>
      <c r="S5">
        <f>IF(COUNT(Q5:R5)=2,R5-Q5,"")</f>
        <v>-11.627160865363308</v>
      </c>
    </row>
    <row r="6" spans="1:19" x14ac:dyDescent="0.3">
      <c r="A6">
        <v>4</v>
      </c>
      <c r="B6">
        <v>3</v>
      </c>
      <c r="C6">
        <f>100*16403/519550</f>
        <v>3.1571552304879225</v>
      </c>
      <c r="D6">
        <f>100*71312/580812</f>
        <v>12.277983237260939</v>
      </c>
      <c r="E6">
        <f>IF(COUNT(C6:D6)=2,D6-C6,"")</f>
        <v>9.120828006773017</v>
      </c>
      <c r="H6">
        <v>4</v>
      </c>
      <c r="I6">
        <v>3</v>
      </c>
      <c r="J6">
        <f>100*123870/784417</f>
        <v>15.791345674558302</v>
      </c>
      <c r="K6">
        <f>100*20874/496035</f>
        <v>4.208170794399589</v>
      </c>
      <c r="L6">
        <f>IF(COUNT(J6:K6)=2,K6-J6,"")</f>
        <v>-11.583174880158714</v>
      </c>
      <c r="O6">
        <v>4</v>
      </c>
      <c r="P6">
        <v>3</v>
      </c>
      <c r="Q6">
        <f>100*450191/1211277</f>
        <v>37.16664313777939</v>
      </c>
      <c r="R6">
        <f>100*217738/923934</f>
        <v>23.566401929142124</v>
      </c>
      <c r="S6">
        <f>IF(COUNT(Q6:R6)=2,R6-Q6,"")</f>
        <v>-13.600241208637264</v>
      </c>
    </row>
    <row r="7" spans="1:19" x14ac:dyDescent="0.3">
      <c r="A7">
        <v>5</v>
      </c>
      <c r="B7">
        <v>4</v>
      </c>
      <c r="C7">
        <f>100*497044/1286267</f>
        <v>38.64236585405674</v>
      </c>
      <c r="D7">
        <f>100*257292/1115287</f>
        <v>23.06957760648156</v>
      </c>
      <c r="E7">
        <f>IF(COUNT(C7:D7)=2,D7-C7,"")</f>
        <v>-15.572788247575183</v>
      </c>
      <c r="H7">
        <v>5</v>
      </c>
      <c r="I7">
        <v>4</v>
      </c>
      <c r="J7">
        <f>100*342477/1148710</f>
        <v>29.814052284736793</v>
      </c>
      <c r="K7">
        <f>100*322163/1221127</f>
        <v>26.38243196653583</v>
      </c>
      <c r="L7">
        <f>IF(COUNT(J7:K7)=2,K7-J7,"")</f>
        <v>-3.431620318200963</v>
      </c>
      <c r="O7">
        <v>5</v>
      </c>
      <c r="P7">
        <v>4</v>
      </c>
      <c r="Q7">
        <f>100*389359/1092762</f>
        <v>35.63072288384845</v>
      </c>
      <c r="R7">
        <f>100*93328/557183</f>
        <v>16.749972630177158</v>
      </c>
      <c r="S7">
        <f>IF(COUNT(Q7:R7)=2,R7-Q7,"")</f>
        <v>-18.88075025367129</v>
      </c>
    </row>
    <row r="8" spans="1:19" x14ac:dyDescent="0.3">
      <c r="A8">
        <v>6</v>
      </c>
      <c r="B8">
        <v>5</v>
      </c>
      <c r="C8">
        <f>100*295084/1125005</f>
        <v>26.229572313011943</v>
      </c>
      <c r="D8">
        <f>100*217675/1024896</f>
        <v>21.238740320969153</v>
      </c>
      <c r="E8">
        <f>IF(COUNT(C8:D8)=2,D8-C8,"")</f>
        <v>-4.990831992042789</v>
      </c>
      <c r="H8">
        <v>6</v>
      </c>
      <c r="I8">
        <v>5</v>
      </c>
      <c r="J8">
        <f>100*246415/1039225</f>
        <v>23.71141956746614</v>
      </c>
      <c r="K8">
        <f>100*202550/1013420</f>
        <v>19.986777446665744</v>
      </c>
      <c r="L8">
        <f>IF(COUNT(J8:K8)=2,K8-J8,"")</f>
        <v>-3.7246421208003966</v>
      </c>
      <c r="O8">
        <v>6</v>
      </c>
      <c r="P8">
        <v>5</v>
      </c>
      <c r="Q8">
        <f>100*269836/994553</f>
        <v>27.131384652200538</v>
      </c>
      <c r="R8">
        <f>100*85791/671685</f>
        <v>12.772504968847004</v>
      </c>
      <c r="S8">
        <f>IF(COUNT(Q8:R8)=2,R8-Q8,"")</f>
        <v>-14.358879683353534</v>
      </c>
    </row>
    <row r="9" spans="1:19" x14ac:dyDescent="0.3">
      <c r="A9">
        <v>7</v>
      </c>
      <c r="B9">
        <v>6</v>
      </c>
      <c r="C9">
        <f>100*240424/851852</f>
        <v>28.223682048055295</v>
      </c>
      <c r="D9">
        <f>100*17731/440504</f>
        <v>4.025162087063909</v>
      </c>
      <c r="E9">
        <f>IF(COUNT(C9:D9)=2,D9-C9,"")</f>
        <v>-24.198519960991387</v>
      </c>
      <c r="H9">
        <v>7</v>
      </c>
      <c r="I9">
        <v>6</v>
      </c>
      <c r="J9">
        <f>100*3261/356727</f>
        <v>0.9141444297740289</v>
      </c>
      <c r="K9">
        <f>100*10116/467779</f>
        <v>2.162559670271645</v>
      </c>
      <c r="L9">
        <f>IF(COUNT(J9:K9)=2,K9-J9,"")</f>
        <v>1.2484152404976163</v>
      </c>
      <c r="O9">
        <v>7</v>
      </c>
      <c r="P9">
        <v>6</v>
      </c>
      <c r="Q9">
        <f>100*460466/1246393</f>
        <v>36.94388527535055</v>
      </c>
      <c r="R9">
        <f>100*115224/775083</f>
        <v>14.866020800352995</v>
      </c>
      <c r="S9">
        <f>IF(COUNT(Q9:R9)=2,R9-Q9,"")</f>
        <v>-22.077864474997558</v>
      </c>
    </row>
    <row r="10" spans="1:19" x14ac:dyDescent="0.3">
      <c r="A10">
        <v>8</v>
      </c>
      <c r="B10">
        <v>7</v>
      </c>
      <c r="C10">
        <f>100*3447/313581</f>
        <v>1.09923751757919</v>
      </c>
      <c r="D10">
        <f>100*9109/342489</f>
        <v>2.6596474631302027</v>
      </c>
      <c r="E10">
        <f>IF(COUNT(C10:D10)=2,D10-C10,"")</f>
        <v>1.5604099455510128</v>
      </c>
      <c r="H10">
        <v>8</v>
      </c>
      <c r="I10">
        <v>7</v>
      </c>
      <c r="J10">
        <f>100*275/278589</f>
        <v>0.09871172228623527</v>
      </c>
      <c r="K10">
        <f>100*38010/489840</f>
        <v>7.759676629103381</v>
      </c>
      <c r="L10">
        <f>IF(COUNT(J10:K10)=2,K10-J10,"")</f>
        <v>7.660964906817146</v>
      </c>
      <c r="O10">
        <v>8</v>
      </c>
      <c r="P10">
        <v>7</v>
      </c>
      <c r="Q10">
        <f>100*631465/1523952</f>
        <v>41.43601635747058</v>
      </c>
      <c r="R10">
        <f>100*334955/1171055</f>
        <v>28.602841027961965</v>
      </c>
      <c r="S10">
        <f>IF(COUNT(Q10:R10)=2,R10-Q10,"")</f>
        <v>-12.833175329508613</v>
      </c>
    </row>
    <row r="11" spans="1:19" x14ac:dyDescent="0.3">
      <c r="A11">
        <v>9</v>
      </c>
      <c r="B11">
        <v>8</v>
      </c>
      <c r="C11">
        <f>100*328851/1096172</f>
        <v>29.999945264064397</v>
      </c>
      <c r="D11">
        <f>100*436012/1431427</f>
        <v>30.459953598751454</v>
      </c>
      <c r="E11">
        <f>IF(COUNT(C11:D11)=2,D11-C11,"")</f>
        <v>0.46000833468705693</v>
      </c>
      <c r="H11">
        <v>9</v>
      </c>
      <c r="I11">
        <v>8</v>
      </c>
      <c r="J11">
        <f>100*382533/1287826</f>
        <v>29.70377985845914</v>
      </c>
      <c r="K11">
        <f>100*434026/1353267</f>
        <v>32.072458723962086</v>
      </c>
      <c r="L11">
        <f>IF(COUNT(J11:K11)=2,K11-J11,"")</f>
        <v>2.3686788655029467</v>
      </c>
      <c r="O11">
        <v>9</v>
      </c>
      <c r="P11">
        <v>8</v>
      </c>
      <c r="Q11">
        <f>100*511514/1411309</f>
        <v>36.24394090875917</v>
      </c>
      <c r="R11">
        <f>100*328582/1221832</f>
        <v>26.89256788167277</v>
      </c>
      <c r="S11">
        <f>IF(COUNT(Q11:R11)=2,R11-Q11,"")</f>
        <v>-9.351373027086403</v>
      </c>
    </row>
    <row r="12" spans="1:19" x14ac:dyDescent="0.3">
      <c r="A12">
        <v>10</v>
      </c>
      <c r="B12">
        <v>9</v>
      </c>
      <c r="C12">
        <f>100*147882/738636</f>
        <v>20.0209575487791</v>
      </c>
      <c r="D12">
        <f>100*66736/782270</f>
        <v>8.531069835223132</v>
      </c>
      <c r="E12">
        <f>IF(COUNT(C12:D12)=2,D12-C12,"")</f>
        <v>-11.48988771355597</v>
      </c>
      <c r="H12">
        <v>10</v>
      </c>
      <c r="I12">
        <v>9</v>
      </c>
      <c r="J12">
        <f>100*179400/747366</f>
        <v>24.00430311253121</v>
      </c>
      <c r="K12">
        <f>100*138466/802557</f>
        <v>17.25310476389839</v>
      </c>
      <c r="L12">
        <f>IF(COUNT(J12:K12)=2,K12-J12,"")</f>
        <v>-6.751198348632823</v>
      </c>
      <c r="O12">
        <v>10</v>
      </c>
      <c r="P12">
        <v>9</v>
      </c>
      <c r="Q12">
        <f>100*361827/1149672</f>
        <v>31.47219380832098</v>
      </c>
      <c r="R12">
        <f>100*5744/437196</f>
        <v>1.3138272079341988</v>
      </c>
      <c r="S12">
        <f>IF(COUNT(Q12:R12)=2,R12-Q12,"")</f>
        <v>-30.15836660038678</v>
      </c>
    </row>
    <row r="13" spans="1:19" x14ac:dyDescent="0.3">
      <c r="A13">
        <v>11</v>
      </c>
      <c r="B13">
        <v>10</v>
      </c>
      <c r="C13">
        <f>100*4137/540292</f>
        <v>0.7656970675116419</v>
      </c>
      <c r="D13">
        <f>100*30784/570550</f>
        <v>5.39549557444571</v>
      </c>
      <c r="E13">
        <f>IF(COUNT(C13:D13)=2,D13-C13,"")</f>
        <v>4.629798506934068</v>
      </c>
      <c r="H13">
        <v>11</v>
      </c>
      <c r="I13">
        <v>10</v>
      </c>
      <c r="J13">
        <f>100*29717/602395</f>
        <v>4.933141875347571</v>
      </c>
      <c r="K13">
        <f>100*70163/723980</f>
        <v>9.691289814635763</v>
      </c>
      <c r="L13">
        <f>IF(COUNT(J13:K13)=2,K13-J13,"")</f>
        <v>4.758147939288191</v>
      </c>
      <c r="O13">
        <v>11</v>
      </c>
      <c r="P13">
        <v>10</v>
      </c>
      <c r="Q13">
        <f>100*314083/1092488</f>
        <v>28.749331800440828</v>
      </c>
      <c r="R13">
        <f>100*326558/1110214</f>
        <v>29.413968838440155</v>
      </c>
      <c r="S13">
        <f>IF(COUNT(Q13:R13)=2,R13-Q13,"")</f>
        <v>0.6646370379993272</v>
      </c>
    </row>
    <row r="14" spans="1:19" x14ac:dyDescent="0.3">
      <c r="A14">
        <v>12</v>
      </c>
      <c r="B14">
        <v>11</v>
      </c>
      <c r="C14">
        <f>100*469865/1292144</f>
        <v>36.363207196721106</v>
      </c>
      <c r="D14">
        <f>100*45149/625362</f>
        <v>7.219658373869855</v>
      </c>
      <c r="E14">
        <f>IF(COUNT(C14:D14)=2,D14-C14,"")</f>
        <v>-29.14354882285125</v>
      </c>
      <c r="H14">
        <v>12</v>
      </c>
      <c r="I14">
        <v>11</v>
      </c>
      <c r="J14">
        <f>100*17227/518447</f>
        <v>3.3228083102033574</v>
      </c>
      <c r="K14">
        <f>100*116171/722354</f>
        <v>16.082280986884548</v>
      </c>
      <c r="L14">
        <f>IF(COUNT(J14:K14)=2,K14-J14,"")</f>
        <v>12.759472676681192</v>
      </c>
      <c r="O14">
        <v>12</v>
      </c>
      <c r="P14">
        <v>11</v>
      </c>
      <c r="Q14">
        <f>100*438660/1271352</f>
        <v>34.5034262737621</v>
      </c>
      <c r="R14">
        <f>100*245824/1008115</f>
        <v>24.38451962325727</v>
      </c>
      <c r="S14">
        <f>IF(COUNT(Q14:R14)=2,R14-Q14,"")</f>
        <v>-10.118906650504833</v>
      </c>
    </row>
    <row r="15" spans="1:19" x14ac:dyDescent="0.3">
      <c r="A15">
        <v>13</v>
      </c>
      <c r="B15">
        <v>12</v>
      </c>
      <c r="C15">
        <f>100*47266/521892</f>
        <v>9.0566630643888</v>
      </c>
      <c r="D15">
        <f>100*138501/744305</f>
        <v>18.608097486917327</v>
      </c>
      <c r="E15">
        <f>IF(COUNT(C15:D15)=2,D15-C15,"")</f>
        <v>9.551434422528526</v>
      </c>
      <c r="H15">
        <v>13</v>
      </c>
      <c r="I15">
        <v>12</v>
      </c>
      <c r="J15">
        <f>100*544142/1461712</f>
        <v>37.22634828201451</v>
      </c>
      <c r="K15">
        <f>100*117135/741214</f>
        <v>15.803128381277203</v>
      </c>
      <c r="L15">
        <f>IF(COUNT(J15:K15)=2,K15-J15,"")</f>
        <v>-21.42321990073731</v>
      </c>
      <c r="O15">
        <v>13</v>
      </c>
      <c r="P15">
        <v>12</v>
      </c>
      <c r="Q15">
        <f>100*357555/1108932</f>
        <v>32.243185335079154</v>
      </c>
      <c r="R15">
        <f>100*94606/638143</f>
        <v>14.825203755271154</v>
      </c>
      <c r="S15">
        <f>IF(COUNT(Q15:R15)=2,R15-Q15,"")</f>
        <v>-17.417981579808</v>
      </c>
    </row>
    <row r="16" spans="1:19" x14ac:dyDescent="0.3">
      <c r="A16">
        <v>14</v>
      </c>
      <c r="B16">
        <v>13</v>
      </c>
      <c r="C16">
        <f>100*7402/385878</f>
        <v>1.9182228580017517</v>
      </c>
      <c r="D16">
        <f>100*92457/646913</f>
        <v>14.292029994759728</v>
      </c>
      <c r="E16">
        <f>IF(COUNT(C16:D16)=2,D16-C16,"")</f>
        <v>12.373807136757977</v>
      </c>
      <c r="H16">
        <v>14</v>
      </c>
      <c r="I16">
        <v>13</v>
      </c>
      <c r="J16">
        <f>100*181558/818931</f>
        <v>22.170121780711685</v>
      </c>
      <c r="K16">
        <f>100*105913/678692</f>
        <v>15.60545873533208</v>
      </c>
      <c r="L16">
        <f>IF(COUNT(J16:K16)=2,K16-J16,"")</f>
        <v>-6.564663045379605</v>
      </c>
      <c r="O16">
        <v>14</v>
      </c>
      <c r="P16">
        <v>13</v>
      </c>
      <c r="Q16">
        <f>100*131266/578543</f>
        <v>22.689065462722738</v>
      </c>
      <c r="R16">
        <f>100*55263/610718</f>
        <v>9.04885724671616</v>
      </c>
      <c r="S16">
        <f>IF(COUNT(Q16:R16)=2,R16-Q16,"")</f>
        <v>-13.640208216006577</v>
      </c>
    </row>
    <row r="17" spans="1:19" x14ac:dyDescent="0.3">
      <c r="A17">
        <v>15</v>
      </c>
      <c r="B17">
        <v>14</v>
      </c>
      <c r="C17">
        <f>100*405804/1241849</f>
        <v>32.67740280823192</v>
      </c>
      <c r="D17">
        <f>100*218403/968778</f>
        <v>22.544174207093885</v>
      </c>
      <c r="E17">
        <f>IF(COUNT(C17:D17)=2,D17-C17,"")</f>
        <v>-10.133228601138033</v>
      </c>
      <c r="H17">
        <v>15</v>
      </c>
      <c r="I17">
        <v>14</v>
      </c>
      <c r="J17">
        <f>100*610081/1573211</f>
        <v>38.779350004544845</v>
      </c>
      <c r="K17">
        <f>100*227824/1031198</f>
        <v>22.09313827218439</v>
      </c>
      <c r="L17">
        <f>IF(COUNT(J17:K17)=2,K17-J17,"")</f>
        <v>-16.686211732360455</v>
      </c>
      <c r="O17">
        <v>15</v>
      </c>
      <c r="P17">
        <v>14</v>
      </c>
      <c r="Q17">
        <f>100*384174/1163453</f>
        <v>33.020156379329464</v>
      </c>
      <c r="R17">
        <f>100*406015/1323629</f>
        <v>30.674380812146</v>
      </c>
      <c r="S17">
        <f>IF(COUNT(Q17:R17)=2,R17-Q17,"")</f>
        <v>-2.3457755671834626</v>
      </c>
    </row>
    <row r="18" spans="1:19" x14ac:dyDescent="0.3">
      <c r="A18">
        <v>16</v>
      </c>
      <c r="B18">
        <v>15</v>
      </c>
      <c r="C18">
        <f>100*397150/1193789</f>
        <v>33.26802307610474</v>
      </c>
      <c r="D18">
        <f>100*185245/850269</f>
        <v>21.78663458270265</v>
      </c>
      <c r="E18">
        <f>IF(COUNT(C18:D18)=2,D18-C18,"")</f>
        <v>-11.48138849340209</v>
      </c>
      <c r="H18">
        <v>16</v>
      </c>
      <c r="I18">
        <v>15</v>
      </c>
      <c r="J18">
        <f>100*311472/1035367</f>
        <v>30.083245844227218</v>
      </c>
      <c r="K18">
        <f>100*131567/714975</f>
        <v>18.401622434350852</v>
      </c>
      <c r="L18">
        <f>IF(COUNT(J18:K18)=2,K18-J18,"")</f>
        <v>-11.681623409876366</v>
      </c>
      <c r="O18">
        <v>16</v>
      </c>
      <c r="P18">
        <v>15</v>
      </c>
      <c r="Q18">
        <f>100*403580/1172064</f>
        <v>34.43327326835394</v>
      </c>
      <c r="R18">
        <f>100*339602/1182271</f>
        <v>28.724547925137298</v>
      </c>
      <c r="S18">
        <f>IF(COUNT(Q18:R18)=2,R18-Q18,"")</f>
        <v>-5.708725343216646</v>
      </c>
    </row>
    <row r="19" spans="1:19" x14ac:dyDescent="0.3">
      <c r="A19">
        <v>17</v>
      </c>
      <c r="B19">
        <v>16</v>
      </c>
      <c r="C19">
        <f>100*170884/804109</f>
        <v>21.251347765041803</v>
      </c>
      <c r="D19">
        <f>100*255014/1153790</f>
        <v>22.102288978063598</v>
      </c>
      <c r="E19">
        <f>IF(COUNT(C19:D19)=2,D19-C19,"")</f>
        <v>0.8509412130217946</v>
      </c>
      <c r="H19">
        <v>17</v>
      </c>
      <c r="I19">
        <v>16</v>
      </c>
      <c r="J19">
        <f>100*547667/1465339</f>
        <v>37.37476447429571</v>
      </c>
      <c r="K19">
        <f>100*288077/1126205</f>
        <v>25.579446015601068</v>
      </c>
      <c r="L19">
        <f>IF(COUNT(J19:K19)=2,K19-J19,"")</f>
        <v>-11.795318458694641</v>
      </c>
      <c r="O19">
        <v>17</v>
      </c>
      <c r="P19">
        <v>16</v>
      </c>
      <c r="Q19">
        <f>100*34194/375756</f>
        <v>9.10005429055025</v>
      </c>
      <c r="R19">
        <f>100*7280/307155</f>
        <v>2.370138854975501</v>
      </c>
      <c r="S19">
        <f>IF(COUNT(Q19:R19)=2,R19-Q19,"")</f>
        <v>-6.72991543557475</v>
      </c>
    </row>
    <row r="20" spans="1:19" x14ac:dyDescent="0.3">
      <c r="A20">
        <v>18</v>
      </c>
      <c r="B20">
        <v>17</v>
      </c>
      <c r="C20">
        <f>100*269013/913065</f>
        <v>29.462634095053474</v>
      </c>
      <c r="D20">
        <f>100*53599/581606</f>
        <v>9.21568897157182</v>
      </c>
      <c r="E20">
        <f>IF(COUNT(C20:D20)=2,D20-C20,"")</f>
        <v>-20.24694512348165</v>
      </c>
      <c r="H20">
        <v>18</v>
      </c>
      <c r="I20">
        <v>17</v>
      </c>
      <c r="J20">
        <f>100*246590/976020</f>
        <v>25.264851130099792</v>
      </c>
      <c r="K20">
        <f>100*43799/548763</f>
        <v>7.981405451898178</v>
      </c>
      <c r="L20">
        <f>IF(COUNT(J20:K20)=2,K20-J20,"")</f>
        <v>-17.283445678201616</v>
      </c>
      <c r="O20">
        <v>18</v>
      </c>
      <c r="P20">
        <v>17</v>
      </c>
      <c r="Q20">
        <f>100*2176/318434</f>
        <v>0.6833441152640736</v>
      </c>
      <c r="R20">
        <f>100*2726/335996</f>
        <v>0.8113191823712187</v>
      </c>
      <c r="S20">
        <f>IF(COUNT(Q20:R20)=2,R20-Q20,"")</f>
        <v>0.12797506710714512</v>
      </c>
    </row>
    <row r="21" spans="1:19" x14ac:dyDescent="0.3">
      <c r="A21">
        <v>19</v>
      </c>
      <c r="B21">
        <v>18</v>
      </c>
      <c r="C21">
        <f>100*130405/675745</f>
        <v>19.297960029300995</v>
      </c>
      <c r="D21">
        <f>100*60954/665527</f>
        <v>9.158756894911852</v>
      </c>
      <c r="E21">
        <f>IF(COUNT(C21:D21)=2,D21-C21,"")</f>
        <v>-10.139203134389144</v>
      </c>
      <c r="H21">
        <v>19</v>
      </c>
      <c r="I21">
        <v>18</v>
      </c>
      <c r="J21">
        <f>100*94163/608895</f>
        <v>15.464571067261186</v>
      </c>
      <c r="K21">
        <f>100*101519/670291</f>
        <v>15.145511427126428</v>
      </c>
      <c r="L21">
        <f>IF(COUNT(J21:K21)=2,K21-J21,"")</f>
        <v>-0.31905964013475874</v>
      </c>
      <c r="O21">
        <v>19</v>
      </c>
      <c r="P21">
        <v>18</v>
      </c>
      <c r="Q21">
        <f>100*460785/1299362</f>
        <v>35.462403856661965</v>
      </c>
      <c r="R21">
        <f>100*369230/1265197</f>
        <v>29.18359749509365</v>
      </c>
      <c r="S21">
        <f>IF(COUNT(Q21:R21)=2,R21-Q21,"")</f>
        <v>-6.278806361568314</v>
      </c>
    </row>
    <row r="22" spans="1:19" x14ac:dyDescent="0.3">
      <c r="A22">
        <v>20</v>
      </c>
      <c r="B22">
        <v>19</v>
      </c>
      <c r="C22">
        <f>100*271082/932573</f>
        <v>29.068180185358145</v>
      </c>
      <c r="D22">
        <f>100*45305/679286</f>
        <v>6.669502978127033</v>
      </c>
      <c r="E22">
        <f>IF(COUNT(C22:D22)=2,D22-C22,"")</f>
        <v>-22.39867720723111</v>
      </c>
      <c r="H22">
        <v>20</v>
      </c>
      <c r="I22">
        <v>19</v>
      </c>
      <c r="J22">
        <f>100*51102/454685</f>
        <v>11.238989630183534</v>
      </c>
      <c r="K22">
        <f>100*31676/614256</f>
        <v>5.1568075851110935</v>
      </c>
      <c r="L22">
        <f>IF(COUNT(J22:K22)=2,K22-J22,"")</f>
        <v>-6.08218204507244</v>
      </c>
      <c r="O22">
        <v>20</v>
      </c>
      <c r="P22">
        <v>19</v>
      </c>
      <c r="Q22">
        <f>100*246053/750263</f>
        <v>32.795566354731605</v>
      </c>
      <c r="R22">
        <f>100*205033/913638</f>
        <v>22.4413826920509</v>
      </c>
      <c r="S22">
        <f>IF(COUNT(Q22:R22)=2,R22-Q22,"")</f>
        <v>-10.354183662680704</v>
      </c>
    </row>
    <row r="23" spans="1:19" x14ac:dyDescent="0.3">
      <c r="A23">
        <v>21</v>
      </c>
      <c r="B23">
        <v>20</v>
      </c>
      <c r="C23">
        <f>100*144702/617823</f>
        <v>23.42127114076362</v>
      </c>
      <c r="D23">
        <f>100*117813/810935</f>
        <v>14.528044787806667</v>
      </c>
      <c r="E23">
        <f>IF(COUNT(C23:D23)=2,D23-C23,"")</f>
        <v>-8.893226352956951</v>
      </c>
      <c r="H23">
        <v>21</v>
      </c>
      <c r="I23">
        <v>20</v>
      </c>
      <c r="J23">
        <f>100*591919/1541493</f>
        <v>38.399071549465354</v>
      </c>
      <c r="K23">
        <f>100*151173/903918</f>
        <v>16.72419400874858</v>
      </c>
      <c r="L23">
        <f>IF(COUNT(J23:K23)=2,K23-J23,"")</f>
        <v>-21.674877540716775</v>
      </c>
      <c r="O23">
        <v>21</v>
      </c>
      <c r="P23">
        <v>20</v>
      </c>
      <c r="Q23">
        <f>100*189374/774599</f>
        <v>24.448004709533578</v>
      </c>
      <c r="R23">
        <f>100*268316/987942</f>
        <v>27.159084237738654</v>
      </c>
      <c r="S23">
        <f>IF(COUNT(Q23:R23)=2,R23-Q23,"")</f>
        <v>2.711079528205076</v>
      </c>
    </row>
    <row r="24" spans="1:19" x14ac:dyDescent="0.3">
      <c r="A24">
        <v>22</v>
      </c>
      <c r="B24">
        <v>21</v>
      </c>
      <c r="C24">
        <f>100*295116/1275471</f>
        <v>23.1378055635918</v>
      </c>
      <c r="D24">
        <f>100*282987/1263156</f>
        <v>22.40317110475666</v>
      </c>
      <c r="E24">
        <f>IF(COUNT(C24:D24)=2,D24-C24,"")</f>
        <v>-0.7346344588351421</v>
      </c>
      <c r="H24">
        <v>22</v>
      </c>
      <c r="I24">
        <v>21</v>
      </c>
      <c r="J24">
        <f>100*392324/1270598</f>
        <v>30.87711455550851</v>
      </c>
      <c r="K24">
        <f>100*355665/1495939</f>
        <v>23.775367845881416</v>
      </c>
      <c r="L24">
        <f>IF(COUNT(J24:K24)=2,K24-J24,"")</f>
        <v>-7.101746709627093</v>
      </c>
      <c r="O24">
        <v>22</v>
      </c>
      <c r="P24">
        <v>21</v>
      </c>
      <c r="Q24">
        <f>100*423564/1232833</f>
        <v>34.356964811941275</v>
      </c>
      <c r="R24">
        <f>100*44204/454390</f>
        <v>9.72820704681001</v>
      </c>
      <c r="S24">
        <f>IF(COUNT(Q24:R24)=2,R24-Q24,"")</f>
        <v>-24.628757765131265</v>
      </c>
    </row>
    <row r="25" spans="1:19" x14ac:dyDescent="0.3">
      <c r="A25">
        <v>23</v>
      </c>
      <c r="B25">
        <v>22</v>
      </c>
      <c r="C25">
        <f>100*354113/1097352</f>
        <v>32.26977305367831</v>
      </c>
      <c r="D25">
        <f>100*111969/815659</f>
        <v>13.727427760865753</v>
      </c>
      <c r="E25">
        <f>IF(COUNT(C25:D25)=2,D25-C25,"")</f>
        <v>-18.542345292812556</v>
      </c>
      <c r="H25">
        <v>23</v>
      </c>
      <c r="I25">
        <v>22</v>
      </c>
      <c r="J25">
        <f>100*155683/840858</f>
        <v>18.514778951975245</v>
      </c>
      <c r="K25">
        <f>100*100182/776591</f>
        <v>12.900226760289522</v>
      </c>
      <c r="L25">
        <f>IF(COUNT(J25:K25)=2,K25-J25,"")</f>
        <v>-5.614552191685723</v>
      </c>
      <c r="O25">
        <v>23</v>
      </c>
      <c r="P25">
        <v>22</v>
      </c>
      <c r="Q25">
        <f>100*592/261920</f>
        <v>0.22602321319486865</v>
      </c>
      <c r="R25">
        <f>100*6551/521363</f>
        <v>1.256514175344242</v>
      </c>
      <c r="S25">
        <f>IF(COUNT(Q25:R25)=2,R25-Q25,"")</f>
        <v>1.0304909621493732</v>
      </c>
    </row>
    <row r="26" spans="1:19" x14ac:dyDescent="0.3">
      <c r="A26">
        <v>24</v>
      </c>
      <c r="B26">
        <v>23</v>
      </c>
      <c r="C26">
        <f>100*240022/913843</f>
        <v>26.265124315664725</v>
      </c>
      <c r="D26">
        <f>100*116430/747741</f>
        <v>15.570899549442922</v>
      </c>
      <c r="E26">
        <f>IF(COUNT(C26:D26)=2,D26-C26,"")</f>
        <v>-10.694224766221803</v>
      </c>
      <c r="H26">
        <v>24</v>
      </c>
      <c r="I26">
        <v>23</v>
      </c>
      <c r="J26">
        <f>100*377574/1156306</f>
        <v>32.65346716180665</v>
      </c>
      <c r="K26">
        <f>100*15794/542541</f>
        <v>2.9111163948899716</v>
      </c>
      <c r="L26">
        <f>IF(COUNT(J26:K26)=2,K26-J26,"")</f>
        <v>-29.74235076691668</v>
      </c>
      <c r="O26">
        <v>24</v>
      </c>
      <c r="P26">
        <v>23</v>
      </c>
      <c r="Q26">
        <f>100*122016/574638</f>
        <v>21.233541812410596</v>
      </c>
      <c r="R26">
        <f>100*26113/320410</f>
        <v>8.149870478449486</v>
      </c>
      <c r="S26">
        <f>IF(COUNT(Q26:R26)=2,R26-Q26,"")</f>
        <v>-13.08367133396111</v>
      </c>
    </row>
    <row r="27" spans="1:19" x14ac:dyDescent="0.3">
      <c r="A27">
        <v>25</v>
      </c>
      <c r="B27">
        <v>24</v>
      </c>
      <c r="C27">
        <f>100*56444/682080</f>
        <v>8.275275627492377</v>
      </c>
      <c r="D27">
        <f>100*53995/524630</f>
        <v>10.29201532508625</v>
      </c>
      <c r="E27">
        <f>IF(COUNT(C27:D27)=2,D27-C27,"")</f>
        <v>2.0167396975938736</v>
      </c>
      <c r="H27">
        <v>25</v>
      </c>
      <c r="I27">
        <v>24</v>
      </c>
      <c r="J27">
        <f>100*179842/875592</f>
        <v>20.53947500662409</v>
      </c>
      <c r="K27">
        <f>100*4534/381414</f>
        <v>1.1887345509079372</v>
      </c>
      <c r="L27">
        <f>IF(COUNT(J27:K27)=2,K27-J27,"")</f>
        <v>-19.350740455716153</v>
      </c>
      <c r="O27">
        <v>25</v>
      </c>
      <c r="P27">
        <v>24</v>
      </c>
      <c r="Q27">
        <f>100*497820/1342997</f>
        <v>37.06784155139587</v>
      </c>
      <c r="R27">
        <f>100*264945/1060988</f>
        <v>24.971535964591492</v>
      </c>
      <c r="S27">
        <f>IF(COUNT(Q27:R27)=2,R27-Q27,"")</f>
        <v>-12.09630558680438</v>
      </c>
    </row>
    <row r="28" spans="1:19" x14ac:dyDescent="0.3">
      <c r="A28">
        <v>26</v>
      </c>
      <c r="B28">
        <v>25</v>
      </c>
      <c r="C28">
        <f>100*366520/1167250</f>
        <v>31.400299850074962</v>
      </c>
      <c r="D28">
        <f>100*239161/961866</f>
        <v>24.864274233625057</v>
      </c>
      <c r="E28">
        <f>IF(COUNT(C28:D28)=2,D28-C28,"")</f>
        <v>-6.536025616449905</v>
      </c>
      <c r="H28">
        <v>26</v>
      </c>
      <c r="I28">
        <v>25</v>
      </c>
      <c r="J28">
        <f>100*403993/1263866</f>
        <v>31.964860198786898</v>
      </c>
      <c r="K28">
        <f>100*48418/582491</f>
        <v>8.312231433618717</v>
      </c>
      <c r="L28">
        <f>IF(COUNT(J28:K28)=2,K28-J28,"")</f>
        <v>-23.65262876516818</v>
      </c>
      <c r="O28">
        <v>26</v>
      </c>
      <c r="P28">
        <v>25</v>
      </c>
      <c r="Q28">
        <f>100*525172/1313199</f>
        <v>39.99180626850919</v>
      </c>
      <c r="R28">
        <f>100*307349/1151567</f>
        <v>26.689632474706205</v>
      </c>
      <c r="S28">
        <f>IF(COUNT(Q28:R28)=2,R28-Q28,"")</f>
        <v>-13.302173793802982</v>
      </c>
    </row>
    <row r="29" spans="1:19" x14ac:dyDescent="0.3">
      <c r="A29">
        <v>27</v>
      </c>
      <c r="B29">
        <v>26</v>
      </c>
      <c r="C29">
        <f>100*597714/1505438</f>
        <v>39.703660994341845</v>
      </c>
      <c r="D29">
        <f>100*203597/1056834</f>
        <v>19.264804122501737</v>
      </c>
      <c r="E29">
        <f>IF(COUNT(C29:D29)=2,D29-C29,"")</f>
        <v>-20.43885687184011</v>
      </c>
      <c r="H29">
        <v>27</v>
      </c>
      <c r="I29">
        <v>26</v>
      </c>
      <c r="J29">
        <f>100*136381/818474</f>
        <v>16.66283840415212</v>
      </c>
      <c r="K29">
        <f>100*138055/895640</f>
        <v>15.41411727926399</v>
      </c>
      <c r="L29">
        <f>IF(COUNT(J29:K29)=2,K29-J29,"")</f>
        <v>-1.248721124888128</v>
      </c>
      <c r="O29">
        <v>27</v>
      </c>
      <c r="P29">
        <v>26</v>
      </c>
      <c r="Q29">
        <f>100*365374/1222824</f>
        <v>29.87952477216672</v>
      </c>
      <c r="R29">
        <f>100*142953/795360</f>
        <v>17.973370549185276</v>
      </c>
      <c r="S29">
        <f>IF(COUNT(Q29:R29)=2,R29-Q29,"")</f>
        <v>-11.906154222981446</v>
      </c>
    </row>
    <row r="30" spans="1:19" x14ac:dyDescent="0.3">
      <c r="A30">
        <v>28</v>
      </c>
      <c r="B30">
        <v>27</v>
      </c>
      <c r="C30">
        <f>100*262582/941033</f>
        <v>27.90359105366124</v>
      </c>
      <c r="D30">
        <f>100*242823/1088083</f>
        <v>22.316587980880136</v>
      </c>
      <c r="E30">
        <f>IF(COUNT(C30:D30)=2,D30-C30,"")</f>
        <v>-5.587003072781105</v>
      </c>
      <c r="H30">
        <v>28</v>
      </c>
      <c r="I30">
        <v>27</v>
      </c>
      <c r="J30">
        <f>100*471860/1401372</f>
        <v>33.67128785219057</v>
      </c>
      <c r="K30">
        <f>100*48138/525073</f>
        <v>9.167868086913629</v>
      </c>
      <c r="L30">
        <f>IF(COUNT(J30:K30)=2,K30-J30,"")</f>
        <v>-24.503419765276938</v>
      </c>
      <c r="O30">
        <v>28</v>
      </c>
      <c r="P30">
        <v>27</v>
      </c>
      <c r="Q30">
        <f>100*191/261142</f>
        <v>0.07314028383025327</v>
      </c>
      <c r="R30">
        <f>100*218/259814</f>
        <v>0.08390617903577174</v>
      </c>
      <c r="S30">
        <f>IF(COUNT(Q30:R30)=2,R30-Q30,"")</f>
        <v>0.010765895205518475</v>
      </c>
    </row>
    <row r="31" spans="1:19" x14ac:dyDescent="0.3">
      <c r="A31">
        <v>29</v>
      </c>
      <c r="B31">
        <v>28</v>
      </c>
      <c r="C31">
        <f>100*549615/1490090</f>
        <v>36.88468481769558</v>
      </c>
      <c r="D31">
        <f>100*187424/1130141</f>
        <v>16.58412534365181</v>
      </c>
      <c r="E31">
        <f>IF(COUNT(C31:D31)=2,D31-C31,"")</f>
        <v>-20.30055947404377</v>
      </c>
      <c r="H31">
        <v>29</v>
      </c>
      <c r="I31">
        <v>28</v>
      </c>
      <c r="J31">
        <f>100*501796/1378717</f>
        <v>36.39586659191117</v>
      </c>
      <c r="K31">
        <f>100*395068/1433646</f>
        <v>27.556872477585124</v>
      </c>
      <c r="L31">
        <f>IF(COUNT(J31:K31)=2,K31-J31,"")</f>
        <v>-8.838994114326049</v>
      </c>
      <c r="O31">
        <v>29</v>
      </c>
      <c r="P31">
        <v>28</v>
      </c>
      <c r="Q31">
        <f>100*492377/1362039</f>
        <v>36.14999276819533</v>
      </c>
      <c r="R31">
        <f>100*267612/1075281</f>
        <v>24.887634023106518</v>
      </c>
      <c r="S31">
        <f>IF(COUNT(Q31:R31)=2,R31-Q31,"")</f>
        <v>-11.262358745088815</v>
      </c>
    </row>
    <row r="32" spans="1:19" x14ac:dyDescent="0.3">
      <c r="A32">
        <v>30</v>
      </c>
      <c r="B32">
        <v>29</v>
      </c>
      <c r="C32">
        <f>100*237648/919878</f>
        <v>25.834730257708088</v>
      </c>
      <c r="D32">
        <f>100*75679/558785</f>
        <v>13.543491682847607</v>
      </c>
      <c r="E32">
        <f>IF(COUNT(C32:D32)=2,D32-C32,"")</f>
        <v>-12.29123857486048</v>
      </c>
      <c r="H32">
        <v>30</v>
      </c>
      <c r="I32">
        <v>29</v>
      </c>
      <c r="J32">
        <f>100*264568/888302</f>
        <v>29.783564598526176</v>
      </c>
      <c r="K32">
        <f>100*220417/863128</f>
        <v>25.53700030586425</v>
      </c>
      <c r="L32">
        <f>IF(COUNT(J32:K32)=2,K32-J32,"")</f>
        <v>-4.246564292661926</v>
      </c>
      <c r="O32">
        <v>30</v>
      </c>
      <c r="P32">
        <v>29</v>
      </c>
      <c r="Q32">
        <f>100*465436/1240969</f>
        <v>37.50585228156384</v>
      </c>
      <c r="R32">
        <f>100*210393/930217</f>
        <v>22.617625779791165</v>
      </c>
      <c r="S32">
        <f>IF(COUNT(Q32:R32)=2,R32-Q32,"")</f>
        <v>-14.888226501772674</v>
      </c>
    </row>
    <row r="33" spans="1:19" x14ac:dyDescent="0.3">
      <c r="A33">
        <v>31</v>
      </c>
      <c r="B33">
        <v>30</v>
      </c>
      <c r="C33">
        <f>100*498726/1349876</f>
        <v>36.946060230717485</v>
      </c>
      <c r="D33">
        <f>100*317429/1107797</f>
        <v>28.654076514018364</v>
      </c>
      <c r="E33">
        <f>IF(COUNT(C33:D33)=2,D33-C33,"")</f>
        <v>-8.291983716699121</v>
      </c>
      <c r="H33">
        <v>31</v>
      </c>
      <c r="I33">
        <v>30</v>
      </c>
      <c r="J33">
        <f>100*307741/1047349</f>
        <v>29.382851370460084</v>
      </c>
      <c r="K33">
        <f>100*408278/1273511</f>
        <v>32.05924408976444</v>
      </c>
      <c r="L33">
        <f>IF(COUNT(J33:K33)=2,K33-J33,"")</f>
        <v>2.6763927193043564</v>
      </c>
      <c r="O33">
        <v>31</v>
      </c>
      <c r="P33">
        <v>30</v>
      </c>
      <c r="Q33">
        <f>100*7935/484889</f>
        <v>1.63645700356164</v>
      </c>
      <c r="R33">
        <f>100*18546/333124</f>
        <v>5.567296262052569</v>
      </c>
      <c r="S33">
        <f>IF(COUNT(Q33:R33)=2,R33-Q33,"")</f>
        <v>3.930839258490929</v>
      </c>
    </row>
    <row r="34" spans="1:19" x14ac:dyDescent="0.3">
      <c r="A34" t="s">
        <v>5</v>
      </c>
      <c r="C34">
        <f>IF(COUNT(C3:C33)&gt;0,AVERAGE(C3:C33),"")</f>
        <v>24.75128625154027</v>
      </c>
      <c r="D34">
        <f>IF(COUNT(D3:D33)&gt;0,AVERAGE(D3:D33),"")</f>
        <v>15.976654174336511</v>
      </c>
      <c r="E34">
        <f>IF(COUNT(E3:E33)&gt;0,AVERAGE(E3:E33),"")</f>
        <v>-8.77463207720376</v>
      </c>
      <c r="H34" t="s">
        <v>5</v>
      </c>
      <c r="J34">
        <f>IF(COUNT(J3:J33)&gt;0,AVERAGE(J3:J33),"")</f>
        <v>23.26126650336055</v>
      </c>
      <c r="K34">
        <f>IF(COUNT(K3:K33)&gt;0,AVERAGE(K3:K33),"")</f>
        <v>15.863511710875478</v>
      </c>
      <c r="L34">
        <f>IF(COUNT(L3:L33)&gt;0,AVERAGE(L3:L33),"")</f>
        <v>-7.397754792485072</v>
      </c>
      <c r="O34" t="s">
        <v>5</v>
      </c>
      <c r="Q34">
        <f>IF(COUNT(Q3:Q33)&gt;0,AVERAGE(Q3:Q33),"")</f>
        <v>28.172990083851328</v>
      </c>
      <c r="R34">
        <f>IF(COUNT(R3:R33)&gt;0,AVERAGE(R3:R33),"")</f>
        <v>17.827456010892007</v>
      </c>
      <c r="S34">
        <f>IF(COUNT(S3:S33)&gt;0,AVERAGE(S3:S33),"")</f>
        <v>-10.345534072959316</v>
      </c>
    </row>
    <row r="37" spans="1:19" s="2" customFormat="1" x14ac:dyDescent="0.3">
      <c r="A37" s="1" t="s">
        <v>9</v>
      </c>
      <c r="B37" s="1"/>
      <c r="C37" s="1"/>
      <c r="D37" s="1"/>
      <c r="E37" s="1"/>
      <c r="H37" s="1" t="s">
        <v>10</v>
      </c>
      <c r="I37" s="1"/>
      <c r="J37" s="1"/>
      <c r="K37" s="1"/>
      <c r="L37" s="1"/>
      <c r="O37" s="1" t="s">
        <v>11</v>
      </c>
      <c r="P37" s="1"/>
      <c r="Q37" s="1"/>
      <c r="R37" s="1"/>
      <c r="S37" s="1"/>
    </row>
    <row r="38" spans="1:19" x14ac:dyDescent="0.3">
      <c r="A38" t="s">
        <v>0</v>
      </c>
      <c r="B38" t="s">
        <v>1</v>
      </c>
      <c r="C38" t="s">
        <v>2</v>
      </c>
      <c r="D38" t="s">
        <v>3</v>
      </c>
      <c r="E38" t="s">
        <v>4</v>
      </c>
      <c r="H38" t="s">
        <v>0</v>
      </c>
      <c r="I38" t="s">
        <v>1</v>
      </c>
      <c r="J38" t="s">
        <v>2</v>
      </c>
      <c r="K38" t="s">
        <v>3</v>
      </c>
      <c r="L38" t="s">
        <v>4</v>
      </c>
      <c r="O38" t="s">
        <v>0</v>
      </c>
      <c r="P38" t="s">
        <v>1</v>
      </c>
      <c r="Q38" t="s">
        <v>2</v>
      </c>
      <c r="R38" t="s">
        <v>3</v>
      </c>
      <c r="S38" t="s">
        <v>4</v>
      </c>
    </row>
    <row r="39" spans="1:19" x14ac:dyDescent="0.3">
      <c r="A39">
        <v>1</v>
      </c>
      <c r="B39">
        <v>0</v>
      </c>
      <c r="C39">
        <f>100*192841/1049609</f>
        <v>18.372651149142204</v>
      </c>
      <c r="D39">
        <f>100*513789/1753182</f>
        <v>29.306084593613214</v>
      </c>
      <c r="E39">
        <f>IF(COUNT(C39:D39)=2,D39-C39,"")</f>
        <v>10.93343344447101</v>
      </c>
      <c r="H39">
        <v>1</v>
      </c>
      <c r="I39">
        <v>0</v>
      </c>
      <c r="J39">
        <f>100*402854/1288411</f>
        <v>31.267507029977235</v>
      </c>
      <c r="K39">
        <f>100*260098/1184144</f>
        <v>21.965065059654908</v>
      </c>
      <c r="L39">
        <f>IF(COUNT(J39:K39)=2,K39-J39,"")</f>
        <v>-9.302441970322327</v>
      </c>
      <c r="O39">
        <v>1</v>
      </c>
      <c r="P39">
        <v>0</v>
      </c>
      <c r="Q39">
        <f>100*88041/674269</f>
        <v>13.057251631025599</v>
      </c>
      <c r="R39">
        <f>100*19002/596407</f>
        <v>3.1860793049042013</v>
      </c>
      <c r="S39">
        <f>IF(COUNT(Q39:R39)=2,R39-Q39,"")</f>
        <v>-9.871172326121398</v>
      </c>
    </row>
    <row r="40" spans="1:19" x14ac:dyDescent="0.3">
      <c r="A40">
        <v>2</v>
      </c>
      <c r="B40">
        <v>1</v>
      </c>
      <c r="C40">
        <f>100*767234/1849227</f>
        <v>41.489443967668656</v>
      </c>
      <c r="D40">
        <f>100*492738/1748140</f>
        <v>28.18641527566442</v>
      </c>
      <c r="E40">
        <f>IF(COUNT(C40:D40)=2,D40-C40,"")</f>
        <v>-13.303028692004236</v>
      </c>
      <c r="H40">
        <v>2</v>
      </c>
      <c r="I40">
        <v>1</v>
      </c>
      <c r="J40">
        <f>100*573780/1506160</f>
        <v>38.095554257183835</v>
      </c>
      <c r="K40">
        <f>100*135079/988532</f>
        <v>13.664605698146342</v>
      </c>
      <c r="L40">
        <f>IF(COUNT(J40:K40)=2,K40-J40,"")</f>
        <v>-24.430948559037493</v>
      </c>
      <c r="O40">
        <v>2</v>
      </c>
      <c r="P40">
        <v>1</v>
      </c>
      <c r="Q40">
        <f>100*291073/995685</f>
        <v>29.233442303539775</v>
      </c>
      <c r="R40">
        <f>100*566370/1723030</f>
        <v>32.870582636402155</v>
      </c>
      <c r="S40">
        <f>IF(COUNT(Q40:R40)=2,R40-Q40,"")</f>
        <v>3.63714033286238</v>
      </c>
    </row>
    <row r="41" spans="1:19" x14ac:dyDescent="0.3">
      <c r="A41">
        <v>3</v>
      </c>
      <c r="B41">
        <v>2</v>
      </c>
      <c r="C41">
        <f>100*647494/1597730</f>
        <v>40.525871079594175</v>
      </c>
      <c r="D41">
        <f>100*367349/1442166</f>
        <v>25.472033039192436</v>
      </c>
      <c r="E41">
        <f>IF(COUNT(C41:D41)=2,D41-C41,"")</f>
        <v>-15.05383804040174</v>
      </c>
      <c r="H41">
        <v>3</v>
      </c>
      <c r="I41">
        <v>2</v>
      </c>
      <c r="J41">
        <f>100*646730/1702231</f>
        <v>37.99308084507919</v>
      </c>
      <c r="K41">
        <f>100*12311/357994</f>
        <v>3.438884450577384</v>
      </c>
      <c r="L41">
        <f>IF(COUNT(J41:K41)=2,K41-J41,"")</f>
        <v>-34.55419639450181</v>
      </c>
      <c r="O41">
        <v>3</v>
      </c>
      <c r="P41">
        <v>2</v>
      </c>
      <c r="Q41">
        <f>100*505429/1286969</f>
        <v>39.272818537198646</v>
      </c>
      <c r="R41">
        <f>100*471783/1593021</f>
        <v>29.615617119924973</v>
      </c>
      <c r="S41">
        <f>IF(COUNT(Q41:R41)=2,R41-Q41,"")</f>
        <v>-9.657201417273672</v>
      </c>
    </row>
    <row r="42" spans="1:19" x14ac:dyDescent="0.3">
      <c r="A42">
        <v>4</v>
      </c>
      <c r="B42">
        <v>3</v>
      </c>
      <c r="C42">
        <f>100*45060/760183</f>
        <v>5.927520083979778</v>
      </c>
      <c r="D42">
        <f>100*284788/1000818</f>
        <v>28.45552338187363</v>
      </c>
      <c r="E42">
        <f>IF(COUNT(C42:D42)=2,D42-C42,"")</f>
        <v>22.52800329789385</v>
      </c>
      <c r="H42">
        <v>4</v>
      </c>
      <c r="I42">
        <v>3</v>
      </c>
      <c r="J42">
        <f>100*44764/778520</f>
        <v>5.749884396033499</v>
      </c>
      <c r="K42">
        <f>100*107380/865091</f>
        <v>12.412567001621795</v>
      </c>
      <c r="L42">
        <f>IF(COUNT(J42:K42)=2,K42-J42,"")</f>
        <v>6.662682605588296</v>
      </c>
      <c r="O42">
        <v>4</v>
      </c>
      <c r="P42">
        <v>3</v>
      </c>
      <c r="Q42">
        <f>100*589890/1404698</f>
        <v>41.9940798662773</v>
      </c>
      <c r="R42">
        <f>100*624/2054</f>
        <v>30.379746835443036</v>
      </c>
      <c r="S42">
        <f>IF(COUNT(Q42:R42)=2,R42-Q42,"")</f>
        <v>-11.614333030834267</v>
      </c>
    </row>
    <row r="43" spans="1:19" x14ac:dyDescent="0.3">
      <c r="A43">
        <v>5</v>
      </c>
      <c r="B43">
        <v>4</v>
      </c>
      <c r="C43">
        <f>100*964627/2043023</f>
        <v>47.21567011237759</v>
      </c>
      <c r="D43">
        <f>100*677072/1968208</f>
        <v>34.400429222927656</v>
      </c>
      <c r="E43">
        <f>IF(COUNT(C43:D43)=2,D43-C43,"")</f>
        <v>-12.815240889449932</v>
      </c>
      <c r="H43">
        <v>5</v>
      </c>
      <c r="I43">
        <v>4</v>
      </c>
      <c r="J43">
        <f>100*942269/2236809</f>
        <v>42.12559051756319</v>
      </c>
      <c r="K43">
        <f>100*622208/2013685</f>
        <v>30.898973771965327</v>
      </c>
      <c r="L43">
        <f>IF(COUNT(J43:K43)=2,K43-J43,"")</f>
        <v>-11.226616745597862</v>
      </c>
      <c r="O43">
        <v>5</v>
      </c>
      <c r="P43">
        <v>4</v>
      </c>
      <c r="Q43">
        <f>100*141535/798132</f>
        <v>17.73328221396962</v>
      </c>
      <c r="R43">
        <f>100*128187/824623</f>
        <v>15.544921739995125</v>
      </c>
      <c r="S43">
        <f>IF(COUNT(Q43:R43)=2,R43-Q43,"")</f>
        <v>-2.1883604739744946</v>
      </c>
    </row>
    <row r="44" spans="1:19" x14ac:dyDescent="0.3">
      <c r="A44">
        <v>6</v>
      </c>
      <c r="B44">
        <v>5</v>
      </c>
      <c r="C44">
        <f>100*200146/1105970</f>
        <v>18.09687423709504</v>
      </c>
      <c r="D44">
        <f>100*314700/1395091</f>
        <v>22.557668281137214</v>
      </c>
      <c r="E44">
        <f>IF(COUNT(C44:D44)=2,D44-C44,"")</f>
        <v>4.460794044042174</v>
      </c>
      <c r="H44">
        <v>6</v>
      </c>
      <c r="I44">
        <v>5</v>
      </c>
      <c r="J44">
        <f>100*712109/1711457</f>
        <v>41.60834890973013</v>
      </c>
      <c r="K44">
        <f>100*476786/1793326</f>
        <v>26.586688644451705</v>
      </c>
      <c r="L44">
        <f>IF(COUNT(J44:K44)=2,K44-J44,"")</f>
        <v>-15.021660265278427</v>
      </c>
      <c r="O44">
        <v>6</v>
      </c>
      <c r="P44">
        <v>5</v>
      </c>
      <c r="Q44">
        <f>100*603941/1377183</f>
        <v>43.8533586313511</v>
      </c>
      <c r="R44">
        <f>100*277176/1069825</f>
        <v>25.908536442876173</v>
      </c>
      <c r="S44">
        <f>IF(COUNT(Q44:R44)=2,R44-Q44,"")</f>
        <v>-17.944822188474927</v>
      </c>
    </row>
    <row r="45" spans="1:19" x14ac:dyDescent="0.3">
      <c r="A45">
        <v>7</v>
      </c>
      <c r="B45">
        <v>6</v>
      </c>
      <c r="C45">
        <f>100*18395/700580</f>
        <v>2.6256815781209855</v>
      </c>
      <c r="D45">
        <f>100*47309/811471</f>
        <v>5.8300296621813965</v>
      </c>
      <c r="E45">
        <f>IF(COUNT(C45:D45)=2,D45-C45,"")</f>
        <v>3.204348084060411</v>
      </c>
      <c r="H45">
        <v>7</v>
      </c>
      <c r="I45">
        <v>6</v>
      </c>
      <c r="J45">
        <f>100*1624/545527</f>
        <v>0.2976937896749382</v>
      </c>
      <c r="K45">
        <f>100*29388/613653</f>
        <v>4.789025719747154</v>
      </c>
      <c r="L45">
        <f>IF(COUNT(J45:K45)=2,K45-J45,"")</f>
        <v>4.491331930072215</v>
      </c>
      <c r="O45">
        <v>7</v>
      </c>
      <c r="P45">
        <v>6</v>
      </c>
      <c r="Q45">
        <f>100*672106/1493090</f>
        <v>45.01443315540256</v>
      </c>
      <c r="R45">
        <f>100*431265/1450994</f>
        <v>29.72203882304131</v>
      </c>
      <c r="S45">
        <f>IF(COUNT(Q45:R45)=2,R45-Q45,"")</f>
        <v>-15.292394332361248</v>
      </c>
    </row>
    <row r="46" spans="1:19" x14ac:dyDescent="0.3">
      <c r="A46">
        <v>8</v>
      </c>
      <c r="B46">
        <v>7</v>
      </c>
      <c r="C46">
        <f>100*20606/505497</f>
        <v>4.076384231756074</v>
      </c>
      <c r="D46">
        <f>100*10931/656022</f>
        <v>1.6662550951035178</v>
      </c>
      <c r="E46">
        <f>IF(COUNT(C46:D46)=2,D46-C46,"")</f>
        <v>-2.4101291366525563</v>
      </c>
      <c r="H46">
        <v>8</v>
      </c>
      <c r="I46">
        <v>7</v>
      </c>
      <c r="J46">
        <f>100*2064/453926</f>
        <v>0.45469966470305734</v>
      </c>
      <c r="K46">
        <f>100*81/403463</f>
        <v>0.020076190381769828</v>
      </c>
      <c r="L46">
        <f>IF(COUNT(J46:K46)=2,K46-J46,"")</f>
        <v>-0.4346234743212875</v>
      </c>
      <c r="O46">
        <v>8</v>
      </c>
      <c r="P46">
        <v>7</v>
      </c>
      <c r="Q46">
        <f>100*703275/1703373</f>
        <v>41.28719898695118</v>
      </c>
      <c r="R46">
        <f>100*476061/1532130</f>
        <v>31.07184116230346</v>
      </c>
      <c r="S46">
        <f>IF(COUNT(Q46:R46)=2,R46-Q46,"")</f>
        <v>-10.215357824647722</v>
      </c>
    </row>
    <row r="47" spans="1:19" x14ac:dyDescent="0.3">
      <c r="A47">
        <v>9</v>
      </c>
      <c r="B47">
        <v>8</v>
      </c>
      <c r="C47">
        <f>100*929076/2063992</f>
        <v>45.01354656413397</v>
      </c>
      <c r="D47">
        <f>100*830775/2192607</f>
        <v>37.88982704150812</v>
      </c>
      <c r="E47">
        <f>IF(COUNT(C47:D47)=2,D47-C47,"")</f>
        <v>-7.123719522625848</v>
      </c>
      <c r="H47">
        <v>9</v>
      </c>
      <c r="I47">
        <v>8</v>
      </c>
      <c r="J47">
        <f>100*779177/1827411</f>
        <v>42.63830085295535</v>
      </c>
      <c r="K47">
        <f>100*396547/1596589</f>
        <v>24.83713717180815</v>
      </c>
      <c r="L47">
        <f>IF(COUNT(J47:K47)=2,K47-J47,"")</f>
        <v>-17.801163681147205</v>
      </c>
      <c r="O47">
        <v>9</v>
      </c>
      <c r="P47">
        <v>8</v>
      </c>
      <c r="Q47">
        <f>100*785425/1662476</f>
        <v>47.244291045404566</v>
      </c>
      <c r="R47">
        <f>100*521400/1540082</f>
        <v>33.85534017019873</v>
      </c>
      <c r="S47">
        <f>IF(COUNT(Q47:R47)=2,R47-Q47,"")</f>
        <v>-13.388950875205836</v>
      </c>
    </row>
    <row r="48" spans="1:19" x14ac:dyDescent="0.3">
      <c r="A48">
        <v>10</v>
      </c>
      <c r="B48">
        <v>9</v>
      </c>
      <c r="C48">
        <f>100*401887/1367048</f>
        <v>29.39816304913946</v>
      </c>
      <c r="D48">
        <f>100*26837/717650</f>
        <v>3.7395666411203234</v>
      </c>
      <c r="E48">
        <f>IF(COUNT(C48:D48)=2,D48-C48,"")</f>
        <v>-25.658596408019136</v>
      </c>
      <c r="H48">
        <v>10</v>
      </c>
      <c r="I48">
        <v>9</v>
      </c>
      <c r="J48">
        <f>100*872985/1990559</f>
        <v>43.85627353924199</v>
      </c>
      <c r="K48">
        <f>100*350676/1527413</f>
        <v>22.958819913147263</v>
      </c>
      <c r="L48">
        <f>IF(COUNT(J48:K48)=2,K48-J48,"")</f>
        <v>-20.897453626094727</v>
      </c>
      <c r="O48">
        <v>10</v>
      </c>
      <c r="P48">
        <v>9</v>
      </c>
      <c r="Q48">
        <f>100*317010/1082800</f>
        <v>29.276874769117104</v>
      </c>
      <c r="R48">
        <f>100*2283/506222</f>
        <v>0.4509879064916183</v>
      </c>
      <c r="S48">
        <f>IF(COUNT(Q48:R48)=2,R48-Q48,"")</f>
        <v>-28.825886862625484</v>
      </c>
    </row>
    <row r="49" spans="1:19" x14ac:dyDescent="0.3">
      <c r="A49">
        <v>11</v>
      </c>
      <c r="B49">
        <v>10</v>
      </c>
      <c r="C49">
        <f>100*705082/1682816</f>
        <v>41.898936069065186</v>
      </c>
      <c r="D49">
        <f>100*75255/692847</f>
        <v>10.861705398161499</v>
      </c>
      <c r="E49">
        <f>IF(COUNT(C49:D49)=2,D49-C49,"")</f>
        <v>-31.03723067090369</v>
      </c>
      <c r="H49">
        <v>11</v>
      </c>
      <c r="I49">
        <v>10</v>
      </c>
      <c r="J49">
        <f>100*582667/1702410</f>
        <v>34.22600901075534</v>
      </c>
      <c r="K49">
        <f>100*202326/1061772</f>
        <v>19.0555034414168</v>
      </c>
      <c r="L49">
        <f>IF(COUNT(J49:K49)=2,K49-J49,"")</f>
        <v>-15.170505569338541</v>
      </c>
      <c r="O49">
        <v>11</v>
      </c>
      <c r="P49">
        <v>10</v>
      </c>
      <c r="Q49">
        <f>100*610513/1430887</f>
        <v>42.666751462554345</v>
      </c>
      <c r="R49">
        <f>100*634397/1764443</f>
        <v>35.95451935823373</v>
      </c>
      <c r="S49">
        <f>IF(COUNT(Q49:R49)=2,R49-Q49,"")</f>
        <v>-6.712232104320613</v>
      </c>
    </row>
    <row r="50" spans="1:19" x14ac:dyDescent="0.3">
      <c r="A50">
        <v>12</v>
      </c>
      <c r="B50">
        <v>11</v>
      </c>
      <c r="C50">
        <f>100*661603/1691906</f>
        <v>39.10400459600002</v>
      </c>
      <c r="D50">
        <f>100*30077/839071</f>
        <v>3.584559590308806</v>
      </c>
      <c r="E50">
        <f>IF(COUNT(C50:D50)=2,D50-C50,"")</f>
        <v>-35.51944500569121</v>
      </c>
      <c r="H50">
        <v>12</v>
      </c>
      <c r="I50">
        <v>11</v>
      </c>
      <c r="J50">
        <f>100*2109/16409</f>
        <v>12.85270278505698</v>
      </c>
      <c r="K50">
        <f>100*34575/833527</f>
        <v>4.148035996434428</v>
      </c>
      <c r="L50">
        <f>IF(COUNT(J50:K50)=2,K50-J50,"")</f>
        <v>-8.704666788622552</v>
      </c>
      <c r="O50">
        <v>12</v>
      </c>
      <c r="P50">
        <v>11</v>
      </c>
      <c r="Q50">
        <f>100*565746/1449544</f>
        <v>39.029239540158834</v>
      </c>
      <c r="R50">
        <f>100*486670/1534885</f>
        <v>31.70726145607</v>
      </c>
      <c r="S50">
        <f>IF(COUNT(Q50:R50)=2,R50-Q50,"")</f>
        <v>-7.321978084088833</v>
      </c>
    </row>
    <row r="51" spans="1:19" x14ac:dyDescent="0.3">
      <c r="A51">
        <v>13</v>
      </c>
      <c r="B51">
        <v>12</v>
      </c>
      <c r="C51">
        <f>100*13444/609443</f>
        <v>2.20594871054389</v>
      </c>
      <c r="D51">
        <f>100*19322/3894227</f>
        <v>0.49617035678711074</v>
      </c>
      <c r="E51">
        <f>IF(COUNT(C51:D51)=2,D51-C51,"")</f>
        <v>-1.7097783537567794</v>
      </c>
      <c r="H51">
        <v>13</v>
      </c>
      <c r="I51">
        <v>12</v>
      </c>
      <c r="J51">
        <f>100*78998/737547</f>
        <v>10.710910626712602</v>
      </c>
      <c r="K51">
        <f>100*94353/952556</f>
        <v>9.905244416076325</v>
      </c>
      <c r="L51">
        <f>IF(COUNT(J51:K51)=2,K51-J51,"")</f>
        <v>-0.8056662106362769</v>
      </c>
      <c r="O51">
        <v>13</v>
      </c>
      <c r="P51">
        <v>12</v>
      </c>
      <c r="Q51">
        <f>100*653960/1481691</f>
        <v>44.136058057989146</v>
      </c>
      <c r="R51">
        <f>100*187196/1015709</f>
        <v>18.430081844307768</v>
      </c>
      <c r="S51">
        <f>IF(COUNT(Q51:R51)=2,R51-Q51,"")</f>
        <v>-25.705976213681378</v>
      </c>
    </row>
    <row r="52" spans="1:19" x14ac:dyDescent="0.3">
      <c r="A52">
        <v>14</v>
      </c>
      <c r="B52">
        <v>13</v>
      </c>
      <c r="C52">
        <f>100*183005/843268</f>
        <v>21.701878880735425</v>
      </c>
      <c r="D52">
        <f>100*1662/444953</f>
        <v>0.37352259676864746</v>
      </c>
      <c r="E52">
        <f>IF(COUNT(C52:D52)=2,D52-C52,"")</f>
        <v>-21.328356283966777</v>
      </c>
      <c r="H52">
        <v>14</v>
      </c>
      <c r="I52">
        <v>13</v>
      </c>
      <c r="J52">
        <f>100*450919/1374273</f>
        <v>32.811457403296146</v>
      </c>
      <c r="K52">
        <f>100*194191/1094925</f>
        <v>17.735552663424436</v>
      </c>
      <c r="L52">
        <f>IF(COUNT(J52:K52)=2,K52-J52,"")</f>
        <v>-15.07590473987171</v>
      </c>
      <c r="O52">
        <v>14</v>
      </c>
      <c r="P52">
        <v>13</v>
      </c>
      <c r="Q52">
        <f>100*1624/402681</f>
        <v>0.40329690251092054</v>
      </c>
      <c r="R52">
        <f>100*25835/431858</f>
        <v>5.982290475109874</v>
      </c>
      <c r="S52">
        <f>IF(COUNT(Q52:R52)=2,R52-Q52,"")</f>
        <v>5.578993572598954</v>
      </c>
    </row>
    <row r="53" spans="1:19" x14ac:dyDescent="0.3">
      <c r="A53">
        <v>15</v>
      </c>
      <c r="B53">
        <v>14</v>
      </c>
      <c r="C53">
        <f>100*855788/1778828</f>
        <v>48.10965422176849</v>
      </c>
      <c r="D53">
        <f>100*479989/1745103</f>
        <v>27.50490945233605</v>
      </c>
      <c r="E53">
        <f>IF(COUNT(C53:D53)=2,D53-C53,"")</f>
        <v>-20.604744769432436</v>
      </c>
      <c r="H53">
        <v>15</v>
      </c>
      <c r="I53">
        <v>14</v>
      </c>
      <c r="J53">
        <f>100*381484/1238884</f>
        <v>30.792552006483255</v>
      </c>
      <c r="K53">
        <f>100*434407/1617093</f>
        <v>26.863451885574918</v>
      </c>
      <c r="L53">
        <f>IF(COUNT(J53:K53)=2,K53-J53,"")</f>
        <v>-3.9291001209083376</v>
      </c>
      <c r="O53">
        <v>15</v>
      </c>
      <c r="P53">
        <v>14</v>
      </c>
      <c r="Q53">
        <f>100*373593/1196320</f>
        <v>31.22851745352414</v>
      </c>
      <c r="R53">
        <f>100*507329/1587352</f>
        <v>31.960711927789173</v>
      </c>
      <c r="S53">
        <f>IF(COUNT(Q53:R53)=2,R53-Q53,"")</f>
        <v>0.7321944742650324</v>
      </c>
    </row>
    <row r="54" spans="1:19" x14ac:dyDescent="0.3">
      <c r="A54">
        <v>16</v>
      </c>
      <c r="B54">
        <v>15</v>
      </c>
      <c r="C54">
        <f>100*888567/1959716</f>
        <v>45.34162092874682</v>
      </c>
      <c r="D54">
        <f>100*96095/971335</f>
        <v>9.893085289833065</v>
      </c>
      <c r="E54">
        <f>IF(COUNT(C54:D54)=2,D54-C54,"")</f>
        <v>-35.448535638913754</v>
      </c>
      <c r="H54">
        <v>16</v>
      </c>
      <c r="I54">
        <v>15</v>
      </c>
      <c r="J54">
        <f>100*600755/1390841</f>
        <v>43.19365046040489</v>
      </c>
      <c r="K54">
        <f>100*76238/547661</f>
        <v>13.920655295885593</v>
      </c>
      <c r="L54">
        <f>IF(COUNT(J54:K54)=2,K54-J54,"")</f>
        <v>-29.272995164519294</v>
      </c>
      <c r="O54">
        <v>16</v>
      </c>
      <c r="P54">
        <v>15</v>
      </c>
      <c r="Q54">
        <f>100*595830/1410973</f>
        <v>42.22830628226054</v>
      </c>
      <c r="R54">
        <f>100*441241/1425651</f>
        <v>30.95014137401089</v>
      </c>
      <c r="S54">
        <f>IF(COUNT(Q54:R54)=2,R54-Q54,"")</f>
        <v>-11.27816490824965</v>
      </c>
    </row>
    <row r="55" spans="1:19" x14ac:dyDescent="0.3">
      <c r="A55">
        <v>17</v>
      </c>
      <c r="B55">
        <v>16</v>
      </c>
      <c r="C55">
        <f>100*543691/1545910</f>
        <v>35.1696411822163</v>
      </c>
      <c r="D55">
        <f>100*644289/1987884</f>
        <v>32.41079459364832</v>
      </c>
      <c r="E55">
        <f>IF(COUNT(C55:D55)=2,D55-C55,"")</f>
        <v>-2.758846588567984</v>
      </c>
      <c r="H55">
        <v>17</v>
      </c>
      <c r="I55">
        <v>16</v>
      </c>
      <c r="J55">
        <f>100*627913/1725883</f>
        <v>36.38213019074873</v>
      </c>
      <c r="K55">
        <f>100*321184/1470858</f>
        <v>21.836506311282257</v>
      </c>
      <c r="L55">
        <f>IF(COUNT(J55:K55)=2,K55-J55,"")</f>
        <v>-14.545623879466476</v>
      </c>
      <c r="O55">
        <v>17</v>
      </c>
      <c r="P55">
        <v>16</v>
      </c>
      <c r="Q55">
        <f>100*6486/400160</f>
        <v>1.6208516593362654</v>
      </c>
      <c r="R55">
        <f>100*14670/435167</f>
        <v>3.3711195931676805</v>
      </c>
      <c r="S55">
        <f>IF(COUNT(Q55:R55)=2,R55-Q55,"")</f>
        <v>1.750267933831415</v>
      </c>
    </row>
    <row r="56" spans="1:19" x14ac:dyDescent="0.3">
      <c r="A56">
        <v>18</v>
      </c>
      <c r="B56">
        <v>17</v>
      </c>
      <c r="C56">
        <f>100*889308/1891000</f>
        <v>47.02845055526176</v>
      </c>
      <c r="D56">
        <f>100*60432/1424310</f>
        <v>4.2428965604397915</v>
      </c>
      <c r="E56">
        <f>IF(COUNT(C56:D56)=2,D56-C56,"")</f>
        <v>-42.785553994821974</v>
      </c>
      <c r="H56">
        <v>18</v>
      </c>
      <c r="I56">
        <v>17</v>
      </c>
      <c r="J56">
        <f>100*355/2215</f>
        <v>16.02708803611738</v>
      </c>
      <c r="K56">
        <f>100*164749/1149566</f>
        <v>14.331408548965436</v>
      </c>
      <c r="L56">
        <f>IF(COUNT(J56:K56)=2,K56-J56,"")</f>
        <v>-1.6956794871519438</v>
      </c>
      <c r="O56">
        <v>18</v>
      </c>
      <c r="P56">
        <v>17</v>
      </c>
      <c r="Q56">
        <f>100*78465/548560</f>
        <v>14.303813621117106</v>
      </c>
      <c r="R56">
        <f>100*4727/433698</f>
        <v>1.0899289367255556</v>
      </c>
      <c r="S56">
        <f>IF(COUNT(Q56:R56)=2,R56-Q56,"")</f>
        <v>-13.21388468439155</v>
      </c>
    </row>
    <row r="57" spans="1:19" x14ac:dyDescent="0.3">
      <c r="A57">
        <v>19</v>
      </c>
      <c r="B57">
        <v>18</v>
      </c>
      <c r="C57">
        <f>100*419048/1297589</f>
        <v>32.294355146352196</v>
      </c>
      <c r="D57">
        <f>100*95363/1039227</f>
        <v>9.176339721735483</v>
      </c>
      <c r="E57">
        <f>IF(COUNT(C57:D57)=2,D57-C57,"")</f>
        <v>-23.118015424616715</v>
      </c>
      <c r="H57">
        <v>19</v>
      </c>
      <c r="I57">
        <v>18</v>
      </c>
      <c r="J57">
        <f>100*451032/1332344</f>
        <v>33.85251856877803</v>
      </c>
      <c r="K57">
        <f>100*184059/1142562</f>
        <v>16.109322732595693</v>
      </c>
      <c r="L57">
        <f>IF(COUNT(J57:K57)=2,K57-J57,"")</f>
        <v>-17.743195836182338</v>
      </c>
      <c r="O57">
        <v>19</v>
      </c>
      <c r="P57">
        <v>18</v>
      </c>
      <c r="Q57">
        <f>100*644704/1630522</f>
        <v>39.53973022136469</v>
      </c>
      <c r="R57">
        <f>100*726679/1854548</f>
        <v>39.183617787191274</v>
      </c>
      <c r="S57">
        <f>IF(COUNT(Q57:R57)=2,R57-Q57,"")</f>
        <v>-0.35611243417341854</v>
      </c>
    </row>
    <row r="58" spans="1:19" x14ac:dyDescent="0.3">
      <c r="A58">
        <v>20</v>
      </c>
      <c r="B58">
        <v>19</v>
      </c>
      <c r="C58">
        <f>100*679956/1609329</f>
        <v>42.250900841282295</v>
      </c>
      <c r="D58">
        <f>100*327321/1348533</f>
        <v>24.272375981900332</v>
      </c>
      <c r="E58">
        <f>IF(COUNT(C58:D58)=2,D58-C58,"")</f>
        <v>-17.978524859381963</v>
      </c>
      <c r="H58">
        <v>20</v>
      </c>
      <c r="I58">
        <v>19</v>
      </c>
      <c r="J58">
        <f>100*854529/1945718</f>
        <v>43.918440390642424</v>
      </c>
      <c r="K58">
        <f>100*160071/1132313</f>
        <v>14.136638897548647</v>
      </c>
      <c r="L58">
        <f>IF(COUNT(J58:K58)=2,K58-J58,"")</f>
        <v>-29.781801493093777</v>
      </c>
      <c r="O58">
        <v>20</v>
      </c>
      <c r="P58">
        <v>19</v>
      </c>
      <c r="Q58">
        <f>100*668214/1556077</f>
        <v>42.94221944029762</v>
      </c>
      <c r="R58">
        <f>100*350895/1250391</f>
        <v>28.06282194929426</v>
      </c>
      <c r="S58">
        <f>IF(COUNT(Q58:R58)=2,R58-Q58,"")</f>
        <v>-14.87939749100336</v>
      </c>
    </row>
    <row r="59" spans="1:19" x14ac:dyDescent="0.3">
      <c r="A59">
        <v>21</v>
      </c>
      <c r="B59">
        <v>20</v>
      </c>
      <c r="C59">
        <f>100*775725/1847570</f>
        <v>41.98623056230616</v>
      </c>
      <c r="D59">
        <f>100*357405/1528347</f>
        <v>23.38506896666791</v>
      </c>
      <c r="E59">
        <f>IF(COUNT(C59:D59)=2,D59-C59,"")</f>
        <v>-18.601161595638253</v>
      </c>
      <c r="H59">
        <v>21</v>
      </c>
      <c r="I59">
        <v>20</v>
      </c>
      <c r="J59">
        <f>100*708159/1885839</f>
        <v>37.5514028504024</v>
      </c>
      <c r="K59">
        <f>100*142959/1139679</f>
        <v>12.543795226550634</v>
      </c>
      <c r="L59">
        <f>IF(COUNT(J59:K59)=2,K59-J59,"")</f>
        <v>-25.00760762385176</v>
      </c>
      <c r="O59">
        <v>21</v>
      </c>
      <c r="P59">
        <v>20</v>
      </c>
      <c r="Q59">
        <f>100*370589/1143839</f>
        <v>32.39870296431578</v>
      </c>
      <c r="R59">
        <f>100*219472/1095058</f>
        <v>20.042043435142247</v>
      </c>
      <c r="S59">
        <f>IF(COUNT(Q59:R59)=2,R59-Q59,"")</f>
        <v>-12.356659529173534</v>
      </c>
    </row>
    <row r="60" spans="1:19" x14ac:dyDescent="0.3">
      <c r="A60">
        <v>22</v>
      </c>
      <c r="B60">
        <v>21</v>
      </c>
      <c r="C60">
        <f>100*654996/1913846</f>
        <v>34.22407027524681</v>
      </c>
      <c r="D60">
        <f>100*550/1914</f>
        <v>28.735632183908045</v>
      </c>
      <c r="E60">
        <f>IF(COUNT(C60:D60)=2,D60-C60,"")</f>
        <v>-5.4884380913387645</v>
      </c>
      <c r="H60">
        <v>22</v>
      </c>
      <c r="I60">
        <v>21</v>
      </c>
      <c r="J60">
        <f>100*858363/1916826</f>
        <v>44.78043390479887</v>
      </c>
      <c r="K60">
        <f>100*593049/1909177</f>
        <v>31.06307063200531</v>
      </c>
      <c r="L60">
        <f>IF(COUNT(J60:K60)=2,K60-J60,"")</f>
        <v>-13.717363272793559</v>
      </c>
      <c r="O60">
        <v>22</v>
      </c>
      <c r="P60">
        <v>21</v>
      </c>
      <c r="Q60">
        <f>100*754527/1680084</f>
        <v>44.91007592477519</v>
      </c>
      <c r="R60">
        <f>100*390369/1418756</f>
        <v>27.514879232228797</v>
      </c>
      <c r="S60">
        <f>IF(COUNT(Q60:R60)=2,R60-Q60,"")</f>
        <v>-17.395196692546396</v>
      </c>
    </row>
    <row r="61" spans="1:19" x14ac:dyDescent="0.3">
      <c r="A61">
        <v>23</v>
      </c>
      <c r="B61">
        <v>22</v>
      </c>
      <c r="C61">
        <f>100*604684/1725077</f>
        <v>35.052580261634695</v>
      </c>
      <c r="D61">
        <f>100*141604/1124048</f>
        <v>12.597682661238666</v>
      </c>
      <c r="E61">
        <f>IF(COUNT(C61:D61)=2,D61-C61,"")</f>
        <v>-22.45489760039603</v>
      </c>
      <c r="H61">
        <v>23</v>
      </c>
      <c r="I61">
        <v>22</v>
      </c>
      <c r="J61">
        <f>100*941313/1944636</f>
        <v>48.40561421263414</v>
      </c>
      <c r="K61">
        <f>100*485607/1594400</f>
        <v>30.45703712995484</v>
      </c>
      <c r="L61">
        <f>IF(COUNT(J61:K61)=2,K61-J61,"")</f>
        <v>-17.9485770826793</v>
      </c>
      <c r="O61">
        <v>23</v>
      </c>
      <c r="P61">
        <v>22</v>
      </c>
      <c r="Q61">
        <f>100*844/356205</f>
        <v>0.236942210244101</v>
      </c>
      <c r="R61">
        <f>100*1642/360722</f>
        <v>0.45519818586057964</v>
      </c>
      <c r="S61">
        <f>IF(COUNT(Q61:R61)=2,R61-Q61,"")</f>
        <v>0.21825597561647864</v>
      </c>
    </row>
    <row r="62" spans="1:19" x14ac:dyDescent="0.3">
      <c r="A62">
        <v>24</v>
      </c>
      <c r="B62">
        <v>23</v>
      </c>
      <c r="C62">
        <f>100*344998/1193986</f>
        <v>28.894643655788258</v>
      </c>
      <c r="D62">
        <f>100*135464/1078271</f>
        <v>12.563075516266318</v>
      </c>
      <c r="E62">
        <f>IF(COUNT(C62:D62)=2,D62-C62,"")</f>
        <v>-16.33156813952194</v>
      </c>
      <c r="H62">
        <v>24</v>
      </c>
      <c r="I62">
        <v>23</v>
      </c>
      <c r="J62">
        <f>100*792417/1775752</f>
        <v>44.62430564628394</v>
      </c>
      <c r="K62">
        <f>100*4453/151392</f>
        <v>2.9413707461424647</v>
      </c>
      <c r="L62">
        <f>IF(COUNT(J62:K62)=2,K62-J62,"")</f>
        <v>-41.682934900141476</v>
      </c>
      <c r="O62">
        <v>24</v>
      </c>
      <c r="P62">
        <v>23</v>
      </c>
      <c r="Q62">
        <f>100*197250/941831</f>
        <v>20.94324778012191</v>
      </c>
      <c r="R62">
        <f>100*212872/1054965</f>
        <v>20.178110174271183</v>
      </c>
      <c r="S62">
        <f>IF(COUNT(Q62:R62)=2,R62-Q62,"")</f>
        <v>-0.7651376058507289</v>
      </c>
    </row>
    <row r="63" spans="1:19" x14ac:dyDescent="0.3">
      <c r="A63">
        <v>25</v>
      </c>
      <c r="B63">
        <v>24</v>
      </c>
      <c r="C63">
        <f>100*768464/1759518</f>
        <v>43.67468818164975</v>
      </c>
      <c r="D63">
        <f>100*268098/1304336</f>
        <v>20.554366359588325</v>
      </c>
      <c r="E63">
        <f>IF(COUNT(C63:D63)=2,D63-C63,"")</f>
        <v>-23.120321822061424</v>
      </c>
      <c r="H63">
        <v>25</v>
      </c>
      <c r="I63">
        <v>24</v>
      </c>
      <c r="J63">
        <f>100*708043/1588574</f>
        <v>44.57098001100358</v>
      </c>
      <c r="K63">
        <f>100*83123/950876</f>
        <v>8.741728679659598</v>
      </c>
      <c r="L63">
        <f>IF(COUNT(J63:K63)=2,K63-J63,"")</f>
        <v>-35.82925133134398</v>
      </c>
      <c r="O63">
        <v>25</v>
      </c>
      <c r="P63">
        <v>24</v>
      </c>
      <c r="Q63">
        <f>100*339441/1160878</f>
        <v>29.240023499454722</v>
      </c>
      <c r="R63">
        <f>100*523315/1605145</f>
        <v>32.60235056645973</v>
      </c>
      <c r="S63">
        <f>IF(COUNT(Q63:R63)=2,R63-Q63,"")</f>
        <v>3.3623270670050047</v>
      </c>
    </row>
    <row r="64" spans="1:19" x14ac:dyDescent="0.3">
      <c r="A64">
        <v>26</v>
      </c>
      <c r="B64">
        <v>25</v>
      </c>
      <c r="C64">
        <f>100*872598/1965096</f>
        <v>44.40485350334029</v>
      </c>
      <c r="D64">
        <f>100*68186/847923</f>
        <v>8.04153207307739</v>
      </c>
      <c r="E64">
        <f>IF(COUNT(C64:D64)=2,D64-C64,"")</f>
        <v>-36.3633214302629</v>
      </c>
      <c r="H64">
        <v>26</v>
      </c>
      <c r="I64">
        <v>25</v>
      </c>
      <c r="J64">
        <f>100*398836/1246025</f>
        <v>32.008667562849865</v>
      </c>
      <c r="K64">
        <f>100*215645/1103797</f>
        <v>19.536653931837105</v>
      </c>
      <c r="L64">
        <f>IF(COUNT(J64:K64)=2,K64-J64,"")</f>
        <v>-12.47201363101276</v>
      </c>
      <c r="O64">
        <v>26</v>
      </c>
      <c r="P64">
        <v>25</v>
      </c>
      <c r="Q64">
        <f>100*775571/1671807</f>
        <v>46.39118032165196</v>
      </c>
      <c r="R64">
        <f>100*559870/1549939</f>
        <v>36.122066739400715</v>
      </c>
      <c r="S64">
        <f>IF(COUNT(Q64:R64)=2,R64-Q64,"")</f>
        <v>-10.269113582251244</v>
      </c>
    </row>
    <row r="65" spans="1:19" x14ac:dyDescent="0.3">
      <c r="A65">
        <v>27</v>
      </c>
      <c r="B65">
        <v>26</v>
      </c>
      <c r="C65">
        <f>100*588879/1713537</f>
        <v>34.36628447474435</v>
      </c>
      <c r="D65">
        <f>100*316791/1326664</f>
        <v>23.878766590485608</v>
      </c>
      <c r="E65">
        <f>IF(COUNT(C65:D65)=2,D65-C65,"")</f>
        <v>-10.48751788425874</v>
      </c>
      <c r="H65">
        <v>27</v>
      </c>
      <c r="I65">
        <v>26</v>
      </c>
      <c r="J65">
        <f>100*537175/1539092</f>
        <v>34.90207213084078</v>
      </c>
      <c r="K65">
        <f>100*473943/1751837</f>
        <v>27.054058111570882</v>
      </c>
      <c r="L65">
        <f>IF(COUNT(J65:K65)=2,K65-J65,"")</f>
        <v>-7.848014019269897</v>
      </c>
      <c r="O65">
        <v>27</v>
      </c>
      <c r="P65">
        <v>26</v>
      </c>
      <c r="Q65">
        <f>100*484579/1297589</f>
        <v>37.34456750172821</v>
      </c>
      <c r="R65">
        <f>100*541770/1568912</f>
        <v>34.53157347257208</v>
      </c>
      <c r="S65">
        <f>IF(COUNT(Q65:R65)=2,R65-Q65,"")</f>
        <v>-2.8129940291561297</v>
      </c>
    </row>
    <row r="66" spans="1:19" x14ac:dyDescent="0.3">
      <c r="A66">
        <v>28</v>
      </c>
      <c r="B66">
        <v>27</v>
      </c>
      <c r="C66">
        <f>100*367929/1192094</f>
        <v>30.864092932268765</v>
      </c>
      <c r="D66">
        <f>100*434314/1622608</f>
        <v>26.766415548302486</v>
      </c>
      <c r="E66">
        <f>IF(COUNT(C66:D66)=2,D66-C66,"")</f>
        <v>-4.097677383966278</v>
      </c>
      <c r="H66">
        <v>28</v>
      </c>
      <c r="I66">
        <v>27</v>
      </c>
      <c r="J66">
        <f>100*531985/1356503</f>
        <v>39.21738470169252</v>
      </c>
      <c r="K66">
        <f>100*172109/1168610</f>
        <v>14.72766791316179</v>
      </c>
      <c r="L66">
        <f>IF(COUNT(J66:K66)=2,K66-J66,"")</f>
        <v>-24.48971678853073</v>
      </c>
      <c r="O66">
        <v>28</v>
      </c>
      <c r="P66">
        <v>27</v>
      </c>
      <c r="Q66">
        <f>100*341/342230</f>
        <v>0.09964059258393478</v>
      </c>
      <c r="R66">
        <f>100*651/342335</f>
        <v>0.19016460484613026</v>
      </c>
      <c r="S66">
        <f>IF(COUNT(Q66:R66)=2,R66-Q66,"")</f>
        <v>0.09052401226219549</v>
      </c>
    </row>
    <row r="67" spans="1:19" x14ac:dyDescent="0.3">
      <c r="A67">
        <v>29</v>
      </c>
      <c r="B67">
        <v>28</v>
      </c>
      <c r="C67">
        <f>100*656014/1602695</f>
        <v>40.93193027993473</v>
      </c>
      <c r="D67">
        <f>100*287294/1367298</f>
        <v>21.011805765824274</v>
      </c>
      <c r="E67">
        <f>IF(COUNT(C67:D67)=2,D67-C67,"")</f>
        <v>-19.92012451411046</v>
      </c>
      <c r="H67">
        <v>29</v>
      </c>
      <c r="I67">
        <v>28</v>
      </c>
      <c r="J67">
        <f>100*917947/2006663</f>
        <v>45.74495069675376</v>
      </c>
      <c r="K67">
        <f>100*598139/1987792</f>
        <v>30.090623163791786</v>
      </c>
      <c r="L67">
        <f>IF(COUNT(J67:K67)=2,K67-J67,"")</f>
        <v>-15.654327532961975</v>
      </c>
      <c r="O67">
        <v>29</v>
      </c>
      <c r="P67">
        <v>28</v>
      </c>
      <c r="Q67">
        <f>100*506385/1453010</f>
        <v>34.850758081499784</v>
      </c>
      <c r="R67">
        <f>100*518896/1582746</f>
        <v>32.78454028631252</v>
      </c>
      <c r="S67">
        <f>IF(COUNT(Q67:R67)=2,R67-Q67,"")</f>
        <v>-2.0662177951872636</v>
      </c>
    </row>
    <row r="68" spans="1:19" x14ac:dyDescent="0.3">
      <c r="A68">
        <v>30</v>
      </c>
      <c r="B68">
        <v>29</v>
      </c>
      <c r="C68">
        <f>100*39372/653286</f>
        <v>6.026763163453679</v>
      </c>
      <c r="D68">
        <f>100*134466/878385</f>
        <v>15.308321521883911</v>
      </c>
      <c r="E68">
        <f>IF(COUNT(C68:D68)=2,D68-C68,"")</f>
        <v>9.281558358430232</v>
      </c>
      <c r="H68">
        <v>30</v>
      </c>
      <c r="I68">
        <v>29</v>
      </c>
      <c r="J68">
        <f>100*537109/1458999</f>
        <v>36.81352763093052</v>
      </c>
      <c r="K68">
        <f>100*218745/1058171</f>
        <v>20.671989687867082</v>
      </c>
      <c r="L68">
        <f>IF(COUNT(J68:K68)=2,K68-J68,"")</f>
        <v>-16.14153794306344</v>
      </c>
      <c r="O68">
        <v>30</v>
      </c>
      <c r="P68">
        <v>29</v>
      </c>
      <c r="Q68">
        <f>100*609326/1423323</f>
        <v>42.81010002648731</v>
      </c>
      <c r="R68">
        <f>100*492782/1595646</f>
        <v>30.882915132805145</v>
      </c>
      <c r="S68">
        <f>IF(COUNT(Q68:R68)=2,R68-Q68,"")</f>
        <v>-11.927184893682167</v>
      </c>
    </row>
    <row r="69" spans="1:19" x14ac:dyDescent="0.3">
      <c r="A69">
        <v>31</v>
      </c>
      <c r="B69">
        <v>30</v>
      </c>
      <c r="C69">
        <f>100*401250/1230061</f>
        <v>32.62033346313719</v>
      </c>
      <c r="D69">
        <f>100*284353/1258988</f>
        <v>22.585838784801762</v>
      </c>
      <c r="E69">
        <f>IF(COUNT(C69:D69)=2,D69-C69,"")</f>
        <v>-10.034494678335431</v>
      </c>
      <c r="H69">
        <v>31</v>
      </c>
      <c r="I69">
        <v>30</v>
      </c>
      <c r="J69">
        <f>100*589124/1665281</f>
        <v>35.3768523150147</v>
      </c>
      <c r="K69">
        <f>100*102816/839408</f>
        <v>12.248632369479443</v>
      </c>
      <c r="L69">
        <f>IF(COUNT(J69:K69)=2,K69-J69,"")</f>
        <v>-23.128219945535257</v>
      </c>
      <c r="O69">
        <v>31</v>
      </c>
      <c r="P69">
        <v>30</v>
      </c>
      <c r="Q69">
        <f>100*1911/646412</f>
        <v>0.2956318880218808</v>
      </c>
      <c r="R69">
        <f>100*91880/830247</f>
        <v>11.066586208682477</v>
      </c>
      <c r="S69">
        <f>IF(COUNT(Q69:R69)=2,R69-Q69,"")</f>
        <v>10.770954320660596</v>
      </c>
    </row>
    <row r="70" spans="1:19" x14ac:dyDescent="0.3">
      <c r="A70" t="s">
        <v>5</v>
      </c>
      <c r="C70">
        <f>IF(COUNT(C39:C69)&gt;0,AVERAGE(C39:C69),"")</f>
        <v>31.6417312238221</v>
      </c>
      <c r="D70">
        <f>IF(COUNT(D39:D69)&gt;0,AVERAGE(D39:D69),"")</f>
        <v>17.927377346718895</v>
      </c>
      <c r="E70">
        <f>IF(COUNT(E39:E69)&gt;0,AVERAGE(E39:E69),"")</f>
        <v>-13.714353877103202</v>
      </c>
      <c r="H70" t="s">
        <v>5</v>
      </c>
      <c r="J70">
        <f>IF(COUNT(J39:J69)&gt;0,AVERAGE(J39:J69),"")</f>
        <v>32.99518015949494</v>
      </c>
      <c r="K70">
        <f>IF(COUNT(K39:K69)&gt;0,AVERAGE(K39:K69),"")</f>
        <v>17.086799722668623</v>
      </c>
      <c r="L70">
        <f>IF(COUNT(L39:L69)&gt;0,AVERAGE(L39:L69),"")</f>
        <v>-15.908380436826326</v>
      </c>
      <c r="O70" t="s">
        <v>5</v>
      </c>
      <c r="Q70">
        <f>IF(COUNT(Q39:Q69)&gt;0,AVERAGE(Q39:Q69),"")</f>
        <v>30.180215695878577</v>
      </c>
      <c r="R70">
        <f>IF(COUNT(R39:R69)&gt;0,AVERAGE(R39:R69),"")</f>
        <v>22.76350370587298</v>
      </c>
      <c r="S70">
        <f>IF(COUNT(S39:S69)&gt;0,AVERAGE(S39:S69),"")</f>
        <v>-7.416711990005589</v>
      </c>
    </row>
    <row r="73" spans="1:19" s="2" customFormat="1" x14ac:dyDescent="0.3">
      <c r="A73" s="1" t="s">
        <v>12</v>
      </c>
      <c r="B73" s="1"/>
      <c r="C73" s="1"/>
      <c r="D73" s="1"/>
      <c r="E73" s="1"/>
      <c r="H73" s="1" t="s">
        <v>13</v>
      </c>
      <c r="I73" s="1"/>
      <c r="J73" s="1"/>
      <c r="K73" s="1"/>
      <c r="L73" s="1"/>
      <c r="O73" s="1" t="s">
        <v>14</v>
      </c>
      <c r="P73" s="1"/>
      <c r="Q73" s="1"/>
      <c r="R73" s="1"/>
      <c r="S73" s="1"/>
    </row>
    <row r="74" spans="1:19" x14ac:dyDescent="0.3">
      <c r="A74" t="s">
        <v>0</v>
      </c>
      <c r="B74" t="s">
        <v>1</v>
      </c>
      <c r="C74" t="s">
        <v>2</v>
      </c>
      <c r="D74" t="s">
        <v>3</v>
      </c>
      <c r="E74" t="s">
        <v>4</v>
      </c>
      <c r="H74" t="s">
        <v>0</v>
      </c>
      <c r="I74" t="s">
        <v>1</v>
      </c>
      <c r="J74" t="s">
        <v>2</v>
      </c>
      <c r="K74" t="s">
        <v>3</v>
      </c>
      <c r="L74" t="s">
        <v>4</v>
      </c>
      <c r="O74" t="s">
        <v>0</v>
      </c>
      <c r="P74" t="s">
        <v>1</v>
      </c>
      <c r="Q74" t="s">
        <v>2</v>
      </c>
      <c r="R74" t="s">
        <v>3</v>
      </c>
      <c r="S74" t="s">
        <v>4</v>
      </c>
    </row>
    <row r="75" spans="1:19" x14ac:dyDescent="0.3">
      <c r="A75">
        <v>1</v>
      </c>
      <c r="B75">
        <v>0</v>
      </c>
      <c r="C75">
        <f>100*950574/2156408</f>
        <v>44.08136122663244</v>
      </c>
      <c r="D75">
        <f>100*685143/1931863</f>
        <v>35.46540308500137</v>
      </c>
      <c r="E75">
        <f>IF(COUNT(C75:D75)=2,D75-C75,"")</f>
        <v>-8.615958141631069</v>
      </c>
      <c r="H75">
        <v>1</v>
      </c>
      <c r="I75">
        <v>0</v>
      </c>
      <c r="J75">
        <f>100*1161020/2178231</f>
        <v>53.30105025591868</v>
      </c>
      <c r="K75">
        <f>100*449641/1854235</f>
        <v>24.249407437568593</v>
      </c>
      <c r="L75">
        <f>IF(COUNT(J75:K75)=2,K75-J75,"")</f>
        <v>-29.05164281835009</v>
      </c>
      <c r="O75">
        <v>1</v>
      </c>
      <c r="P75">
        <v>0</v>
      </c>
      <c r="Q75">
        <f>100*17855/657603</f>
        <v>2.7151640123296272</v>
      </c>
      <c r="R75">
        <f>100*58424/719824</f>
        <v>8.116428460290294</v>
      </c>
      <c r="S75">
        <f>IF(COUNT(Q75:R75)=2,R75-Q75,"")</f>
        <v>5.401264447960667</v>
      </c>
    </row>
    <row r="76" spans="1:19" x14ac:dyDescent="0.3">
      <c r="A76">
        <v>2</v>
      </c>
      <c r="B76">
        <v>1</v>
      </c>
      <c r="C76">
        <f>100*784284/1919387</f>
        <v>40.861170780045924</v>
      </c>
      <c r="D76">
        <f>100*975551/2489826</f>
        <v>39.181493003928786</v>
      </c>
      <c r="E76">
        <f>IF(COUNT(C76:D76)=2,D76-C76,"")</f>
        <v>-1.6796777761171384</v>
      </c>
      <c r="H76">
        <v>2</v>
      </c>
      <c r="I76">
        <v>1</v>
      </c>
      <c r="J76">
        <f>100*920313/2115455</f>
        <v>43.50425794923551</v>
      </c>
      <c r="K76">
        <f>100*662906/2160843</f>
        <v>30.678119604247048</v>
      </c>
      <c r="L76">
        <f>IF(COUNT(J76:K76)=2,K76-J76,"")</f>
        <v>-12.826138344988461</v>
      </c>
      <c r="O76">
        <v>2</v>
      </c>
      <c r="P76">
        <v>1</v>
      </c>
      <c r="Q76">
        <f>100*506051/1366563</f>
        <v>37.03093088280599</v>
      </c>
      <c r="R76">
        <f>100*469824/1494381</f>
        <v>31.439371887089035</v>
      </c>
      <c r="S76">
        <f>IF(COUNT(Q76:R76)=2,R76-Q76,"")</f>
        <v>-5.591558995716955</v>
      </c>
    </row>
    <row r="77" spans="1:19" x14ac:dyDescent="0.3">
      <c r="A77">
        <v>3</v>
      </c>
      <c r="B77">
        <v>2</v>
      </c>
      <c r="C77">
        <f>100*45924/1162874</f>
        <v>3.949181080667381</v>
      </c>
      <c r="D77">
        <f>100*67381/714955</f>
        <v>9.424509234846948</v>
      </c>
      <c r="E77">
        <f>IF(COUNT(C77:D77)=2,D77-C77,"")</f>
        <v>5.475328154179566</v>
      </c>
      <c r="H77">
        <v>3</v>
      </c>
      <c r="I77">
        <v>2</v>
      </c>
      <c r="J77">
        <f>100*702390/1654096</f>
        <v>42.46367804528879</v>
      </c>
      <c r="K77">
        <f>100*386573/1749445</f>
        <v>22.09689358625164</v>
      </c>
      <c r="L77">
        <f>IF(COUNT(J77:K77)=2,K77-J77,"")</f>
        <v>-20.36678445903715</v>
      </c>
      <c r="O77">
        <v>3</v>
      </c>
      <c r="P77">
        <v>2</v>
      </c>
      <c r="Q77">
        <f>100*580189/1478595</f>
        <v>39.239210196165956</v>
      </c>
      <c r="R77">
        <f>100*608500/1697919</f>
        <v>35.837987560066175</v>
      </c>
      <c r="S77">
        <f>IF(COUNT(Q77:R77)=2,R77-Q77,"")</f>
        <v>-3.4012226360997815</v>
      </c>
    </row>
    <row r="78" spans="1:19" x14ac:dyDescent="0.3">
      <c r="A78">
        <v>4</v>
      </c>
      <c r="B78">
        <v>3</v>
      </c>
      <c r="C78">
        <f>100*987891/1871797</f>
        <v>52.77767834866708</v>
      </c>
      <c r="D78">
        <f>100*102772/1063708</f>
        <v>9.661674068447356</v>
      </c>
      <c r="E78">
        <f>IF(COUNT(C78:D78)=2,D78-C78,"")</f>
        <v>-43.11600428021973</v>
      </c>
      <c r="H78">
        <v>4</v>
      </c>
      <c r="I78">
        <v>3</v>
      </c>
      <c r="J78">
        <f>100*827459/1741510</f>
        <v>47.51388163145776</v>
      </c>
      <c r="K78">
        <f>100*59322/951875</f>
        <v>6.232120814182535</v>
      </c>
      <c r="L78">
        <f>IF(COUNT(J78:K78)=2,K78-J78,"")</f>
        <v>-41.28176081727522</v>
      </c>
      <c r="O78">
        <v>4</v>
      </c>
      <c r="P78">
        <v>3</v>
      </c>
      <c r="Q78">
        <f>100*617738/1364388</f>
        <v>45.27583062882406</v>
      </c>
      <c r="R78">
        <f>100*764524/1946157</f>
        <v>39.2837782357744</v>
      </c>
      <c r="S78">
        <f>IF(COUNT(Q78:R78)=2,R78-Q78,"")</f>
        <v>-5.992052393049661</v>
      </c>
    </row>
    <row r="79" spans="1:19" x14ac:dyDescent="0.3">
      <c r="A79">
        <v>5</v>
      </c>
      <c r="B79">
        <v>4</v>
      </c>
      <c r="C79">
        <f>100*1067979/2182567</f>
        <v>48.932243546246234</v>
      </c>
      <c r="D79">
        <f>100*672274/2114211</f>
        <v>31.797866911107736</v>
      </c>
      <c r="E79">
        <f>IF(COUNT(C79:D79)=2,D79-C79,"")</f>
        <v>-17.134376635138498</v>
      </c>
      <c r="H79">
        <v>5</v>
      </c>
      <c r="I79">
        <v>4</v>
      </c>
      <c r="J79">
        <f>100*1035328/2211231</f>
        <v>46.82134069213031</v>
      </c>
      <c r="K79">
        <f>100*543781/1896677</f>
        <v>28.67019529419084</v>
      </c>
      <c r="L79">
        <f>IF(COUNT(J79:K79)=2,K79-J79,"")</f>
        <v>-18.151145397939473</v>
      </c>
      <c r="O79">
        <v>5</v>
      </c>
      <c r="P79">
        <v>4</v>
      </c>
      <c r="Q79">
        <f>100*829508/1701576</f>
        <v>48.749394678815406</v>
      </c>
      <c r="R79">
        <f>100*215752/1129542</f>
        <v>19.100839101157813</v>
      </c>
      <c r="S79">
        <f>IF(COUNT(Q79:R79)=2,R79-Q79,"")</f>
        <v>-29.648555577657593</v>
      </c>
    </row>
    <row r="80" spans="1:19" x14ac:dyDescent="0.3">
      <c r="A80">
        <v>6</v>
      </c>
      <c r="B80">
        <v>5</v>
      </c>
      <c r="C80">
        <f>100*819594/1914103</f>
        <v>42.81869888924473</v>
      </c>
      <c r="D80">
        <f>100*509738/1755258</f>
        <v>29.040631063923367</v>
      </c>
      <c r="E80">
        <f>IF(COUNT(C80:D80)=2,D80-C80,"")</f>
        <v>-13.778067825321362</v>
      </c>
      <c r="H80">
        <v>6</v>
      </c>
      <c r="I80">
        <v>5</v>
      </c>
      <c r="J80">
        <f>100*627723/1597246</f>
        <v>39.30033319851795</v>
      </c>
      <c r="K80">
        <f>100*614028/1895194</f>
        <v>32.39921612246556</v>
      </c>
      <c r="L80">
        <f>IF(COUNT(J80:K80)=2,K80-J80,"")</f>
        <v>-6.901117076052387</v>
      </c>
      <c r="O80">
        <v>6</v>
      </c>
      <c r="P80">
        <v>5</v>
      </c>
      <c r="Q80">
        <f>100*561642/1450968</f>
        <v>38.70809004747176</v>
      </c>
      <c r="R80">
        <f>100*438211/1492298</f>
        <v>29.364845359304912</v>
      </c>
      <c r="S80">
        <f>IF(COUNT(Q80:R80)=2,R80-Q80,"")</f>
        <v>-9.343244688166845</v>
      </c>
    </row>
    <row r="81" spans="1:19" x14ac:dyDescent="0.3">
      <c r="A81">
        <v>7</v>
      </c>
      <c r="B81">
        <v>6</v>
      </c>
      <c r="C81">
        <f>100*6901/528040</f>
        <v>1.3069085675327627</v>
      </c>
      <c r="D81">
        <f>100*214768/1336406</f>
        <v>16.070565382077003</v>
      </c>
      <c r="E81">
        <f>IF(COUNT(C81:D81)=2,D81-C81,"")</f>
        <v>14.763656814544241</v>
      </c>
      <c r="H81">
        <v>7</v>
      </c>
      <c r="I81">
        <v>6</v>
      </c>
      <c r="J81">
        <f>100*3904/710153</f>
        <v>0.5497406896823642</v>
      </c>
      <c r="K81">
        <f>100*125285/954494</f>
        <v>13.125802781368977</v>
      </c>
      <c r="L81">
        <f>IF(COUNT(J81:K81)=2,K81-J81,"")</f>
        <v>12.576062091686612</v>
      </c>
      <c r="O81">
        <v>7</v>
      </c>
      <c r="P81">
        <v>6</v>
      </c>
      <c r="Q81">
        <f>100*769806/1827455</f>
        <v>42.124484597431945</v>
      </c>
      <c r="R81">
        <f>100*247958/1252880</f>
        <v>19.791041440521038</v>
      </c>
      <c r="S81">
        <f>IF(COUNT(Q81:R81)=2,R81-Q81,"")</f>
        <v>-22.333443156910906</v>
      </c>
    </row>
    <row r="82" spans="1:19" x14ac:dyDescent="0.3">
      <c r="A82">
        <v>8</v>
      </c>
      <c r="B82">
        <v>7</v>
      </c>
      <c r="C82">
        <f>100*8971/665002</f>
        <v>1.3490184991924836</v>
      </c>
      <c r="D82">
        <f>100*2397/531706</f>
        <v>0.45081304329836414</v>
      </c>
      <c r="E82">
        <f>IF(COUNT(C82:D82)=2,D82-C82,"")</f>
        <v>-0.8982054558941195</v>
      </c>
      <c r="H82">
        <v>8</v>
      </c>
      <c r="I82">
        <v>7</v>
      </c>
      <c r="J82">
        <f>100*7411/619510</f>
        <v>1.1962680182725056</v>
      </c>
      <c r="K82">
        <f>100*1289/504756</f>
        <v>0.25537091188613903</v>
      </c>
      <c r="L82">
        <f>IF(COUNT(J82:K82)=2,K82-J82,"")</f>
        <v>-0.9408971063863666</v>
      </c>
      <c r="O82">
        <v>8</v>
      </c>
      <c r="P82">
        <v>7</v>
      </c>
      <c r="Q82">
        <f>100*842526/1806467</f>
        <v>46.63943487481365</v>
      </c>
      <c r="R82">
        <f>100*600437/1784626</f>
        <v>33.64497659453578</v>
      </c>
      <c r="S82">
        <f>IF(COUNT(Q82:R82)=2,R82-Q82,"")</f>
        <v>-12.994458280277875</v>
      </c>
    </row>
    <row r="83" spans="1:19" x14ac:dyDescent="0.3">
      <c r="A83">
        <v>9</v>
      </c>
      <c r="B83">
        <v>8</v>
      </c>
      <c r="C83">
        <f>100*766923/1967808</f>
        <v>38.9734669236023</v>
      </c>
      <c r="D83">
        <f>100*879838/2433908</f>
        <v>36.149188876489994</v>
      </c>
      <c r="E83">
        <f>IF(COUNT(C83:D83)=2,D83-C83,"")</f>
        <v>-2.8242780471123083</v>
      </c>
      <c r="H83">
        <v>9</v>
      </c>
      <c r="I83">
        <v>8</v>
      </c>
      <c r="J83">
        <f>100*986121/2196978</f>
        <v>44.88533795058485</v>
      </c>
      <c r="K83">
        <f>100*866818/2361145</f>
        <v>36.71176484290461</v>
      </c>
      <c r="L83">
        <f>IF(COUNT(J83:K83)=2,K83-J83,"")</f>
        <v>-8.173573107680241</v>
      </c>
      <c r="O83">
        <v>9</v>
      </c>
      <c r="P83">
        <v>8</v>
      </c>
      <c r="Q83">
        <f>100*418704/1300185</f>
        <v>32.20341720601299</v>
      </c>
      <c r="R83">
        <f>100*692319/1840943</f>
        <v>37.606759144634026</v>
      </c>
      <c r="S83">
        <f>IF(COUNT(Q83:R83)=2,R83-Q83,"")</f>
        <v>5.403341938621033</v>
      </c>
    </row>
    <row r="84" spans="1:19" x14ac:dyDescent="0.3">
      <c r="A84">
        <v>10</v>
      </c>
      <c r="B84">
        <v>9</v>
      </c>
      <c r="C84">
        <f>100*193316/1207283</f>
        <v>16.012484231120624</v>
      </c>
      <c r="D84">
        <f>100*278386/1572681</f>
        <v>17.701364739575286</v>
      </c>
      <c r="E84">
        <f>IF(COUNT(C84:D84)=2,D84-C84,"")</f>
        <v>1.6888805084546625</v>
      </c>
      <c r="H84">
        <v>10</v>
      </c>
      <c r="I84">
        <v>9</v>
      </c>
      <c r="J84">
        <f>100*1094395/2180634</f>
        <v>50.187009832920154</v>
      </c>
      <c r="K84">
        <f>100*5850/817598</f>
        <v>0.7155105565326725</v>
      </c>
      <c r="L84">
        <f>IF(COUNT(J84:K84)=2,K84-J84,"")</f>
        <v>-49.47149927638748</v>
      </c>
      <c r="O84">
        <v>10</v>
      </c>
      <c r="P84">
        <v>9</v>
      </c>
      <c r="Q84">
        <f>100*10580/624813</f>
        <v>1.6933066373458938</v>
      </c>
      <c r="R84">
        <f>100*70313/685700</f>
        <v>10.254192795683243</v>
      </c>
      <c r="S84">
        <f>IF(COUNT(Q84:R84)=2,R84-Q84,"")</f>
        <v>8.56088615833735</v>
      </c>
    </row>
    <row r="85" spans="1:19" x14ac:dyDescent="0.3">
      <c r="A85">
        <v>11</v>
      </c>
      <c r="B85">
        <v>10</v>
      </c>
      <c r="C85">
        <f>100*1000200/2058009</f>
        <v>48.60037055231537</v>
      </c>
      <c r="D85">
        <f>100*229124/1424178</f>
        <v>16.08815751963589</v>
      </c>
      <c r="E85">
        <f>IF(COUNT(C85:D85)=2,D85-C85,"")</f>
        <v>-32.51221303267948</v>
      </c>
      <c r="H85">
        <v>11</v>
      </c>
      <c r="I85">
        <v>10</v>
      </c>
      <c r="J85">
        <f>100*1248271/2251399</f>
        <v>55.444237116566185</v>
      </c>
      <c r="K85">
        <f>100*56258/1040996</f>
        <v>5.40424747069153</v>
      </c>
      <c r="L85">
        <f>IF(COUNT(J85:K85)=2,K85-J85,"")</f>
        <v>-50.039989645874655</v>
      </c>
      <c r="O85">
        <v>11</v>
      </c>
      <c r="P85">
        <v>10</v>
      </c>
      <c r="Q85">
        <f>100*858874/1796310</f>
        <v>47.8132393629162</v>
      </c>
      <c r="R85">
        <f>100*10450/42768</f>
        <v>24.43415637860082</v>
      </c>
      <c r="S85">
        <f>IF(COUNT(Q85:R85)=2,R85-Q85,"")</f>
        <v>-23.379082984315378</v>
      </c>
    </row>
    <row r="86" spans="1:19" x14ac:dyDescent="0.3">
      <c r="A86">
        <v>12</v>
      </c>
      <c r="B86">
        <v>11</v>
      </c>
      <c r="C86">
        <f>100*1083380/2227336</f>
        <v>48.640169242539066</v>
      </c>
      <c r="D86">
        <f>100*611621/2034899</f>
        <v>30.056577746610518</v>
      </c>
      <c r="E86">
        <f>IF(COUNT(C86:D86)=2,D86-C86,"")</f>
        <v>-18.583591495928548</v>
      </c>
      <c r="H86">
        <v>12</v>
      </c>
      <c r="I86">
        <v>11</v>
      </c>
      <c r="J86">
        <f>100*847034/1777114</f>
        <v>47.66345884394586</v>
      </c>
      <c r="K86">
        <f>100*8481/1030341</f>
        <v>0.8231255477555489</v>
      </c>
      <c r="L86">
        <f>IF(COUNT(J86:K86)=2,K86-J86,"")</f>
        <v>-46.84033329619031</v>
      </c>
      <c r="O86">
        <v>12</v>
      </c>
      <c r="P86">
        <v>11</v>
      </c>
      <c r="Q86">
        <f>100*739588/1710894</f>
        <v>43.22816024838476</v>
      </c>
      <c r="R86">
        <f>100*889385/2254284</f>
        <v>39.453103513133215</v>
      </c>
      <c r="S86">
        <f>IF(COUNT(Q86:R86)=2,R86-Q86,"")</f>
        <v>-3.775056735251546</v>
      </c>
    </row>
    <row r="87" spans="1:19" x14ac:dyDescent="0.3">
      <c r="A87">
        <v>13</v>
      </c>
      <c r="B87">
        <v>12</v>
      </c>
      <c r="C87">
        <f>100*7212/818878</f>
        <v>0.8807172741238621</v>
      </c>
      <c r="D87">
        <f>100*28653/787544</f>
        <v>3.6382729091961847</v>
      </c>
      <c r="E87">
        <f>IF(COUNT(C87:D87)=2,D87-C87,"")</f>
        <v>2.7575556350723227</v>
      </c>
      <c r="H87">
        <v>13</v>
      </c>
      <c r="I87">
        <v>12</v>
      </c>
      <c r="J87">
        <f>100*767025/1720041</f>
        <v>44.593413761648705</v>
      </c>
      <c r="K87">
        <f>100*641443/2074384</f>
        <v>30.922095426883356</v>
      </c>
      <c r="L87">
        <f>IF(COUNT(J87:K87)=2,K87-J87,"")</f>
        <v>-13.671318334765349</v>
      </c>
      <c r="O87">
        <v>13</v>
      </c>
      <c r="P87">
        <v>12</v>
      </c>
      <c r="Q87">
        <f>100*371461/1317955</f>
        <v>28.18464970351795</v>
      </c>
      <c r="R87">
        <f>100*190186/911621</f>
        <v>20.862397860514402</v>
      </c>
      <c r="S87">
        <f>IF(COUNT(Q87:R87)=2,R87-Q87,"")</f>
        <v>-7.322251843003549</v>
      </c>
    </row>
    <row r="88" spans="1:19" x14ac:dyDescent="0.3">
      <c r="A88">
        <v>14</v>
      </c>
      <c r="B88">
        <v>13</v>
      </c>
      <c r="C88">
        <f>100*92689/774868</f>
        <v>11.961908350841691</v>
      </c>
      <c r="D88">
        <f>100*52792/809759</f>
        <v>6.519470607921616</v>
      </c>
      <c r="E88">
        <f>IF(COUNT(C88:D88)=2,D88-C88,"")</f>
        <v>-5.442437742920075</v>
      </c>
      <c r="H88">
        <v>14</v>
      </c>
      <c r="I88">
        <v>13</v>
      </c>
      <c r="J88">
        <f>100*438708/1328922</f>
        <v>33.01232126490494</v>
      </c>
      <c r="K88">
        <f>100*486/519607</f>
        <v>0.0935322272409725</v>
      </c>
      <c r="L88">
        <f>IF(COUNT(J88:K88)=2,K88-J88,"")</f>
        <v>-32.91878903766397</v>
      </c>
      <c r="O88">
        <v>14</v>
      </c>
      <c r="P88">
        <v>13</v>
      </c>
      <c r="Q88">
        <f>100*183244/894097</f>
        <v>20.494868006491465</v>
      </c>
      <c r="R88">
        <f>100*35086/536438</f>
        <v>6.54055081854753</v>
      </c>
      <c r="S88">
        <f>IF(COUNT(Q88:R88)=2,R88-Q88,"")</f>
        <v>-13.954317187943936</v>
      </c>
    </row>
    <row r="89" spans="1:19" x14ac:dyDescent="0.3">
      <c r="A89">
        <v>15</v>
      </c>
      <c r="B89">
        <v>14</v>
      </c>
      <c r="C89">
        <f>100*410087/1559215</f>
        <v>26.30086293423293</v>
      </c>
      <c r="D89">
        <f>100*780719/2260578</f>
        <v>34.53625577175395</v>
      </c>
      <c r="E89">
        <f>IF(COUNT(C89:D89)=2,D89-C89,"")</f>
        <v>8.235392837521019</v>
      </c>
      <c r="H89">
        <v>15</v>
      </c>
      <c r="I89">
        <v>14</v>
      </c>
      <c r="J89">
        <f>100*378843/1975907</f>
        <v>19.173118977765654</v>
      </c>
      <c r="K89">
        <f>100*523517/1902929</f>
        <v>27.51111575891691</v>
      </c>
      <c r="L89">
        <f>IF(COUNT(J89:K89)=2,K89-J89,"")</f>
        <v>8.337996781151258</v>
      </c>
      <c r="O89">
        <v>15</v>
      </c>
      <c r="P89">
        <v>14</v>
      </c>
      <c r="Q89">
        <f>100*672160/1590176</f>
        <v>42.269534944559595</v>
      </c>
      <c r="R89">
        <f>100*350126/1237213</f>
        <v>28.299573315185018</v>
      </c>
      <c r="S89">
        <f>IF(COUNT(Q89:R89)=2,R89-Q89,"")</f>
        <v>-13.969961629374577</v>
      </c>
    </row>
    <row r="90" spans="1:19" x14ac:dyDescent="0.3">
      <c r="A90">
        <v>16</v>
      </c>
      <c r="B90">
        <v>15</v>
      </c>
      <c r="C90">
        <f>100*1111193/2179314</f>
        <v>50.988200874220055</v>
      </c>
      <c r="D90">
        <f>100*230888/1389999</f>
        <v>16.610659432129086</v>
      </c>
      <c r="E90">
        <f>IF(COUNT(C90:D90)=2,D90-C90,"")</f>
        <v>-34.37754144209097</v>
      </c>
      <c r="H90">
        <v>16</v>
      </c>
      <c r="I90">
        <v>15</v>
      </c>
      <c r="J90">
        <f>100*769550/1774401</f>
        <v>43.36956527864896</v>
      </c>
      <c r="K90">
        <f>100*325636/1627723</f>
        <v>20.00561520602707</v>
      </c>
      <c r="L90">
        <f>IF(COUNT(J90:K90)=2,K90-J90,"")</f>
        <v>-23.363950072621893</v>
      </c>
      <c r="O90">
        <v>16</v>
      </c>
      <c r="P90">
        <v>15</v>
      </c>
      <c r="Q90">
        <f>100*705277/1721980</f>
        <v>40.95732819196506</v>
      </c>
      <c r="R90">
        <f>100*677342/2052558</f>
        <v>32.99989573985242</v>
      </c>
      <c r="S90">
        <f>IF(COUNT(Q90:R90)=2,R90-Q90,"")</f>
        <v>-7.957432452112641</v>
      </c>
    </row>
    <row r="91" spans="1:19" x14ac:dyDescent="0.3">
      <c r="A91">
        <v>17</v>
      </c>
      <c r="B91">
        <v>16</v>
      </c>
      <c r="C91">
        <f>100*743599/1773793</f>
        <v>41.921407965867495</v>
      </c>
      <c r="D91">
        <f>100*278985/1339718</f>
        <v>20.824158516941626</v>
      </c>
      <c r="E91">
        <f>IF(COUNT(C91:D91)=2,D91-C91,"")</f>
        <v>-21.09724944892587</v>
      </c>
      <c r="H91">
        <v>17</v>
      </c>
      <c r="I91">
        <v>16</v>
      </c>
      <c r="J91">
        <f>100*3265/88900</f>
        <v>3.6726659167604048</v>
      </c>
      <c r="K91">
        <f>100*397684/1718077</f>
        <v>23.14704172164577</v>
      </c>
      <c r="L91">
        <f>IF(COUNT(J91:K91)=2,K91-J91,"")</f>
        <v>19.474375804885366</v>
      </c>
      <c r="O91">
        <v>17</v>
      </c>
      <c r="P91">
        <v>16</v>
      </c>
      <c r="Q91">
        <f>100*16305/441767</f>
        <v>3.690859661314675</v>
      </c>
      <c r="R91">
        <f>100*17256/484198</f>
        <v>3.5638313252016736</v>
      </c>
      <c r="S91">
        <f>IF(COUNT(Q91:R91)=2,R91-Q91,"")</f>
        <v>-0.12702833611300157</v>
      </c>
    </row>
    <row r="92" spans="1:19" x14ac:dyDescent="0.3">
      <c r="A92">
        <v>18</v>
      </c>
      <c r="B92">
        <v>17</v>
      </c>
      <c r="C92">
        <f>100*929466/2060823</f>
        <v>45.10168995590597</v>
      </c>
      <c r="D92">
        <f>100*198553/1313570</f>
        <v>15.11552486734624</v>
      </c>
      <c r="E92">
        <f>IF(COUNT(C92:D92)=2,D92-C92,"")</f>
        <v>-29.98616508855973</v>
      </c>
      <c r="H92">
        <v>18</v>
      </c>
      <c r="I92">
        <v>17</v>
      </c>
      <c r="K92">
        <f>100*421488/1641658</f>
        <v>25.674531479760095</v>
      </c>
      <c r="L92" t="str">
        <f>IF(COUNT(J92:K92)=2,K92-J92,"")</f>
        <v/>
      </c>
      <c r="O92">
        <v>18</v>
      </c>
      <c r="P92">
        <v>17</v>
      </c>
      <c r="Q92">
        <f>100*156937/709883</f>
        <v>22.10744587488361</v>
      </c>
      <c r="R92">
        <f>100*4733/523122</f>
        <v>0.9047602662476439</v>
      </c>
      <c r="S92">
        <f>IF(COUNT(Q92:R92)=2,R92-Q92,"")</f>
        <v>-21.202685608635967</v>
      </c>
    </row>
    <row r="93" spans="1:19" x14ac:dyDescent="0.3">
      <c r="A93">
        <v>19</v>
      </c>
      <c r="B93">
        <v>18</v>
      </c>
      <c r="C93">
        <f>100*675293/1785174</f>
        <v>37.82785319526276</v>
      </c>
      <c r="D93">
        <f>100*353757/1348275</f>
        <v>26.23774823385437</v>
      </c>
      <c r="E93">
        <f>IF(COUNT(C93:D93)=2,D93-C93,"")</f>
        <v>-11.590104961408393</v>
      </c>
      <c r="H93">
        <v>19</v>
      </c>
      <c r="I93">
        <v>18</v>
      </c>
      <c r="J93">
        <f>100*453701/1228767</f>
        <v>36.9232734928591</v>
      </c>
      <c r="K93">
        <f>100*37484/993510</f>
        <v>3.7728860303368865</v>
      </c>
      <c r="L93">
        <f>IF(COUNT(J93:K93)=2,K93-J93,"")</f>
        <v>-33.15038746252222</v>
      </c>
      <c r="O93">
        <v>19</v>
      </c>
      <c r="P93">
        <v>18</v>
      </c>
      <c r="Q93">
        <f>100*736264/1588962</f>
        <v>46.33616159480214</v>
      </c>
      <c r="R93">
        <f>100*816371/2056302</f>
        <v>39.70092914367637</v>
      </c>
      <c r="S93">
        <f>IF(COUNT(Q93:R93)=2,R93-Q93,"")</f>
        <v>-6.635232451125773</v>
      </c>
    </row>
    <row r="94" spans="1:19" x14ac:dyDescent="0.3">
      <c r="A94">
        <v>20</v>
      </c>
      <c r="B94">
        <v>19</v>
      </c>
      <c r="C94">
        <f>100*1003210/2172217</f>
        <v>46.18369159250664</v>
      </c>
      <c r="D94">
        <f>100*293590/1322488</f>
        <v>22.199823363236565</v>
      </c>
      <c r="E94">
        <f>IF(COUNT(C94:D94)=2,D94-C94,"")</f>
        <v>-23.983868229270076</v>
      </c>
      <c r="H94">
        <v>20</v>
      </c>
      <c r="I94">
        <v>19</v>
      </c>
      <c r="J94">
        <f>100*896581/2145144</f>
        <v>41.79584214393066</v>
      </c>
      <c r="K94">
        <f>100*321905/1426915</f>
        <v>22.559507749235237</v>
      </c>
      <c r="L94">
        <f>IF(COUNT(J94:K94)=2,K94-J94,"")</f>
        <v>-19.236334394695426</v>
      </c>
      <c r="O94">
        <v>20</v>
      </c>
      <c r="P94">
        <v>19</v>
      </c>
      <c r="Q94">
        <f>100*596231/1430518</f>
        <v>41.67937767997327</v>
      </c>
      <c r="R94">
        <f>100*389051/1397747</f>
        <v>27.83415024321283</v>
      </c>
      <c r="S94">
        <f>IF(COUNT(Q94:R94)=2,R94-Q94,"")</f>
        <v>-13.845227436760442</v>
      </c>
    </row>
    <row r="95" spans="1:19" x14ac:dyDescent="0.3">
      <c r="A95">
        <v>21</v>
      </c>
      <c r="B95">
        <v>20</v>
      </c>
      <c r="C95">
        <f>100*814501/1741903</f>
        <v>46.759262714399135</v>
      </c>
      <c r="D95">
        <f>100*12524/394682</f>
        <v>3.1731875281872495</v>
      </c>
      <c r="E95">
        <f>IF(COUNT(C95:D95)=2,D95-C95,"")</f>
        <v>-43.586075186211886</v>
      </c>
      <c r="H95">
        <v>21</v>
      </c>
      <c r="I95">
        <v>20</v>
      </c>
      <c r="J95">
        <f>100*923720/1857736</f>
        <v>49.722888505148205</v>
      </c>
      <c r="K95">
        <f>100*877770/2340786</f>
        <v>37.498942662849146</v>
      </c>
      <c r="L95">
        <f>IF(COUNT(J95:K95)=2,K95-J95,"")</f>
        <v>-12.22394584229906</v>
      </c>
      <c r="O95">
        <v>21</v>
      </c>
      <c r="P95">
        <v>20</v>
      </c>
      <c r="Q95">
        <f>100*808426/1622789</f>
        <v>49.817074185245275</v>
      </c>
      <c r="R95">
        <f>100*422039/1357752</f>
        <v>31.083658871428657</v>
      </c>
      <c r="S95">
        <f>IF(COUNT(Q95:R95)=2,R95-Q95,"")</f>
        <v>-18.733415313816618</v>
      </c>
    </row>
    <row r="96" spans="1:19" x14ac:dyDescent="0.3">
      <c r="A96">
        <v>22</v>
      </c>
      <c r="B96">
        <v>21</v>
      </c>
      <c r="C96">
        <f>100*599877/1809045</f>
        <v>33.15987164498396</v>
      </c>
      <c r="D96">
        <f>100*525192/1979002</f>
        <v>26.538224822410488</v>
      </c>
      <c r="E96">
        <f>IF(COUNT(C96:D96)=2,D96-C96,"")</f>
        <v>-6.621646822573471</v>
      </c>
      <c r="H96">
        <v>22</v>
      </c>
      <c r="I96">
        <v>21</v>
      </c>
      <c r="J96">
        <f>100*1034872/2267546</f>
        <v>45.63841262757183</v>
      </c>
      <c r="K96">
        <f>100*489072/2356548</f>
        <v>20.75374658186466</v>
      </c>
      <c r="L96">
        <f>IF(COUNT(J96:K96)=2,K96-J96,"")</f>
        <v>-24.88466604570717</v>
      </c>
      <c r="O96">
        <v>22</v>
      </c>
      <c r="P96">
        <v>21</v>
      </c>
      <c r="Q96">
        <f>100*248293/932917</f>
        <v>26.614693482914344</v>
      </c>
      <c r="R96">
        <f>100*619733/1831836</f>
        <v>33.83124908561683</v>
      </c>
      <c r="S96">
        <f>IF(COUNT(Q96:R96)=2,R96-Q96,"")</f>
        <v>7.216555602702488</v>
      </c>
    </row>
    <row r="97" spans="1:19" x14ac:dyDescent="0.3">
      <c r="A97">
        <v>23</v>
      </c>
      <c r="B97">
        <v>22</v>
      </c>
      <c r="C97">
        <f>100*649730/1525642</f>
        <v>42.58731733919229</v>
      </c>
      <c r="D97">
        <f>100*727334/2092437</f>
        <v>34.76013853702644</v>
      </c>
      <c r="E97">
        <f>IF(COUNT(C97:D97)=2,D97-C97,"")</f>
        <v>-7.827178802165847</v>
      </c>
      <c r="H97">
        <v>23</v>
      </c>
      <c r="I97">
        <v>22</v>
      </c>
      <c r="J97">
        <f>100*954501/1934417</f>
        <v>49.34308373013678</v>
      </c>
      <c r="K97">
        <f>100*816733/2249991</f>
        <v>36.299389642003014</v>
      </c>
      <c r="L97">
        <f>IF(COUNT(J97:K97)=2,K97-J97,"")</f>
        <v>-13.043694088133769</v>
      </c>
      <c r="O97">
        <v>23</v>
      </c>
      <c r="P97">
        <v>22</v>
      </c>
      <c r="Q97">
        <f>100*491/406810</f>
        <v>0.12069516481895726</v>
      </c>
      <c r="R97">
        <f>100*4102/683226</f>
        <v>0.6003869876146399</v>
      </c>
      <c r="S97">
        <f>IF(COUNT(Q97:R97)=2,R97-Q97,"")</f>
        <v>0.4796918227956827</v>
      </c>
    </row>
    <row r="98" spans="1:19" x14ac:dyDescent="0.3">
      <c r="A98">
        <v>24</v>
      </c>
      <c r="B98">
        <v>23</v>
      </c>
      <c r="C98">
        <f>100*540481/1325139</f>
        <v>40.786740108018854</v>
      </c>
      <c r="D98">
        <f>100*197890/1174009</f>
        <v>16.85591848103379</v>
      </c>
      <c r="E98">
        <f>IF(COUNT(C98:D98)=2,D98-C98,"")</f>
        <v>-23.930821626985065</v>
      </c>
      <c r="H98">
        <v>24</v>
      </c>
      <c r="I98">
        <v>23</v>
      </c>
      <c r="J98">
        <f>100*677655/1567258</f>
        <v>43.238254326983814</v>
      </c>
      <c r="K98">
        <f>100*14259/814732</f>
        <v>1.750146060299583</v>
      </c>
      <c r="L98">
        <f>IF(COUNT(J98:K98)=2,K98-J98,"")</f>
        <v>-41.48810826668423</v>
      </c>
      <c r="O98">
        <v>24</v>
      </c>
      <c r="P98">
        <v>23</v>
      </c>
      <c r="Q98">
        <f>100*462555/1165901</f>
        <v>39.67360865116335</v>
      </c>
      <c r="R98">
        <f>100*309851/1299776</f>
        <v>23.83879991629327</v>
      </c>
      <c r="S98">
        <f>IF(COUNT(Q98:R98)=2,R98-Q98,"")</f>
        <v>-15.83480873487008</v>
      </c>
    </row>
    <row r="99" spans="1:19" x14ac:dyDescent="0.3">
      <c r="A99">
        <v>25</v>
      </c>
      <c r="B99">
        <v>24</v>
      </c>
      <c r="C99">
        <f>100*628764/1681845</f>
        <v>37.3853714224557</v>
      </c>
      <c r="D99">
        <f>100*371185/1592002</f>
        <v>23.315611412548478</v>
      </c>
      <c r="E99">
        <f>IF(COUNT(C99:D99)=2,D99-C99,"")</f>
        <v>-14.06976000990722</v>
      </c>
      <c r="H99">
        <v>25</v>
      </c>
      <c r="I99">
        <v>24</v>
      </c>
      <c r="J99">
        <f>100*1059343/2107573</f>
        <v>50.26364448586123</v>
      </c>
      <c r="K99">
        <f>100*182311/1394438</f>
        <v>13.074156039924327</v>
      </c>
      <c r="L99">
        <f>IF(COUNT(J99:K99)=2,K99-J99,"")</f>
        <v>-37.1894884459369</v>
      </c>
      <c r="O99">
        <v>25</v>
      </c>
      <c r="P99">
        <v>24</v>
      </c>
      <c r="Q99">
        <f>100*667801/1611354</f>
        <v>41.4434692811139</v>
      </c>
      <c r="R99">
        <f>100*727903/1962103</f>
        <v>37.09810341251198</v>
      </c>
      <c r="S99">
        <f>IF(COUNT(Q99:R99)=2,R99-Q99,"")</f>
        <v>-4.345365868601917</v>
      </c>
    </row>
    <row r="100" spans="1:19" x14ac:dyDescent="0.3">
      <c r="A100">
        <v>26</v>
      </c>
      <c r="B100">
        <v>25</v>
      </c>
      <c r="C100">
        <f>100*1206228/2241810</f>
        <v>53.805987126473696</v>
      </c>
      <c r="D100">
        <f>100*682250/2043827</f>
        <v>33.38100533949302</v>
      </c>
      <c r="E100">
        <f>IF(COUNT(C100:D100)=2,D100-C100,"")</f>
        <v>-20.424981786980673</v>
      </c>
      <c r="H100">
        <v>26</v>
      </c>
      <c r="I100">
        <v>25</v>
      </c>
      <c r="J100">
        <f>100*50542/865957</f>
        <v>5.836548466032378</v>
      </c>
      <c r="K100">
        <f>100*525445/1944481</f>
        <v>27.022377693585074</v>
      </c>
      <c r="L100">
        <f>IF(COUNT(J100:K100)=2,K100-J100,"")</f>
        <v>21.185829227552695</v>
      </c>
      <c r="O100">
        <v>26</v>
      </c>
      <c r="P100">
        <v>25</v>
      </c>
      <c r="Q100">
        <f>100*825215/1789490</f>
        <v>46.114535426294644</v>
      </c>
      <c r="R100">
        <f>100*770668/1932313</f>
        <v>39.883186626597244</v>
      </c>
      <c r="S100">
        <f>IF(COUNT(Q100:R100)=2,R100-Q100,"")</f>
        <v>-6.2313487996974</v>
      </c>
    </row>
    <row r="101" spans="1:19" x14ac:dyDescent="0.3">
      <c r="A101">
        <v>27</v>
      </c>
      <c r="B101">
        <v>26</v>
      </c>
      <c r="C101">
        <f>100*312477/1386036</f>
        <v>22.54465251984797</v>
      </c>
      <c r="D101">
        <f>100*742509/2106327</f>
        <v>35.251364104433925</v>
      </c>
      <c r="E101">
        <f>IF(COUNT(C101:D101)=2,D101-C101,"")</f>
        <v>12.706711584585957</v>
      </c>
      <c r="H101">
        <v>27</v>
      </c>
      <c r="I101">
        <v>26</v>
      </c>
      <c r="J101">
        <f>100*307157/1210949</f>
        <v>25.36498234029674</v>
      </c>
      <c r="K101">
        <f>100*650468/1884541</f>
        <v>34.51599089645701</v>
      </c>
      <c r="L101">
        <f>IF(COUNT(J101:K101)=2,K101-J101,"")</f>
        <v>9.15100855616027</v>
      </c>
      <c r="O101">
        <v>27</v>
      </c>
      <c r="P101">
        <v>26</v>
      </c>
      <c r="Q101">
        <f>100*889999/1746112</f>
        <v>50.9703272184144</v>
      </c>
      <c r="R101">
        <f>100*529309/1571760</f>
        <v>33.6761973838245</v>
      </c>
      <c r="S101">
        <f>IF(COUNT(Q101:R101)=2,R101-Q101,"")</f>
        <v>-17.294129834589896</v>
      </c>
    </row>
    <row r="102" spans="1:19" x14ac:dyDescent="0.3">
      <c r="A102">
        <v>28</v>
      </c>
      <c r="B102">
        <v>27</v>
      </c>
      <c r="C102">
        <f>100*803250/1998379</f>
        <v>40.19507811080881</v>
      </c>
      <c r="D102">
        <f>100*498974/1751493</f>
        <v>28.48849524377203</v>
      </c>
      <c r="E102">
        <f>IF(COUNT(C102:D102)=2,D102-C102,"")</f>
        <v>-11.70658286703678</v>
      </c>
      <c r="H102">
        <v>28</v>
      </c>
      <c r="I102">
        <v>27</v>
      </c>
      <c r="J102">
        <f>100*499214/1645125</f>
        <v>30.345049768254693</v>
      </c>
      <c r="K102">
        <f>100*637847/2156539</f>
        <v>29.577345923259443</v>
      </c>
      <c r="L102">
        <f>IF(COUNT(J102:K102)=2,K102-J102,"")</f>
        <v>-0.7677038449952498</v>
      </c>
      <c r="O102">
        <v>28</v>
      </c>
      <c r="P102">
        <v>27</v>
      </c>
      <c r="Q102">
        <f>100*1300/408366</f>
        <v>0.3183418795884084</v>
      </c>
      <c r="R102">
        <f>100*420/401896</f>
        <v>0.1045046479686287</v>
      </c>
      <c r="S102">
        <f>IF(COUNT(Q102:R102)=2,R102-Q102,"")</f>
        <v>-0.21383723161977974</v>
      </c>
    </row>
    <row r="103" spans="1:19" x14ac:dyDescent="0.3">
      <c r="A103">
        <v>29</v>
      </c>
      <c r="B103">
        <v>28</v>
      </c>
      <c r="C103">
        <f>100*764531/1746891</f>
        <v>43.76523778529971</v>
      </c>
      <c r="D103">
        <f>100*538748/1880872</f>
        <v>28.643522791556258</v>
      </c>
      <c r="E103">
        <f>IF(COUNT(C103:D103)=2,D103-C103,"")</f>
        <v>-15.121714993743453</v>
      </c>
      <c r="H103">
        <v>29</v>
      </c>
      <c r="I103">
        <v>28</v>
      </c>
      <c r="J103">
        <f>100*1050807/2150575</f>
        <v>48.86167652837032</v>
      </c>
      <c r="K103">
        <f>100*778374/2170089</f>
        <v>35.86829848914031</v>
      </c>
      <c r="L103">
        <f>IF(COUNT(J103:K103)=2,K103-J103,"")</f>
        <v>-12.99337803923001</v>
      </c>
      <c r="O103">
        <v>29</v>
      </c>
      <c r="P103">
        <v>28</v>
      </c>
      <c r="Q103">
        <f>100*827171/1762089</f>
        <v>46.94263456613145</v>
      </c>
      <c r="R103">
        <f>100*618564/1872334</f>
        <v>33.03705428625448</v>
      </c>
      <c r="S103">
        <f>IF(COUNT(Q103:R103)=2,R103-Q103,"")</f>
        <v>-13.905580279876972</v>
      </c>
    </row>
    <row r="104" spans="1:19" x14ac:dyDescent="0.3">
      <c r="A104">
        <v>30</v>
      </c>
      <c r="B104">
        <v>29</v>
      </c>
      <c r="C104">
        <f>100*7364/541662</f>
        <v>1.3595194050902593</v>
      </c>
      <c r="D104">
        <f>100*3880/528756</f>
        <v>0.7337978197883334</v>
      </c>
      <c r="E104">
        <f>IF(COUNT(C104:D104)=2,D104-C104,"")</f>
        <v>-0.6257215853019259</v>
      </c>
      <c r="H104">
        <v>30</v>
      </c>
      <c r="I104">
        <v>29</v>
      </c>
      <c r="J104">
        <f>100*410139/1282634</f>
        <v>31.976308128429466</v>
      </c>
      <c r="K104">
        <f>100*20051/848086</f>
        <v>2.3642649448287085</v>
      </c>
      <c r="L104">
        <f>IF(COUNT(J104:K104)=2,K104-J104,"")</f>
        <v>-29.612043183600758</v>
      </c>
      <c r="O104">
        <v>30</v>
      </c>
      <c r="P104">
        <v>29</v>
      </c>
      <c r="Q104">
        <f>100*806811/1713643</f>
        <v>47.08162668653856</v>
      </c>
      <c r="R104">
        <f>100*817018/2101647</f>
        <v>38.8751298386456</v>
      </c>
      <c r="S104">
        <f>IF(COUNT(Q104:R104)=2,R104-Q104,"")</f>
        <v>-8.206496847892964</v>
      </c>
    </row>
    <row r="105" spans="1:19" x14ac:dyDescent="0.3">
      <c r="A105">
        <v>31</v>
      </c>
      <c r="B105">
        <v>30</v>
      </c>
      <c r="C105">
        <f>100*859640/1902385</f>
        <v>45.187488337008546</v>
      </c>
      <c r="D105">
        <f>100*214557/1046288</f>
        <v>20.506495343538298</v>
      </c>
      <c r="E105">
        <f>IF(COUNT(C105:D105)=2,D105-C105,"")</f>
        <v>-24.680992993470248</v>
      </c>
      <c r="H105">
        <v>31</v>
      </c>
      <c r="I105">
        <v>30</v>
      </c>
      <c r="J105">
        <f>100*349588/1410455</f>
        <v>24.785477026916848</v>
      </c>
      <c r="K105">
        <f>100*643265/2141387</f>
        <v>30.039642530752264</v>
      </c>
      <c r="L105">
        <f>IF(COUNT(J105:K105)=2,K105-J105,"")</f>
        <v>5.2541655038354165</v>
      </c>
      <c r="O105">
        <v>31</v>
      </c>
      <c r="P105">
        <v>30</v>
      </c>
      <c r="Q105">
        <f>100*267010/983366</f>
        <v>27.15265730155405</v>
      </c>
      <c r="R105">
        <f>100*13588/814788</f>
        <v>1.6676730634226327</v>
      </c>
      <c r="S105">
        <f>IF(COUNT(Q105:R105)=2,R105-Q105,"")</f>
        <v>-25.484984238131418</v>
      </c>
    </row>
    <row r="106" spans="1:19" x14ac:dyDescent="0.3">
      <c r="A106" t="s">
        <v>5</v>
      </c>
      <c r="C106">
        <f>IF(COUNT(C75:C105)&gt;0,AVERAGE(C75:C105),"")</f>
        <v>34.096955178849896</v>
      </c>
      <c r="D106">
        <f>IF(COUNT(D75:D105)&gt;0,AVERAGE(D75:D105),"")</f>
        <v>21.561868380680988</v>
      </c>
      <c r="E106">
        <f>IF(COUNT(E75:E105)&gt;0,AVERAGE(E75:E105),"")</f>
        <v>-12.535086798168907</v>
      </c>
      <c r="H106" t="s">
        <v>5</v>
      </c>
      <c r="J106">
        <f>IF(COUNT(J75:J105)&gt;0,AVERAGE(J75:J105),"")</f>
        <v>36.69157069983473</v>
      </c>
      <c r="K106">
        <f>IF(COUNT(K75:K105)&gt;0,AVERAGE(K75:K105),"")</f>
        <v>20.12298071080825</v>
      </c>
      <c r="L106">
        <f>IF(COUNT(L75:L105)&gt;0,AVERAGE(L75:L105),"")</f>
        <v>-16.753641681324876</v>
      </c>
      <c r="O106" t="s">
        <v>5</v>
      </c>
      <c r="Q106">
        <f>IF(COUNT(Q75:Q105)&gt;0,AVERAGE(Q75:Q105),"")</f>
        <v>33.786792028213014</v>
      </c>
      <c r="R106">
        <f>IF(COUNT(R75:R105)&gt;0,AVERAGE(R75:R105),"")</f>
        <v>24.604177848497</v>
      </c>
      <c r="S106">
        <f>IF(COUNT(S75:S105)&gt;0,AVERAGE(S75:S105),"")</f>
        <v>-9.182614179716007</v>
      </c>
    </row>
  </sheetData>
  <mergeCells count="9">
    <mergeCell ref="A73:E73"/>
    <mergeCell ref="H73:L73"/>
    <mergeCell ref="O73:S73"/>
    <mergeCell ref="A1:E1"/>
    <mergeCell ref="H1:L1"/>
    <mergeCell ref="O1:S1"/>
    <mergeCell ref="A37:E37"/>
    <mergeCell ref="H37:L37"/>
    <mergeCell ref="O37:S37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DF8F6-3B8D-4726-8776-C031942D7746}">
  <dimension ref="A1:S106"/>
  <sheetViews>
    <sheetView topLeftCell="A58" workbookViewId="0">
      <selection activeCell="A73" sqref="A73:XFD73"/>
    </sheetView>
  </sheetViews>
  <sheetFormatPr defaultRowHeight="16.5" x14ac:dyDescent="0.3"/>
  <sheetData>
    <row r="1" spans="1:19" s="2" customFormat="1" ht="17.25" customHeight="1" x14ac:dyDescent="0.3">
      <c r="A1" s="1" t="s">
        <v>6</v>
      </c>
      <c r="B1" s="1"/>
      <c r="C1" s="1"/>
      <c r="D1" s="1"/>
      <c r="E1" s="1"/>
      <c r="H1" s="1" t="s">
        <v>7</v>
      </c>
      <c r="I1" s="1"/>
      <c r="J1" s="1"/>
      <c r="K1" s="1"/>
      <c r="L1" s="1"/>
      <c r="O1" s="1" t="s">
        <v>8</v>
      </c>
      <c r="P1" s="1"/>
      <c r="Q1" s="1"/>
      <c r="R1" s="1"/>
      <c r="S1" s="1"/>
    </row>
    <row r="2" spans="1:19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H2" t="s">
        <v>0</v>
      </c>
      <c r="I2" t="s">
        <v>1</v>
      </c>
      <c r="J2" t="s">
        <v>2</v>
      </c>
      <c r="K2" t="s">
        <v>3</v>
      </c>
      <c r="L2" t="s">
        <v>4</v>
      </c>
      <c r="O2" t="s">
        <v>0</v>
      </c>
      <c r="P2" t="s">
        <v>1</v>
      </c>
      <c r="Q2" t="s">
        <v>2</v>
      </c>
      <c r="R2" t="s">
        <v>3</v>
      </c>
      <c r="S2" t="s">
        <v>4</v>
      </c>
    </row>
    <row r="3" spans="1:19" x14ac:dyDescent="0.3">
      <c r="A3">
        <v>1</v>
      </c>
      <c r="B3">
        <v>0</v>
      </c>
      <c r="C3">
        <f>100*332764/1052174</f>
        <v>31.626327964766283</v>
      </c>
      <c r="D3">
        <f>100*140435/850867</f>
        <v>16.50492967761119</v>
      </c>
      <c r="E3">
        <f>IF(COUNT(C3:D3)=2,D3-C3,"")</f>
        <v>-15.121398287155092</v>
      </c>
      <c r="H3">
        <v>1</v>
      </c>
      <c r="I3">
        <v>0</v>
      </c>
      <c r="J3">
        <f>100*291815/1145550</f>
        <v>25.47378988258915</v>
      </c>
      <c r="K3">
        <f>100*231509/974409</f>
        <v>23.75891437784339</v>
      </c>
      <c r="L3">
        <f>IF(COUNT(J3:K3)=2,K3-J3,"")</f>
        <v>-1.7148755047457591</v>
      </c>
      <c r="O3">
        <v>1</v>
      </c>
      <c r="P3">
        <v>0</v>
      </c>
      <c r="Q3">
        <f>100*208586/733698</f>
        <v>28.429408285152746</v>
      </c>
      <c r="R3">
        <f>100*71007/568065</f>
        <v>12.499801959282829</v>
      </c>
      <c r="S3">
        <f>IF(COUNT(Q3:R3)=2,R3-Q3,"")</f>
        <v>-15.929606325869917</v>
      </c>
    </row>
    <row r="4" spans="1:19" x14ac:dyDescent="0.3">
      <c r="A4">
        <v>2</v>
      </c>
      <c r="B4">
        <v>1</v>
      </c>
      <c r="C4">
        <f>100*356409/1118920</f>
        <v>31.852947485074893</v>
      </c>
      <c r="D4">
        <f>100*140232/838386</f>
        <v>16.726424343917955</v>
      </c>
      <c r="E4">
        <f>IF(COUNT(C4:D4)=2,D4-C4,"")</f>
        <v>-15.126523141156937</v>
      </c>
      <c r="H4">
        <v>2</v>
      </c>
      <c r="I4">
        <v>1</v>
      </c>
      <c r="J4">
        <f>100*130334/783729</f>
        <v>16.629983068126865</v>
      </c>
      <c r="K4">
        <f>100*112869/789280</f>
        <v>14.300248327589703</v>
      </c>
      <c r="L4">
        <f>IF(COUNT(J4:K4)=2,K4-J4,"")</f>
        <v>-2.3297347405371625</v>
      </c>
      <c r="O4">
        <v>2</v>
      </c>
      <c r="P4">
        <v>1</v>
      </c>
      <c r="Q4">
        <f>100*510455/1451156</f>
        <v>35.17574954036644</v>
      </c>
      <c r="R4">
        <f>100*256936/1192578</f>
        <v>21.544586601463383</v>
      </c>
      <c r="S4">
        <f>IF(COUNT(Q4:R4)=2,R4-Q4,"")</f>
        <v>-13.631162938903056</v>
      </c>
    </row>
    <row r="5" spans="1:19" x14ac:dyDescent="0.3">
      <c r="A5">
        <v>3</v>
      </c>
      <c r="B5">
        <v>2</v>
      </c>
      <c r="C5">
        <f>100*397332/1270809</f>
        <v>31.266067520768267</v>
      </c>
      <c r="D5">
        <f>100*136208/931661</f>
        <v>14.619910031653145</v>
      </c>
      <c r="E5">
        <f>IF(COUNT(C5:D5)=2,D5-C5,"")</f>
        <v>-16.646157489115122</v>
      </c>
      <c r="H5">
        <v>3</v>
      </c>
      <c r="I5">
        <v>2</v>
      </c>
      <c r="J5">
        <f>100*147851/1441835</f>
        <v>10.25436336335295</v>
      </c>
      <c r="K5">
        <f>100*55840/544206</f>
        <v>10.26082035111704</v>
      </c>
      <c r="L5">
        <f>IF(COUNT(J5:K5)=2,K5-J5,"")</f>
        <v>0.006456987764090982</v>
      </c>
      <c r="O5">
        <v>3</v>
      </c>
      <c r="P5">
        <v>2</v>
      </c>
      <c r="Q5">
        <f>100*480143/1280935</f>
        <v>37.48379113694293</v>
      </c>
      <c r="R5">
        <f>100*233980/1099401</f>
        <v>21.282498378662563</v>
      </c>
      <c r="S5">
        <f>IF(COUNT(Q5:R5)=2,R5-Q5,"")</f>
        <v>-16.20129275828037</v>
      </c>
    </row>
    <row r="6" spans="1:19" x14ac:dyDescent="0.3">
      <c r="A6">
        <v>4</v>
      </c>
      <c r="B6">
        <v>3</v>
      </c>
      <c r="C6">
        <f>100*16403/519550</f>
        <v>3.1571552304879225</v>
      </c>
      <c r="D6">
        <f>100*58469/611811</f>
        <v>9.55670950669406</v>
      </c>
      <c r="E6">
        <f>IF(COUNT(C6:D6)=2,D6-C6,"")</f>
        <v>6.399554276206138</v>
      </c>
      <c r="H6">
        <v>4</v>
      </c>
      <c r="I6">
        <v>3</v>
      </c>
      <c r="J6">
        <f>100*123870/784417</f>
        <v>15.791345674558302</v>
      </c>
      <c r="K6">
        <f>100*79726/672718</f>
        <v>11.851325518270658</v>
      </c>
      <c r="L6">
        <f>IF(COUNT(J6:K6)=2,K6-J6,"")</f>
        <v>-3.9400201562876447</v>
      </c>
      <c r="O6">
        <v>4</v>
      </c>
      <c r="P6">
        <v>3</v>
      </c>
      <c r="Q6">
        <f>100*450191/1211277</f>
        <v>37.16664313777939</v>
      </c>
      <c r="R6">
        <f>100*29083/608947</f>
        <v>4.77594930264867</v>
      </c>
      <c r="S6">
        <f>IF(COUNT(Q6:R6)=2,R6-Q6,"")</f>
        <v>-32.39069383513072</v>
      </c>
    </row>
    <row r="7" spans="1:19" x14ac:dyDescent="0.3">
      <c r="A7">
        <v>5</v>
      </c>
      <c r="B7">
        <v>4</v>
      </c>
      <c r="C7">
        <f>100*497044/1286267</f>
        <v>38.64236585405674</v>
      </c>
      <c r="D7">
        <f>100*355229/1357797</f>
        <v>26.16215826077094</v>
      </c>
      <c r="E7">
        <f>IF(COUNT(C7:D7)=2,D7-C7,"")</f>
        <v>-12.480207593285801</v>
      </c>
      <c r="H7">
        <v>5</v>
      </c>
      <c r="I7">
        <v>4</v>
      </c>
      <c r="J7">
        <f>100*342477/1148710</f>
        <v>29.814052284736793</v>
      </c>
      <c r="K7">
        <f>100*293370/1202566</f>
        <v>24.395334642755575</v>
      </c>
      <c r="L7">
        <f>IF(COUNT(J7:K7)=2,K7-J7,"")</f>
        <v>-5.4187176419812175</v>
      </c>
      <c r="O7">
        <v>5</v>
      </c>
      <c r="P7">
        <v>4</v>
      </c>
      <c r="Q7">
        <f>100*389359/1092762</f>
        <v>35.63072288384845</v>
      </c>
      <c r="R7">
        <f>100*47080/554191</f>
        <v>8.495266072527341</v>
      </c>
      <c r="S7">
        <f>IF(COUNT(Q7:R7)=2,R7-Q7,"")</f>
        <v>-27.135456811321106</v>
      </c>
    </row>
    <row r="8" spans="1:19" x14ac:dyDescent="0.3">
      <c r="A8">
        <v>6</v>
      </c>
      <c r="B8">
        <v>5</v>
      </c>
      <c r="C8">
        <f>100*295084/1125005</f>
        <v>26.229572313011943</v>
      </c>
      <c r="D8">
        <f>100*160155/961765</f>
        <v>16.65219674244748</v>
      </c>
      <c r="E8">
        <f>IF(COUNT(C8:D8)=2,D8-C8,"")</f>
        <v>-9.577375570564463</v>
      </c>
      <c r="H8">
        <v>6</v>
      </c>
      <c r="I8">
        <v>5</v>
      </c>
      <c r="J8">
        <f>100*246415/1039225</f>
        <v>23.71141956746614</v>
      </c>
      <c r="K8">
        <f>100*191958/984154</f>
        <v>19.50487423716207</v>
      </c>
      <c r="L8">
        <f>IF(COUNT(J8:K8)=2,K8-J8,"")</f>
        <v>-4.2065453303040705</v>
      </c>
      <c r="O8">
        <v>6</v>
      </c>
      <c r="P8">
        <v>5</v>
      </c>
      <c r="Q8">
        <f>100*269836/994553</f>
        <v>27.131384652200538</v>
      </c>
      <c r="R8">
        <f>100*142351/747155</f>
        <v>19.052405458037487</v>
      </c>
      <c r="S8">
        <f>IF(COUNT(Q8:R8)=2,R8-Q8,"")</f>
        <v>-8.07897919416305</v>
      </c>
    </row>
    <row r="9" spans="1:19" x14ac:dyDescent="0.3">
      <c r="A9">
        <v>7</v>
      </c>
      <c r="B9">
        <v>6</v>
      </c>
      <c r="C9">
        <f>100*240424/851852</f>
        <v>28.223682048055295</v>
      </c>
      <c r="D9">
        <f>100*34968/554175</f>
        <v>6.309920151576668</v>
      </c>
      <c r="E9">
        <f>IF(COUNT(C9:D9)=2,D9-C9,"")</f>
        <v>-21.913761896478626</v>
      </c>
      <c r="H9">
        <v>7</v>
      </c>
      <c r="I9">
        <v>6</v>
      </c>
      <c r="J9">
        <f>100*3261/356727</f>
        <v>0.9141444297740289</v>
      </c>
      <c r="K9">
        <f>100*3837/321485</f>
        <v>1.1935238035989237</v>
      </c>
      <c r="L9">
        <f>IF(COUNT(J9:K9)=2,K9-J9,"")</f>
        <v>0.27937937382489486</v>
      </c>
      <c r="O9">
        <v>7</v>
      </c>
      <c r="P9">
        <v>6</v>
      </c>
      <c r="Q9">
        <f>100*460466/1246393</f>
        <v>36.94388527535055</v>
      </c>
      <c r="R9">
        <f>100*176497/902371</f>
        <v>19.559250020224496</v>
      </c>
      <c r="S9">
        <f>IF(COUNT(Q9:R9)=2,R9-Q9,"")</f>
        <v>-17.384635255126057</v>
      </c>
    </row>
    <row r="10" spans="1:19" x14ac:dyDescent="0.3">
      <c r="A10">
        <v>8</v>
      </c>
      <c r="B10">
        <v>7</v>
      </c>
      <c r="C10">
        <f>100*3447/313581</f>
        <v>1.09923751757919</v>
      </c>
      <c r="D10">
        <f>100*2521/409951</f>
        <v>0.6149515429892841</v>
      </c>
      <c r="E10">
        <f>IF(COUNT(C10:D10)=2,D10-C10,"")</f>
        <v>-0.48428597458990585</v>
      </c>
      <c r="H10">
        <v>8</v>
      </c>
      <c r="I10">
        <v>7</v>
      </c>
      <c r="J10">
        <f>100*275/278589</f>
        <v>0.09871172228623527</v>
      </c>
      <c r="K10">
        <f>100*13432/400847</f>
        <v>3.35090445980636</v>
      </c>
      <c r="L10">
        <f>IF(COUNT(J10:K10)=2,K10-J10,"")</f>
        <v>3.2521927375201245</v>
      </c>
      <c r="O10">
        <v>8</v>
      </c>
      <c r="P10">
        <v>7</v>
      </c>
      <c r="Q10">
        <f>100*631465/1523952</f>
        <v>41.43601635747058</v>
      </c>
      <c r="R10">
        <f>100*253373/1040054</f>
        <v>24.361523536277925</v>
      </c>
      <c r="S10">
        <f>IF(COUNT(Q10:R10)=2,R10-Q10,"")</f>
        <v>-17.074492821192653</v>
      </c>
    </row>
    <row r="11" spans="1:19" x14ac:dyDescent="0.3">
      <c r="A11">
        <v>9</v>
      </c>
      <c r="B11">
        <v>8</v>
      </c>
      <c r="C11">
        <f>100*328851/1096172</f>
        <v>29.999945264064397</v>
      </c>
      <c r="D11">
        <f>100*440918/1527574</f>
        <v>28.863937197150513</v>
      </c>
      <c r="E11">
        <f>IF(COUNT(C11:D11)=2,D11-C11,"")</f>
        <v>-1.1360080669138846</v>
      </c>
      <c r="H11">
        <v>9</v>
      </c>
      <c r="I11">
        <v>8</v>
      </c>
      <c r="J11">
        <f>100*382533/1287826</f>
        <v>29.70377985845914</v>
      </c>
      <c r="K11">
        <f>100*303961/1361625</f>
        <v>22.323400348847883</v>
      </c>
      <c r="L11">
        <f>IF(COUNT(J11:K11)=2,K11-J11,"")</f>
        <v>-7.380379509611256</v>
      </c>
      <c r="O11">
        <v>9</v>
      </c>
      <c r="P11">
        <v>8</v>
      </c>
      <c r="Q11">
        <f>100*511514/1411309</f>
        <v>36.24394090875917</v>
      </c>
      <c r="R11">
        <f>100*178040/786385</f>
        <v>22.64030977193105</v>
      </c>
      <c r="S11">
        <f>IF(COUNT(Q11:R11)=2,R11-Q11,"")</f>
        <v>-13.60363113682812</v>
      </c>
    </row>
    <row r="12" spans="1:19" x14ac:dyDescent="0.3">
      <c r="A12">
        <v>10</v>
      </c>
      <c r="B12">
        <v>9</v>
      </c>
      <c r="C12">
        <f>100*147882/738636</f>
        <v>20.0209575487791</v>
      </c>
      <c r="D12">
        <f>100*14610/476587</f>
        <v>3.065547318747679</v>
      </c>
      <c r="E12">
        <f>IF(COUNT(C12:D12)=2,D12-C12,"")</f>
        <v>-16.955410230031422</v>
      </c>
      <c r="H12">
        <v>10</v>
      </c>
      <c r="I12">
        <v>9</v>
      </c>
      <c r="J12">
        <f>100*179400/747366</f>
        <v>24.00430311253121</v>
      </c>
      <c r="K12">
        <f>100*59867/558379</f>
        <v>10.721570832713981</v>
      </c>
      <c r="L12">
        <f>IF(COUNT(J12:K12)=2,K12-J12,"")</f>
        <v>-13.28273227981723</v>
      </c>
      <c r="O12">
        <v>10</v>
      </c>
      <c r="P12">
        <v>9</v>
      </c>
      <c r="Q12">
        <f>100*361827/1149672</f>
        <v>31.47219380832098</v>
      </c>
      <c r="R12">
        <f>100*16746/526596</f>
        <v>3.1800469430075426</v>
      </c>
      <c r="S12">
        <f>IF(COUNT(Q12:R12)=2,R12-Q12,"")</f>
        <v>-28.292146865313438</v>
      </c>
    </row>
    <row r="13" spans="1:19" x14ac:dyDescent="0.3">
      <c r="A13">
        <v>11</v>
      </c>
      <c r="B13">
        <v>10</v>
      </c>
      <c r="C13">
        <f>100*4137/540292</f>
        <v>0.7656970675116419</v>
      </c>
      <c r="D13">
        <f>100*145308/929350</f>
        <v>15.635444127616076</v>
      </c>
      <c r="E13">
        <f>IF(COUNT(C13:D13)=2,D13-C13,"")</f>
        <v>14.869747060104434</v>
      </c>
      <c r="H13">
        <v>11</v>
      </c>
      <c r="I13">
        <v>10</v>
      </c>
      <c r="J13">
        <f>100*29717/602395</f>
        <v>4.933141875347571</v>
      </c>
      <c r="K13">
        <f>100*57786/716008</f>
        <v>8.070580216980815</v>
      </c>
      <c r="L13">
        <f>IF(COUNT(J13:K13)=2,K13-J13,"")</f>
        <v>3.137438341633244</v>
      </c>
      <c r="O13">
        <v>11</v>
      </c>
      <c r="P13">
        <v>10</v>
      </c>
      <c r="Q13">
        <f>100*314083/1092488</f>
        <v>28.749331800440828</v>
      </c>
      <c r="R13">
        <f>100*295775/1233013</f>
        <v>23.987987150176032</v>
      </c>
      <c r="S13">
        <f>IF(COUNT(Q13:R13)=2,R13-Q13,"")</f>
        <v>-4.761344650264796</v>
      </c>
    </row>
    <row r="14" spans="1:19" x14ac:dyDescent="0.3">
      <c r="A14">
        <v>12</v>
      </c>
      <c r="B14">
        <v>11</v>
      </c>
      <c r="C14">
        <f>100*469865/1292144</f>
        <v>36.363207196721106</v>
      </c>
      <c r="D14">
        <f>100*66924/673813</f>
        <v>9.932132505606155</v>
      </c>
      <c r="E14">
        <f>IF(COUNT(C14:D14)=2,D14-C14,"")</f>
        <v>-26.43107469111495</v>
      </c>
      <c r="H14">
        <v>12</v>
      </c>
      <c r="I14">
        <v>11</v>
      </c>
      <c r="J14">
        <f>100*17227/518447</f>
        <v>3.3228083102033574</v>
      </c>
      <c r="K14">
        <f>100*41219/637173</f>
        <v>6.469043729097121</v>
      </c>
      <c r="L14">
        <f>IF(COUNT(J14:K14)=2,K14-J14,"")</f>
        <v>3.146235418893764</v>
      </c>
      <c r="O14">
        <v>12</v>
      </c>
      <c r="P14">
        <v>11</v>
      </c>
      <c r="Q14">
        <f>100*438660/1271352</f>
        <v>34.5034262737621</v>
      </c>
      <c r="R14">
        <f>100*247422/1047045</f>
        <v>23.630502986977636</v>
      </c>
      <c r="S14">
        <f>IF(COUNT(Q14:R14)=2,R14-Q14,"")</f>
        <v>-10.872923286784467</v>
      </c>
    </row>
    <row r="15" spans="1:19" x14ac:dyDescent="0.3">
      <c r="A15">
        <v>13</v>
      </c>
      <c r="B15">
        <v>12</v>
      </c>
      <c r="C15">
        <f>100*47266/521892</f>
        <v>9.0566630643888</v>
      </c>
      <c r="D15">
        <f>100*83652/691265</f>
        <v>12.101292557846847</v>
      </c>
      <c r="E15">
        <f>IF(COUNT(C15:D15)=2,D15-C15,"")</f>
        <v>3.0446294934580465</v>
      </c>
      <c r="H15">
        <v>13</v>
      </c>
      <c r="I15">
        <v>12</v>
      </c>
      <c r="J15">
        <f>100*544142/1461712</f>
        <v>37.22634828201451</v>
      </c>
      <c r="K15">
        <f>100*162869/828303</f>
        <v>19.662973573680162</v>
      </c>
      <c r="L15">
        <f>IF(COUNT(J15:K15)=2,K15-J15,"")</f>
        <v>-17.56337470833435</v>
      </c>
      <c r="O15">
        <v>13</v>
      </c>
      <c r="P15">
        <v>12</v>
      </c>
      <c r="Q15">
        <f>100*357555/1108932</f>
        <v>32.243185335079154</v>
      </c>
      <c r="R15">
        <f>100*23580/542313</f>
        <v>4.348042551072904</v>
      </c>
      <c r="S15">
        <f>IF(COUNT(Q15:R15)=2,R15-Q15,"")</f>
        <v>-27.89514278400625</v>
      </c>
    </row>
    <row r="16" spans="1:19" x14ac:dyDescent="0.3">
      <c r="A16">
        <v>14</v>
      </c>
      <c r="B16">
        <v>13</v>
      </c>
      <c r="C16">
        <f>100*7402/385878</f>
        <v>1.9182228580017517</v>
      </c>
      <c r="D16">
        <f>100*99418/606087</f>
        <v>16.403255638216955</v>
      </c>
      <c r="E16">
        <f>IF(COUNT(C16:D16)=2,D16-C16,"")</f>
        <v>14.485032780215203</v>
      </c>
      <c r="H16">
        <v>14</v>
      </c>
      <c r="I16">
        <v>13</v>
      </c>
      <c r="J16">
        <f>100*181558/818931</f>
        <v>22.170121780711685</v>
      </c>
      <c r="K16">
        <f>100*404/115812</f>
        <v>0.3488412254343246</v>
      </c>
      <c r="L16">
        <f>IF(COUNT(J16:K16)=2,K16-J16,"")</f>
        <v>-21.82128055527736</v>
      </c>
      <c r="O16">
        <v>14</v>
      </c>
      <c r="P16">
        <v>13</v>
      </c>
      <c r="Q16">
        <f>100*131266/578543</f>
        <v>22.689065462722738</v>
      </c>
      <c r="R16">
        <f>100*943/460101</f>
        <v>0.20495499901108669</v>
      </c>
      <c r="S16">
        <f>IF(COUNT(Q16:R16)=2,R16-Q16,"")</f>
        <v>-22.48411046371165</v>
      </c>
    </row>
    <row r="17" spans="1:19" x14ac:dyDescent="0.3">
      <c r="A17">
        <v>15</v>
      </c>
      <c r="B17">
        <v>14</v>
      </c>
      <c r="C17">
        <f>100*405804/1241849</f>
        <v>32.67740280823192</v>
      </c>
      <c r="D17">
        <f>100*292861/1176043</f>
        <v>24.90223571757155</v>
      </c>
      <c r="E17">
        <f>IF(COUNT(C17:D17)=2,D17-C17,"")</f>
        <v>-7.775167090660368</v>
      </c>
      <c r="H17">
        <v>15</v>
      </c>
      <c r="I17">
        <v>14</v>
      </c>
      <c r="J17">
        <f>100*610081/1573211</f>
        <v>38.779350004544845</v>
      </c>
      <c r="K17">
        <f>100*154569/884410</f>
        <v>17.47707511222171</v>
      </c>
      <c r="L17">
        <f>IF(COUNT(J17:K17)=2,K17-J17,"")</f>
        <v>-21.302274892323137</v>
      </c>
      <c r="O17">
        <v>15</v>
      </c>
      <c r="P17">
        <v>14</v>
      </c>
      <c r="Q17">
        <f>100*384174/1163453</f>
        <v>33.020156379329464</v>
      </c>
      <c r="R17">
        <f>100*84899/648324</f>
        <v>13.095149955886255</v>
      </c>
      <c r="S17">
        <f>IF(COUNT(Q17:R17)=2,R17-Q17,"")</f>
        <v>-19.925006423443207</v>
      </c>
    </row>
    <row r="18" spans="1:19" x14ac:dyDescent="0.3">
      <c r="A18">
        <v>16</v>
      </c>
      <c r="B18">
        <v>15</v>
      </c>
      <c r="C18">
        <f>100*397150/1193789</f>
        <v>33.26802307610474</v>
      </c>
      <c r="D18">
        <f>100*74106/796969</f>
        <v>9.298479614639968</v>
      </c>
      <c r="E18">
        <f>IF(COUNT(C18:D18)=2,D18-C18,"")</f>
        <v>-23.969543461464774</v>
      </c>
      <c r="H18">
        <v>16</v>
      </c>
      <c r="I18">
        <v>15</v>
      </c>
      <c r="J18">
        <f>100*311472/1035367</f>
        <v>30.083245844227218</v>
      </c>
      <c r="K18">
        <f>100*73899/705270</f>
        <v>10.478114764558255</v>
      </c>
      <c r="L18">
        <f>IF(COUNT(J18:K18)=2,K18-J18,"")</f>
        <v>-19.605131079668965</v>
      </c>
      <c r="O18">
        <v>16</v>
      </c>
      <c r="P18">
        <v>15</v>
      </c>
      <c r="Q18">
        <f>100*403580/1172064</f>
        <v>34.43327326835394</v>
      </c>
      <c r="R18">
        <f>100*329530/1207796</f>
        <v>27.283581002089758</v>
      </c>
      <c r="S18">
        <f>IF(COUNT(Q18:R18)=2,R18-Q18,"")</f>
        <v>-7.149692266264186</v>
      </c>
    </row>
    <row r="19" spans="1:19" x14ac:dyDescent="0.3">
      <c r="A19">
        <v>17</v>
      </c>
      <c r="B19">
        <v>16</v>
      </c>
      <c r="C19">
        <f>100*170884/804109</f>
        <v>21.251347765041803</v>
      </c>
      <c r="D19">
        <f>100*169574/980460</f>
        <v>17.29535116169961</v>
      </c>
      <c r="E19">
        <f>IF(COUNT(C19:D19)=2,D19-C19,"")</f>
        <v>-3.955996603342193</v>
      </c>
      <c r="H19">
        <v>17</v>
      </c>
      <c r="I19">
        <v>16</v>
      </c>
      <c r="J19">
        <f>100*547667/1465339</f>
        <v>37.37476447429571</v>
      </c>
      <c r="K19">
        <f>100*212757/974188</f>
        <v>21.839419085433203</v>
      </c>
      <c r="L19">
        <f>IF(COUNT(J19:K19)=2,K19-J19,"")</f>
        <v>-15.535345388862506</v>
      </c>
      <c r="O19">
        <v>17</v>
      </c>
      <c r="P19">
        <v>16</v>
      </c>
      <c r="Q19">
        <f>100*34194/375756</f>
        <v>9.10005429055025</v>
      </c>
      <c r="R19">
        <f>100*8285/322012</f>
        <v>2.5728854825286014</v>
      </c>
      <c r="S19">
        <f>IF(COUNT(Q19:R19)=2,R19-Q19,"")</f>
        <v>-6.527168808021649</v>
      </c>
    </row>
    <row r="20" spans="1:19" x14ac:dyDescent="0.3">
      <c r="A20">
        <v>18</v>
      </c>
      <c r="B20">
        <v>17</v>
      </c>
      <c r="C20">
        <f>100*269013/913065</f>
        <v>29.462634095053474</v>
      </c>
      <c r="D20">
        <f>100*31246/637573</f>
        <v>4.90077214687573</v>
      </c>
      <c r="E20">
        <f>IF(COUNT(C20:D20)=2,D20-C20,"")</f>
        <v>-24.561861948177743</v>
      </c>
      <c r="H20">
        <v>18</v>
      </c>
      <c r="I20">
        <v>17</v>
      </c>
      <c r="J20">
        <f>100*246590/976020</f>
        <v>25.264851130099792</v>
      </c>
      <c r="K20">
        <f>100*102074/733858</f>
        <v>13.909230396071175</v>
      </c>
      <c r="L20">
        <f>IF(COUNT(J20:K20)=2,K20-J20,"")</f>
        <v>-11.355620734028617</v>
      </c>
      <c r="O20">
        <v>18</v>
      </c>
      <c r="P20">
        <v>17</v>
      </c>
      <c r="Q20">
        <f>100*2176/318434</f>
        <v>0.6833441152640736</v>
      </c>
      <c r="R20">
        <f>100*10039/327969</f>
        <v>3.06096002975891</v>
      </c>
      <c r="S20">
        <f>IF(COUNT(Q20:R20)=2,R20-Q20,"")</f>
        <v>2.377615914494837</v>
      </c>
    </row>
    <row r="21" spans="1:19" x14ac:dyDescent="0.3">
      <c r="A21">
        <v>19</v>
      </c>
      <c r="B21">
        <v>18</v>
      </c>
      <c r="C21">
        <f>100*130405/675745</f>
        <v>19.297960029300995</v>
      </c>
      <c r="D21">
        <f>100*59279/732524</f>
        <v>8.092431101233544</v>
      </c>
      <c r="E21">
        <f>IF(COUNT(C21:D21)=2,D21-C21,"")</f>
        <v>-11.205528928067451</v>
      </c>
      <c r="H21">
        <v>19</v>
      </c>
      <c r="I21">
        <v>18</v>
      </c>
      <c r="J21">
        <f>100*94163/608895</f>
        <v>15.464571067261186</v>
      </c>
      <c r="K21">
        <f>100*66803/616556</f>
        <v>10.834863337636808</v>
      </c>
      <c r="L21">
        <f>IF(COUNT(J21:K21)=2,K21-J21,"")</f>
        <v>-4.6297077296243785</v>
      </c>
      <c r="O21">
        <v>19</v>
      </c>
      <c r="P21">
        <v>18</v>
      </c>
      <c r="Q21">
        <f>100*460785/1299362</f>
        <v>35.462403856661965</v>
      </c>
      <c r="R21">
        <f>100*306201/1147182</f>
        <v>26.691579888805787</v>
      </c>
      <c r="S21">
        <f>IF(COUNT(Q21:R21)=2,R21-Q21,"")</f>
        <v>-8.770823967856177</v>
      </c>
    </row>
    <row r="22" spans="1:19" x14ac:dyDescent="0.3">
      <c r="A22">
        <v>20</v>
      </c>
      <c r="B22">
        <v>19</v>
      </c>
      <c r="C22">
        <f>100*271082/932573</f>
        <v>29.068180185358145</v>
      </c>
      <c r="D22">
        <f>100*15774/463971</f>
        <v>3.3997814518579825</v>
      </c>
      <c r="E22">
        <f>IF(COUNT(C22:D22)=2,D22-C22,"")</f>
        <v>-25.66839873350016</v>
      </c>
      <c r="H22">
        <v>20</v>
      </c>
      <c r="I22">
        <v>19</v>
      </c>
      <c r="J22">
        <f>100*51102/454685</f>
        <v>11.238989630183534</v>
      </c>
      <c r="K22">
        <f>100*98435/723251</f>
        <v>13.61007451078533</v>
      </c>
      <c r="L22">
        <f>IF(COUNT(J22:K22)=2,K22-J22,"")</f>
        <v>2.3710848806017957</v>
      </c>
      <c r="O22">
        <v>20</v>
      </c>
      <c r="P22">
        <v>19</v>
      </c>
      <c r="Q22">
        <f>100*246053/750263</f>
        <v>32.795566354731605</v>
      </c>
      <c r="R22">
        <f>100*158431/864267</f>
        <v>18.33125642885821</v>
      </c>
      <c r="S22">
        <f>IF(COUNT(Q22:R22)=2,R22-Q22,"")</f>
        <v>-14.464309925873394</v>
      </c>
    </row>
    <row r="23" spans="1:19" x14ac:dyDescent="0.3">
      <c r="A23">
        <v>21</v>
      </c>
      <c r="B23">
        <v>20</v>
      </c>
      <c r="C23">
        <f>100*144702/617823</f>
        <v>23.42127114076362</v>
      </c>
      <c r="D23">
        <f>100*97067/718186</f>
        <v>13.515579529536916</v>
      </c>
      <c r="E23">
        <f>IF(COUNT(C23:D23)=2,D23-C23,"")</f>
        <v>-9.905691611226702</v>
      </c>
      <c r="H23">
        <v>21</v>
      </c>
      <c r="I23">
        <v>20</v>
      </c>
      <c r="J23">
        <f>100*591919/1541493</f>
        <v>38.399071549465354</v>
      </c>
      <c r="K23">
        <f>100*148768/837938</f>
        <v>17.75405817614191</v>
      </c>
      <c r="L23">
        <f>IF(COUNT(J23:K23)=2,K23-J23,"")</f>
        <v>-20.645013373323444</v>
      </c>
      <c r="O23">
        <v>21</v>
      </c>
      <c r="P23">
        <v>20</v>
      </c>
      <c r="Q23">
        <f>100*189374/774599</f>
        <v>24.448004709533578</v>
      </c>
      <c r="R23">
        <f>100*229436/921429</f>
        <v>24.900019426347555</v>
      </c>
      <c r="S23">
        <f>IF(COUNT(Q23:R23)=2,R23-Q23,"")</f>
        <v>0.4520147168139772</v>
      </c>
    </row>
    <row r="24" spans="1:19" x14ac:dyDescent="0.3">
      <c r="A24">
        <v>22</v>
      </c>
      <c r="B24">
        <v>21</v>
      </c>
      <c r="C24">
        <f>100*295116/1275471</f>
        <v>23.1378055635918</v>
      </c>
      <c r="D24">
        <f>100*174233/1003197</f>
        <v>17.367775222613304</v>
      </c>
      <c r="E24">
        <f>IF(COUNT(C24:D24)=2,D24-C24,"")</f>
        <v>-5.770030340978497</v>
      </c>
      <c r="H24">
        <v>22</v>
      </c>
      <c r="I24">
        <v>21</v>
      </c>
      <c r="J24">
        <f>100*392324/1270598</f>
        <v>30.87711455550851</v>
      </c>
      <c r="K24">
        <f>100*289023/1078174</f>
        <v>26.80671208914331</v>
      </c>
      <c r="L24">
        <f>IF(COUNT(J24:K24)=2,K24-J24,"")</f>
        <v>-4.0704024663651985</v>
      </c>
      <c r="O24">
        <v>22</v>
      </c>
      <c r="P24">
        <v>21</v>
      </c>
      <c r="Q24">
        <f>100*423564/1232833</f>
        <v>34.356964811941275</v>
      </c>
      <c r="R24">
        <f>100*313321/1142423</f>
        <v>27.42600595401178</v>
      </c>
      <c r="S24">
        <f>IF(COUNT(Q24:R24)=2,R24-Q24,"")</f>
        <v>-6.930958857929493</v>
      </c>
    </row>
    <row r="25" spans="1:19" x14ac:dyDescent="0.3">
      <c r="A25">
        <v>23</v>
      </c>
      <c r="B25">
        <v>22</v>
      </c>
      <c r="C25">
        <f>100*354113/1097352</f>
        <v>32.26977305367831</v>
      </c>
      <c r="D25">
        <f>100*151995/905055</f>
        <v>16.794006994050086</v>
      </c>
      <c r="E25">
        <f>IF(COUNT(C25:D25)=2,D25-C25,"")</f>
        <v>-15.47576605962822</v>
      </c>
      <c r="H25">
        <v>23</v>
      </c>
      <c r="I25">
        <v>22</v>
      </c>
      <c r="J25">
        <f>100*155683/840858</f>
        <v>18.514778951975245</v>
      </c>
      <c r="K25">
        <f>100*29015/493951</f>
        <v>5.874064431492193</v>
      </c>
      <c r="L25">
        <f>IF(COUNT(J25:K25)=2,K25-J25,"")</f>
        <v>-12.640714520483051</v>
      </c>
      <c r="O25">
        <v>23</v>
      </c>
      <c r="P25">
        <v>22</v>
      </c>
      <c r="Q25">
        <f>100*592/261920</f>
        <v>0.22602321319486865</v>
      </c>
      <c r="R25">
        <f>100*558/267571</f>
        <v>0.2085427792996999</v>
      </c>
      <c r="S25">
        <f>IF(COUNT(Q25:R25)=2,R25-Q25,"")</f>
        <v>-0.017480433895168762</v>
      </c>
    </row>
    <row r="26" spans="1:19" x14ac:dyDescent="0.3">
      <c r="A26">
        <v>24</v>
      </c>
      <c r="B26">
        <v>23</v>
      </c>
      <c r="C26">
        <f>100*240022/913843</f>
        <v>26.265124315664725</v>
      </c>
      <c r="D26">
        <f>100*24063/551164</f>
        <v>4.365851180410912</v>
      </c>
      <c r="E26">
        <f>IF(COUNT(C26:D26)=2,D26-C26,"")</f>
        <v>-21.899273135253814</v>
      </c>
      <c r="H26">
        <v>24</v>
      </c>
      <c r="I26">
        <v>23</v>
      </c>
      <c r="J26">
        <f>100*377574/1156306</f>
        <v>32.65346716180665</v>
      </c>
      <c r="K26">
        <f>100*106949/720860</f>
        <v>14.836306633743028</v>
      </c>
      <c r="L26">
        <f>IF(COUNT(J26:K26)=2,K26-J26,"")</f>
        <v>-17.817160528063624</v>
      </c>
      <c r="O26">
        <v>24</v>
      </c>
      <c r="P26">
        <v>23</v>
      </c>
      <c r="Q26">
        <f>100*122016/574638</f>
        <v>21.233541812410596</v>
      </c>
      <c r="R26">
        <f>100*21027/417209</f>
        <v>5.039920040075837</v>
      </c>
      <c r="S26">
        <f>IF(COUNT(Q26:R26)=2,R26-Q26,"")</f>
        <v>-16.193621772334758</v>
      </c>
    </row>
    <row r="27" spans="1:19" x14ac:dyDescent="0.3">
      <c r="A27">
        <v>25</v>
      </c>
      <c r="B27">
        <v>24</v>
      </c>
      <c r="C27">
        <f>100*56444/682080</f>
        <v>8.275275627492377</v>
      </c>
      <c r="D27">
        <f>100*73520/712106</f>
        <v>10.324305651124973</v>
      </c>
      <c r="E27">
        <f>IF(COUNT(C27:D27)=2,D27-C27,"")</f>
        <v>2.0490300236325965</v>
      </c>
      <c r="H27">
        <v>25</v>
      </c>
      <c r="I27">
        <v>24</v>
      </c>
      <c r="J27">
        <f>100*179842/875592</f>
        <v>20.53947500662409</v>
      </c>
      <c r="K27">
        <f>100*95534/702760</f>
        <v>13.594114633729864</v>
      </c>
      <c r="L27">
        <f>IF(COUNT(J27:K27)=2,K27-J27,"")</f>
        <v>-6.945360372894227</v>
      </c>
      <c r="O27">
        <v>25</v>
      </c>
      <c r="P27">
        <v>24</v>
      </c>
      <c r="Q27">
        <f>100*497820/1342997</f>
        <v>37.06784155139587</v>
      </c>
      <c r="R27">
        <f>100*52718/462535</f>
        <v>11.397623963591945</v>
      </c>
      <c r="S27">
        <f>IF(COUNT(Q27:R27)=2,R27-Q27,"")</f>
        <v>-25.670217587803926</v>
      </c>
    </row>
    <row r="28" spans="1:19" x14ac:dyDescent="0.3">
      <c r="A28">
        <v>26</v>
      </c>
      <c r="B28">
        <v>25</v>
      </c>
      <c r="C28">
        <f>100*366520/1167250</f>
        <v>31.400299850074962</v>
      </c>
      <c r="D28">
        <f>100*247482/1088697</f>
        <v>22.731944700867185</v>
      </c>
      <c r="E28">
        <f>IF(COUNT(C28:D28)=2,D28-C28,"")</f>
        <v>-8.668355149207777</v>
      </c>
      <c r="H28">
        <v>26</v>
      </c>
      <c r="I28">
        <v>25</v>
      </c>
      <c r="J28">
        <f>100*403993/1263866</f>
        <v>31.964860198786898</v>
      </c>
      <c r="K28">
        <f>100*203271/988231</f>
        <v>20.569178663693002</v>
      </c>
      <c r="L28">
        <f>IF(COUNT(J28:K28)=2,K28-J28,"")</f>
        <v>-11.395681535093896</v>
      </c>
      <c r="O28">
        <v>26</v>
      </c>
      <c r="P28">
        <v>25</v>
      </c>
      <c r="Q28">
        <f>100*525172/1313199</f>
        <v>39.99180626850919</v>
      </c>
      <c r="R28">
        <f>100*181076/944698</f>
        <v>19.16760700244946</v>
      </c>
      <c r="S28">
        <f>IF(COUNT(Q28:R28)=2,R28-Q28,"")</f>
        <v>-20.824199266059725</v>
      </c>
    </row>
    <row r="29" spans="1:19" x14ac:dyDescent="0.3">
      <c r="A29">
        <v>27</v>
      </c>
      <c r="B29">
        <v>26</v>
      </c>
      <c r="C29">
        <f>100*597714/1505438</f>
        <v>39.703660994341845</v>
      </c>
      <c r="D29">
        <f>100*127561/807568</f>
        <v>15.795697699760268</v>
      </c>
      <c r="E29">
        <f>IF(COUNT(C29:D29)=2,D29-C29,"")</f>
        <v>-23.907963294581577</v>
      </c>
      <c r="H29">
        <v>27</v>
      </c>
      <c r="I29">
        <v>26</v>
      </c>
      <c r="J29">
        <f>100*136381/818474</f>
        <v>16.66283840415212</v>
      </c>
      <c r="K29">
        <f>100*97592/725202</f>
        <v>13.457216058422343</v>
      </c>
      <c r="L29">
        <f>IF(COUNT(J29:K29)=2,K29-J29,"")</f>
        <v>-3.2056223457297754</v>
      </c>
      <c r="O29">
        <v>27</v>
      </c>
      <c r="P29">
        <v>26</v>
      </c>
      <c r="Q29">
        <f>100*365374/1222824</f>
        <v>29.87952477216672</v>
      </c>
      <c r="R29">
        <f>100*323486/1235488</f>
        <v>26.182852443730738</v>
      </c>
      <c r="S29">
        <f>IF(COUNT(Q29:R29)=2,R29-Q29,"")</f>
        <v>-3.6966723284359837</v>
      </c>
    </row>
    <row r="30" spans="1:19" x14ac:dyDescent="0.3">
      <c r="A30">
        <v>28</v>
      </c>
      <c r="B30">
        <v>27</v>
      </c>
      <c r="C30">
        <f>100*262582/941033</f>
        <v>27.90359105366124</v>
      </c>
      <c r="D30">
        <f>100*54371/576446</f>
        <v>9.432106389843975</v>
      </c>
      <c r="E30">
        <f>IF(COUNT(C30:D30)=2,D30-C30,"")</f>
        <v>-18.471484663817265</v>
      </c>
      <c r="H30">
        <v>28</v>
      </c>
      <c r="I30">
        <v>27</v>
      </c>
      <c r="J30">
        <f>100*471860/1401372</f>
        <v>33.67128785219057</v>
      </c>
      <c r="K30">
        <f>100*115743/807499</f>
        <v>14.333516202496845</v>
      </c>
      <c r="L30">
        <f>IF(COUNT(J30:K30)=2,K30-J30,"")</f>
        <v>-19.33777164969372</v>
      </c>
      <c r="O30">
        <v>28</v>
      </c>
      <c r="P30">
        <v>27</v>
      </c>
      <c r="Q30">
        <f>100*191/261142</f>
        <v>0.07314028383025327</v>
      </c>
      <c r="R30">
        <f>100*342/259948</f>
        <v>0.1315647744933602</v>
      </c>
      <c r="S30">
        <f>IF(COUNT(Q30:R30)=2,R30-Q30,"")</f>
        <v>0.05842449066310694</v>
      </c>
    </row>
    <row r="31" spans="1:19" x14ac:dyDescent="0.3">
      <c r="A31">
        <v>29</v>
      </c>
      <c r="B31">
        <v>28</v>
      </c>
      <c r="C31">
        <f>100*549615/1490090</f>
        <v>36.88468481769558</v>
      </c>
      <c r="D31">
        <f>100*121250/872457</f>
        <v>13.897533058935856</v>
      </c>
      <c r="E31">
        <f>IF(COUNT(C31:D31)=2,D31-C31,"")</f>
        <v>-22.987151758759722</v>
      </c>
      <c r="H31">
        <v>29</v>
      </c>
      <c r="I31">
        <v>28</v>
      </c>
      <c r="J31">
        <f>100*501796/1378717</f>
        <v>36.39586659191117</v>
      </c>
      <c r="K31">
        <f>100*183839/1023792</f>
        <v>17.956674793317394</v>
      </c>
      <c r="L31">
        <f>IF(COUNT(J31:K31)=2,K31-J31,"")</f>
        <v>-18.43919179859378</v>
      </c>
      <c r="O31">
        <v>29</v>
      </c>
      <c r="P31">
        <v>28</v>
      </c>
      <c r="Q31">
        <f>100*492377/1362039</f>
        <v>36.14999276819533</v>
      </c>
      <c r="R31">
        <f>100*336587/1135778</f>
        <v>29.634928656832585</v>
      </c>
      <c r="S31">
        <f>IF(COUNT(Q31:R31)=2,R31-Q31,"")</f>
        <v>-6.515064111362747</v>
      </c>
    </row>
    <row r="32" spans="1:19" x14ac:dyDescent="0.3">
      <c r="A32">
        <v>30</v>
      </c>
      <c r="B32">
        <v>29</v>
      </c>
      <c r="C32">
        <f>100*237648/919878</f>
        <v>25.834730257708088</v>
      </c>
      <c r="D32">
        <f>100*23583/496927</f>
        <v>4.745767486974948</v>
      </c>
      <c r="E32">
        <f>IF(COUNT(C32:D32)=2,D32-C32,"")</f>
        <v>-21.08896277073314</v>
      </c>
      <c r="H32">
        <v>30</v>
      </c>
      <c r="I32">
        <v>29</v>
      </c>
      <c r="J32">
        <f>100*264568/888302</f>
        <v>29.783564598526176</v>
      </c>
      <c r="K32">
        <f>100*80660/679133</f>
        <v>11.876907763280535</v>
      </c>
      <c r="L32">
        <f>IF(COUNT(J32:K32)=2,K32-J32,"")</f>
        <v>-17.90665683524564</v>
      </c>
      <c r="O32">
        <v>30</v>
      </c>
      <c r="P32">
        <v>29</v>
      </c>
      <c r="Q32">
        <f>100*465436/1240969</f>
        <v>37.50585228156384</v>
      </c>
      <c r="R32">
        <f>100*148701/812646</f>
        <v>18.298373461507225</v>
      </c>
      <c r="S32">
        <f>IF(COUNT(Q32:R32)=2,R32-Q32,"")</f>
        <v>-19.207478820056615</v>
      </c>
    </row>
    <row r="33" spans="1:19" x14ac:dyDescent="0.3">
      <c r="A33">
        <v>31</v>
      </c>
      <c r="B33">
        <v>30</v>
      </c>
      <c r="C33">
        <f>100*498726/1349876</f>
        <v>36.946060230717485</v>
      </c>
      <c r="D33">
        <f>100*268529/1056257</f>
        <v>25.422695423556956</v>
      </c>
      <c r="E33">
        <f>IF(COUNT(C33:D33)=2,D33-C33,"")</f>
        <v>-11.52336480716053</v>
      </c>
      <c r="H33">
        <v>31</v>
      </c>
      <c r="I33">
        <v>30</v>
      </c>
      <c r="J33">
        <f>100*307741/1047349</f>
        <v>29.382851370460084</v>
      </c>
      <c r="K33">
        <f>100*274000/1101866</f>
        <v>24.866907591304205</v>
      </c>
      <c r="L33">
        <f>IF(COUNT(J33:K33)=2,K33-J33,"")</f>
        <v>-4.515943779155879</v>
      </c>
      <c r="O33">
        <v>31</v>
      </c>
      <c r="P33">
        <v>30</v>
      </c>
      <c r="Q33">
        <f>100*7935/484889</f>
        <v>1.63645700356164</v>
      </c>
      <c r="R33">
        <f>100*3032/361264</f>
        <v>0.8392754329243988</v>
      </c>
      <c r="S33">
        <f>IF(COUNT(Q33:R33)=2,R33-Q33,"")</f>
        <v>-0.7971815706372412</v>
      </c>
    </row>
    <row r="34" spans="1:19" x14ac:dyDescent="0.3">
      <c r="A34" t="s">
        <v>5</v>
      </c>
      <c r="C34">
        <f>IF(COUNT(C3:C33)&gt;0,AVERAGE(C3:C33),"")</f>
        <v>24.75128625154027</v>
      </c>
      <c r="D34">
        <f>IF(COUNT(D3:D33)&gt;0,AVERAGE(D3:D33),"")</f>
        <v>13.401004004335443</v>
      </c>
      <c r="E34">
        <f>IF(COUNT(E3:E33)&gt;0,AVERAGE(E3:E33),"")</f>
        <v>-11.350282247204829</v>
      </c>
      <c r="H34" t="s">
        <v>5</v>
      </c>
      <c r="J34">
        <f>IF(COUNT(J3:J33)&gt;0,AVERAGE(J3:J33),"")</f>
        <v>23.26126650336055</v>
      </c>
      <c r="K34">
        <f>IF(COUNT(K3:K33)&gt;0,AVERAGE(K3:K33),"")</f>
        <v>14.396348060915132</v>
      </c>
      <c r="L34">
        <f>IF(COUNT(L3:L33)&gt;0,AVERAGE(L3:L33),"")</f>
        <v>-8.864918442445417</v>
      </c>
      <c r="O34" t="s">
        <v>5</v>
      </c>
      <c r="Q34">
        <f>IF(COUNT(Q3:Q33)&gt;0,AVERAGE(Q3:Q33),"")</f>
        <v>28.172990083851328</v>
      </c>
      <c r="R34">
        <f>IF(COUNT(R3:R33)&gt;0,AVERAGE(R3:R33),"")</f>
        <v>14.962104917886874</v>
      </c>
      <c r="S34">
        <f>IF(COUNT(S3:S33)&gt;0,AVERAGE(S3:S33),"")</f>
        <v>-13.21088516596445</v>
      </c>
    </row>
    <row r="37" spans="1:19" s="2" customFormat="1" x14ac:dyDescent="0.3">
      <c r="A37" s="1" t="s">
        <v>9</v>
      </c>
      <c r="B37" s="1"/>
      <c r="C37" s="1"/>
      <c r="D37" s="1"/>
      <c r="E37" s="1"/>
      <c r="H37" s="1" t="s">
        <v>10</v>
      </c>
      <c r="I37" s="1"/>
      <c r="J37" s="1"/>
      <c r="K37" s="1"/>
      <c r="L37" s="1"/>
      <c r="O37" s="1" t="s">
        <v>11</v>
      </c>
      <c r="P37" s="1"/>
      <c r="Q37" s="1"/>
      <c r="R37" s="1"/>
      <c r="S37" s="1"/>
    </row>
    <row r="38" spans="1:19" x14ac:dyDescent="0.3">
      <c r="A38" t="s">
        <v>0</v>
      </c>
      <c r="B38" t="s">
        <v>1</v>
      </c>
      <c r="C38" t="s">
        <v>2</v>
      </c>
      <c r="D38" t="s">
        <v>3</v>
      </c>
      <c r="E38" t="s">
        <v>4</v>
      </c>
      <c r="H38" t="s">
        <v>0</v>
      </c>
      <c r="I38" t="s">
        <v>1</v>
      </c>
      <c r="J38" t="s">
        <v>2</v>
      </c>
      <c r="K38" t="s">
        <v>3</v>
      </c>
      <c r="L38" t="s">
        <v>4</v>
      </c>
      <c r="O38" t="s">
        <v>0</v>
      </c>
      <c r="P38" t="s">
        <v>1</v>
      </c>
      <c r="Q38" t="s">
        <v>2</v>
      </c>
      <c r="R38" t="s">
        <v>3</v>
      </c>
      <c r="S38" t="s">
        <v>4</v>
      </c>
    </row>
    <row r="39" spans="1:19" x14ac:dyDescent="0.3">
      <c r="A39">
        <v>1</v>
      </c>
      <c r="B39">
        <v>0</v>
      </c>
      <c r="C39">
        <f>100*192841/1049609</f>
        <v>18.372651149142204</v>
      </c>
      <c r="D39">
        <f>100*3944/19692</f>
        <v>20.02843794434288</v>
      </c>
      <c r="E39">
        <f>IF(COUNT(C39:D39)=2,D39-C39,"")</f>
        <v>1.655786795200676</v>
      </c>
      <c r="H39">
        <v>1</v>
      </c>
      <c r="I39">
        <v>0</v>
      </c>
      <c r="J39">
        <f>100*402854/1288411</f>
        <v>31.267507029977235</v>
      </c>
      <c r="K39">
        <f>100*39438/741013</f>
        <v>5.322173835006943</v>
      </c>
      <c r="L39">
        <f>IF(COUNT(J39:K39)=2,K39-J39,"")</f>
        <v>-25.945333194970292</v>
      </c>
      <c r="O39">
        <v>1</v>
      </c>
      <c r="P39">
        <v>0</v>
      </c>
      <c r="Q39">
        <f>100*88041/674269</f>
        <v>13.057251631025599</v>
      </c>
      <c r="R39">
        <f>100*44018/609867</f>
        <v>7.21763925577216</v>
      </c>
      <c r="S39">
        <f>IF(COUNT(Q39:R39)=2,R39-Q39,"")</f>
        <v>-5.839612375253439</v>
      </c>
    </row>
    <row r="40" spans="1:19" x14ac:dyDescent="0.3">
      <c r="A40">
        <v>2</v>
      </c>
      <c r="B40">
        <v>1</v>
      </c>
      <c r="C40">
        <f>100*767234/1849227</f>
        <v>41.489443967668656</v>
      </c>
      <c r="D40">
        <f>100*5939/23866</f>
        <v>24.88477331769044</v>
      </c>
      <c r="E40">
        <f>IF(COUNT(C40:D40)=2,D40-C40,"")</f>
        <v>-16.604670649978218</v>
      </c>
      <c r="H40">
        <v>2</v>
      </c>
      <c r="I40">
        <v>1</v>
      </c>
      <c r="J40">
        <f>100*573780/1506160</f>
        <v>38.095554257183835</v>
      </c>
      <c r="K40">
        <f>100*391730/1594536</f>
        <v>24.56702137800589</v>
      </c>
      <c r="L40">
        <f>IF(COUNT(J40:K40)=2,K40-J40,"")</f>
        <v>-13.528532879177945</v>
      </c>
      <c r="O40">
        <v>2</v>
      </c>
      <c r="P40">
        <v>1</v>
      </c>
      <c r="Q40">
        <f>100*291073/995685</f>
        <v>29.233442303539775</v>
      </c>
      <c r="R40">
        <f>100*440094/1526169</f>
        <v>28.836518105137767</v>
      </c>
      <c r="S40">
        <f>IF(COUNT(Q40:R40)=2,R40-Q40,"")</f>
        <v>-0.396924198402008</v>
      </c>
    </row>
    <row r="41" spans="1:19" x14ac:dyDescent="0.3">
      <c r="A41">
        <v>3</v>
      </c>
      <c r="B41">
        <v>2</v>
      </c>
      <c r="C41">
        <f>100*647494/1597730</f>
        <v>40.525871079594175</v>
      </c>
      <c r="D41">
        <f>100*82595/1020567</f>
        <v>8.093050235800295</v>
      </c>
      <c r="E41">
        <f>IF(COUNT(C41:D41)=2,D41-C41,"")</f>
        <v>-32.43282084379388</v>
      </c>
      <c r="H41">
        <v>3</v>
      </c>
      <c r="I41">
        <v>2</v>
      </c>
      <c r="J41">
        <f>100*646730/1702231</f>
        <v>37.99308084507919</v>
      </c>
      <c r="K41">
        <f>100*153917/1242921</f>
        <v>12.383490181596416</v>
      </c>
      <c r="L41">
        <f>IF(COUNT(J41:K41)=2,K41-J41,"")</f>
        <v>-25.609590663482777</v>
      </c>
      <c r="O41">
        <v>3</v>
      </c>
      <c r="P41">
        <v>2</v>
      </c>
      <c r="Q41">
        <f>100*505429/1286969</f>
        <v>39.272818537198646</v>
      </c>
      <c r="R41">
        <f>100*372420/1326202</f>
        <v>28.081694945415556</v>
      </c>
      <c r="S41">
        <f>IF(COUNT(Q41:R41)=2,R41-Q41,"")</f>
        <v>-11.19112359178309</v>
      </c>
    </row>
    <row r="42" spans="1:19" x14ac:dyDescent="0.3">
      <c r="A42">
        <v>4</v>
      </c>
      <c r="B42">
        <v>3</v>
      </c>
      <c r="C42">
        <f>100*45060/760183</f>
        <v>5.927520083979778</v>
      </c>
      <c r="D42">
        <f>100*17749/778835</f>
        <v>2.278916586953591</v>
      </c>
      <c r="E42">
        <f>IF(COUNT(C42:D42)=2,D42-C42,"")</f>
        <v>-3.6486034970261874</v>
      </c>
      <c r="H42">
        <v>4</v>
      </c>
      <c r="I42">
        <v>3</v>
      </c>
      <c r="J42">
        <f>100*44764/778520</f>
        <v>5.749884396033499</v>
      </c>
      <c r="K42">
        <f>100*86044/842973</f>
        <v>10.207207111022536</v>
      </c>
      <c r="L42">
        <f>IF(COUNT(J42:K42)=2,K42-J42,"")</f>
        <v>4.457322714989036</v>
      </c>
      <c r="O42">
        <v>4</v>
      </c>
      <c r="P42">
        <v>3</v>
      </c>
      <c r="Q42">
        <f>100*589890/1404698</f>
        <v>41.9940798662773</v>
      </c>
      <c r="R42">
        <f>100*478169/1561752</f>
        <v>30.617473196768756</v>
      </c>
      <c r="S42">
        <f>IF(COUNT(Q42:R42)=2,R42-Q42,"")</f>
        <v>-11.376606669508547</v>
      </c>
    </row>
    <row r="43" spans="1:19" x14ac:dyDescent="0.3">
      <c r="A43">
        <v>5</v>
      </c>
      <c r="B43">
        <v>4</v>
      </c>
      <c r="C43">
        <f>100*964627/2043023</f>
        <v>47.21567011237759</v>
      </c>
      <c r="D43">
        <f>100*654349/2060004</f>
        <v>31.764452884557507</v>
      </c>
      <c r="E43">
        <f>IF(COUNT(C43:D43)=2,D43-C43,"")</f>
        <v>-15.45121722782008</v>
      </c>
      <c r="H43">
        <v>5</v>
      </c>
      <c r="I43">
        <v>4</v>
      </c>
      <c r="J43">
        <f>100*942269/2236809</f>
        <v>42.12559051756319</v>
      </c>
      <c r="K43">
        <f>100*659622/2138859</f>
        <v>30.83990108744896</v>
      </c>
      <c r="L43">
        <f>IF(COUNT(J43:K43)=2,K43-J43,"")</f>
        <v>-11.285689430114228</v>
      </c>
      <c r="O43">
        <v>5</v>
      </c>
      <c r="P43">
        <v>4</v>
      </c>
      <c r="Q43">
        <f>100*141535/798132</f>
        <v>17.73328221396962</v>
      </c>
      <c r="R43">
        <f>100*100754/843133</f>
        <v>11.94995332883424</v>
      </c>
      <c r="S43">
        <f>IF(COUNT(Q43:R43)=2,R43-Q43,"")</f>
        <v>-5.783328885135379</v>
      </c>
    </row>
    <row r="44" spans="1:19" x14ac:dyDescent="0.3">
      <c r="A44">
        <v>6</v>
      </c>
      <c r="B44">
        <v>5</v>
      </c>
      <c r="C44">
        <f>100*200146/1105970</f>
        <v>18.09687423709504</v>
      </c>
      <c r="D44">
        <f>100*110764/1033378</f>
        <v>10.7186334526185</v>
      </c>
      <c r="E44">
        <f>IF(COUNT(C44:D44)=2,D44-C44,"")</f>
        <v>-7.3782407844765405</v>
      </c>
      <c r="H44">
        <v>6</v>
      </c>
      <c r="I44">
        <v>5</v>
      </c>
      <c r="J44">
        <f>100*712109/1711457</f>
        <v>41.60834890973013</v>
      </c>
      <c r="K44">
        <f>100*773542/2135313</f>
        <v>36.22616450141033</v>
      </c>
      <c r="L44">
        <f>IF(COUNT(J44:K44)=2,K44-J44,"")</f>
        <v>-5.382184408319802</v>
      </c>
      <c r="O44">
        <v>6</v>
      </c>
      <c r="P44">
        <v>5</v>
      </c>
      <c r="Q44">
        <f>100*603941/1377183</f>
        <v>43.8533586313511</v>
      </c>
      <c r="R44">
        <f>100*22027/594220</f>
        <v>3.7068762411228167</v>
      </c>
      <c r="S44">
        <f>IF(COUNT(Q44:R44)=2,R44-Q44,"")</f>
        <v>-40.146482390228286</v>
      </c>
    </row>
    <row r="45" spans="1:19" x14ac:dyDescent="0.3">
      <c r="A45">
        <v>7</v>
      </c>
      <c r="B45">
        <v>6</v>
      </c>
      <c r="C45">
        <f>100*18395/700580</f>
        <v>2.6256815781209855</v>
      </c>
      <c r="D45">
        <f>100*49692/893454</f>
        <v>5.5617860572564455</v>
      </c>
      <c r="E45">
        <f>IF(COUNT(C45:D45)=2,D45-C45,"")</f>
        <v>2.93610447913546</v>
      </c>
      <c r="H45">
        <v>7</v>
      </c>
      <c r="I45">
        <v>6</v>
      </c>
      <c r="J45">
        <f>100*1624/545527</f>
        <v>0.2976937896749382</v>
      </c>
      <c r="K45">
        <f>100*31244/514875</f>
        <v>6.068268997329449</v>
      </c>
      <c r="L45">
        <f>IF(COUNT(J45:K45)=2,K45-J45,"")</f>
        <v>5.7705752076545105</v>
      </c>
      <c r="O45">
        <v>7</v>
      </c>
      <c r="P45">
        <v>6</v>
      </c>
      <c r="Q45">
        <f>100*672106/1493090</f>
        <v>45.01443315540256</v>
      </c>
      <c r="R45">
        <f>100*183987/997174</f>
        <v>18.45084207971728</v>
      </c>
      <c r="S45">
        <f>IF(COUNT(Q45:R45)=2,R45-Q45,"")</f>
        <v>-26.563591075685277</v>
      </c>
    </row>
    <row r="46" spans="1:19" x14ac:dyDescent="0.3">
      <c r="A46">
        <v>8</v>
      </c>
      <c r="B46">
        <v>7</v>
      </c>
      <c r="C46">
        <f>100*20606/505497</f>
        <v>4.076384231756074</v>
      </c>
      <c r="D46">
        <f>100*6438/497037</f>
        <v>1.295275804416975</v>
      </c>
      <c r="E46">
        <f>IF(COUNT(C46:D46)=2,D46-C46,"")</f>
        <v>-2.781108427339099</v>
      </c>
      <c r="H46">
        <v>8</v>
      </c>
      <c r="I46">
        <v>7</v>
      </c>
      <c r="J46">
        <f>100*2064/453926</f>
        <v>0.45469966470305734</v>
      </c>
      <c r="K46">
        <f>100*964/409686</f>
        <v>0.23530215823826053</v>
      </c>
      <c r="L46">
        <f>IF(COUNT(J46:K46)=2,K46-J46,"")</f>
        <v>-0.2193975064647968</v>
      </c>
      <c r="O46">
        <v>8</v>
      </c>
      <c r="P46">
        <v>7</v>
      </c>
      <c r="Q46">
        <f>100*703275/1703373</f>
        <v>41.28719898695118</v>
      </c>
      <c r="R46">
        <f>100*374898/1599368</f>
        <v>23.440383951660905</v>
      </c>
      <c r="S46">
        <f>IF(COUNT(Q46:R46)=2,R46-Q46,"")</f>
        <v>-17.846815035290277</v>
      </c>
    </row>
    <row r="47" spans="1:19" x14ac:dyDescent="0.3">
      <c r="A47">
        <v>9</v>
      </c>
      <c r="B47">
        <v>8</v>
      </c>
      <c r="C47">
        <f>100*929076/2063992</f>
        <v>45.01354656413397</v>
      </c>
      <c r="D47">
        <f>100*164673/946992</f>
        <v>17.389059252876475</v>
      </c>
      <c r="E47">
        <f>IF(COUNT(C47:D47)=2,D47-C47,"")</f>
        <v>-27.624487311257493</v>
      </c>
      <c r="H47">
        <v>9</v>
      </c>
      <c r="I47">
        <v>8</v>
      </c>
      <c r="J47">
        <f>100*779177/1827411</f>
        <v>42.63830085295535</v>
      </c>
      <c r="K47">
        <f>100*420358/1648081</f>
        <v>25.505906566485507</v>
      </c>
      <c r="L47">
        <f>IF(COUNT(J47:K47)=2,K47-J47,"")</f>
        <v>-17.132394286469847</v>
      </c>
      <c r="O47">
        <v>9</v>
      </c>
      <c r="P47">
        <v>8</v>
      </c>
      <c r="Q47">
        <f>100*785425/1662476</f>
        <v>47.244291045404566</v>
      </c>
      <c r="R47">
        <f>100*522234/1716909</f>
        <v>30.41710422625777</v>
      </c>
      <c r="S47">
        <f>IF(COUNT(Q47:R47)=2,R47-Q47,"")</f>
        <v>-16.827186819146796</v>
      </c>
    </row>
    <row r="48" spans="1:19" x14ac:dyDescent="0.3">
      <c r="A48">
        <v>10</v>
      </c>
      <c r="B48">
        <v>9</v>
      </c>
      <c r="C48">
        <f>100*401887/1367048</f>
        <v>29.39816304913946</v>
      </c>
      <c r="D48">
        <f>100*100210/1099089</f>
        <v>9.117550989956227</v>
      </c>
      <c r="E48">
        <f>IF(COUNT(C48:D48)=2,D48-C48,"")</f>
        <v>-20.280612059183234</v>
      </c>
      <c r="H48">
        <v>10</v>
      </c>
      <c r="I48">
        <v>9</v>
      </c>
      <c r="J48">
        <f>100*872985/1990559</f>
        <v>43.85627353924199</v>
      </c>
      <c r="K48">
        <f>100*319017/1338539</f>
        <v>23.833224134672207</v>
      </c>
      <c r="L48">
        <f>IF(COUNT(J48:K48)=2,K48-J48,"")</f>
        <v>-20.023049404569782</v>
      </c>
      <c r="O48">
        <v>10</v>
      </c>
      <c r="P48">
        <v>9</v>
      </c>
      <c r="Q48">
        <f>100*317010/1082800</f>
        <v>29.276874769117104</v>
      </c>
      <c r="R48">
        <f>100*5977/676520</f>
        <v>0.8834919884112813</v>
      </c>
      <c r="S48">
        <f>IF(COUNT(Q48:R48)=2,R48-Q48,"")</f>
        <v>-28.39338278070582</v>
      </c>
    </row>
    <row r="49" spans="1:19" x14ac:dyDescent="0.3">
      <c r="A49">
        <v>11</v>
      </c>
      <c r="B49">
        <v>10</v>
      </c>
      <c r="C49">
        <f>100*705082/1682816</f>
        <v>41.898936069065186</v>
      </c>
      <c r="D49">
        <f>100*135626/975146</f>
        <v>13.908276299138796</v>
      </c>
      <c r="E49">
        <f>IF(COUNT(C49:D49)=2,D49-C49,"")</f>
        <v>-27.99065976992639</v>
      </c>
      <c r="H49">
        <v>11</v>
      </c>
      <c r="I49">
        <v>10</v>
      </c>
      <c r="J49">
        <f>100*582667/1702410</f>
        <v>34.22600901075534</v>
      </c>
      <c r="K49">
        <f>100*75402/625028</f>
        <v>12.063779542676489</v>
      </c>
      <c r="L49">
        <f>IF(COUNT(J49:K49)=2,K49-J49,"")</f>
        <v>-22.162229468078852</v>
      </c>
      <c r="O49">
        <v>11</v>
      </c>
      <c r="P49">
        <v>10</v>
      </c>
      <c r="Q49">
        <f>100*610513/1430887</f>
        <v>42.666751462554345</v>
      </c>
      <c r="R49">
        <f>100*211412/1052760</f>
        <v>20.081690033815875</v>
      </c>
      <c r="S49">
        <f>IF(COUNT(Q49:R49)=2,R49-Q49,"")</f>
        <v>-22.58506142873847</v>
      </c>
    </row>
    <row r="50" spans="1:19" x14ac:dyDescent="0.3">
      <c r="A50">
        <v>12</v>
      </c>
      <c r="B50">
        <v>11</v>
      </c>
      <c r="C50">
        <f>100*661603/1691906</f>
        <v>39.10400459600002</v>
      </c>
      <c r="D50">
        <f>100*61813/799002</f>
        <v>7.736276004315384</v>
      </c>
      <c r="E50">
        <f>IF(COUNT(C50:D50)=2,D50-C50,"")</f>
        <v>-31.36772859168463</v>
      </c>
      <c r="H50">
        <v>12</v>
      </c>
      <c r="I50">
        <v>11</v>
      </c>
      <c r="J50">
        <f>100*2109/16409</f>
        <v>12.85270278505698</v>
      </c>
      <c r="K50">
        <f>100*3190/22477</f>
        <v>14.192285447346176</v>
      </c>
      <c r="L50">
        <f>IF(COUNT(J50:K50)=2,K50-J50,"")</f>
        <v>1.339582662289196</v>
      </c>
      <c r="O50">
        <v>12</v>
      </c>
      <c r="P50">
        <v>11</v>
      </c>
      <c r="Q50">
        <f>100*565746/1449544</f>
        <v>39.029239540158834</v>
      </c>
      <c r="R50">
        <f>100*392812/1526339</f>
        <v>25.73556726258059</v>
      </c>
      <c r="S50">
        <f>IF(COUNT(Q50:R50)=2,R50-Q50,"")</f>
        <v>-13.293672277578242</v>
      </c>
    </row>
    <row r="51" spans="1:19" x14ac:dyDescent="0.3">
      <c r="A51">
        <v>13</v>
      </c>
      <c r="B51">
        <v>12</v>
      </c>
      <c r="C51">
        <f>100*13444/609443</f>
        <v>2.20594871054389</v>
      </c>
      <c r="D51">
        <f>100*11438/642091</f>
        <v>1.7813674385717913</v>
      </c>
      <c r="E51">
        <f>IF(COUNT(C51:D51)=2,D51-C51,"")</f>
        <v>-0.42458127197209894</v>
      </c>
      <c r="H51">
        <v>13</v>
      </c>
      <c r="I51">
        <v>12</v>
      </c>
      <c r="J51">
        <f>100*78998/737547</f>
        <v>10.710910626712602</v>
      </c>
      <c r="K51">
        <f>100*37843/559224</f>
        <v>6.7670557772913895</v>
      </c>
      <c r="L51">
        <f>IF(COUNT(J51:K51)=2,K51-J51,"")</f>
        <v>-3.9438548494212124</v>
      </c>
      <c r="O51">
        <v>13</v>
      </c>
      <c r="P51">
        <v>12</v>
      </c>
      <c r="Q51">
        <f>100*653960/1481691</f>
        <v>44.136058057989146</v>
      </c>
      <c r="R51">
        <f>100*60396/794698</f>
        <v>7.599868126005099</v>
      </c>
      <c r="S51">
        <f>IF(COUNT(Q51:R51)=2,R51-Q51,"")</f>
        <v>-36.53618993198405</v>
      </c>
    </row>
    <row r="52" spans="1:19" x14ac:dyDescent="0.3">
      <c r="A52">
        <v>14</v>
      </c>
      <c r="B52">
        <v>13</v>
      </c>
      <c r="C52">
        <f>100*183005/843268</f>
        <v>21.701878880735425</v>
      </c>
      <c r="D52">
        <f>100*9063/488246</f>
        <v>1.85623640541858</v>
      </c>
      <c r="E52">
        <f>IF(COUNT(C52:D52)=2,D52-C52,"")</f>
        <v>-19.845642475316843</v>
      </c>
      <c r="H52">
        <v>14</v>
      </c>
      <c r="I52">
        <v>13</v>
      </c>
      <c r="J52">
        <f>100*450919/1374273</f>
        <v>32.811457403296146</v>
      </c>
      <c r="K52">
        <f>100*132805/1038496</f>
        <v>12.7882052506702</v>
      </c>
      <c r="L52">
        <f>IF(COUNT(J52:K52)=2,K52-J52,"")</f>
        <v>-20.023252152625943</v>
      </c>
      <c r="O52">
        <v>14</v>
      </c>
      <c r="P52">
        <v>13</v>
      </c>
      <c r="Q52">
        <f>100*1624/402681</f>
        <v>0.40329690251092054</v>
      </c>
      <c r="R52">
        <f>100*3195/439897</f>
        <v>0.7263063853583908</v>
      </c>
      <c r="S52">
        <f>IF(COUNT(Q52:R52)=2,R52-Q52,"")</f>
        <v>0.3230094828474702</v>
      </c>
    </row>
    <row r="53" spans="1:19" x14ac:dyDescent="0.3">
      <c r="A53">
        <v>15</v>
      </c>
      <c r="B53">
        <v>14</v>
      </c>
      <c r="C53">
        <f>100*855788/1778828</f>
        <v>48.10965422176849</v>
      </c>
      <c r="D53">
        <f>100*314683/1487518</f>
        <v>21.15490367175389</v>
      </c>
      <c r="E53">
        <f>IF(COUNT(C53:D53)=2,D53-C53,"")</f>
        <v>-26.954750550014598</v>
      </c>
      <c r="H53">
        <v>15</v>
      </c>
      <c r="I53">
        <v>14</v>
      </c>
      <c r="J53">
        <f>100*381484/1238884</f>
        <v>30.792552006483255</v>
      </c>
      <c r="K53">
        <f>100*364786/1576278</f>
        <v>23.142237600220266</v>
      </c>
      <c r="L53">
        <f>IF(COUNT(J53:K53)=2,K53-J53,"")</f>
        <v>-7.650314406262989</v>
      </c>
      <c r="O53">
        <v>15</v>
      </c>
      <c r="P53">
        <v>14</v>
      </c>
      <c r="Q53">
        <f>100*373593/1196320</f>
        <v>31.22851745352414</v>
      </c>
      <c r="R53">
        <f>100*262821/1192909</f>
        <v>22.031940407860112</v>
      </c>
      <c r="S53">
        <f>IF(COUNT(Q53:R53)=2,R53-Q53,"")</f>
        <v>-9.196577045664029</v>
      </c>
    </row>
    <row r="54" spans="1:19" x14ac:dyDescent="0.3">
      <c r="A54">
        <v>16</v>
      </c>
      <c r="B54">
        <v>15</v>
      </c>
      <c r="C54">
        <f>100*888567/1959716</f>
        <v>45.34162092874682</v>
      </c>
      <c r="D54">
        <f>100*152015/1252327</f>
        <v>12.138602777070206</v>
      </c>
      <c r="E54">
        <f>IF(COUNT(C54:D54)=2,D54-C54,"")</f>
        <v>-33.203018151676616</v>
      </c>
      <c r="H54">
        <v>16</v>
      </c>
      <c r="I54">
        <v>15</v>
      </c>
      <c r="J54">
        <f>100*600755/1390841</f>
        <v>43.19365046040489</v>
      </c>
      <c r="K54">
        <f>100*46985/911867</f>
        <v>5.15261545817537</v>
      </c>
      <c r="L54">
        <f>IF(COUNT(J54:K54)=2,K54-J54,"")</f>
        <v>-38.04103500222952</v>
      </c>
      <c r="O54">
        <v>16</v>
      </c>
      <c r="P54">
        <v>15</v>
      </c>
      <c r="Q54">
        <f>100*595830/1410973</f>
        <v>42.22830628226054</v>
      </c>
      <c r="R54">
        <f>100*502455/1671758</f>
        <v>30.05548649984029</v>
      </c>
      <c r="S54">
        <f>IF(COUNT(Q54:R54)=2,R54-Q54,"")</f>
        <v>-12.172819782420252</v>
      </c>
    </row>
    <row r="55" spans="1:19" x14ac:dyDescent="0.3">
      <c r="A55">
        <v>17</v>
      </c>
      <c r="B55">
        <v>16</v>
      </c>
      <c r="C55">
        <f>100*543691/1545910</f>
        <v>35.1696411822163</v>
      </c>
      <c r="D55">
        <f>100*446455/1738796</f>
        <v>25.6761000140327</v>
      </c>
      <c r="E55">
        <f>IF(COUNT(C55:D55)=2,D55-C55,"")</f>
        <v>-9.493541168183604</v>
      </c>
      <c r="H55">
        <v>17</v>
      </c>
      <c r="I55">
        <v>16</v>
      </c>
      <c r="J55">
        <f>100*627913/1725883</f>
        <v>36.38213019074873</v>
      </c>
      <c r="K55">
        <f>100*111224/1007548</f>
        <v>11.03907704645337</v>
      </c>
      <c r="L55">
        <f>IF(COUNT(J55:K55)=2,K55-J55,"")</f>
        <v>-25.34305314429536</v>
      </c>
      <c r="O55">
        <v>17</v>
      </c>
      <c r="P55">
        <v>16</v>
      </c>
      <c r="Q55">
        <f>100*6486/400160</f>
        <v>1.6208516593362654</v>
      </c>
      <c r="R55">
        <f>100*15558/432639</f>
        <v>3.596069702454009</v>
      </c>
      <c r="S55">
        <f>IF(COUNT(Q55:R55)=2,R55-Q55,"")</f>
        <v>1.9752180431177437</v>
      </c>
    </row>
    <row r="56" spans="1:19" x14ac:dyDescent="0.3">
      <c r="A56">
        <v>18</v>
      </c>
      <c r="B56">
        <v>17</v>
      </c>
      <c r="C56">
        <f>100*889308/1891000</f>
        <v>47.02845055526176</v>
      </c>
      <c r="D56">
        <f>100*27515/592561</f>
        <v>4.6434038014651655</v>
      </c>
      <c r="E56">
        <f>IF(COUNT(C56:D56)=2,D56-C56,"")</f>
        <v>-42.3850467537966</v>
      </c>
      <c r="H56">
        <v>18</v>
      </c>
      <c r="I56">
        <v>17</v>
      </c>
      <c r="J56">
        <f>100*355/2215</f>
        <v>16.02708803611738</v>
      </c>
      <c r="K56">
        <f>100*25785/650916</f>
        <v>3.961340633814501</v>
      </c>
      <c r="L56">
        <f>IF(COUNT(J56:K56)=2,K56-J56,"")</f>
        <v>-12.065747402302879</v>
      </c>
      <c r="O56">
        <v>18</v>
      </c>
      <c r="P56">
        <v>17</v>
      </c>
      <c r="Q56">
        <f>100*78465/548560</f>
        <v>14.303813621117106</v>
      </c>
      <c r="R56">
        <f>100*7448/428609</f>
        <v>1.7377143270439959</v>
      </c>
      <c r="S56">
        <f>IF(COUNT(Q56:R56)=2,R56-Q56,"")</f>
        <v>-12.56609929407311</v>
      </c>
    </row>
    <row r="57" spans="1:19" x14ac:dyDescent="0.3">
      <c r="A57">
        <v>19</v>
      </c>
      <c r="B57">
        <v>18</v>
      </c>
      <c r="C57">
        <f>100*419048/1297589</f>
        <v>32.294355146352196</v>
      </c>
      <c r="D57">
        <f>100*117661/926527</f>
        <v>12.69914422353585</v>
      </c>
      <c r="E57">
        <f>IF(COUNT(C57:D57)=2,D57-C57,"")</f>
        <v>-19.595210922816346</v>
      </c>
      <c r="H57">
        <v>19</v>
      </c>
      <c r="I57">
        <v>18</v>
      </c>
      <c r="J57">
        <f>100*451032/1332344</f>
        <v>33.85251856877803</v>
      </c>
      <c r="K57">
        <f>100*410063/1734393</f>
        <v>23.64302669579501</v>
      </c>
      <c r="L57">
        <f>IF(COUNT(J57:K57)=2,K57-J57,"")</f>
        <v>-10.209491872983019</v>
      </c>
      <c r="O57">
        <v>19</v>
      </c>
      <c r="P57">
        <v>18</v>
      </c>
      <c r="Q57">
        <f>100*644704/1630522</f>
        <v>39.53973022136469</v>
      </c>
      <c r="R57">
        <f>100*417609/1490763</f>
        <v>28.01310469873481</v>
      </c>
      <c r="S57">
        <f>IF(COUNT(Q57:R57)=2,R57-Q57,"")</f>
        <v>-11.526625522629882</v>
      </c>
    </row>
    <row r="58" spans="1:19" x14ac:dyDescent="0.3">
      <c r="A58">
        <v>20</v>
      </c>
      <c r="B58">
        <v>19</v>
      </c>
      <c r="C58">
        <f>100*679956/1609329</f>
        <v>42.250900841282295</v>
      </c>
      <c r="D58">
        <f>100*265586/1452957</f>
        <v>18.27899930968363</v>
      </c>
      <c r="E58">
        <f>IF(COUNT(C58:D58)=2,D58-C58,"")</f>
        <v>-23.971901531598665</v>
      </c>
      <c r="H58">
        <v>20</v>
      </c>
      <c r="I58">
        <v>19</v>
      </c>
      <c r="J58">
        <f>100*854529/1945718</f>
        <v>43.918440390642424</v>
      </c>
      <c r="K58">
        <f>100*182007/1003843</f>
        <v>18.131022480607026</v>
      </c>
      <c r="L58">
        <f>IF(COUNT(J58:K58)=2,K58-J58,"")</f>
        <v>-25.787417910035398</v>
      </c>
      <c r="O58">
        <v>20</v>
      </c>
      <c r="P58">
        <v>19</v>
      </c>
      <c r="Q58">
        <f>100*668214/1556077</f>
        <v>42.94221944029762</v>
      </c>
      <c r="R58">
        <f>100*373766/1461946</f>
        <v>25.56633418744605</v>
      </c>
      <c r="S58">
        <f>IF(COUNT(Q58:R58)=2,R58-Q58,"")</f>
        <v>-17.37588525285157</v>
      </c>
    </row>
    <row r="59" spans="1:19" x14ac:dyDescent="0.3">
      <c r="A59">
        <v>21</v>
      </c>
      <c r="B59">
        <v>20</v>
      </c>
      <c r="C59">
        <f>100*775725/1847570</f>
        <v>41.98623056230616</v>
      </c>
      <c r="D59">
        <f>100*94952/983564</f>
        <v>9.653871024152979</v>
      </c>
      <c r="E59">
        <f>IF(COUNT(C59:D59)=2,D59-C59,"")</f>
        <v>-32.332359538153185</v>
      </c>
      <c r="H59">
        <v>21</v>
      </c>
      <c r="I59">
        <v>20</v>
      </c>
      <c r="J59">
        <f>100*708159/1885839</f>
        <v>37.5514028504024</v>
      </c>
      <c r="K59">
        <f>100*22897/737576</f>
        <v>3.104358059372865</v>
      </c>
      <c r="L59">
        <f>IF(COUNT(J59:K59)=2,K59-J59,"")</f>
        <v>-34.44704479102953</v>
      </c>
      <c r="O59">
        <v>21</v>
      </c>
      <c r="P59">
        <v>20</v>
      </c>
      <c r="Q59">
        <f>100*370589/1143839</f>
        <v>32.39870296431578</v>
      </c>
      <c r="R59">
        <f>100*268486/1129385</f>
        <v>23.772761281582454</v>
      </c>
      <c r="S59">
        <f>IF(COUNT(Q59:R59)=2,R59-Q59,"")</f>
        <v>-8.625941682733327</v>
      </c>
    </row>
    <row r="60" spans="1:19" x14ac:dyDescent="0.3">
      <c r="A60">
        <v>22</v>
      </c>
      <c r="B60">
        <v>21</v>
      </c>
      <c r="C60">
        <f>100*654996/1913846</f>
        <v>34.22407027524681</v>
      </c>
      <c r="D60">
        <f>100*641376/2111915</f>
        <v>30.36940407166008</v>
      </c>
      <c r="E60">
        <f>IF(COUNT(C60:D60)=2,D60-C60,"")</f>
        <v>-3.854666203586728</v>
      </c>
      <c r="H60">
        <v>22</v>
      </c>
      <c r="I60">
        <v>21</v>
      </c>
      <c r="J60">
        <f>100*858363/1916826</f>
        <v>44.78043390479887</v>
      </c>
      <c r="K60">
        <f>100*297675/1287719</f>
        <v>23.11645630762612</v>
      </c>
      <c r="L60">
        <f>IF(COUNT(J60:K60)=2,K60-J60,"")</f>
        <v>-21.66397759717275</v>
      </c>
      <c r="O60">
        <v>22</v>
      </c>
      <c r="P60">
        <v>21</v>
      </c>
      <c r="Q60">
        <f>100*754527/1680084</f>
        <v>44.91007592477519</v>
      </c>
      <c r="R60">
        <f>100*377234/1457818</f>
        <v>25.876618343304855</v>
      </c>
      <c r="S60">
        <f>IF(COUNT(Q60:R60)=2,R60-Q60,"")</f>
        <v>-19.033457581470337</v>
      </c>
    </row>
    <row r="61" spans="1:19" x14ac:dyDescent="0.3">
      <c r="A61">
        <v>23</v>
      </c>
      <c r="B61">
        <v>22</v>
      </c>
      <c r="C61">
        <f>100*604684/1725077</f>
        <v>35.052580261634695</v>
      </c>
      <c r="D61">
        <f>100*112470/1116282</f>
        <v>10.075411052045988</v>
      </c>
      <c r="E61">
        <f>IF(COUNT(C61:D61)=2,D61-C61,"")</f>
        <v>-24.97716920958871</v>
      </c>
      <c r="H61">
        <v>23</v>
      </c>
      <c r="I61">
        <v>22</v>
      </c>
      <c r="J61">
        <f>100*941313/1944636</f>
        <v>48.40561421263414</v>
      </c>
      <c r="K61">
        <f>100*132413/1053399</f>
        <v>12.57007078989063</v>
      </c>
      <c r="L61">
        <f>IF(COUNT(J61:K61)=2,K61-J61,"")</f>
        <v>-35.83554342274351</v>
      </c>
      <c r="O61">
        <v>23</v>
      </c>
      <c r="P61">
        <v>22</v>
      </c>
      <c r="Q61">
        <f>100*844/356205</f>
        <v>0.236942210244101</v>
      </c>
      <c r="R61">
        <f>100*656/348816</f>
        <v>0.18806476767120775</v>
      </c>
      <c r="S61">
        <f>IF(COUNT(Q61:R61)=2,R61-Q61,"")</f>
        <v>-0.048877442572893254</v>
      </c>
    </row>
    <row r="62" spans="1:19" x14ac:dyDescent="0.3">
      <c r="A62">
        <v>24</v>
      </c>
      <c r="B62">
        <v>23</v>
      </c>
      <c r="C62">
        <f>100*344998/1193986</f>
        <v>28.894643655788258</v>
      </c>
      <c r="D62">
        <f>100*12346/645643</f>
        <v>1.9122022541869113</v>
      </c>
      <c r="E62">
        <f>IF(COUNT(C62:D62)=2,D62-C62,"")</f>
        <v>-26.982441401601346</v>
      </c>
      <c r="H62">
        <v>24</v>
      </c>
      <c r="I62">
        <v>23</v>
      </c>
      <c r="J62">
        <f>100*792417/1775752</f>
        <v>44.62430564628394</v>
      </c>
      <c r="K62">
        <f>100*221650/1202974</f>
        <v>18.425169621288575</v>
      </c>
      <c r="L62">
        <f>IF(COUNT(J62:K62)=2,K62-J62,"")</f>
        <v>-26.19913602499537</v>
      </c>
      <c r="O62">
        <v>24</v>
      </c>
      <c r="P62">
        <v>23</v>
      </c>
      <c r="Q62">
        <f>100*197250/941831</f>
        <v>20.94324778012191</v>
      </c>
      <c r="R62">
        <f>100*112913/873634</f>
        <v>12.924519879034012</v>
      </c>
      <c r="S62">
        <f>IF(COUNT(Q62:R62)=2,R62-Q62,"")</f>
        <v>-8.0187279010879</v>
      </c>
    </row>
    <row r="63" spans="1:19" x14ac:dyDescent="0.3">
      <c r="A63">
        <v>25</v>
      </c>
      <c r="B63">
        <v>24</v>
      </c>
      <c r="C63">
        <f>100*768464/1759518</f>
        <v>43.67468818164975</v>
      </c>
      <c r="D63">
        <f>100*149708/1088811</f>
        <v>13.74967740039364</v>
      </c>
      <c r="E63">
        <f>IF(COUNT(C63:D63)=2,D63-C63,"")</f>
        <v>-29.92501078125611</v>
      </c>
      <c r="H63">
        <v>25</v>
      </c>
      <c r="I63">
        <v>24</v>
      </c>
      <c r="J63">
        <f>100*708043/1588574</f>
        <v>44.57098001100358</v>
      </c>
      <c r="K63">
        <f>100*115363/847477</f>
        <v>13.612522817728387</v>
      </c>
      <c r="L63">
        <f>IF(COUNT(J63:K63)=2,K63-J63,"")</f>
        <v>-30.95845719327519</v>
      </c>
      <c r="O63">
        <v>25</v>
      </c>
      <c r="P63">
        <v>24</v>
      </c>
      <c r="Q63">
        <f>100*339441/1160878</f>
        <v>29.240023499454722</v>
      </c>
      <c r="R63">
        <f>100*341765/1368197</f>
        <v>24.97922448302401</v>
      </c>
      <c r="S63">
        <f>IF(COUNT(Q63:R63)=2,R63-Q63,"")</f>
        <v>-4.260799016430713</v>
      </c>
    </row>
    <row r="64" spans="1:19" x14ac:dyDescent="0.3">
      <c r="A64">
        <v>26</v>
      </c>
      <c r="B64">
        <v>25</v>
      </c>
      <c r="C64">
        <f>100*872598/1965096</f>
        <v>44.40485350334029</v>
      </c>
      <c r="D64">
        <f>100*433481/1688623</f>
        <v>25.670679601071406</v>
      </c>
      <c r="E64">
        <f>IF(COUNT(C64:D64)=2,D64-C64,"")</f>
        <v>-18.734173902268886</v>
      </c>
      <c r="H64">
        <v>26</v>
      </c>
      <c r="I64">
        <v>25</v>
      </c>
      <c r="J64">
        <f>100*398836/1246025</f>
        <v>32.008667562849865</v>
      </c>
      <c r="K64">
        <f>100*71724/716469</f>
        <v>10.010761107598514</v>
      </c>
      <c r="L64">
        <f>IF(COUNT(J64:K64)=2,K64-J64,"")</f>
        <v>-21.997906455251353</v>
      </c>
      <c r="O64">
        <v>26</v>
      </c>
      <c r="P64">
        <v>25</v>
      </c>
      <c r="Q64">
        <f>100*775571/1671807</f>
        <v>46.39118032165196</v>
      </c>
      <c r="R64">
        <f>100*4841/16749</f>
        <v>28.903218102573287</v>
      </c>
      <c r="S64">
        <f>IF(COUNT(Q64:R64)=2,R64-Q64,"")</f>
        <v>-17.48796221907867</v>
      </c>
    </row>
    <row r="65" spans="1:19" x14ac:dyDescent="0.3">
      <c r="A65">
        <v>27</v>
      </c>
      <c r="B65">
        <v>26</v>
      </c>
      <c r="C65">
        <f>100*588879/1713537</f>
        <v>34.36628447474435</v>
      </c>
      <c r="D65">
        <f>100*184526/1244865</f>
        <v>14.822972772147985</v>
      </c>
      <c r="E65">
        <f>IF(COUNT(C65:D65)=2,D65-C65,"")</f>
        <v>-19.543311702596363</v>
      </c>
      <c r="H65">
        <v>27</v>
      </c>
      <c r="I65">
        <v>26</v>
      </c>
      <c r="J65">
        <f>100*537175/1539092</f>
        <v>34.90207213084078</v>
      </c>
      <c r="K65">
        <f>100*514858/1878498</f>
        <v>27.407961041214843</v>
      </c>
      <c r="L65">
        <f>IF(COUNT(J65:K65)=2,K65-J65,"")</f>
        <v>-7.494111089625935</v>
      </c>
      <c r="O65">
        <v>27</v>
      </c>
      <c r="P65">
        <v>26</v>
      </c>
      <c r="Q65">
        <f>100*484579/1297589</f>
        <v>37.34456750172821</v>
      </c>
      <c r="R65">
        <f>100*205238/1324148</f>
        <v>15.49962692992022</v>
      </c>
      <c r="S65">
        <f>IF(COUNT(Q65:R65)=2,R65-Q65,"")</f>
        <v>-21.84494057180799</v>
      </c>
    </row>
    <row r="66" spans="1:19" x14ac:dyDescent="0.3">
      <c r="A66">
        <v>28</v>
      </c>
      <c r="B66">
        <v>27</v>
      </c>
      <c r="C66">
        <f>100*367929/1192094</f>
        <v>30.864092932268765</v>
      </c>
      <c r="D66">
        <f>100*193765/1223863</f>
        <v>15.832245929487206</v>
      </c>
      <c r="E66">
        <f>IF(COUNT(C66:D66)=2,D66-C66,"")</f>
        <v>-15.031847002781559</v>
      </c>
      <c r="H66">
        <v>28</v>
      </c>
      <c r="I66">
        <v>27</v>
      </c>
      <c r="J66">
        <f>100*531985/1356503</f>
        <v>39.21738470169252</v>
      </c>
      <c r="K66">
        <f>100*582297/1927993</f>
        <v>30.202236211438528</v>
      </c>
      <c r="L66">
        <f>IF(COUNT(J66:K66)=2,K66-J66,"")</f>
        <v>-9.015148490253988</v>
      </c>
      <c r="O66">
        <v>28</v>
      </c>
      <c r="P66">
        <v>27</v>
      </c>
      <c r="Q66">
        <f>100*341/342230</f>
        <v>0.09964059258393478</v>
      </c>
      <c r="R66">
        <f>100*8869/614900</f>
        <v>1.4423483493250935</v>
      </c>
      <c r="S66">
        <f>IF(COUNT(Q66:R66)=2,R66-Q66,"")</f>
        <v>1.3427077567411587</v>
      </c>
    </row>
    <row r="67" spans="1:19" x14ac:dyDescent="0.3">
      <c r="A67">
        <v>29</v>
      </c>
      <c r="B67">
        <v>28</v>
      </c>
      <c r="C67">
        <f>100*656014/1602695</f>
        <v>40.93193027993473</v>
      </c>
      <c r="D67">
        <f>100*420564/1706615</f>
        <v>24.643167908403477</v>
      </c>
      <c r="E67">
        <f>IF(COUNT(C67:D67)=2,D67-C67,"")</f>
        <v>-16.288762371531256</v>
      </c>
      <c r="H67">
        <v>29</v>
      </c>
      <c r="I67">
        <v>28</v>
      </c>
      <c r="J67">
        <f>100*917947/2006663</f>
        <v>45.74495069675376</v>
      </c>
      <c r="K67">
        <f>100*733653/2290603</f>
        <v>32.02881511986145</v>
      </c>
      <c r="L67">
        <f>IF(COUNT(J67:K67)=2,K67-J67,"")</f>
        <v>-13.716135576892313</v>
      </c>
      <c r="O67">
        <v>29</v>
      </c>
      <c r="P67">
        <v>28</v>
      </c>
      <c r="Q67">
        <f>100*506385/1453010</f>
        <v>34.850758081499784</v>
      </c>
      <c r="R67">
        <f>100*356745/1497237</f>
        <v>23.82688912977705</v>
      </c>
      <c r="S67">
        <f>IF(COUNT(Q67:R67)=2,R67-Q67,"")</f>
        <v>-11.023868951722733</v>
      </c>
    </row>
    <row r="68" spans="1:19" x14ac:dyDescent="0.3">
      <c r="A68">
        <v>30</v>
      </c>
      <c r="B68">
        <v>29</v>
      </c>
      <c r="C68">
        <f>100*39372/653286</f>
        <v>6.026763163453679</v>
      </c>
      <c r="D68">
        <f>100*12410/507307</f>
        <v>2.4462504952622375</v>
      </c>
      <c r="E68">
        <f>IF(COUNT(C68:D68)=2,D68-C68,"")</f>
        <v>-3.5805126681914414</v>
      </c>
      <c r="H68">
        <v>30</v>
      </c>
      <c r="I68">
        <v>29</v>
      </c>
      <c r="J68">
        <f>100*537109/1458999</f>
        <v>36.81352763093052</v>
      </c>
      <c r="K68">
        <f>100*236225/1148951</f>
        <v>20.56005869702015</v>
      </c>
      <c r="L68">
        <f>IF(COUNT(J68:K68)=2,K68-J68,"")</f>
        <v>-16.253468933910373</v>
      </c>
      <c r="O68">
        <v>30</v>
      </c>
      <c r="P68">
        <v>29</v>
      </c>
      <c r="Q68">
        <f>100*609326/1423323</f>
        <v>42.81010002648731</v>
      </c>
      <c r="R68">
        <f>100*293329/1219853</f>
        <v>24.046258032730172</v>
      </c>
      <c r="S68">
        <f>IF(COUNT(Q68:R68)=2,R68-Q68,"")</f>
        <v>-18.76384199375714</v>
      </c>
    </row>
    <row r="69" spans="1:19" x14ac:dyDescent="0.3">
      <c r="A69">
        <v>31</v>
      </c>
      <c r="B69">
        <v>30</v>
      </c>
      <c r="C69">
        <f>100*401250/1230061</f>
        <v>32.62033346313719</v>
      </c>
      <c r="D69">
        <f>100*197518/1259778</f>
        <v>15.67879420024798</v>
      </c>
      <c r="E69">
        <f>IF(COUNT(C69:D69)=2,D69-C69,"")</f>
        <v>-16.941539262889215</v>
      </c>
      <c r="H69">
        <v>31</v>
      </c>
      <c r="I69">
        <v>30</v>
      </c>
      <c r="J69">
        <f>100*589124/1665281</f>
        <v>35.3768523150147</v>
      </c>
      <c r="K69">
        <f>100*268114/1326971</f>
        <v>20.204963032349614</v>
      </c>
      <c r="L69">
        <f>IF(COUNT(J69:K69)=2,K69-J69,"")</f>
        <v>-15.171889282665088</v>
      </c>
      <c r="O69">
        <v>31</v>
      </c>
      <c r="P69">
        <v>30</v>
      </c>
      <c r="Q69">
        <f>100*1911/646412</f>
        <v>0.2956318880218808</v>
      </c>
      <c r="R69">
        <f>100*1883/665549</f>
        <v>0.282924322626884</v>
      </c>
      <c r="S69">
        <f>IF(COUNT(Q69:R69)=2,R69-Q69,"")</f>
        <v>-0.01270756539499679</v>
      </c>
    </row>
    <row r="70" spans="1:19" x14ac:dyDescent="0.3">
      <c r="A70" t="s">
        <v>5</v>
      </c>
      <c r="C70">
        <f>IF(COUNT(C39:C69)&gt;0,AVERAGE(C39:C69),"")</f>
        <v>31.6417312238221</v>
      </c>
      <c r="D70">
        <f>IF(COUNT(D39:D69)&gt;0,AVERAGE(D39:D69),"")</f>
        <v>13.414836231629524</v>
      </c>
      <c r="E70">
        <f>IF(COUNT(E39:E69)&gt;0,AVERAGE(E39:E69),"")</f>
        <v>-18.226894992192573</v>
      </c>
      <c r="H70" t="s">
        <v>5</v>
      </c>
      <c r="J70">
        <f>IF(COUNT(J39:J69)&gt;0,AVERAGE(J39:J69),"")</f>
        <v>32.99518015949494</v>
      </c>
      <c r="K70">
        <f>IF(COUNT(K39:K69)&gt;0,AVERAGE(K39:K69),"")</f>
        <v>16.68750576418245</v>
      </c>
      <c r="L70">
        <f>IF(COUNT(L39:L69)&gt;0,AVERAGE(L39:L69),"")</f>
        <v>-16.307674395312493</v>
      </c>
      <c r="O70" t="s">
        <v>5</v>
      </c>
      <c r="Q70">
        <f>IF(COUNT(Q39:Q69)&gt;0,AVERAGE(Q39:Q69),"")</f>
        <v>30.180215695878577</v>
      </c>
      <c r="R70">
        <f>IF(COUNT(R39:R69)&gt;0,AVERAGE(R39:R69),"")</f>
        <v>17.112532663606675</v>
      </c>
      <c r="S70">
        <f>IF(COUNT(S39:S69)&gt;0,AVERAGE(S39:S69),"")</f>
        <v>-13.067683032271898</v>
      </c>
    </row>
    <row r="73" spans="1:19" s="2" customFormat="1" x14ac:dyDescent="0.3">
      <c r="A73" s="1" t="s">
        <v>12</v>
      </c>
      <c r="B73" s="1"/>
      <c r="C73" s="1"/>
      <c r="D73" s="1"/>
      <c r="E73" s="1"/>
      <c r="H73" s="1" t="s">
        <v>13</v>
      </c>
      <c r="I73" s="1"/>
      <c r="J73" s="1"/>
      <c r="K73" s="1"/>
      <c r="L73" s="1"/>
      <c r="O73" s="1" t="s">
        <v>14</v>
      </c>
      <c r="P73" s="1"/>
      <c r="Q73" s="1"/>
      <c r="R73" s="1"/>
      <c r="S73" s="1"/>
    </row>
    <row r="74" spans="1:19" x14ac:dyDescent="0.3">
      <c r="A74" t="s">
        <v>0</v>
      </c>
      <c r="B74" t="s">
        <v>1</v>
      </c>
      <c r="C74" t="s">
        <v>2</v>
      </c>
      <c r="D74" t="s">
        <v>3</v>
      </c>
      <c r="E74" t="s">
        <v>4</v>
      </c>
      <c r="H74" t="s">
        <v>0</v>
      </c>
      <c r="I74" t="s">
        <v>1</v>
      </c>
      <c r="J74" t="s">
        <v>2</v>
      </c>
      <c r="K74" t="s">
        <v>3</v>
      </c>
      <c r="L74" t="s">
        <v>4</v>
      </c>
      <c r="O74" t="s">
        <v>0</v>
      </c>
      <c r="P74" t="s">
        <v>1</v>
      </c>
      <c r="Q74" t="s">
        <v>2</v>
      </c>
      <c r="R74" t="s">
        <v>3</v>
      </c>
      <c r="S74" t="s">
        <v>4</v>
      </c>
    </row>
    <row r="75" spans="1:19" x14ac:dyDescent="0.3">
      <c r="A75">
        <v>1</v>
      </c>
      <c r="B75">
        <v>0</v>
      </c>
      <c r="C75">
        <f>100*950574/2156408</f>
        <v>44.08136122663244</v>
      </c>
      <c r="D75">
        <f>100*264614/1404677</f>
        <v>18.838067399124498</v>
      </c>
      <c r="E75">
        <f>IF(COUNT(C75:D75)=2,D75-C75,"")</f>
        <v>-25.24329382750794</v>
      </c>
      <c r="H75">
        <v>1</v>
      </c>
      <c r="I75">
        <v>0</v>
      </c>
      <c r="J75">
        <f>100*1161020/2178231</f>
        <v>53.30105025591868</v>
      </c>
      <c r="K75">
        <f>100*409420/1418830</f>
        <v>28.856170224762657</v>
      </c>
      <c r="L75">
        <f>IF(COUNT(J75:K75)=2,K75-J75,"")</f>
        <v>-24.444880031156025</v>
      </c>
      <c r="O75">
        <v>1</v>
      </c>
      <c r="P75">
        <v>0</v>
      </c>
      <c r="Q75">
        <f>100*17855/657603</f>
        <v>2.7151640123296272</v>
      </c>
      <c r="R75">
        <f>100*52749/714778</f>
        <v>7.379773859855788</v>
      </c>
      <c r="S75">
        <f>IF(COUNT(Q75:R75)=2,R75-Q75,"")</f>
        <v>4.66460984752616</v>
      </c>
    </row>
    <row r="76" spans="1:19" x14ac:dyDescent="0.3">
      <c r="A76">
        <v>2</v>
      </c>
      <c r="B76">
        <v>1</v>
      </c>
      <c r="C76">
        <f>100*784284/1919387</f>
        <v>40.861170780045924</v>
      </c>
      <c r="D76">
        <f>100*532016/2016205</f>
        <v>26.38699933786495</v>
      </c>
      <c r="E76">
        <f>IF(COUNT(C76:D76)=2,D76-C76,"")</f>
        <v>-14.474171442180975</v>
      </c>
      <c r="H76">
        <v>2</v>
      </c>
      <c r="I76">
        <v>1</v>
      </c>
      <c r="J76">
        <f>100*920313/2115455</f>
        <v>43.50425794923551</v>
      </c>
      <c r="K76">
        <f>100*173932/1315183</f>
        <v>13.2249276336449</v>
      </c>
      <c r="L76">
        <f>IF(COUNT(J76:K76)=2,K76-J76,"")</f>
        <v>-30.27933031559061</v>
      </c>
      <c r="O76">
        <v>2</v>
      </c>
      <c r="P76">
        <v>1</v>
      </c>
      <c r="Q76">
        <f>100*506051/1366563</f>
        <v>37.03093088280599</v>
      </c>
      <c r="R76">
        <f>100*441257/1605303</f>
        <v>27.487458753892568</v>
      </c>
      <c r="S76">
        <f>IF(COUNT(Q76:R76)=2,R76-Q76,"")</f>
        <v>-9.543472128913422</v>
      </c>
    </row>
    <row r="77" spans="1:19" x14ac:dyDescent="0.3">
      <c r="A77">
        <v>3</v>
      </c>
      <c r="B77">
        <v>2</v>
      </c>
      <c r="C77">
        <f>100*45924/1162874</f>
        <v>3.949181080667381</v>
      </c>
      <c r="D77">
        <f>100*406723/2052223</f>
        <v>19.81865518513339</v>
      </c>
      <c r="E77">
        <f>IF(COUNT(C77:D77)=2,D77-C77,"")</f>
        <v>15.86947410446601</v>
      </c>
      <c r="H77">
        <v>3</v>
      </c>
      <c r="I77">
        <v>2</v>
      </c>
      <c r="J77">
        <f>100*702390/1654096</f>
        <v>42.46367804528879</v>
      </c>
      <c r="K77">
        <f>100*298816/1555190</f>
        <v>19.21411531709952</v>
      </c>
      <c r="L77">
        <f>IF(COUNT(J77:K77)=2,K77-J77,"")</f>
        <v>-23.249562728189268</v>
      </c>
      <c r="O77">
        <v>3</v>
      </c>
      <c r="P77">
        <v>2</v>
      </c>
      <c r="Q77">
        <f>100*580189/1478595</f>
        <v>39.239210196165956</v>
      </c>
      <c r="R77">
        <f>100*440932/1483925</f>
        <v>29.713900635139915</v>
      </c>
      <c r="S77">
        <f>IF(COUNT(Q77:R77)=2,R77-Q77,"")</f>
        <v>-9.525309561026042</v>
      </c>
    </row>
    <row r="78" spans="1:19" x14ac:dyDescent="0.3">
      <c r="A78">
        <v>4</v>
      </c>
      <c r="B78">
        <v>3</v>
      </c>
      <c r="C78">
        <f>100*987891/1871797</f>
        <v>52.77767834866708</v>
      </c>
      <c r="D78">
        <f>100*40685/821676</f>
        <v>4.951465054352324</v>
      </c>
      <c r="E78">
        <f>IF(COUNT(C78:D78)=2,D78-C78,"")</f>
        <v>-47.826213294314755</v>
      </c>
      <c r="H78">
        <v>4</v>
      </c>
      <c r="I78">
        <v>3</v>
      </c>
      <c r="J78">
        <f>100*827459/1741510</f>
        <v>47.51388163145776</v>
      </c>
      <c r="K78">
        <f>100*42931/731247</f>
        <v>5.870930068772932</v>
      </c>
      <c r="L78">
        <f>IF(COUNT(J78:K78)=2,K78-J78,"")</f>
        <v>-41.64295156268483</v>
      </c>
      <c r="O78">
        <v>4</v>
      </c>
      <c r="P78">
        <v>3</v>
      </c>
      <c r="Q78">
        <f>100*617738/1364388</f>
        <v>45.27583062882406</v>
      </c>
      <c r="R78">
        <f>100*384095/1485280</f>
        <v>25.860107185177206</v>
      </c>
      <c r="S78">
        <f>IF(COUNT(Q78:R78)=2,R78-Q78,"")</f>
        <v>-19.415723443646854</v>
      </c>
    </row>
    <row r="79" spans="1:19" x14ac:dyDescent="0.3">
      <c r="A79">
        <v>5</v>
      </c>
      <c r="B79">
        <v>4</v>
      </c>
      <c r="C79">
        <f>100*1067979/2182567</f>
        <v>48.932243546246234</v>
      </c>
      <c r="D79">
        <f>100*867413/2388127</f>
        <v>36.32189577857459</v>
      </c>
      <c r="E79">
        <f>IF(COUNT(C79:D79)=2,D79-C79,"")</f>
        <v>-12.610347767671641</v>
      </c>
      <c r="H79">
        <v>5</v>
      </c>
      <c r="I79">
        <v>4</v>
      </c>
      <c r="J79">
        <f>100*1035328/2211231</f>
        <v>46.82134069213031</v>
      </c>
      <c r="K79">
        <f>100*580171/2155265</f>
        <v>26.91877796929844</v>
      </c>
      <c r="L79">
        <f>IF(COUNT(J79:K79)=2,K79-J79,"")</f>
        <v>-19.902562722831874</v>
      </c>
      <c r="O79">
        <v>5</v>
      </c>
      <c r="P79">
        <v>4</v>
      </c>
      <c r="Q79">
        <f>100*829508/1701576</f>
        <v>48.749394678815406</v>
      </c>
      <c r="R79">
        <f>100*80266/841580</f>
        <v>9.537536538415837</v>
      </c>
      <c r="S79">
        <f>IF(COUNT(Q79:R79)=2,R79-Q79,"")</f>
        <v>-39.21185814039957</v>
      </c>
    </row>
    <row r="80" spans="1:19" x14ac:dyDescent="0.3">
      <c r="A80">
        <v>6</v>
      </c>
      <c r="B80">
        <v>5</v>
      </c>
      <c r="C80">
        <f>100*819594/1914103</f>
        <v>42.81869888924473</v>
      </c>
      <c r="D80">
        <f>100*394167/1976018</f>
        <v>19.947540963695676</v>
      </c>
      <c r="E80">
        <f>IF(COUNT(C80:D80)=2,D80-C80,"")</f>
        <v>-22.871157925549053</v>
      </c>
      <c r="H80">
        <v>6</v>
      </c>
      <c r="I80">
        <v>5</v>
      </c>
      <c r="J80">
        <f>100*627723/1597246</f>
        <v>39.30033319851795</v>
      </c>
      <c r="K80">
        <f>100*454679/1865378</f>
        <v>24.374630771886448</v>
      </c>
      <c r="L80">
        <f>IF(COUNT(J80:K80)=2,K80-J80,"")</f>
        <v>-14.9257024266315</v>
      </c>
      <c r="O80">
        <v>6</v>
      </c>
      <c r="P80">
        <v>5</v>
      </c>
      <c r="Q80">
        <f>100*561642/1450968</f>
        <v>38.70809004747176</v>
      </c>
      <c r="R80">
        <f>100*211719/1122576</f>
        <v>18.860103903878223</v>
      </c>
      <c r="S80">
        <f>IF(COUNT(Q80:R80)=2,R80-Q80,"")</f>
        <v>-19.847986143593534</v>
      </c>
    </row>
    <row r="81" spans="1:19" x14ac:dyDescent="0.3">
      <c r="A81">
        <v>7</v>
      </c>
      <c r="B81">
        <v>6</v>
      </c>
      <c r="C81">
        <f>100*6901/528040</f>
        <v>1.3069085675327627</v>
      </c>
      <c r="D81">
        <f>100*108991/870912</f>
        <v>12.514582414756026</v>
      </c>
      <c r="E81">
        <f>IF(COUNT(C81:D81)=2,D81-C81,"")</f>
        <v>11.207673847223264</v>
      </c>
      <c r="H81">
        <v>7</v>
      </c>
      <c r="I81">
        <v>6</v>
      </c>
      <c r="J81">
        <f>100*3904/710153</f>
        <v>0.5497406896823642</v>
      </c>
      <c r="K81">
        <f>100*24169/981891</f>
        <v>2.4614748480228457</v>
      </c>
      <c r="L81">
        <f>IF(COUNT(J81:K81)=2,K81-J81,"")</f>
        <v>1.9117341583404814</v>
      </c>
      <c r="O81">
        <v>7</v>
      </c>
      <c r="P81">
        <v>6</v>
      </c>
      <c r="Q81">
        <f>100*769806/1827455</f>
        <v>42.124484597431945</v>
      </c>
      <c r="R81">
        <f>100*370583/1521509</f>
        <v>24.356280508363735</v>
      </c>
      <c r="S81">
        <f>IF(COUNT(Q81:R81)=2,R81-Q81,"")</f>
        <v>-17.76820408906821</v>
      </c>
    </row>
    <row r="82" spans="1:19" x14ac:dyDescent="0.3">
      <c r="A82">
        <v>8</v>
      </c>
      <c r="B82">
        <v>7</v>
      </c>
      <c r="C82">
        <f>100*8971/665002</f>
        <v>1.3490184991924836</v>
      </c>
      <c r="D82">
        <f>100*11605/639820</f>
        <v>1.8137913788252946</v>
      </c>
      <c r="E82">
        <f>IF(COUNT(C82:D82)=2,D82-C82,"")</f>
        <v>0.464772879632811</v>
      </c>
      <c r="H82">
        <v>8</v>
      </c>
      <c r="I82">
        <v>7</v>
      </c>
      <c r="J82">
        <f>100*7411/619510</f>
        <v>1.1962680182725056</v>
      </c>
      <c r="K82">
        <f>100*431/501878</f>
        <v>0.08587744431913732</v>
      </c>
      <c r="L82">
        <f>IF(COUNT(J82:K82)=2,K82-J82,"")</f>
        <v>-1.1103905739533684</v>
      </c>
      <c r="O82">
        <v>8</v>
      </c>
      <c r="P82">
        <v>7</v>
      </c>
      <c r="Q82">
        <f>100*842526/1806467</f>
        <v>46.63943487481365</v>
      </c>
      <c r="R82">
        <f>100*340982/1459965</f>
        <v>23.355491398766407</v>
      </c>
      <c r="S82">
        <f>IF(COUNT(Q82:R82)=2,R82-Q82,"")</f>
        <v>-23.283943476047245</v>
      </c>
    </row>
    <row r="83" spans="1:19" x14ac:dyDescent="0.3">
      <c r="A83">
        <v>9</v>
      </c>
      <c r="B83">
        <v>8</v>
      </c>
      <c r="C83">
        <f>100*766923/1967808</f>
        <v>38.9734669236023</v>
      </c>
      <c r="D83">
        <f>100*346602/4603476</f>
        <v>7.529136678457757</v>
      </c>
      <c r="E83">
        <f>IF(COUNT(C83:D83)=2,D83-C83,"")</f>
        <v>-31.444330245144545</v>
      </c>
      <c r="H83">
        <v>9</v>
      </c>
      <c r="I83">
        <v>8</v>
      </c>
      <c r="J83">
        <f>100*986121/2196978</f>
        <v>44.88533795058485</v>
      </c>
      <c r="K83">
        <f>100*89740/556724</f>
        <v>16.119297892672133</v>
      </c>
      <c r="L83">
        <f>IF(COUNT(J83:K83)=2,K83-J83,"")</f>
        <v>-28.766040057912715</v>
      </c>
      <c r="O83">
        <v>9</v>
      </c>
      <c r="P83">
        <v>8</v>
      </c>
      <c r="Q83">
        <f>100*418704/1300185</f>
        <v>32.20341720601299</v>
      </c>
      <c r="R83">
        <f>100*49094/455517</f>
        <v>10.777643864005075</v>
      </c>
      <c r="S83">
        <f>IF(COUNT(Q83:R83)=2,R83-Q83,"")</f>
        <v>-21.42577334200792</v>
      </c>
    </row>
    <row r="84" spans="1:19" x14ac:dyDescent="0.3">
      <c r="A84">
        <v>10</v>
      </c>
      <c r="B84">
        <v>9</v>
      </c>
      <c r="C84">
        <f>100*193316/1207283</f>
        <v>16.012484231120624</v>
      </c>
      <c r="D84">
        <f>100*92684/1208499</f>
        <v>7.669348505873815</v>
      </c>
      <c r="E84">
        <f>IF(COUNT(C84:D84)=2,D84-C84,"")</f>
        <v>-8.343135725246809</v>
      </c>
      <c r="H84">
        <v>10</v>
      </c>
      <c r="I84">
        <v>9</v>
      </c>
      <c r="J84">
        <f>100*1094395/2180634</f>
        <v>50.187009832920154</v>
      </c>
      <c r="K84">
        <f>100*151049/1234454</f>
        <v>12.236097902392475</v>
      </c>
      <c r="L84">
        <f>IF(COUNT(J84:K84)=2,K84-J84,"")</f>
        <v>-37.95091193052768</v>
      </c>
      <c r="O84">
        <v>10</v>
      </c>
      <c r="P84">
        <v>9</v>
      </c>
      <c r="Q84">
        <f>100*10580/624813</f>
        <v>1.6933066373458938</v>
      </c>
      <c r="R84">
        <f>100*6070/797653</f>
        <v>0.7609825325047358</v>
      </c>
      <c r="S84">
        <f>IF(COUNT(Q84:R84)=2,R84-Q84,"")</f>
        <v>-0.932324104841158</v>
      </c>
    </row>
    <row r="85" spans="1:19" x14ac:dyDescent="0.3">
      <c r="A85">
        <v>11</v>
      </c>
      <c r="B85">
        <v>10</v>
      </c>
      <c r="C85">
        <f>100*1000200/2058009</f>
        <v>48.60037055231537</v>
      </c>
      <c r="D85">
        <f>100*50043/1104563</f>
        <v>4.530570008229499</v>
      </c>
      <c r="E85">
        <f>IF(COUNT(C85:D85)=2,D85-C85,"")</f>
        <v>-44.06980054408587</v>
      </c>
      <c r="H85">
        <v>11</v>
      </c>
      <c r="I85">
        <v>10</v>
      </c>
      <c r="J85">
        <f>100*1248271/2251399</f>
        <v>55.444237116566185</v>
      </c>
      <c r="K85">
        <f>100*383268/1629226</f>
        <v>23.524544783842142</v>
      </c>
      <c r="L85">
        <f>IF(COUNT(J85:K85)=2,K85-J85,"")</f>
        <v>-31.919692332724043</v>
      </c>
      <c r="O85">
        <v>11</v>
      </c>
      <c r="P85">
        <v>10</v>
      </c>
      <c r="Q85">
        <f>100*858874/1796310</f>
        <v>47.8132393629162</v>
      </c>
      <c r="R85">
        <f>100*571010/1899465</f>
        <v>30.061622614788902</v>
      </c>
      <c r="S85">
        <f>IF(COUNT(Q85:R85)=2,R85-Q85,"")</f>
        <v>-17.751616748127297</v>
      </c>
    </row>
    <row r="86" spans="1:19" x14ac:dyDescent="0.3">
      <c r="A86">
        <v>12</v>
      </c>
      <c r="B86">
        <v>11</v>
      </c>
      <c r="C86">
        <f>100*1083380/2227336</f>
        <v>48.640169242539066</v>
      </c>
      <c r="D86">
        <f>100*249599/1592212</f>
        <v>15.676241606017289</v>
      </c>
      <c r="E86">
        <f>IF(COUNT(C86:D86)=2,D86-C86,"")</f>
        <v>-32.963927636521774</v>
      </c>
      <c r="H86">
        <v>12</v>
      </c>
      <c r="I86">
        <v>11</v>
      </c>
      <c r="J86">
        <f>100*847034/1777114</f>
        <v>47.66345884394586</v>
      </c>
      <c r="K86">
        <f>100*14070/859991</f>
        <v>1.6360636332240686</v>
      </c>
      <c r="L86">
        <f>IF(COUNT(J86:K86)=2,K86-J86,"")</f>
        <v>-46.02739521072179</v>
      </c>
      <c r="O86">
        <v>12</v>
      </c>
      <c r="P86">
        <v>11</v>
      </c>
      <c r="Q86">
        <f>100*739588/1710894</f>
        <v>43.22816024838476</v>
      </c>
      <c r="R86">
        <f>100*732106/2131525</f>
        <v>34.34658284561523</v>
      </c>
      <c r="S86">
        <f>IF(COUNT(Q86:R86)=2,R86-Q86,"")</f>
        <v>-8.88157740276953</v>
      </c>
    </row>
    <row r="87" spans="1:19" x14ac:dyDescent="0.3">
      <c r="A87">
        <v>13</v>
      </c>
      <c r="B87">
        <v>12</v>
      </c>
      <c r="C87">
        <f>100*7212/818878</f>
        <v>0.8807172741238621</v>
      </c>
      <c r="D87">
        <f>100*11624/748608</f>
        <v>1.5527485680088913</v>
      </c>
      <c r="E87">
        <f>IF(COUNT(C87:D87)=2,D87-C87,"")</f>
        <v>0.6720312938850291</v>
      </c>
      <c r="H87">
        <v>13</v>
      </c>
      <c r="I87">
        <v>12</v>
      </c>
      <c r="J87">
        <f>100*767025/1720041</f>
        <v>44.593413761648705</v>
      </c>
      <c r="K87">
        <f>100*13105/933389</f>
        <v>1.404023402889899</v>
      </c>
      <c r="L87">
        <f>IF(COUNT(J87:K87)=2,K87-J87,"")</f>
        <v>-43.18939035875881</v>
      </c>
      <c r="O87">
        <v>13</v>
      </c>
      <c r="P87">
        <v>12</v>
      </c>
      <c r="Q87">
        <f>100*371461/1317955</f>
        <v>28.18464970351795</v>
      </c>
      <c r="R87">
        <f>100*187955/1074270</f>
        <v>17.49606709672615</v>
      </c>
      <c r="S87">
        <f>IF(COUNT(Q87:R87)=2,R87-Q87,"")</f>
        <v>-10.688582606791801</v>
      </c>
    </row>
    <row r="88" spans="1:19" x14ac:dyDescent="0.3">
      <c r="A88">
        <v>14</v>
      </c>
      <c r="B88">
        <v>13</v>
      </c>
      <c r="C88">
        <f>100*92689/774868</f>
        <v>11.961908350841691</v>
      </c>
      <c r="D88">
        <f>100*117797/1078206</f>
        <v>10.925277729858673</v>
      </c>
      <c r="E88">
        <f>IF(COUNT(C88:D88)=2,D88-C88,"")</f>
        <v>-1.0366306209830185</v>
      </c>
      <c r="H88">
        <v>14</v>
      </c>
      <c r="I88">
        <v>13</v>
      </c>
      <c r="J88">
        <f>100*438708/1328922</f>
        <v>33.01232126490494</v>
      </c>
      <c r="K88">
        <f>100*55587/762224</f>
        <v>7.2927380927391425</v>
      </c>
      <c r="L88">
        <f>IF(COUNT(J88:K88)=2,K88-J88,"")</f>
        <v>-25.719583172165798</v>
      </c>
      <c r="O88">
        <v>14</v>
      </c>
      <c r="P88">
        <v>13</v>
      </c>
      <c r="Q88">
        <f>100*183244/894097</f>
        <v>20.494868006491465</v>
      </c>
      <c r="R88">
        <f>100*19337/485879</f>
        <v>3.97979743928015</v>
      </c>
      <c r="S88">
        <f>IF(COUNT(Q88:R88)=2,R88-Q88,"")</f>
        <v>-16.515070567211314</v>
      </c>
    </row>
    <row r="89" spans="1:19" x14ac:dyDescent="0.3">
      <c r="A89">
        <v>15</v>
      </c>
      <c r="B89">
        <v>14</v>
      </c>
      <c r="C89">
        <f>100*410087/1559215</f>
        <v>26.30086293423293</v>
      </c>
      <c r="D89">
        <f>100*171825/1320394</f>
        <v>13.013161223089472</v>
      </c>
      <c r="E89">
        <f>IF(COUNT(C89:D89)=2,D89-C89,"")</f>
        <v>-13.287701711143459</v>
      </c>
      <c r="H89">
        <v>15</v>
      </c>
      <c r="I89">
        <v>14</v>
      </c>
      <c r="J89">
        <f>100*378843/1975907</f>
        <v>19.173118977765654</v>
      </c>
      <c r="K89">
        <f>100*9594/89281</f>
        <v>10.745847380741703</v>
      </c>
      <c r="L89">
        <f>IF(COUNT(J89:K89)=2,K89-J89,"")</f>
        <v>-8.427271597023951</v>
      </c>
      <c r="O89">
        <v>15</v>
      </c>
      <c r="P89">
        <v>14</v>
      </c>
      <c r="Q89">
        <f>100*672160/1590176</f>
        <v>42.269534944559595</v>
      </c>
      <c r="R89">
        <f>100*197142/1055955</f>
        <v>18.6695455772263</v>
      </c>
      <c r="S89">
        <f>IF(COUNT(Q89:R89)=2,R89-Q89,"")</f>
        <v>-23.599989367333293</v>
      </c>
    </row>
    <row r="90" spans="1:19" x14ac:dyDescent="0.3">
      <c r="A90">
        <v>16</v>
      </c>
      <c r="B90">
        <v>15</v>
      </c>
      <c r="C90">
        <f>100*1111193/2179314</f>
        <v>50.988200874220055</v>
      </c>
      <c r="D90">
        <f>100*88294/1183091</f>
        <v>7.462993125634461</v>
      </c>
      <c r="E90">
        <f>IF(COUNT(C90:D90)=2,D90-C90,"")</f>
        <v>-43.52520774858559</v>
      </c>
      <c r="H90">
        <v>16</v>
      </c>
      <c r="I90">
        <v>15</v>
      </c>
      <c r="J90">
        <f>100*769550/1774401</f>
        <v>43.36956527864896</v>
      </c>
      <c r="K90">
        <f>100*125118/1494680</f>
        <v>8.370888752107474</v>
      </c>
      <c r="L90">
        <f>IF(COUNT(J90:K90)=2,K90-J90,"")</f>
        <v>-34.99867652654149</v>
      </c>
      <c r="O90">
        <v>16</v>
      </c>
      <c r="P90">
        <v>15</v>
      </c>
      <c r="Q90">
        <f>100*705277/1721980</f>
        <v>40.95732819196506</v>
      </c>
      <c r="R90">
        <f>100*384948/1757607</f>
        <v>21.901824469292624</v>
      </c>
      <c r="S90">
        <f>IF(COUNT(Q90:R90)=2,R90-Q90,"")</f>
        <v>-19.055503722672437</v>
      </c>
    </row>
    <row r="91" spans="1:19" x14ac:dyDescent="0.3">
      <c r="A91">
        <v>17</v>
      </c>
      <c r="B91">
        <v>16</v>
      </c>
      <c r="C91">
        <f>100*743599/1773793</f>
        <v>41.921407965867495</v>
      </c>
      <c r="D91">
        <f>100*652802/2136076</f>
        <v>30.560804016336498</v>
      </c>
      <c r="E91">
        <f>IF(COUNT(C91:D91)=2,D91-C91,"")</f>
        <v>-11.360603949530997</v>
      </c>
      <c r="H91">
        <v>17</v>
      </c>
      <c r="I91">
        <v>16</v>
      </c>
      <c r="J91">
        <f>100*3265/88900</f>
        <v>3.6726659167604048</v>
      </c>
      <c r="K91">
        <f>100*750160/2351786</f>
        <v>31.897460058015483</v>
      </c>
      <c r="L91">
        <f>IF(COUNT(J91:K91)=2,K91-J91,"")</f>
        <v>28.224794141255078</v>
      </c>
      <c r="O91">
        <v>17</v>
      </c>
      <c r="P91">
        <v>16</v>
      </c>
      <c r="Q91">
        <f>100*16305/441767</f>
        <v>3.690859661314675</v>
      </c>
      <c r="R91">
        <f>100*3031/459948</f>
        <v>0.6589875377216555</v>
      </c>
      <c r="S91">
        <f>IF(COUNT(Q91:R91)=2,R91-Q91,"")</f>
        <v>-3.0318721235930197</v>
      </c>
    </row>
    <row r="92" spans="1:19" x14ac:dyDescent="0.3">
      <c r="A92">
        <v>18</v>
      </c>
      <c r="B92">
        <v>17</v>
      </c>
      <c r="C92">
        <f>100*929466/2060823</f>
        <v>45.10168995590597</v>
      </c>
      <c r="D92">
        <f>100*100046/1412794</f>
        <v>7.081428715014361</v>
      </c>
      <c r="E92">
        <f>IF(COUNT(C92:D92)=2,D92-C92,"")</f>
        <v>-38.02026124089161</v>
      </c>
      <c r="H92">
        <v>18</v>
      </c>
      <c r="I92">
        <v>17</v>
      </c>
      <c r="K92">
        <f>100*51221/835267</f>
        <v>6.132290632815614</v>
      </c>
      <c r="L92" t="str">
        <f>IF(COUNT(J92:K92)=2,K92-J92,"")</f>
        <v/>
      </c>
      <c r="O92">
        <v>18</v>
      </c>
      <c r="P92">
        <v>17</v>
      </c>
      <c r="Q92">
        <f>100*156937/709883</f>
        <v>22.10744587488361</v>
      </c>
      <c r="R92">
        <f>100*5658/527509</f>
        <v>1.072588334985754</v>
      </c>
      <c r="S92">
        <f>IF(COUNT(Q92:R92)=2,R92-Q92,"")</f>
        <v>-21.034857539897857</v>
      </c>
    </row>
    <row r="93" spans="1:19" x14ac:dyDescent="0.3">
      <c r="A93">
        <v>19</v>
      </c>
      <c r="B93">
        <v>18</v>
      </c>
      <c r="C93">
        <f>100*675293/1785174</f>
        <v>37.82785319526276</v>
      </c>
      <c r="D93">
        <f>100*54902/1096246</f>
        <v>5.008182469993049</v>
      </c>
      <c r="E93">
        <f>IF(COUNT(C93:D93)=2,D93-C93,"")</f>
        <v>-32.81967072526972</v>
      </c>
      <c r="H93">
        <v>19</v>
      </c>
      <c r="I93">
        <v>18</v>
      </c>
      <c r="J93">
        <f>100*453701/1228767</f>
        <v>36.9232734928591</v>
      </c>
      <c r="K93">
        <f>100*32563/853700</f>
        <v>3.8143375893170903</v>
      </c>
      <c r="L93">
        <f>IF(COUNT(J93:K93)=2,K93-J93,"")</f>
        <v>-33.10893590354201</v>
      </c>
      <c r="O93">
        <v>19</v>
      </c>
      <c r="P93">
        <v>18</v>
      </c>
      <c r="Q93">
        <f>100*736264/1588962</f>
        <v>46.33616159480214</v>
      </c>
      <c r="R93">
        <f>100*565905/1749980</f>
        <v>32.337798146264525</v>
      </c>
      <c r="S93">
        <f>IF(COUNT(Q93:R93)=2,R93-Q93,"")</f>
        <v>-13.998363448537617</v>
      </c>
    </row>
    <row r="94" spans="1:19" x14ac:dyDescent="0.3">
      <c r="A94">
        <v>20</v>
      </c>
      <c r="B94">
        <v>19</v>
      </c>
      <c r="C94">
        <f>100*1003210/2172217</f>
        <v>46.18369159250664</v>
      </c>
      <c r="D94">
        <f>100*437818/1495703</f>
        <v>29.27172038833913</v>
      </c>
      <c r="E94">
        <f>IF(COUNT(C94:D94)=2,D94-C94,"")</f>
        <v>-16.91197120416751</v>
      </c>
      <c r="H94">
        <v>20</v>
      </c>
      <c r="I94">
        <v>19</v>
      </c>
      <c r="J94">
        <f>100*896581/2145144</f>
        <v>41.79584214393066</v>
      </c>
      <c r="K94">
        <f>100*137986/1199032</f>
        <v>11.508116547348195</v>
      </c>
      <c r="L94">
        <f>IF(COUNT(J94:K94)=2,K94-J94,"")</f>
        <v>-30.28772559658247</v>
      </c>
      <c r="O94">
        <v>20</v>
      </c>
      <c r="P94">
        <v>19</v>
      </c>
      <c r="Q94">
        <f>100*596231/1430518</f>
        <v>41.67937767997327</v>
      </c>
      <c r="R94">
        <f>100*339039/1365864</f>
        <v>24.8223102739365</v>
      </c>
      <c r="S94">
        <f>IF(COUNT(Q94:R94)=2,R94-Q94,"")</f>
        <v>-16.857067406036773</v>
      </c>
    </row>
    <row r="95" spans="1:19" x14ac:dyDescent="0.3">
      <c r="A95">
        <v>21</v>
      </c>
      <c r="B95">
        <v>20</v>
      </c>
      <c r="C95">
        <f>100*814501/1741903</f>
        <v>46.759262714399135</v>
      </c>
      <c r="D95">
        <f>100*627320/2100219</f>
        <v>29.869266014639425</v>
      </c>
      <c r="E95">
        <f>IF(COUNT(C95:D95)=2,D95-C95,"")</f>
        <v>-16.88999669975971</v>
      </c>
      <c r="H95">
        <v>21</v>
      </c>
      <c r="I95">
        <v>20</v>
      </c>
      <c r="J95">
        <f>100*923720/1857736</f>
        <v>49.722888505148205</v>
      </c>
      <c r="K95">
        <f>100*61339/813400</f>
        <v>7.541062208015736</v>
      </c>
      <c r="L95">
        <f>IF(COUNT(J95:K95)=2,K95-J95,"")</f>
        <v>-42.18182629713247</v>
      </c>
      <c r="O95">
        <v>21</v>
      </c>
      <c r="P95">
        <v>20</v>
      </c>
      <c r="Q95">
        <f>100*808426/1622789</f>
        <v>49.817074185245275</v>
      </c>
      <c r="R95">
        <f>100*205978/1071577</f>
        <v>19.221950452463986</v>
      </c>
      <c r="S95">
        <f>IF(COUNT(Q95:R95)=2,R95-Q95,"")</f>
        <v>-30.59512373278129</v>
      </c>
    </row>
    <row r="96" spans="1:19" x14ac:dyDescent="0.3">
      <c r="A96">
        <v>22</v>
      </c>
      <c r="B96">
        <v>21</v>
      </c>
      <c r="C96">
        <f>100*599877/1809045</f>
        <v>33.15987164498396</v>
      </c>
      <c r="D96">
        <f>100*324743/1593517</f>
        <v>20.379010703996254</v>
      </c>
      <c r="E96">
        <f>IF(COUNT(C96:D96)=2,D96-C96,"")</f>
        <v>-12.780860940987704</v>
      </c>
      <c r="H96">
        <v>22</v>
      </c>
      <c r="I96">
        <v>21</v>
      </c>
      <c r="J96">
        <f>100*1034872/2267546</f>
        <v>45.63841262757183</v>
      </c>
      <c r="K96">
        <f>100*451854/1926894</f>
        <v>23.449862836253576</v>
      </c>
      <c r="L96">
        <f>IF(COUNT(J96:K96)=2,K96-J96,"")</f>
        <v>-22.188549791318255</v>
      </c>
      <c r="O96">
        <v>22</v>
      </c>
      <c r="P96">
        <v>21</v>
      </c>
      <c r="Q96">
        <f>100*248293/932917</f>
        <v>26.614693482914344</v>
      </c>
      <c r="R96">
        <f>100*498623/1883088</f>
        <v>26.479006822835682</v>
      </c>
      <c r="S96">
        <f>IF(COUNT(Q96:R96)=2,R96-Q96,"")</f>
        <v>-0.1356866600786617</v>
      </c>
    </row>
    <row r="97" spans="1:19" x14ac:dyDescent="0.3">
      <c r="A97">
        <v>23</v>
      </c>
      <c r="B97">
        <v>22</v>
      </c>
      <c r="C97">
        <f>100*649730/1525642</f>
        <v>42.58731733919229</v>
      </c>
      <c r="D97">
        <f>100*278838/2314738</f>
        <v>12.046201341145304</v>
      </c>
      <c r="E97">
        <f>IF(COUNT(C97:D97)=2,D97-C97,"")</f>
        <v>-30.541115998046983</v>
      </c>
      <c r="H97">
        <v>23</v>
      </c>
      <c r="I97">
        <v>22</v>
      </c>
      <c r="J97">
        <f>100*954501/1934417</f>
        <v>49.34308373013678</v>
      </c>
      <c r="K97">
        <f>100*169528/1154144</f>
        <v>14.688635040341586</v>
      </c>
      <c r="L97">
        <f>IF(COUNT(J97:K97)=2,K97-J97,"")</f>
        <v>-34.654448689795196</v>
      </c>
      <c r="O97">
        <v>23</v>
      </c>
      <c r="P97">
        <v>22</v>
      </c>
      <c r="Q97">
        <f>100*491/406810</f>
        <v>0.12069516481895726</v>
      </c>
      <c r="R97">
        <f>100*4848/678407</f>
        <v>0.7146152678259511</v>
      </c>
      <c r="S97">
        <f>IF(COUNT(Q97:R97)=2,R97-Q97,"")</f>
        <v>0.5939201030069938</v>
      </c>
    </row>
    <row r="98" spans="1:19" x14ac:dyDescent="0.3">
      <c r="A98">
        <v>24</v>
      </c>
      <c r="B98">
        <v>23</v>
      </c>
      <c r="C98">
        <f>100*540481/1325139</f>
        <v>40.786740108018854</v>
      </c>
      <c r="D98">
        <f>100*37040/822564</f>
        <v>4.502993080173701</v>
      </c>
      <c r="E98">
        <f>IF(COUNT(C98:D98)=2,D98-C98,"")</f>
        <v>-36.28374702784515</v>
      </c>
      <c r="H98">
        <v>24</v>
      </c>
      <c r="I98">
        <v>23</v>
      </c>
      <c r="J98">
        <f>100*677655/1567258</f>
        <v>43.238254326983814</v>
      </c>
      <c r="K98">
        <f>100*227677/1280213</f>
        <v>17.784306205295525</v>
      </c>
      <c r="L98">
        <f>IF(COUNT(J98:K98)=2,K98-J98,"")</f>
        <v>-25.45394812168829</v>
      </c>
      <c r="O98">
        <v>24</v>
      </c>
      <c r="P98">
        <v>23</v>
      </c>
      <c r="Q98">
        <f>100*462555/1165901</f>
        <v>39.67360865116335</v>
      </c>
      <c r="R98">
        <f>100*99190/1039717</f>
        <v>9.540096006894183</v>
      </c>
      <c r="S98">
        <f>IF(COUNT(Q98:R98)=2,R98-Q98,"")</f>
        <v>-30.133512644269167</v>
      </c>
    </row>
    <row r="99" spans="1:19" x14ac:dyDescent="0.3">
      <c r="A99">
        <v>25</v>
      </c>
      <c r="B99">
        <v>24</v>
      </c>
      <c r="C99">
        <f>100*628764/1681845</f>
        <v>37.3853714224557</v>
      </c>
      <c r="D99">
        <f>100*20055/938659</f>
        <v>2.136558643767332</v>
      </c>
      <c r="E99">
        <f>IF(COUNT(C99:D99)=2,D99-C99,"")</f>
        <v>-35.24881277868837</v>
      </c>
      <c r="H99">
        <v>25</v>
      </c>
      <c r="I99">
        <v>24</v>
      </c>
      <c r="J99">
        <f>100*1059343/2107573</f>
        <v>50.26364448586123</v>
      </c>
      <c r="K99">
        <f>100*60952/1028509</f>
        <v>5.926248579254047</v>
      </c>
      <c r="L99">
        <f>IF(COUNT(J99:K99)=2,K99-J99,"")</f>
        <v>-44.337395906607185</v>
      </c>
      <c r="O99">
        <v>25</v>
      </c>
      <c r="P99">
        <v>24</v>
      </c>
      <c r="Q99">
        <f>100*667801/1611354</f>
        <v>41.4434692811139</v>
      </c>
      <c r="R99">
        <f>100*519062/1613223</f>
        <v>32.175464892330446</v>
      </c>
      <c r="S99">
        <f>IF(COUNT(Q99:R99)=2,R99-Q99,"")</f>
        <v>-9.268004388783453</v>
      </c>
    </row>
    <row r="100" spans="1:19" x14ac:dyDescent="0.3">
      <c r="A100">
        <v>26</v>
      </c>
      <c r="B100">
        <v>25</v>
      </c>
      <c r="C100">
        <f>100*1206228/2241810</f>
        <v>53.805987126473696</v>
      </c>
      <c r="D100">
        <f>100*600929/2079195</f>
        <v>28.90200293863731</v>
      </c>
      <c r="E100">
        <f>IF(COUNT(C100:D100)=2,D100-C100,"")</f>
        <v>-24.903984187836386</v>
      </c>
      <c r="H100">
        <v>26</v>
      </c>
      <c r="I100">
        <v>25</v>
      </c>
      <c r="J100">
        <f>100*50542/865957</f>
        <v>5.836548466032378</v>
      </c>
      <c r="K100">
        <f>100*129276/1348194</f>
        <v>9.58882772063961</v>
      </c>
      <c r="L100">
        <f>IF(COUNT(J100:K100)=2,K100-J100,"")</f>
        <v>3.7522792546072328</v>
      </c>
      <c r="O100">
        <v>26</v>
      </c>
      <c r="P100">
        <v>25</v>
      </c>
      <c r="Q100">
        <f>100*825215/1789490</f>
        <v>46.114535426294644</v>
      </c>
      <c r="R100">
        <f>100*368053/1465772</f>
        <v>25.109839729507726</v>
      </c>
      <c r="S100">
        <f>IF(COUNT(Q100:R100)=2,R100-Q100,"")</f>
        <v>-21.004695696786918</v>
      </c>
    </row>
    <row r="101" spans="1:19" x14ac:dyDescent="0.3">
      <c r="A101">
        <v>27</v>
      </c>
      <c r="B101">
        <v>26</v>
      </c>
      <c r="C101">
        <f>100*312477/1386036</f>
        <v>22.54465251984797</v>
      </c>
      <c r="D101">
        <f>100*184125/1179886</f>
        <v>15.605321192047366</v>
      </c>
      <c r="E101">
        <f>IF(COUNT(C101:D101)=2,D101-C101,"")</f>
        <v>-6.939331327800602</v>
      </c>
      <c r="H101">
        <v>27</v>
      </c>
      <c r="I101">
        <v>26</v>
      </c>
      <c r="J101">
        <f>100*307157/1210949</f>
        <v>25.36498234029674</v>
      </c>
      <c r="K101">
        <f>100*146651/1150363</f>
        <v>12.74823686088652</v>
      </c>
      <c r="L101">
        <f>IF(COUNT(J101:K101)=2,K101-J101,"")</f>
        <v>-12.616745479410222</v>
      </c>
      <c r="O101">
        <v>27</v>
      </c>
      <c r="P101">
        <v>26</v>
      </c>
      <c r="Q101">
        <f>100*889999/1746112</f>
        <v>50.9703272184144</v>
      </c>
      <c r="R101">
        <f>100*733790/2088053</f>
        <v>35.142307211550666</v>
      </c>
      <c r="S101">
        <f>IF(COUNT(Q101:R101)=2,R101-Q101,"")</f>
        <v>-15.828020006863731</v>
      </c>
    </row>
    <row r="102" spans="1:19" x14ac:dyDescent="0.3">
      <c r="A102">
        <v>28</v>
      </c>
      <c r="B102">
        <v>27</v>
      </c>
      <c r="C102">
        <f>100*803250/1998379</f>
        <v>40.19507811080881</v>
      </c>
      <c r="D102">
        <f>100*309612/1356038</f>
        <v>22.832103525122452</v>
      </c>
      <c r="E102">
        <f>IF(COUNT(C102:D102)=2,D102-C102,"")</f>
        <v>-17.362974585686356</v>
      </c>
      <c r="H102">
        <v>28</v>
      </c>
      <c r="I102">
        <v>27</v>
      </c>
      <c r="J102">
        <f>100*499214/1645125</f>
        <v>30.345049768254693</v>
      </c>
      <c r="K102">
        <f>100*560058/2061136</f>
        <v>27.17229721862119</v>
      </c>
      <c r="L102">
        <f>IF(COUNT(J102:K102)=2,K102-J102,"")</f>
        <v>-3.172752549633504</v>
      </c>
      <c r="O102">
        <v>28</v>
      </c>
      <c r="P102">
        <v>27</v>
      </c>
      <c r="Q102">
        <f>100*1300/408366</f>
        <v>0.3183418795884084</v>
      </c>
      <c r="R102">
        <f>100*2279/409066</f>
        <v>0.5571228114778545</v>
      </c>
      <c r="S102">
        <f>IF(COUNT(Q102:R102)=2,R102-Q102,"")</f>
        <v>0.23878093188944605</v>
      </c>
    </row>
    <row r="103" spans="1:19" x14ac:dyDescent="0.3">
      <c r="A103">
        <v>29</v>
      </c>
      <c r="B103">
        <v>28</v>
      </c>
      <c r="C103">
        <f>100*764531/1746891</f>
        <v>43.76523778529971</v>
      </c>
      <c r="D103">
        <f>100*801330/2396931</f>
        <v>33.43150053130441</v>
      </c>
      <c r="E103">
        <f>IF(COUNT(C103:D103)=2,D103-C103,"")</f>
        <v>-10.333737253995302</v>
      </c>
      <c r="H103">
        <v>29</v>
      </c>
      <c r="I103">
        <v>28</v>
      </c>
      <c r="J103">
        <f>100*1050807/2150575</f>
        <v>48.86167652837032</v>
      </c>
      <c r="K103">
        <f>100*601609/2155162</f>
        <v>27.914792484277285</v>
      </c>
      <c r="L103">
        <f>IF(COUNT(J103:K103)=2,K103-J103,"")</f>
        <v>-20.946884044093032</v>
      </c>
      <c r="O103">
        <v>29</v>
      </c>
      <c r="P103">
        <v>28</v>
      </c>
      <c r="Q103">
        <f>100*827171/1762089</f>
        <v>46.94263456613145</v>
      </c>
      <c r="R103">
        <f>100*467793/1547339</f>
        <v>30.232095229293645</v>
      </c>
      <c r="S103">
        <f>IF(COUNT(Q103:R103)=2,R103-Q103,"")</f>
        <v>-16.710539336837808</v>
      </c>
    </row>
    <row r="104" spans="1:19" x14ac:dyDescent="0.3">
      <c r="A104">
        <v>30</v>
      </c>
      <c r="B104">
        <v>29</v>
      </c>
      <c r="C104">
        <f>100*7364/541662</f>
        <v>1.3595194050902593</v>
      </c>
      <c r="D104">
        <f>100*9288/552364</f>
        <v>1.6814998805135744</v>
      </c>
      <c r="E104">
        <f>IF(COUNT(C104:D104)=2,D104-C104,"")</f>
        <v>0.3219804754233151</v>
      </c>
      <c r="H104">
        <v>30</v>
      </c>
      <c r="I104">
        <v>29</v>
      </c>
      <c r="J104">
        <f>100*410139/1282634</f>
        <v>31.976308128429466</v>
      </c>
      <c r="K104">
        <f>100*25199/705670</f>
        <v>3.570932588887157</v>
      </c>
      <c r="L104">
        <f>IF(COUNT(J104:K104)=2,K104-J104,"")</f>
        <v>-28.40537553954231</v>
      </c>
      <c r="O104">
        <v>30</v>
      </c>
      <c r="P104">
        <v>29</v>
      </c>
      <c r="Q104">
        <f>100*806811/1713643</f>
        <v>47.08162668653856</v>
      </c>
      <c r="R104">
        <f>100*545640/1804296</f>
        <v>30.241157770121976</v>
      </c>
      <c r="S104">
        <f>IF(COUNT(Q104:R104)=2,R104-Q104,"")</f>
        <v>-16.840468916416587</v>
      </c>
    </row>
    <row r="105" spans="1:19" x14ac:dyDescent="0.3">
      <c r="A105">
        <v>31</v>
      </c>
      <c r="B105">
        <v>30</v>
      </c>
      <c r="C105">
        <f>100*859640/1902385</f>
        <v>45.187488337008546</v>
      </c>
      <c r="D105">
        <f>100*644929/1938230</f>
        <v>33.27412123432204</v>
      </c>
      <c r="E105">
        <f>IF(COUNT(C105:D105)=2,D105-C105,"")</f>
        <v>-11.913367102686507</v>
      </c>
      <c r="H105">
        <v>31</v>
      </c>
      <c r="I105">
        <v>30</v>
      </c>
      <c r="J105">
        <f>100*349588/1410455</f>
        <v>24.785477026916848</v>
      </c>
      <c r="K105">
        <f>100*533979/1838905</f>
        <v>29.037878520097557</v>
      </c>
      <c r="L105">
        <f>IF(COUNT(J105:K105)=2,K105-J105,"")</f>
        <v>4.2524014931807095</v>
      </c>
      <c r="O105">
        <v>31</v>
      </c>
      <c r="P105">
        <v>30</v>
      </c>
      <c r="Q105">
        <f>100*267010/983366</f>
        <v>27.15265730155405</v>
      </c>
      <c r="R105">
        <f>100*14830/783402</f>
        <v>1.8930255475477469</v>
      </c>
      <c r="S105">
        <f>IF(COUNT(Q105:R105)=2,R105-Q105,"")</f>
        <v>-25.259631754006303</v>
      </c>
    </row>
    <row r="106" spans="1:19" x14ac:dyDescent="0.3">
      <c r="A106" t="s">
        <v>5</v>
      </c>
      <c r="C106">
        <f>IF(COUNT(C75:C105)&gt;0,AVERAGE(C75:C105),"")</f>
        <v>34.096955178849896</v>
      </c>
      <c r="D106">
        <f>IF(COUNT(D75:D105)&gt;0,AVERAGE(D75:D105),"")</f>
        <v>15.662425472027383</v>
      </c>
      <c r="E106">
        <f>IF(COUNT(E75:E105)&gt;0,AVERAGE(E75:E105),"")</f>
        <v>-18.434529706822516</v>
      </c>
      <c r="H106" t="s">
        <v>5</v>
      </c>
      <c r="J106">
        <f>IF(COUNT(J75:J105)&gt;0,AVERAGE(J75:J105),"")</f>
        <v>36.69157069983473</v>
      </c>
      <c r="K106">
        <f>IF(COUNT(K75:K105)&gt;0,AVERAGE(K75:K105),"")</f>
        <v>14.035861006725224</v>
      </c>
      <c r="L106">
        <f>IF(COUNT(L75:L105)&gt;0,AVERAGE(L75:L105),"")</f>
        <v>-22.39225734731251</v>
      </c>
      <c r="O106" t="s">
        <v>5</v>
      </c>
      <c r="Q106">
        <f>IF(COUNT(Q75:Q105)&gt;0,AVERAGE(Q75:Q105),"")</f>
        <v>33.786792028213014</v>
      </c>
      <c r="R106">
        <f>IF(COUNT(R75:R105)&gt;0,AVERAGE(R75:R105),"")</f>
        <v>18.54009952444152</v>
      </c>
      <c r="S106">
        <f>IF(COUNT(S75:S105)&gt;0,AVERAGE(S75:S105),"")</f>
        <v>-15.24669250377149</v>
      </c>
    </row>
  </sheetData>
  <mergeCells count="9">
    <mergeCell ref="A73:E73"/>
    <mergeCell ref="H73:L73"/>
    <mergeCell ref="O73:S73"/>
    <mergeCell ref="A1:E1"/>
    <mergeCell ref="H1:L1"/>
    <mergeCell ref="O1:S1"/>
    <mergeCell ref="A37:E37"/>
    <mergeCell ref="H37:L37"/>
    <mergeCell ref="O37:S37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6B744-6BF9-447B-BBB0-BEAAB5AF9E1C}">
  <dimension ref="A1:S106"/>
  <sheetViews>
    <sheetView tabSelected="1" topLeftCell="A52" workbookViewId="0">
      <selection activeCell="G68" sqref="G68"/>
    </sheetView>
  </sheetViews>
  <sheetFormatPr defaultRowHeight="16.5" x14ac:dyDescent="0.3"/>
  <sheetData>
    <row r="1" spans="1:19" s="2" customFormat="1" ht="17.25" customHeight="1" x14ac:dyDescent="0.3">
      <c r="A1" s="1" t="s">
        <v>6</v>
      </c>
      <c r="B1" s="1"/>
      <c r="C1" s="1"/>
      <c r="D1" s="1"/>
      <c r="E1" s="1"/>
      <c r="H1" s="1" t="s">
        <v>7</v>
      </c>
      <c r="I1" s="1"/>
      <c r="J1" s="1"/>
      <c r="K1" s="1"/>
      <c r="L1" s="1"/>
      <c r="O1" s="1" t="s">
        <v>8</v>
      </c>
      <c r="P1" s="1"/>
      <c r="Q1" s="1"/>
      <c r="R1" s="1"/>
      <c r="S1" s="1"/>
    </row>
    <row r="2" spans="1:19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H2" t="s">
        <v>0</v>
      </c>
      <c r="I2" t="s">
        <v>1</v>
      </c>
      <c r="J2" t="s">
        <v>2</v>
      </c>
      <c r="K2" t="s">
        <v>3</v>
      </c>
      <c r="L2" t="s">
        <v>4</v>
      </c>
      <c r="O2" t="s">
        <v>0</v>
      </c>
      <c r="P2" t="s">
        <v>1</v>
      </c>
      <c r="Q2" t="s">
        <v>2</v>
      </c>
      <c r="R2" t="s">
        <v>3</v>
      </c>
      <c r="S2" t="s">
        <v>4</v>
      </c>
    </row>
    <row r="3" spans="1:19" x14ac:dyDescent="0.3">
      <c r="A3">
        <v>1</v>
      </c>
      <c r="B3">
        <v>0</v>
      </c>
      <c r="C3">
        <f>100*332764/1052174</f>
        <v>31.626327964766283</v>
      </c>
      <c r="D3">
        <f>100*91005/761008</f>
        <v>11.958481382587305</v>
      </c>
      <c r="E3">
        <f>IF(COUNT(C3:D3)=2,D3-C3,"")</f>
        <v>-19.667846582178978</v>
      </c>
      <c r="H3">
        <v>1</v>
      </c>
      <c r="I3">
        <v>0</v>
      </c>
      <c r="J3">
        <f>100*291815/1145550</f>
        <v>25.47378988258915</v>
      </c>
      <c r="K3">
        <f>100*105882/790122</f>
        <v>13.400715332568895</v>
      </c>
      <c r="L3">
        <f>IF(COUNT(J3:K3)=2,K3-J3,"")</f>
        <v>-12.073074550020253</v>
      </c>
      <c r="O3">
        <v>1</v>
      </c>
      <c r="P3">
        <v>0</v>
      </c>
      <c r="Q3">
        <f>100*208586/733698</f>
        <v>28.429408285152746</v>
      </c>
      <c r="R3">
        <f>100*28982/460269</f>
        <v>6.296752551225479</v>
      </c>
      <c r="S3">
        <f>IF(COUNT(Q3:R3)=2,R3-Q3,"")</f>
        <v>-22.132655733927265</v>
      </c>
    </row>
    <row r="4" spans="1:19" x14ac:dyDescent="0.3">
      <c r="A4">
        <v>2</v>
      </c>
      <c r="B4">
        <v>1</v>
      </c>
      <c r="C4">
        <f>100*356409/1118920</f>
        <v>31.852947485074893</v>
      </c>
      <c r="D4">
        <f>100*127676/877094</f>
        <v>14.55670657877035</v>
      </c>
      <c r="E4">
        <f>IF(COUNT(C4:D4)=2,D4-C4,"")</f>
        <v>-17.296240906304543</v>
      </c>
      <c r="H4">
        <v>2</v>
      </c>
      <c r="I4">
        <v>1</v>
      </c>
      <c r="J4">
        <f>100*130334/783729</f>
        <v>16.629983068126865</v>
      </c>
      <c r="K4">
        <f>100*187719/1004933</f>
        <v>18.679752779538536</v>
      </c>
      <c r="L4">
        <f>IF(COUNT(J4:K4)=2,K4-J4,"")</f>
        <v>2.0497697114116704</v>
      </c>
      <c r="O4">
        <v>2</v>
      </c>
      <c r="P4">
        <v>1</v>
      </c>
      <c r="Q4">
        <f>100*510455/1451156</f>
        <v>35.17574954036644</v>
      </c>
      <c r="R4">
        <f>100*204933/863690</f>
        <v>23.72761060102583</v>
      </c>
      <c r="S4">
        <f>IF(COUNT(Q4:R4)=2,R4-Q4,"")</f>
        <v>-11.448138939340609</v>
      </c>
    </row>
    <row r="5" spans="1:19" x14ac:dyDescent="0.3">
      <c r="A5">
        <v>3</v>
      </c>
      <c r="B5">
        <v>2</v>
      </c>
      <c r="C5">
        <f>100*397332/1270809</f>
        <v>31.266067520768267</v>
      </c>
      <c r="D5">
        <f>100*114199/751062</f>
        <v>15.205003049015927</v>
      </c>
      <c r="E5">
        <f>IF(COUNT(C5:D5)=2,D5-C5,"")</f>
        <v>-16.06106447175234</v>
      </c>
      <c r="H5">
        <v>3</v>
      </c>
      <c r="I5">
        <v>2</v>
      </c>
      <c r="J5">
        <f>100*147851/1441835</f>
        <v>10.25436336335295</v>
      </c>
      <c r="K5">
        <f>100*324788/1251698</f>
        <v>25.947792518642675</v>
      </c>
      <c r="L5">
        <f>IF(COUNT(J5:K5)=2,K5-J5,"")</f>
        <v>15.693429155289726</v>
      </c>
      <c r="O5">
        <v>3</v>
      </c>
      <c r="P5">
        <v>2</v>
      </c>
      <c r="Q5">
        <f>100*480143/1280935</f>
        <v>37.48379113694293</v>
      </c>
      <c r="R5">
        <f>100*133727/761960</f>
        <v>17.550396346264897</v>
      </c>
      <c r="S5">
        <f>IF(COUNT(Q5:R5)=2,R5-Q5,"")</f>
        <v>-19.933394790678037</v>
      </c>
    </row>
    <row r="6" spans="1:19" x14ac:dyDescent="0.3">
      <c r="A6">
        <v>4</v>
      </c>
      <c r="B6">
        <v>3</v>
      </c>
      <c r="C6">
        <f>100*16403/519550</f>
        <v>3.1571552304879225</v>
      </c>
      <c r="D6">
        <f>100*41118/538286</f>
        <v>7.638690213009441</v>
      </c>
      <c r="E6">
        <f>IF(COUNT(C6:D6)=2,D6-C6,"")</f>
        <v>4.481534982521518</v>
      </c>
      <c r="H6">
        <v>4</v>
      </c>
      <c r="I6">
        <v>3</v>
      </c>
      <c r="J6">
        <f>100*123870/784417</f>
        <v>15.791345674558302</v>
      </c>
      <c r="K6">
        <f>100*31857/464015</f>
        <v>6.8655108132280205</v>
      </c>
      <c r="L6">
        <f>IF(COUNT(J6:K6)=2,K6-J6,"")</f>
        <v>-8.925834861330282</v>
      </c>
      <c r="O6">
        <v>4</v>
      </c>
      <c r="P6">
        <v>3</v>
      </c>
      <c r="Q6">
        <f>100*450191/1211277</f>
        <v>37.16664313777939</v>
      </c>
      <c r="R6">
        <f>100*343390/1232654</f>
        <v>27.857776797057408</v>
      </c>
      <c r="S6">
        <f>IF(COUNT(Q6:R6)=2,R6-Q6,"")</f>
        <v>-9.30886634072198</v>
      </c>
    </row>
    <row r="7" spans="1:19" x14ac:dyDescent="0.3">
      <c r="A7">
        <v>5</v>
      </c>
      <c r="B7">
        <v>4</v>
      </c>
      <c r="C7">
        <f>100*497044/1286267</f>
        <v>38.64236585405674</v>
      </c>
      <c r="D7">
        <f>100*178524/1004857</f>
        <v>17.766110003711972</v>
      </c>
      <c r="E7">
        <f>IF(COUNT(C7:D7)=2,D7-C7,"")</f>
        <v>-20.87625585034477</v>
      </c>
      <c r="H7">
        <v>5</v>
      </c>
      <c r="I7">
        <v>4</v>
      </c>
      <c r="J7">
        <f>100*342477/1148710</f>
        <v>29.814052284736793</v>
      </c>
      <c r="K7">
        <f>100*265045/1171848</f>
        <v>22.617694445013345</v>
      </c>
      <c r="L7">
        <f>IF(COUNT(J7:K7)=2,K7-J7,"")</f>
        <v>-7.196357839723447</v>
      </c>
      <c r="O7">
        <v>5</v>
      </c>
      <c r="P7">
        <v>4</v>
      </c>
      <c r="Q7">
        <f>100*389359/1092762</f>
        <v>35.63072288384845</v>
      </c>
      <c r="R7">
        <f>100*32382/680804</f>
        <v>4.756435038572041</v>
      </c>
      <c r="S7">
        <f>IF(COUNT(Q7:R7)=2,R7-Q7,"")</f>
        <v>-30.874287845276406</v>
      </c>
    </row>
    <row r="8" spans="1:19" x14ac:dyDescent="0.3">
      <c r="A8">
        <v>6</v>
      </c>
      <c r="B8">
        <v>5</v>
      </c>
      <c r="C8">
        <f>100*295084/1125005</f>
        <v>26.229572313011943</v>
      </c>
      <c r="D8">
        <f>100*108916/881812</f>
        <v>12.35138555610493</v>
      </c>
      <c r="E8">
        <f>IF(COUNT(C8:D8)=2,D8-C8,"")</f>
        <v>-13.878186756907013</v>
      </c>
      <c r="H8">
        <v>6</v>
      </c>
      <c r="I8">
        <v>5</v>
      </c>
      <c r="J8">
        <f>100*246415/1039225</f>
        <v>23.71141956746614</v>
      </c>
      <c r="K8">
        <f>100*100563/723873</f>
        <v>13.892354045530086</v>
      </c>
      <c r="L8">
        <f>IF(COUNT(J8:K8)=2,K8-J8,"")</f>
        <v>-9.819065521936055</v>
      </c>
      <c r="O8">
        <v>6</v>
      </c>
      <c r="P8">
        <v>5</v>
      </c>
      <c r="Q8">
        <f>100*269836/994553</f>
        <v>27.131384652200538</v>
      </c>
      <c r="R8">
        <f>100*95118/659488</f>
        <v>14.423006938716094</v>
      </c>
      <c r="S8">
        <f>IF(COUNT(Q8:R8)=2,R8-Q8,"")</f>
        <v>-12.708377713484444</v>
      </c>
    </row>
    <row r="9" spans="1:19" x14ac:dyDescent="0.3">
      <c r="A9">
        <v>7</v>
      </c>
      <c r="B9">
        <v>6</v>
      </c>
      <c r="C9">
        <f>100*240424/851852</f>
        <v>28.223682048055295</v>
      </c>
      <c r="D9">
        <f>100*24855/570984</f>
        <v>4.3530116430582995</v>
      </c>
      <c r="E9">
        <f>IF(COUNT(C9:D9)=2,D9-C9,"")</f>
        <v>-23.870670404996996</v>
      </c>
      <c r="H9">
        <v>7</v>
      </c>
      <c r="I9">
        <v>6</v>
      </c>
      <c r="J9">
        <f>100*3261/356727</f>
        <v>0.9141444297740289</v>
      </c>
      <c r="K9">
        <f>100*14996/538329</f>
        <v>2.785657098168592</v>
      </c>
      <c r="L9">
        <f>IF(COUNT(J9:K9)=2,K9-J9,"")</f>
        <v>1.871512668394563</v>
      </c>
      <c r="O9">
        <v>7</v>
      </c>
      <c r="P9">
        <v>6</v>
      </c>
      <c r="Q9">
        <f>100*460466/1246393</f>
        <v>36.94388527535055</v>
      </c>
      <c r="R9">
        <f>100*110479/745058</f>
        <v>14.8282415597175</v>
      </c>
      <c r="S9">
        <f>IF(COUNT(Q9:R9)=2,R9-Q9,"")</f>
        <v>-22.115643715633055</v>
      </c>
    </row>
    <row r="10" spans="1:19" x14ac:dyDescent="0.3">
      <c r="A10">
        <v>8</v>
      </c>
      <c r="B10">
        <v>7</v>
      </c>
      <c r="C10">
        <f>100*3447/313581</f>
        <v>1.09923751757919</v>
      </c>
      <c r="D10">
        <f>100*7980/333348</f>
        <v>2.39389466863458</v>
      </c>
      <c r="E10">
        <f>IF(COUNT(C10:D10)=2,D10-C10,"")</f>
        <v>1.2946571510553901</v>
      </c>
      <c r="H10">
        <v>8</v>
      </c>
      <c r="I10">
        <v>7</v>
      </c>
      <c r="J10">
        <f>100*275/278589</f>
        <v>0.09871172228623527</v>
      </c>
      <c r="K10">
        <f>100*272/283728</f>
        <v>0.09586646365533187</v>
      </c>
      <c r="L10">
        <f>IF(COUNT(J10:K10)=2,K10-J10,"")</f>
        <v>-0.0028452586309034023</v>
      </c>
      <c r="O10">
        <v>8</v>
      </c>
      <c r="P10">
        <v>7</v>
      </c>
      <c r="Q10">
        <f>100*631465/1523952</f>
        <v>41.43601635747058</v>
      </c>
      <c r="R10">
        <f>100*197457/879948</f>
        <v>22.43962143217554</v>
      </c>
      <c r="S10">
        <f>IF(COUNT(Q10:R10)=2,R10-Q10,"")</f>
        <v>-18.99639492529504</v>
      </c>
    </row>
    <row r="11" spans="1:19" x14ac:dyDescent="0.3">
      <c r="A11">
        <v>9</v>
      </c>
      <c r="B11">
        <v>8</v>
      </c>
      <c r="C11">
        <f>100*328851/1096172</f>
        <v>29.999945264064397</v>
      </c>
      <c r="D11">
        <f>100*118920/877751</f>
        <v>13.548261408987287</v>
      </c>
      <c r="E11">
        <f>IF(COUNT(C11:D11)=2,D11-C11,"")</f>
        <v>-16.45168385507711</v>
      </c>
      <c r="H11">
        <v>9</v>
      </c>
      <c r="I11">
        <v>8</v>
      </c>
      <c r="J11">
        <f>100*382533/1287826</f>
        <v>29.70377985845914</v>
      </c>
      <c r="K11">
        <f>100*128399/677862</f>
        <v>18.941761007402686</v>
      </c>
      <c r="L11">
        <f>IF(COUNT(J11:K11)=2,K11-J11,"")</f>
        <v>-10.762018851056453</v>
      </c>
      <c r="O11">
        <v>9</v>
      </c>
      <c r="P11">
        <v>8</v>
      </c>
      <c r="Q11">
        <f>100*511514/1411309</f>
        <v>36.24394090875917</v>
      </c>
      <c r="R11">
        <f>100*210650/950947</f>
        <v>22.15160256039506</v>
      </c>
      <c r="S11">
        <f>IF(COUNT(Q11:R11)=2,R11-Q11,"")</f>
        <v>-14.092338348364112</v>
      </c>
    </row>
    <row r="12" spans="1:19" x14ac:dyDescent="0.3">
      <c r="A12">
        <v>10</v>
      </c>
      <c r="B12">
        <v>9</v>
      </c>
      <c r="C12">
        <f>100*147882/738636</f>
        <v>20.0209575487791</v>
      </c>
      <c r="D12">
        <f>100*33156/569029</f>
        <v>5.8267680557581425</v>
      </c>
      <c r="E12">
        <f>IF(COUNT(C12:D12)=2,D12-C12,"")</f>
        <v>-14.194189493020959</v>
      </c>
      <c r="H12">
        <v>10</v>
      </c>
      <c r="I12">
        <v>9</v>
      </c>
      <c r="J12">
        <f>100*179400/747366</f>
        <v>24.00430311253121</v>
      </c>
      <c r="K12">
        <f>100*10179/569294</f>
        <v>1.7880040892754885</v>
      </c>
      <c r="L12">
        <f>IF(COUNT(J12:K12)=2,K12-J12,"")</f>
        <v>-22.216299023255722</v>
      </c>
      <c r="O12">
        <v>10</v>
      </c>
      <c r="P12">
        <v>9</v>
      </c>
      <c r="Q12">
        <f>100*361827/1149672</f>
        <v>31.47219380832098</v>
      </c>
      <c r="R12">
        <f>100*11552/416447</f>
        <v>2.773942422445113</v>
      </c>
      <c r="S12">
        <f>IF(COUNT(Q12:R12)=2,R12-Q12,"")</f>
        <v>-28.698251385875867</v>
      </c>
    </row>
    <row r="13" spans="1:19" x14ac:dyDescent="0.3">
      <c r="A13">
        <v>11</v>
      </c>
      <c r="B13">
        <v>10</v>
      </c>
      <c r="C13">
        <f>100*4137/540292</f>
        <v>0.7656970675116419</v>
      </c>
      <c r="D13">
        <f>100*120464/816385</f>
        <v>14.755783117034243</v>
      </c>
      <c r="E13">
        <f>IF(COUNT(C13:D13)=2,D13-C13,"")</f>
        <v>13.990086049522601</v>
      </c>
      <c r="H13">
        <v>11</v>
      </c>
      <c r="I13">
        <v>10</v>
      </c>
      <c r="J13">
        <f>100*29717/602395</f>
        <v>4.933141875347571</v>
      </c>
      <c r="K13">
        <f>100*39654/599509</f>
        <v>6.614412794470141</v>
      </c>
      <c r="L13">
        <f>IF(COUNT(J13:K13)=2,K13-J13,"")</f>
        <v>1.6812709191225697</v>
      </c>
      <c r="O13">
        <v>11</v>
      </c>
      <c r="P13">
        <v>10</v>
      </c>
      <c r="Q13">
        <f>100*314083/1092488</f>
        <v>28.749331800440828</v>
      </c>
      <c r="R13">
        <f>100*320674/1233139</f>
        <v>26.004692090672666</v>
      </c>
      <c r="S13">
        <f>IF(COUNT(Q13:R13)=2,R13-Q13,"")</f>
        <v>-2.744639709768162</v>
      </c>
    </row>
    <row r="14" spans="1:19" x14ac:dyDescent="0.3">
      <c r="A14">
        <v>12</v>
      </c>
      <c r="B14">
        <v>11</v>
      </c>
      <c r="C14">
        <f>100*469865/1292144</f>
        <v>36.363207196721106</v>
      </c>
      <c r="D14">
        <f>100*57704/717208</f>
        <v>8.045643662647377</v>
      </c>
      <c r="E14">
        <f>IF(COUNT(C14:D14)=2,D14-C14,"")</f>
        <v>-28.317563534073727</v>
      </c>
      <c r="H14">
        <v>12</v>
      </c>
      <c r="I14">
        <v>11</v>
      </c>
      <c r="J14">
        <f>100*17227/518447</f>
        <v>3.3228083102033574</v>
      </c>
      <c r="K14">
        <f>100*84345/775695</f>
        <v>10.873474754897222</v>
      </c>
      <c r="L14">
        <f>IF(COUNT(J14:K14)=2,K14-J14,"")</f>
        <v>7.5506664446938645</v>
      </c>
      <c r="O14">
        <v>12</v>
      </c>
      <c r="P14">
        <v>11</v>
      </c>
      <c r="Q14">
        <f>100*438660/1271352</f>
        <v>34.5034262737621</v>
      </c>
      <c r="R14">
        <f>100*160515/892758</f>
        <v>17.979676463274483</v>
      </c>
      <c r="S14">
        <f>IF(COUNT(Q14:R14)=2,R14-Q14,"")</f>
        <v>-16.52374981048762</v>
      </c>
    </row>
    <row r="15" spans="1:19" x14ac:dyDescent="0.3">
      <c r="A15">
        <v>13</v>
      </c>
      <c r="B15">
        <v>12</v>
      </c>
      <c r="C15">
        <f>100*47266/521892</f>
        <v>9.0566630643888</v>
      </c>
      <c r="D15">
        <f>100*124281/766884</f>
        <v>16.205971176866385</v>
      </c>
      <c r="E15">
        <f>IF(COUNT(C15:D15)=2,D15-C15,"")</f>
        <v>7.149308112477584</v>
      </c>
      <c r="H15">
        <v>13</v>
      </c>
      <c r="I15">
        <v>12</v>
      </c>
      <c r="J15">
        <f>100*544142/1461712</f>
        <v>37.22634828201451</v>
      </c>
      <c r="K15">
        <f>100*135470/716308</f>
        <v>18.912255621883325</v>
      </c>
      <c r="L15">
        <f>IF(COUNT(J15:K15)=2,K15-J15,"")</f>
        <v>-18.314092660131188</v>
      </c>
      <c r="O15">
        <v>13</v>
      </c>
      <c r="P15">
        <v>12</v>
      </c>
      <c r="Q15">
        <f>100*357555/1108932</f>
        <v>32.243185335079154</v>
      </c>
      <c r="R15">
        <f>100*11112/423043</f>
        <v>2.626683339518678</v>
      </c>
      <c r="S15">
        <f>IF(COUNT(Q15:R15)=2,R15-Q15,"")</f>
        <v>-29.616501995560476</v>
      </c>
    </row>
    <row r="16" spans="1:19" x14ac:dyDescent="0.3">
      <c r="A16">
        <v>14</v>
      </c>
      <c r="B16">
        <v>13</v>
      </c>
      <c r="C16">
        <f>100*7402/385878</f>
        <v>1.9182228580017517</v>
      </c>
      <c r="D16">
        <f>100*67055/634416</f>
        <v>10.569563188822476</v>
      </c>
      <c r="E16">
        <f>IF(COUNT(C16:D16)=2,D16-C16,"")</f>
        <v>8.651340330820725</v>
      </c>
      <c r="H16">
        <v>14</v>
      </c>
      <c r="I16">
        <v>13</v>
      </c>
      <c r="J16">
        <f>100*181558/818931</f>
        <v>22.170121780711685</v>
      </c>
      <c r="K16">
        <f>100*112002/806831</f>
        <v>13.881717484826439</v>
      </c>
      <c r="L16">
        <f>IF(COUNT(J16:K16)=2,K16-J16,"")</f>
        <v>-8.288404295885247</v>
      </c>
      <c r="O16">
        <v>14</v>
      </c>
      <c r="P16">
        <v>13</v>
      </c>
      <c r="Q16">
        <f>100*131266/578543</f>
        <v>22.689065462722738</v>
      </c>
      <c r="R16">
        <f>100*6080/298998</f>
        <v>2.0334584177820587</v>
      </c>
      <c r="S16">
        <f>IF(COUNT(Q16:R16)=2,R16-Q16,"")</f>
        <v>-20.65560704494068</v>
      </c>
    </row>
    <row r="17" spans="1:19" x14ac:dyDescent="0.3">
      <c r="A17">
        <v>15</v>
      </c>
      <c r="B17">
        <v>14</v>
      </c>
      <c r="C17">
        <f>100*405804/1241849</f>
        <v>32.67740280823192</v>
      </c>
      <c r="D17">
        <f>100*124532/894145</f>
        <v>13.927494981239061</v>
      </c>
      <c r="E17">
        <f>IF(COUNT(C17:D17)=2,D17-C17,"")</f>
        <v>-18.749907826992857</v>
      </c>
      <c r="H17">
        <v>15</v>
      </c>
      <c r="I17">
        <v>14</v>
      </c>
      <c r="J17">
        <f>100*610081/1573211</f>
        <v>38.779350004544845</v>
      </c>
      <c r="K17">
        <f>100*193645/1026679</f>
        <v>18.86129939348131</v>
      </c>
      <c r="L17">
        <f>IF(COUNT(J17:K17)=2,K17-J17,"")</f>
        <v>-19.918050611063535</v>
      </c>
      <c r="O17">
        <v>15</v>
      </c>
      <c r="P17">
        <v>14</v>
      </c>
      <c r="Q17">
        <f>100*384174/1163453</f>
        <v>33.020156379329464</v>
      </c>
      <c r="R17">
        <f>100*270781/1115672</f>
        <v>24.270663779318653</v>
      </c>
      <c r="S17">
        <f>IF(COUNT(Q17:R17)=2,R17-Q17,"")</f>
        <v>-8.74949260001081</v>
      </c>
    </row>
    <row r="18" spans="1:19" x14ac:dyDescent="0.3">
      <c r="A18">
        <v>16</v>
      </c>
      <c r="B18">
        <v>15</v>
      </c>
      <c r="C18">
        <f>100*397150/1193789</f>
        <v>33.26802307610474</v>
      </c>
      <c r="D18">
        <f>100*87452/715583</f>
        <v>12.221084067117301</v>
      </c>
      <c r="E18">
        <f>IF(COUNT(C18:D18)=2,D18-C18,"")</f>
        <v>-21.046939008987437</v>
      </c>
      <c r="H18">
        <v>16</v>
      </c>
      <c r="I18">
        <v>15</v>
      </c>
      <c r="J18">
        <f>100*311472/1035367</f>
        <v>30.083245844227218</v>
      </c>
      <c r="K18">
        <f>100*25281/593410</f>
        <v>4.260292209433612</v>
      </c>
      <c r="L18">
        <f>IF(COUNT(J18:K18)=2,K18-J18,"")</f>
        <v>-25.822953634793606</v>
      </c>
      <c r="O18">
        <v>16</v>
      </c>
      <c r="P18">
        <v>15</v>
      </c>
      <c r="Q18">
        <f>100*403580/1172064</f>
        <v>34.43327326835394</v>
      </c>
      <c r="R18">
        <f>100*169634/898270</f>
        <v>18.88452247097198</v>
      </c>
      <c r="S18">
        <f>IF(COUNT(Q18:R18)=2,R18-Q18,"")</f>
        <v>-15.548750797381963</v>
      </c>
    </row>
    <row r="19" spans="1:19" x14ac:dyDescent="0.3">
      <c r="A19">
        <v>17</v>
      </c>
      <c r="B19">
        <v>16</v>
      </c>
      <c r="C19">
        <f>100*170884/804109</f>
        <v>21.251347765041803</v>
      </c>
      <c r="D19">
        <f>100*140992/812234</f>
        <v>17.35854445886284</v>
      </c>
      <c r="E19">
        <f>IF(COUNT(C19:D19)=2,D19-C19,"")</f>
        <v>-3.892803306178962</v>
      </c>
      <c r="H19">
        <v>17</v>
      </c>
      <c r="I19">
        <v>16</v>
      </c>
      <c r="J19">
        <f>100*547667/1465339</f>
        <v>37.37476447429571</v>
      </c>
      <c r="K19">
        <f>100*186612/974344</f>
        <v>19.1525785554178</v>
      </c>
      <c r="L19">
        <f>IF(COUNT(J19:K19)=2,K19-J19,"")</f>
        <v>-18.22218591887791</v>
      </c>
      <c r="O19">
        <v>17</v>
      </c>
      <c r="P19">
        <v>16</v>
      </c>
      <c r="Q19">
        <f>100*34194/375756</f>
        <v>9.10005429055025</v>
      </c>
      <c r="R19">
        <f>100*10807/321752</f>
        <v>3.358798080509212</v>
      </c>
      <c r="S19">
        <f>IF(COUNT(Q19:R19)=2,R19-Q19,"")</f>
        <v>-5.741256210041039</v>
      </c>
    </row>
    <row r="20" spans="1:19" x14ac:dyDescent="0.3">
      <c r="A20">
        <v>18</v>
      </c>
      <c r="B20">
        <v>17</v>
      </c>
      <c r="C20">
        <f>100*269013/913065</f>
        <v>29.462634095053474</v>
      </c>
      <c r="D20">
        <f>100*97225/731522</f>
        <v>13.290782778918475</v>
      </c>
      <c r="E20">
        <f>IF(COUNT(C20:D20)=2,D20-C20,"")</f>
        <v>-16.171851316134997</v>
      </c>
      <c r="H20">
        <v>18</v>
      </c>
      <c r="I20">
        <v>17</v>
      </c>
      <c r="J20">
        <f>100*246590/976020</f>
        <v>25.264851130099792</v>
      </c>
      <c r="K20">
        <f>100*43757/600302</f>
        <v>7.289164453891542</v>
      </c>
      <c r="L20">
        <f>IF(COUNT(J20:K20)=2,K20-J20,"")</f>
        <v>-17.97568667620825</v>
      </c>
      <c r="O20">
        <v>18</v>
      </c>
      <c r="P20">
        <v>17</v>
      </c>
      <c r="Q20">
        <f>100*2176/318434</f>
        <v>0.6833441152640736</v>
      </c>
      <c r="R20">
        <f>100*11058/344930</f>
        <v>3.205867857246398</v>
      </c>
      <c r="S20">
        <f>IF(COUNT(Q20:R20)=2,R20-Q20,"")</f>
        <v>2.522523741982324</v>
      </c>
    </row>
    <row r="21" spans="1:19" x14ac:dyDescent="0.3">
      <c r="A21">
        <v>19</v>
      </c>
      <c r="B21">
        <v>18</v>
      </c>
      <c r="C21">
        <f>100*130405/675745</f>
        <v>19.297960029300995</v>
      </c>
      <c r="D21">
        <f>100*87058/688652</f>
        <v>12.64179876047699</v>
      </c>
      <c r="E21">
        <f>IF(COUNT(C21:D21)=2,D21-C21,"")</f>
        <v>-6.656161268824006</v>
      </c>
      <c r="H21">
        <v>19</v>
      </c>
      <c r="I21">
        <v>18</v>
      </c>
      <c r="J21">
        <f>100*94163/608895</f>
        <v>15.464571067261186</v>
      </c>
      <c r="K21">
        <f>100*63273/689877</f>
        <v>9.171634943620385</v>
      </c>
      <c r="L21">
        <f>IF(COUNT(J21:K21)=2,K21-J21,"")</f>
        <v>-6.292936123640802</v>
      </c>
      <c r="O21">
        <v>19</v>
      </c>
      <c r="P21">
        <v>18</v>
      </c>
      <c r="Q21">
        <f>100*460785/1299362</f>
        <v>35.462403856661965</v>
      </c>
      <c r="R21">
        <f>100*132744/868042</f>
        <v>15.292347605300204</v>
      </c>
      <c r="S21">
        <f>IF(COUNT(Q21:R21)=2,R21-Q21,"")</f>
        <v>-20.17005625136176</v>
      </c>
    </row>
    <row r="22" spans="1:19" x14ac:dyDescent="0.3">
      <c r="A22">
        <v>20</v>
      </c>
      <c r="B22">
        <v>19</v>
      </c>
      <c r="C22">
        <f>100*271082/932573</f>
        <v>29.068180185358145</v>
      </c>
      <c r="D22">
        <f>100*58675/734823</f>
        <v>7.984916095440671</v>
      </c>
      <c r="E22">
        <f>IF(COUNT(C22:D22)=2,D22-C22,"")</f>
        <v>-21.083264089917474</v>
      </c>
      <c r="H22">
        <v>20</v>
      </c>
      <c r="I22">
        <v>19</v>
      </c>
      <c r="J22">
        <f>100*51102/454685</f>
        <v>11.238989630183534</v>
      </c>
      <c r="K22">
        <f>100*86973/664971</f>
        <v>13.079216988410021</v>
      </c>
      <c r="L22">
        <f>IF(COUNT(J22:K22)=2,K22-J22,"")</f>
        <v>1.8402273582264872</v>
      </c>
      <c r="O22">
        <v>20</v>
      </c>
      <c r="P22">
        <v>19</v>
      </c>
      <c r="Q22">
        <f>100*246053/750263</f>
        <v>32.795566354731605</v>
      </c>
      <c r="R22">
        <f>100*91862/860184</f>
        <v>10.679343024283177</v>
      </c>
      <c r="S22">
        <f>IF(COUNT(Q22:R22)=2,R22-Q22,"")</f>
        <v>-22.116223330448427</v>
      </c>
    </row>
    <row r="23" spans="1:19" x14ac:dyDescent="0.3">
      <c r="A23">
        <v>21</v>
      </c>
      <c r="B23">
        <v>20</v>
      </c>
      <c r="C23">
        <f>100*144702/617823</f>
        <v>23.42127114076362</v>
      </c>
      <c r="D23">
        <f>100*213433/1114277</f>
        <v>19.154393386922642</v>
      </c>
      <c r="E23">
        <f>IF(COUNT(C23:D23)=2,D23-C23,"")</f>
        <v>-4.266877753840976</v>
      </c>
      <c r="H23">
        <v>21</v>
      </c>
      <c r="I23">
        <v>20</v>
      </c>
      <c r="J23">
        <f>100*591919/1541493</f>
        <v>38.399071549465354</v>
      </c>
      <c r="K23">
        <f>100*94328/644689</f>
        <v>14.631551026929264</v>
      </c>
      <c r="L23">
        <f>IF(COUNT(J23:K23)=2,K23-J23,"")</f>
        <v>-23.76752052253609</v>
      </c>
      <c r="O23">
        <v>21</v>
      </c>
      <c r="P23">
        <v>20</v>
      </c>
      <c r="Q23">
        <f>100*189374/774599</f>
        <v>24.448004709533578</v>
      </c>
      <c r="R23">
        <f>100*140310/760366</f>
        <v>18.452955550353384</v>
      </c>
      <c r="S23">
        <f>IF(COUNT(Q23:R23)=2,R23-Q23,"")</f>
        <v>-5.995049159180194</v>
      </c>
    </row>
    <row r="24" spans="1:19" x14ac:dyDescent="0.3">
      <c r="A24">
        <v>22</v>
      </c>
      <c r="B24">
        <v>21</v>
      </c>
      <c r="C24">
        <f>100*295116/1275471</f>
        <v>23.1378055635918</v>
      </c>
      <c r="D24">
        <f>100*133606/922261</f>
        <v>14.48678844708819</v>
      </c>
      <c r="E24">
        <f>IF(COUNT(C24:D24)=2,D24-C24,"")</f>
        <v>-8.651017116503612</v>
      </c>
      <c r="H24">
        <v>22</v>
      </c>
      <c r="I24">
        <v>21</v>
      </c>
      <c r="J24">
        <f>100*392324/1270598</f>
        <v>30.87711455550851</v>
      </c>
      <c r="K24">
        <f>100*139002/868826</f>
        <v>15.998830605898075</v>
      </c>
      <c r="L24">
        <f>IF(COUNT(J24:K24)=2,K24-J24,"")</f>
        <v>-14.878283949610434</v>
      </c>
      <c r="O24">
        <v>22</v>
      </c>
      <c r="P24">
        <v>21</v>
      </c>
      <c r="Q24">
        <f>100*423564/1232833</f>
        <v>34.356964811941275</v>
      </c>
      <c r="R24">
        <f>100*138346/855866</f>
        <v>16.16444630351013</v>
      </c>
      <c r="S24">
        <f>IF(COUNT(Q24:R24)=2,R24-Q24,"")</f>
        <v>-18.192518508431146</v>
      </c>
    </row>
    <row r="25" spans="1:19" x14ac:dyDescent="0.3">
      <c r="A25">
        <v>23</v>
      </c>
      <c r="B25">
        <v>22</v>
      </c>
      <c r="C25">
        <f>100*354113/1097352</f>
        <v>32.26977305367831</v>
      </c>
      <c r="D25">
        <f>100*113004/762635</f>
        <v>14.81757328210743</v>
      </c>
      <c r="E25">
        <f>IF(COUNT(C25:D25)=2,D25-C25,"")</f>
        <v>-17.452199771570875</v>
      </c>
      <c r="H25">
        <v>23</v>
      </c>
      <c r="I25">
        <v>22</v>
      </c>
      <c r="J25">
        <f>100*155683/840858</f>
        <v>18.514778951975245</v>
      </c>
      <c r="K25">
        <f>100*63470/654538</f>
        <v>9.696915992654361</v>
      </c>
      <c r="L25">
        <f>IF(COUNT(J25:K25)=2,K25-J25,"")</f>
        <v>-8.817862959320884</v>
      </c>
      <c r="O25">
        <v>23</v>
      </c>
      <c r="P25">
        <v>22</v>
      </c>
      <c r="Q25">
        <f>100*592/261920</f>
        <v>0.22602321319486865</v>
      </c>
      <c r="R25">
        <f>100*427/262413</f>
        <v>0.16272059692164642</v>
      </c>
      <c r="S25">
        <f>IF(COUNT(Q25:R25)=2,R25-Q25,"")</f>
        <v>-0.06330261627322223</v>
      </c>
    </row>
    <row r="26" spans="1:19" x14ac:dyDescent="0.3">
      <c r="A26">
        <v>24</v>
      </c>
      <c r="B26">
        <v>23</v>
      </c>
      <c r="C26">
        <f>100*240022/913843</f>
        <v>26.265124315664725</v>
      </c>
      <c r="D26">
        <f>100*61315/656759</f>
        <v>9.335996918199827</v>
      </c>
      <c r="E26">
        <f>IF(COUNT(C26:D26)=2,D26-C26,"")</f>
        <v>-16.929127397464896</v>
      </c>
      <c r="H26">
        <v>24</v>
      </c>
      <c r="I26">
        <v>23</v>
      </c>
      <c r="J26">
        <f>100*377574/1156306</f>
        <v>32.65346716180665</v>
      </c>
      <c r="K26">
        <f>100*77166/693372</f>
        <v>11.129090877624133</v>
      </c>
      <c r="L26">
        <f>IF(COUNT(J26:K26)=2,K26-J26,"")</f>
        <v>-21.52437628418252</v>
      </c>
      <c r="O26">
        <v>24</v>
      </c>
      <c r="P26">
        <v>23</v>
      </c>
      <c r="Q26">
        <f>100*122016/574638</f>
        <v>21.233541812410596</v>
      </c>
      <c r="R26">
        <f>100*11758/534365</f>
        <v>2.2003686618696956</v>
      </c>
      <c r="S26">
        <f>IF(COUNT(Q26:R26)=2,R26-Q26,"")</f>
        <v>-19.0331731505409</v>
      </c>
    </row>
    <row r="27" spans="1:19" x14ac:dyDescent="0.3">
      <c r="A27">
        <v>25</v>
      </c>
      <c r="B27">
        <v>24</v>
      </c>
      <c r="C27">
        <f>100*56444/682080</f>
        <v>8.275275627492377</v>
      </c>
      <c r="D27">
        <f>100*52888/645351</f>
        <v>8.195230192561878</v>
      </c>
      <c r="E27">
        <f>IF(COUNT(C27:D27)=2,D27-C27,"")</f>
        <v>-0.08004543493049887</v>
      </c>
      <c r="H27">
        <v>25</v>
      </c>
      <c r="I27">
        <v>24</v>
      </c>
      <c r="J27">
        <f>100*179842/875592</f>
        <v>20.53947500662409</v>
      </c>
      <c r="K27">
        <f>100*17373/428834</f>
        <v>4.051217953800305</v>
      </c>
      <c r="L27">
        <f>IF(COUNT(J27:K27)=2,K27-J27,"")</f>
        <v>-16.488257052823787</v>
      </c>
      <c r="O27">
        <v>25</v>
      </c>
      <c r="P27">
        <v>24</v>
      </c>
      <c r="Q27">
        <f>100*497820/1342997</f>
        <v>37.06784155139587</v>
      </c>
      <c r="R27">
        <f>100*191353/971665</f>
        <v>19.693309937066786</v>
      </c>
      <c r="S27">
        <f>IF(COUNT(Q27:R27)=2,R27-Q27,"")</f>
        <v>-17.374531614329086</v>
      </c>
    </row>
    <row r="28" spans="1:19" x14ac:dyDescent="0.3">
      <c r="A28">
        <v>26</v>
      </c>
      <c r="B28">
        <v>25</v>
      </c>
      <c r="C28">
        <f>100*366520/1167250</f>
        <v>31.400299850074962</v>
      </c>
      <c r="D28">
        <f>100*100767/803554</f>
        <v>12.540165315585512</v>
      </c>
      <c r="E28">
        <f>IF(COUNT(C28:D28)=2,D28-C28,"")</f>
        <v>-18.86013453448945</v>
      </c>
      <c r="H28">
        <v>26</v>
      </c>
      <c r="I28">
        <v>25</v>
      </c>
      <c r="J28">
        <f>100*403993/1263866</f>
        <v>31.964860198786898</v>
      </c>
      <c r="K28">
        <f>100*139320/839516</f>
        <v>16.59527632588301</v>
      </c>
      <c r="L28">
        <f>IF(COUNT(J28:K28)=2,K28-J28,"")</f>
        <v>-15.369583872903888</v>
      </c>
      <c r="O28">
        <v>26</v>
      </c>
      <c r="P28">
        <v>25</v>
      </c>
      <c r="Q28">
        <f>100*525172/1313199</f>
        <v>39.99180626850919</v>
      </c>
      <c r="R28">
        <f>100*10982/81835</f>
        <v>13.419685953442903</v>
      </c>
      <c r="S28">
        <f>IF(COUNT(Q28:R28)=2,R28-Q28,"")</f>
        <v>-26.572120315066286</v>
      </c>
    </row>
    <row r="29" spans="1:19" x14ac:dyDescent="0.3">
      <c r="A29">
        <v>27</v>
      </c>
      <c r="B29">
        <v>26</v>
      </c>
      <c r="C29">
        <f>100*597714/1505438</f>
        <v>39.703660994341845</v>
      </c>
      <c r="D29">
        <f>100*152410/896952</f>
        <v>16.991990652788555</v>
      </c>
      <c r="E29">
        <f>IF(COUNT(C29:D29)=2,D29-C29,"")</f>
        <v>-22.71167034155329</v>
      </c>
      <c r="H29">
        <v>27</v>
      </c>
      <c r="I29">
        <v>26</v>
      </c>
      <c r="J29">
        <f>100*136381/818474</f>
        <v>16.66283840415212</v>
      </c>
      <c r="K29">
        <f>100*112314/865372</f>
        <v>12.978695867210865</v>
      </c>
      <c r="L29">
        <f>IF(COUNT(J29:K29)=2,K29-J29,"")</f>
        <v>-3.6841425369412537</v>
      </c>
      <c r="O29">
        <v>27</v>
      </c>
      <c r="P29">
        <v>26</v>
      </c>
      <c r="Q29">
        <f>100*365374/1222824</f>
        <v>29.87952477216672</v>
      </c>
      <c r="R29">
        <f>100*90185/651705</f>
        <v>13.838316416169892</v>
      </c>
      <c r="S29">
        <f>IF(COUNT(Q29:R29)=2,R29-Q29,"")</f>
        <v>-16.04120835599683</v>
      </c>
    </row>
    <row r="30" spans="1:19" x14ac:dyDescent="0.3">
      <c r="A30">
        <v>28</v>
      </c>
      <c r="B30">
        <v>27</v>
      </c>
      <c r="C30">
        <f>100*262582/941033</f>
        <v>27.90359105366124</v>
      </c>
      <c r="D30">
        <f>100*42402/692202</f>
        <v>6.125668518727192</v>
      </c>
      <c r="E30">
        <f>IF(COUNT(C30:D30)=2,D30-C30,"")</f>
        <v>-21.77792253493405</v>
      </c>
      <c r="H30">
        <v>28</v>
      </c>
      <c r="I30">
        <v>27</v>
      </c>
      <c r="J30">
        <f>100*471860/1401372</f>
        <v>33.67128785219057</v>
      </c>
      <c r="K30">
        <f>100*140878/934337</f>
        <v>15.077857346974378</v>
      </c>
      <c r="L30">
        <f>IF(COUNT(J30:K30)=2,K30-J30,"")</f>
        <v>-18.59343050521619</v>
      </c>
      <c r="O30">
        <v>28</v>
      </c>
      <c r="P30">
        <v>27</v>
      </c>
      <c r="Q30">
        <f>100*191/261142</f>
        <v>0.07314028383025327</v>
      </c>
      <c r="R30">
        <f>100*282/263049</f>
        <v>0.10720436116464993</v>
      </c>
      <c r="S30">
        <f>IF(COUNT(Q30:R30)=2,R30-Q30,"")</f>
        <v>0.03406407733439666</v>
      </c>
    </row>
    <row r="31" spans="1:19" x14ac:dyDescent="0.3">
      <c r="A31">
        <v>29</v>
      </c>
      <c r="B31">
        <v>28</v>
      </c>
      <c r="C31">
        <f>100*549615/1490090</f>
        <v>36.88468481769558</v>
      </c>
      <c r="D31">
        <f>100*130503/873048</f>
        <v>14.947975369051873</v>
      </c>
      <c r="E31">
        <f>IF(COUNT(C31:D31)=2,D31-C31,"")</f>
        <v>-21.936709448643704</v>
      </c>
      <c r="H31">
        <v>29</v>
      </c>
      <c r="I31">
        <v>28</v>
      </c>
      <c r="J31">
        <f>100*501796/1378717</f>
        <v>36.39586659191117</v>
      </c>
      <c r="K31">
        <f>100*167426/1017968</f>
        <v>16.447078886566178</v>
      </c>
      <c r="L31">
        <f>IF(COUNT(J31:K31)=2,K31-J31,"")</f>
        <v>-19.948787705344994</v>
      </c>
      <c r="O31">
        <v>29</v>
      </c>
      <c r="P31">
        <v>28</v>
      </c>
      <c r="Q31">
        <f>100*492377/1362039</f>
        <v>36.14999276819533</v>
      </c>
      <c r="R31">
        <f>100*251662/1102400</f>
        <v>22.82855587808418</v>
      </c>
      <c r="S31">
        <f>IF(COUNT(Q31:R31)=2,R31-Q31,"")</f>
        <v>-13.321436890111151</v>
      </c>
    </row>
    <row r="32" spans="1:19" x14ac:dyDescent="0.3">
      <c r="A32">
        <v>30</v>
      </c>
      <c r="B32">
        <v>29</v>
      </c>
      <c r="C32">
        <f>100*237648/919878</f>
        <v>25.834730257708088</v>
      </c>
      <c r="D32">
        <f>100*162194/934788</f>
        <v>17.350885976285532</v>
      </c>
      <c r="E32">
        <f>IF(COUNT(C32:D32)=2,D32-C32,"")</f>
        <v>-8.483844281422556</v>
      </c>
      <c r="H32">
        <v>30</v>
      </c>
      <c r="I32">
        <v>29</v>
      </c>
      <c r="J32">
        <f>100*264568/888302</f>
        <v>29.783564598526176</v>
      </c>
      <c r="K32">
        <f>100*117508/811394</f>
        <v>14.482236743185185</v>
      </c>
      <c r="L32">
        <f>IF(COUNT(J32:K32)=2,K32-J32,"")</f>
        <v>-15.301327855340991</v>
      </c>
      <c r="O32">
        <v>30</v>
      </c>
      <c r="P32">
        <v>29</v>
      </c>
      <c r="Q32">
        <f>100*465436/1240969</f>
        <v>37.50585228156384</v>
      </c>
      <c r="R32">
        <f>100*178888/915380</f>
        <v>19.54248508816011</v>
      </c>
      <c r="S32">
        <f>IF(COUNT(Q32:R32)=2,R32-Q32,"")</f>
        <v>-17.96336719340373</v>
      </c>
    </row>
    <row r="33" spans="1:19" x14ac:dyDescent="0.3">
      <c r="A33">
        <v>31</v>
      </c>
      <c r="B33">
        <v>30</v>
      </c>
      <c r="C33">
        <f>100*498726/1349876</f>
        <v>36.946060230717485</v>
      </c>
      <c r="D33">
        <f>100*183870/980705</f>
        <v>18.74875727155465</v>
      </c>
      <c r="E33">
        <f>IF(COUNT(C33:D33)=2,D33-C33,"")</f>
        <v>-18.197302959162837</v>
      </c>
      <c r="H33">
        <v>31</v>
      </c>
      <c r="I33">
        <v>30</v>
      </c>
      <c r="J33">
        <f>100*307741/1047349</f>
        <v>29.382851370460084</v>
      </c>
      <c r="K33">
        <f>100*241796/1129497</f>
        <v>21.407405243218886</v>
      </c>
      <c r="L33">
        <f>IF(COUNT(J33:K33)=2,K33-J33,"")</f>
        <v>-7.975446127241199</v>
      </c>
      <c r="O33">
        <v>31</v>
      </c>
      <c r="P33">
        <v>30</v>
      </c>
      <c r="Q33">
        <f>100*7935/484889</f>
        <v>1.63645700356164</v>
      </c>
      <c r="R33">
        <f>100*605/482053</f>
        <v>0.12550487187093534</v>
      </c>
      <c r="S33">
        <f>IF(COUNT(Q33:R33)=2,R33-Q33,"")</f>
        <v>-1.5109521316907046</v>
      </c>
    </row>
    <row r="34" spans="1:19" x14ac:dyDescent="0.3">
      <c r="A34" t="s">
        <v>5</v>
      </c>
      <c r="C34">
        <f>IF(COUNT(C3:C33)&gt;0,AVERAGE(C3:C33),"")</f>
        <v>24.75128625154027</v>
      </c>
      <c r="D34">
        <f>IF(COUNT(D3:D33)&gt;0,AVERAGE(D3:D33),"")</f>
        <v>12.428881296062498</v>
      </c>
      <c r="E34">
        <f>IF(COUNT(E3:E33)&gt;0,AVERAGE(E3:E33),"")</f>
        <v>-12.322404955477777</v>
      </c>
      <c r="H34" t="s">
        <v>5</v>
      </c>
      <c r="J34">
        <f>IF(COUNT(J3:J33)&gt;0,AVERAGE(J3:J33),"")</f>
        <v>23.26126650336055</v>
      </c>
      <c r="K34">
        <f>IF(COUNT(K3:K33)&gt;0,AVERAGE(K3:K33),"")</f>
        <v>12.89055847300968</v>
      </c>
      <c r="L34">
        <f>IF(COUNT(L3:L33)&gt;0,AVERAGE(L3:L33),"")</f>
        <v>-10.370708030350873</v>
      </c>
      <c r="O34" t="s">
        <v>5</v>
      </c>
      <c r="Q34">
        <f>IF(COUNT(Q3:Q33)&gt;0,AVERAGE(Q3:Q33),"")</f>
        <v>28.172990083851328</v>
      </c>
      <c r="R34">
        <f>IF(COUNT(R3:R33)&gt;0,AVERAGE(R3:R33),"")</f>
        <v>13.150870741776991</v>
      </c>
      <c r="S34">
        <f>IF(COUNT(S3:S33)&gt;0,AVERAGE(S3:S33),"")</f>
        <v>-15.022119342074333</v>
      </c>
    </row>
    <row r="37" spans="1:19" s="2" customFormat="1" x14ac:dyDescent="0.3">
      <c r="A37" s="1" t="s">
        <v>9</v>
      </c>
      <c r="B37" s="1"/>
      <c r="C37" s="1"/>
      <c r="D37" s="1"/>
      <c r="E37" s="1"/>
      <c r="H37" s="1" t="s">
        <v>10</v>
      </c>
      <c r="I37" s="1"/>
      <c r="J37" s="1"/>
      <c r="K37" s="1"/>
      <c r="L37" s="1"/>
      <c r="O37" s="1" t="s">
        <v>11</v>
      </c>
      <c r="P37" s="1"/>
      <c r="Q37" s="1"/>
      <c r="R37" s="1"/>
      <c r="S37" s="1"/>
    </row>
    <row r="38" spans="1:19" x14ac:dyDescent="0.3">
      <c r="A38" t="s">
        <v>0</v>
      </c>
      <c r="B38" t="s">
        <v>1</v>
      </c>
      <c r="C38" t="s">
        <v>2</v>
      </c>
      <c r="D38" t="s">
        <v>3</v>
      </c>
      <c r="E38" t="s">
        <v>4</v>
      </c>
      <c r="H38" t="s">
        <v>0</v>
      </c>
      <c r="I38" t="s">
        <v>1</v>
      </c>
      <c r="J38" t="s">
        <v>2</v>
      </c>
      <c r="K38" t="s">
        <v>3</v>
      </c>
      <c r="L38" t="s">
        <v>4</v>
      </c>
      <c r="O38" t="s">
        <v>0</v>
      </c>
      <c r="P38" t="s">
        <v>1</v>
      </c>
      <c r="Q38" t="s">
        <v>2</v>
      </c>
      <c r="R38" t="s">
        <v>3</v>
      </c>
      <c r="S38" t="s">
        <v>4</v>
      </c>
    </row>
    <row r="39" spans="1:19" x14ac:dyDescent="0.3">
      <c r="A39">
        <v>1</v>
      </c>
      <c r="B39">
        <v>0</v>
      </c>
      <c r="C39">
        <f>100*192841/1049609</f>
        <v>18.372651149142204</v>
      </c>
      <c r="D39">
        <f>100*65593/871756</f>
        <v>7.524238433690161</v>
      </c>
      <c r="E39">
        <f>IF(COUNT(C39:D39)=2,D39-C39,"")</f>
        <v>-10.848412715452042</v>
      </c>
      <c r="H39">
        <v>1</v>
      </c>
      <c r="I39">
        <v>0</v>
      </c>
      <c r="J39">
        <f>100*402854/1288411</f>
        <v>31.267507029977235</v>
      </c>
      <c r="K39">
        <f>100*43152/698604</f>
        <v>6.17688991188141</v>
      </c>
      <c r="L39">
        <f>IF(COUNT(J39:K39)=2,K39-J39,"")</f>
        <v>-25.090617118095825</v>
      </c>
      <c r="O39">
        <v>1</v>
      </c>
      <c r="P39">
        <v>0</v>
      </c>
      <c r="Q39">
        <f>100*88041/674269</f>
        <v>13.057251631025599</v>
      </c>
      <c r="R39">
        <f>100*86975/724440</f>
        <v>12.00582518911159</v>
      </c>
      <c r="S39">
        <f>IF(COUNT(Q39:R39)=2,R39-Q39,"")</f>
        <v>-1.0514264419140087</v>
      </c>
    </row>
    <row r="40" spans="1:19" x14ac:dyDescent="0.3">
      <c r="A40">
        <v>2</v>
      </c>
      <c r="B40">
        <v>1</v>
      </c>
      <c r="C40">
        <f>100*767234/1849227</f>
        <v>41.489443967668656</v>
      </c>
      <c r="D40">
        <f>100*142271/1099431</f>
        <v>12.940420999589788</v>
      </c>
      <c r="E40">
        <f>IF(COUNT(C40:D40)=2,D40-C40,"")</f>
        <v>-28.549022968078866</v>
      </c>
      <c r="H40">
        <v>2</v>
      </c>
      <c r="I40">
        <v>1</v>
      </c>
      <c r="J40">
        <f>100*573780/1506160</f>
        <v>38.095554257183835</v>
      </c>
      <c r="K40">
        <f>100*160566/1151234</f>
        <v>13.947294815823716</v>
      </c>
      <c r="L40">
        <f>IF(COUNT(J40:K40)=2,K40-J40,"")</f>
        <v>-24.148259441360118</v>
      </c>
      <c r="O40">
        <v>2</v>
      </c>
      <c r="P40">
        <v>1</v>
      </c>
      <c r="Q40">
        <f>100*291073/995685</f>
        <v>29.233442303539775</v>
      </c>
      <c r="R40">
        <f>100*105305/639795</f>
        <v>16.459178330559006</v>
      </c>
      <c r="S40">
        <f>IF(COUNT(Q40:R40)=2,R40-Q40,"")</f>
        <v>-12.77426397298077</v>
      </c>
    </row>
    <row r="41" spans="1:19" x14ac:dyDescent="0.3">
      <c r="A41">
        <v>3</v>
      </c>
      <c r="B41">
        <v>2</v>
      </c>
      <c r="C41">
        <f>100*647494/1597730</f>
        <v>40.525871079594175</v>
      </c>
      <c r="D41">
        <f>100*68238/890727</f>
        <v>7.660933147866855</v>
      </c>
      <c r="E41">
        <f>IF(COUNT(C41:D41)=2,D41-C41,"")</f>
        <v>-32.86493793172732</v>
      </c>
      <c r="H41">
        <v>3</v>
      </c>
      <c r="I41">
        <v>2</v>
      </c>
      <c r="J41">
        <f>100*646730/1702231</f>
        <v>37.99308084507919</v>
      </c>
      <c r="K41">
        <f>100*109693/1020865</f>
        <v>10.74510341720012</v>
      </c>
      <c r="L41">
        <f>IF(COUNT(J41:K41)=2,K41-J41,"")</f>
        <v>-27.24797742787907</v>
      </c>
      <c r="O41">
        <v>3</v>
      </c>
      <c r="P41">
        <v>2</v>
      </c>
      <c r="Q41">
        <f>100*505429/1286969</f>
        <v>39.272818537198646</v>
      </c>
      <c r="R41">
        <f>100*150021/1061138</f>
        <v>14.137746457105484</v>
      </c>
      <c r="S41">
        <f>IF(COUNT(Q41:R41)=2,R41-Q41,"")</f>
        <v>-25.13507208009316</v>
      </c>
    </row>
    <row r="42" spans="1:19" x14ac:dyDescent="0.3">
      <c r="A42">
        <v>4</v>
      </c>
      <c r="B42">
        <v>3</v>
      </c>
      <c r="C42">
        <f>100*45060/760183</f>
        <v>5.927520083979778</v>
      </c>
      <c r="D42">
        <f>100*35294/699227</f>
        <v>5.047573963820047</v>
      </c>
      <c r="E42">
        <f>IF(COUNT(C42:D42)=2,D42-C42,"")</f>
        <v>-0.8799461201597314</v>
      </c>
      <c r="H42">
        <v>4</v>
      </c>
      <c r="I42">
        <v>3</v>
      </c>
      <c r="J42">
        <f>100*44764/778520</f>
        <v>5.749884396033499</v>
      </c>
      <c r="K42">
        <f>100*61208/962082</f>
        <v>6.362035668477323</v>
      </c>
      <c r="L42">
        <f>IF(COUNT(J42:K42)=2,K42-J42,"")</f>
        <v>0.6121512724438238</v>
      </c>
      <c r="O42">
        <v>4</v>
      </c>
      <c r="P42">
        <v>3</v>
      </c>
      <c r="Q42">
        <f>100*589890/1404698</f>
        <v>41.9940798662773</v>
      </c>
      <c r="R42">
        <f>100*264788/1450635</f>
        <v>18.253247715655558</v>
      </c>
      <c r="S42">
        <f>IF(COUNT(Q42:R42)=2,R42-Q42,"")</f>
        <v>-23.740832150621745</v>
      </c>
    </row>
    <row r="43" spans="1:19" x14ac:dyDescent="0.3">
      <c r="A43">
        <v>5</v>
      </c>
      <c r="B43">
        <v>4</v>
      </c>
      <c r="C43">
        <f>100*964627/2043023</f>
        <v>47.21567011237759</v>
      </c>
      <c r="D43">
        <f>100*517221/1836380</f>
        <v>28.165249022533462</v>
      </c>
      <c r="E43">
        <f>IF(COUNT(C43:D43)=2,D43-C43,"")</f>
        <v>-19.050421089844125</v>
      </c>
      <c r="H43">
        <v>5</v>
      </c>
      <c r="I43">
        <v>4</v>
      </c>
      <c r="J43">
        <f>100*942269/2236809</f>
        <v>42.12559051756319</v>
      </c>
      <c r="K43">
        <f>100*96322/954008</f>
        <v>10.096561035127587</v>
      </c>
      <c r="L43">
        <f>IF(COUNT(J43:K43)=2,K43-J43,"")</f>
        <v>-32.029029482435604</v>
      </c>
      <c r="O43">
        <v>5</v>
      </c>
      <c r="P43">
        <v>4</v>
      </c>
      <c r="Q43">
        <f>100*141535/798132</f>
        <v>17.73328221396962</v>
      </c>
      <c r="R43">
        <f>100*29400/747804</f>
        <v>3.9315114655711922</v>
      </c>
      <c r="S43">
        <f>IF(COUNT(Q43:R43)=2,R43-Q43,"")</f>
        <v>-13.801770748398427</v>
      </c>
    </row>
    <row r="44" spans="1:19" x14ac:dyDescent="0.3">
      <c r="A44">
        <v>6</v>
      </c>
      <c r="B44">
        <v>5</v>
      </c>
      <c r="C44">
        <f>100*200146/1105970</f>
        <v>18.09687423709504</v>
      </c>
      <c r="D44">
        <f>100*217950/1324536</f>
        <v>16.45481889506967</v>
      </c>
      <c r="E44">
        <f>IF(COUNT(C44:D44)=2,D44-C44,"")</f>
        <v>-1.642055342025369</v>
      </c>
      <c r="H44">
        <v>6</v>
      </c>
      <c r="I44">
        <v>5</v>
      </c>
      <c r="J44">
        <f>100*712109/1711457</f>
        <v>41.60834890973013</v>
      </c>
      <c r="K44">
        <f>100*228500/1293267</f>
        <v>17.668431963391935</v>
      </c>
      <c r="L44">
        <f>IF(COUNT(J44:K44)=2,K44-J44,"")</f>
        <v>-23.939916946338197</v>
      </c>
      <c r="O44">
        <v>6</v>
      </c>
      <c r="P44">
        <v>5</v>
      </c>
      <c r="Q44">
        <f>100*603941/1377183</f>
        <v>43.8533586313511</v>
      </c>
      <c r="R44">
        <f>100*245927/1066276</f>
        <v>23.06410347789878</v>
      </c>
      <c r="S44">
        <f>IF(COUNT(Q44:R44)=2,R44-Q44,"")</f>
        <v>-20.78925515345232</v>
      </c>
    </row>
    <row r="45" spans="1:19" x14ac:dyDescent="0.3">
      <c r="A45">
        <v>7</v>
      </c>
      <c r="B45">
        <v>6</v>
      </c>
      <c r="C45">
        <f>100*18395/700580</f>
        <v>2.6256815781209855</v>
      </c>
      <c r="D45">
        <f>100*91971/765838</f>
        <v>12.009197767674104</v>
      </c>
      <c r="E45">
        <f>IF(COUNT(C45:D45)=2,D45-C45,"")</f>
        <v>9.383516189553118</v>
      </c>
      <c r="H45">
        <v>7</v>
      </c>
      <c r="I45">
        <v>6</v>
      </c>
      <c r="J45">
        <f>100*1624/545527</f>
        <v>0.2976937896749382</v>
      </c>
      <c r="K45">
        <f>100*11474/662821</f>
        <v>1.7310857682541743</v>
      </c>
      <c r="L45">
        <f>IF(COUNT(J45:K45)=2,K45-J45,"")</f>
        <v>1.4333919785792362</v>
      </c>
      <c r="O45">
        <v>7</v>
      </c>
      <c r="P45">
        <v>6</v>
      </c>
      <c r="Q45">
        <f>100*672106/1493090</f>
        <v>45.01443315540256</v>
      </c>
      <c r="R45">
        <f>100*67589/491404</f>
        <v>13.754263294560078</v>
      </c>
      <c r="S45">
        <f>IF(COUNT(Q45:R45)=2,R45-Q45,"")</f>
        <v>-31.26016986084248</v>
      </c>
    </row>
    <row r="46" spans="1:19" x14ac:dyDescent="0.3">
      <c r="A46">
        <v>8</v>
      </c>
      <c r="B46">
        <v>7</v>
      </c>
      <c r="C46">
        <f>100*20606/505497</f>
        <v>4.076384231756074</v>
      </c>
      <c r="D46">
        <f>100*12295/713451</f>
        <v>1.7233138645821506</v>
      </c>
      <c r="E46">
        <f>IF(COUNT(C46:D46)=2,D46-C46,"")</f>
        <v>-2.353070367173923</v>
      </c>
      <c r="H46">
        <v>8</v>
      </c>
      <c r="I46">
        <v>7</v>
      </c>
      <c r="J46">
        <f>100*2064/453926</f>
        <v>0.45469966470305734</v>
      </c>
      <c r="K46">
        <f>100*1856/394539</f>
        <v>0.4704224423947949</v>
      </c>
      <c r="L46">
        <f>IF(COUNT(J46:K46)=2,K46-J46,"")</f>
        <v>0.015722777691737577</v>
      </c>
      <c r="O46">
        <v>8</v>
      </c>
      <c r="P46">
        <v>7</v>
      </c>
      <c r="Q46">
        <f>100*703275/1703373</f>
        <v>41.28719898695118</v>
      </c>
      <c r="R46">
        <f>100*407269/1441588</f>
        <v>28.251414412439615</v>
      </c>
      <c r="S46">
        <f>IF(COUNT(Q46:R46)=2,R46-Q46,"")</f>
        <v>-13.035784574511567</v>
      </c>
    </row>
    <row r="47" spans="1:19" x14ac:dyDescent="0.3">
      <c r="A47">
        <v>9</v>
      </c>
      <c r="B47">
        <v>8</v>
      </c>
      <c r="C47">
        <f>100*929076/2063992</f>
        <v>45.01354656413397</v>
      </c>
      <c r="D47">
        <f>100*349770/1691238</f>
        <v>20.681299734277495</v>
      </c>
      <c r="E47">
        <f>IF(COUNT(C47:D47)=2,D47-C47,"")</f>
        <v>-24.332246829856473</v>
      </c>
      <c r="H47">
        <v>9</v>
      </c>
      <c r="I47">
        <v>8</v>
      </c>
      <c r="J47">
        <f>100*779177/1827411</f>
        <v>42.63830085295535</v>
      </c>
      <c r="K47">
        <f>100*527144/1919653</f>
        <v>27.460379558180566</v>
      </c>
      <c r="L47">
        <f>IF(COUNT(J47:K47)=2,K47-J47,"")</f>
        <v>-15.177921294774787</v>
      </c>
      <c r="O47">
        <v>9</v>
      </c>
      <c r="P47">
        <v>8</v>
      </c>
      <c r="Q47">
        <f>100*785425/1662476</f>
        <v>47.244291045404566</v>
      </c>
      <c r="R47">
        <f>100*361698/1386413</f>
        <v>26.088762872246583</v>
      </c>
      <c r="S47">
        <f>IF(COUNT(Q47:R47)=2,R47-Q47,"")</f>
        <v>-21.155528173157983</v>
      </c>
    </row>
    <row r="48" spans="1:19" x14ac:dyDescent="0.3">
      <c r="A48">
        <v>10</v>
      </c>
      <c r="B48">
        <v>9</v>
      </c>
      <c r="C48">
        <f>100*401887/1367048</f>
        <v>29.39816304913946</v>
      </c>
      <c r="D48">
        <f>100*8775/581795</f>
        <v>1.5082632198626664</v>
      </c>
      <c r="E48">
        <f>IF(COUNT(C48:D48)=2,D48-C48,"")</f>
        <v>-27.889899829276793</v>
      </c>
      <c r="H48">
        <v>10</v>
      </c>
      <c r="I48">
        <v>9</v>
      </c>
      <c r="J48">
        <f>100*872985/1990559</f>
        <v>43.85627353924199</v>
      </c>
      <c r="K48">
        <f>100*27035/814370</f>
        <v>3.319744096663679</v>
      </c>
      <c r="L48">
        <f>IF(COUNT(J48:K48)=2,K48-J48,"")</f>
        <v>-40.53652944257831</v>
      </c>
      <c r="O48">
        <v>10</v>
      </c>
      <c r="P48">
        <v>9</v>
      </c>
      <c r="Q48">
        <f>100*317010/1082800</f>
        <v>29.276874769117104</v>
      </c>
      <c r="R48">
        <f>100*16750/529149</f>
        <v>3.1654600122082814</v>
      </c>
      <c r="S48">
        <f>IF(COUNT(Q48:R48)=2,R48-Q48,"")</f>
        <v>-26.11141475690882</v>
      </c>
    </row>
    <row r="49" spans="1:19" x14ac:dyDescent="0.3">
      <c r="A49">
        <v>11</v>
      </c>
      <c r="B49">
        <v>10</v>
      </c>
      <c r="C49">
        <f>100*705082/1682816</f>
        <v>41.898936069065186</v>
      </c>
      <c r="D49">
        <f>100*26123/902922</f>
        <v>2.8931624215602234</v>
      </c>
      <c r="E49">
        <f>IF(COUNT(C49:D49)=2,D49-C49,"")</f>
        <v>-39.00577364750497</v>
      </c>
      <c r="H49">
        <v>11</v>
      </c>
      <c r="I49">
        <v>10</v>
      </c>
      <c r="J49">
        <f>100*582667/1702410</f>
        <v>34.22600901075534</v>
      </c>
      <c r="K49">
        <f>100*108169/1095770</f>
        <v>9.871505881708753</v>
      </c>
      <c r="L49">
        <f>IF(COUNT(J49:K49)=2,K49-J49,"")</f>
        <v>-24.354503129046588</v>
      </c>
      <c r="O49">
        <v>11</v>
      </c>
      <c r="P49">
        <v>10</v>
      </c>
      <c r="Q49">
        <f>100*610513/1430887</f>
        <v>42.666751462554345</v>
      </c>
      <c r="R49">
        <f>100*590722/1666377</f>
        <v>35.44948111981862</v>
      </c>
      <c r="S49">
        <f>IF(COUNT(Q49:R49)=2,R49-Q49,"")</f>
        <v>-7.217270342735723</v>
      </c>
    </row>
    <row r="50" spans="1:19" x14ac:dyDescent="0.3">
      <c r="A50">
        <v>12</v>
      </c>
      <c r="B50">
        <v>11</v>
      </c>
      <c r="C50">
        <f>100*661603/1691906</f>
        <v>39.10400459600002</v>
      </c>
      <c r="D50">
        <f>100*36440/622431</f>
        <v>5.854464189604952</v>
      </c>
      <c r="E50">
        <f>IF(COUNT(C50:D50)=2,D50-C50,"")</f>
        <v>-33.24954040639506</v>
      </c>
      <c r="H50">
        <v>12</v>
      </c>
      <c r="I50">
        <v>11</v>
      </c>
      <c r="J50">
        <f>100*2109/16409</f>
        <v>12.85270278505698</v>
      </c>
      <c r="K50">
        <f>100*247378/1305817</f>
        <v>18.944308429129045</v>
      </c>
      <c r="L50">
        <f>IF(COUNT(J50:K50)=2,K50-J50,"")</f>
        <v>6.0916056440720645</v>
      </c>
      <c r="O50">
        <v>12</v>
      </c>
      <c r="P50">
        <v>11</v>
      </c>
      <c r="Q50">
        <f>100*565746/1449544</f>
        <v>39.029239540158834</v>
      </c>
      <c r="R50">
        <f>100*440319/1502051</f>
        <v>29.314517283367874</v>
      </c>
      <c r="S50">
        <f>IF(COUNT(Q50:R50)=2,R50-Q50,"")</f>
        <v>-9.71472225679096</v>
      </c>
    </row>
    <row r="51" spans="1:19" x14ac:dyDescent="0.3">
      <c r="A51">
        <v>13</v>
      </c>
      <c r="B51">
        <v>12</v>
      </c>
      <c r="C51">
        <f>100*13444/609443</f>
        <v>2.20594871054389</v>
      </c>
      <c r="D51">
        <f>100*61745/863450</f>
        <v>7.150964155423012</v>
      </c>
      <c r="E51">
        <f>IF(COUNT(C51:D51)=2,D51-C51,"")</f>
        <v>4.945015444879122</v>
      </c>
      <c r="H51">
        <v>13</v>
      </c>
      <c r="I51">
        <v>12</v>
      </c>
      <c r="J51">
        <f>100*78998/737547</f>
        <v>10.710910626712602</v>
      </c>
      <c r="K51">
        <f>100*15646/895520</f>
        <v>1.747141325710202</v>
      </c>
      <c r="L51">
        <f>IF(COUNT(J51:K51)=2,K51-J51,"")</f>
        <v>-8.9637693010024</v>
      </c>
      <c r="O51">
        <v>13</v>
      </c>
      <c r="P51">
        <v>12</v>
      </c>
      <c r="Q51">
        <f>100*653960/1481691</f>
        <v>44.136058057989146</v>
      </c>
      <c r="R51">
        <f>100*116778/840202</f>
        <v>13.898800526540047</v>
      </c>
      <c r="S51">
        <f>IF(COUNT(Q51:R51)=2,R51-Q51,"")</f>
        <v>-30.2372575314491</v>
      </c>
    </row>
    <row r="52" spans="1:19" x14ac:dyDescent="0.3">
      <c r="A52">
        <v>14</v>
      </c>
      <c r="B52">
        <v>13</v>
      </c>
      <c r="C52">
        <f>100*183005/843268</f>
        <v>21.701878880735425</v>
      </c>
      <c r="D52">
        <f>100*148689/974096</f>
        <v>15.264306598117638</v>
      </c>
      <c r="E52">
        <f>IF(COUNT(C52:D52)=2,D52-C52,"")</f>
        <v>-6.437572282617786</v>
      </c>
      <c r="H52">
        <v>14</v>
      </c>
      <c r="I52">
        <v>13</v>
      </c>
      <c r="J52">
        <f>100*450919/1374273</f>
        <v>32.811457403296146</v>
      </c>
      <c r="K52">
        <f>100*189228/1054240</f>
        <v>17.949233571103353</v>
      </c>
      <c r="L52">
        <f>IF(COUNT(J52:K52)=2,K52-J52,"")</f>
        <v>-14.862223832192793</v>
      </c>
      <c r="O52">
        <v>14</v>
      </c>
      <c r="P52">
        <v>13</v>
      </c>
      <c r="Q52">
        <f>100*1624/402681</f>
        <v>0.40329690251092054</v>
      </c>
      <c r="R52">
        <f>100*15333/713068</f>
        <v>2.15028580724419</v>
      </c>
      <c r="S52">
        <f>IF(COUNT(Q52:R52)=2,R52-Q52,"")</f>
        <v>1.7469889047332694</v>
      </c>
    </row>
    <row r="53" spans="1:19" x14ac:dyDescent="0.3">
      <c r="A53">
        <v>15</v>
      </c>
      <c r="B53">
        <v>14</v>
      </c>
      <c r="C53">
        <f>100*855788/1778828</f>
        <v>48.10965422176849</v>
      </c>
      <c r="D53">
        <f>100*77622/952955</f>
        <v>8.145400359933051</v>
      </c>
      <c r="E53">
        <f>IF(COUNT(C53:D53)=2,D53-C53,"")</f>
        <v>-39.96425386183544</v>
      </c>
      <c r="H53">
        <v>15</v>
      </c>
      <c r="I53">
        <v>14</v>
      </c>
      <c r="J53">
        <f>100*381484/1238884</f>
        <v>30.792552006483255</v>
      </c>
      <c r="K53">
        <f>100*217945/1369469</f>
        <v>15.914562505613489</v>
      </c>
      <c r="L53">
        <f>IF(COUNT(J53:K53)=2,K53-J53,"")</f>
        <v>-14.877989500869766</v>
      </c>
      <c r="O53">
        <v>15</v>
      </c>
      <c r="P53">
        <v>14</v>
      </c>
      <c r="Q53">
        <f>100*373593/1196320</f>
        <v>31.22851745352414</v>
      </c>
      <c r="R53">
        <f>100*458729/1635941</f>
        <v>28.04068117370981</v>
      </c>
      <c r="S53">
        <f>IF(COUNT(Q53:R53)=2,R53-Q53,"")</f>
        <v>-3.1878362798143307</v>
      </c>
    </row>
    <row r="54" spans="1:19" x14ac:dyDescent="0.3">
      <c r="A54">
        <v>16</v>
      </c>
      <c r="B54">
        <v>15</v>
      </c>
      <c r="C54">
        <f>100*888567/1959716</f>
        <v>45.34162092874682</v>
      </c>
      <c r="D54">
        <f>100*40006/840004</f>
        <v>4.762596368588721</v>
      </c>
      <c r="E54">
        <f>IF(COUNT(C54:D54)=2,D54-C54,"")</f>
        <v>-40.5790245601581</v>
      </c>
      <c r="H54">
        <v>16</v>
      </c>
      <c r="I54">
        <v>15</v>
      </c>
      <c r="J54">
        <f>100*600755/1390841</f>
        <v>43.19365046040489</v>
      </c>
      <c r="K54">
        <f>100*7624/521066</f>
        <v>1.4631543796755113</v>
      </c>
      <c r="L54">
        <f>IF(COUNT(J54:K54)=2,K54-J54,"")</f>
        <v>-41.73049608072938</v>
      </c>
      <c r="O54">
        <v>16</v>
      </c>
      <c r="P54">
        <v>15</v>
      </c>
      <c r="Q54">
        <f>100*595830/1410973</f>
        <v>42.22830628226054</v>
      </c>
      <c r="R54">
        <f>100*195260/1131082</f>
        <v>17.26311620200834</v>
      </c>
      <c r="S54">
        <f>IF(COUNT(Q54:R54)=2,R54-Q54,"")</f>
        <v>-24.9651900802522</v>
      </c>
    </row>
    <row r="55" spans="1:19" x14ac:dyDescent="0.3">
      <c r="A55">
        <v>17</v>
      </c>
      <c r="B55">
        <v>16</v>
      </c>
      <c r="C55">
        <f>100*543691/1545910</f>
        <v>35.1696411822163</v>
      </c>
      <c r="D55">
        <f>100*314969/1489513</f>
        <v>21.14577046323194</v>
      </c>
      <c r="E55">
        <f>IF(COUNT(C55:D55)=2,D55-C55,"")</f>
        <v>-14.023870718984362</v>
      </c>
      <c r="H55">
        <v>17</v>
      </c>
      <c r="I55">
        <v>16</v>
      </c>
      <c r="J55">
        <f>100*627913/1725883</f>
        <v>36.38213019074873</v>
      </c>
      <c r="K55">
        <f>100*226283/1336368</f>
        <v>16.932686206194703</v>
      </c>
      <c r="L55">
        <f>IF(COUNT(J55:K55)=2,K55-J55,"")</f>
        <v>-19.44944398455403</v>
      </c>
      <c r="O55">
        <v>17</v>
      </c>
      <c r="P55">
        <v>16</v>
      </c>
      <c r="Q55">
        <f>100*6486/400160</f>
        <v>1.6208516593362654</v>
      </c>
      <c r="R55">
        <f>100*9214/434427</f>
        <v>2.120954728872745</v>
      </c>
      <c r="S55">
        <f>IF(COUNT(Q55:R55)=2,R55-Q55,"")</f>
        <v>0.5001030695364796</v>
      </c>
    </row>
    <row r="56" spans="1:19" x14ac:dyDescent="0.3">
      <c r="A56">
        <v>18</v>
      </c>
      <c r="B56">
        <v>17</v>
      </c>
      <c r="C56">
        <f>100*889308/1891000</f>
        <v>47.02845055526176</v>
      </c>
      <c r="D56">
        <f>100*26499/628143</f>
        <v>4.2186253767056225</v>
      </c>
      <c r="E56">
        <f>IF(COUNT(C56:D56)=2,D56-C56,"")</f>
        <v>-42.80982517855614</v>
      </c>
      <c r="H56">
        <v>18</v>
      </c>
      <c r="I56">
        <v>17</v>
      </c>
      <c r="J56">
        <f>100*355/2215</f>
        <v>16.02708803611738</v>
      </c>
      <c r="K56">
        <f>100*75322/1127671</f>
        <v>6.679430436714254</v>
      </c>
      <c r="L56">
        <f>IF(COUNT(J56:K56)=2,K56-J56,"")</f>
        <v>-9.347657599403126</v>
      </c>
      <c r="O56">
        <v>18</v>
      </c>
      <c r="P56">
        <v>17</v>
      </c>
      <c r="Q56">
        <f>100*78465/548560</f>
        <v>14.303813621117106</v>
      </c>
      <c r="R56">
        <f>100*66397/589950</f>
        <v>11.254682600220358</v>
      </c>
      <c r="S56">
        <f>IF(COUNT(Q56:R56)=2,R56-Q56,"")</f>
        <v>-3.0491310208967484</v>
      </c>
    </row>
    <row r="57" spans="1:19" x14ac:dyDescent="0.3">
      <c r="A57">
        <v>19</v>
      </c>
      <c r="B57">
        <v>18</v>
      </c>
      <c r="C57">
        <f>100*419048/1297589</f>
        <v>32.294355146352196</v>
      </c>
      <c r="D57">
        <f>100*136068/964944</f>
        <v>14.1011291846988</v>
      </c>
      <c r="E57">
        <f>IF(COUNT(C57:D57)=2,D57-C57,"")</f>
        <v>-18.193225961653397</v>
      </c>
      <c r="H57">
        <v>19</v>
      </c>
      <c r="I57">
        <v>18</v>
      </c>
      <c r="J57">
        <f>100*451032/1332344</f>
        <v>33.85251856877803</v>
      </c>
      <c r="K57">
        <f>100*90771/874212</f>
        <v>10.383179366103416</v>
      </c>
      <c r="L57">
        <f>IF(COUNT(J57:K57)=2,K57-J57,"")</f>
        <v>-23.469339202674615</v>
      </c>
      <c r="O57">
        <v>19</v>
      </c>
      <c r="P57">
        <v>18</v>
      </c>
      <c r="Q57">
        <f>100*644704/1630522</f>
        <v>39.53973022136469</v>
      </c>
      <c r="R57">
        <f>100*150069/778981</f>
        <v>19.264783094838</v>
      </c>
      <c r="S57">
        <f>IF(COUNT(Q57:R57)=2,R57-Q57,"")</f>
        <v>-20.274947126526694</v>
      </c>
    </row>
    <row r="58" spans="1:19" x14ac:dyDescent="0.3">
      <c r="A58">
        <v>20</v>
      </c>
      <c r="B58">
        <v>19</v>
      </c>
      <c r="C58">
        <f>100*679956/1609329</f>
        <v>42.250900841282295</v>
      </c>
      <c r="D58">
        <f>100*245131/1324338</f>
        <v>18.509700695743835</v>
      </c>
      <c r="E58">
        <f>IF(COUNT(C58:D58)=2,D58-C58,"")</f>
        <v>-23.74120014553846</v>
      </c>
      <c r="H58">
        <v>20</v>
      </c>
      <c r="I58">
        <v>19</v>
      </c>
      <c r="J58">
        <f>100*854529/1945718</f>
        <v>43.918440390642424</v>
      </c>
      <c r="K58">
        <f>100*48792/781643</f>
        <v>6.242235905650022</v>
      </c>
      <c r="L58">
        <f>IF(COUNT(J58:K58)=2,K58-J58,"")</f>
        <v>-37.676204484992404</v>
      </c>
      <c r="O58">
        <v>20</v>
      </c>
      <c r="P58">
        <v>19</v>
      </c>
      <c r="Q58">
        <f>100*668214/1556077</f>
        <v>42.94221944029762</v>
      </c>
      <c r="R58">
        <f>100*34402/543127</f>
        <v>6.3340618308425105</v>
      </c>
      <c r="S58">
        <f>IF(COUNT(Q58:R58)=2,R58-Q58,"")</f>
        <v>-36.60815760945511</v>
      </c>
    </row>
    <row r="59" spans="1:19" x14ac:dyDescent="0.3">
      <c r="A59">
        <v>21</v>
      </c>
      <c r="B59">
        <v>20</v>
      </c>
      <c r="C59">
        <f>100*775725/1847570</f>
        <v>41.98623056230616</v>
      </c>
      <c r="D59">
        <f>100*184712/1124380</f>
        <v>16.427898041587365</v>
      </c>
      <c r="E59">
        <f>IF(COUNT(C59:D59)=2,D59-C59,"")</f>
        <v>-25.558332520718796</v>
      </c>
      <c r="H59">
        <v>21</v>
      </c>
      <c r="I59">
        <v>20</v>
      </c>
      <c r="J59">
        <f>100*708159/1885839</f>
        <v>37.5514028504024</v>
      </c>
      <c r="K59">
        <f>100*356421/1605695</f>
        <v>22.19730397117759</v>
      </c>
      <c r="L59">
        <f>IF(COUNT(J59:K59)=2,K59-J59,"")</f>
        <v>-15.354098879224807</v>
      </c>
      <c r="O59">
        <v>21</v>
      </c>
      <c r="P59">
        <v>20</v>
      </c>
      <c r="Q59">
        <f>100*370589/1143839</f>
        <v>32.39870296431578</v>
      </c>
      <c r="R59">
        <f>100*74011/765463</f>
        <v>9.668788693901599</v>
      </c>
      <c r="S59">
        <f>IF(COUNT(Q59:R59)=2,R59-Q59,"")</f>
        <v>-22.729914270414184</v>
      </c>
    </row>
    <row r="60" spans="1:19" x14ac:dyDescent="0.3">
      <c r="A60">
        <v>22</v>
      </c>
      <c r="B60">
        <v>21</v>
      </c>
      <c r="C60">
        <f>100*654996/1913846</f>
        <v>34.22407027524681</v>
      </c>
      <c r="D60">
        <f>100*64702/734358</f>
        <v>8.810689064461748</v>
      </c>
      <c r="E60">
        <f>IF(COUNT(C60:D60)=2,D60-C60,"")</f>
        <v>-25.41338121078506</v>
      </c>
      <c r="H60">
        <v>22</v>
      </c>
      <c r="I60">
        <v>21</v>
      </c>
      <c r="J60">
        <f>100*858363/1916826</f>
        <v>44.78043390479887</v>
      </c>
      <c r="K60">
        <f>100*499627/1888043</f>
        <v>26.462691792506845</v>
      </c>
      <c r="L60">
        <f>IF(COUNT(J60:K60)=2,K60-J60,"")</f>
        <v>-18.317742112292024</v>
      </c>
      <c r="O60">
        <v>22</v>
      </c>
      <c r="P60">
        <v>21</v>
      </c>
      <c r="Q60">
        <f>100*754527/1680084</f>
        <v>44.91007592477519</v>
      </c>
      <c r="R60">
        <f>100*156940/987670</f>
        <v>15.889922747476383</v>
      </c>
      <c r="S60">
        <f>IF(COUNT(Q60:R60)=2,R60-Q60,"")</f>
        <v>-29.02015317729881</v>
      </c>
    </row>
    <row r="61" spans="1:19" x14ac:dyDescent="0.3">
      <c r="A61">
        <v>23</v>
      </c>
      <c r="B61">
        <v>22</v>
      </c>
      <c r="C61">
        <f>100*604684/1725077</f>
        <v>35.052580261634695</v>
      </c>
      <c r="D61">
        <f>100*591545/1825406</f>
        <v>32.40621538441311</v>
      </c>
      <c r="E61">
        <f>IF(COUNT(C61:D61)=2,D61-C61,"")</f>
        <v>-2.646364877221586</v>
      </c>
      <c r="H61">
        <v>23</v>
      </c>
      <c r="I61">
        <v>22</v>
      </c>
      <c r="J61">
        <f>100*941313/1944636</f>
        <v>48.40561421263414</v>
      </c>
      <c r="K61">
        <f>100*209817/1369553</f>
        <v>15.320108093662677</v>
      </c>
      <c r="L61">
        <f>IF(COUNT(J61:K61)=2,K61-J61,"")</f>
        <v>-33.085506118971466</v>
      </c>
      <c r="O61">
        <v>23</v>
      </c>
      <c r="P61">
        <v>22</v>
      </c>
      <c r="Q61">
        <f>100*844/356205</f>
        <v>0.236942210244101</v>
      </c>
      <c r="R61">
        <f>100*55/335601</f>
        <v>0.016388508973453595</v>
      </c>
      <c r="S61">
        <f>IF(COUNT(Q61:R61)=2,R61-Q61,"")</f>
        <v>-0.2205537012706474</v>
      </c>
    </row>
    <row r="62" spans="1:19" x14ac:dyDescent="0.3">
      <c r="A62">
        <v>24</v>
      </c>
      <c r="B62">
        <v>23</v>
      </c>
      <c r="C62">
        <f>100*344998/1193986</f>
        <v>28.894643655788258</v>
      </c>
      <c r="D62">
        <f>100*28324/557171</f>
        <v>5.083538087947865</v>
      </c>
      <c r="E62">
        <f>IF(COUNT(C62:D62)=2,D62-C62,"")</f>
        <v>-23.811105567840393</v>
      </c>
      <c r="H62">
        <v>24</v>
      </c>
      <c r="I62">
        <v>23</v>
      </c>
      <c r="J62">
        <f>100*792417/1775752</f>
        <v>44.62430564628394</v>
      </c>
      <c r="K62">
        <f>100*120609/1069216</f>
        <v>11.28013422919223</v>
      </c>
      <c r="L62">
        <f>IF(COUNT(J62:K62)=2,K62-J62,"")</f>
        <v>-33.344171417091715</v>
      </c>
      <c r="O62">
        <v>24</v>
      </c>
      <c r="P62">
        <v>23</v>
      </c>
      <c r="Q62">
        <f>100*197250/941831</f>
        <v>20.94324778012191</v>
      </c>
      <c r="R62">
        <f>100*44731/782635</f>
        <v>5.715435675634236</v>
      </c>
      <c r="S62">
        <f>IF(COUNT(Q62:R62)=2,R62-Q62,"")</f>
        <v>-15.227812104487676</v>
      </c>
    </row>
    <row r="63" spans="1:19" x14ac:dyDescent="0.3">
      <c r="A63">
        <v>25</v>
      </c>
      <c r="B63">
        <v>24</v>
      </c>
      <c r="C63">
        <f>100*768464/1759518</f>
        <v>43.67468818164975</v>
      </c>
      <c r="D63">
        <f>100*44277/828649</f>
        <v>5.343275620920317</v>
      </c>
      <c r="E63">
        <f>IF(COUNT(C63:D63)=2,D63-C63,"")</f>
        <v>-38.33141256072943</v>
      </c>
      <c r="H63">
        <v>25</v>
      </c>
      <c r="I63">
        <v>24</v>
      </c>
      <c r="J63">
        <f>100*708043/1588574</f>
        <v>44.57098001100358</v>
      </c>
      <c r="K63">
        <f>100*12077/599751</f>
        <v>2.013669005970811</v>
      </c>
      <c r="L63">
        <f>IF(COUNT(J63:K63)=2,K63-J63,"")</f>
        <v>-42.557311005032766</v>
      </c>
      <c r="O63">
        <v>25</v>
      </c>
      <c r="P63">
        <v>24</v>
      </c>
      <c r="Q63">
        <f>100*339441/1160878</f>
        <v>29.240023499454722</v>
      </c>
      <c r="R63">
        <f>100*360882/1281919</f>
        <v>28.15170069247745</v>
      </c>
      <c r="S63">
        <f>IF(COUNT(Q63:R63)=2,R63-Q63,"")</f>
        <v>-1.0883228069772706</v>
      </c>
    </row>
    <row r="64" spans="1:19" x14ac:dyDescent="0.3">
      <c r="A64">
        <v>26</v>
      </c>
      <c r="B64">
        <v>25</v>
      </c>
      <c r="C64">
        <f>100*872598/1965096</f>
        <v>44.40485350334029</v>
      </c>
      <c r="D64">
        <f>100*130613/963555</f>
        <v>13.555323774979113</v>
      </c>
      <c r="E64">
        <f>IF(COUNT(C64:D64)=2,D64-C64,"")</f>
        <v>-30.849529728361176</v>
      </c>
      <c r="H64">
        <v>26</v>
      </c>
      <c r="I64">
        <v>25</v>
      </c>
      <c r="J64">
        <f>100*398836/1246025</f>
        <v>32.008667562849865</v>
      </c>
      <c r="K64">
        <f>100*204655/1247993</f>
        <v>16.398729800567793</v>
      </c>
      <c r="L64">
        <f>IF(COUNT(J64:K64)=2,K64-J64,"")</f>
        <v>-15.609937762282073</v>
      </c>
      <c r="O64">
        <v>26</v>
      </c>
      <c r="P64">
        <v>25</v>
      </c>
      <c r="Q64">
        <f>100*775571/1671807</f>
        <v>46.39118032165196</v>
      </c>
      <c r="R64">
        <f>100*335560/1374591</f>
        <v>24.411624985177408</v>
      </c>
      <c r="S64">
        <f>IF(COUNT(Q64:R64)=2,R64-Q64,"")</f>
        <v>-21.97955533647455</v>
      </c>
    </row>
    <row r="65" spans="1:19" x14ac:dyDescent="0.3">
      <c r="A65">
        <v>27</v>
      </c>
      <c r="B65">
        <v>26</v>
      </c>
      <c r="C65">
        <f>100*588879/1713537</f>
        <v>34.36628447474435</v>
      </c>
      <c r="D65">
        <f>100*81932/968172</f>
        <v>8.462545911263701</v>
      </c>
      <c r="E65">
        <f>IF(COUNT(C65:D65)=2,D65-C65,"")</f>
        <v>-25.903738563480644</v>
      </c>
      <c r="H65">
        <v>27</v>
      </c>
      <c r="I65">
        <v>26</v>
      </c>
      <c r="J65">
        <f>100*537175/1539092</f>
        <v>34.90207213084078</v>
      </c>
      <c r="K65">
        <f>100*162015/1138610</f>
        <v>14.229191733780663</v>
      </c>
      <c r="L65">
        <f>IF(COUNT(J65:K65)=2,K65-J65,"")</f>
        <v>-20.672880397060116</v>
      </c>
      <c r="O65">
        <v>27</v>
      </c>
      <c r="P65">
        <v>26</v>
      </c>
      <c r="Q65">
        <f>100*484579/1297589</f>
        <v>37.34456750172821</v>
      </c>
      <c r="R65">
        <f>100*161966/935745</f>
        <v>17.308775360808767</v>
      </c>
      <c r="S65">
        <f>IF(COUNT(Q65:R65)=2,R65-Q65,"")</f>
        <v>-20.03579214091944</v>
      </c>
    </row>
    <row r="66" spans="1:19" x14ac:dyDescent="0.3">
      <c r="A66">
        <v>28</v>
      </c>
      <c r="B66">
        <v>27</v>
      </c>
      <c r="C66">
        <f>100*367929/1192094</f>
        <v>30.864092932268765</v>
      </c>
      <c r="D66">
        <f>100*275505/1336998</f>
        <v>20.606238752787963</v>
      </c>
      <c r="E66">
        <f>IF(COUNT(C66:D66)=2,D66-C66,"")</f>
        <v>-10.257854179480802</v>
      </c>
      <c r="H66">
        <v>28</v>
      </c>
      <c r="I66">
        <v>27</v>
      </c>
      <c r="J66">
        <f>100*531985/1356503</f>
        <v>39.21738470169252</v>
      </c>
      <c r="K66">
        <f>100*327900/1561722</f>
        <v>20.996054355384633</v>
      </c>
      <c r="L66">
        <f>IF(COUNT(J66:K66)=2,K66-J66,"")</f>
        <v>-18.221330346307884</v>
      </c>
      <c r="O66">
        <v>28</v>
      </c>
      <c r="P66">
        <v>27</v>
      </c>
      <c r="Q66">
        <f>100*341/342230</f>
        <v>0.09964059258393478</v>
      </c>
      <c r="R66">
        <f>100*669/348847</f>
        <v>0.19177461752573477</v>
      </c>
      <c r="S66">
        <f>IF(COUNT(Q66:R66)=2,R66-Q66,"")</f>
        <v>0.0921340249418</v>
      </c>
    </row>
    <row r="67" spans="1:19" x14ac:dyDescent="0.3">
      <c r="A67">
        <v>29</v>
      </c>
      <c r="B67">
        <v>28</v>
      </c>
      <c r="C67">
        <f>100*656014/1602695</f>
        <v>40.93193027993473</v>
      </c>
      <c r="D67">
        <f>100*288513/1469673</f>
        <v>19.631101612399494</v>
      </c>
      <c r="E67">
        <f>IF(COUNT(C67:D67)=2,D67-C67,"")</f>
        <v>-21.30082866753524</v>
      </c>
      <c r="H67">
        <v>29</v>
      </c>
      <c r="I67">
        <v>28</v>
      </c>
      <c r="J67">
        <f>100*917947/2006663</f>
        <v>45.74495069675376</v>
      </c>
      <c r="K67">
        <f>100*267154/1370007</f>
        <v>19.50019233478369</v>
      </c>
      <c r="L67">
        <f>IF(COUNT(J67:K67)=2,K67-J67,"")</f>
        <v>-26.24475836197007</v>
      </c>
      <c r="O67">
        <v>29</v>
      </c>
      <c r="P67">
        <v>28</v>
      </c>
      <c r="Q67">
        <f>100*506385/1453010</f>
        <v>34.850758081499784</v>
      </c>
      <c r="R67">
        <f>100*237726/1209494</f>
        <v>19.65499622156042</v>
      </c>
      <c r="S67">
        <f>IF(COUNT(Q67:R67)=2,R67-Q67,"")</f>
        <v>-15.195761859939363</v>
      </c>
    </row>
    <row r="68" spans="1:19" x14ac:dyDescent="0.3">
      <c r="A68">
        <v>30</v>
      </c>
      <c r="B68">
        <v>29</v>
      </c>
      <c r="C68">
        <f>100*39372/653286</f>
        <v>6.026763163453679</v>
      </c>
      <c r="D68">
        <f>100*119056/966287</f>
        <v>12.320977101006223</v>
      </c>
      <c r="E68">
        <f>IF(COUNT(C68:D68)=2,D68-C68,"")</f>
        <v>6.294213937552544</v>
      </c>
      <c r="H68">
        <v>30</v>
      </c>
      <c r="I68">
        <v>29</v>
      </c>
      <c r="J68">
        <f>100*537109/1458999</f>
        <v>36.81352763093052</v>
      </c>
      <c r="K68">
        <f>100*138999/1018820</f>
        <v>13.64313617714611</v>
      </c>
      <c r="L68">
        <f>IF(COUNT(J68:K68)=2,K68-J68,"")</f>
        <v>-23.17039145378441</v>
      </c>
      <c r="O68">
        <v>30</v>
      </c>
      <c r="P68">
        <v>29</v>
      </c>
      <c r="Q68">
        <f>100*609326/1423323</f>
        <v>42.81010002648731</v>
      </c>
      <c r="R68">
        <f>100*263718/1263052</f>
        <v>20.879425391828683</v>
      </c>
      <c r="S68">
        <f>IF(COUNT(Q68:R68)=2,R68-Q68,"")</f>
        <v>-21.93067463465863</v>
      </c>
    </row>
    <row r="69" spans="1:19" x14ac:dyDescent="0.3">
      <c r="A69">
        <v>31</v>
      </c>
      <c r="B69">
        <v>30</v>
      </c>
      <c r="C69">
        <f>100*401250/1230061</f>
        <v>32.62033346313719</v>
      </c>
      <c r="D69">
        <f>100*111973/888078</f>
        <v>12.60846457180563</v>
      </c>
      <c r="E69">
        <f>IF(COUNT(C69:D69)=2,D69-C69,"")</f>
        <v>-20.011868891331563</v>
      </c>
      <c r="H69">
        <v>31</v>
      </c>
      <c r="I69">
        <v>30</v>
      </c>
      <c r="J69">
        <f>100*589124/1665281</f>
        <v>35.3768523150147</v>
      </c>
      <c r="K69">
        <f>100*285910/1240942</f>
        <v>23.039755282680414</v>
      </c>
      <c r="L69">
        <f>IF(COUNT(J69:K69)=2,K69-J69,"")</f>
        <v>-12.337097032334288</v>
      </c>
      <c r="O69">
        <v>31</v>
      </c>
      <c r="P69">
        <v>30</v>
      </c>
      <c r="Q69">
        <f>100*1911/646412</f>
        <v>0.2956318880218808</v>
      </c>
      <c r="R69">
        <f>100*24215/624433</f>
        <v>3.8779180472524675</v>
      </c>
      <c r="S69">
        <f>IF(COUNT(Q69:R69)=2,R69-Q69,"")</f>
        <v>3.582286159230587</v>
      </c>
    </row>
    <row r="70" spans="1:19" x14ac:dyDescent="0.3">
      <c r="A70" t="s">
        <v>5</v>
      </c>
      <c r="C70">
        <f>IF(COUNT(C39:C69)&gt;0,AVERAGE(C39:C69),"")</f>
        <v>31.6417312238221</v>
      </c>
      <c r="D70">
        <f>IF(COUNT(D39:D69)&gt;0,AVERAGE(D39:D69),"")</f>
        <v>11.968312799553125</v>
      </c>
      <c r="E70">
        <f>IF(COUNT(E39:E69)&gt;0,AVERAGE(E39:E69),"")</f>
        <v>-19.673418424268977</v>
      </c>
      <c r="H70" t="s">
        <v>5</v>
      </c>
      <c r="J70">
        <f>IF(COUNT(J39:J69)&gt;0,AVERAGE(J39:J69),"")</f>
        <v>32.99518015949494</v>
      </c>
      <c r="K70">
        <f>IF(COUNT(K39:K69)&gt;0,AVERAGE(K39:K69),"")</f>
        <v>12.5543984987694</v>
      </c>
      <c r="L70">
        <f>IF(COUNT(L39:L69)&gt;0,AVERAGE(L39:L69),"")</f>
        <v>-20.44078166072554</v>
      </c>
      <c r="O70" t="s">
        <v>5</v>
      </c>
      <c r="Q70">
        <f>IF(COUNT(Q39:Q69)&gt;0,AVERAGE(Q39:Q69),"")</f>
        <v>30.180215695878577</v>
      </c>
      <c r="R70">
        <f>IF(COUNT(R39:R69)&gt;0,AVERAGE(R39:R69),"")</f>
        <v>15.16031059798178</v>
      </c>
      <c r="S70">
        <f>IF(COUNT(S39:S69)&gt;0,AVERAGE(S39:S69),"")</f>
        <v>-15.019905097896793</v>
      </c>
    </row>
    <row r="73" spans="1:19" s="2" customFormat="1" x14ac:dyDescent="0.3">
      <c r="A73" s="1" t="s">
        <v>12</v>
      </c>
      <c r="B73" s="1"/>
      <c r="C73" s="1"/>
      <c r="D73" s="1"/>
      <c r="E73" s="1"/>
      <c r="H73" s="1" t="s">
        <v>13</v>
      </c>
      <c r="I73" s="1"/>
      <c r="J73" s="1"/>
      <c r="K73" s="1"/>
      <c r="L73" s="1"/>
      <c r="O73" s="1" t="s">
        <v>14</v>
      </c>
      <c r="P73" s="1"/>
      <c r="Q73" s="1"/>
      <c r="R73" s="1"/>
      <c r="S73" s="1"/>
    </row>
    <row r="74" spans="1:19" x14ac:dyDescent="0.3">
      <c r="A74" t="s">
        <v>0</v>
      </c>
      <c r="B74" t="s">
        <v>1</v>
      </c>
      <c r="C74" t="s">
        <v>2</v>
      </c>
      <c r="D74" t="s">
        <v>3</v>
      </c>
      <c r="E74" t="s">
        <v>4</v>
      </c>
      <c r="H74" t="s">
        <v>0</v>
      </c>
      <c r="I74" t="s">
        <v>1</v>
      </c>
      <c r="J74" t="s">
        <v>2</v>
      </c>
      <c r="K74" t="s">
        <v>3</v>
      </c>
      <c r="L74" t="s">
        <v>4</v>
      </c>
      <c r="O74" t="s">
        <v>0</v>
      </c>
      <c r="P74" t="s">
        <v>1</v>
      </c>
      <c r="Q74" t="s">
        <v>2</v>
      </c>
      <c r="R74" t="s">
        <v>3</v>
      </c>
      <c r="S74" t="s">
        <v>4</v>
      </c>
    </row>
    <row r="75" spans="1:19" x14ac:dyDescent="0.3">
      <c r="A75">
        <v>1</v>
      </c>
      <c r="B75">
        <v>0</v>
      </c>
      <c r="C75">
        <f>100*950574/2156408</f>
        <v>44.08136122663244</v>
      </c>
      <c r="D75">
        <f>100*512905/2022997</f>
        <v>25.35372024773146</v>
      </c>
      <c r="E75">
        <f>IF(COUNT(C75:D75)=2,D75-C75,"")</f>
        <v>-18.72764097890098</v>
      </c>
      <c r="H75">
        <v>1</v>
      </c>
      <c r="I75">
        <v>0</v>
      </c>
      <c r="J75">
        <f>100*1161020/2178231</f>
        <v>53.30105025591868</v>
      </c>
      <c r="K75">
        <f>100*174216/1402433</f>
        <v>12.42241162322906</v>
      </c>
      <c r="L75">
        <f>IF(COUNT(J75:K75)=2,K75-J75,"")</f>
        <v>-40.87863863268962</v>
      </c>
      <c r="O75">
        <v>1</v>
      </c>
      <c r="P75">
        <v>0</v>
      </c>
      <c r="Q75">
        <f>100*17855/657603</f>
        <v>2.7151640123296272</v>
      </c>
      <c r="R75">
        <f>100*102606/903186</f>
        <v>11.360450671290298</v>
      </c>
      <c r="S75">
        <f>IF(COUNT(Q75:R75)=2,R75-Q75,"")</f>
        <v>8.645286658960671</v>
      </c>
    </row>
    <row r="76" spans="1:19" x14ac:dyDescent="0.3">
      <c r="A76">
        <v>2</v>
      </c>
      <c r="B76">
        <v>1</v>
      </c>
      <c r="C76">
        <f>100*784284/1919387</f>
        <v>40.861170780045924</v>
      </c>
      <c r="D76">
        <f>100*577256/2385201</f>
        <v>24.201566241167935</v>
      </c>
      <c r="E76">
        <f>IF(COUNT(C76:D76)=2,D76-C76,"")</f>
        <v>-16.65960453887799</v>
      </c>
      <c r="H76">
        <v>2</v>
      </c>
      <c r="I76">
        <v>1</v>
      </c>
      <c r="J76">
        <f>100*920313/2115455</f>
        <v>43.50425794923551</v>
      </c>
      <c r="K76">
        <f>100*299420/1752483</f>
        <v>17.08547244110214</v>
      </c>
      <c r="L76">
        <f>IF(COUNT(J76:K76)=2,K76-J76,"")</f>
        <v>-26.418785508133368</v>
      </c>
      <c r="O76">
        <v>2</v>
      </c>
      <c r="P76">
        <v>1</v>
      </c>
      <c r="Q76">
        <f>100*506051/1366563</f>
        <v>37.03093088280599</v>
      </c>
      <c r="R76">
        <f>100*327023/1503739</f>
        <v>21.747324502456877</v>
      </c>
      <c r="S76">
        <f>IF(COUNT(Q76:R76)=2,R76-Q76,"")</f>
        <v>-15.283606380349113</v>
      </c>
    </row>
    <row r="77" spans="1:19" x14ac:dyDescent="0.3">
      <c r="A77">
        <v>3</v>
      </c>
      <c r="B77">
        <v>2</v>
      </c>
      <c r="C77">
        <f>100*45924/1162874</f>
        <v>3.949181080667381</v>
      </c>
      <c r="D77">
        <f>100*528170/1920113</f>
        <v>27.50723525125865</v>
      </c>
      <c r="E77">
        <f>IF(COUNT(C77:D77)=2,D77-C77,"")</f>
        <v>23.55805417059127</v>
      </c>
      <c r="H77">
        <v>3</v>
      </c>
      <c r="I77">
        <v>2</v>
      </c>
      <c r="J77">
        <f>100*702390/1654096</f>
        <v>42.46367804528879</v>
      </c>
      <c r="K77">
        <f>100*214602/1488084</f>
        <v>14.421363310135717</v>
      </c>
      <c r="L77">
        <f>IF(COUNT(J77:K77)=2,K77-J77,"")</f>
        <v>-28.04231473515307</v>
      </c>
      <c r="O77">
        <v>3</v>
      </c>
      <c r="P77">
        <v>2</v>
      </c>
      <c r="Q77">
        <f>100*580189/1478595</f>
        <v>39.239210196165956</v>
      </c>
      <c r="R77">
        <f>100*277808/1305276</f>
        <v>21.283468017492087</v>
      </c>
      <c r="S77">
        <f>IF(COUNT(Q77:R77)=2,R77-Q77,"")</f>
        <v>-17.95574217867387</v>
      </c>
    </row>
    <row r="78" spans="1:19" x14ac:dyDescent="0.3">
      <c r="A78">
        <v>4</v>
      </c>
      <c r="B78">
        <v>3</v>
      </c>
      <c r="C78">
        <f>100*987891/1871797</f>
        <v>52.77767834866708</v>
      </c>
      <c r="D78">
        <f>100*119432/1129157</f>
        <v>10.577094239330757</v>
      </c>
      <c r="E78">
        <f>IF(COUNT(C78:D78)=2,D78-C78,"")</f>
        <v>-42.200584109336326</v>
      </c>
      <c r="H78">
        <v>4</v>
      </c>
      <c r="I78">
        <v>3</v>
      </c>
      <c r="J78">
        <f>100*827459/1741510</f>
        <v>47.51388163145776</v>
      </c>
      <c r="K78">
        <f>100*5357/648027</f>
        <v>0.8266630865689238</v>
      </c>
      <c r="L78">
        <f>IF(COUNT(J78:K78)=2,K78-J78,"")</f>
        <v>-46.687218544888836</v>
      </c>
      <c r="O78">
        <v>4</v>
      </c>
      <c r="P78">
        <v>3</v>
      </c>
      <c r="Q78">
        <f>100*617738/1364388</f>
        <v>45.27583062882406</v>
      </c>
      <c r="R78">
        <f>100*421637/1606522</f>
        <v>26.245329973694727</v>
      </c>
      <c r="S78">
        <f>IF(COUNT(Q78:R78)=2,R78-Q78,"")</f>
        <v>-19.030500655129334</v>
      </c>
    </row>
    <row r="79" spans="1:19" x14ac:dyDescent="0.3">
      <c r="A79">
        <v>5</v>
      </c>
      <c r="B79">
        <v>4</v>
      </c>
      <c r="C79">
        <f>100*1067979/2182567</f>
        <v>48.932243546246234</v>
      </c>
      <c r="D79">
        <f>100*579360/2113285</f>
        <v>27.415138043377965</v>
      </c>
      <c r="E79">
        <f>IF(COUNT(C79:D79)=2,D79-C79,"")</f>
        <v>-21.51710550286827</v>
      </c>
      <c r="H79">
        <v>5</v>
      </c>
      <c r="I79">
        <v>4</v>
      </c>
      <c r="J79">
        <f>100*1035328/2211231</f>
        <v>46.82134069213031</v>
      </c>
      <c r="K79">
        <f>100*5927/25649</f>
        <v>23.108113376739833</v>
      </c>
      <c r="L79">
        <f>IF(COUNT(J79:K79)=2,K79-J79,"")</f>
        <v>-23.71322731539048</v>
      </c>
      <c r="O79">
        <v>5</v>
      </c>
      <c r="P79">
        <v>4</v>
      </c>
      <c r="Q79">
        <f>100*829508/1701576</f>
        <v>48.749394678815406</v>
      </c>
      <c r="R79">
        <f>100*17589/715363</f>
        <v>2.4587517106699677</v>
      </c>
      <c r="S79">
        <f>IF(COUNT(Q79:R79)=2,R79-Q79,"")</f>
        <v>-46.29064296814544</v>
      </c>
    </row>
    <row r="80" spans="1:19" x14ac:dyDescent="0.3">
      <c r="A80">
        <v>6</v>
      </c>
      <c r="B80">
        <v>5</v>
      </c>
      <c r="C80">
        <f>100*819594/1914103</f>
        <v>42.81869888924473</v>
      </c>
      <c r="D80">
        <f>100*169080/1387316</f>
        <v>12.187562170406743</v>
      </c>
      <c r="E80">
        <f>IF(COUNT(C80:D80)=2,D80-C80,"")</f>
        <v>-30.631136718837986</v>
      </c>
      <c r="H80">
        <v>6</v>
      </c>
      <c r="I80">
        <v>5</v>
      </c>
      <c r="J80">
        <f>100*627723/1597246</f>
        <v>39.30033319851795</v>
      </c>
      <c r="K80">
        <f>100*104773/1236061</f>
        <v>8.476361603513094</v>
      </c>
      <c r="L80">
        <f>IF(COUNT(J80:K80)=2,K80-J80,"")</f>
        <v>-30.823971595004853</v>
      </c>
      <c r="O80">
        <v>6</v>
      </c>
      <c r="P80">
        <v>5</v>
      </c>
      <c r="Q80">
        <f>100*561642/1450968</f>
        <v>38.70809004747176</v>
      </c>
      <c r="R80">
        <f>100*236699/1339849</f>
        <v>17.666095209236264</v>
      </c>
      <c r="S80">
        <f>IF(COUNT(Q80:R80)=2,R80-Q80,"")</f>
        <v>-21.041994838235492</v>
      </c>
    </row>
    <row r="81" spans="1:19" x14ac:dyDescent="0.3">
      <c r="A81">
        <v>7</v>
      </c>
      <c r="B81">
        <v>6</v>
      </c>
      <c r="C81">
        <f>100*6901/528040</f>
        <v>1.3069085675327627</v>
      </c>
      <c r="D81">
        <f>100*68174/1031890</f>
        <v>6.606711955731716</v>
      </c>
      <c r="E81">
        <f>IF(COUNT(C81:D81)=2,D81-C81,"")</f>
        <v>5.299803388198953</v>
      </c>
      <c r="H81">
        <v>7</v>
      </c>
      <c r="I81">
        <v>6</v>
      </c>
      <c r="J81">
        <f>100*3904/710153</f>
        <v>0.5497406896823642</v>
      </c>
      <c r="K81">
        <f>100*45163/959894</f>
        <v>4.704998676937245</v>
      </c>
      <c r="L81">
        <f>IF(COUNT(J81:K81)=2,K81-J81,"")</f>
        <v>4.15525798725488</v>
      </c>
      <c r="O81">
        <v>7</v>
      </c>
      <c r="P81">
        <v>6</v>
      </c>
      <c r="Q81">
        <f>100*769806/1827455</f>
        <v>42.124484597431945</v>
      </c>
      <c r="R81">
        <f>100*126507/881121</f>
        <v>14.357505949807122</v>
      </c>
      <c r="S81">
        <f>IF(COUNT(Q81:R81)=2,R81-Q81,"")</f>
        <v>-27.766978647624825</v>
      </c>
    </row>
    <row r="82" spans="1:19" x14ac:dyDescent="0.3">
      <c r="A82">
        <v>8</v>
      </c>
      <c r="B82">
        <v>7</v>
      </c>
      <c r="C82">
        <f>100*8971/665002</f>
        <v>1.3490184991924836</v>
      </c>
      <c r="D82">
        <f>100*18071/668480</f>
        <v>2.7032970320727623</v>
      </c>
      <c r="E82">
        <f>IF(COUNT(C82:D82)=2,D82-C82,"")</f>
        <v>1.3542785328802787</v>
      </c>
      <c r="H82">
        <v>8</v>
      </c>
      <c r="I82">
        <v>7</v>
      </c>
      <c r="J82">
        <f>100*7411/619510</f>
        <v>1.1962680182725056</v>
      </c>
      <c r="K82">
        <f>100*1867/485277</f>
        <v>0.3847287219464347</v>
      </c>
      <c r="L82">
        <f>IF(COUNT(J82:K82)=2,K82-J82,"")</f>
        <v>-0.8115392963260709</v>
      </c>
      <c r="O82">
        <v>8</v>
      </c>
      <c r="P82">
        <v>7</v>
      </c>
      <c r="Q82">
        <f>100*842526/1806467</f>
        <v>46.63943487481365</v>
      </c>
      <c r="R82">
        <f>100*428731/1803720</f>
        <v>23.769265739693523</v>
      </c>
      <c r="S82">
        <f>IF(COUNT(Q82:R82)=2,R82-Q82,"")</f>
        <v>-22.87016913512013</v>
      </c>
    </row>
    <row r="83" spans="1:19" x14ac:dyDescent="0.3">
      <c r="A83">
        <v>9</v>
      </c>
      <c r="B83">
        <v>8</v>
      </c>
      <c r="C83">
        <f>100*766923/1967808</f>
        <v>38.9734669236023</v>
      </c>
      <c r="D83">
        <f>100*503953/1700235</f>
        <v>29.640196796325213</v>
      </c>
      <c r="E83">
        <f>IF(COUNT(C83:D83)=2,D83-C83,"")</f>
        <v>-9.333270127277089</v>
      </c>
      <c r="H83">
        <v>9</v>
      </c>
      <c r="I83">
        <v>8</v>
      </c>
      <c r="J83">
        <f>100*986121/2196978</f>
        <v>44.88533795058485</v>
      </c>
      <c r="K83">
        <f>100*248522/1520565</f>
        <v>16.34405632117009</v>
      </c>
      <c r="L83">
        <f>IF(COUNT(J83:K83)=2,K83-J83,"")</f>
        <v>-28.541281629414758</v>
      </c>
      <c r="O83">
        <v>9</v>
      </c>
      <c r="P83">
        <v>8</v>
      </c>
      <c r="Q83">
        <f>100*418704/1300185</f>
        <v>32.20341720601299</v>
      </c>
      <c r="R83">
        <f>100*317471/1452570</f>
        <v>21.855814177629995</v>
      </c>
      <c r="S83">
        <f>IF(COUNT(Q83:R83)=2,R83-Q83,"")</f>
        <v>-10.347603028382999</v>
      </c>
    </row>
    <row r="84" spans="1:19" x14ac:dyDescent="0.3">
      <c r="A84">
        <v>10</v>
      </c>
      <c r="B84">
        <v>9</v>
      </c>
      <c r="C84">
        <f>100*193316/1207283</f>
        <v>16.012484231120624</v>
      </c>
      <c r="D84">
        <f>100*203395/1240289</f>
        <v>16.39900055551569</v>
      </c>
      <c r="E84">
        <f>IF(COUNT(C84:D84)=2,D84-C84,"")</f>
        <v>0.38651632439506756</v>
      </c>
      <c r="H84">
        <v>10</v>
      </c>
      <c r="I84">
        <v>9</v>
      </c>
      <c r="J84">
        <f>100*1094395/2180634</f>
        <v>50.187009832920154</v>
      </c>
      <c r="K84">
        <f>100*3188/106994</f>
        <v>2.9796063330654055</v>
      </c>
      <c r="L84">
        <f>IF(COUNT(J84:K84)=2,K84-J84,"")</f>
        <v>-47.20740349985475</v>
      </c>
      <c r="O84">
        <v>10</v>
      </c>
      <c r="P84">
        <v>9</v>
      </c>
      <c r="Q84">
        <f>100*10580/624813</f>
        <v>1.6933066373458938</v>
      </c>
      <c r="R84">
        <f>100*205139/1200960</f>
        <v>17.0812516653344</v>
      </c>
      <c r="S84">
        <f>IF(COUNT(Q84:R84)=2,R84-Q84,"")</f>
        <v>15.387945027988506</v>
      </c>
    </row>
    <row r="85" spans="1:19" x14ac:dyDescent="0.3">
      <c r="A85">
        <v>11</v>
      </c>
      <c r="B85">
        <v>10</v>
      </c>
      <c r="C85">
        <f>100*1000200/2058009</f>
        <v>48.60037055231537</v>
      </c>
      <c r="D85">
        <f>100*43279/955036</f>
        <v>4.531661633697578</v>
      </c>
      <c r="E85">
        <f>IF(COUNT(C85:D85)=2,D85-C85,"")</f>
        <v>-44.06870891861779</v>
      </c>
      <c r="H85">
        <v>11</v>
      </c>
      <c r="I85">
        <v>10</v>
      </c>
      <c r="J85">
        <f>100*1248271/2251399</f>
        <v>55.444237116566185</v>
      </c>
      <c r="K85">
        <f>100*122107/1289859</f>
        <v>9.466693646359795</v>
      </c>
      <c r="L85">
        <f>IF(COUNT(J85:K85)=2,K85-J85,"")</f>
        <v>-45.97754347020639</v>
      </c>
      <c r="O85">
        <v>11</v>
      </c>
      <c r="P85">
        <v>10</v>
      </c>
      <c r="Q85">
        <f>100*858874/1796310</f>
        <v>47.8132393629162</v>
      </c>
      <c r="R85">
        <f>100*383696/1535213</f>
        <v>24.993013998708975</v>
      </c>
      <c r="S85">
        <f>IF(COUNT(Q85:R85)=2,R85-Q85,"")</f>
        <v>-22.820225364207225</v>
      </c>
    </row>
    <row r="86" spans="1:19" x14ac:dyDescent="0.3">
      <c r="A86">
        <v>12</v>
      </c>
      <c r="B86">
        <v>11</v>
      </c>
      <c r="C86">
        <f>100*1083380/2227336</f>
        <v>48.640169242539066</v>
      </c>
      <c r="D86">
        <f>100*37017/1062466</f>
        <v>3.48406443123827</v>
      </c>
      <c r="E86">
        <f>IF(COUNT(C86:D86)=2,D86-C86,"")</f>
        <v>-45.15610481130079</v>
      </c>
      <c r="H86">
        <v>12</v>
      </c>
      <c r="I86">
        <v>11</v>
      </c>
      <c r="J86">
        <f>100*847034/1777114</f>
        <v>47.66345884394586</v>
      </c>
      <c r="K86">
        <f>100*28807/1080787</f>
        <v>2.665372547967361</v>
      </c>
      <c r="L86">
        <f>IF(COUNT(J86:K86)=2,K86-J86,"")</f>
        <v>-44.9980862959785</v>
      </c>
      <c r="O86">
        <v>12</v>
      </c>
      <c r="P86">
        <v>11</v>
      </c>
      <c r="Q86">
        <f>100*739588/1710894</f>
        <v>43.22816024838476</v>
      </c>
      <c r="R86">
        <f>100*297170/1241914</f>
        <v>23.928387956009836</v>
      </c>
      <c r="S86">
        <f>IF(COUNT(Q86:R86)=2,R86-Q86,"")</f>
        <v>-19.299772292374925</v>
      </c>
    </row>
    <row r="87" spans="1:19" x14ac:dyDescent="0.3">
      <c r="A87">
        <v>13</v>
      </c>
      <c r="B87">
        <v>12</v>
      </c>
      <c r="C87">
        <f>100*7212/818878</f>
        <v>0.8807172741238621</v>
      </c>
      <c r="D87">
        <f>100*7648/676193</f>
        <v>1.131038032041148</v>
      </c>
      <c r="E87">
        <f>IF(COUNT(C87:D87)=2,D87-C87,"")</f>
        <v>0.2503207579172858</v>
      </c>
      <c r="H87">
        <v>13</v>
      </c>
      <c r="I87">
        <v>12</v>
      </c>
      <c r="J87">
        <f>100*767025/1720041</f>
        <v>44.593413761648705</v>
      </c>
      <c r="K87">
        <f>100*20356/820917</f>
        <v>2.4796660320105444</v>
      </c>
      <c r="L87">
        <f>IF(COUNT(J87:K87)=2,K87-J87,"")</f>
        <v>-42.11374772963816</v>
      </c>
      <c r="O87">
        <v>13</v>
      </c>
      <c r="P87">
        <v>12</v>
      </c>
      <c r="Q87">
        <f>100*371461/1317955</f>
        <v>28.18464970351795</v>
      </c>
      <c r="R87">
        <f>100*82421/923685</f>
        <v>8.923063598521141</v>
      </c>
      <c r="S87">
        <f>IF(COUNT(Q87:R87)=2,R87-Q87,"")</f>
        <v>-19.26158610499681</v>
      </c>
    </row>
    <row r="88" spans="1:19" x14ac:dyDescent="0.3">
      <c r="A88">
        <v>14</v>
      </c>
      <c r="B88">
        <v>13</v>
      </c>
      <c r="C88">
        <f>100*92689/774868</f>
        <v>11.961908350841691</v>
      </c>
      <c r="D88">
        <f>100*2014/544682</f>
        <v>0.36975703254375947</v>
      </c>
      <c r="E88">
        <f>IF(COUNT(C88:D88)=2,D88-C88,"")</f>
        <v>-11.592151318297931</v>
      </c>
      <c r="H88">
        <v>14</v>
      </c>
      <c r="I88">
        <v>13</v>
      </c>
      <c r="J88">
        <f>100*438708/1328922</f>
        <v>33.01232126490494</v>
      </c>
      <c r="K88">
        <f>100*2571/555761</f>
        <v>0.4626089272187145</v>
      </c>
      <c r="L88">
        <f>IF(COUNT(J88:K88)=2,K88-J88,"")</f>
        <v>-32.54971233768622</v>
      </c>
      <c r="O88">
        <v>14</v>
      </c>
      <c r="P88">
        <v>13</v>
      </c>
      <c r="Q88">
        <f>100*183244/894097</f>
        <v>20.494868006491465</v>
      </c>
      <c r="R88">
        <f>100*11876/629387</f>
        <v>1.8869153636792626</v>
      </c>
      <c r="S88">
        <f>IF(COUNT(Q88:R88)=2,R88-Q88,"")</f>
        <v>-18.607952642812204</v>
      </c>
    </row>
    <row r="89" spans="1:19" x14ac:dyDescent="0.3">
      <c r="A89">
        <v>15</v>
      </c>
      <c r="B89">
        <v>14</v>
      </c>
      <c r="C89">
        <f>100*410087/1559215</f>
        <v>26.30086293423293</v>
      </c>
      <c r="D89">
        <f>100*274287/1653476</f>
        <v>16.58850808841495</v>
      </c>
      <c r="E89">
        <f>IF(COUNT(C89:D89)=2,D89-C89,"")</f>
        <v>-9.71235484581798</v>
      </c>
      <c r="H89">
        <v>15</v>
      </c>
      <c r="I89">
        <v>14</v>
      </c>
      <c r="J89">
        <f>100*378843/1975907</f>
        <v>19.173118977765654</v>
      </c>
      <c r="K89">
        <f>100*185528/1464910</f>
        <v>12.664805346403533</v>
      </c>
      <c r="L89">
        <f>IF(COUNT(J89:K89)=2,K89-J89,"")</f>
        <v>-6.508313631362121</v>
      </c>
      <c r="O89">
        <v>15</v>
      </c>
      <c r="P89">
        <v>14</v>
      </c>
      <c r="Q89">
        <f>100*672160/1590176</f>
        <v>42.269534944559595</v>
      </c>
      <c r="R89">
        <f>100*481368/1686166</f>
        <v>28.54807889614664</v>
      </c>
      <c r="S89">
        <f>IF(COUNT(Q89:R89)=2,R89-Q89,"")</f>
        <v>-13.721456048412954</v>
      </c>
    </row>
    <row r="90" spans="1:19" x14ac:dyDescent="0.3">
      <c r="A90">
        <v>16</v>
      </c>
      <c r="B90">
        <v>15</v>
      </c>
      <c r="C90">
        <f>100*1111193/2179314</f>
        <v>50.988200874220055</v>
      </c>
      <c r="D90">
        <f>100*178471/1377502</f>
        <v>12.95613363900742</v>
      </c>
      <c r="E90">
        <f>IF(COUNT(C90:D90)=2,D90-C90,"")</f>
        <v>-38.03206723521264</v>
      </c>
      <c r="H90">
        <v>16</v>
      </c>
      <c r="I90">
        <v>15</v>
      </c>
      <c r="J90">
        <f>100*769550/1774401</f>
        <v>43.36956527864896</v>
      </c>
      <c r="K90">
        <f>100*48785/1099121</f>
        <v>4.4385468023993715</v>
      </c>
      <c r="L90">
        <f>IF(COUNT(J90:K90)=2,K90-J90,"")</f>
        <v>-38.93101847624959</v>
      </c>
      <c r="O90">
        <v>16</v>
      </c>
      <c r="P90">
        <v>15</v>
      </c>
      <c r="Q90">
        <f>100*705277/1721980</f>
        <v>40.95732819196506</v>
      </c>
      <c r="R90">
        <f>100*353800/1632878</f>
        <v>21.6672647925932</v>
      </c>
      <c r="S90">
        <f>IF(COUNT(Q90:R90)=2,R90-Q90,"")</f>
        <v>-19.29006339937186</v>
      </c>
    </row>
    <row r="91" spans="1:19" x14ac:dyDescent="0.3">
      <c r="A91">
        <v>17</v>
      </c>
      <c r="B91">
        <v>16</v>
      </c>
      <c r="C91">
        <f>100*743599/1773793</f>
        <v>41.921407965867495</v>
      </c>
      <c r="D91">
        <f>100*226620/1573444</f>
        <v>14.402800480983117</v>
      </c>
      <c r="E91">
        <f>IF(COUNT(C91:D91)=2,D91-C91,"")</f>
        <v>-27.518607484884377</v>
      </c>
      <c r="H91">
        <v>17</v>
      </c>
      <c r="I91">
        <v>16</v>
      </c>
      <c r="J91">
        <f>100*3265/88900</f>
        <v>3.6726659167604048</v>
      </c>
      <c r="K91">
        <f>100*546525/1932899</f>
        <v>28.274886582278743</v>
      </c>
      <c r="L91">
        <f>IF(COUNT(J91:K91)=2,K91-J91,"")</f>
        <v>24.602220665518338</v>
      </c>
      <c r="O91">
        <v>17</v>
      </c>
      <c r="P91">
        <v>16</v>
      </c>
      <c r="Q91">
        <f>100*16305/441767</f>
        <v>3.690859661314675</v>
      </c>
      <c r="R91">
        <f>100*9457/450561</f>
        <v>2.098938878420458</v>
      </c>
      <c r="S91">
        <f>IF(COUNT(Q91:R91)=2,R91-Q91,"")</f>
        <v>-1.591920782894217</v>
      </c>
    </row>
    <row r="92" spans="1:19" x14ac:dyDescent="0.3">
      <c r="A92">
        <v>18</v>
      </c>
      <c r="B92">
        <v>17</v>
      </c>
      <c r="C92">
        <f>100*929466/2060823</f>
        <v>45.10168995590597</v>
      </c>
      <c r="D92">
        <f>100*97448/1016569</f>
        <v>9.585970062042026</v>
      </c>
      <c r="E92">
        <f>IF(COUNT(C92:D92)=2,D92-C92,"")</f>
        <v>-35.515719893863945</v>
      </c>
      <c r="H92">
        <v>18</v>
      </c>
      <c r="I92">
        <v>17</v>
      </c>
      <c r="K92">
        <f>100*315/17515</f>
        <v>1.7984584641735655</v>
      </c>
      <c r="L92" t="str">
        <f>IF(COUNT(J92:K92)=2,K92-J92,"")</f>
        <v/>
      </c>
      <c r="O92">
        <v>18</v>
      </c>
      <c r="P92">
        <v>17</v>
      </c>
      <c r="Q92">
        <f>100*156937/709883</f>
        <v>22.10744587488361</v>
      </c>
      <c r="R92">
        <f>100*2777/498167</f>
        <v>0.5574435881943204</v>
      </c>
      <c r="S92">
        <f>IF(COUNT(Q92:R92)=2,R92-Q92,"")</f>
        <v>-21.55000228668929</v>
      </c>
    </row>
    <row r="93" spans="1:19" x14ac:dyDescent="0.3">
      <c r="A93">
        <v>19</v>
      </c>
      <c r="B93">
        <v>18</v>
      </c>
      <c r="C93">
        <f>100*675293/1785174</f>
        <v>37.82785319526276</v>
      </c>
      <c r="D93">
        <f>100*30244/1052262</f>
        <v>2.8741891278027714</v>
      </c>
      <c r="E93">
        <f>IF(COUNT(C93:D93)=2,D93-C93,"")</f>
        <v>-34.95366406745999</v>
      </c>
      <c r="H93">
        <v>19</v>
      </c>
      <c r="I93">
        <v>18</v>
      </c>
      <c r="J93">
        <f>100*453701/1228767</f>
        <v>36.9232734928591</v>
      </c>
      <c r="K93">
        <f>100*76653/787119</f>
        <v>9.73842582887721</v>
      </c>
      <c r="L93">
        <f>IF(COUNT(J93:K93)=2,K93-J93,"")</f>
        <v>-27.18484766398189</v>
      </c>
      <c r="O93">
        <v>19</v>
      </c>
      <c r="P93">
        <v>18</v>
      </c>
      <c r="Q93">
        <f>100*736264/1588962</f>
        <v>46.33616159480214</v>
      </c>
      <c r="R93">
        <f>100*270643/1463928</f>
        <v>18.48745293484379</v>
      </c>
      <c r="S93">
        <f>IF(COUNT(Q93:R93)=2,R93-Q93,"")</f>
        <v>-27.84870865995835</v>
      </c>
    </row>
    <row r="94" spans="1:19" x14ac:dyDescent="0.3">
      <c r="A94">
        <v>20</v>
      </c>
      <c r="B94">
        <v>19</v>
      </c>
      <c r="C94">
        <f>100*1003210/2172217</f>
        <v>46.18369159250664</v>
      </c>
      <c r="D94">
        <f>100*187980/1413093</f>
        <v>13.302733790345009</v>
      </c>
      <c r="E94">
        <f>IF(COUNT(C94:D94)=2,D94-C94,"")</f>
        <v>-32.88095780216163</v>
      </c>
      <c r="H94">
        <v>20</v>
      </c>
      <c r="I94">
        <v>19</v>
      </c>
      <c r="J94">
        <f>100*896581/2145144</f>
        <v>41.79584214393066</v>
      </c>
      <c r="K94">
        <f>100*244131/1272089</f>
        <v>19.191345888534528</v>
      </c>
      <c r="L94">
        <f>IF(COUNT(J94:K94)=2,K94-J94,"")</f>
        <v>-22.604496255396135</v>
      </c>
      <c r="O94">
        <v>20</v>
      </c>
      <c r="P94">
        <v>19</v>
      </c>
      <c r="Q94">
        <f>100*596231/1430518</f>
        <v>41.67937767997327</v>
      </c>
      <c r="R94">
        <f>100*325641/1563228</f>
        <v>20.83131827219062</v>
      </c>
      <c r="S94">
        <f>IF(COUNT(Q94:R94)=2,R94-Q94,"")</f>
        <v>-20.84805940778265</v>
      </c>
    </row>
    <row r="95" spans="1:19" x14ac:dyDescent="0.3">
      <c r="A95">
        <v>21</v>
      </c>
      <c r="B95">
        <v>20</v>
      </c>
      <c r="C95">
        <f>100*814501/1741903</f>
        <v>46.759262714399135</v>
      </c>
      <c r="D95">
        <f>100*82165/543038</f>
        <v>15.130617010227645</v>
      </c>
      <c r="E95">
        <f>IF(COUNT(C95:D95)=2,D95-C95,"")</f>
        <v>-31.62864570417149</v>
      </c>
      <c r="H95">
        <v>21</v>
      </c>
      <c r="I95">
        <v>20</v>
      </c>
      <c r="J95">
        <f>100*923720/1857736</f>
        <v>49.722888505148205</v>
      </c>
      <c r="K95">
        <f>100*66612/850383</f>
        <v>7.833176345246788</v>
      </c>
      <c r="L95">
        <f>IF(COUNT(J95:K95)=2,K95-J95,"")</f>
        <v>-41.889712159901414</v>
      </c>
      <c r="O95">
        <v>21</v>
      </c>
      <c r="P95">
        <v>20</v>
      </c>
      <c r="Q95">
        <f>100*808426/1622789</f>
        <v>49.817074185245275</v>
      </c>
      <c r="R95">
        <f>100*308228/1422240</f>
        <v>21.672010349870625</v>
      </c>
      <c r="S95">
        <f>IF(COUNT(Q95:R95)=2,R95-Q95,"")</f>
        <v>-28.14506383537465</v>
      </c>
    </row>
    <row r="96" spans="1:19" x14ac:dyDescent="0.3">
      <c r="A96">
        <v>22</v>
      </c>
      <c r="B96">
        <v>21</v>
      </c>
      <c r="C96">
        <f>100*599877/1809045</f>
        <v>33.15987164498396</v>
      </c>
      <c r="D96">
        <f>100*252627/1364959</f>
        <v>18.508028446275677</v>
      </c>
      <c r="E96">
        <f>IF(COUNT(C96:D96)=2,D96-C96,"")</f>
        <v>-14.651843198708281</v>
      </c>
      <c r="H96">
        <v>22</v>
      </c>
      <c r="I96">
        <v>21</v>
      </c>
      <c r="J96">
        <f>100*1034872/2267546</f>
        <v>45.63841262757183</v>
      </c>
      <c r="K96">
        <f>100*182901/1150166</f>
        <v>15.902139343364349</v>
      </c>
      <c r="L96">
        <f>IF(COUNT(J96:K96)=2,K96-J96,"")</f>
        <v>-29.736273284207485</v>
      </c>
      <c r="O96">
        <v>22</v>
      </c>
      <c r="P96">
        <v>21</v>
      </c>
      <c r="Q96">
        <f>100*248293/932917</f>
        <v>26.614693482914344</v>
      </c>
      <c r="R96">
        <f>100*332111/1508463</f>
        <v>22.016516149219438</v>
      </c>
      <c r="S96">
        <f>IF(COUNT(Q96:R96)=2,R96-Q96,"")</f>
        <v>-4.598177333694906</v>
      </c>
    </row>
    <row r="97" spans="1:19" x14ac:dyDescent="0.3">
      <c r="A97">
        <v>23</v>
      </c>
      <c r="B97">
        <v>22</v>
      </c>
      <c r="C97">
        <f>100*649730/1525642</f>
        <v>42.58731733919229</v>
      </c>
      <c r="D97">
        <f>100*379274/1815353</f>
        <v>20.892575713924508</v>
      </c>
      <c r="E97">
        <f>IF(COUNT(C97:D97)=2,D97-C97,"")</f>
        <v>-21.69474162526778</v>
      </c>
      <c r="H97">
        <v>23</v>
      </c>
      <c r="I97">
        <v>22</v>
      </c>
      <c r="J97">
        <f>100*954501/1934417</f>
        <v>49.34308373013678</v>
      </c>
      <c r="K97">
        <f>100*235167/1686818</f>
        <v>13.941456636104192</v>
      </c>
      <c r="L97">
        <f>IF(COUNT(J97:K97)=2,K97-J97,"")</f>
        <v>-35.40162709403259</v>
      </c>
      <c r="O97">
        <v>23</v>
      </c>
      <c r="P97">
        <v>22</v>
      </c>
      <c r="Q97">
        <f>100*491/406810</f>
        <v>0.12069516481895726</v>
      </c>
      <c r="R97">
        <f>100*1683/759453</f>
        <v>0.22160686704773042</v>
      </c>
      <c r="S97">
        <f>IF(COUNT(Q97:R97)=2,R97-Q97,"")</f>
        <v>0.10091170222877316</v>
      </c>
    </row>
    <row r="98" spans="1:19" x14ac:dyDescent="0.3">
      <c r="A98">
        <v>24</v>
      </c>
      <c r="B98">
        <v>23</v>
      </c>
      <c r="C98">
        <f>100*540481/1325139</f>
        <v>40.786740108018854</v>
      </c>
      <c r="D98">
        <f>100*148400/1186866</f>
        <v>12.503517667537869</v>
      </c>
      <c r="E98">
        <f>IF(COUNT(C98:D98)=2,D98-C98,"")</f>
        <v>-28.283222440480984</v>
      </c>
      <c r="H98">
        <v>24</v>
      </c>
      <c r="I98">
        <v>23</v>
      </c>
      <c r="J98">
        <f>100*677655/1567258</f>
        <v>43.238254326983814</v>
      </c>
      <c r="K98">
        <f>100*21175/907915</f>
        <v>2.3322667870891</v>
      </c>
      <c r="L98">
        <f>IF(COUNT(J98:K98)=2,K98-J98,"")</f>
        <v>-40.90598753989472</v>
      </c>
      <c r="O98">
        <v>24</v>
      </c>
      <c r="P98">
        <v>23</v>
      </c>
      <c r="Q98">
        <f>100*462555/1165901</f>
        <v>39.67360865116335</v>
      </c>
      <c r="R98">
        <f>100*26103/885345</f>
        <v>2.9483421716957796</v>
      </c>
      <c r="S98">
        <f>IF(COUNT(Q98:R98)=2,R98-Q98,"")</f>
        <v>-36.72526647946757</v>
      </c>
    </row>
    <row r="99" spans="1:19" x14ac:dyDescent="0.3">
      <c r="A99">
        <v>25</v>
      </c>
      <c r="B99">
        <v>24</v>
      </c>
      <c r="C99">
        <f>100*628764/1681845</f>
        <v>37.3853714224557</v>
      </c>
      <c r="D99">
        <f>100*204991/1360214</f>
        <v>15.0704962601473</v>
      </c>
      <c r="E99">
        <f>IF(COUNT(C99:D99)=2,D99-C99,"")</f>
        <v>-22.314875162308397</v>
      </c>
      <c r="H99">
        <v>25</v>
      </c>
      <c r="I99">
        <v>24</v>
      </c>
      <c r="J99">
        <f>100*1059343/2107573</f>
        <v>50.26364448586123</v>
      </c>
      <c r="K99">
        <f>100*98875/772221</f>
        <v>12.80397709981987</v>
      </c>
      <c r="L99">
        <f>IF(COUNT(J99:K99)=2,K99-J99,"")</f>
        <v>-37.45966738604136</v>
      </c>
      <c r="O99">
        <v>25</v>
      </c>
      <c r="P99">
        <v>24</v>
      </c>
      <c r="Q99">
        <f>100*667801/1611354</f>
        <v>41.4434692811139</v>
      </c>
      <c r="R99">
        <f>100*203167/1102764</f>
        <v>18.423434207137703</v>
      </c>
      <c r="S99">
        <f>IF(COUNT(Q99:R99)=2,R99-Q99,"")</f>
        <v>-23.020035073976196</v>
      </c>
    </row>
    <row r="100" spans="1:19" x14ac:dyDescent="0.3">
      <c r="A100">
        <v>26</v>
      </c>
      <c r="B100">
        <v>25</v>
      </c>
      <c r="C100">
        <f>100*1206228/2241810</f>
        <v>53.805987126473696</v>
      </c>
      <c r="D100">
        <f>100*243023/1453360</f>
        <v>16.721459239280012</v>
      </c>
      <c r="E100">
        <f>IF(COUNT(C100:D100)=2,D100-C100,"")</f>
        <v>-37.08452788719369</v>
      </c>
      <c r="H100">
        <v>26</v>
      </c>
      <c r="I100">
        <v>25</v>
      </c>
      <c r="J100">
        <f>100*50542/865957</f>
        <v>5.836548466032378</v>
      </c>
      <c r="K100">
        <f>100*523905/1817211</f>
        <v>28.830168868667425</v>
      </c>
      <c r="L100">
        <f>IF(COUNT(J100:K100)=2,K100-J100,"")</f>
        <v>22.993620402635045</v>
      </c>
      <c r="O100">
        <v>26</v>
      </c>
      <c r="P100">
        <v>25</v>
      </c>
      <c r="Q100">
        <f>100*825215/1789490</f>
        <v>46.114535426294644</v>
      </c>
      <c r="R100">
        <f>100*6167/23931</f>
        <v>25.76992185867703</v>
      </c>
      <c r="S100">
        <f>IF(COUNT(Q100:R100)=2,R100-Q100,"")</f>
        <v>-20.344613567617614</v>
      </c>
    </row>
    <row r="101" spans="1:19" x14ac:dyDescent="0.3">
      <c r="A101">
        <v>27</v>
      </c>
      <c r="B101">
        <v>26</v>
      </c>
      <c r="C101">
        <f>100*312477/1386036</f>
        <v>22.54465251984797</v>
      </c>
      <c r="D101">
        <f>100*115763/1197031</f>
        <v>9.670843946397378</v>
      </c>
      <c r="E101">
        <f>IF(COUNT(C101:D101)=2,D101-C101,"")</f>
        <v>-12.87380857345059</v>
      </c>
      <c r="H101">
        <v>27</v>
      </c>
      <c r="I101">
        <v>26</v>
      </c>
      <c r="J101">
        <f>100*307157/1210949</f>
        <v>25.36498234029674</v>
      </c>
      <c r="K101">
        <f>100*299511/1617711</f>
        <v>18.51449362710645</v>
      </c>
      <c r="L101">
        <f>IF(COUNT(J101:K101)=2,K101-J101,"")</f>
        <v>-6.850488713190291</v>
      </c>
      <c r="O101">
        <v>27</v>
      </c>
      <c r="P101">
        <v>26</v>
      </c>
      <c r="Q101">
        <f>100*889999/1746112</f>
        <v>50.9703272184144</v>
      </c>
      <c r="R101">
        <f>100*436502/1613292</f>
        <v>27.056602276587252</v>
      </c>
      <c r="S101">
        <f>IF(COUNT(Q101:R101)=2,R101-Q101,"")</f>
        <v>-23.913724941827144</v>
      </c>
    </row>
    <row r="102" spans="1:19" x14ac:dyDescent="0.3">
      <c r="A102">
        <v>28</v>
      </c>
      <c r="B102">
        <v>27</v>
      </c>
      <c r="C102">
        <f>100*803250/1998379</f>
        <v>40.19507811080881</v>
      </c>
      <c r="D102">
        <f>100*391966/1958495</f>
        <v>20.013632917112375</v>
      </c>
      <c r="E102">
        <f>IF(COUNT(C102:D102)=2,D102-C102,"")</f>
        <v>-20.181445193696433</v>
      </c>
      <c r="H102">
        <v>28</v>
      </c>
      <c r="I102">
        <v>27</v>
      </c>
      <c r="J102">
        <f>100*499214/1645125</f>
        <v>30.345049768254693</v>
      </c>
      <c r="K102">
        <f>100*188309/1518958</f>
        <v>12.397248640186232</v>
      </c>
      <c r="L102">
        <f>IF(COUNT(J102:K102)=2,K102-J102,"")</f>
        <v>-17.947801128068463</v>
      </c>
      <c r="O102">
        <v>28</v>
      </c>
      <c r="P102">
        <v>27</v>
      </c>
      <c r="Q102">
        <f>100*1300/408366</f>
        <v>0.3183418795884084</v>
      </c>
      <c r="R102">
        <f>100*4587/763658</f>
        <v>0.6006615526845787</v>
      </c>
      <c r="S102">
        <f>IF(COUNT(Q102:R102)=2,R102-Q102,"")</f>
        <v>0.28231967309617023</v>
      </c>
    </row>
    <row r="103" spans="1:19" x14ac:dyDescent="0.3">
      <c r="A103">
        <v>29</v>
      </c>
      <c r="B103">
        <v>28</v>
      </c>
      <c r="C103">
        <f>100*764531/1746891</f>
        <v>43.76523778529971</v>
      </c>
      <c r="D103">
        <f>100*253999/1637397</f>
        <v>15.512365052580407</v>
      </c>
      <c r="E103">
        <f>IF(COUNT(C103:D103)=2,D103-C103,"")</f>
        <v>-28.252872732719304</v>
      </c>
      <c r="H103">
        <v>29</v>
      </c>
      <c r="I103">
        <v>28</v>
      </c>
      <c r="J103">
        <f>100*1050807/2150575</f>
        <v>48.86167652837032</v>
      </c>
      <c r="K103">
        <f>100*428639/1870400</f>
        <v>22.916969632164243</v>
      </c>
      <c r="L103">
        <f>IF(COUNT(J103:K103)=2,K103-J103,"")</f>
        <v>-25.944706896206075</v>
      </c>
      <c r="O103">
        <v>29</v>
      </c>
      <c r="P103">
        <v>28</v>
      </c>
      <c r="Q103">
        <f>100*827171/1762089</f>
        <v>46.94263456613145</v>
      </c>
      <c r="R103">
        <f>100*451590/1627913</f>
        <v>27.740425931852624</v>
      </c>
      <c r="S103">
        <f>IF(COUNT(Q103:R103)=2,R103-Q103,"")</f>
        <v>-19.20220863427883</v>
      </c>
    </row>
    <row r="104" spans="1:19" x14ac:dyDescent="0.3">
      <c r="A104">
        <v>30</v>
      </c>
      <c r="B104">
        <v>29</v>
      </c>
      <c r="C104">
        <f>100*7364/541662</f>
        <v>1.3595194050902593</v>
      </c>
      <c r="D104">
        <f>100*19742/812900</f>
        <v>2.428589002337311</v>
      </c>
      <c r="E104">
        <f>IF(COUNT(C104:D104)=2,D104-C104,"")</f>
        <v>1.0690695972470516</v>
      </c>
      <c r="H104">
        <v>30</v>
      </c>
      <c r="I104">
        <v>29</v>
      </c>
      <c r="J104">
        <f>100*410139/1282634</f>
        <v>31.976308128429466</v>
      </c>
      <c r="K104">
        <f>100*25745/788547</f>
        <v>3.2648656326128944</v>
      </c>
      <c r="L104">
        <f>IF(COUNT(J104:K104)=2,K104-J104,"")</f>
        <v>-28.71144249581657</v>
      </c>
      <c r="O104">
        <v>30</v>
      </c>
      <c r="P104">
        <v>29</v>
      </c>
      <c r="Q104">
        <f>100*806811/1713643</f>
        <v>47.08162668653856</v>
      </c>
      <c r="R104">
        <f>100*198169/1207711</f>
        <v>16.408644120985898</v>
      </c>
      <c r="S104">
        <f>IF(COUNT(Q104:R104)=2,R104-Q104,"")</f>
        <v>-30.672982565552665</v>
      </c>
    </row>
    <row r="105" spans="1:19" x14ac:dyDescent="0.3">
      <c r="A105">
        <v>31</v>
      </c>
      <c r="B105">
        <v>30</v>
      </c>
      <c r="C105">
        <f>100*859640/1902385</f>
        <v>45.187488337008546</v>
      </c>
      <c r="D105">
        <f>100*42285/874859</f>
        <v>4.833350288446481</v>
      </c>
      <c r="E105">
        <f>IF(COUNT(C105:D105)=2,D105-C105,"")</f>
        <v>-40.35413804856206</v>
      </c>
      <c r="H105">
        <v>31</v>
      </c>
      <c r="I105">
        <v>30</v>
      </c>
      <c r="J105">
        <f>100*349588/1410455</f>
        <v>24.785477026916848</v>
      </c>
      <c r="K105">
        <f>100*532492/1924528</f>
        <v>27.668706300973536</v>
      </c>
      <c r="L105">
        <f>IF(COUNT(J105:K105)=2,K105-J105,"")</f>
        <v>2.8832292740566885</v>
      </c>
      <c r="O105">
        <v>31</v>
      </c>
      <c r="P105">
        <v>30</v>
      </c>
      <c r="Q105">
        <f>100*267010/983366</f>
        <v>27.15265730155405</v>
      </c>
      <c r="R105">
        <f>100*2617/426597</f>
        <v>0.6134595414407509</v>
      </c>
      <c r="S105">
        <f>IF(COUNT(Q105:R105)=2,R105-Q105,"")</f>
        <v>-26.5391977601133</v>
      </c>
    </row>
    <row r="106" spans="1:19" x14ac:dyDescent="0.3">
      <c r="A106" t="s">
        <v>5</v>
      </c>
      <c r="C106">
        <f>IF(COUNT(C75:C105)&gt;0,AVERAGE(C75:C105),"")</f>
        <v>34.096955178849896</v>
      </c>
      <c r="D106">
        <f>IF(COUNT(D75:D105)&gt;0,AVERAGE(D75:D105),"")</f>
        <v>13.325930786945221</v>
      </c>
      <c r="E106">
        <f>IF(COUNT(E75:E105)&gt;0,AVERAGE(E75:E105),"")</f>
        <v>-20.771024391904668</v>
      </c>
      <c r="H106" t="s">
        <v>5</v>
      </c>
      <c r="J106">
        <f>IF(COUNT(J75:J105)&gt;0,AVERAGE(J75:J105),"")</f>
        <v>36.69157069983473</v>
      </c>
      <c r="K106">
        <f>IF(COUNT(K75:K105)&gt;0,AVERAGE(K75:K105),"")</f>
        <v>11.559356595934398</v>
      </c>
      <c r="L106">
        <f>IF(COUNT(L75:L105)&gt;0,AVERAGE(L75:L105),"")</f>
        <v>-24.806850832841626</v>
      </c>
      <c r="O106" t="s">
        <v>5</v>
      </c>
      <c r="Q106">
        <f>IF(COUNT(Q75:Q105)&gt;0,AVERAGE(Q75:Q105),"")</f>
        <v>33.786792028213014</v>
      </c>
      <c r="R106">
        <f>IF(COUNT(R75:R105)&gt;0,AVERAGE(R75:R105),"")</f>
        <v>15.910282610445575</v>
      </c>
      <c r="S106">
        <f>IF(COUNT(S75:S105)&gt;0,AVERAGE(S75:S105),"")</f>
        <v>-17.876509417767434</v>
      </c>
    </row>
  </sheetData>
  <mergeCells count="9">
    <mergeCell ref="A73:E73"/>
    <mergeCell ref="H73:L73"/>
    <mergeCell ref="O73:S73"/>
    <mergeCell ref="A1:E1"/>
    <mergeCell ref="H1:L1"/>
    <mergeCell ref="O1:S1"/>
    <mergeCell ref="A37:E37"/>
    <mergeCell ref="H37:L37"/>
    <mergeCell ref="O37:S37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LCC(RREQ, q_1)</vt:lpstr>
      <vt:lpstr>LCC(RREQ, q_2)</vt:lpstr>
      <vt:lpstr>LCC(RREQ, q_3)</vt:lpstr>
      <vt:lpstr>LCC(RREQ, q_4)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JongHyeon Choe</dc:creator>
  <cp:lastModifiedBy>JongHyeon Choe</cp:lastModifiedBy>
  <dcterms:created xsi:type="dcterms:W3CDTF">2015-06-05T18:19:34Z</dcterms:created>
  <dcterms:modified xsi:type="dcterms:W3CDTF">2026-09-14T05:20:47Z</dcterms:modified>
</cp:coreProperties>
</file>