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Collision\Ping_Reply\"/>
    </mc:Choice>
  </mc:AlternateContent>
  <xr:revisionPtr revIDLastSave="0" documentId="13_ncr:1_{82B65950-E6ED-487E-A55B-5AA72CF38313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LCC(RREQ, q_1)" sheetId="1" r:id="rId1"/>
    <sheet name="LCC(RREQ, q_2)" sheetId="2" r:id="rId2"/>
    <sheet name="LCC(RREQ, q_3)" sheetId="4" r:id="rId3"/>
    <sheet name="LCC(RREQ, q_4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<sst xmlns="http://schemas.openxmlformats.org/spreadsheetml/2006/main" count="252" uniqueCount="15">
  <si>
    <t>No</t>
  </si>
  <si>
    <t>nodeId</t>
  </si>
  <si>
    <t>Legacy</t>
  </si>
  <si>
    <t>Proposed</t>
  </si>
  <si>
    <t>Delta</t>
  </si>
  <si>
    <t>AVG</t>
  </si>
  <si>
    <t>차량대수 70, 최고 속력 30km/h</t>
    <phoneticPr fontId="1" type="noConversion"/>
  </si>
  <si>
    <t>차량대수 70, 최고 속력 20km/h</t>
    <phoneticPr fontId="1" type="noConversion"/>
  </si>
  <si>
    <t>차량대수 70, 최고 속력 10km/h</t>
    <phoneticPr fontId="1" type="noConversion"/>
  </si>
  <si>
    <t>차량대수 100, 최고 속력 30km/h</t>
    <phoneticPr fontId="1" type="noConversion"/>
  </si>
  <si>
    <t>차량대수 100, 최고 속력 20km/h</t>
    <phoneticPr fontId="1" type="noConversion"/>
  </si>
  <si>
    <t>차량대수 100, 최고 속력 10km/h</t>
    <phoneticPr fontId="1" type="noConversion"/>
  </si>
  <si>
    <t>차량대수 120, 최고 속력 30km/h</t>
    <phoneticPr fontId="1" type="noConversion"/>
  </si>
  <si>
    <t>차량대수 120, 최고 속력 20km/h</t>
    <phoneticPr fontId="1" type="noConversion"/>
  </si>
  <si>
    <t>차량대수 120, 최고 속력 10km/h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</si>
</sst>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>
      <selection activeCell="F65" sqref="F65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100*230157/1027520</f>
        <v>22.399272033634382</v>
      </c>
      <c r="E3">
        <f>IF(COUNT(C3:D3)=2,D3-C3,"")</f>
        <v>-9.2270559311319</v>
      </c>
      <c r="H3">
        <v>1</v>
      </c>
      <c r="I3">
        <v>0</v>
      </c>
      <c r="J3">
        <f>100*291815/1145550</f>
        <v>25.47378988258915</v>
      </c>
      <c r="K3">
        <f>100*224693/960676</f>
        <v>23.38905104322373</v>
      </c>
      <c r="L3">
        <f>IF(COUNT(J3:K3)=2,K3-J3,"")</f>
        <v>-2.084738839365418</v>
      </c>
      <c r="O3">
        <v>1</v>
      </c>
      <c r="P3">
        <v>0</v>
      </c>
      <c r="Q3">
        <f>100*208586/733698</f>
        <v>28.429408285152746</v>
      </c>
      <c r="R3">
        <f>100*74781/583851</f>
        <v>12.80823360754713</v>
      </c>
      <c r="S3">
        <f>IF(COUNT(Q3:R3)=2,R3-Q3,"")</f>
        <v>-15.621174677605616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100*273831/1096405</f>
        <v>24.975351261623214</v>
      </c>
      <c r="E4">
        <f>IF(COUNT(C4:D4)=2,D4-C4,"")</f>
        <v>-6.877596223451679</v>
      </c>
      <c r="H4">
        <v>2</v>
      </c>
      <c r="I4">
        <v>1</v>
      </c>
      <c r="J4">
        <f>100*130334/783729</f>
        <v>16.629983068126865</v>
      </c>
      <c r="K4">
        <f>100*216020/947113</f>
        <v>22.80826047155936</v>
      </c>
      <c r="L4">
        <f>IF(COUNT(J4:K4)=2,K4-J4,"")</f>
        <v>6.178277403432496</v>
      </c>
      <c r="O4">
        <v>2</v>
      </c>
      <c r="P4">
        <v>1</v>
      </c>
      <c r="Q4">
        <f>100*510455/1451156</f>
        <v>35.17574954036644</v>
      </c>
      <c r="R4">
        <f>100*326701/1149807</f>
        <v>28.413551143800657</v>
      </c>
      <c r="S4">
        <f>IF(COUNT(Q4:R4)=2,R4-Q4,"")</f>
        <v>-6.762198396565783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100*325907/1216209</f>
        <v>26.79695677305463</v>
      </c>
      <c r="E5">
        <f>IF(COUNT(C5:D5)=2,D5-C5,"")</f>
        <v>-4.469110747713636</v>
      </c>
      <c r="H5">
        <v>3</v>
      </c>
      <c r="I5">
        <v>2</v>
      </c>
      <c r="J5">
        <f>100*147851/1441835</f>
        <v>10.25436336335295</v>
      </c>
      <c r="K5">
        <f>100*87519/1458413</f>
        <v>6.000975032449656</v>
      </c>
      <c r="L5">
        <f>IF(COUNT(J5:K5)=2,K5-J5,"")</f>
        <v>-4.253388330903293</v>
      </c>
      <c r="O5">
        <v>3</v>
      </c>
      <c r="P5">
        <v>2</v>
      </c>
      <c r="Q5">
        <f>100*480143/1280935</f>
        <v>37.48379113694293</v>
      </c>
      <c r="R5">
        <f>100*19088/158493</f>
        <v>12.043434094881162</v>
      </c>
      <c r="S5">
        <f>IF(COUNT(Q5:R5)=2,R5-Q5,"")</f>
        <v>-25.44035704206177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100*144198/816914</f>
        <v>17.651552060559617</v>
      </c>
      <c r="E6">
        <f>IF(COUNT(C6:D6)=2,D6-C6,"")</f>
        <v>14.494396830071693</v>
      </c>
      <c r="H6">
        <v>4</v>
      </c>
      <c r="I6">
        <v>3</v>
      </c>
      <c r="J6">
        <f>100*123870/784417</f>
        <v>15.791345674558302</v>
      </c>
      <c r="K6">
        <f>100*137461/899968</f>
        <v>15.27398751955625</v>
      </c>
      <c r="L6">
        <f>IF(COUNT(J6:K6)=2,K6-J6,"")</f>
        <v>-0.5173581550020518</v>
      </c>
      <c r="O6">
        <v>4</v>
      </c>
      <c r="P6">
        <v>3</v>
      </c>
      <c r="Q6">
        <f>100*450191/1211277</f>
        <v>37.16664313777939</v>
      </c>
      <c r="R6">
        <f>100*309986/1105100</f>
        <v>28.050493168039093</v>
      </c>
      <c r="S6">
        <f>IF(COUNT(Q6:R6)=2,R6-Q6,"")</f>
        <v>-9.116149969740295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100*353680/1386723</f>
        <v>25.504733100987004</v>
      </c>
      <c r="E7">
        <f>IF(COUNT(C7:D7)=2,D7-C7,"")</f>
        <v>-13.137632753069738</v>
      </c>
      <c r="H7">
        <v>5</v>
      </c>
      <c r="I7">
        <v>4</v>
      </c>
      <c r="J7">
        <f>100*342477/1148710</f>
        <v>29.814052284736793</v>
      </c>
      <c r="K7">
        <f>100*291219/1205549</f>
        <v>24.156546104720753</v>
      </c>
      <c r="L7">
        <f>IF(COUNT(J7:K7)=2,K7-J7,"")</f>
        <v>-5.657506180016039</v>
      </c>
      <c r="O7">
        <v>5</v>
      </c>
      <c r="P7">
        <v>4</v>
      </c>
      <c r="Q7">
        <f>100*389359/1092762</f>
        <v>35.63072288384845</v>
      </c>
      <c r="R7">
        <f>100*129326/763671</f>
        <v>16.934779505834317</v>
      </c>
      <c r="S7">
        <f>IF(COUNT(Q7:R7)=2,R7-Q7,"")</f>
        <v>-18.69594337801413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100*211998/1064832</f>
        <v>19.909056076451495</v>
      </c>
      <c r="E8">
        <f>IF(COUNT(C8:D8)=2,D8-C8,"")</f>
        <v>-6.320516236560447</v>
      </c>
      <c r="H8">
        <v>6</v>
      </c>
      <c r="I8">
        <v>5</v>
      </c>
      <c r="J8">
        <f>100*246415/1039225</f>
        <v>23.71141956746614</v>
      </c>
      <c r="K8">
        <f>100*205548/1022154</f>
        <v>20.10929859884127</v>
      </c>
      <c r="L8">
        <f>IF(COUNT(J8:K8)=2,K8-J8,"")</f>
        <v>-3.6021209686248703</v>
      </c>
      <c r="O8">
        <v>6</v>
      </c>
      <c r="P8">
        <v>5</v>
      </c>
      <c r="Q8">
        <f>100*269836/994553</f>
        <v>27.131384652200538</v>
      </c>
      <c r="R8">
        <f>100*166753/987797</f>
        <v>16.88130253483256</v>
      </c>
      <c r="S8">
        <f>IF(COUNT(Q8:R8)=2,R8-Q8,"")</f>
        <v>-10.250082117367977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100*98400/608498</f>
        <v>16.170965229137977</v>
      </c>
      <c r="E9">
        <f>IF(COUNT(C9:D9)=2,D9-C9,"")</f>
        <v>-12.052716818917318</v>
      </c>
      <c r="H9">
        <v>7</v>
      </c>
      <c r="I9">
        <v>6</v>
      </c>
      <c r="J9">
        <f>100*3261/356727</f>
        <v>0.9141444297740289</v>
      </c>
      <c r="K9">
        <f>100*2707/346678</f>
        <v>0.780839857158516</v>
      </c>
      <c r="L9">
        <f>IF(COUNT(J9:K9)=2,K9-J9,"")</f>
        <v>-0.13330457261551287</v>
      </c>
      <c r="O9">
        <v>7</v>
      </c>
      <c r="P9">
        <v>6</v>
      </c>
      <c r="Q9">
        <f>100*460466/1246393</f>
        <v>36.94388527535055</v>
      </c>
      <c r="R9">
        <f>100*163781/728660</f>
        <v>22.47701259846842</v>
      </c>
      <c r="S9">
        <f>IF(COUNT(Q9:R9)=2,R9-Q9,"")</f>
        <v>-14.466872676882133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100*3447/313581</f>
        <v>1.09923751757919</v>
      </c>
      <c r="E10">
        <f>IF(COUNT(C10:D10)=2,D10-C10,"")</f>
        <v>0.0</v>
      </c>
      <c r="H10">
        <v>8</v>
      </c>
      <c r="I10">
        <v>7</v>
      </c>
      <c r="J10">
        <f>100*275/278589</f>
        <v>0.09871172228623527</v>
      </c>
      <c r="K10">
        <f>100*275/278589</f>
        <v>0.09871172228623527</v>
      </c>
      <c r="L10">
        <f>IF(COUNT(J10:K10)=2,K10-J10,"")</f>
        <v>0.0</v>
      </c>
      <c r="O10">
        <v>8</v>
      </c>
      <c r="P10">
        <v>7</v>
      </c>
      <c r="Q10">
        <f>100*631465/1523952</f>
        <v>41.43601635747058</v>
      </c>
      <c r="R10">
        <f>100*357012/1191430</f>
        <v>29.965000041966377</v>
      </c>
      <c r="S10">
        <f>IF(COUNT(Q10:R10)=2,R10-Q10,"")</f>
        <v>-11.471016315504201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100*260664/1153487</f>
        <v>22.59791397735735</v>
      </c>
      <c r="E11">
        <f>IF(COUNT(C11:D11)=2,D11-C11,"")</f>
        <v>-7.402031286707047</v>
      </c>
      <c r="H11">
        <v>9</v>
      </c>
      <c r="I11">
        <v>8</v>
      </c>
      <c r="J11">
        <f>100*382533/1287826</f>
        <v>29.70377985845914</v>
      </c>
      <c r="K11">
        <f>100*98463/814108</f>
        <v>12.094586958978416</v>
      </c>
      <c r="L11">
        <f>IF(COUNT(J11:K11)=2,K11-J11,"")</f>
        <v>-17.609192899480725</v>
      </c>
      <c r="O11">
        <v>9</v>
      </c>
      <c r="P11">
        <v>8</v>
      </c>
      <c r="Q11">
        <f>100*511514/1411309</f>
        <v>36.24394090875917</v>
      </c>
      <c r="R11">
        <f>100*242470/952025</f>
        <v>25.468868989784934</v>
      </c>
      <c r="S11">
        <f>IF(COUNT(Q11:R11)=2,R11-Q11,"")</f>
        <v>-10.775071918974238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100*23651/504236</f>
        <v>4.690462402525801</v>
      </c>
      <c r="E12">
        <f>IF(COUNT(C12:D12)=2,D12-C12,"")</f>
        <v>-15.3304951462533</v>
      </c>
      <c r="H12">
        <v>10</v>
      </c>
      <c r="I12">
        <v>9</v>
      </c>
      <c r="J12">
        <f>100*179400/747366</f>
        <v>24.00430311253121</v>
      </c>
      <c r="K12">
        <f>100*77784/634024</f>
        <v>12.268305300745713</v>
      </c>
      <c r="L12">
        <f>IF(COUNT(J12:K12)=2,K12-J12,"")</f>
        <v>-11.735997811785499</v>
      </c>
      <c r="O12">
        <v>10</v>
      </c>
      <c r="P12">
        <v>9</v>
      </c>
      <c r="Q12">
        <f>100*361827/1149672</f>
        <v>31.47219380832098</v>
      </c>
      <c r="R12">
        <f>100*7602/433272</f>
        <v>1.7545560294687863</v>
      </c>
      <c r="S12">
        <f>IF(COUNT(Q12:R12)=2,R12-Q12,"")</f>
        <v>-29.717637778852193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100*4137/540292</f>
        <v>0.7656970675116419</v>
      </c>
      <c r="E13">
        <f>IF(COUNT(C13:D13)=2,D13-C13,"")</f>
        <v>0.0</v>
      </c>
      <c r="H13">
        <v>11</v>
      </c>
      <c r="I13">
        <v>10</v>
      </c>
      <c r="J13">
        <f>100*29717/602395</f>
        <v>4.933141875347571</v>
      </c>
      <c r="K13">
        <f>100*29139/597716</f>
        <v>4.875057719719733</v>
      </c>
      <c r="L13">
        <f>IF(COUNT(J13:K13)=2,K13-J13,"")</f>
        <v>-0.05808415562783864</v>
      </c>
      <c r="O13">
        <v>11</v>
      </c>
      <c r="P13">
        <v>10</v>
      </c>
      <c r="Q13">
        <f>100*314083/1092488</f>
        <v>28.749331800440828</v>
      </c>
      <c r="R13">
        <f>100*359226/1241044</f>
        <v>28.945468492656182</v>
      </c>
      <c r="S13">
        <f>IF(COUNT(Q13:R13)=2,R13-Q13,"")</f>
        <v>0.19613669221535446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100*58798/741121</f>
        <v>7.933657257047095</v>
      </c>
      <c r="E14">
        <f>IF(COUNT(C14:D14)=2,D14-C14,"")</f>
        <v>-28.42954993967401</v>
      </c>
      <c r="H14">
        <v>12</v>
      </c>
      <c r="I14">
        <v>11</v>
      </c>
      <c r="J14">
        <f>100*17227/518447</f>
        <v>3.3228083102033574</v>
      </c>
      <c r="K14">
        <f>100*81622/728291</f>
        <v>11.207333332417948</v>
      </c>
      <c r="L14">
        <f>IF(COUNT(J14:K14)=2,K14-J14,"")</f>
        <v>7.88452502221459</v>
      </c>
      <c r="O14">
        <v>12</v>
      </c>
      <c r="P14">
        <v>11</v>
      </c>
      <c r="Q14">
        <f>100*438660/1271352</f>
        <v>34.5034262737621</v>
      </c>
      <c r="R14">
        <f>100*338163/1245685</f>
        <v>27.146750583012558</v>
      </c>
      <c r="S14">
        <f>IF(COUNT(Q14:R14)=2,R14-Q14,"")</f>
        <v>-7.356675690749544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100*48772/523409</f>
        <v>9.318143172929775</v>
      </c>
      <c r="E15">
        <f>IF(COUNT(C15:D15)=2,D15-C15,"")</f>
        <v>0.26148010854097414</v>
      </c>
      <c r="H15">
        <v>13</v>
      </c>
      <c r="I15">
        <v>12</v>
      </c>
      <c r="J15">
        <f>100*544142/1461712</f>
        <v>37.22634828201451</v>
      </c>
      <c r="K15">
        <f>100*334072/1322572</f>
        <v>25.259267548383</v>
      </c>
      <c r="L15">
        <f>IF(COUNT(J15:K15)=2,K15-J15,"")</f>
        <v>-11.967080733631512</v>
      </c>
      <c r="O15">
        <v>13</v>
      </c>
      <c r="P15">
        <v>12</v>
      </c>
      <c r="Q15">
        <f>100*357555/1108932</f>
        <v>32.243185335079154</v>
      </c>
      <c r="R15">
        <f>100*24909/551357</f>
        <v>4.5177625386092854</v>
      </c>
      <c r="S15">
        <f>IF(COUNT(Q15:R15)=2,R15-Q15,"")</f>
        <v>-27.725422796469868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100*7402/385878</f>
        <v>1.9182228580017517</v>
      </c>
      <c r="E16">
        <f>IF(COUNT(C16:D16)=2,D16-C16,"")</f>
        <v>0.0</v>
      </c>
      <c r="H16">
        <v>14</v>
      </c>
      <c r="I16">
        <v>13</v>
      </c>
      <c r="J16">
        <f>100*181558/818931</f>
        <v>22.170121780711685</v>
      </c>
      <c r="K16">
        <f>100*174922/826354</f>
        <v>21.167925610573675</v>
      </c>
      <c r="L16">
        <f>IF(COUNT(J16:K16)=2,K16-J16,"")</f>
        <v>-1.00219617013801</v>
      </c>
      <c r="O16">
        <v>14</v>
      </c>
      <c r="P16">
        <v>13</v>
      </c>
      <c r="Q16">
        <f>100*131266/578543</f>
        <v>22.689065462722738</v>
      </c>
      <c r="R16">
        <f>100*63406/495053</f>
        <v>12.807921576073673</v>
      </c>
      <c r="S16">
        <f>IF(COUNT(Q16:R16)=2,R16-Q16,"")</f>
        <v>-9.881143886649065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100*206686/1190041</f>
        <v>17.367973036223123</v>
      </c>
      <c r="E17">
        <f>IF(COUNT(C17:D17)=2,D17-C17,"")</f>
        <v>-15.309429772008794</v>
      </c>
      <c r="H17">
        <v>15</v>
      </c>
      <c r="I17">
        <v>14</v>
      </c>
      <c r="J17">
        <f>100*610081/1573211</f>
        <v>38.779350004544845</v>
      </c>
      <c r="K17">
        <f>100*265002/1383804</f>
        <v>19.150255382987766</v>
      </c>
      <c r="L17">
        <f>IF(COUNT(J17:K17)=2,K17-J17,"")</f>
        <v>-19.62909462155708</v>
      </c>
      <c r="O17">
        <v>15</v>
      </c>
      <c r="P17">
        <v>14</v>
      </c>
      <c r="Q17">
        <f>100*384174/1163453</f>
        <v>33.020156379329464</v>
      </c>
      <c r="R17">
        <f>100*146172/858348</f>
        <v>17.029456584042837</v>
      </c>
      <c r="S17">
        <f>IF(COUNT(Q17:R17)=2,R17-Q17,"")</f>
        <v>-15.990699795286627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100*25467/619144</f>
        <v>4.1132595971211865</v>
      </c>
      <c r="E18">
        <f>IF(COUNT(C18:D18)=2,D18-C18,"")</f>
        <v>-29.154763478983554</v>
      </c>
      <c r="H18">
        <v>16</v>
      </c>
      <c r="I18">
        <v>15</v>
      </c>
      <c r="J18">
        <f>100*311472/1035367</f>
        <v>30.083245844227218</v>
      </c>
      <c r="K18">
        <f>100*160579/860569</f>
        <v>18.6596310115749</v>
      </c>
      <c r="L18">
        <f>IF(COUNT(J18:K18)=2,K18-J18,"")</f>
        <v>-11.42361483265232</v>
      </c>
      <c r="O18">
        <v>16</v>
      </c>
      <c r="P18">
        <v>15</v>
      </c>
      <c r="Q18">
        <f>100*403580/1172064</f>
        <v>34.43327326835394</v>
      </c>
      <c r="R18">
        <f>100*294568/1136899</f>
        <v>25.90977738567806</v>
      </c>
      <c r="S18">
        <f>IF(COUNT(Q18:R18)=2,R18-Q18,"")</f>
        <v>-8.523495882675885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100*137096/858567</f>
        <v>15.968002497184262</v>
      </c>
      <c r="E19">
        <f>IF(COUNT(C19:D19)=2,D19-C19,"")</f>
        <v>-5.283345267857541</v>
      </c>
      <c r="H19">
        <v>17</v>
      </c>
      <c r="I19">
        <v>16</v>
      </c>
      <c r="J19">
        <f>100*547667/1465339</f>
        <v>37.37476447429571</v>
      </c>
      <c r="K19">
        <f>100*233806/1059454</f>
        <v>22.06853718991103</v>
      </c>
      <c r="L19">
        <f>IF(COUNT(J19:K19)=2,K19-J19,"")</f>
        <v>-15.30622728438468</v>
      </c>
      <c r="O19">
        <v>17</v>
      </c>
      <c r="P19">
        <v>16</v>
      </c>
      <c r="Q19">
        <f>100*34194/375756</f>
        <v>9.10005429055025</v>
      </c>
      <c r="R19">
        <f>100*13413/353452</f>
        <v>3.7948575761348073</v>
      </c>
      <c r="S19">
        <f>IF(COUNT(Q19:R19)=2,R19-Q19,"")</f>
        <v>-5.305196714415443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100*114262/746370</f>
        <v>15.309029033857202</v>
      </c>
      <c r="E20">
        <f>IF(COUNT(C20:D20)=2,D20-C20,"")</f>
        <v>-14.153605061196272</v>
      </c>
      <c r="H20">
        <v>18</v>
      </c>
      <c r="I20">
        <v>17</v>
      </c>
      <c r="J20">
        <f>100*246590/976020</f>
        <v>25.264851130099792</v>
      </c>
      <c r="K20">
        <f>100*95350/775929</f>
        <v>12.288495468013181</v>
      </c>
      <c r="L20">
        <f>IF(COUNT(J20:K20)=2,K20-J20,"")</f>
        <v>-12.976355662086611</v>
      </c>
      <c r="O20">
        <v>18</v>
      </c>
      <c r="P20">
        <v>17</v>
      </c>
      <c r="Q20">
        <f>100*2176/318434</f>
        <v>0.6833441152640736</v>
      </c>
      <c r="R20">
        <f>100*2176/318434</f>
        <v>0.6833441152640736</v>
      </c>
      <c r="S20">
        <f>IF(COUNT(Q20:R20)=2,R20-Q20,"")</f>
        <v>0.0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100*120337/618295</f>
        <v>19.462716017435042</v>
      </c>
      <c r="E21">
        <f>IF(COUNT(C21:D21)=2,D21-C21,"")</f>
        <v>0.16475598813404702</v>
      </c>
      <c r="H21">
        <v>19</v>
      </c>
      <c r="I21">
        <v>18</v>
      </c>
      <c r="J21">
        <f>100*94163/608895</f>
        <v>15.464571067261186</v>
      </c>
      <c r="K21">
        <f>100*61419/537145</f>
        <v>11.434342682143555</v>
      </c>
      <c r="L21">
        <f>IF(COUNT(J21:K21)=2,K21-J21,"")</f>
        <v>-4.030228385117631</v>
      </c>
      <c r="O21">
        <v>19</v>
      </c>
      <c r="P21">
        <v>18</v>
      </c>
      <c r="Q21">
        <f>100*460785/1299362</f>
        <v>35.462403856661965</v>
      </c>
      <c r="R21">
        <f>100*337576/1266502</f>
        <v>26.654201888350748</v>
      </c>
      <c r="S21">
        <f>IF(COUNT(Q21:R21)=2,R21-Q21,"")</f>
        <v>-8.808201968311216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100*99332/811099</f>
        <v>12.246593819003598</v>
      </c>
      <c r="E22">
        <f>IF(COUNT(C22:D22)=2,D22-C22,"")</f>
        <v>-16.821586366354545</v>
      </c>
      <c r="H22">
        <v>20</v>
      </c>
      <c r="I22">
        <v>19</v>
      </c>
      <c r="J22">
        <f>100*51102/454685</f>
        <v>11.238989630183534</v>
      </c>
      <c r="K22">
        <f>100*190336/956959</f>
        <v>19.889671344331365</v>
      </c>
      <c r="L22">
        <f>IF(COUNT(J22:K22)=2,K22-J22,"")</f>
        <v>8.650681714147831</v>
      </c>
      <c r="O22">
        <v>20</v>
      </c>
      <c r="P22">
        <v>19</v>
      </c>
      <c r="Q22">
        <f>100*246053/750263</f>
        <v>32.795566354731605</v>
      </c>
      <c r="R22">
        <f>100*40080/582369</f>
        <v>6.882234459595205</v>
      </c>
      <c r="S22">
        <f>IF(COUNT(Q22:R22)=2,R22-Q22,"")</f>
        <v>-25.913331895136402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100*219566/1010049</f>
        <v>21.73815329751329</v>
      </c>
      <c r="E23">
        <f>IF(COUNT(C23:D23)=2,D23-C23,"")</f>
        <v>-1.6831178432503293</v>
      </c>
      <c r="H23">
        <v>21</v>
      </c>
      <c r="I23">
        <v>20</v>
      </c>
      <c r="J23">
        <f>100*591919/1541493</f>
        <v>38.399071549465354</v>
      </c>
      <c r="K23">
        <f>100*198037/985516</f>
        <v>20.094752393669914</v>
      </c>
      <c r="L23">
        <f>IF(COUNT(J23:K23)=2,K23-J23,"")</f>
        <v>-18.30431915579544</v>
      </c>
      <c r="O23">
        <v>21</v>
      </c>
      <c r="P23">
        <v>20</v>
      </c>
      <c r="Q23">
        <f>100*189374/774599</f>
        <v>24.448004709533578</v>
      </c>
      <c r="R23">
        <f>100*36107/501471</f>
        <v>7.200216961698683</v>
      </c>
      <c r="S23">
        <f>IF(COUNT(Q23:R23)=2,R23-Q23,"")</f>
        <v>-17.247787747834895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100*169818/1008922</f>
        <v>16.831628213082876</v>
      </c>
      <c r="E24">
        <f>IF(COUNT(C24:D24)=2,D24-C24,"")</f>
        <v>-6.306177350508925</v>
      </c>
      <c r="H24">
        <v>22</v>
      </c>
      <c r="I24">
        <v>21</v>
      </c>
      <c r="J24">
        <f>100*392324/1270598</f>
        <v>30.87711455550851</v>
      </c>
      <c r="K24">
        <f>100*387605/1424383</f>
        <v>27.212133253485895</v>
      </c>
      <c r="L24">
        <f>IF(COUNT(J24:K24)=2,K24-J24,"")</f>
        <v>-3.664981302022614</v>
      </c>
      <c r="O24">
        <v>22</v>
      </c>
      <c r="P24">
        <v>21</v>
      </c>
      <c r="Q24">
        <f>100*423564/1232833</f>
        <v>34.356964811941275</v>
      </c>
      <c r="R24">
        <f>100*267569/1033015</f>
        <v>25.901753604739525</v>
      </c>
      <c r="S24">
        <f>IF(COUNT(Q24:R24)=2,R24-Q24,"")</f>
        <v>-8.45521120720175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100*194674/1025063</f>
        <v>18.991418088449198</v>
      </c>
      <c r="E25">
        <f>IF(COUNT(C25:D25)=2,D25-C25,"")</f>
        <v>-13.27835496522911</v>
      </c>
      <c r="H25">
        <v>23</v>
      </c>
      <c r="I25">
        <v>22</v>
      </c>
      <c r="J25">
        <f>100*155683/840858</f>
        <v>18.514778951975245</v>
      </c>
      <c r="K25">
        <f>100*122163/908631</f>
        <v>13.44473168976185</v>
      </c>
      <c r="L25">
        <f>IF(COUNT(J25:K25)=2,K25-J25,"")</f>
        <v>-5.070047262213395</v>
      </c>
      <c r="O25">
        <v>23</v>
      </c>
      <c r="P25">
        <v>22</v>
      </c>
      <c r="Q25">
        <f>100*592/261920</f>
        <v>0.22602321319486865</v>
      </c>
      <c r="R25">
        <f>100*592/261920</f>
        <v>0.22602321319486865</v>
      </c>
      <c r="S25">
        <f>IF(COUNT(Q25:R25)=2,R25-Q25,"")</f>
        <v>0.0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100*55325/617949</f>
        <v>8.953004212321728</v>
      </c>
      <c r="E26">
        <f>IF(COUNT(C26:D26)=2,D26-C26,"")</f>
        <v>-17.312120103343</v>
      </c>
      <c r="H26">
        <v>24</v>
      </c>
      <c r="I26">
        <v>23</v>
      </c>
      <c r="J26">
        <f>100*377574/1156306</f>
        <v>32.65346716180665</v>
      </c>
      <c r="K26">
        <f>100*38662/594735</f>
        <v>6.500710400430444</v>
      </c>
      <c r="L26">
        <f>IF(COUNT(J26:K26)=2,K26-J26,"")</f>
        <v>-26.15275676137621</v>
      </c>
      <c r="O26">
        <v>24</v>
      </c>
      <c r="P26">
        <v>23</v>
      </c>
      <c r="Q26">
        <f>100*122016/574638</f>
        <v>21.233541812410596</v>
      </c>
      <c r="R26">
        <f>100*127289/748401</f>
        <v>17.008127995553185</v>
      </c>
      <c r="S26">
        <f>IF(COUNT(Q26:R26)=2,R26-Q26,"")</f>
        <v>-4.225413816857412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100*60922/559006</f>
        <v>10.898273006014247</v>
      </c>
      <c r="E27">
        <f>IF(COUNT(C27:D27)=2,D27-C27,"")</f>
        <v>2.6229973785218696</v>
      </c>
      <c r="H27">
        <v>25</v>
      </c>
      <c r="I27">
        <v>24</v>
      </c>
      <c r="J27">
        <f>100*179842/875592</f>
        <v>20.53947500662409</v>
      </c>
      <c r="K27">
        <f>100*119855/804117</f>
        <v>14.905169272630724</v>
      </c>
      <c r="L27">
        <f>IF(COUNT(J27:K27)=2,K27-J27,"")</f>
        <v>-5.634305733993367</v>
      </c>
      <c r="O27">
        <v>25</v>
      </c>
      <c r="P27">
        <v>24</v>
      </c>
      <c r="Q27">
        <f>100*497820/1342997</f>
        <v>37.06784155139587</v>
      </c>
      <c r="R27">
        <f>100*304718/1148240</f>
        <v>26.537831812164704</v>
      </c>
      <c r="S27">
        <f>IF(COUNT(Q27:R27)=2,R27-Q27,"")</f>
        <v>-10.530009739231168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100*115950/816700</f>
        <v>14.197379698787804</v>
      </c>
      <c r="E28">
        <f>IF(COUNT(C28:D28)=2,D28-C28,"")</f>
        <v>-17.20292015128716</v>
      </c>
      <c r="H28">
        <v>26</v>
      </c>
      <c r="I28">
        <v>25</v>
      </c>
      <c r="J28">
        <f>100*403993/1263866</f>
        <v>31.964860198786898</v>
      </c>
      <c r="K28">
        <f>100*159902/794190</f>
        <v>20.13397297875823</v>
      </c>
      <c r="L28">
        <f>IF(COUNT(J28:K28)=2,K28-J28,"")</f>
        <v>-11.830887220028668</v>
      </c>
      <c r="O28">
        <v>26</v>
      </c>
      <c r="P28">
        <v>25</v>
      </c>
      <c r="Q28">
        <f>100*525172/1313199</f>
        <v>39.99180626850919</v>
      </c>
      <c r="R28">
        <f>100*314671/1192882</f>
        <v>26.379055095139336</v>
      </c>
      <c r="S28">
        <f>IF(COUNT(Q28:R28)=2,R28-Q28,"")</f>
        <v>-13.612751173369851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100*164824/977953</f>
        <v>16.853979690230513</v>
      </c>
      <c r="E29">
        <f>IF(COUNT(C29:D29)=2,D29-C29,"")</f>
        <v>-22.849681304111332</v>
      </c>
      <c r="H29">
        <v>27</v>
      </c>
      <c r="I29">
        <v>26</v>
      </c>
      <c r="J29">
        <f>100*136381/818474</f>
        <v>16.66283840415212</v>
      </c>
      <c r="K29">
        <f>100*224589/1046147</f>
        <v>21.468206666940688</v>
      </c>
      <c r="L29">
        <f>IF(COUNT(J29:K29)=2,K29-J29,"")</f>
        <v>4.805368262788569</v>
      </c>
      <c r="O29">
        <v>27</v>
      </c>
      <c r="P29">
        <v>26</v>
      </c>
      <c r="Q29">
        <f>100*365374/1222824</f>
        <v>29.87952477216672</v>
      </c>
      <c r="R29">
        <f>100*337297/1331872</f>
        <v>25.325031234232718</v>
      </c>
      <c r="S29">
        <f>IF(COUNT(Q29:R29)=2,R29-Q29,"")</f>
        <v>-4.554493537934004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100*241287/1007223</f>
        <v>23.95566820852979</v>
      </c>
      <c r="E30">
        <f>IF(COUNT(C30:D30)=2,D30-C30,"")</f>
        <v>-3.947922845131451</v>
      </c>
      <c r="H30">
        <v>28</v>
      </c>
      <c r="I30">
        <v>27</v>
      </c>
      <c r="J30">
        <f>100*471860/1401372</f>
        <v>33.67128785219057</v>
      </c>
      <c r="K30">
        <f>100*267454/1170288</f>
        <v>22.853690715447822</v>
      </c>
      <c r="L30">
        <f>IF(COUNT(J30:K30)=2,K30-J30,"")</f>
        <v>-10.817597136742744</v>
      </c>
      <c r="O30">
        <v>28</v>
      </c>
      <c r="P30">
        <v>27</v>
      </c>
      <c r="Q30">
        <f>100*191/261142</f>
        <v>0.07314028383025327</v>
      </c>
      <c r="R30">
        <f>100*191/261142</f>
        <v>0.07314028383025327</v>
      </c>
      <c r="S30">
        <f>IF(COUNT(Q30:R30)=2,R30-Q30,"")</f>
        <v>0.0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100*511005/1773545</f>
        <v>28.812632326780545</v>
      </c>
      <c r="E31">
        <f>IF(COUNT(C31:D31)=2,D31-C31,"")</f>
        <v>-8.072052490915034</v>
      </c>
      <c r="H31">
        <v>29</v>
      </c>
      <c r="I31">
        <v>28</v>
      </c>
      <c r="J31">
        <f>100*501796/1378717</f>
        <v>36.39586659191117</v>
      </c>
      <c r="K31">
        <f>100*211452/1064922</f>
        <v>19.856102137057924</v>
      </c>
      <c r="L31">
        <f>IF(COUNT(J31:K31)=2,K31-J31,"")</f>
        <v>-16.53976445485325</v>
      </c>
      <c r="O31">
        <v>29</v>
      </c>
      <c r="P31">
        <v>28</v>
      </c>
      <c r="Q31">
        <f>100*492377/1362039</f>
        <v>36.14999276819533</v>
      </c>
      <c r="R31">
        <f>100*385745/1348173</f>
        <v>28.612425853358584</v>
      </c>
      <c r="S31">
        <f>IF(COUNT(Q31:R31)=2,R31-Q31,"")</f>
        <v>-7.537566914836749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100*172553/938198</f>
        <v>18.391959906117897</v>
      </c>
      <c r="E32">
        <f>IF(COUNT(C32:D32)=2,D32-C32,"")</f>
        <v>-7.442770351590191</v>
      </c>
      <c r="H32">
        <v>30</v>
      </c>
      <c r="I32">
        <v>29</v>
      </c>
      <c r="J32">
        <f>100*264568/888302</f>
        <v>29.783564598526176</v>
      </c>
      <c r="K32">
        <f>100*152196/729918</f>
        <v>20.851109302688794</v>
      </c>
      <c r="L32">
        <f>IF(COUNT(J32:K32)=2,K32-J32,"")</f>
        <v>-8.932455295837382</v>
      </c>
      <c r="O32">
        <v>30</v>
      </c>
      <c r="P32">
        <v>29</v>
      </c>
      <c r="Q32">
        <f>100*465436/1240969</f>
        <v>37.50585228156384</v>
      </c>
      <c r="R32">
        <f>100*179554/851957</f>
        <v>21.07547681397066</v>
      </c>
      <c r="S32">
        <f>IF(COUNT(Q32:R32)=2,R32-Q32,"")</f>
        <v>-16.43037546759318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100*289240/1195891</f>
        <v>24.186150744507653</v>
      </c>
      <c r="E33">
        <f>IF(COUNT(C33:D33)=2,D33-C33,"")</f>
        <v>-12.759909486209832</v>
      </c>
      <c r="H33">
        <v>31</v>
      </c>
      <c r="I33">
        <v>30</v>
      </c>
      <c r="J33">
        <f>100*307741/1047349</f>
        <v>29.382851370460084</v>
      </c>
      <c r="K33">
        <f>100*261599/1136790</f>
        <v>23.012077868383784</v>
      </c>
      <c r="L33">
        <f>IF(COUNT(J33:K33)=2,K33-J33,"")</f>
        <v>-6.3707735020763</v>
      </c>
      <c r="O33">
        <v>31</v>
      </c>
      <c r="P33">
        <v>30</v>
      </c>
      <c r="Q33">
        <f>100*7935/484889</f>
        <v>1.63645700356164</v>
      </c>
      <c r="R33">
        <f>100*7935/484889</f>
        <v>1.63645700356164</v>
      </c>
      <c r="S33">
        <f>IF(COUNT(Q33:R33)=2,R33-Q33,"")</f>
        <v>0.0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15.806743296179382</v>
      </c>
      <c r="E34">
        <f>IF(COUNT(E3:E33)&gt;0,AVERAGE(E3:E33),"")</f>
        <v>-8.94454295536089</v>
      </c>
      <c r="H34" t="s">
        <v>5</v>
      </c>
      <c r="J34">
        <f>IF(COUNT(J3:J33)&gt;0,AVERAGE(J3:J33),"")</f>
        <v>23.26126650336055</v>
      </c>
      <c r="K34">
        <f>IF(COUNT(K3:K33)&gt;0,AVERAGE(K3:K33),"")</f>
        <v>16.55850763157523</v>
      </c>
      <c r="L34">
        <f>IF(COUNT(L3:L33)&gt;0,AVERAGE(L3:L33),"")</f>
        <v>-6.7027588717853215</v>
      </c>
      <c r="O34" t="s">
        <v>5</v>
      </c>
      <c r="Q34">
        <f>IF(COUNT(Q3:Q33)&gt;0,AVERAGE(Q3:Q33),"")</f>
        <v>28.172990083851328</v>
      </c>
      <c r="R34">
        <f>IF(COUNT(R3:R33)&gt;0,AVERAGE(R3:R33),"")</f>
        <v>17.069178928564032</v>
      </c>
      <c r="S34">
        <f>IF(COUNT(S3:S33)&gt;0,AVERAGE(S3:S33),"")</f>
        <v>-11.103811155287293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100*135017/890907</f>
        <v>15.155004955623875</v>
      </c>
      <c r="E39">
        <f>IF(COUNT(C39:D39)=2,D39-C39,"")</f>
        <v>-3.2176461935183287</v>
      </c>
      <c r="H39">
        <v>1</v>
      </c>
      <c r="I39">
        <v>0</v>
      </c>
      <c r="J39">
        <f>100*402854/1288411</f>
        <v>31.267507029977235</v>
      </c>
      <c r="K39">
        <f>100*180003/943503</f>
        <v>19.078158733994485</v>
      </c>
      <c r="L39">
        <f>IF(COUNT(J39:K39)=2,K39-J39,"")</f>
        <v>-12.18934829598275</v>
      </c>
      <c r="O39">
        <v>1</v>
      </c>
      <c r="P39">
        <v>0</v>
      </c>
      <c r="Q39">
        <f>100*88041/674269</f>
        <v>13.057251631025599</v>
      </c>
      <c r="R39">
        <f>100*95324/683945</f>
        <v>13.937378005541381</v>
      </c>
      <c r="S39">
        <f>IF(COUNT(Q39:R39)=2,R39-Q39,"")</f>
        <v>0.8801263745157826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100*334734/1532374</f>
        <v>21.844145097737236</v>
      </c>
      <c r="E40">
        <f>IF(COUNT(C40:D40)=2,D40-C40,"")</f>
        <v>-19.64529886993142</v>
      </c>
      <c r="H40">
        <v>2</v>
      </c>
      <c r="I40">
        <v>1</v>
      </c>
      <c r="J40">
        <f>100*573780/1506160</f>
        <v>38.095554257183835</v>
      </c>
      <c r="K40">
        <f>100*371285/1341301</f>
        <v>27.68096050029039</v>
      </c>
      <c r="L40">
        <f>IF(COUNT(J40:K40)=2,K40-J40,"")</f>
        <v>-10.414593756893446</v>
      </c>
      <c r="O40">
        <v>2</v>
      </c>
      <c r="P40">
        <v>1</v>
      </c>
      <c r="Q40">
        <f>100*291073/995685</f>
        <v>29.233442303539775</v>
      </c>
      <c r="R40">
        <f>100*271104/930348</f>
        <v>29.140063718092584</v>
      </c>
      <c r="S40">
        <f>IF(COUNT(Q40:R40)=2,R40-Q40,"")</f>
        <v>-0.09337858544719069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100*370912/1460555</f>
        <v>25.395277822471595</v>
      </c>
      <c r="E41">
        <f>IF(COUNT(C41:D41)=2,D41-C41,"")</f>
        <v>-15.13059325712258</v>
      </c>
      <c r="H41">
        <v>3</v>
      </c>
      <c r="I41">
        <v>2</v>
      </c>
      <c r="J41">
        <f>100*646730/1702231</f>
        <v>37.99308084507919</v>
      </c>
      <c r="K41">
        <f>100*216259/1520134</f>
        <v>14.226311627790707</v>
      </c>
      <c r="L41">
        <f>IF(COUNT(J41:K41)=2,K41-J41,"")</f>
        <v>-23.766769217288484</v>
      </c>
      <c r="O41">
        <v>3</v>
      </c>
      <c r="P41">
        <v>2</v>
      </c>
      <c r="Q41">
        <f>100*505429/1286969</f>
        <v>39.272818537198646</v>
      </c>
      <c r="R41">
        <f>100*213212/858466</f>
        <v>24.836394219456565</v>
      </c>
      <c r="S41">
        <f>IF(COUNT(Q41:R41)=2,R41-Q41,"")</f>
        <v>-14.43642431774208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100*16438/846625</f>
        <v>1.9415916137605198</v>
      </c>
      <c r="E42">
        <f>IF(COUNT(C42:D42)=2,D42-C42,"")</f>
        <v>-3.9859284702192586</v>
      </c>
      <c r="H42">
        <v>4</v>
      </c>
      <c r="I42">
        <v>3</v>
      </c>
      <c r="J42">
        <f>100*44764/778520</f>
        <v>5.749884396033499</v>
      </c>
      <c r="K42">
        <f>100*59384/796200</f>
        <v>7.458427530771163</v>
      </c>
      <c r="L42">
        <f>IF(COUNT(J42:K42)=2,K42-J42,"")</f>
        <v>1.7085431347376643</v>
      </c>
      <c r="O42">
        <v>4</v>
      </c>
      <c r="P42">
        <v>3</v>
      </c>
      <c r="Q42">
        <f>100*589890/1404698</f>
        <v>41.9940798662773</v>
      </c>
      <c r="R42">
        <f>100*519539/1653843</f>
        <v>31.4140459523667</v>
      </c>
      <c r="S42">
        <f>IF(COUNT(Q42:R42)=2,R42-Q42,"")</f>
        <v>-10.580033913910604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100*778209/2309332</f>
        <v>33.69844613074257</v>
      </c>
      <c r="E43">
        <f>IF(COUNT(C43:D43)=2,D43-C43,"")</f>
        <v>-13.51722398163502</v>
      </c>
      <c r="H43">
        <v>5</v>
      </c>
      <c r="I43">
        <v>4</v>
      </c>
      <c r="J43">
        <f>100*942269/2236809</f>
        <v>42.12559051756319</v>
      </c>
      <c r="K43">
        <f>100*586995/2075805</f>
        <v>28.277945182712248</v>
      </c>
      <c r="L43">
        <f>IF(COUNT(J43:K43)=2,K43-J43,"")</f>
        <v>-13.847645334850942</v>
      </c>
      <c r="O43">
        <v>5</v>
      </c>
      <c r="P43">
        <v>4</v>
      </c>
      <c r="Q43">
        <f>100*141535/798132</f>
        <v>17.73328221396962</v>
      </c>
      <c r="R43">
        <f>100*80843/715952</f>
        <v>11.291678771761235</v>
      </c>
      <c r="S43">
        <f>IF(COUNT(Q43:R43)=2,R43-Q43,"")</f>
        <v>-6.441603442208384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100*131016/1119378</f>
        <v>11.704357241253625</v>
      </c>
      <c r="E44">
        <f>IF(COUNT(C44:D44)=2,D44-C44,"")</f>
        <v>-6.392516995841415</v>
      </c>
      <c r="H44">
        <v>6</v>
      </c>
      <c r="I44">
        <v>5</v>
      </c>
      <c r="J44">
        <f>100*712109/1711457</f>
        <v>41.60834890973013</v>
      </c>
      <c r="K44">
        <f>100*388984/1535865</f>
        <v>25.326705146611193</v>
      </c>
      <c r="L44">
        <f>IF(COUNT(J44:K44)=2,K44-J44,"")</f>
        <v>-16.28164376311894</v>
      </c>
      <c r="O44">
        <v>6</v>
      </c>
      <c r="P44">
        <v>5</v>
      </c>
      <c r="Q44">
        <f>100*603941/1377183</f>
        <v>43.8533586313511</v>
      </c>
      <c r="R44">
        <f>100*267864/1111109</f>
        <v>24.107805804831028</v>
      </c>
      <c r="S44">
        <f>IF(COUNT(Q44:R44)=2,R44-Q44,"")</f>
        <v>-19.745552826520072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100*117200/751776</f>
        <v>15.58975013833908</v>
      </c>
      <c r="E45">
        <f>IF(COUNT(C45:D45)=2,D45-C45,"")</f>
        <v>12.964068560218093</v>
      </c>
      <c r="H45">
        <v>7</v>
      </c>
      <c r="I45">
        <v>6</v>
      </c>
      <c r="J45">
        <f>100*1624/545527</f>
        <v>0.2976937896749382</v>
      </c>
      <c r="K45">
        <f>100*1624/545527</f>
        <v>0.2976937896749382</v>
      </c>
      <c r="L45">
        <f>IF(COUNT(J45:K45)=2,K45-J45,"")</f>
        <v>0.0</v>
      </c>
      <c r="O45">
        <v>7</v>
      </c>
      <c r="P45">
        <v>6</v>
      </c>
      <c r="Q45">
        <f>100*672106/1493090</f>
        <v>45.01443315540256</v>
      </c>
      <c r="R45">
        <f>100*442199/1460187</f>
        <v>30.283723933989275</v>
      </c>
      <c r="S45">
        <f>IF(COUNT(Q45:R45)=2,R45-Q45,"")</f>
        <v>-14.730709221413282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100*27506/834502</f>
        <v>3.2960975527919647</v>
      </c>
      <c r="E46">
        <f>IF(COUNT(C46:D46)=2,D46-C46,"")</f>
        <v>-0.7802866789641092</v>
      </c>
      <c r="H46">
        <v>8</v>
      </c>
      <c r="I46">
        <v>7</v>
      </c>
      <c r="J46">
        <f>100*2064/453926</f>
        <v>0.45469966470305734</v>
      </c>
      <c r="K46">
        <f>100*2064/453926</f>
        <v>0.45469966470305734</v>
      </c>
      <c r="L46">
        <f>IF(COUNT(J46:K46)=2,K46-J46,"")</f>
        <v>0.0</v>
      </c>
      <c r="O46">
        <v>8</v>
      </c>
      <c r="P46">
        <v>7</v>
      </c>
      <c r="Q46">
        <f>100*703275/1703373</f>
        <v>41.28719898695118</v>
      </c>
      <c r="R46">
        <f>100*327664/1262606</f>
        <v>25.951405268151742</v>
      </c>
      <c r="S46">
        <f>IF(COUNT(Q46:R46)=2,R46-Q46,"")</f>
        <v>-15.33579371879944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100*526698/1899431</f>
        <v>27.729251549542994</v>
      </c>
      <c r="E47">
        <f>IF(COUNT(C47:D47)=2,D47-C47,"")</f>
        <v>-17.284295014590974</v>
      </c>
      <c r="H47">
        <v>9</v>
      </c>
      <c r="I47">
        <v>8</v>
      </c>
      <c r="J47">
        <f>100*779177/1827411</f>
        <v>42.63830085295535</v>
      </c>
      <c r="K47">
        <f>100*303461/1371548</f>
        <v>22.125437826455947</v>
      </c>
      <c r="L47">
        <f>IF(COUNT(J47:K47)=2,K47-J47,"")</f>
        <v>-20.512863026499407</v>
      </c>
      <c r="O47">
        <v>9</v>
      </c>
      <c r="P47">
        <v>8</v>
      </c>
      <c r="Q47">
        <f>100*785425/1662476</f>
        <v>47.244291045404566</v>
      </c>
      <c r="R47">
        <f>100*573930/1791596</f>
        <v>32.03456582845686</v>
      </c>
      <c r="S47">
        <f>IF(COUNT(Q47:R47)=2,R47-Q47,"")</f>
        <v>-15.209725216947703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100*45911/545930</f>
        <v>8.409686223508508</v>
      </c>
      <c r="E48">
        <f>IF(COUNT(C48:D48)=2,D48-C48,"")</f>
        <v>-20.98847682563095</v>
      </c>
      <c r="H48">
        <v>10</v>
      </c>
      <c r="I48">
        <v>9</v>
      </c>
      <c r="J48">
        <f>100*872985/1990559</f>
        <v>43.85627353924199</v>
      </c>
      <c r="K48">
        <f>100*294471/1410255</f>
        <v>20.8806917897827</v>
      </c>
      <c r="L48">
        <f>IF(COUNT(J48:K48)=2,K48-J48,"")</f>
        <v>-22.97558174945929</v>
      </c>
      <c r="O48">
        <v>10</v>
      </c>
      <c r="P48">
        <v>9</v>
      </c>
      <c r="Q48">
        <f>100*317010/1082800</f>
        <v>29.276874769117104</v>
      </c>
      <c r="R48">
        <f>100*194042/990995</f>
        <v>19.58052260606764</v>
      </c>
      <c r="S48">
        <f>IF(COUNT(Q48:R48)=2,R48-Q48,"")</f>
        <v>-9.696352163049465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100*368228/1529300</f>
        <v>24.07820571503302</v>
      </c>
      <c r="E49">
        <f>IF(COUNT(C49:D49)=2,D49-C49,"")</f>
        <v>-17.820730354032165</v>
      </c>
      <c r="H49">
        <v>11</v>
      </c>
      <c r="I49">
        <v>10</v>
      </c>
      <c r="J49">
        <f>100*582667/1702410</f>
        <v>34.22600901075534</v>
      </c>
      <c r="K49">
        <f>100*135111/1128841</f>
        <v>11.969001834625072</v>
      </c>
      <c r="L49">
        <f>IF(COUNT(J49:K49)=2,K49-J49,"")</f>
        <v>-22.25700717613027</v>
      </c>
      <c r="O49">
        <v>11</v>
      </c>
      <c r="P49">
        <v>10</v>
      </c>
      <c r="Q49">
        <f>100*610513/1430887</f>
        <v>42.666751462554345</v>
      </c>
      <c r="R49">
        <f>100*480982/1487708</f>
        <v>32.330403546932594</v>
      </c>
      <c r="S49">
        <f>IF(COUNT(Q49:R49)=2,R49-Q49,"")</f>
        <v>-10.33634791562175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100*42128/707342</f>
        <v>5.955817694976405</v>
      </c>
      <c r="E50">
        <f>IF(COUNT(C50:D50)=2,D50-C50,"")</f>
        <v>-33.148186901023614</v>
      </c>
      <c r="H50">
        <v>12</v>
      </c>
      <c r="I50">
        <v>11</v>
      </c>
      <c r="J50">
        <f>100*2109/16409</f>
        <v>12.85270278505698</v>
      </c>
      <c r="K50">
        <f>100*26076/927463</f>
        <v>2.8115407299266924</v>
      </c>
      <c r="L50">
        <f>IF(COUNT(J50:K50)=2,K50-J50,"")</f>
        <v>-10.041162055130288</v>
      </c>
      <c r="O50">
        <v>12</v>
      </c>
      <c r="P50">
        <v>11</v>
      </c>
      <c r="Q50">
        <f>100*565746/1449544</f>
        <v>39.029239540158834</v>
      </c>
      <c r="R50">
        <f>100*217669/962092</f>
        <v>22.62455149819352</v>
      </c>
      <c r="S50">
        <f>IF(COUNT(Q50:R50)=2,R50-Q50,"")</f>
        <v>-16.404688041965315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100*59726/983344</f>
        <v>6.073764623570185</v>
      </c>
      <c r="E51">
        <f>IF(COUNT(C51:D51)=2,D51-C51,"")</f>
        <v>3.8678159130262952</v>
      </c>
      <c r="H51">
        <v>13</v>
      </c>
      <c r="I51">
        <v>12</v>
      </c>
      <c r="J51">
        <f>100*78998/737547</f>
        <v>10.710910626712602</v>
      </c>
      <c r="K51">
        <f>100*29631/630082</f>
        <v>4.702721233109341</v>
      </c>
      <c r="L51">
        <f>IF(COUNT(J51:K51)=2,K51-J51,"")</f>
        <v>-6.008189393603261</v>
      </c>
      <c r="O51">
        <v>13</v>
      </c>
      <c r="P51">
        <v>12</v>
      </c>
      <c r="Q51">
        <f>100*653960/1481691</f>
        <v>44.136058057989146</v>
      </c>
      <c r="R51">
        <f>100*37245/750652</f>
        <v>4.961686640413934</v>
      </c>
      <c r="S51">
        <f>IF(COUNT(Q51:R51)=2,R51-Q51,"")</f>
        <v>-39.174371417575216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100*164341/957296</f>
        <v>17.167208470525313</v>
      </c>
      <c r="E52">
        <f>IF(COUNT(C52:D52)=2,D52-C52,"")</f>
        <v>-4.534670410210111</v>
      </c>
      <c r="H52">
        <v>14</v>
      </c>
      <c r="I52">
        <v>13</v>
      </c>
      <c r="J52">
        <f>100*450919/1374273</f>
        <v>32.811457403296146</v>
      </c>
      <c r="K52">
        <f>100*397483/1558291</f>
        <v>25.507623415652148</v>
      </c>
      <c r="L52">
        <f>IF(COUNT(J52:K52)=2,K52-J52,"")</f>
        <v>-7.303833987643998</v>
      </c>
      <c r="O52">
        <v>14</v>
      </c>
      <c r="P52">
        <v>13</v>
      </c>
      <c r="Q52">
        <f>100*1624/402681</f>
        <v>0.40329690251092054</v>
      </c>
      <c r="R52">
        <f>100*1624/402681</f>
        <v>0.40329690251092054</v>
      </c>
      <c r="S52">
        <f>IF(COUNT(Q52:R52)=2,R52-Q52,"")</f>
        <v>0.0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100*420889/1739145</f>
        <v>24.200914817338404</v>
      </c>
      <c r="E53">
        <f>IF(COUNT(C53:D53)=2,D53-C53,"")</f>
        <v>-23.908739404430083</v>
      </c>
      <c r="H53">
        <v>15</v>
      </c>
      <c r="I53">
        <v>14</v>
      </c>
      <c r="J53">
        <f>100*381484/1238884</f>
        <v>30.792552006483255</v>
      </c>
      <c r="K53">
        <f>100*282438/1485402</f>
        <v>19.014246648382056</v>
      </c>
      <c r="L53">
        <f>IF(COUNT(J53:K53)=2,K53-J53,"")</f>
        <v>-11.7783053581012</v>
      </c>
      <c r="O53">
        <v>15</v>
      </c>
      <c r="P53">
        <v>14</v>
      </c>
      <c r="Q53">
        <f>100*373593/1196320</f>
        <v>31.22851745352414</v>
      </c>
      <c r="R53">
        <f>100*515533/1643144</f>
        <v>31.3747912538402</v>
      </c>
      <c r="S53">
        <f>IF(COUNT(Q53:R53)=2,R53-Q53,"")</f>
        <v>0.14627380031605952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100*137078/1038556</f>
        <v>13.19890309237056</v>
      </c>
      <c r="E54">
        <f>IF(COUNT(C54:D54)=2,D54-C54,"")</f>
        <v>-32.142717836376264</v>
      </c>
      <c r="H54">
        <v>16</v>
      </c>
      <c r="I54">
        <v>15</v>
      </c>
      <c r="J54">
        <f>100*600755/1390841</f>
        <v>43.19365046040489</v>
      </c>
      <c r="K54">
        <f>100*102879/978859</f>
        <v>10.510093895034933</v>
      </c>
      <c r="L54">
        <f>IF(COUNT(J54:K54)=2,K54-J54,"")</f>
        <v>-32.683556565369955</v>
      </c>
      <c r="O54">
        <v>16</v>
      </c>
      <c r="P54">
        <v>15</v>
      </c>
      <c r="Q54">
        <f>100*595830/1410973</f>
        <v>42.22830628226054</v>
      </c>
      <c r="R54">
        <f>100*428974/1422913</f>
        <v>30.147591595550818</v>
      </c>
      <c r="S54">
        <f>IF(COUNT(Q54:R54)=2,R54-Q54,"")</f>
        <v>-12.080714686709722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100*283214/1465166</f>
        <v>19.329823378374872</v>
      </c>
      <c r="E55">
        <f>IF(COUNT(C55:D55)=2,D55-C55,"")</f>
        <v>-15.83981780384143</v>
      </c>
      <c r="H55">
        <v>17</v>
      </c>
      <c r="I55">
        <v>16</v>
      </c>
      <c r="J55">
        <f>100*627913/1725883</f>
        <v>36.38213019074873</v>
      </c>
      <c r="K55">
        <f>100*447996/1714217</f>
        <v>26.13414754374738</v>
      </c>
      <c r="L55">
        <f>IF(COUNT(J55:K55)=2,K55-J55,"")</f>
        <v>-10.247982647001354</v>
      </c>
      <c r="O55">
        <v>17</v>
      </c>
      <c r="P55">
        <v>16</v>
      </c>
      <c r="Q55">
        <f>100*6486/400160</f>
        <v>1.6208516593362654</v>
      </c>
      <c r="R55">
        <f>100*5485/412291</f>
        <v>1.3303710243493068</v>
      </c>
      <c r="S55">
        <f>IF(COUNT(Q55:R55)=2,R55-Q55,"")</f>
        <v>-0.29048063498695864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100*229110/1240904</f>
        <v>18.463152669344286</v>
      </c>
      <c r="E56">
        <f>IF(COUNT(C56:D56)=2,D56-C56,"")</f>
        <v>-28.565297885917477</v>
      </c>
      <c r="H56">
        <v>18</v>
      </c>
      <c r="I56">
        <v>17</v>
      </c>
      <c r="J56">
        <f>100*355/2215</f>
        <v>16.02708803611738</v>
      </c>
      <c r="K56">
        <f>100*378801/1495776</f>
        <v>25.3247143957384</v>
      </c>
      <c r="L56">
        <f>IF(COUNT(J56:K56)=2,K56-J56,"")</f>
        <v>9.29762635962102</v>
      </c>
      <c r="O56">
        <v>18</v>
      </c>
      <c r="P56">
        <v>17</v>
      </c>
      <c r="Q56">
        <f>100*78465/548560</f>
        <v>14.303813621117106</v>
      </c>
      <c r="R56">
        <f>100*70439/593376</f>
        <v>11.870887936148412</v>
      </c>
      <c r="S56">
        <f>IF(COUNT(Q56:R56)=2,R56-Q56,"")</f>
        <v>-2.432925684968694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100*37302/799321</f>
        <v>4.666710870851635</v>
      </c>
      <c r="E57">
        <f>IF(COUNT(C57:D57)=2,D57-C57,"")</f>
        <v>-27.62764427550056</v>
      </c>
      <c r="H57">
        <v>19</v>
      </c>
      <c r="I57">
        <v>18</v>
      </c>
      <c r="J57">
        <f>100*451032/1332344</f>
        <v>33.85251856877803</v>
      </c>
      <c r="K57">
        <f>100*243280/1117664</f>
        <v>21.766827955449937</v>
      </c>
      <c r="L57">
        <f>IF(COUNT(J57:K57)=2,K57-J57,"")</f>
        <v>-12.085690613328094</v>
      </c>
      <c r="O57">
        <v>19</v>
      </c>
      <c r="P57">
        <v>18</v>
      </c>
      <c r="Q57">
        <f>100*644704/1630522</f>
        <v>39.53973022136469</v>
      </c>
      <c r="R57">
        <f>100*505836/1708378</f>
        <v>29.609138024488725</v>
      </c>
      <c r="S57">
        <f>IF(COUNT(Q57:R57)=2,R57-Q57,"")</f>
        <v>-9.930592196875967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100*218233/1086334</f>
        <v>20.088941338483377</v>
      </c>
      <c r="E58">
        <f>IF(COUNT(C58:D58)=2,D58-C58,"")</f>
        <v>-22.16195950279892</v>
      </c>
      <c r="H58">
        <v>20</v>
      </c>
      <c r="I58">
        <v>19</v>
      </c>
      <c r="J58">
        <f>100*854529/1945718</f>
        <v>43.918440390642424</v>
      </c>
      <c r="K58">
        <f>100*132728/1030031</f>
        <v>12.885825766408972</v>
      </c>
      <c r="L58">
        <f>IF(COUNT(J58:K58)=2,K58-J58,"")</f>
        <v>-31.032614624233453</v>
      </c>
      <c r="O58">
        <v>20</v>
      </c>
      <c r="P58">
        <v>19</v>
      </c>
      <c r="Q58">
        <f>100*668214/1556077</f>
        <v>42.94221944029762</v>
      </c>
      <c r="R58">
        <f>100*234556/1399006</f>
        <v>16.7659037916921</v>
      </c>
      <c r="S58">
        <f>IF(COUNT(Q58:R58)=2,R58-Q58,"")</f>
        <v>-26.17631564860552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100*285394/2518932</f>
        <v>11.329960475312554</v>
      </c>
      <c r="E59">
        <f>IF(COUNT(C59:D59)=2,D59-C59,"")</f>
        <v>-30.656270086993608</v>
      </c>
      <c r="H59">
        <v>21</v>
      </c>
      <c r="I59">
        <v>20</v>
      </c>
      <c r="J59">
        <f>100*708159/1885839</f>
        <v>37.5514028504024</v>
      </c>
      <c r="K59">
        <f>100*412375/2434536</f>
        <v>16.938545989872402</v>
      </c>
      <c r="L59">
        <f>IF(COUNT(J59:K59)=2,K59-J59,"")</f>
        <v>-20.612856860529995</v>
      </c>
      <c r="O59">
        <v>21</v>
      </c>
      <c r="P59">
        <v>20</v>
      </c>
      <c r="Q59">
        <f>100*370589/1143839</f>
        <v>32.39870296431578</v>
      </c>
      <c r="R59">
        <f>100*338259/1345986</f>
        <v>25.13094489838676</v>
      </c>
      <c r="S59">
        <f>IF(COUNT(Q59:R59)=2,R59-Q59,"")</f>
        <v>-7.267758065929023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100*360067/1572944</f>
        <v>22.89127902836973</v>
      </c>
      <c r="E60">
        <f>IF(COUNT(C60:D60)=2,D60-C60,"")</f>
        <v>-11.332791246877079</v>
      </c>
      <c r="H60">
        <v>22</v>
      </c>
      <c r="I60">
        <v>21</v>
      </c>
      <c r="J60">
        <f>100*858363/1916826</f>
        <v>44.78043390479887</v>
      </c>
      <c r="K60">
        <f>100*535988/1867163</f>
        <v>28.70601013409113</v>
      </c>
      <c r="L60">
        <f>IF(COUNT(J60:K60)=2,K60-J60,"")</f>
        <v>-16.07442377070774</v>
      </c>
      <c r="O60">
        <v>22</v>
      </c>
      <c r="P60">
        <v>21</v>
      </c>
      <c r="Q60">
        <f>100*754527/1680084</f>
        <v>44.91007592477519</v>
      </c>
      <c r="R60">
        <f>100*334647/1245973</f>
        <v>26.85828665629191</v>
      </c>
      <c r="S60">
        <f>IF(COUNT(Q60:R60)=2,R60-Q60,"")</f>
        <v>-18.051789268483283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100*451430/1798877</f>
        <v>25.095100999123343</v>
      </c>
      <c r="E61">
        <f>IF(COUNT(C61:D61)=2,D61-C61,"")</f>
        <v>-9.957479262511352</v>
      </c>
      <c r="H61">
        <v>23</v>
      </c>
      <c r="I61">
        <v>22</v>
      </c>
      <c r="J61">
        <f>100*941313/1944636</f>
        <v>48.40561421263414</v>
      </c>
      <c r="K61">
        <f>100*125548/1048458</f>
        <v>11.974537845102045</v>
      </c>
      <c r="L61">
        <f>IF(COUNT(J61:K61)=2,K61-J61,"")</f>
        <v>-36.4310763675321</v>
      </c>
      <c r="O61">
        <v>23</v>
      </c>
      <c r="P61">
        <v>22</v>
      </c>
      <c r="Q61">
        <f>100*844/356205</f>
        <v>0.236942210244101</v>
      </c>
      <c r="R61">
        <f>100*844/356205</f>
        <v>0.236942210244101</v>
      </c>
      <c r="S61">
        <f>IF(COUNT(Q61:R61)=2,R61-Q61,"")</f>
        <v>0.0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100*216268/1272894</f>
        <v>16.990259990226996</v>
      </c>
      <c r="E62">
        <f>IF(COUNT(C62:D62)=2,D62-C62,"")</f>
        <v>-11.904383665561262</v>
      </c>
      <c r="H62">
        <v>24</v>
      </c>
      <c r="I62">
        <v>23</v>
      </c>
      <c r="J62">
        <f>100*792417/1775752</f>
        <v>44.62430564628394</v>
      </c>
      <c r="K62">
        <f>100*306364/1387129</f>
        <v>22.086193857961298</v>
      </c>
      <c r="L62">
        <f>IF(COUNT(J62:K62)=2,K62-J62,"")</f>
        <v>-22.538111788322645</v>
      </c>
      <c r="O62">
        <v>24</v>
      </c>
      <c r="P62">
        <v>23</v>
      </c>
      <c r="Q62">
        <f>100*197250/941831</f>
        <v>20.94324778012191</v>
      </c>
      <c r="R62">
        <f>100*31582/692742</f>
        <v>4.5589844415381195</v>
      </c>
      <c r="S62">
        <f>IF(COUNT(Q62:R62)=2,R62-Q62,"")</f>
        <v>-16.384263338583793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100*599779/2025840</f>
        <v>29.60643486158828</v>
      </c>
      <c r="E63">
        <f>IF(COUNT(C63:D63)=2,D63-C63,"")</f>
        <v>-14.06825332006147</v>
      </c>
      <c r="H63">
        <v>25</v>
      </c>
      <c r="I63">
        <v>24</v>
      </c>
      <c r="J63">
        <f>100*708043/1588574</f>
        <v>44.57098001100358</v>
      </c>
      <c r="K63">
        <f>100*60283/667492</f>
        <v>9.031269288620688</v>
      </c>
      <c r="L63">
        <f>IF(COUNT(J63:K63)=2,K63-J63,"")</f>
        <v>-35.53971072238289</v>
      </c>
      <c r="O63">
        <v>25</v>
      </c>
      <c r="P63">
        <v>24</v>
      </c>
      <c r="Q63">
        <f>100*339441/1160878</f>
        <v>29.240023499454722</v>
      </c>
      <c r="R63">
        <f>100*588046/1887483</f>
        <v>31.155035568532274</v>
      </c>
      <c r="S63">
        <f>IF(COUNT(Q63:R63)=2,R63-Q63,"")</f>
        <v>1.9150120690775516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100*263308/1312797</f>
        <v>20.05702328692098</v>
      </c>
      <c r="E64">
        <f>IF(COUNT(C64:D64)=2,D64-C64,"")</f>
        <v>-24.34783021641931</v>
      </c>
      <c r="H64">
        <v>26</v>
      </c>
      <c r="I64">
        <v>25</v>
      </c>
      <c r="J64">
        <f>100*398836/1246025</f>
        <v>32.008667562849865</v>
      </c>
      <c r="K64">
        <f>100*79319/838996</f>
        <v>9.454037921515717</v>
      </c>
      <c r="L64">
        <f>IF(COUNT(J64:K64)=2,K64-J64,"")</f>
        <v>-22.55462964133415</v>
      </c>
      <c r="O64">
        <v>26</v>
      </c>
      <c r="P64">
        <v>25</v>
      </c>
      <c r="Q64">
        <f>100*775571/1671807</f>
        <v>46.39118032165196</v>
      </c>
      <c r="R64">
        <f>100*436163/1394505</f>
        <v>31.277263258288784</v>
      </c>
      <c r="S64">
        <f>IF(COUNT(Q64:R64)=2,R64-Q64,"")</f>
        <v>-15.113917063363175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100*185204/1180835</f>
        <v>15.684155703379389</v>
      </c>
      <c r="E65">
        <f>IF(COUNT(C65:D65)=2,D65-C65,"")</f>
        <v>-18.682128771364958</v>
      </c>
      <c r="H65">
        <v>27</v>
      </c>
      <c r="I65">
        <v>26</v>
      </c>
      <c r="J65">
        <f>100*537175/1539092</f>
        <v>34.90207213084078</v>
      </c>
      <c r="K65">
        <f>100*184753/1210341</f>
        <v>15.264541149973438</v>
      </c>
      <c r="L65">
        <f>IF(COUNT(J65:K65)=2,K65-J65,"")</f>
        <v>-19.63753098086734</v>
      </c>
      <c r="O65">
        <v>27</v>
      </c>
      <c r="P65">
        <v>26</v>
      </c>
      <c r="Q65">
        <f>100*484579/1297589</f>
        <v>37.34456750172821</v>
      </c>
      <c r="R65">
        <f>100*306104/1342104</f>
        <v>22.807770485744772</v>
      </c>
      <c r="S65">
        <f>IF(COUNT(Q65:R65)=2,R65-Q65,"")</f>
        <v>-14.536797015983435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100*284260/1246617</f>
        <v>22.802512720426563</v>
      </c>
      <c r="E66">
        <f>IF(COUNT(C66:D66)=2,D66-C66,"")</f>
        <v>-8.061580211842202</v>
      </c>
      <c r="H66">
        <v>28</v>
      </c>
      <c r="I66">
        <v>27</v>
      </c>
      <c r="J66">
        <f>100*531985/1356503</f>
        <v>39.21738470169252</v>
      </c>
      <c r="K66">
        <f>100*506718/1820127</f>
        <v>27.839705690866626</v>
      </c>
      <c r="L66">
        <f>IF(COUNT(J66:K66)=2,K66-J66,"")</f>
        <v>-11.37767901082589</v>
      </c>
      <c r="O66">
        <v>28</v>
      </c>
      <c r="P66">
        <v>27</v>
      </c>
      <c r="Q66">
        <f>100*341/342230</f>
        <v>0.09964059258393478</v>
      </c>
      <c r="R66">
        <f>100*341/342230</f>
        <v>0.09964059258393478</v>
      </c>
      <c r="S66">
        <f>IF(COUNT(Q66:R66)=2,R66-Q66,"")</f>
        <v>0.0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100*394581/1576552</f>
        <v>25.028099295170726</v>
      </c>
      <c r="E67">
        <f>IF(COUNT(C67:D67)=2,D67-C67,"")</f>
        <v>-15.903830984764006</v>
      </c>
      <c r="H67">
        <v>29</v>
      </c>
      <c r="I67">
        <v>28</v>
      </c>
      <c r="J67">
        <f>100*917947/2006663</f>
        <v>45.74495069675376</v>
      </c>
      <c r="K67">
        <f>100*492825/1823652</f>
        <v>27.024070381849167</v>
      </c>
      <c r="L67">
        <f>IF(COUNT(J67:K67)=2,K67-J67,"")</f>
        <v>-18.720880314904594</v>
      </c>
      <c r="O67">
        <v>29</v>
      </c>
      <c r="P67">
        <v>28</v>
      </c>
      <c r="Q67">
        <f>100*506385/1453010</f>
        <v>34.850758081499784</v>
      </c>
      <c r="R67">
        <f>100*429669/1466570</f>
        <v>29.29754461089481</v>
      </c>
      <c r="S67">
        <f>IF(COUNT(Q67:R67)=2,R67-Q67,"")</f>
        <v>-5.553213470604973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100*32218/823145</f>
        <v>3.9140127195087135</v>
      </c>
      <c r="E68">
        <f>IF(COUNT(C68:D68)=2,D68-C68,"")</f>
        <v>-2.1127504439449654</v>
      </c>
      <c r="H68">
        <v>30</v>
      </c>
      <c r="I68">
        <v>29</v>
      </c>
      <c r="J68">
        <f>100*537109/1458999</f>
        <v>36.81352763093052</v>
      </c>
      <c r="K68">
        <f>100*362159/1511465</f>
        <v>23.96079300546159</v>
      </c>
      <c r="L68">
        <f>IF(COUNT(J68:K68)=2,K68-J68,"")</f>
        <v>-12.852734625468933</v>
      </c>
      <c r="O68">
        <v>30</v>
      </c>
      <c r="P68">
        <v>29</v>
      </c>
      <c r="Q68">
        <f>100*609326/1423323</f>
        <v>42.81010002648731</v>
      </c>
      <c r="R68">
        <f>100*318887/1238905</f>
        <v>25.739423119609654</v>
      </c>
      <c r="S68">
        <f>IF(COUNT(Q68:R68)=2,R68-Q68,"")</f>
        <v>-17.070676906877658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100*328898/1644583</f>
        <v>19.998869014212115</v>
      </c>
      <c r="E69">
        <f>IF(COUNT(C69:D69)=2,D69-C69,"")</f>
        <v>-12.621464448925078</v>
      </c>
      <c r="H69">
        <v>31</v>
      </c>
      <c r="I69">
        <v>30</v>
      </c>
      <c r="J69">
        <f>100*589124/1665281</f>
        <v>35.3768523150147</v>
      </c>
      <c r="K69">
        <f>100*456283/1854908</f>
        <v>24.598686296031932</v>
      </c>
      <c r="L69">
        <f>IF(COUNT(J69:K69)=2,K69-J69,"")</f>
        <v>-10.77816601898277</v>
      </c>
      <c r="O69">
        <v>31</v>
      </c>
      <c r="P69">
        <v>30</v>
      </c>
      <c r="Q69">
        <f>100*1911/646412</f>
        <v>0.2956318880218808</v>
      </c>
      <c r="R69">
        <f>100*1911/646412</f>
        <v>0.2956318880218808</v>
      </c>
      <c r="S69">
        <f>IF(COUNT(Q69:R69)=2,R69-Q69,"")</f>
        <v>0.0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17.141443841641273</v>
      </c>
      <c r="E70">
        <f>IF(COUNT(E39:E69)&gt;0,AVERAGE(E39:E69),"")</f>
        <v>-14.500287382180824</v>
      </c>
      <c r="H70" t="s">
        <v>5</v>
      </c>
      <c r="J70">
        <f>IF(COUNT(J39:J69)&gt;0,AVERAGE(J39:J69),"")</f>
        <v>32.99518015949494</v>
      </c>
      <c r="K70">
        <f>IF(COUNT(K39:K69)&gt;0,AVERAGE(K39:K69),"")</f>
        <v>17.526198928135734</v>
      </c>
      <c r="L70">
        <f>IF(COUNT(L39:L69)&gt;0,AVERAGE(L39:L69),"")</f>
        <v>-15.46898123135921</v>
      </c>
      <c r="O70" t="s">
        <v>5</v>
      </c>
      <c r="Q70">
        <f>IF(COUNT(Q39:Q69)&gt;0,AVERAGE(Q39:Q69),"")</f>
        <v>30.180215695878577</v>
      </c>
      <c r="R70">
        <f>IF(COUNT(R39:R69)&gt;0,AVERAGE(R39:R69),"")</f>
        <v>20.04689271138621</v>
      </c>
      <c r="S70">
        <f>IF(COUNT(S39:S69)&gt;0,AVERAGE(S39:S69),"")</f>
        <v>-10.133322984492368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100*462247/1734698</f>
        <v>26.647116673910965</v>
      </c>
      <c r="E75">
        <f>IF(COUNT(C75:D75)=2,D75-C75,"")</f>
        <v>-17.434244552721474</v>
      </c>
      <c r="H75">
        <v>1</v>
      </c>
      <c r="I75">
        <v>0</v>
      </c>
      <c r="J75">
        <f>100*1161020/2178231</f>
        <v>53.30105025591868</v>
      </c>
      <c r="K75">
        <f>100*92801/900772</f>
        <v>10.302385065255137</v>
      </c>
      <c r="L75">
        <f>IF(COUNT(J75:K75)=2,K75-J75,"")</f>
        <v>-42.998665190663544</v>
      </c>
      <c r="O75">
        <v>1</v>
      </c>
      <c r="P75">
        <v>0</v>
      </c>
      <c r="Q75">
        <f>100*17855/657603</f>
        <v>2.7151640123296272</v>
      </c>
      <c r="R75">
        <f>100*59423/734328</f>
        <v>8.092160451460384</v>
      </c>
      <c r="S75">
        <f>IF(COUNT(Q75:R75)=2,R75-Q75,"")</f>
        <v>5.376996439130757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100*469351/1918278</f>
        <v>24.467308700824386</v>
      </c>
      <c r="E76">
        <f>IF(COUNT(C76:D76)=2,D76-C76,"")</f>
        <v>-16.393862079221538</v>
      </c>
      <c r="H76">
        <v>2</v>
      </c>
      <c r="I76">
        <v>1</v>
      </c>
      <c r="J76">
        <f>100*920313/2115455</f>
        <v>43.50425794923551</v>
      </c>
      <c r="K76">
        <f>100*719801/2891561</f>
        <v>24.893163242968072</v>
      </c>
      <c r="L76">
        <f>IF(COUNT(J76:K76)=2,K76-J76,"")</f>
        <v>-18.611094706267437</v>
      </c>
      <c r="O76">
        <v>2</v>
      </c>
      <c r="P76">
        <v>1</v>
      </c>
      <c r="Q76">
        <f>100*506051/1366563</f>
        <v>37.03093088280599</v>
      </c>
      <c r="R76">
        <f>100*421209/1536784</f>
        <v>27.4084711969932</v>
      </c>
      <c r="S76">
        <f>IF(COUNT(Q76:R76)=2,R76-Q76,"")</f>
        <v>-9.622459685812789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100*18978/1088548</f>
        <v>1.7434233492689344</v>
      </c>
      <c r="E77">
        <f>IF(COUNT(C77:D77)=2,D77-C77,"")</f>
        <v>-2.205757731398447</v>
      </c>
      <c r="H77">
        <v>3</v>
      </c>
      <c r="I77">
        <v>2</v>
      </c>
      <c r="J77">
        <f>100*702390/1654096</f>
        <v>42.46367804528879</v>
      </c>
      <c r="K77">
        <f>100*427010/1816427</f>
        <v>23.508238976848506</v>
      </c>
      <c r="L77">
        <f>IF(COUNT(J77:K77)=2,K77-J77,"")</f>
        <v>-18.95543906844028</v>
      </c>
      <c r="O77">
        <v>3</v>
      </c>
      <c r="P77">
        <v>2</v>
      </c>
      <c r="Q77">
        <f>100*580189/1478595</f>
        <v>39.239210196165956</v>
      </c>
      <c r="R77">
        <f>100*135240/1188959</f>
        <v>11.374656316996633</v>
      </c>
      <c r="S77">
        <f>IF(COUNT(Q77:R77)=2,R77-Q77,"")</f>
        <v>-27.86455387916932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100*373750/1433645</f>
        <v>26.06991270502809</v>
      </c>
      <c r="E78">
        <f>IF(COUNT(C78:D78)=2,D78-C78,"")</f>
        <v>-26.70776564363899</v>
      </c>
      <c r="H78">
        <v>4</v>
      </c>
      <c r="I78">
        <v>3</v>
      </c>
      <c r="J78">
        <f>100*827459/1741510</f>
        <v>47.51388163145776</v>
      </c>
      <c r="K78">
        <f>100*286543/1235225</f>
        <v>23.19763605820802</v>
      </c>
      <c r="L78">
        <f>IF(COUNT(J78:K78)=2,K78-J78,"")</f>
        <v>-24.316245573249738</v>
      </c>
      <c r="O78">
        <v>4</v>
      </c>
      <c r="P78">
        <v>3</v>
      </c>
      <c r="Q78">
        <f>100*617738/1364388</f>
        <v>45.27583062882406</v>
      </c>
      <c r="R78">
        <f>100*473999/1697322</f>
        <v>27.926286232076176</v>
      </c>
      <c r="S78">
        <f>IF(COUNT(Q78:R78)=2,R78-Q78,"")</f>
        <v>-17.349544396747884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100*443748/1778159</f>
        <v>24.95547361062762</v>
      </c>
      <c r="E79">
        <f>IF(COUNT(C79:D79)=2,D79-C79,"")</f>
        <v>-23.976769935618613</v>
      </c>
      <c r="H79">
        <v>5</v>
      </c>
      <c r="I79">
        <v>4</v>
      </c>
      <c r="J79">
        <f>100*1035328/2211231</f>
        <v>46.82134069213031</v>
      </c>
      <c r="K79">
        <f>100*434049/1998795</f>
        <v>21.715533608999422</v>
      </c>
      <c r="L79">
        <f>IF(COUNT(J79:K79)=2,K79-J79,"")</f>
        <v>-25.10580708313089</v>
      </c>
      <c r="O79">
        <v>5</v>
      </c>
      <c r="P79">
        <v>4</v>
      </c>
      <c r="Q79">
        <f>100*829508/1701576</f>
        <v>48.749394678815406</v>
      </c>
      <c r="R79">
        <f>100*66630/717783</f>
        <v>9.28274980042715</v>
      </c>
      <c r="S79">
        <f>IF(COUNT(Q79:R79)=2,R79-Q79,"")</f>
        <v>-39.46664487838826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100*164360/1248577</f>
        <v>13.163785653588045</v>
      </c>
      <c r="E80">
        <f>IF(COUNT(C80:D80)=2,D80-C80,"")</f>
        <v>-29.654913235656686</v>
      </c>
      <c r="H80">
        <v>6</v>
      </c>
      <c r="I80">
        <v>5</v>
      </c>
      <c r="J80">
        <f>100*627723/1597246</f>
        <v>39.30033319851795</v>
      </c>
      <c r="K80">
        <f>100*417238/1576906</f>
        <v>26.45928165661111</v>
      </c>
      <c r="L80">
        <f>IF(COUNT(J80:K80)=2,K80-J80,"")</f>
        <v>-12.841051541906836</v>
      </c>
      <c r="O80">
        <v>6</v>
      </c>
      <c r="P80">
        <v>5</v>
      </c>
      <c r="Q80">
        <f>100*561642/1450968</f>
        <v>38.70809004747176</v>
      </c>
      <c r="R80">
        <f>100*374055/1440071</f>
        <v>25.974760966646784</v>
      </c>
      <c r="S80">
        <f>IF(COUNT(Q80:R80)=2,R80-Q80,"")</f>
        <v>-12.733329080824973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100*34991/735046</f>
        <v>4.760382343417963</v>
      </c>
      <c r="E81">
        <f>IF(COUNT(C81:D81)=2,D81-C81,"")</f>
        <v>3.4534737758852003</v>
      </c>
      <c r="H81">
        <v>7</v>
      </c>
      <c r="I81">
        <v>6</v>
      </c>
      <c r="J81">
        <f>100*3904/710153</f>
        <v>0.5497406896823642</v>
      </c>
      <c r="K81">
        <f>100*4112/519142</f>
        <v>0.7920761564273359</v>
      </c>
      <c r="L81">
        <f>IF(COUNT(J81:K81)=2,K81-J81,"")</f>
        <v>0.24233546674497164</v>
      </c>
      <c r="O81">
        <v>7</v>
      </c>
      <c r="P81">
        <v>6</v>
      </c>
      <c r="Q81">
        <f>100*769806/1827455</f>
        <v>42.124484597431945</v>
      </c>
      <c r="R81">
        <f>100*323340/1288737</f>
        <v>25.08968082704229</v>
      </c>
      <c r="S81">
        <f>IF(COUNT(Q81:R81)=2,R81-Q81,"")</f>
        <v>-17.034803770389654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100*19852/693717</f>
        <v>2.861685672976156</v>
      </c>
      <c r="E82">
        <f>IF(COUNT(C82:D82)=2,D82-C82,"")</f>
        <v>1.5126671737836725</v>
      </c>
      <c r="H82">
        <v>8</v>
      </c>
      <c r="I82">
        <v>7</v>
      </c>
      <c r="J82">
        <f>100*7411/619510</f>
        <v>1.1962680182725056</v>
      </c>
      <c r="K82">
        <f>100*3710/539768</f>
        <v>0.6873323353737161</v>
      </c>
      <c r="L82">
        <f>IF(COUNT(J82:K82)=2,K82-J82,"")</f>
        <v>-0.5089356828987895</v>
      </c>
      <c r="O82">
        <v>8</v>
      </c>
      <c r="P82">
        <v>7</v>
      </c>
      <c r="Q82">
        <f>100*842526/1806467</f>
        <v>46.63943487481365</v>
      </c>
      <c r="R82">
        <f>100*475028/1707281</f>
        <v>27.823656445541186</v>
      </c>
      <c r="S82">
        <f>IF(COUNT(Q82:R82)=2,R82-Q82,"")</f>
        <v>-18.815778429272466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100*577272/2032889</f>
        <v>28.39663159178883</v>
      </c>
      <c r="E83">
        <f>IF(COUNT(C83:D83)=2,D83-C83,"")</f>
        <v>-10.576835331813474</v>
      </c>
      <c r="H83">
        <v>9</v>
      </c>
      <c r="I83">
        <v>8</v>
      </c>
      <c r="J83">
        <f>100*986121/2196978</f>
        <v>44.88533795058485</v>
      </c>
      <c r="K83">
        <f>100*614949/2250202</f>
        <v>27.328613164507008</v>
      </c>
      <c r="L83">
        <f>IF(COUNT(J83:K83)=2,K83-J83,"")</f>
        <v>-17.55672478607784</v>
      </c>
      <c r="O83">
        <v>9</v>
      </c>
      <c r="P83">
        <v>8</v>
      </c>
      <c r="Q83">
        <f>100*418704/1300185</f>
        <v>32.20341720601299</v>
      </c>
      <c r="R83">
        <f>100*566835/1939414</f>
        <v>29.227127369401273</v>
      </c>
      <c r="S83">
        <f>IF(COUNT(Q83:R83)=2,R83-Q83,"")</f>
        <v>-2.97628983661172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100*9676/956945</f>
        <v>1.011134391213706</v>
      </c>
      <c r="E84">
        <f>IF(COUNT(C84:D84)=2,D84-C84,"")</f>
        <v>-15.001349839906919</v>
      </c>
      <c r="H84">
        <v>10</v>
      </c>
      <c r="I84">
        <v>9</v>
      </c>
      <c r="J84">
        <f>100*1094395/2180634</f>
        <v>50.187009832920154</v>
      </c>
      <c r="K84">
        <f>100*186132/1298246</f>
        <v>14.337190332186658</v>
      </c>
      <c r="L84">
        <f>IF(COUNT(J84:K84)=2,K84-J84,"")</f>
        <v>-35.849819500733496</v>
      </c>
      <c r="O84">
        <v>10</v>
      </c>
      <c r="P84">
        <v>9</v>
      </c>
      <c r="Q84">
        <f>100*10580/624813</f>
        <v>1.6933066373458938</v>
      </c>
      <c r="R84">
        <f>100*10580/624813</f>
        <v>1.6933066373458938</v>
      </c>
      <c r="S84">
        <f>IF(COUNT(Q84:R84)=2,R84-Q84,"")</f>
        <v>0.0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100*15705/810871</f>
        <v>1.9368062244179407</v>
      </c>
      <c r="E85">
        <f>IF(COUNT(C85:D85)=2,D85-C85,"")</f>
        <v>-46.663564327897426</v>
      </c>
      <c r="H85">
        <v>11</v>
      </c>
      <c r="I85">
        <v>10</v>
      </c>
      <c r="J85">
        <f>100*1248271/2251399</f>
        <v>55.444237116566185</v>
      </c>
      <c r="K85">
        <f>100*57267/1008787</f>
        <v>5.676817801974054</v>
      </c>
      <c r="L85">
        <f>IF(COUNT(J85:K85)=2,K85-J85,"")</f>
        <v>-49.76741931459213</v>
      </c>
      <c r="O85">
        <v>11</v>
      </c>
      <c r="P85">
        <v>10</v>
      </c>
      <c r="Q85">
        <f>100*858874/1796310</f>
        <v>47.8132393629162</v>
      </c>
      <c r="R85">
        <f>100*435552/1425872</f>
        <v>30.546360402616784</v>
      </c>
      <c r="S85">
        <f>IF(COUNT(Q85:R85)=2,R85-Q85,"")</f>
        <v>-17.266878960299415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100*113830/1149302</f>
        <v>9.904272332250358</v>
      </c>
      <c r="E86">
        <f>IF(COUNT(C86:D86)=2,D86-C86,"")</f>
        <v>-38.73589691028871</v>
      </c>
      <c r="H86">
        <v>12</v>
      </c>
      <c r="I86">
        <v>11</v>
      </c>
      <c r="J86">
        <f>100*847034/1777114</f>
        <v>47.66345884394586</v>
      </c>
      <c r="K86">
        <f>100*367758/1455545</f>
        <v>25.266000020610836</v>
      </c>
      <c r="L86">
        <f>IF(COUNT(J86:K86)=2,K86-J86,"")</f>
        <v>-22.397458823335025</v>
      </c>
      <c r="O86">
        <v>12</v>
      </c>
      <c r="P86">
        <v>11</v>
      </c>
      <c r="Q86">
        <f>100*739588/1710894</f>
        <v>43.22816024838476</v>
      </c>
      <c r="R86">
        <f>100*608647/1884793</f>
        <v>32.29251169757103</v>
      </c>
      <c r="S86">
        <f>IF(COUNT(Q86:R86)=2,R86-Q86,"")</f>
        <v>-10.935648550813731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100*7212/818878</f>
        <v>0.8807172741238621</v>
      </c>
      <c r="E87">
        <f>IF(COUNT(C87:D87)=2,D87-C87,"")</f>
        <v>0.0</v>
      </c>
      <c r="H87">
        <v>13</v>
      </c>
      <c r="I87">
        <v>12</v>
      </c>
      <c r="J87">
        <f>100*767025/1720041</f>
        <v>44.593413761648705</v>
      </c>
      <c r="K87">
        <f>100*175916/1312082</f>
        <v>13.407393745207997</v>
      </c>
      <c r="L87">
        <f>IF(COUNT(J87:K87)=2,K87-J87,"")</f>
        <v>-31.186020016440708</v>
      </c>
      <c r="O87">
        <v>13</v>
      </c>
      <c r="P87">
        <v>12</v>
      </c>
      <c r="Q87">
        <f>100*371461/1317955</f>
        <v>28.18464970351795</v>
      </c>
      <c r="R87">
        <f>100*190663/898134</f>
        <v>21.228792140148354</v>
      </c>
      <c r="S87">
        <f>IF(COUNT(Q87:R87)=2,R87-Q87,"")</f>
        <v>-6.955857563369598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100*37909/672795</f>
        <v>5.634554359054392</v>
      </c>
      <c r="E88">
        <f>IF(COUNT(C88:D88)=2,D88-C88,"")</f>
        <v>-6.327353991787299</v>
      </c>
      <c r="H88">
        <v>14</v>
      </c>
      <c r="I88">
        <v>13</v>
      </c>
      <c r="J88">
        <f>100*438708/1328922</f>
        <v>33.01232126490494</v>
      </c>
      <c r="K88">
        <f>100*304384/1573986</f>
        <v>19.338418511981683</v>
      </c>
      <c r="L88">
        <f>IF(COUNT(J88:K88)=2,K88-J88,"")</f>
        <v>-13.673902752923258</v>
      </c>
      <c r="O88">
        <v>14</v>
      </c>
      <c r="P88">
        <v>13</v>
      </c>
      <c r="Q88">
        <f>100*183244/894097</f>
        <v>20.494868006491465</v>
      </c>
      <c r="R88">
        <f>100*253480/1102977</f>
        <v>22.981440229488012</v>
      </c>
      <c r="S88">
        <f>IF(COUNT(Q88:R88)=2,R88-Q88,"")</f>
        <v>2.4865722229965463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100*101502/1190912</f>
        <v>8.523047882631126</v>
      </c>
      <c r="E89">
        <f>IF(COUNT(C89:D89)=2,D89-C89,"")</f>
        <v>-17.777815051601806</v>
      </c>
      <c r="H89">
        <v>15</v>
      </c>
      <c r="I89">
        <v>14</v>
      </c>
      <c r="J89">
        <f>100*378843/1975907</f>
        <v>19.173118977765654</v>
      </c>
      <c r="K89">
        <f>100*476075/1940494</f>
        <v>24.53370121216556</v>
      </c>
      <c r="L89">
        <f>IF(COUNT(J89:K89)=2,K89-J89,"")</f>
        <v>5.3605822343999066</v>
      </c>
      <c r="O89">
        <v>15</v>
      </c>
      <c r="P89">
        <v>14</v>
      </c>
      <c r="Q89">
        <f>100*672160/1590176</f>
        <v>42.269534944559595</v>
      </c>
      <c r="R89">
        <f>100*517118/1741490</f>
        <v>29.69399766866304</v>
      </c>
      <c r="S89">
        <f>IF(COUNT(Q89:R89)=2,R89-Q89,"")</f>
        <v>-12.575537275896554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100*442730/1682853</f>
        <v>26.308299061177657</v>
      </c>
      <c r="E90">
        <f>IF(COUNT(C90:D90)=2,D90-C90,"")</f>
        <v>-24.6799018130424</v>
      </c>
      <c r="H90">
        <v>16</v>
      </c>
      <c r="I90">
        <v>15</v>
      </c>
      <c r="J90">
        <f>100*769550/1774401</f>
        <v>43.36956527864896</v>
      </c>
      <c r="K90">
        <f>100*160585/1067977</f>
        <v>15.036372506149476</v>
      </c>
      <c r="L90">
        <f>IF(COUNT(J90:K90)=2,K90-J90,"")</f>
        <v>-28.333192772499487</v>
      </c>
      <c r="O90">
        <v>16</v>
      </c>
      <c r="P90">
        <v>15</v>
      </c>
      <c r="Q90">
        <f>100*705277/1721980</f>
        <v>40.95732819196506</v>
      </c>
      <c r="R90">
        <f>100*691409/1886828</f>
        <v>36.643986627291945</v>
      </c>
      <c r="S90">
        <f>IF(COUNT(Q90:R90)=2,R90-Q90,"")</f>
        <v>-4.313341564673117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100*619741/2242157</f>
        <v>27.640392711125937</v>
      </c>
      <c r="E91">
        <f>IF(COUNT(C91:D91)=2,D91-C91,"")</f>
        <v>-14.281015254741558</v>
      </c>
      <c r="H91">
        <v>17</v>
      </c>
      <c r="I91">
        <v>16</v>
      </c>
      <c r="J91">
        <f>100*3265/88900</f>
        <v>3.6726659167604048</v>
      </c>
      <c r="K91">
        <f>100*3265/88900</f>
        <v>3.6726659167604048</v>
      </c>
      <c r="L91">
        <f>IF(COUNT(J91:K91)=2,K91-J91,"")</f>
        <v>0.0</v>
      </c>
      <c r="O91">
        <v>17</v>
      </c>
      <c r="P91">
        <v>16</v>
      </c>
      <c r="Q91">
        <f>100*16305/441767</f>
        <v>3.690859661314675</v>
      </c>
      <c r="R91">
        <f>100*28735/507174</f>
        <v>5.6657084156522215</v>
      </c>
      <c r="S91">
        <f>IF(COUNT(Q91:R91)=2,R91-Q91,"")</f>
        <v>1.9748487543375464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100*253134/1437276</f>
        <v>17.61206615848313</v>
      </c>
      <c r="E92">
        <f>IF(COUNT(C92:D92)=2,D92-C92,"")</f>
        <v>-27.489623797422837</v>
      </c>
      <c r="H92">
        <v>18</v>
      </c>
      <c r="I92">
        <v>17</v>
      </c>
      <c r="K92">
        <f>100*100794/1086784</f>
        <v>9.274520051822625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100*146444/868980</f>
        <v>16.852401666321434</v>
      </c>
      <c r="S92">
        <f>IF(COUNT(Q92:R92)=2,R92-Q92,"")</f>
        <v>-5.255044208562175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100*272256/1470874</f>
        <v>18.509811173492768</v>
      </c>
      <c r="E93">
        <f>IF(COUNT(C93:D93)=2,D93-C93,"")</f>
        <v>-19.318042021769994</v>
      </c>
      <c r="H93">
        <v>19</v>
      </c>
      <c r="I93">
        <v>18</v>
      </c>
      <c r="J93">
        <f>100*453701/1228767</f>
        <v>36.9232734928591</v>
      </c>
      <c r="K93">
        <f>100*90367/918427</f>
        <v>9.839323103523743</v>
      </c>
      <c r="L93">
        <f>IF(COUNT(J93:K93)=2,K93-J93,"")</f>
        <v>-27.08395038933536</v>
      </c>
      <c r="O93">
        <v>19</v>
      </c>
      <c r="P93">
        <v>18</v>
      </c>
      <c r="Q93">
        <f>100*736264/1588962</f>
        <v>46.33616159480214</v>
      </c>
      <c r="R93">
        <f>100*404961/1322000</f>
        <v>30.632450832072617</v>
      </c>
      <c r="S93">
        <f>IF(COUNT(Q93:R93)=2,R93-Q93,"")</f>
        <v>-15.703710762729525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100*570858/2175117</f>
        <v>26.244933031188665</v>
      </c>
      <c r="E94">
        <f>IF(COUNT(C94:D94)=2,D94-C94,"")</f>
        <v>-19.938758561317975</v>
      </c>
      <c r="H94">
        <v>20</v>
      </c>
      <c r="I94">
        <v>19</v>
      </c>
      <c r="J94">
        <f>100*896581/2145144</f>
        <v>41.79584214393066</v>
      </c>
      <c r="K94">
        <f>100*266926/1266397</f>
        <v>21.07759257168171</v>
      </c>
      <c r="L94">
        <f>IF(COUNT(J94:K94)=2,K94-J94,"")</f>
        <v>-20.718249572248954</v>
      </c>
      <c r="O94">
        <v>20</v>
      </c>
      <c r="P94">
        <v>19</v>
      </c>
      <c r="Q94">
        <f>100*596231/1430518</f>
        <v>41.67937767997327</v>
      </c>
      <c r="R94">
        <f>100*300873/1128746</f>
        <v>26.655509742670183</v>
      </c>
      <c r="S94">
        <f>IF(COUNT(Q94:R94)=2,R94-Q94,"")</f>
        <v>-15.023867937303088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100*324753/1458918</f>
        <v>22.25985284985174</v>
      </c>
      <c r="E95">
        <f>IF(COUNT(C95:D95)=2,D95-C95,"")</f>
        <v>-24.499409864547395</v>
      </c>
      <c r="H95">
        <v>21</v>
      </c>
      <c r="I95">
        <v>20</v>
      </c>
      <c r="J95">
        <f>100*923720/1857736</f>
        <v>49.722888505148205</v>
      </c>
      <c r="K95">
        <f>100*330826/1565113</f>
        <v>21.137515310396118</v>
      </c>
      <c r="L95">
        <f>IF(COUNT(J95:K95)=2,K95-J95,"")</f>
        <v>-28.585373194752087</v>
      </c>
      <c r="O95">
        <v>21</v>
      </c>
      <c r="P95">
        <v>20</v>
      </c>
      <c r="Q95">
        <f>100*808426/1622789</f>
        <v>49.817074185245275</v>
      </c>
      <c r="R95">
        <f>100*272785/1247955</f>
        <v>21.858560605150025</v>
      </c>
      <c r="S95">
        <f>IF(COUNT(Q95:R95)=2,R95-Q95,"")</f>
        <v>-27.95851358009525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100*545148/2199032</f>
        <v>24.790362304868687</v>
      </c>
      <c r="E96">
        <f>IF(COUNT(C96:D96)=2,D96-C96,"")</f>
        <v>-8.369509340115272</v>
      </c>
      <c r="H96">
        <v>22</v>
      </c>
      <c r="I96">
        <v>21</v>
      </c>
      <c r="J96">
        <f>100*1034872/2267546</f>
        <v>45.63841262757183</v>
      </c>
      <c r="K96">
        <f>100*501435/1848846</f>
        <v>27.121512554317665</v>
      </c>
      <c r="L96">
        <f>IF(COUNT(J96:K96)=2,K96-J96,"")</f>
        <v>-18.516900073254167</v>
      </c>
      <c r="O96">
        <v>22</v>
      </c>
      <c r="P96">
        <v>21</v>
      </c>
      <c r="Q96">
        <f>100*248293/932917</f>
        <v>26.614693482914344</v>
      </c>
      <c r="R96">
        <f>100*462344/1590612</f>
        <v>29.067050921280615</v>
      </c>
      <c r="S96">
        <f>IF(COUNT(Q96:R96)=2,R96-Q96,"")</f>
        <v>2.4523574383662705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100*426922/1725045</f>
        <v>24.748455837383954</v>
      </c>
      <c r="E97">
        <f>IF(COUNT(C97:D97)=2,D97-C97,"")</f>
        <v>-17.838861501808335</v>
      </c>
      <c r="H97">
        <v>23</v>
      </c>
      <c r="I97">
        <v>22</v>
      </c>
      <c r="J97">
        <f>100*954501/1934417</f>
        <v>49.34308373013678</v>
      </c>
      <c r="K97">
        <f>100*572067/2118640</f>
        <v>27.001614243099347</v>
      </c>
      <c r="L97">
        <f>IF(COUNT(J97:K97)=2,K97-J97,"")</f>
        <v>-22.341469487037436</v>
      </c>
      <c r="O97">
        <v>23</v>
      </c>
      <c r="P97">
        <v>22</v>
      </c>
      <c r="Q97">
        <f>100*491/406810</f>
        <v>0.12069516481895726</v>
      </c>
      <c r="R97">
        <f>100*491/406810</f>
        <v>0.12069516481895726</v>
      </c>
      <c r="S97">
        <f>IF(COUNT(Q97:R97)=2,R97-Q97,"")</f>
        <v>0.0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100*451251/1766599</f>
        <v>25.543487797740177</v>
      </c>
      <c r="E98">
        <f>IF(COUNT(C98:D98)=2,D98-C98,"")</f>
        <v>-15.243252310278677</v>
      </c>
      <c r="H98">
        <v>24</v>
      </c>
      <c r="I98">
        <v>23</v>
      </c>
      <c r="J98">
        <f>100*677655/1567258</f>
        <v>43.238254326983814</v>
      </c>
      <c r="K98">
        <f>100*97248/1154708</f>
        <v>8.421869424997489</v>
      </c>
      <c r="L98">
        <f>IF(COUNT(J98:K98)=2,K98-J98,"")</f>
        <v>-34.816384901986325</v>
      </c>
      <c r="O98">
        <v>24</v>
      </c>
      <c r="P98">
        <v>23</v>
      </c>
      <c r="Q98">
        <f>100*462555/1165901</f>
        <v>39.67360865116335</v>
      </c>
      <c r="R98">
        <f>100*11190/644660</f>
        <v>1.7357987156020227</v>
      </c>
      <c r="S98">
        <f>IF(COUNT(Q98:R98)=2,R98-Q98,"")</f>
        <v>-37.937809935561326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100*208481/1523184</f>
        <v>13.687184214119895</v>
      </c>
      <c r="E99">
        <f>IF(COUNT(C99:D99)=2,D99-C99,"")</f>
        <v>-23.698187208335803</v>
      </c>
      <c r="H99">
        <v>25</v>
      </c>
      <c r="I99">
        <v>24</v>
      </c>
      <c r="J99">
        <f>100*1059343/2107573</f>
        <v>50.26364448586123</v>
      </c>
      <c r="K99">
        <f>100*311737/1410385</f>
        <v>22.102971883563708</v>
      </c>
      <c r="L99">
        <f>IF(COUNT(J99:K99)=2,K99-J99,"")</f>
        <v>-28.16067260229752</v>
      </c>
      <c r="O99">
        <v>25</v>
      </c>
      <c r="P99">
        <v>24</v>
      </c>
      <c r="Q99">
        <f>100*667801/1611354</f>
        <v>41.4434692811139</v>
      </c>
      <c r="R99">
        <f>100*460246/1566364</f>
        <v>29.383080816464116</v>
      </c>
      <c r="S99">
        <f>IF(COUNT(Q99:R99)=2,R99-Q99,"")</f>
        <v>-12.060388464649783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100*490546/1953389</f>
        <v>25.11256078538376</v>
      </c>
      <c r="E100">
        <f>IF(COUNT(C100:D100)=2,D100-C100,"")</f>
        <v>-28.693426341089936</v>
      </c>
      <c r="H100">
        <v>26</v>
      </c>
      <c r="I100">
        <v>25</v>
      </c>
      <c r="J100">
        <f>100*50542/865957</f>
        <v>5.836548466032378</v>
      </c>
      <c r="K100">
        <f>100*181330/1226737</f>
        <v>14.781489430904912</v>
      </c>
      <c r="L100">
        <f>IF(COUNT(J100:K100)=2,K100-J100,"")</f>
        <v>8.944940964872535</v>
      </c>
      <c r="O100">
        <v>26</v>
      </c>
      <c r="P100">
        <v>25</v>
      </c>
      <c r="Q100">
        <f>100*825215/1789490</f>
        <v>46.114535426294644</v>
      </c>
      <c r="R100">
        <f>100*565919/1849109</f>
        <v>30.604956224862892</v>
      </c>
      <c r="S100">
        <f>IF(COUNT(Q100:R100)=2,R100-Q100,"")</f>
        <v>-15.509579201431752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100*388423/1785937</f>
        <v>21.74897546777966</v>
      </c>
      <c r="E101">
        <f>IF(COUNT(C101:D101)=2,D101-C101,"")</f>
        <v>-0.7956770520683101</v>
      </c>
      <c r="H101">
        <v>27</v>
      </c>
      <c r="I101">
        <v>26</v>
      </c>
      <c r="J101">
        <f>100*307157/1210949</f>
        <v>25.36498234029674</v>
      </c>
      <c r="K101">
        <f>100*314381/1395775</f>
        <v>22.523759201877095</v>
      </c>
      <c r="L101">
        <f>IF(COUNT(J101:K101)=2,K101-J101,"")</f>
        <v>-2.8412231384196467</v>
      </c>
      <c r="O101">
        <v>27</v>
      </c>
      <c r="P101">
        <v>26</v>
      </c>
      <c r="Q101">
        <f>100*889999/1746112</f>
        <v>50.9703272184144</v>
      </c>
      <c r="R101">
        <f>100*494406/1545615</f>
        <v>31.987655399307073</v>
      </c>
      <c r="S101">
        <f>IF(COUNT(Q101:R101)=2,R101-Q101,"")</f>
        <v>-18.982671819107324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100*113447/884108</f>
        <v>12.831803354341325</v>
      </c>
      <c r="E102">
        <f>IF(COUNT(C102:D102)=2,D102-C102,"")</f>
        <v>-27.363274756467483</v>
      </c>
      <c r="H102">
        <v>28</v>
      </c>
      <c r="I102">
        <v>27</v>
      </c>
      <c r="J102">
        <f>100*499214/1645125</f>
        <v>30.345049768254693</v>
      </c>
      <c r="K102">
        <f>100*461317/1608108</f>
        <v>28.686941424332197</v>
      </c>
      <c r="L102">
        <f>IF(COUNT(J102:K102)=2,K102-J102,"")</f>
        <v>-1.6581083439224962</v>
      </c>
      <c r="O102">
        <v>28</v>
      </c>
      <c r="P102">
        <v>27</v>
      </c>
      <c r="Q102">
        <f>100*1300/408366</f>
        <v>0.3183418795884084</v>
      </c>
      <c r="R102">
        <f>100*1300/408366</f>
        <v>0.3183418795884084</v>
      </c>
      <c r="S102">
        <f>IF(COUNT(Q102:R102)=2,R102-Q102,"")</f>
        <v>0.0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100*482004/1803963</f>
        <v>26.719173286813533</v>
      </c>
      <c r="E103">
        <f>IF(COUNT(C103:D103)=2,D103-C103,"")</f>
        <v>-17.046064498486178</v>
      </c>
      <c r="H103">
        <v>29</v>
      </c>
      <c r="I103">
        <v>28</v>
      </c>
      <c r="J103">
        <f>100*1050807/2150575</f>
        <v>48.86167652837032</v>
      </c>
      <c r="K103">
        <f>100*781952/2650005</f>
        <v>29.507566966854778</v>
      </c>
      <c r="L103">
        <f>IF(COUNT(J103:K103)=2,K103-J103,"")</f>
        <v>-19.35410956151554</v>
      </c>
      <c r="O103">
        <v>29</v>
      </c>
      <c r="P103">
        <v>28</v>
      </c>
      <c r="Q103">
        <f>100*827171/1762089</f>
        <v>46.94263456613145</v>
      </c>
      <c r="R103">
        <f>100*588175/1898644</f>
        <v>30.9786879478196</v>
      </c>
      <c r="S103">
        <f>IF(COUNT(Q103:R103)=2,R103-Q103,"")</f>
        <v>-15.963946618311851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100*8221/546825</f>
        <v>1.5034060256937778</v>
      </c>
      <c r="E104">
        <f>IF(COUNT(C104:D104)=2,D104-C104,"")</f>
        <v>0.14388662060351853</v>
      </c>
      <c r="H104">
        <v>30</v>
      </c>
      <c r="I104">
        <v>29</v>
      </c>
      <c r="J104">
        <f>100*410139/1282634</f>
        <v>31.976308128429466</v>
      </c>
      <c r="K104">
        <f>100*335574/1429814</f>
        <v>23.469765997535344</v>
      </c>
      <c r="L104">
        <f>IF(COUNT(J104:K104)=2,K104-J104,"")</f>
        <v>-8.506542130894122</v>
      </c>
      <c r="O104">
        <v>30</v>
      </c>
      <c r="P104">
        <v>29</v>
      </c>
      <c r="Q104">
        <f>100*806811/1713643</f>
        <v>47.08162668653856</v>
      </c>
      <c r="R104">
        <f>100*515949/1714888</f>
        <v>30.0864546256082</v>
      </c>
      <c r="S104">
        <f>IF(COUNT(Q104:R104)=2,R104-Q104,"")</f>
        <v>-16.99517206093036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100*452957/1886753</f>
        <v>24.00722299103274</v>
      </c>
      <c r="E105">
        <f>IF(COUNT(C105:D105)=2,D105-C105,"")</f>
        <v>-21.180265345975805</v>
      </c>
      <c r="H105">
        <v>31</v>
      </c>
      <c r="I105">
        <v>30</v>
      </c>
      <c r="J105">
        <f>100*349588/1410455</f>
        <v>24.785477026916848</v>
      </c>
      <c r="K105">
        <f>100*55933/1031064</f>
        <v>5.424784494463971</v>
      </c>
      <c r="L105">
        <f>IF(COUNT(J105:K105)=2,K105-J105,"")</f>
        <v>-19.360692532452877</v>
      </c>
      <c r="O105">
        <v>31</v>
      </c>
      <c r="P105">
        <v>30</v>
      </c>
      <c r="Q105">
        <f>100*267010/983366</f>
        <v>27.15265730155405</v>
      </c>
      <c r="R105">
        <f>100*16942/719888</f>
        <v>2.353421643366746</v>
      </c>
      <c r="S105">
        <f>IF(COUNT(Q105:R105)=2,R105-Q105,"")</f>
        <v>-24.799235658187303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16.7814270908258</v>
      </c>
      <c r="E106">
        <f>IF(COUNT(E75:E105)&gt;0,AVERAGE(E75:E105),"")</f>
        <v>-17.315528088024095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17.75884022489051</v>
      </c>
      <c r="L106">
        <f>IF(COUNT(L75:L105)&gt;0,AVERAGE(L75:L105),"")</f>
        <v>-18.64991980250862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21.147765148719206</v>
      </c>
      <c r="S106">
        <f>IF(COUNT(S75:S105)&gt;0,AVERAGE(S75:S105),"")</f>
        <v>-12.63902687949381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>
      <selection activeCell="G70" sqref="G70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100*213841/1016440</f>
        <v>21.038231474558263</v>
      </c>
      <c r="E3">
        <f>IF(COUNT(C3:D3)=2,D3-C3,"")</f>
        <v>-10.58809649020802</v>
      </c>
      <c r="H3">
        <v>1</v>
      </c>
      <c r="I3">
        <v>0</v>
      </c>
      <c r="J3">
        <f>100*291815/1145550</f>
        <v>25.47378988258915</v>
      </c>
      <c r="K3">
        <f>100*146241/798551</f>
        <v>18.31329495548813</v>
      </c>
      <c r="L3">
        <f>IF(COUNT(J3:K3)=2,K3-J3,"")</f>
        <v>-7.16049492710102</v>
      </c>
      <c r="O3">
        <v>1</v>
      </c>
      <c r="P3">
        <v>0</v>
      </c>
      <c r="Q3">
        <f>100*208586/733698</f>
        <v>28.429408285152746</v>
      </c>
      <c r="R3">
        <f>100*50501/498076</f>
        <v>10.139215702021378</v>
      </c>
      <c r="S3">
        <f>IF(COUNT(Q3:R3)=2,R3-Q3,"")</f>
        <v>-18.29019258313137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100*219696/1002454</f>
        <v>21.91581858120173</v>
      </c>
      <c r="E4">
        <f>IF(COUNT(C4:D4)=2,D4-C4,"")</f>
        <v>-9.937128903873162</v>
      </c>
      <c r="H4">
        <v>2</v>
      </c>
      <c r="I4">
        <v>1</v>
      </c>
      <c r="J4">
        <f>100*130334/783729</f>
        <v>16.629983068126865</v>
      </c>
      <c r="K4">
        <f>100*220264/1182972</f>
        <v>18.61954467223231</v>
      </c>
      <c r="L4">
        <f>IF(COUNT(J4:K4)=2,K4-J4,"")</f>
        <v>1.9895616041054431</v>
      </c>
      <c r="O4">
        <v>2</v>
      </c>
      <c r="P4">
        <v>1</v>
      </c>
      <c r="Q4">
        <f>100*510455/1451156</f>
        <v>35.17574954036644</v>
      </c>
      <c r="R4">
        <f>100*137093/575955</f>
        <v>23.802727643652716</v>
      </c>
      <c r="S4">
        <f>IF(COUNT(Q4:R4)=2,R4-Q4,"")</f>
        <v>-11.373021896713723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100*101160/747009</f>
        <v>13.542005518005807</v>
      </c>
      <c r="E5">
        <f>IF(COUNT(C5:D5)=2,D5-C5,"")</f>
        <v>-17.72406200276246</v>
      </c>
      <c r="H5">
        <v>3</v>
      </c>
      <c r="I5">
        <v>2</v>
      </c>
      <c r="J5">
        <f>100*147851/1441835</f>
        <v>10.25436336335295</v>
      </c>
      <c r="K5">
        <f>100*135184/803706</f>
        <v>16.82008097488385</v>
      </c>
      <c r="L5">
        <f>IF(COUNT(J5:K5)=2,K5-J5,"")</f>
        <v>6.565717611530902</v>
      </c>
      <c r="O5">
        <v>3</v>
      </c>
      <c r="P5">
        <v>2</v>
      </c>
      <c r="Q5">
        <f>100*480143/1280935</f>
        <v>37.48379113694293</v>
      </c>
      <c r="R5">
        <f>100*298231/1150800</f>
        <v>25.91510253736531</v>
      </c>
      <c r="S5">
        <f>IF(COUNT(Q5:R5)=2,R5-Q5,"")</f>
        <v>-11.568688599577623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100*155805/779514</f>
        <v>19.987453721164727</v>
      </c>
      <c r="E6">
        <f>IF(COUNT(C6:D6)=2,D6-C6,"")</f>
        <v>16.830298490676803</v>
      </c>
      <c r="H6">
        <v>4</v>
      </c>
      <c r="I6">
        <v>3</v>
      </c>
      <c r="J6">
        <f>100*123870/784417</f>
        <v>15.791345674558302</v>
      </c>
      <c r="K6">
        <f>100*23485/567441</f>
        <v>4.138756275982877</v>
      </c>
      <c r="L6">
        <f>IF(COUNT(J6:K6)=2,K6-J6,"")</f>
        <v>-11.652589398575426</v>
      </c>
      <c r="O6">
        <v>4</v>
      </c>
      <c r="P6">
        <v>3</v>
      </c>
      <c r="Q6">
        <f>100*450191/1211277</f>
        <v>37.16664313777939</v>
      </c>
      <c r="R6">
        <f>100*316142/1141407</f>
        <v>27.69756975382138</v>
      </c>
      <c r="S6">
        <f>IF(COUNT(Q6:R6)=2,R6-Q6,"")</f>
        <v>-9.469073383958008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100*403120/1373126</f>
        <v>29.35783023553556</v>
      </c>
      <c r="E7">
        <f>IF(COUNT(C7:D7)=2,D7-C7,"")</f>
        <v>-9.284535618521183</v>
      </c>
      <c r="H7">
        <v>5</v>
      </c>
      <c r="I7">
        <v>4</v>
      </c>
      <c r="J7">
        <f>100*342477/1148710</f>
        <v>29.814052284736793</v>
      </c>
      <c r="K7">
        <f>100*119403/626768</f>
        <v>19.050589691879612</v>
      </c>
      <c r="L7">
        <f>IF(COUNT(J7:K7)=2,K7-J7,"")</f>
        <v>-10.76346259285718</v>
      </c>
      <c r="O7">
        <v>5</v>
      </c>
      <c r="P7">
        <v>4</v>
      </c>
      <c r="Q7">
        <f>100*389359/1092762</f>
        <v>35.63072288384845</v>
      </c>
      <c r="R7">
        <f>100*108398/714488</f>
        <v>15.171423452878145</v>
      </c>
      <c r="S7">
        <f>IF(COUNT(Q7:R7)=2,R7-Q7,"")</f>
        <v>-20.459299430970304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100*254160/1129570</f>
        <v>22.5005975725276</v>
      </c>
      <c r="E8">
        <f>IF(COUNT(C8:D8)=2,D8-C8,"")</f>
        <v>-3.728974740484343</v>
      </c>
      <c r="H8">
        <v>6</v>
      </c>
      <c r="I8">
        <v>5</v>
      </c>
      <c r="J8">
        <f>100*246415/1039225</f>
        <v>23.71141956746614</v>
      </c>
      <c r="K8">
        <f>100*112094/698267</f>
        <v>16.053171637783255</v>
      </c>
      <c r="L8">
        <f>IF(COUNT(J8:K8)=2,K8-J8,"")</f>
        <v>-7.6582479296828865</v>
      </c>
      <c r="O8">
        <v>6</v>
      </c>
      <c r="P8">
        <v>5</v>
      </c>
      <c r="Q8">
        <f>100*269836/994553</f>
        <v>27.131384652200538</v>
      </c>
      <c r="R8">
        <f>100*213758/973066</f>
        <v>21.967471887826726</v>
      </c>
      <c r="S8">
        <f>IF(COUNT(Q8:R8)=2,R8-Q8,"")</f>
        <v>-5.163912764373812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100*21908/405104</f>
        <v>5.4079939966033415</v>
      </c>
      <c r="E9">
        <f>IF(COUNT(C9:D9)=2,D9-C9,"")</f>
        <v>-22.815688051451954</v>
      </c>
      <c r="H9">
        <v>7</v>
      </c>
      <c r="I9">
        <v>6</v>
      </c>
      <c r="J9">
        <f>100*3261/356727</f>
        <v>0.9141444297740289</v>
      </c>
      <c r="K9">
        <f>100*20874/502347</f>
        <v>4.155295045058495</v>
      </c>
      <c r="L9">
        <f>IF(COUNT(J9:K9)=2,K9-J9,"")</f>
        <v>3.2411506152844662</v>
      </c>
      <c r="O9">
        <v>7</v>
      </c>
      <c r="P9">
        <v>6</v>
      </c>
      <c r="Q9">
        <f>100*460466/1246393</f>
        <v>36.94388527535055</v>
      </c>
      <c r="R9">
        <f>100*314455/1146895</f>
        <v>27.41794148548908</v>
      </c>
      <c r="S9">
        <f>IF(COUNT(Q9:R9)=2,R9-Q9,"")</f>
        <v>-9.525943789861472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100*29231/397207</f>
        <v>7.359135161263523</v>
      </c>
      <c r="E10">
        <f>IF(COUNT(C10:D10)=2,D10-C10,"")</f>
        <v>6.259897643684333</v>
      </c>
      <c r="H10">
        <v>8</v>
      </c>
      <c r="I10">
        <v>7</v>
      </c>
      <c r="J10">
        <f>100*275/278589</f>
        <v>0.09871172228623527</v>
      </c>
      <c r="K10">
        <f>100*45393/525254</f>
        <v>8.64210458178329</v>
      </c>
      <c r="L10">
        <f>IF(COUNT(J10:K10)=2,K10-J10,"")</f>
        <v>8.543392859497054</v>
      </c>
      <c r="O10">
        <v>8</v>
      </c>
      <c r="P10">
        <v>7</v>
      </c>
      <c r="Q10">
        <f>100*631465/1523952</f>
        <v>41.43601635747058</v>
      </c>
      <c r="R10">
        <f>100*191206/869609</f>
        <v>21.987582925199717</v>
      </c>
      <c r="S10">
        <f>IF(COUNT(Q10:R10)=2,R10-Q10,"")</f>
        <v>-19.44843343227086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100*21794/433977</f>
        <v>5.021925125064231</v>
      </c>
      <c r="E11">
        <f>IF(COUNT(C11:D11)=2,D11-C11,"")</f>
        <v>-24.978020139000165</v>
      </c>
      <c r="H11">
        <v>9</v>
      </c>
      <c r="I11">
        <v>8</v>
      </c>
      <c r="J11">
        <f>100*382533/1287826</f>
        <v>29.70377985845914</v>
      </c>
      <c r="K11">
        <f>100*381271/1369696</f>
        <v>27.836176786673832</v>
      </c>
      <c r="L11">
        <f>IF(COUNT(J11:K11)=2,K11-J11,"")</f>
        <v>-1.8676030717853074</v>
      </c>
      <c r="O11">
        <v>9</v>
      </c>
      <c r="P11">
        <v>8</v>
      </c>
      <c r="Q11">
        <f>100*511514/1411309</f>
        <v>36.24394090875917</v>
      </c>
      <c r="R11">
        <f>100*134614/639206</f>
        <v>21.059564522235398</v>
      </c>
      <c r="S11">
        <f>IF(COUNT(Q11:R11)=2,R11-Q11,"")</f>
        <v>-15.184376386523773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100*223617/955571</f>
        <v>23.40140083782367</v>
      </c>
      <c r="E12">
        <f>IF(COUNT(C12:D12)=2,D12-C12,"")</f>
        <v>3.3804432890445675</v>
      </c>
      <c r="H12">
        <v>10</v>
      </c>
      <c r="I12">
        <v>9</v>
      </c>
      <c r="J12">
        <f>100*179400/747366</f>
        <v>24.00430311253121</v>
      </c>
      <c r="K12">
        <f>100*145173/777977</f>
        <v>18.660320292245142</v>
      </c>
      <c r="L12">
        <f>IF(COUNT(J12:K12)=2,K12-J12,"")</f>
        <v>-5.343982820286069</v>
      </c>
      <c r="O12">
        <v>10</v>
      </c>
      <c r="P12">
        <v>9</v>
      </c>
      <c r="Q12">
        <f>100*361827/1149672</f>
        <v>31.47219380832098</v>
      </c>
      <c r="R12">
        <f>100*5185/527402</f>
        <v>0.9831210348083625</v>
      </c>
      <c r="S12">
        <f>IF(COUNT(Q12:R12)=2,R12-Q12,"")</f>
        <v>-30.489072773512618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100*116756/796478</f>
        <v>14.659036407785274</v>
      </c>
      <c r="E13">
        <f>IF(COUNT(C13:D13)=2,D13-C13,"")</f>
        <v>13.893339340273632</v>
      </c>
      <c r="H13">
        <v>11</v>
      </c>
      <c r="I13">
        <v>10</v>
      </c>
      <c r="J13">
        <f>100*29717/602395</f>
        <v>4.933141875347571</v>
      </c>
      <c r="K13">
        <f>100*92423/825124</f>
        <v>11.201104318866014</v>
      </c>
      <c r="L13">
        <f>IF(COUNT(J13:K13)=2,K13-J13,"")</f>
        <v>6.267962443518442</v>
      </c>
      <c r="O13">
        <v>11</v>
      </c>
      <c r="P13">
        <v>10</v>
      </c>
      <c r="Q13">
        <f>100*314083/1092488</f>
        <v>28.749331800440828</v>
      </c>
      <c r="R13">
        <f>100*301232/1068486</f>
        <v>28.192414313336815</v>
      </c>
      <c r="S13">
        <f>IF(COUNT(Q13:R13)=2,R13-Q13,"")</f>
        <v>-0.5569174871040126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100*33126/508907</f>
        <v>6.509244321654054</v>
      </c>
      <c r="E14">
        <f>IF(COUNT(C14:D14)=2,D14-C14,"")</f>
        <v>-29.85396287506705</v>
      </c>
      <c r="H14">
        <v>12</v>
      </c>
      <c r="I14">
        <v>11</v>
      </c>
      <c r="J14">
        <f>100*17227/518447</f>
        <v>3.3228083102033574</v>
      </c>
      <c r="K14">
        <f>100*42043/606497</f>
        <v>6.932103538846853</v>
      </c>
      <c r="L14">
        <f>IF(COUNT(J14:K14)=2,K14-J14,"")</f>
        <v>3.6092952286434956</v>
      </c>
      <c r="O14">
        <v>12</v>
      </c>
      <c r="P14">
        <v>11</v>
      </c>
      <c r="Q14">
        <f>100*438660/1271352</f>
        <v>34.5034262737621</v>
      </c>
      <c r="R14">
        <f>100*126135/664509</f>
        <v>18.981684220981204</v>
      </c>
      <c r="S14">
        <f>IF(COUNT(Q14:R14)=2,R14-Q14,"")</f>
        <v>-15.521742052780898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100*73845/631389</f>
        <v>11.69564246447119</v>
      </c>
      <c r="E15">
        <f>IF(COUNT(C15:D15)=2,D15-C15,"")</f>
        <v>2.6389794000823894</v>
      </c>
      <c r="H15">
        <v>13</v>
      </c>
      <c r="I15">
        <v>12</v>
      </c>
      <c r="J15">
        <f>100*544142/1461712</f>
        <v>37.22634828201451</v>
      </c>
      <c r="K15">
        <f>100*190193/828146</f>
        <v>22.966119500667755</v>
      </c>
      <c r="L15">
        <f>IF(COUNT(J15:K15)=2,K15-J15,"")</f>
        <v>-14.260228781346758</v>
      </c>
      <c r="O15">
        <v>13</v>
      </c>
      <c r="P15">
        <v>12</v>
      </c>
      <c r="Q15">
        <f>100*357555/1108932</f>
        <v>32.243185335079154</v>
      </c>
      <c r="R15">
        <f>100*25369/531229</f>
        <v>4.775529950360391</v>
      </c>
      <c r="S15">
        <f>IF(COUNT(Q15:R15)=2,R15-Q15,"")</f>
        <v>-27.467655384718764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100*70281/562497</f>
        <v>12.494466637155398</v>
      </c>
      <c r="E16">
        <f>IF(COUNT(C16:D16)=2,D16-C16,"")</f>
        <v>10.576243779153646</v>
      </c>
      <c r="H16">
        <v>14</v>
      </c>
      <c r="I16">
        <v>13</v>
      </c>
      <c r="J16">
        <f>100*181558/818931</f>
        <v>22.170121780711685</v>
      </c>
      <c r="K16">
        <f>100*209352/891916</f>
        <v>23.472165540252668</v>
      </c>
      <c r="L16">
        <f>IF(COUNT(J16:K16)=2,K16-J16,"")</f>
        <v>1.3020437595409824</v>
      </c>
      <c r="O16">
        <v>14</v>
      </c>
      <c r="P16">
        <v>13</v>
      </c>
      <c r="Q16">
        <f>100*131266/578543</f>
        <v>22.689065462722738</v>
      </c>
      <c r="R16">
        <f>100*24332/526860</f>
        <v>4.618304672968151</v>
      </c>
      <c r="S16">
        <f>IF(COUNT(Q16:R16)=2,R16-Q16,"")</f>
        <v>-18.070760789754587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100*388144/1371236</f>
        <v>28.30614132067711</v>
      </c>
      <c r="E17">
        <f>IF(COUNT(C17:D17)=2,D17-C17,"")</f>
        <v>-4.371261487554808</v>
      </c>
      <c r="H17">
        <v>15</v>
      </c>
      <c r="I17">
        <v>14</v>
      </c>
      <c r="J17">
        <f>100*610081/1573211</f>
        <v>38.779350004544845</v>
      </c>
      <c r="K17">
        <f>100*362751/1284884</f>
        <v>28.232198393006684</v>
      </c>
      <c r="L17">
        <f>IF(COUNT(J17:K17)=2,K17-J17,"")</f>
        <v>-10.547151611538162</v>
      </c>
      <c r="O17">
        <v>15</v>
      </c>
      <c r="P17">
        <v>14</v>
      </c>
      <c r="Q17">
        <f>100*384174/1163453</f>
        <v>33.020156379329464</v>
      </c>
      <c r="R17">
        <f>100*284731/1104047</f>
        <v>25.78975351592822</v>
      </c>
      <c r="S17">
        <f>IF(COUNT(Q17:R17)=2,R17-Q17,"")</f>
        <v>-7.230402863401245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100*142582/905876</f>
        <v>15.739681810755556</v>
      </c>
      <c r="E18">
        <f>IF(COUNT(C18:D18)=2,D18-C18,"")</f>
        <v>-17.528341265349184</v>
      </c>
      <c r="H18">
        <v>16</v>
      </c>
      <c r="I18">
        <v>15</v>
      </c>
      <c r="J18">
        <f>100*311472/1035367</f>
        <v>30.083245844227218</v>
      </c>
      <c r="K18">
        <f>100*145828/865333</f>
        <v>16.852240698089638</v>
      </c>
      <c r="L18">
        <f>IF(COUNT(J18:K18)=2,K18-J18,"")</f>
        <v>-13.23100514613758</v>
      </c>
      <c r="O18">
        <v>16</v>
      </c>
      <c r="P18">
        <v>15</v>
      </c>
      <c r="Q18">
        <f>100*403580/1172064</f>
        <v>34.43327326835394</v>
      </c>
      <c r="R18">
        <f>100*372388/1285976</f>
        <v>28.95761662737096</v>
      </c>
      <c r="S18">
        <f>IF(COUNT(Q18:R18)=2,R18-Q18,"")</f>
        <v>-5.475656640982983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100*318663/1206564</f>
        <v>26.41078301689757</v>
      </c>
      <c r="E19">
        <f>IF(COUNT(C19:D19)=2,D19-C19,"")</f>
        <v>5.1594352518557685</v>
      </c>
      <c r="H19">
        <v>17</v>
      </c>
      <c r="I19">
        <v>16</v>
      </c>
      <c r="J19">
        <f>100*547667/1465339</f>
        <v>37.37476447429571</v>
      </c>
      <c r="K19">
        <f>100*387403/1376200</f>
        <v>28.150196192413894</v>
      </c>
      <c r="L19">
        <f>IF(COUNT(J19:K19)=2,K19-J19,"")</f>
        <v>-9.224568281881815</v>
      </c>
      <c r="O19">
        <v>17</v>
      </c>
      <c r="P19">
        <v>16</v>
      </c>
      <c r="Q19">
        <f>100*34194/375756</f>
        <v>9.10005429055025</v>
      </c>
      <c r="R19">
        <f>100*3965/293391</f>
        <v>1.351438864859522</v>
      </c>
      <c r="S19">
        <f>IF(COUNT(Q19:R19)=2,R19-Q19,"")</f>
        <v>-7.748615425690729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100*54544/635405</f>
        <v>8.584131380772893</v>
      </c>
      <c r="E20">
        <f>IF(COUNT(C20:D20)=2,D20-C20,"")</f>
        <v>-20.87850271428058</v>
      </c>
      <c r="H20">
        <v>18</v>
      </c>
      <c r="I20">
        <v>17</v>
      </c>
      <c r="J20">
        <f>100*246590/976020</f>
        <v>25.264851130099792</v>
      </c>
      <c r="K20">
        <f>100*135133/772562</f>
        <v>17.491541131973875</v>
      </c>
      <c r="L20">
        <f>IF(COUNT(J20:K20)=2,K20-J20,"")</f>
        <v>-7.773309998125917</v>
      </c>
      <c r="O20">
        <v>18</v>
      </c>
      <c r="P20">
        <v>17</v>
      </c>
      <c r="Q20">
        <f>100*2176/318434</f>
        <v>0.6833441152640736</v>
      </c>
      <c r="R20">
        <f>100*3766/338142</f>
        <v>1.1137332836500642</v>
      </c>
      <c r="S20">
        <f>IF(COUNT(Q20:R20)=2,R20-Q20,"")</f>
        <v>0.4303891683859906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100*74581/594685</f>
        <v>12.541261340037163</v>
      </c>
      <c r="E21">
        <f>IF(COUNT(C21:D21)=2,D21-C21,"")</f>
        <v>-6.756698689263832</v>
      </c>
      <c r="H21">
        <v>19</v>
      </c>
      <c r="I21">
        <v>18</v>
      </c>
      <c r="J21">
        <f>100*94163/608895</f>
        <v>15.464571067261186</v>
      </c>
      <c r="K21">
        <f>100*22766/425095</f>
        <v>5.355508768628189</v>
      </c>
      <c r="L21">
        <f>IF(COUNT(J21:K21)=2,K21-J21,"")</f>
        <v>-10.109062298632997</v>
      </c>
      <c r="O21">
        <v>19</v>
      </c>
      <c r="P21">
        <v>18</v>
      </c>
      <c r="Q21">
        <f>100*460785/1299362</f>
        <v>35.462403856661965</v>
      </c>
      <c r="R21">
        <f>100*57038/306001</f>
        <v>18.639808366639325</v>
      </c>
      <c r="S21">
        <f>IF(COUNT(Q21:R21)=2,R21-Q21,"")</f>
        <v>-16.82259549002264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100*6359/127237</f>
        <v>4.997760085509718</v>
      </c>
      <c r="E22">
        <f>IF(COUNT(C22:D22)=2,D22-C22,"")</f>
        <v>-24.070420099848427</v>
      </c>
      <c r="H22">
        <v>20</v>
      </c>
      <c r="I22">
        <v>19</v>
      </c>
      <c r="J22">
        <f>100*51102/454685</f>
        <v>11.238989630183534</v>
      </c>
      <c r="K22">
        <f>100*145479/815152</f>
        <v>17.846855555773647</v>
      </c>
      <c r="L22">
        <f>IF(COUNT(J22:K22)=2,K22-J22,"")</f>
        <v>6.607865925590113</v>
      </c>
      <c r="O22">
        <v>20</v>
      </c>
      <c r="P22">
        <v>19</v>
      </c>
      <c r="Q22">
        <f>100*246053/750263</f>
        <v>32.795566354731605</v>
      </c>
      <c r="R22">
        <f>100*245663/1033332</f>
        <v>23.773869385637916</v>
      </c>
      <c r="S22">
        <f>IF(COUNT(Q22:R22)=2,R22-Q22,"")</f>
        <v>-9.02169696909369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100*368004/1197201</f>
        <v>30.73869801311559</v>
      </c>
      <c r="E23">
        <f>IF(COUNT(C23:D23)=2,D23-C23,"")</f>
        <v>7.317426872351973</v>
      </c>
      <c r="H23">
        <v>21</v>
      </c>
      <c r="I23">
        <v>20</v>
      </c>
      <c r="J23">
        <f>100*591919/1541493</f>
        <v>38.399071549465354</v>
      </c>
      <c r="K23">
        <f>100*227987/972060</f>
        <v>23.454004896817068</v>
      </c>
      <c r="L23">
        <f>IF(COUNT(J23:K23)=2,K23-J23,"")</f>
        <v>-14.945066652648286</v>
      </c>
      <c r="O23">
        <v>21</v>
      </c>
      <c r="P23">
        <v>20</v>
      </c>
      <c r="Q23">
        <f>100*189374/774599</f>
        <v>24.448004709533578</v>
      </c>
      <c r="R23">
        <f>100*142422/756856</f>
        <v>18.817582208504657</v>
      </c>
      <c r="S23">
        <f>IF(COUNT(Q23:R23)=2,R23-Q23,"")</f>
        <v>-5.630422501028921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100*281254/1104443</f>
        <v>25.465687228765994</v>
      </c>
      <c r="E24">
        <f>IF(COUNT(C24:D24)=2,D24-C24,"")</f>
        <v>2.3278816651741927</v>
      </c>
      <c r="H24">
        <v>22</v>
      </c>
      <c r="I24">
        <v>21</v>
      </c>
      <c r="J24">
        <f>100*392324/1270598</f>
        <v>30.87711455550851</v>
      </c>
      <c r="K24">
        <f>100*317072/1331180</f>
        <v>23.81886747096561</v>
      </c>
      <c r="L24">
        <f>IF(COUNT(J24:K24)=2,K24-J24,"")</f>
        <v>-7.058247084542899</v>
      </c>
      <c r="O24">
        <v>22</v>
      </c>
      <c r="P24">
        <v>21</v>
      </c>
      <c r="Q24">
        <f>100*423564/1232833</f>
        <v>34.356964811941275</v>
      </c>
      <c r="R24">
        <f>100*17903/234114</f>
        <v>7.647129176384155</v>
      </c>
      <c r="S24">
        <f>IF(COUNT(Q24:R24)=2,R24-Q24,"")</f>
        <v>-26.70983563555712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100*79019/714936</f>
        <v>11.052597715040227</v>
      </c>
      <c r="E25">
        <f>IF(COUNT(C25:D25)=2,D25-C25,"")</f>
        <v>-21.21717533863808</v>
      </c>
      <c r="H25">
        <v>23</v>
      </c>
      <c r="I25">
        <v>22</v>
      </c>
      <c r="J25">
        <f>100*155683/840858</f>
        <v>18.514778951975245</v>
      </c>
      <c r="K25">
        <f>100*184538/992377</f>
        <v>18.595553907436386</v>
      </c>
      <c r="L25">
        <f>IF(COUNT(J25:K25)=2,K25-J25,"")</f>
        <v>0.08077495546114122</v>
      </c>
      <c r="O25">
        <v>23</v>
      </c>
      <c r="P25">
        <v>22</v>
      </c>
      <c r="Q25">
        <f>100*592/261920</f>
        <v>0.22602321319486865</v>
      </c>
      <c r="R25">
        <f>100*6131/275846</f>
        <v>2.2226169674383534</v>
      </c>
      <c r="S25">
        <f>IF(COUNT(Q25:R25)=2,R25-Q25,"")</f>
        <v>1.9965937542434846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100*10623/498745</f>
        <v>2.129946164873833</v>
      </c>
      <c r="E26">
        <f>IF(COUNT(C26:D26)=2,D26-C26,"")</f>
        <v>-24.135178150790892</v>
      </c>
      <c r="H26">
        <v>24</v>
      </c>
      <c r="I26">
        <v>23</v>
      </c>
      <c r="J26">
        <f>100*377574/1156306</f>
        <v>32.65346716180665</v>
      </c>
      <c r="K26">
        <f>100*47060/579779</f>
        <v>8.116885916875223</v>
      </c>
      <c r="L26">
        <f>IF(COUNT(J26:K26)=2,K26-J26,"")</f>
        <v>-24.53658124493143</v>
      </c>
      <c r="O26">
        <v>24</v>
      </c>
      <c r="P26">
        <v>23</v>
      </c>
      <c r="Q26">
        <f>100*122016/574638</f>
        <v>21.233541812410596</v>
      </c>
      <c r="R26">
        <f>100*109459/713244</f>
        <v>15.346641542024889</v>
      </c>
      <c r="S26">
        <f>IF(COUNT(Q26:R26)=2,R26-Q26,"")</f>
        <v>-5.886900270385707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100*68696/736079</f>
        <v>9.33269390921355</v>
      </c>
      <c r="E27">
        <f>IF(COUNT(C27:D27)=2,D27-C27,"")</f>
        <v>1.0574182817211728</v>
      </c>
      <c r="H27">
        <v>25</v>
      </c>
      <c r="I27">
        <v>24</v>
      </c>
      <c r="J27">
        <f>100*179842/875592</f>
        <v>20.53947500662409</v>
      </c>
      <c r="K27">
        <f>100*4534/381414</f>
        <v>1.1887345509079372</v>
      </c>
      <c r="L27">
        <f>IF(COUNT(J27:K27)=2,K27-J27,"")</f>
        <v>-19.350740455716153</v>
      </c>
      <c r="O27">
        <v>25</v>
      </c>
      <c r="P27">
        <v>24</v>
      </c>
      <c r="Q27">
        <f>100*497820/1342997</f>
        <v>37.06784155139587</v>
      </c>
      <c r="R27">
        <f>100*475546/1432395</f>
        <v>33.19936190785363</v>
      </c>
      <c r="S27">
        <f>IF(COUNT(Q27:R27)=2,R27-Q27,"")</f>
        <v>-3.868479643542244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100*190540/876890</f>
        <v>21.729065219126685</v>
      </c>
      <c r="E28">
        <f>IF(COUNT(C28:D28)=2,D28-C28,"")</f>
        <v>-9.671234630948277</v>
      </c>
      <c r="H28">
        <v>26</v>
      </c>
      <c r="I28">
        <v>25</v>
      </c>
      <c r="J28">
        <f>100*403993/1263866</f>
        <v>31.964860198786898</v>
      </c>
      <c r="K28">
        <f>100*207252/996599</f>
        <v>20.79592694754861</v>
      </c>
      <c r="L28">
        <f>IF(COUNT(J28:K28)=2,K28-J28,"")</f>
        <v>-11.168933251238286</v>
      </c>
      <c r="O28">
        <v>26</v>
      </c>
      <c r="P28">
        <v>25</v>
      </c>
      <c r="Q28">
        <f>100*525172/1313199</f>
        <v>39.99180626850919</v>
      </c>
      <c r="R28">
        <f>100*339426/1163915</f>
        <v>29.162438837887645</v>
      </c>
      <c r="S28">
        <f>IF(COUNT(Q28:R28)=2,R28-Q28,"")</f>
        <v>-10.829367430621542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100*78563/728940</f>
        <v>10.777704612176585</v>
      </c>
      <c r="E29">
        <f>IF(COUNT(C29:D29)=2,D29-C29,"")</f>
        <v>-28.92595638216526</v>
      </c>
      <c r="H29">
        <v>27</v>
      </c>
      <c r="I29">
        <v>26</v>
      </c>
      <c r="J29">
        <f>100*136381/818474</f>
        <v>16.66283840415212</v>
      </c>
      <c r="K29">
        <f>100*165419/942108</f>
        <v>17.558390333167747</v>
      </c>
      <c r="L29">
        <f>IF(COUNT(J29:K29)=2,K29-J29,"")</f>
        <v>0.8955519290156282</v>
      </c>
      <c r="O29">
        <v>27</v>
      </c>
      <c r="P29">
        <v>26</v>
      </c>
      <c r="Q29">
        <f>100*365374/1222824</f>
        <v>29.87952477216672</v>
      </c>
      <c r="R29">
        <f>100*366365/1216856</f>
        <v>30.107506557883596</v>
      </c>
      <c r="S29">
        <f>IF(COUNT(Q29:R29)=2,R29-Q29,"")</f>
        <v>0.22798178571687444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100*80307/599250</f>
        <v>13.401251564455569</v>
      </c>
      <c r="E30">
        <f>IF(COUNT(C30:D30)=2,D30-C30,"")</f>
        <v>-14.502339489205673</v>
      </c>
      <c r="H30">
        <v>28</v>
      </c>
      <c r="I30">
        <v>27</v>
      </c>
      <c r="J30">
        <f>100*471860/1401372</f>
        <v>33.67128785219057</v>
      </c>
      <c r="K30">
        <f>100*213979/1013855</f>
        <v>21.105483525750724</v>
      </c>
      <c r="L30">
        <f>IF(COUNT(J30:K30)=2,K30-J30,"")</f>
        <v>-12.565804326439842</v>
      </c>
      <c r="O30">
        <v>28</v>
      </c>
      <c r="P30">
        <v>27</v>
      </c>
      <c r="Q30">
        <f>100*191/261142</f>
        <v>0.07314028383025327</v>
      </c>
      <c r="R30">
        <f>100*218/259814</f>
        <v>0.08390617903577174</v>
      </c>
      <c r="S30">
        <f>IF(COUNT(Q30:R30)=2,R30-Q30,"")</f>
        <v>0.010765895205518475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100*406311/1302443</f>
        <v>31.196067697396355</v>
      </c>
      <c r="E31">
        <f>IF(COUNT(C31:D31)=2,D31-C31,"")</f>
        <v>-5.688617120299224</v>
      </c>
      <c r="H31">
        <v>29</v>
      </c>
      <c r="I31">
        <v>28</v>
      </c>
      <c r="J31">
        <f>100*501796/1378717</f>
        <v>36.39586659191117</v>
      </c>
      <c r="K31">
        <f>100*371073/1273890</f>
        <v>29.12912417869675</v>
      </c>
      <c r="L31">
        <f>IF(COUNT(J31:K31)=2,K31-J31,"")</f>
        <v>-7.266742413214423</v>
      </c>
      <c r="O31">
        <v>29</v>
      </c>
      <c r="P31">
        <v>28</v>
      </c>
      <c r="Q31">
        <f>100*492377/1362039</f>
        <v>36.14999276819533</v>
      </c>
      <c r="R31">
        <f>100*338056/1164207</f>
        <v>29.037447807821117</v>
      </c>
      <c r="S31">
        <f>IF(COUNT(Q31:R31)=2,R31-Q31,"")</f>
        <v>-7.1125449603742155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100*47218/532307</f>
        <v>8.870445062717566</v>
      </c>
      <c r="E32">
        <f>IF(COUNT(C32:D32)=2,D32-C32,"")</f>
        <v>-16.964285194990524</v>
      </c>
      <c r="H32">
        <v>30</v>
      </c>
      <c r="I32">
        <v>29</v>
      </c>
      <c r="J32">
        <f>100*264568/888302</f>
        <v>29.783564598526176</v>
      </c>
      <c r="K32">
        <f>100*24916/459539</f>
        <v>5.421955481471649</v>
      </c>
      <c r="L32">
        <f>IF(COUNT(J32:K32)=2,K32-J32,"")</f>
        <v>-24.361609117054527</v>
      </c>
      <c r="O32">
        <v>30</v>
      </c>
      <c r="P32">
        <v>29</v>
      </c>
      <c r="Q32">
        <f>100*465436/1240969</f>
        <v>37.50585228156384</v>
      </c>
      <c r="R32">
        <f>100*190483/897407</f>
        <v>21.225932046440466</v>
      </c>
      <c r="S32">
        <f>IF(COUNT(Q32:R32)=2,R32-Q32,"")</f>
        <v>-16.279920235123374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100*238483/1078372</f>
        <v>22.11509571836064</v>
      </c>
      <c r="E33">
        <f>IF(COUNT(C33:D33)=2,D33-C33,"")</f>
        <v>-14.830964512356847</v>
      </c>
      <c r="H33">
        <v>31</v>
      </c>
      <c r="I33">
        <v>30</v>
      </c>
      <c r="J33">
        <f>100*307741/1047349</f>
        <v>29.382851370460084</v>
      </c>
      <c r="K33">
        <f>100*247567/1038540</f>
        <v>23.83798409305371</v>
      </c>
      <c r="L33">
        <f>IF(COUNT(J33:K33)=2,K33-J33,"")</f>
        <v>-5.544867277406375</v>
      </c>
      <c r="O33">
        <v>31</v>
      </c>
      <c r="P33">
        <v>30</v>
      </c>
      <c r="Q33">
        <f>100*7935/484889</f>
        <v>1.63645700356164</v>
      </c>
      <c r="R33">
        <f>100*34251/635217</f>
        <v>5.392015641898753</v>
      </c>
      <c r="S33">
        <f>IF(COUNT(Q33:R33)=2,R33-Q33,"")</f>
        <v>3.7555586383371127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16.073541739184098</v>
      </c>
      <c r="E34">
        <f>IF(COUNT(E3:E33)&gt;0,AVERAGE(E3:E33),"")</f>
        <v>-8.677744512356176</v>
      </c>
      <c r="H34" t="s">
        <v>5</v>
      </c>
      <c r="J34">
        <f>IF(COUNT(J3:J33)&gt;0,AVERAGE(J3:J33),"")</f>
        <v>23.26126650336055</v>
      </c>
      <c r="K34">
        <f>IF(COUNT(K3:K33)&gt;0,AVERAGE(K3:K33),"")</f>
        <v>16.897170317910373</v>
      </c>
      <c r="L34">
        <f>IF(COUNT(L3:L33)&gt;0,AVERAGE(L3:L33),"")</f>
        <v>-6.364096185450184</v>
      </c>
      <c r="O34" t="s">
        <v>5</v>
      </c>
      <c r="Q34">
        <f>IF(COUNT(Q3:Q33)&gt;0,AVERAGE(Q3:Q33),"")</f>
        <v>28.172990083851328</v>
      </c>
      <c r="R34">
        <f>IF(COUNT(R3:R33)&gt;0,AVERAGE(R3:R33),"")</f>
        <v>17.56704687161948</v>
      </c>
      <c r="S34">
        <f>IF(COUNT(S3:S33)&gt;0,AVERAGE(S3:S33),"")</f>
        <v>-10.605943212231848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100*623392/1874781</f>
        <v>33.25145710352302</v>
      </c>
      <c r="E39">
        <f>IF(COUNT(C39:D39)=2,D39-C39,"")</f>
        <v>14.87880595438082</v>
      </c>
      <c r="H39">
        <v>1</v>
      </c>
      <c r="I39">
        <v>0</v>
      </c>
      <c r="J39">
        <f>100*402854/1288411</f>
        <v>31.267507029977235</v>
      </c>
      <c r="K39">
        <f>100*378033/1359265</f>
        <v>27.81157463776379</v>
      </c>
      <c r="L39">
        <f>IF(COUNT(J39:K39)=2,K39-J39,"")</f>
        <v>-3.4559323922134446</v>
      </c>
      <c r="O39">
        <v>1</v>
      </c>
      <c r="P39">
        <v>0</v>
      </c>
      <c r="Q39">
        <f>100*88041/674269</f>
        <v>13.057251631025599</v>
      </c>
      <c r="R39">
        <f>100*29867/534172</f>
        <v>5.591270227567151</v>
      </c>
      <c r="S39">
        <f>IF(COUNT(Q39:R39)=2,R39-Q39,"")</f>
        <v>-7.465981403458448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100*593791/1902476</f>
        <v>31.211484402431356</v>
      </c>
      <c r="E40">
        <f>IF(COUNT(C40:D40)=2,D40-C40,"")</f>
        <v>-10.2779595652373</v>
      </c>
      <c r="H40">
        <v>2</v>
      </c>
      <c r="I40">
        <v>1</v>
      </c>
      <c r="J40">
        <f>100*573780/1506160</f>
        <v>38.095554257183835</v>
      </c>
      <c r="K40">
        <f>100*235472/1055553</f>
        <v>22.307927692877573</v>
      </c>
      <c r="L40">
        <f>IF(COUNT(J40:K40)=2,K40-J40,"")</f>
        <v>-15.787626564306262</v>
      </c>
      <c r="O40">
        <v>2</v>
      </c>
      <c r="P40">
        <v>1</v>
      </c>
      <c r="Q40">
        <f>100*291073/995685</f>
        <v>29.233442303539775</v>
      </c>
      <c r="R40">
        <f>100*200955/798797</f>
        <v>25.157205147240163</v>
      </c>
      <c r="S40">
        <f>IF(COUNT(Q40:R40)=2,R40-Q40,"")</f>
        <v>-4.076237156299612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100*232808/1210603</f>
        <v>19.230746991375373</v>
      </c>
      <c r="E41">
        <f>IF(COUNT(C41:D41)=2,D41-C41,"")</f>
        <v>-21.295124088218802</v>
      </c>
      <c r="H41">
        <v>3</v>
      </c>
      <c r="I41">
        <v>2</v>
      </c>
      <c r="J41">
        <f>100*646730/1702231</f>
        <v>37.99308084507919</v>
      </c>
      <c r="K41">
        <f>100*12311/357994</f>
        <v>3.438884450577384</v>
      </c>
      <c r="L41">
        <f>IF(COUNT(J41:K41)=2,K41-J41,"")</f>
        <v>-34.55419639450181</v>
      </c>
      <c r="O41">
        <v>3</v>
      </c>
      <c r="P41">
        <v>2</v>
      </c>
      <c r="Q41">
        <f>100*505429/1286969</f>
        <v>39.272818537198646</v>
      </c>
      <c r="R41">
        <f>100*435270/1442589</f>
        <v>30.172835090244</v>
      </c>
      <c r="S41">
        <f>IF(COUNT(Q41:R41)=2,R41-Q41,"")</f>
        <v>-9.099983446954646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100*232520/1068590</f>
        <v>21.75951487474148</v>
      </c>
      <c r="E42">
        <f>IF(COUNT(C42:D42)=2,D42-C42,"")</f>
        <v>15.831994790761701</v>
      </c>
      <c r="H42">
        <v>4</v>
      </c>
      <c r="I42">
        <v>3</v>
      </c>
      <c r="J42">
        <f>100*44764/778520</f>
        <v>5.749884396033499</v>
      </c>
      <c r="K42">
        <f>100*165945/1028242</f>
        <v>16.13871053701366</v>
      </c>
      <c r="L42">
        <f>IF(COUNT(J42:K42)=2,K42-J42,"")</f>
        <v>10.388826140980163</v>
      </c>
      <c r="O42">
        <v>4</v>
      </c>
      <c r="P42">
        <v>3</v>
      </c>
      <c r="Q42">
        <f>100*589890/1404698</f>
        <v>41.9940798662773</v>
      </c>
      <c r="R42">
        <f>100*624/2054</f>
        <v>30.379746835443036</v>
      </c>
      <c r="S42">
        <f>IF(COUNT(Q42:R42)=2,R42-Q42,"")</f>
        <v>-11.614333030834267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100*657112/2092837</f>
        <v>31.39814519716538</v>
      </c>
      <c r="E43">
        <f>IF(COUNT(C43:D43)=2,D43-C43,"")</f>
        <v>-15.817524915212207</v>
      </c>
      <c r="H43">
        <v>5</v>
      </c>
      <c r="I43">
        <v>4</v>
      </c>
      <c r="J43">
        <f>100*942269/2236809</f>
        <v>42.12559051756319</v>
      </c>
      <c r="K43">
        <f>100*616320/2057140</f>
        <v>29.960041611168904</v>
      </c>
      <c r="L43">
        <f>IF(COUNT(J43:K43)=2,K43-J43,"")</f>
        <v>-12.165548906394285</v>
      </c>
      <c r="O43">
        <v>5</v>
      </c>
      <c r="P43">
        <v>4</v>
      </c>
      <c r="Q43">
        <f>100*141535/798132</f>
        <v>17.73328221396962</v>
      </c>
      <c r="R43">
        <f>100*449451/2160693</f>
        <v>20.801242934558495</v>
      </c>
      <c r="S43">
        <f>IF(COUNT(Q43:R43)=2,R43-Q43,"")</f>
        <v>3.067960720588875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100*276505/1430403</f>
        <v>19.330566280971166</v>
      </c>
      <c r="E44">
        <f>IF(COUNT(C44:D44)=2,D44-C44,"")</f>
        <v>1.2336920438761254</v>
      </c>
      <c r="H44">
        <v>6</v>
      </c>
      <c r="I44">
        <v>5</v>
      </c>
      <c r="J44">
        <f>100*712109/1711457</f>
        <v>41.60834890973013</v>
      </c>
      <c r="K44">
        <f>100*75503/705797</f>
        <v>10.697551845644002</v>
      </c>
      <c r="L44">
        <f>IF(COUNT(J44:K44)=2,K44-J44,"")</f>
        <v>-30.910797064086132</v>
      </c>
      <c r="O44">
        <v>6</v>
      </c>
      <c r="P44">
        <v>5</v>
      </c>
      <c r="Q44">
        <f>100*603941/1377183</f>
        <v>43.8533586313511</v>
      </c>
      <c r="R44">
        <f>100*311180/1198444</f>
        <v>25.96533505111628</v>
      </c>
      <c r="S44">
        <f>IF(COUNT(Q44:R44)=2,R44-Q44,"")</f>
        <v>-17.88802358023482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100*12146/596621</f>
        <v>2.0357982705938946</v>
      </c>
      <c r="E45">
        <f>IF(COUNT(C45:D45)=2,D45-C45,"")</f>
        <v>-0.5898833075270908</v>
      </c>
      <c r="H45">
        <v>7</v>
      </c>
      <c r="I45">
        <v>6</v>
      </c>
      <c r="J45">
        <f>100*1624/545527</f>
        <v>0.2976937896749382</v>
      </c>
      <c r="K45">
        <f>100*34825/670015</f>
        <v>5.197644828847116</v>
      </c>
      <c r="L45">
        <f>IF(COUNT(J45:K45)=2,K45-J45,"")</f>
        <v>4.899951039172177</v>
      </c>
      <c r="O45">
        <v>7</v>
      </c>
      <c r="P45">
        <v>6</v>
      </c>
      <c r="Q45">
        <f>100*672106/1493090</f>
        <v>45.01443315540256</v>
      </c>
      <c r="R45">
        <f>100*345883/1447054</f>
        <v>23.902563415048782</v>
      </c>
      <c r="S45">
        <f>IF(COUNT(Q45:R45)=2,R45-Q45,"")</f>
        <v>-21.111869740353775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100*6573/504955</f>
        <v>1.3017001514986484</v>
      </c>
      <c r="E46">
        <f>IF(COUNT(C46:D46)=2,D46-C46,"")</f>
        <v>-2.7746840802574253</v>
      </c>
      <c r="H46">
        <v>8</v>
      </c>
      <c r="I46">
        <v>7</v>
      </c>
      <c r="J46">
        <f>100*2064/453926</f>
        <v>0.45469966470305734</v>
      </c>
      <c r="K46">
        <f>100*81/403463</f>
        <v>0.020076190381769828</v>
      </c>
      <c r="L46">
        <f>IF(COUNT(J46:K46)=2,K46-J46,"")</f>
        <v>-0.4346234743212875</v>
      </c>
      <c r="O46">
        <v>8</v>
      </c>
      <c r="P46">
        <v>7</v>
      </c>
      <c r="Q46">
        <f>100*703275/1703373</f>
        <v>41.28719898695118</v>
      </c>
      <c r="R46">
        <f>100*210652/1109823</f>
        <v>18.980684307317475</v>
      </c>
      <c r="S46">
        <f>IF(COUNT(Q46:R46)=2,R46-Q46,"")</f>
        <v>-22.306514679633707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100*275800/1409463</f>
        <v>19.56773608104647</v>
      </c>
      <c r="E47">
        <f>IF(COUNT(C47:D47)=2,D47-C47,"")</f>
        <v>-25.4458104830875</v>
      </c>
      <c r="H47">
        <v>9</v>
      </c>
      <c r="I47">
        <v>8</v>
      </c>
      <c r="J47">
        <f>100*779177/1827411</f>
        <v>42.63830085295535</v>
      </c>
      <c r="K47">
        <f>100*670831/2045399</f>
        <v>32.79707284495592</v>
      </c>
      <c r="L47">
        <f>IF(COUNT(J47:K47)=2,K47-J47,"")</f>
        <v>-9.841228007999433</v>
      </c>
      <c r="O47">
        <v>9</v>
      </c>
      <c r="P47">
        <v>8</v>
      </c>
      <c r="Q47">
        <f>100*785425/1662476</f>
        <v>47.244291045404566</v>
      </c>
      <c r="R47">
        <f>100*115319/886192</f>
        <v>13.012868543159946</v>
      </c>
      <c r="S47">
        <f>IF(COUNT(Q47:R47)=2,R47-Q47,"")</f>
        <v>-34.23142250224462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100*160920/1027921</f>
        <v>15.654899549673564</v>
      </c>
      <c r="E48">
        <f>IF(COUNT(C48:D48)=2,D48-C48,"")</f>
        <v>-13.743263499465895</v>
      </c>
      <c r="H48">
        <v>10</v>
      </c>
      <c r="I48">
        <v>9</v>
      </c>
      <c r="J48">
        <f>100*872985/1990559</f>
        <v>43.85627353924199</v>
      </c>
      <c r="K48">
        <f>100*20146/781033</f>
        <v>2.579404455381527</v>
      </c>
      <c r="L48">
        <f>IF(COUNT(J48:K48)=2,K48-J48,"")</f>
        <v>-41.27686908386046</v>
      </c>
      <c r="O48">
        <v>10</v>
      </c>
      <c r="P48">
        <v>9</v>
      </c>
      <c r="Q48">
        <f>100*317010/1082800</f>
        <v>29.276874769117104</v>
      </c>
      <c r="R48">
        <f>100*19780/523697</f>
        <v>3.7769931849905576</v>
      </c>
      <c r="S48">
        <f>IF(COUNT(Q48:R48)=2,R48-Q48,"")</f>
        <v>-25.499881584126545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100*47685/924128</f>
        <v>5.159999480591433</v>
      </c>
      <c r="E49">
        <f>IF(COUNT(C49:D49)=2,D49-C49,"")</f>
        <v>-36.738936588473756</v>
      </c>
      <c r="H49">
        <v>11</v>
      </c>
      <c r="I49">
        <v>10</v>
      </c>
      <c r="J49">
        <f>100*582667/1702410</f>
        <v>34.22600901075534</v>
      </c>
      <c r="K49">
        <f>100*30131/710176</f>
        <v>4.242751092686883</v>
      </c>
      <c r="L49">
        <f>IF(COUNT(J49:K49)=2,K49-J49,"")</f>
        <v>-29.983257918068457</v>
      </c>
      <c r="O49">
        <v>11</v>
      </c>
      <c r="P49">
        <v>10</v>
      </c>
      <c r="Q49">
        <f>100*610513/1430887</f>
        <v>42.666751462554345</v>
      </c>
      <c r="R49">
        <f>100*406704/1338945</f>
        <v>30.37495938966873</v>
      </c>
      <c r="S49">
        <f>IF(COUNT(Q49:R49)=2,R49-Q49,"")</f>
        <v>-12.291792072885613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100*136438/1134959</f>
        <v>12.021403416334863</v>
      </c>
      <c r="E50">
        <f>IF(COUNT(C50:D50)=2,D50-C50,"")</f>
        <v>-27.082601179665154</v>
      </c>
      <c r="H50">
        <v>12</v>
      </c>
      <c r="I50">
        <v>11</v>
      </c>
      <c r="J50">
        <f>100*2109/16409</f>
        <v>12.85270278505698</v>
      </c>
      <c r="K50">
        <f>100*22489/709452</f>
        <v>3.1699114245925024</v>
      </c>
      <c r="L50">
        <f>IF(COUNT(J50:K50)=2,K50-J50,"")</f>
        <v>-9.682791360464478</v>
      </c>
      <c r="O50">
        <v>12</v>
      </c>
      <c r="P50">
        <v>11</v>
      </c>
      <c r="Q50">
        <f>100*565746/1449544</f>
        <v>39.029239540158834</v>
      </c>
      <c r="R50">
        <f>100*129450/668649</f>
        <v>19.359933238515275</v>
      </c>
      <c r="S50">
        <f>IF(COUNT(Q50:R50)=2,R50-Q50,"")</f>
        <v>-19.66930630164356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100*16931/632297</f>
        <v>2.677697347923523</v>
      </c>
      <c r="E51">
        <f>IF(COUNT(C51:D51)=2,D51-C51,"")</f>
        <v>0.4717486373796329</v>
      </c>
      <c r="H51">
        <v>13</v>
      </c>
      <c r="I51">
        <v>12</v>
      </c>
      <c r="J51">
        <f>100*78998/737547</f>
        <v>10.710910626712602</v>
      </c>
      <c r="K51">
        <f>100*68135/788588</f>
        <v>8.640126403140803</v>
      </c>
      <c r="L51">
        <f>IF(COUNT(J51:K51)=2,K51-J51,"")</f>
        <v>-2.070784223571799</v>
      </c>
      <c r="O51">
        <v>13</v>
      </c>
      <c r="P51">
        <v>12</v>
      </c>
      <c r="Q51">
        <f>100*653960/1481691</f>
        <v>44.136058057989146</v>
      </c>
      <c r="R51">
        <f>100*383523/1366243</f>
        <v>28.071360658389466</v>
      </c>
      <c r="S51">
        <f>IF(COUNT(Q51:R51)=2,R51-Q51,"")</f>
        <v>-16.06469739959968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100*1823/445650</f>
        <v>0.4090654100751711</v>
      </c>
      <c r="E52">
        <f>IF(COUNT(C52:D52)=2,D52-C52,"")</f>
        <v>-21.292813470660253</v>
      </c>
      <c r="H52">
        <v>14</v>
      </c>
      <c r="I52">
        <v>13</v>
      </c>
      <c r="J52">
        <f>100*450919/1374273</f>
        <v>32.811457403296146</v>
      </c>
      <c r="K52">
        <f>100*288472/1291718</f>
        <v>22.332428595095834</v>
      </c>
      <c r="L52">
        <f>IF(COUNT(J52:K52)=2,K52-J52,"")</f>
        <v>-10.479028808200312</v>
      </c>
      <c r="O52">
        <v>14</v>
      </c>
      <c r="P52">
        <v>13</v>
      </c>
      <c r="Q52">
        <f>100*1624/402681</f>
        <v>0.40329690251092054</v>
      </c>
      <c r="R52">
        <f>100*13839/419006</f>
        <v>3.302816666109793</v>
      </c>
      <c r="S52">
        <f>IF(COUNT(Q52:R52)=2,R52-Q52,"")</f>
        <v>2.8995197635988728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100*527350/1844051</f>
        <v>28.59736525725156</v>
      </c>
      <c r="E53">
        <f>IF(COUNT(C53:D53)=2,D53-C53,"")</f>
        <v>-19.512288964516927</v>
      </c>
      <c r="H53">
        <v>15</v>
      </c>
      <c r="I53">
        <v>14</v>
      </c>
      <c r="J53">
        <f>100*381484/1238884</f>
        <v>30.792552006483255</v>
      </c>
      <c r="K53">
        <f>100*294765/1430027</f>
        <v>20.612547874970193</v>
      </c>
      <c r="L53">
        <f>IF(COUNT(J53:K53)=2,K53-J53,"")</f>
        <v>-10.180004131513062</v>
      </c>
      <c r="O53">
        <v>15</v>
      </c>
      <c r="P53">
        <v>14</v>
      </c>
      <c r="Q53">
        <f>100*373593/1196320</f>
        <v>31.22851745352414</v>
      </c>
      <c r="R53">
        <f>100*183165/772915</f>
        <v>23.69794867482194</v>
      </c>
      <c r="S53">
        <f>IF(COUNT(Q53:R53)=2,R53-Q53,"")</f>
        <v>-7.5305687787022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100*162635/1110338</f>
        <v>14.647341620299404</v>
      </c>
      <c r="E54">
        <f>IF(COUNT(C54:D54)=2,D54-C54,"")</f>
        <v>-30.694279308447417</v>
      </c>
      <c r="H54">
        <v>16</v>
      </c>
      <c r="I54">
        <v>15</v>
      </c>
      <c r="J54">
        <f>100*600755/1390841</f>
        <v>43.19365046040489</v>
      </c>
      <c r="K54">
        <f>100*374811/1489959</f>
        <v>25.155792877522135</v>
      </c>
      <c r="L54">
        <f>IF(COUNT(J54:K54)=2,K54-J54,"")</f>
        <v>-18.037857582882754</v>
      </c>
      <c r="O54">
        <v>16</v>
      </c>
      <c r="P54">
        <v>15</v>
      </c>
      <c r="Q54">
        <f>100*595830/1410973</f>
        <v>42.22830628226054</v>
      </c>
      <c r="R54">
        <f>100*665187/1796586</f>
        <v>37.02505752577388</v>
      </c>
      <c r="S54">
        <f>IF(COUNT(Q54:R54)=2,R54-Q54,"")</f>
        <v>-5.2032487564866585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100*498255/1853926</f>
        <v>26.875668176615463</v>
      </c>
      <c r="E55">
        <f>IF(COUNT(C55:D55)=2,D55-C55,"")</f>
        <v>-8.29397300560084</v>
      </c>
      <c r="H55">
        <v>17</v>
      </c>
      <c r="I55">
        <v>16</v>
      </c>
      <c r="J55">
        <f>100*627913/1725883</f>
        <v>36.38213019074873</v>
      </c>
      <c r="K55">
        <f>100*47410/693693</f>
        <v>6.834435405863977</v>
      </c>
      <c r="L55">
        <f>IF(COUNT(J55:K55)=2,K55-J55,"")</f>
        <v>-29.547694784884754</v>
      </c>
      <c r="O55">
        <v>17</v>
      </c>
      <c r="P55">
        <v>16</v>
      </c>
      <c r="Q55">
        <f>100*6486/400160</f>
        <v>1.6208516593362654</v>
      </c>
      <c r="R55">
        <f>100*17325/425866</f>
        <v>4.068181071041126</v>
      </c>
      <c r="S55">
        <f>IF(COUNT(Q55:R55)=2,R55-Q55,"")</f>
        <v>2.4473294117048603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100*54327/827736</f>
        <v>6.563324538258575</v>
      </c>
      <c r="E56">
        <f>IF(COUNT(C56:D56)=2,D56-C56,"")</f>
        <v>-40.465126017003186</v>
      </c>
      <c r="H56">
        <v>18</v>
      </c>
      <c r="I56">
        <v>17</v>
      </c>
      <c r="J56">
        <f>100*355/2215</f>
        <v>16.02708803611738</v>
      </c>
      <c r="K56">
        <f>100*301229/1343021</f>
        <v>22.429209967677348</v>
      </c>
      <c r="L56">
        <f>IF(COUNT(J56:K56)=2,K56-J56,"")</f>
        <v>6.402121931559968</v>
      </c>
      <c r="O56">
        <v>18</v>
      </c>
      <c r="P56">
        <v>17</v>
      </c>
      <c r="Q56">
        <f>100*78465/548560</f>
        <v>14.303813621117106</v>
      </c>
      <c r="R56">
        <f>100*4652/426754</f>
        <v>1.090089372331601</v>
      </c>
      <c r="S56">
        <f>IF(COUNT(Q56:R56)=2,R56-Q56,"")</f>
        <v>-13.213724248785505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100*124336/889585</f>
        <v>13.97685437591686</v>
      </c>
      <c r="E57">
        <f>IF(COUNT(C57:D57)=2,D57-C57,"")</f>
        <v>-18.317500770435338</v>
      </c>
      <c r="H57">
        <v>19</v>
      </c>
      <c r="I57">
        <v>18</v>
      </c>
      <c r="J57">
        <f>100*451032/1332344</f>
        <v>33.85251856877803</v>
      </c>
      <c r="K57">
        <f>100*299032/1338568</f>
        <v>22.339694359942865</v>
      </c>
      <c r="L57">
        <f>IF(COUNT(J57:K57)=2,K57-J57,"")</f>
        <v>-11.512824208835166</v>
      </c>
      <c r="O57">
        <v>19</v>
      </c>
      <c r="P57">
        <v>18</v>
      </c>
      <c r="Q57">
        <f>100*644704/1630522</f>
        <v>39.53973022136469</v>
      </c>
      <c r="R57">
        <f>100*589106/1741404</f>
        <v>33.82936986477578</v>
      </c>
      <c r="S57">
        <f>IF(COUNT(Q57:R57)=2,R57-Q57,"")</f>
        <v>-5.7103603565889145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100*379012/1454856</f>
        <v>26.05151300197408</v>
      </c>
      <c r="E58">
        <f>IF(COUNT(C58:D58)=2,D58-C58,"")</f>
        <v>-16.199387839308216</v>
      </c>
      <c r="H58">
        <v>20</v>
      </c>
      <c r="I58">
        <v>19</v>
      </c>
      <c r="J58">
        <f>100*854529/1945718</f>
        <v>43.918440390642424</v>
      </c>
      <c r="K58">
        <f>100*276918/1280598</f>
        <v>21.624116233197302</v>
      </c>
      <c r="L58">
        <f>IF(COUNT(J58:K58)=2,K58-J58,"")</f>
        <v>-22.29432415744512</v>
      </c>
      <c r="O58">
        <v>20</v>
      </c>
      <c r="P58">
        <v>19</v>
      </c>
      <c r="Q58">
        <f>100*668214/1556077</f>
        <v>42.94221944029762</v>
      </c>
      <c r="R58">
        <f>100*283526/1227321</f>
        <v>23.101209870930262</v>
      </c>
      <c r="S58">
        <f>IF(COUNT(Q58:R58)=2,R58-Q58,"")</f>
        <v>-19.84100956936736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100*650588/2235417</f>
        <v>29.103652696566233</v>
      </c>
      <c r="E59">
        <f>IF(COUNT(C59:D59)=2,D59-C59,"")</f>
        <v>-12.882577865739929</v>
      </c>
      <c r="H59">
        <v>21</v>
      </c>
      <c r="I59">
        <v>20</v>
      </c>
      <c r="J59">
        <f>100*708159/1885839</f>
        <v>37.5514028504024</v>
      </c>
      <c r="K59">
        <f>100*153062/978063</f>
        <v>15.649503150615041</v>
      </c>
      <c r="L59">
        <f>IF(COUNT(J59:K59)=2,K59-J59,"")</f>
        <v>-21.901899699787357</v>
      </c>
      <c r="O59">
        <v>21</v>
      </c>
      <c r="P59">
        <v>20</v>
      </c>
      <c r="Q59">
        <f>100*370589/1143839</f>
        <v>32.39870296431578</v>
      </c>
      <c r="R59">
        <f>100*295115/1095540</f>
        <v>26.93785712981726</v>
      </c>
      <c r="S59">
        <f>IF(COUNT(Q59:R59)=2,R59-Q59,"")</f>
        <v>-5.460845834498521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100*550/1914</f>
        <v>28.735632183908045</v>
      </c>
      <c r="E60">
        <f>IF(COUNT(C60:D60)=2,D60-C60,"")</f>
        <v>-5.4884380913387645</v>
      </c>
      <c r="H60">
        <v>22</v>
      </c>
      <c r="I60">
        <v>21</v>
      </c>
      <c r="J60">
        <f>100*858363/1916826</f>
        <v>44.78043390479887</v>
      </c>
      <c r="K60">
        <f>100*365442/1453544</f>
        <v>25.141447386525623</v>
      </c>
      <c r="L60">
        <f>IF(COUNT(J60:K60)=2,K60-J60,"")</f>
        <v>-19.638986518273246</v>
      </c>
      <c r="O60">
        <v>22</v>
      </c>
      <c r="P60">
        <v>21</v>
      </c>
      <c r="Q60">
        <f>100*754527/1680084</f>
        <v>44.91007592477519</v>
      </c>
      <c r="R60">
        <f>100*440789/1376620</f>
        <v>32.01965684066772</v>
      </c>
      <c r="S60">
        <f>IF(COUNT(Q60:R60)=2,R60-Q60,"")</f>
        <v>-12.89041908410747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100*532737/1869233</f>
        <v>28.50029932063044</v>
      </c>
      <c r="E61">
        <f>IF(COUNT(C61:D61)=2,D61-C61,"")</f>
        <v>-6.5522809410042555</v>
      </c>
      <c r="H61">
        <v>23</v>
      </c>
      <c r="I61">
        <v>22</v>
      </c>
      <c r="J61">
        <f>100*941313/1944636</f>
        <v>48.40561421263414</v>
      </c>
      <c r="K61">
        <f>100*692356/2049027</f>
        <v>33.78950106562773</v>
      </c>
      <c r="L61">
        <f>IF(COUNT(J61:K61)=2,K61-J61,"")</f>
        <v>-14.61611314700641</v>
      </c>
      <c r="O61">
        <v>23</v>
      </c>
      <c r="P61">
        <v>22</v>
      </c>
      <c r="Q61">
        <f>100*844/356205</f>
        <v>0.236942210244101</v>
      </c>
      <c r="R61">
        <f>100*1642/360722</f>
        <v>0.45519818586057964</v>
      </c>
      <c r="S61">
        <f>IF(COUNT(Q61:R61)=2,R61-Q61,"")</f>
        <v>0.21825597561647864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100*267471/1264434</f>
        <v>21.15341726021287</v>
      </c>
      <c r="E62">
        <f>IF(COUNT(C62:D62)=2,D62-C62,"")</f>
        <v>-7.741226395575389</v>
      </c>
      <c r="H62">
        <v>24</v>
      </c>
      <c r="I62">
        <v>23</v>
      </c>
      <c r="J62">
        <f>100*792417/1775752</f>
        <v>44.62430564628394</v>
      </c>
      <c r="K62">
        <f>100*4453/151392</f>
        <v>2.9413707461424647</v>
      </c>
      <c r="L62">
        <f>IF(COUNT(J62:K62)=2,K62-J62,"")</f>
        <v>-41.682934900141476</v>
      </c>
      <c r="O62">
        <v>24</v>
      </c>
      <c r="P62">
        <v>23</v>
      </c>
      <c r="Q62">
        <f>100*197250/941831</f>
        <v>20.94324778012191</v>
      </c>
      <c r="R62">
        <f>100*30531/539509</f>
        <v>5.659034418332224</v>
      </c>
      <c r="S62">
        <f>IF(COUNT(Q62:R62)=2,R62-Q62,"")</f>
        <v>-15.284213361789687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100*354993/1361613</f>
        <v>26.071504898969092</v>
      </c>
      <c r="E63">
        <f>IF(COUNT(C63:D63)=2,D63-C63,"")</f>
        <v>-17.603183282680657</v>
      </c>
      <c r="H63">
        <v>25</v>
      </c>
      <c r="I63">
        <v>24</v>
      </c>
      <c r="J63">
        <f>100*708043/1588574</f>
        <v>44.57098001100358</v>
      </c>
      <c r="K63">
        <f>100*263476/1328987</f>
        <v>19.82532560514136</v>
      </c>
      <c r="L63">
        <f>IF(COUNT(J63:K63)=2,K63-J63,"")</f>
        <v>-24.74565440586222</v>
      </c>
      <c r="O63">
        <v>25</v>
      </c>
      <c r="P63">
        <v>24</v>
      </c>
      <c r="Q63">
        <f>100*339441/1160878</f>
        <v>29.240023499454722</v>
      </c>
      <c r="R63">
        <f>100*518847/1490289</f>
        <v>34.815193563127686</v>
      </c>
      <c r="S63">
        <f>IF(COUNT(Q63:R63)=2,R63-Q63,"")</f>
        <v>5.575170063672964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100*360860/1472158</f>
        <v>24.512314574930137</v>
      </c>
      <c r="E64">
        <f>IF(COUNT(C64:D64)=2,D64-C64,"")</f>
        <v>-19.892538928410154</v>
      </c>
      <c r="H64">
        <v>26</v>
      </c>
      <c r="I64">
        <v>25</v>
      </c>
      <c r="J64">
        <f>100*398836/1246025</f>
        <v>32.008667562849865</v>
      </c>
      <c r="K64">
        <f>100*320966/1300361</f>
        <v>24.682838073427302</v>
      </c>
      <c r="L64">
        <f>IF(COUNT(J64:K64)=2,K64-J64,"")</f>
        <v>-7.3258294894225635</v>
      </c>
      <c r="O64">
        <v>26</v>
      </c>
      <c r="P64">
        <v>25</v>
      </c>
      <c r="Q64">
        <f>100*775571/1671807</f>
        <v>46.39118032165196</v>
      </c>
      <c r="R64">
        <f>100*231357/993815</f>
        <v>23.279684850802212</v>
      </c>
      <c r="S64">
        <f>IF(COUNT(Q64:R64)=2,R64-Q64,"")</f>
        <v>-23.111495470849746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100*194082/1168841</f>
        <v>16.604653669746355</v>
      </c>
      <c r="E65">
        <f>IF(COUNT(C65:D65)=2,D65-C65,"")</f>
        <v>-17.761630804997992</v>
      </c>
      <c r="H65">
        <v>27</v>
      </c>
      <c r="I65">
        <v>26</v>
      </c>
      <c r="J65">
        <f>100*537175/1539092</f>
        <v>34.90207213084078</v>
      </c>
      <c r="K65">
        <f>100*370461/1577504</f>
        <v>23.483997504919163</v>
      </c>
      <c r="L65">
        <f>IF(COUNT(J65:K65)=2,K65-J65,"")</f>
        <v>-11.418074625921616</v>
      </c>
      <c r="O65">
        <v>27</v>
      </c>
      <c r="P65">
        <v>26</v>
      </c>
      <c r="Q65">
        <f>100*484579/1297589</f>
        <v>37.34456750172821</v>
      </c>
      <c r="R65">
        <f>100*383632/1536493</f>
        <v>24.9680278400227</v>
      </c>
      <c r="S65">
        <f>IF(COUNT(Q65:R65)=2,R65-Q65,"")</f>
        <v>-12.376539661705507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100*418734/1526556</f>
        <v>27.429979640445552</v>
      </c>
      <c r="E66">
        <f>IF(COUNT(C66:D66)=2,D66-C66,"")</f>
        <v>-3.4341132918232127</v>
      </c>
      <c r="H66">
        <v>28</v>
      </c>
      <c r="I66">
        <v>27</v>
      </c>
      <c r="J66">
        <f>100*531985/1356503</f>
        <v>39.21738470169252</v>
      </c>
      <c r="K66">
        <f>100*382228/1583130</f>
        <v>24.143816363785664</v>
      </c>
      <c r="L66">
        <f>IF(COUNT(J66:K66)=2,K66-J66,"")</f>
        <v>-15.073568337906853</v>
      </c>
      <c r="O66">
        <v>28</v>
      </c>
      <c r="P66">
        <v>27</v>
      </c>
      <c r="Q66">
        <f>100*341/342230</f>
        <v>0.09964059258393478</v>
      </c>
      <c r="R66">
        <f>100*651/342335</f>
        <v>0.19016460484613026</v>
      </c>
      <c r="S66">
        <f>IF(COUNT(Q66:R66)=2,R66-Q66,"")</f>
        <v>0.09052401226219549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100*672944/2020535</f>
        <v>33.30523846407016</v>
      </c>
      <c r="E67">
        <f>IF(COUNT(C67:D67)=2,D67-C67,"")</f>
        <v>-7.626691815864575</v>
      </c>
      <c r="H67">
        <v>29</v>
      </c>
      <c r="I67">
        <v>28</v>
      </c>
      <c r="J67">
        <f>100*917947/2006663</f>
        <v>45.74495069675376</v>
      </c>
      <c r="K67">
        <f>100*363481/1489593</f>
        <v>24.40136332541842</v>
      </c>
      <c r="L67">
        <f>IF(COUNT(J67:K67)=2,K67-J67,"")</f>
        <v>-21.343587371335342</v>
      </c>
      <c r="O67">
        <v>29</v>
      </c>
      <c r="P67">
        <v>28</v>
      </c>
      <c r="Q67">
        <f>100*506385/1453010</f>
        <v>34.850758081499784</v>
      </c>
      <c r="R67">
        <f>100*455276/1451054</f>
        <v>31.375538057163965</v>
      </c>
      <c r="S67">
        <f>IF(COUNT(Q67:R67)=2,R67-Q67,"")</f>
        <v>-3.475220024335819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100*202081/1002544</f>
        <v>20.156821047255782</v>
      </c>
      <c r="E68">
        <f>IF(COUNT(C68:D68)=2,D68-C68,"")</f>
        <v>14.130057883802102</v>
      </c>
      <c r="H68">
        <v>30</v>
      </c>
      <c r="I68">
        <v>29</v>
      </c>
      <c r="J68">
        <f>100*537109/1458999</f>
        <v>36.81352763093052</v>
      </c>
      <c r="K68">
        <f>100*215762/1195754</f>
        <v>18.044012397198756</v>
      </c>
      <c r="L68">
        <f>IF(COUNT(J68:K68)=2,K68-J68,"")</f>
        <v>-18.769515233731767</v>
      </c>
      <c r="O68">
        <v>30</v>
      </c>
      <c r="P68">
        <v>29</v>
      </c>
      <c r="Q68">
        <f>100*609326/1423323</f>
        <v>42.81010002648731</v>
      </c>
      <c r="R68">
        <f>100*388146/1383980</f>
        <v>28.04563649763725</v>
      </c>
      <c r="S68">
        <f>IF(COUNT(Q68:R68)=2,R68-Q68,"")</f>
        <v>-14.764463528850062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100*435449/1565959</f>
        <v>27.807177582554843</v>
      </c>
      <c r="E69">
        <f>IF(COUNT(C69:D69)=2,D69-C69,"")</f>
        <v>-4.81315588058235</v>
      </c>
      <c r="H69">
        <v>31</v>
      </c>
      <c r="I69">
        <v>30</v>
      </c>
      <c r="J69">
        <f>100*589124/1665281</f>
        <v>35.3768523150147</v>
      </c>
      <c r="K69">
        <f>100*98950/984677</f>
        <v>10.048980528640357</v>
      </c>
      <c r="L69">
        <f>IF(COUNT(J69:K69)=2,K69-J69,"")</f>
        <v>-25.327871786374345</v>
      </c>
      <c r="O69">
        <v>31</v>
      </c>
      <c r="P69">
        <v>30</v>
      </c>
      <c r="Q69">
        <f>100*1911/646412</f>
        <v>0.2956318880218808</v>
      </c>
      <c r="R69">
        <f>100*40790/448581</f>
        <v>9.09311807677989</v>
      </c>
      <c r="S69">
        <f>IF(COUNT(Q69:R69)=2,R69-Q69,"")</f>
        <v>8.79748618875801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19.842031382824217</v>
      </c>
      <c r="E70">
        <f>IF(COUNT(E39:E69)&gt;0,AVERAGE(E39:E69),"")</f>
        <v>-11.79969984099788</v>
      </c>
      <c r="H70" t="s">
        <v>5</v>
      </c>
      <c r="J70">
        <f>IF(COUNT(J39:J69)&gt;0,AVERAGE(J39:J69),"")</f>
        <v>32.99518015949494</v>
      </c>
      <c r="K70">
        <f>IF(COUNT(K39:K69)&gt;0,AVERAGE(K39:K69),"")</f>
        <v>17.112324499249787</v>
      </c>
      <c r="L70">
        <f>IF(COUNT(L39:L69)&gt;0,AVERAGE(L39:L69),"")</f>
        <v>-15.882855660245161</v>
      </c>
      <c r="O70" t="s">
        <v>5</v>
      </c>
      <c r="Q70">
        <f>IF(COUNT(Q39:Q69)&gt;0,AVERAGE(Q39:Q69),"")</f>
        <v>30.180215695878577</v>
      </c>
      <c r="R70">
        <f>IF(COUNT(R39:R69)&gt;0,AVERAGE(R39:R69),"")</f>
        <v>19.95163810110004</v>
      </c>
      <c r="S70">
        <f>IF(COUNT(S39:S69)&gt;0,AVERAGE(S39:S69),"")</f>
        <v>-10.228577594778532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100*560427/2293098</f>
        <v>24.43973175154311</v>
      </c>
      <c r="E75">
        <f>IF(COUNT(C75:D75)=2,D75-C75,"")</f>
        <v>-19.641629475089328</v>
      </c>
      <c r="H75">
        <v>1</v>
      </c>
      <c r="I75">
        <v>0</v>
      </c>
      <c r="J75">
        <f>100*1161020/2178231</f>
        <v>53.30105025591868</v>
      </c>
      <c r="K75">
        <f>100*95769/946535</f>
        <v>10.117850898276345</v>
      </c>
      <c r="L75">
        <f>IF(COUNT(J75:K75)=2,K75-J75,"")</f>
        <v>-43.18319935764234</v>
      </c>
      <c r="O75">
        <v>1</v>
      </c>
      <c r="P75">
        <v>0</v>
      </c>
      <c r="Q75">
        <f>100*17855/657603</f>
        <v>2.7151640123296272</v>
      </c>
      <c r="R75">
        <f>100*194083/874805</f>
        <v>22.185858562765418</v>
      </c>
      <c r="S75">
        <f>IF(COUNT(Q75:R75)=2,R75-Q75,"")</f>
        <v>19.47069455043579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100*908079/2373625</f>
        <v>38.25705408394334</v>
      </c>
      <c r="E76">
        <f>IF(COUNT(C76:D76)=2,D76-C76,"")</f>
        <v>-2.6041166961025866</v>
      </c>
      <c r="H76">
        <v>2</v>
      </c>
      <c r="I76">
        <v>1</v>
      </c>
      <c r="J76">
        <f>100*920313/2115455</f>
        <v>43.50425794923551</v>
      </c>
      <c r="K76">
        <f>100*507446/1702054</f>
        <v>29.813742689714896</v>
      </c>
      <c r="L76">
        <f>IF(COUNT(J76:K76)=2,K76-J76,"")</f>
        <v>-13.690515259520613</v>
      </c>
      <c r="O76">
        <v>2</v>
      </c>
      <c r="P76">
        <v>1</v>
      </c>
      <c r="Q76">
        <f>100*506051/1366563</f>
        <v>37.03093088280599</v>
      </c>
      <c r="R76">
        <f>100*485023/1588378</f>
        <v>30.535741492264435</v>
      </c>
      <c r="S76">
        <f>IF(COUNT(Q76:R76)=2,R76-Q76,"")</f>
        <v>-6.4951893905415545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100*476375/1797273</f>
        <v>26.505433509544737</v>
      </c>
      <c r="E77">
        <f>IF(COUNT(C77:D77)=2,D77-C77,"")</f>
        <v>22.556252428877357</v>
      </c>
      <c r="H77">
        <v>3</v>
      </c>
      <c r="I77">
        <v>2</v>
      </c>
      <c r="J77">
        <f>100*702390/1654096</f>
        <v>42.46367804528879</v>
      </c>
      <c r="K77">
        <f>100*892253/2482077</f>
        <v>35.94783723470303</v>
      </c>
      <c r="L77">
        <f>IF(COUNT(J77:K77)=2,K77-J77,"")</f>
        <v>-6.5158408105857575</v>
      </c>
      <c r="O77">
        <v>3</v>
      </c>
      <c r="P77">
        <v>2</v>
      </c>
      <c r="Q77">
        <f>100*580189/1478595</f>
        <v>39.239210196165956</v>
      </c>
      <c r="R77">
        <f>100*91062/624810</f>
        <v>14.574350602583186</v>
      </c>
      <c r="S77">
        <f>IF(COUNT(Q77:R77)=2,R77-Q77,"")</f>
        <v>-24.66485959358277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100*35381/928517</f>
        <v>3.8104848914990246</v>
      </c>
      <c r="E78">
        <f>IF(COUNT(C78:D78)=2,D78-C78,"")</f>
        <v>-48.96719345716806</v>
      </c>
      <c r="H78">
        <v>4</v>
      </c>
      <c r="I78">
        <v>3</v>
      </c>
      <c r="J78">
        <f>100*827459/1741510</f>
        <v>47.51388163145776</v>
      </c>
      <c r="K78">
        <f>100*105798/810700</f>
        <v>13.050203527815468</v>
      </c>
      <c r="L78">
        <f>IF(COUNT(J78:K78)=2,K78-J78,"")</f>
        <v>-34.46367810364229</v>
      </c>
      <c r="O78">
        <v>4</v>
      </c>
      <c r="P78">
        <v>3</v>
      </c>
      <c r="Q78">
        <f>100*617738/1364388</f>
        <v>45.27583062882406</v>
      </c>
      <c r="R78">
        <f>100*532915/1575215</f>
        <v>33.83125478109338</v>
      </c>
      <c r="S78">
        <f>IF(COUNT(Q78:R78)=2,R78-Q78,"")</f>
        <v>-11.444575847730682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100*971999/2616407</f>
        <v>37.15014521823248</v>
      </c>
      <c r="E79">
        <f>IF(COUNT(C79:D79)=2,D79-C79,"")</f>
        <v>-11.782098328013753</v>
      </c>
      <c r="H79">
        <v>5</v>
      </c>
      <c r="I79">
        <v>4</v>
      </c>
      <c r="J79">
        <f>100*1035328/2211231</f>
        <v>46.82134069213031</v>
      </c>
      <c r="K79">
        <f>100*1117733/2965829</f>
        <v>37.68703455256524</v>
      </c>
      <c r="L79">
        <f>IF(COUNT(J79:K79)=2,K79-J79,"")</f>
        <v>-9.134306139565076</v>
      </c>
      <c r="O79">
        <v>5</v>
      </c>
      <c r="P79">
        <v>4</v>
      </c>
      <c r="Q79">
        <f>100*829508/1701576</f>
        <v>48.749394678815406</v>
      </c>
      <c r="R79">
        <f>100*174243/936236</f>
        <v>18.61101260793219</v>
      </c>
      <c r="S79">
        <f>IF(COUNT(Q79:R79)=2,R79-Q79,"")</f>
        <v>-30.138382070883218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100*424270/1662911</f>
        <v>25.513692554802994</v>
      </c>
      <c r="E80">
        <f>IF(COUNT(C80:D80)=2,D80-C80,"")</f>
        <v>-17.305006334441735</v>
      </c>
      <c r="H80">
        <v>6</v>
      </c>
      <c r="I80">
        <v>5</v>
      </c>
      <c r="J80">
        <f>100*627723/1597246</f>
        <v>39.30033319851795</v>
      </c>
      <c r="K80">
        <f>100*386355/1596204</f>
        <v>24.20461294421014</v>
      </c>
      <c r="L80">
        <f>IF(COUNT(J80:K80)=2,K80-J80,"")</f>
        <v>-15.095720254307807</v>
      </c>
      <c r="O80">
        <v>6</v>
      </c>
      <c r="P80">
        <v>5</v>
      </c>
      <c r="Q80">
        <f>100*561642/1450968</f>
        <v>38.70809004747176</v>
      </c>
      <c r="R80">
        <f>100*325623/1365791</f>
        <v>23.841349079031858</v>
      </c>
      <c r="S80">
        <f>IF(COUNT(Q80:R80)=2,R80-Q80,"")</f>
        <v>-14.866740968439899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100*314852/1277207</f>
        <v>24.651603068257533</v>
      </c>
      <c r="E81">
        <f>IF(COUNT(C81:D81)=2,D81-C81,"")</f>
        <v>23.34469450072477</v>
      </c>
      <c r="H81">
        <v>7</v>
      </c>
      <c r="I81">
        <v>6</v>
      </c>
      <c r="J81">
        <f>100*3904/710153</f>
        <v>0.5497406896823642</v>
      </c>
      <c r="K81">
        <f>100*132207/1080739</f>
        <v>12.233018332825964</v>
      </c>
      <c r="L81">
        <f>IF(COUNT(J81:K81)=2,K81-J81,"")</f>
        <v>11.6832776431436</v>
      </c>
      <c r="O81">
        <v>7</v>
      </c>
      <c r="P81">
        <v>6</v>
      </c>
      <c r="Q81">
        <f>100*769806/1827455</f>
        <v>42.124484597431945</v>
      </c>
      <c r="R81">
        <f>100*369648/1498053</f>
        <v>24.675228446523587</v>
      </c>
      <c r="S81">
        <f>IF(COUNT(Q81:R81)=2,R81-Q81,"")</f>
        <v>-17.449256150908358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100*2397/531706</f>
        <v>0.45081304329836414</v>
      </c>
      <c r="E82">
        <f>IF(COUNT(C82:D82)=2,D82-C82,"")</f>
        <v>-0.8982054558941195</v>
      </c>
      <c r="H82">
        <v>8</v>
      </c>
      <c r="I82">
        <v>7</v>
      </c>
      <c r="J82">
        <f>100*7411/619510</f>
        <v>1.1962680182725056</v>
      </c>
      <c r="K82">
        <f>100*1289/504756</f>
        <v>0.25537091188613903</v>
      </c>
      <c r="L82">
        <f>IF(COUNT(J82:K82)=2,K82-J82,"")</f>
        <v>-0.9408971063863666</v>
      </c>
      <c r="O82">
        <v>8</v>
      </c>
      <c r="P82">
        <v>7</v>
      </c>
      <c r="Q82">
        <f>100*842526/1806467</f>
        <v>46.63943487481365</v>
      </c>
      <c r="R82">
        <f>100*529183/1626354</f>
        <v>32.53799603284402</v>
      </c>
      <c r="S82">
        <f>IF(COUNT(Q82:R82)=2,R82-Q82,"")</f>
        <v>-14.101438841969632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100*947333/2708727</f>
        <v>34.97336571754924</v>
      </c>
      <c r="E83">
        <f>IF(COUNT(C83:D83)=2,D83-C83,"")</f>
        <v>-4.00010120605306</v>
      </c>
      <c r="H83">
        <v>9</v>
      </c>
      <c r="I83">
        <v>8</v>
      </c>
      <c r="J83">
        <f>100*986121/2196978</f>
        <v>44.88533795058485</v>
      </c>
      <c r="K83">
        <f>100*899364/2541884</f>
        <v>35.381787681892646</v>
      </c>
      <c r="L83">
        <f>IF(COUNT(J83:K83)=2,K83-J83,"")</f>
        <v>-9.503550268692202</v>
      </c>
      <c r="O83">
        <v>9</v>
      </c>
      <c r="P83">
        <v>8</v>
      </c>
      <c r="Q83">
        <f>100*418704/1300185</f>
        <v>32.20341720601299</v>
      </c>
      <c r="R83">
        <f>100*469112/1659942</f>
        <v>28.260746459816065</v>
      </c>
      <c r="S83">
        <f>IF(COUNT(Q83:R83)=2,R83-Q83,"")</f>
        <v>-3.942670746196928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100*94901/1035575</f>
        <v>9.164087584192357</v>
      </c>
      <c r="E84">
        <f>IF(COUNT(C84:D84)=2,D84-C84,"")</f>
        <v>-6.848396646928267</v>
      </c>
      <c r="H84">
        <v>10</v>
      </c>
      <c r="I84">
        <v>9</v>
      </c>
      <c r="J84">
        <f>100*1094395/2180634</f>
        <v>50.187009832920154</v>
      </c>
      <c r="K84">
        <f>100*89201/1035452</f>
        <v>8.614691941297133</v>
      </c>
      <c r="L84">
        <f>IF(COUNT(J84:K84)=2,K84-J84,"")</f>
        <v>-41.57231789162302</v>
      </c>
      <c r="O84">
        <v>10</v>
      </c>
      <c r="P84">
        <v>9</v>
      </c>
      <c r="Q84">
        <f>100*10580/624813</f>
        <v>1.6933066373458938</v>
      </c>
      <c r="R84">
        <f>100*9713/124327</f>
        <v>7.8124622970070865</v>
      </c>
      <c r="S84">
        <f>IF(COUNT(Q84:R84)=2,R84-Q84,"")</f>
        <v>6.1191556596611925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100*764525/2504715</f>
        <v>30.523432805728397</v>
      </c>
      <c r="E85">
        <f>IF(COUNT(C85:D85)=2,D85-C85,"")</f>
        <v>-18.07693774658697</v>
      </c>
      <c r="H85">
        <v>11</v>
      </c>
      <c r="I85">
        <v>10</v>
      </c>
      <c r="J85">
        <f>100*1248271/2251399</f>
        <v>55.444237116566185</v>
      </c>
      <c r="K85">
        <f>100*331059/1696402</f>
        <v>19.515362514309697</v>
      </c>
      <c r="L85">
        <f>IF(COUNT(J85:K85)=2,K85-J85,"")</f>
        <v>-35.928874602256485</v>
      </c>
      <c r="O85">
        <v>11</v>
      </c>
      <c r="P85">
        <v>10</v>
      </c>
      <c r="Q85">
        <f>100*858874/1796310</f>
        <v>47.8132393629162</v>
      </c>
      <c r="R85">
        <f>100*610772/1803172</f>
        <v>33.872087632239186</v>
      </c>
      <c r="S85">
        <f>IF(COUNT(Q85:R85)=2,R85-Q85,"")</f>
        <v>-13.941151730677014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100*378677/1610450</f>
        <v>23.513738396100468</v>
      </c>
      <c r="E86">
        <f>IF(COUNT(C86:D86)=2,D86-C86,"")</f>
        <v>-25.1264308464386</v>
      </c>
      <c r="H86">
        <v>12</v>
      </c>
      <c r="I86">
        <v>11</v>
      </c>
      <c r="J86">
        <f>100*847034/1777114</f>
        <v>47.66345884394586</v>
      </c>
      <c r="K86">
        <f>100*53677/1140049</f>
        <v>4.708306397356605</v>
      </c>
      <c r="L86">
        <f>IF(COUNT(J86:K86)=2,K86-J86,"")</f>
        <v>-42.95515244658925</v>
      </c>
      <c r="O86">
        <v>12</v>
      </c>
      <c r="P86">
        <v>11</v>
      </c>
      <c r="Q86">
        <f>100*739588/1710894</f>
        <v>43.22816024838476</v>
      </c>
      <c r="R86">
        <f>100*640168/1910855</f>
        <v>33.501652401673596</v>
      </c>
      <c r="S86">
        <f>IF(COUNT(Q86:R86)=2,R86-Q86,"")</f>
        <v>-9.726507846711165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100*136154/1196020</f>
        <v>11.38392334576345</v>
      </c>
      <c r="E87">
        <f>IF(COUNT(C87:D87)=2,D87-C87,"")</f>
        <v>10.503206071639587</v>
      </c>
      <c r="H87">
        <v>13</v>
      </c>
      <c r="I87">
        <v>12</v>
      </c>
      <c r="J87">
        <f>100*767025/1720041</f>
        <v>44.593413761648705</v>
      </c>
      <c r="K87">
        <f>100*702753/2183355</f>
        <v>32.18684089394533</v>
      </c>
      <c r="L87">
        <f>IF(COUNT(J87:K87)=2,K87-J87,"")</f>
        <v>-12.406572867703375</v>
      </c>
      <c r="O87">
        <v>13</v>
      </c>
      <c r="P87">
        <v>12</v>
      </c>
      <c r="Q87">
        <f>100*371461/1317955</f>
        <v>28.18464970351795</v>
      </c>
      <c r="R87">
        <f>100*5597/713232</f>
        <v>0.7847376449738654</v>
      </c>
      <c r="S87">
        <f>IF(COUNT(Q87:R87)=2,R87-Q87,"")</f>
        <v>-27.399912058544086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100*176828/1057599</f>
        <v>16.7197586230698</v>
      </c>
      <c r="E88">
        <f>IF(COUNT(C88:D88)=2,D88-C88,"")</f>
        <v>4.75785027222811</v>
      </c>
      <c r="H88">
        <v>14</v>
      </c>
      <c r="I88">
        <v>13</v>
      </c>
      <c r="J88">
        <f>100*438708/1328922</f>
        <v>33.01232126490494</v>
      </c>
      <c r="K88">
        <f>100*486/519607</f>
        <v>0.0935322272409725</v>
      </c>
      <c r="L88">
        <f>IF(COUNT(J88:K88)=2,K88-J88,"")</f>
        <v>-32.91878903766397</v>
      </c>
      <c r="O88">
        <v>14</v>
      </c>
      <c r="P88">
        <v>13</v>
      </c>
      <c r="Q88">
        <f>100*183244/894097</f>
        <v>20.494868006491465</v>
      </c>
      <c r="R88">
        <f>100*148727/747385</f>
        <v>19.89965011339537</v>
      </c>
      <c r="S88">
        <f>IF(COUNT(Q88:R88)=2,R88-Q88,"")</f>
        <v>-0.5952178930960947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100*781784/2276234</f>
        <v>34.34550226382701</v>
      </c>
      <c r="E89">
        <f>IF(COUNT(C89:D89)=2,D89-C89,"")</f>
        <v>8.044639329594077</v>
      </c>
      <c r="H89">
        <v>15</v>
      </c>
      <c r="I89">
        <v>14</v>
      </c>
      <c r="J89">
        <f>100*378843/1975907</f>
        <v>19.173118977765654</v>
      </c>
      <c r="K89">
        <f>100*425361/1673970</f>
        <v>25.410312012760084</v>
      </c>
      <c r="L89">
        <f>IF(COUNT(J89:K89)=2,K89-J89,"")</f>
        <v>6.23719303499443</v>
      </c>
      <c r="O89">
        <v>15</v>
      </c>
      <c r="P89">
        <v>14</v>
      </c>
      <c r="Q89">
        <f>100*672160/1590176</f>
        <v>42.269534944559595</v>
      </c>
      <c r="R89">
        <f>100*695041/2021904</f>
        <v>34.37556877082196</v>
      </c>
      <c r="S89">
        <f>IF(COUNT(Q89:R89)=2,R89-Q89,"")</f>
        <v>-7.893966173737638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100*281594/1450509</f>
        <v>19.413461067804473</v>
      </c>
      <c r="E90">
        <f>IF(COUNT(C90:D90)=2,D90-C90,"")</f>
        <v>-31.574739806415582</v>
      </c>
      <c r="H90">
        <v>16</v>
      </c>
      <c r="I90">
        <v>15</v>
      </c>
      <c r="J90">
        <f>100*769550/1774401</f>
        <v>43.36956527864896</v>
      </c>
      <c r="K90">
        <f>100*871091/2545105</f>
        <v>34.226132124214914</v>
      </c>
      <c r="L90">
        <f>IF(COUNT(J90:K90)=2,K90-J90,"")</f>
        <v>-9.14343315443405</v>
      </c>
      <c r="O90">
        <v>16</v>
      </c>
      <c r="P90">
        <v>15</v>
      </c>
      <c r="Q90">
        <f>100*705277/1721980</f>
        <v>40.95732819196506</v>
      </c>
      <c r="R90">
        <f>100*867408/2345976</f>
        <v>36.97429129709767</v>
      </c>
      <c r="S90">
        <f>IF(COUNT(Q90:R90)=2,R90-Q90,"")</f>
        <v>-3.9830368948673893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100*390587/1538919</f>
        <v>25.380608076188544</v>
      </c>
      <c r="E91">
        <f>IF(COUNT(C91:D91)=2,D91-C91,"")</f>
        <v>-16.54079988967895</v>
      </c>
      <c r="H91">
        <v>17</v>
      </c>
      <c r="I91">
        <v>16</v>
      </c>
      <c r="J91">
        <f>100*3265/88900</f>
        <v>3.6726659167604048</v>
      </c>
      <c r="K91">
        <f>100*389924/1752644</f>
        <v>22.247758244115747</v>
      </c>
      <c r="L91">
        <f>IF(COUNT(J91:K91)=2,K91-J91,"")</f>
        <v>18.575092327355343</v>
      </c>
      <c r="O91">
        <v>17</v>
      </c>
      <c r="P91">
        <v>16</v>
      </c>
      <c r="Q91">
        <f>100*16305/441767</f>
        <v>3.690859661314675</v>
      </c>
      <c r="R91">
        <f>100*7408/472955</f>
        <v>1.566322377393198</v>
      </c>
      <c r="S91">
        <f>IF(COUNT(Q91:R91)=2,R91-Q91,"")</f>
        <v>-2.124537283921477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100*65511/862309</f>
        <v>7.597160646589564</v>
      </c>
      <c r="E92">
        <f>IF(COUNT(C92:D92)=2,D92-C92,"")</f>
        <v>-37.5045293093164</v>
      </c>
      <c r="H92">
        <v>18</v>
      </c>
      <c r="I92">
        <v>17</v>
      </c>
      <c r="K92">
        <f>100*349828/1659619</f>
        <v>21.07881387234058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100*119333/806988</f>
        <v>14.787456566888231</v>
      </c>
      <c r="S92">
        <f>IF(COUNT(Q92:R92)=2,R92-Q92,"")</f>
        <v>-7.319989307995378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100*123400/1013445</f>
        <v>12.176289783856056</v>
      </c>
      <c r="E93">
        <f>IF(COUNT(C93:D93)=2,D93-C93,"")</f>
        <v>-25.651563411406705</v>
      </c>
      <c r="H93">
        <v>19</v>
      </c>
      <c r="I93">
        <v>18</v>
      </c>
      <c r="J93">
        <f>100*453701/1228767</f>
        <v>36.9232734928591</v>
      </c>
      <c r="K93">
        <f>100*123555/978897</f>
        <v>12.621859092427497</v>
      </c>
      <c r="L93">
        <f>IF(COUNT(J93:K93)=2,K93-J93,"")</f>
        <v>-24.301414400431604</v>
      </c>
      <c r="O93">
        <v>19</v>
      </c>
      <c r="P93">
        <v>18</v>
      </c>
      <c r="Q93">
        <f>100*736264/1588962</f>
        <v>46.33616159480214</v>
      </c>
      <c r="R93">
        <f>100*603871/1847272</f>
        <v>32.68987999601575</v>
      </c>
      <c r="S93">
        <f>IF(COUNT(Q93:R93)=2,R93-Q93,"")</f>
        <v>-13.646281598786395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100*330598/1489253</f>
        <v>22.19891448934466</v>
      </c>
      <c r="E94">
        <f>IF(COUNT(C94:D94)=2,D94-C94,"")</f>
        <v>-23.98477710316198</v>
      </c>
      <c r="H94">
        <v>20</v>
      </c>
      <c r="I94">
        <v>19</v>
      </c>
      <c r="J94">
        <f>100*896581/2145144</f>
        <v>41.79584214393066</v>
      </c>
      <c r="K94">
        <f>100*383018/1510464</f>
        <v>25.35763844752341</v>
      </c>
      <c r="L94">
        <f>IF(COUNT(J94:K94)=2,K94-J94,"")</f>
        <v>-16.438203696407253</v>
      </c>
      <c r="O94">
        <v>20</v>
      </c>
      <c r="P94">
        <v>19</v>
      </c>
      <c r="Q94">
        <f>100*596231/1430518</f>
        <v>41.67937767997327</v>
      </c>
      <c r="R94">
        <f>100*534545/1709930</f>
        <v>31.261221219582087</v>
      </c>
      <c r="S94">
        <f>IF(COUNT(Q94:R94)=2,R94-Q94,"")</f>
        <v>-10.418156460391184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100*37661/787408</f>
        <v>4.782907971470952</v>
      </c>
      <c r="E95">
        <f>IF(COUNT(C95:D95)=2,D95-C95,"")</f>
        <v>-41.97635474292818</v>
      </c>
      <c r="H95">
        <v>21</v>
      </c>
      <c r="I95">
        <v>20</v>
      </c>
      <c r="J95">
        <f>100*923720/1857736</f>
        <v>49.722888505148205</v>
      </c>
      <c r="K95">
        <f>100*225855/1189200</f>
        <v>18.992179616548942</v>
      </c>
      <c r="L95">
        <f>IF(COUNT(J95:K95)=2,K95-J95,"")</f>
        <v>-30.730708888599263</v>
      </c>
      <c r="O95">
        <v>21</v>
      </c>
      <c r="P95">
        <v>20</v>
      </c>
      <c r="Q95">
        <f>100*808426/1622789</f>
        <v>49.817074185245275</v>
      </c>
      <c r="R95">
        <f>100*274430/1175532</f>
        <v>23.345174780439834</v>
      </c>
      <c r="S95">
        <f>IF(COUNT(Q95:R95)=2,R95-Q95,"")</f>
        <v>-26.47189940480544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100*601629/1963578</f>
        <v>30.639424560674442</v>
      </c>
      <c r="E96">
        <f>IF(COUNT(C96:D96)=2,D96-C96,"")</f>
        <v>-2.5204470843095166</v>
      </c>
      <c r="H96">
        <v>22</v>
      </c>
      <c r="I96">
        <v>21</v>
      </c>
      <c r="J96">
        <f>100*1034872/2267546</f>
        <v>45.63841262757183</v>
      </c>
      <c r="K96">
        <f>100*595326/2393326</f>
        <v>24.874421620790482</v>
      </c>
      <c r="L96">
        <f>IF(COUNT(J96:K96)=2,K96-J96,"")</f>
        <v>-20.76399100678135</v>
      </c>
      <c r="O96">
        <v>22</v>
      </c>
      <c r="P96">
        <v>21</v>
      </c>
      <c r="Q96">
        <f>100*248293/932917</f>
        <v>26.614693482914344</v>
      </c>
      <c r="R96">
        <f>100*238256/914187</f>
        <v>26.062063888460457</v>
      </c>
      <c r="S96">
        <f>IF(COUNT(Q96:R96)=2,R96-Q96,"")</f>
        <v>-0.5526295944538866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100*797916/2408628</f>
        <v>33.12740697193589</v>
      </c>
      <c r="E97">
        <f>IF(COUNT(C97:D97)=2,D97-C97,"")</f>
        <v>-9.459910367256398</v>
      </c>
      <c r="H97">
        <v>23</v>
      </c>
      <c r="I97">
        <v>22</v>
      </c>
      <c r="J97">
        <f>100*954501/1934417</f>
        <v>49.34308373013678</v>
      </c>
      <c r="K97">
        <f>100*340959/1660409</f>
        <v>20.534639356929528</v>
      </c>
      <c r="L97">
        <f>IF(COUNT(J97:K97)=2,K97-J97,"")</f>
        <v>-28.808444373207255</v>
      </c>
      <c r="O97">
        <v>23</v>
      </c>
      <c r="P97">
        <v>22</v>
      </c>
      <c r="Q97">
        <f>100*491/406810</f>
        <v>0.12069516481895726</v>
      </c>
      <c r="R97">
        <f>100*2933/722476</f>
        <v>0.40596504243739584</v>
      </c>
      <c r="S97">
        <f>IF(COUNT(Q97:R97)=2,R97-Q97,"")</f>
        <v>0.2852698776184386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100*258086/1288209</f>
        <v>20.03448198234914</v>
      </c>
      <c r="E98">
        <f>IF(COUNT(C98:D98)=2,D98-C98,"")</f>
        <v>-20.752258125669716</v>
      </c>
      <c r="H98">
        <v>24</v>
      </c>
      <c r="I98">
        <v>23</v>
      </c>
      <c r="J98">
        <f>100*677655/1567258</f>
        <v>43.238254326983814</v>
      </c>
      <c r="K98">
        <f>100*16094/862741</f>
        <v>1.8654497699773165</v>
      </c>
      <c r="L98">
        <f>IF(COUNT(J98:K98)=2,K98-J98,"")</f>
        <v>-41.372804557006496</v>
      </c>
      <c r="O98">
        <v>24</v>
      </c>
      <c r="P98">
        <v>23</v>
      </c>
      <c r="Q98">
        <f>100*462555/1165901</f>
        <v>39.67360865116335</v>
      </c>
      <c r="R98">
        <f>100*237226/1128556</f>
        <v>21.020312682755662</v>
      </c>
      <c r="S98">
        <f>IF(COUNT(Q98:R98)=2,R98-Q98,"")</f>
        <v>-18.653295968407686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100*65609/729074</f>
        <v>8.998949352191959</v>
      </c>
      <c r="E99">
        <f>IF(COUNT(C99:D99)=2,D99-C99,"")</f>
        <v>-28.38642207026374</v>
      </c>
      <c r="H99">
        <v>25</v>
      </c>
      <c r="I99">
        <v>24</v>
      </c>
      <c r="J99">
        <f>100*1059343/2107573</f>
        <v>50.26364448586123</v>
      </c>
      <c r="K99">
        <f>100*160194/1262531</f>
        <v>12.688322108526444</v>
      </c>
      <c r="L99">
        <f>IF(COUNT(J99:K99)=2,K99-J99,"")</f>
        <v>-37.575322377334786</v>
      </c>
      <c r="O99">
        <v>25</v>
      </c>
      <c r="P99">
        <v>24</v>
      </c>
      <c r="Q99">
        <f>100*667801/1611354</f>
        <v>41.4434692811139</v>
      </c>
      <c r="R99">
        <f>100*666449/1870848</f>
        <v>35.622829861111114</v>
      </c>
      <c r="S99">
        <f>IF(COUNT(Q99:R99)=2,R99-Q99,"")</f>
        <v>-5.8206394200027844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100*597325/2029355</f>
        <v>29.434229102350255</v>
      </c>
      <c r="E100">
        <f>IF(COUNT(C100:D100)=2,D100-C100,"")</f>
        <v>-24.37175802412344</v>
      </c>
      <c r="H100">
        <v>26</v>
      </c>
      <c r="I100">
        <v>25</v>
      </c>
      <c r="J100">
        <f>100*50542/865957</f>
        <v>5.836548466032378</v>
      </c>
      <c r="K100">
        <f>100*511320/1779075</f>
        <v>28.740778213397412</v>
      </c>
      <c r="L100">
        <f>IF(COUNT(J100:K100)=2,K100-J100,"")</f>
        <v>22.904229747365036</v>
      </c>
      <c r="O100">
        <v>26</v>
      </c>
      <c r="P100">
        <v>25</v>
      </c>
      <c r="Q100">
        <f>100*825215/1789490</f>
        <v>46.114535426294644</v>
      </c>
      <c r="R100">
        <f>100*689188/1885444</f>
        <v>36.55308776076086</v>
      </c>
      <c r="S100">
        <f>IF(COUNT(Q100:R100)=2,R100-Q100,"")</f>
        <v>-9.561447665533784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100*600228/2011746</f>
        <v>29.83617216089904</v>
      </c>
      <c r="E101">
        <f>IF(COUNT(C101:D101)=2,D101-C101,"")</f>
        <v>7.291519641051071</v>
      </c>
      <c r="H101">
        <v>27</v>
      </c>
      <c r="I101">
        <v>26</v>
      </c>
      <c r="J101">
        <f>100*307157/1210949</f>
        <v>25.36498234029674</v>
      </c>
      <c r="K101">
        <f>100*627433/3024636</f>
        <v>20.7440829243585</v>
      </c>
      <c r="L101">
        <f>IF(COUNT(J101:K101)=2,K101-J101,"")</f>
        <v>-4.62089941593824</v>
      </c>
      <c r="O101">
        <v>27</v>
      </c>
      <c r="P101">
        <v>26</v>
      </c>
      <c r="Q101">
        <f>100*889999/1746112</f>
        <v>50.9703272184144</v>
      </c>
      <c r="R101">
        <f>100*806099/2232677</f>
        <v>36.10459551471171</v>
      </c>
      <c r="S101">
        <f>IF(COUNT(Q101:R101)=2,R101-Q101,"")</f>
        <v>-14.865731703702686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100*580285/1937679</f>
        <v>29.947426792569875</v>
      </c>
      <c r="E102">
        <f>IF(COUNT(C102:D102)=2,D102-C102,"")</f>
        <v>-10.247651318238933</v>
      </c>
      <c r="H102">
        <v>28</v>
      </c>
      <c r="I102">
        <v>27</v>
      </c>
      <c r="J102">
        <f>100*499214/1645125</f>
        <v>30.345049768254693</v>
      </c>
      <c r="K102">
        <f>100*842984/2450999</f>
        <v>34.393486084653645</v>
      </c>
      <c r="L102">
        <f>IF(COUNT(J102:K102)=2,K102-J102,"")</f>
        <v>4.048436316398952</v>
      </c>
      <c r="O102">
        <v>28</v>
      </c>
      <c r="P102">
        <v>27</v>
      </c>
      <c r="Q102">
        <f>100*1300/408366</f>
        <v>0.3183418795884084</v>
      </c>
      <c r="R102">
        <f>100*420/401896</f>
        <v>0.1045046479686287</v>
      </c>
      <c r="S102">
        <f>IF(COUNT(Q102:R102)=2,R102-Q102,"")</f>
        <v>-0.21383723161977974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100*648337/2099374</f>
        <v>30.882396371489786</v>
      </c>
      <c r="E103">
        <f>IF(COUNT(C103:D103)=2,D103-C103,"")</f>
        <v>-12.882841413809924</v>
      </c>
      <c r="H103">
        <v>29</v>
      </c>
      <c r="I103">
        <v>28</v>
      </c>
      <c r="J103">
        <f>100*1050807/2150575</f>
        <v>48.86167652837032</v>
      </c>
      <c r="K103">
        <f>100*738238/2251256</f>
        <v>32.79227240260548</v>
      </c>
      <c r="L103">
        <f>IF(COUNT(J103:K103)=2,K103-J103,"")</f>
        <v>-16.06940412576484</v>
      </c>
      <c r="O103">
        <v>29</v>
      </c>
      <c r="P103">
        <v>28</v>
      </c>
      <c r="Q103">
        <f>100*827171/1762089</f>
        <v>46.94263456613145</v>
      </c>
      <c r="R103">
        <f>100*711295/1893246</f>
        <v>37.57013087575518</v>
      </c>
      <c r="S103">
        <f>IF(COUNT(Q103:R103)=2,R103-Q103,"")</f>
        <v>-9.37250369037627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100*3880/528756</f>
        <v>0.7337978197883334</v>
      </c>
      <c r="E104">
        <f>IF(COUNT(C104:D104)=2,D104-C104,"")</f>
        <v>-0.6257215853019259</v>
      </c>
      <c r="H104">
        <v>30</v>
      </c>
      <c r="I104">
        <v>29</v>
      </c>
      <c r="J104">
        <f>100*410139/1282634</f>
        <v>31.976308128429466</v>
      </c>
      <c r="K104">
        <f>100*54278/861360</f>
        <v>6.301430296275657</v>
      </c>
      <c r="L104">
        <f>IF(COUNT(J104:K104)=2,K104-J104,"")</f>
        <v>-25.674877832153808</v>
      </c>
      <c r="O104">
        <v>30</v>
      </c>
      <c r="P104">
        <v>29</v>
      </c>
      <c r="Q104">
        <f>100*806811/1713643</f>
        <v>47.08162668653856</v>
      </c>
      <c r="R104">
        <f>100*632163/1633609</f>
        <v>38.69732598192101</v>
      </c>
      <c r="S104">
        <f>IF(COUNT(Q104:R104)=2,R104-Q104,"")</f>
        <v>-8.384300704617552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100*207710/1101147</f>
        <v>18.86305824744562</v>
      </c>
      <c r="E105">
        <f>IF(COUNT(C105:D105)=2,D105-C105,"")</f>
        <v>-26.324430089562927</v>
      </c>
      <c r="H105">
        <v>31</v>
      </c>
      <c r="I105">
        <v>30</v>
      </c>
      <c r="J105">
        <f>100*349588/1410455</f>
        <v>24.785477026916848</v>
      </c>
      <c r="K105">
        <f>100*702711/2280606</f>
        <v>30.812468265013774</v>
      </c>
      <c r="L105">
        <f>IF(COUNT(J105:K105)=2,K105-J105,"")</f>
        <v>6.026991238096926</v>
      </c>
      <c r="O105">
        <v>31</v>
      </c>
      <c r="P105">
        <v>30</v>
      </c>
      <c r="Q105">
        <f>100*267010/983366</f>
        <v>27.15265730155405</v>
      </c>
      <c r="R105">
        <f>100*14255/561865</f>
        <v>2.537086310768601</v>
      </c>
      <c r="S105">
        <f>IF(COUNT(Q105:R105)=2,R105-Q105,"")</f>
        <v>-24.61557099078545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21.466111363041964</v>
      </c>
      <c r="E106">
        <f>IF(COUNT(E75:E105)&gt;0,AVERAGE(E75:E105),"")</f>
        <v>-12.630843815807927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20.56426571614513</v>
      </c>
      <c r="L106">
        <f>IF(COUNT(L75:L105)&gt;0,AVERAGE(L75:L105),"")</f>
        <v>-16.14445658889611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23.69683695900105</v>
      </c>
      <c r="S106">
        <f>IF(COUNT(S75:S105)&gt;0,AVERAGE(S75:S105),"")</f>
        <v>-10.089955069211959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opLeftCell="A58" workbookViewId="0">
      <selection activeCell="A73" sqref="A73:XFD73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100*54937/557362</f>
        <v>9.856610246123704</v>
      </c>
      <c r="E3">
        <f>IF(COUNT(C3:D3)=2,D3-C3,"")</f>
        <v>-21.76971771864258</v>
      </c>
      <c r="H3">
        <v>1</v>
      </c>
      <c r="I3">
        <v>0</v>
      </c>
      <c r="J3">
        <f>100*291815/1145550</f>
        <v>25.47378988258915</v>
      </c>
      <c r="K3">
        <f>100*137129/759444</f>
        <v>18.05649922838287</v>
      </c>
      <c r="L3">
        <f>IF(COUNT(J3:K3)=2,K3-J3,"")</f>
        <v>-7.41729065420628</v>
      </c>
      <c r="O3">
        <v>1</v>
      </c>
      <c r="P3">
        <v>0</v>
      </c>
      <c r="Q3">
        <f>100*208586/733698</f>
        <v>28.429408285152746</v>
      </c>
      <c r="R3">
        <f>100*11128/421625</f>
        <v>2.6393121849985177</v>
      </c>
      <c r="S3">
        <f>IF(COUNT(Q3:R3)=2,R3-Q3,"")</f>
        <v>-25.79009610015423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100*198989/885085</f>
        <v>22.482473434754855</v>
      </c>
      <c r="E4">
        <f>IF(COUNT(C4:D4)=2,D4-C4,"")</f>
        <v>-9.370474050320038</v>
      </c>
      <c r="H4">
        <v>2</v>
      </c>
      <c r="I4">
        <v>1</v>
      </c>
      <c r="J4">
        <f>100*130334/783729</f>
        <v>16.629983068126865</v>
      </c>
      <c r="K4">
        <f>100*281620/1145993</f>
        <v>24.574321134596808</v>
      </c>
      <c r="L4">
        <f>IF(COUNT(J4:K4)=2,K4-J4,"")</f>
        <v>7.944338066469943</v>
      </c>
      <c r="O4">
        <v>2</v>
      </c>
      <c r="P4">
        <v>1</v>
      </c>
      <c r="Q4">
        <f>100*510455/1451156</f>
        <v>35.17574954036644</v>
      </c>
      <c r="R4">
        <f>100*196884/973700</f>
        <v>20.220191023929342</v>
      </c>
      <c r="S4">
        <f>IF(COUNT(Q4:R4)=2,R4-Q4,"")</f>
        <v>-14.955558516437097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100*135588/878051</f>
        <v>15.44192763290515</v>
      </c>
      <c r="E5">
        <f>IF(COUNT(C5:D5)=2,D5-C5,"")</f>
        <v>-15.824139887863117</v>
      </c>
      <c r="H5">
        <v>3</v>
      </c>
      <c r="I5">
        <v>2</v>
      </c>
      <c r="J5">
        <f>100*147851/1441835</f>
        <v>10.25436336335295</v>
      </c>
      <c r="K5">
        <f>100*141578/789138</f>
        <v>17.940841779257873</v>
      </c>
      <c r="L5">
        <f>IF(COUNT(J5:K5)=2,K5-J5,"")</f>
        <v>7.686478415904924</v>
      </c>
      <c r="O5">
        <v>3</v>
      </c>
      <c r="P5">
        <v>2</v>
      </c>
      <c r="Q5">
        <f>100*480143/1280935</f>
        <v>37.48379113694293</v>
      </c>
      <c r="R5">
        <f>100*133139/734177</f>
        <v>18.134455315271385</v>
      </c>
      <c r="S5">
        <f>IF(COUNT(Q5:R5)=2,R5-Q5,"")</f>
        <v>-19.34933582167155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100*67636/680404</f>
        <v>9.940564723311445</v>
      </c>
      <c r="E6">
        <f>IF(COUNT(C6:D6)=2,D6-C6,"")</f>
        <v>6.783409492823522</v>
      </c>
      <c r="H6">
        <v>4</v>
      </c>
      <c r="I6">
        <v>3</v>
      </c>
      <c r="J6">
        <f>100*123870/784417</f>
        <v>15.791345674558302</v>
      </c>
      <c r="K6">
        <f>100*89506/648530</f>
        <v>13.8013661665613</v>
      </c>
      <c r="L6">
        <f>IF(COUNT(J6:K6)=2,K6-J6,"")</f>
        <v>-1.9899795079970026</v>
      </c>
      <c r="O6">
        <v>4</v>
      </c>
      <c r="P6">
        <v>3</v>
      </c>
      <c r="Q6">
        <f>100*450191/1211277</f>
        <v>37.16664313777939</v>
      </c>
      <c r="R6">
        <f>100*274062/1066612</f>
        <v>25.694629349754177</v>
      </c>
      <c r="S6">
        <f>IF(COUNT(Q6:R6)=2,R6-Q6,"")</f>
        <v>-11.472013788025212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100*282466/1234716</f>
        <v>22.877001674879082</v>
      </c>
      <c r="E7">
        <f>IF(COUNT(C7:D7)=2,D7-C7,"")</f>
        <v>-15.76536417917766</v>
      </c>
      <c r="H7">
        <v>5</v>
      </c>
      <c r="I7">
        <v>4</v>
      </c>
      <c r="J7">
        <f>100*342477/1148710</f>
        <v>29.814052284736793</v>
      </c>
      <c r="K7">
        <f>100*215756/976383</f>
        <v>22.09747609288568</v>
      </c>
      <c r="L7">
        <f>IF(COUNT(J7:K7)=2,K7-J7,"")</f>
        <v>-7.716576191851111</v>
      </c>
      <c r="O7">
        <v>5</v>
      </c>
      <c r="P7">
        <v>4</v>
      </c>
      <c r="Q7">
        <f>100*389359/1092762</f>
        <v>35.63072288384845</v>
      </c>
      <c r="R7">
        <f>100*33018/502836</f>
        <v>6.566355630861752</v>
      </c>
      <c r="S7">
        <f>IF(COUNT(Q7:R7)=2,R7-Q7,"")</f>
        <v>-29.0643672529867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100*212220/1032954</f>
        <v>20.544961343873975</v>
      </c>
      <c r="E8">
        <f>IF(COUNT(C8:D8)=2,D8-C8,"")</f>
        <v>-5.684610969137967</v>
      </c>
      <c r="H8">
        <v>6</v>
      </c>
      <c r="I8">
        <v>5</v>
      </c>
      <c r="J8">
        <f>100*246415/1039225</f>
        <v>23.71141956746614</v>
      </c>
      <c r="K8">
        <f>100*151431/800411</f>
        <v>18.91915528397286</v>
      </c>
      <c r="L8">
        <f>IF(COUNT(J8:K8)=2,K8-J8,"")</f>
        <v>-4.792264283493282</v>
      </c>
      <c r="O8">
        <v>6</v>
      </c>
      <c r="P8">
        <v>5</v>
      </c>
      <c r="Q8">
        <f>100*269836/994553</f>
        <v>27.131384652200538</v>
      </c>
      <c r="R8">
        <f>100*45848/565224</f>
        <v>8.111474388914838</v>
      </c>
      <c r="S8">
        <f>IF(COUNT(Q8:R8)=2,R8-Q8,"")</f>
        <v>-19.019910263285702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100*63405/581981</f>
        <v>10.894685565336326</v>
      </c>
      <c r="E9">
        <f>IF(COUNT(C9:D9)=2,D9-C9,"")</f>
        <v>-17.32899648271897</v>
      </c>
      <c r="H9">
        <v>7</v>
      </c>
      <c r="I9">
        <v>6</v>
      </c>
      <c r="J9">
        <f>100*3261/356727</f>
        <v>0.9141444297740289</v>
      </c>
      <c r="K9">
        <f>100*9345/429817</f>
        <v>2.1741811049818875</v>
      </c>
      <c r="L9">
        <f>IF(COUNT(J9:K9)=2,K9-J9,"")</f>
        <v>1.2600366752078587</v>
      </c>
      <c r="O9">
        <v>7</v>
      </c>
      <c r="P9">
        <v>6</v>
      </c>
      <c r="Q9">
        <f>100*460466/1246393</f>
        <v>36.94388527535055</v>
      </c>
      <c r="R9">
        <f>100*231303/1062929</f>
        <v>21.760907831096905</v>
      </c>
      <c r="S9">
        <f>IF(COUNT(Q9:R9)=2,R9-Q9,"")</f>
        <v>-15.182977444253648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100*2355/322749</f>
        <v>0.7296691856520082</v>
      </c>
      <c r="E10">
        <f>IF(COUNT(C10:D10)=2,D10-C10,"")</f>
        <v>-0.36956833192718175</v>
      </c>
      <c r="H10">
        <v>8</v>
      </c>
      <c r="I10">
        <v>7</v>
      </c>
      <c r="J10">
        <f>100*275/278589</f>
        <v>0.09871172228623527</v>
      </c>
      <c r="K10">
        <f>100*19998/413299</f>
        <v>4.838627724722295</v>
      </c>
      <c r="L10">
        <f>IF(COUNT(J10:K10)=2,K10-J10,"")</f>
        <v>4.73991600243606</v>
      </c>
      <c r="O10">
        <v>8</v>
      </c>
      <c r="P10">
        <v>7</v>
      </c>
      <c r="Q10">
        <f>100*631465/1523952</f>
        <v>41.43601635747058</v>
      </c>
      <c r="R10">
        <f>100*320998/1097324</f>
        <v>29.25280044909252</v>
      </c>
      <c r="S10">
        <f>IF(COUNT(Q10:R10)=2,R10-Q10,"")</f>
        <v>-12.18321590837806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100*309859/1261296</f>
        <v>24.56671550532151</v>
      </c>
      <c r="E11">
        <f>IF(COUNT(C11:D11)=2,D11-C11,"")</f>
        <v>-5.433229758742886</v>
      </c>
      <c r="H11">
        <v>9</v>
      </c>
      <c r="I11">
        <v>8</v>
      </c>
      <c r="J11">
        <f>100*382533/1287826</f>
        <v>29.70377985845914</v>
      </c>
      <c r="K11">
        <f>100*269033/1212758</f>
        <v>22.183568362360834</v>
      </c>
      <c r="L11">
        <f>IF(COUNT(J11:K11)=2,K11-J11,"")</f>
        <v>-7.520211496098305</v>
      </c>
      <c r="O11">
        <v>9</v>
      </c>
      <c r="P11">
        <v>8</v>
      </c>
      <c r="Q11">
        <f>100*511514/1411309</f>
        <v>36.24394090875917</v>
      </c>
      <c r="R11">
        <f>100*316108/1060395</f>
        <v>29.81040084119597</v>
      </c>
      <c r="S11">
        <f>IF(COUNT(Q11:R11)=2,R11-Q11,"")</f>
        <v>-6.4335400675632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100*136006/711092</f>
        <v>19.12635777086509</v>
      </c>
      <c r="E12">
        <f>IF(COUNT(C12:D12)=2,D12-C12,"")</f>
        <v>-0.89459977791401</v>
      </c>
      <c r="H12">
        <v>10</v>
      </c>
      <c r="I12">
        <v>9</v>
      </c>
      <c r="J12">
        <f>100*179400/747366</f>
        <v>24.00430311253121</v>
      </c>
      <c r="K12">
        <f>100*34699/483517</f>
        <v>7.176376425234273</v>
      </c>
      <c r="L12">
        <f>IF(COUNT(J12:K12)=2,K12-J12,"")</f>
        <v>-16.827926687296937</v>
      </c>
      <c r="O12">
        <v>10</v>
      </c>
      <c r="P12">
        <v>9</v>
      </c>
      <c r="Q12">
        <f>100*361827/1149672</f>
        <v>31.47219380832098</v>
      </c>
      <c r="R12">
        <f>100*43032/550377</f>
        <v>7.818640677208531</v>
      </c>
      <c r="S12">
        <f>IF(COUNT(Q12:R12)=2,R12-Q12,"")</f>
        <v>-23.65355313111245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100*220499/1008084</f>
        <v>21.8730780371477</v>
      </c>
      <c r="E13">
        <f>IF(COUNT(C13:D13)=2,D13-C13,"")</f>
        <v>21.107380969636058</v>
      </c>
      <c r="H13">
        <v>11</v>
      </c>
      <c r="I13">
        <v>10</v>
      </c>
      <c r="J13">
        <f>100*29717/602395</f>
        <v>4.933141875347571</v>
      </c>
      <c r="K13">
        <f>100*41444/633923</f>
        <v>6.537702528540533</v>
      </c>
      <c r="L13">
        <f>IF(COUNT(J13:K13)=2,K13-J13,"")</f>
        <v>1.6045606531929613</v>
      </c>
      <c r="O13">
        <v>11</v>
      </c>
      <c r="P13">
        <v>10</v>
      </c>
      <c r="Q13">
        <f>100*314083/1092488</f>
        <v>28.749331800440828</v>
      </c>
      <c r="R13">
        <f>100*384139/1292131</f>
        <v>29.729106414132932</v>
      </c>
      <c r="S13">
        <f>IF(COUNT(Q13:R13)=2,R13-Q13,"")</f>
        <v>0.9797746136921042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100*210998/1014649</f>
        <v>20.795171532224444</v>
      </c>
      <c r="E14">
        <f>IF(COUNT(C14:D14)=2,D14-C14,"")</f>
        <v>-15.568035664496662</v>
      </c>
      <c r="H14">
        <v>12</v>
      </c>
      <c r="I14">
        <v>11</v>
      </c>
      <c r="J14">
        <f>100*17227/518447</f>
        <v>3.3228083102033574</v>
      </c>
      <c r="K14">
        <f>100*10810/591715</f>
        <v>1.8268930143734736</v>
      </c>
      <c r="L14">
        <f>IF(COUNT(J14:K14)=2,K14-J14,"")</f>
        <v>-1.4959152958298838</v>
      </c>
      <c r="O14">
        <v>12</v>
      </c>
      <c r="P14">
        <v>11</v>
      </c>
      <c r="Q14">
        <f>100*438660/1271352</f>
        <v>34.5034262737621</v>
      </c>
      <c r="R14">
        <f>100*339868/1250488</f>
        <v>27.178829385008093</v>
      </c>
      <c r="S14">
        <f>IF(COUNT(Q14:R14)=2,R14-Q14,"")</f>
        <v>-7.324596888754009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100*41496/579584</f>
        <v>7.159617932862191</v>
      </c>
      <c r="E15">
        <f>IF(COUNT(C15:D15)=2,D15-C15,"")</f>
        <v>-1.8970451315266095</v>
      </c>
      <c r="H15">
        <v>13</v>
      </c>
      <c r="I15">
        <v>12</v>
      </c>
      <c r="J15">
        <f>100*544142/1461712</f>
        <v>37.22634828201451</v>
      </c>
      <c r="K15">
        <f>100*146338/766967</f>
        <v>19.080090799213004</v>
      </c>
      <c r="L15">
        <f>IF(COUNT(J15:K15)=2,K15-J15,"")</f>
        <v>-18.14625748280151</v>
      </c>
      <c r="O15">
        <v>13</v>
      </c>
      <c r="P15">
        <v>12</v>
      </c>
      <c r="Q15">
        <f>100*357555/1108932</f>
        <v>32.243185335079154</v>
      </c>
      <c r="R15">
        <f>100*98162/826521</f>
        <v>11.876528243081543</v>
      </c>
      <c r="S15">
        <f>IF(COUNT(Q15:R15)=2,R15-Q15,"")</f>
        <v>-20.36665709199761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100*61745/357562</f>
        <v>17.268333883354494</v>
      </c>
      <c r="E16">
        <f>IF(COUNT(C16:D16)=2,D16-C16,"")</f>
        <v>15.350111025352742</v>
      </c>
      <c r="H16">
        <v>14</v>
      </c>
      <c r="I16">
        <v>13</v>
      </c>
      <c r="J16">
        <f>100*181558/818931</f>
        <v>22.170121780711685</v>
      </c>
      <c r="K16">
        <f>100*404/115812</f>
        <v>0.3488412254343246</v>
      </c>
      <c r="L16">
        <f>IF(COUNT(J16:K16)=2,K16-J16,"")</f>
        <v>-21.82128055527736</v>
      </c>
      <c r="O16">
        <v>14</v>
      </c>
      <c r="P16">
        <v>13</v>
      </c>
      <c r="Q16">
        <f>100*131266/578543</f>
        <v>22.689065462722738</v>
      </c>
      <c r="R16">
        <f>100*943/460101</f>
        <v>0.20495499901108669</v>
      </c>
      <c r="S16">
        <f>IF(COUNT(Q16:R16)=2,R16-Q16,"")</f>
        <v>-22.48411046371165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100*333043/1170224</f>
        <v>28.459764968074488</v>
      </c>
      <c r="E17">
        <f>IF(COUNT(C17:D17)=2,D17-C17,"")</f>
        <v>-4.21763784015743</v>
      </c>
      <c r="H17">
        <v>15</v>
      </c>
      <c r="I17">
        <v>14</v>
      </c>
      <c r="J17">
        <f>100*610081/1573211</f>
        <v>38.779350004544845</v>
      </c>
      <c r="K17">
        <f>100*206447/967184</f>
        <v>21.345162864563516</v>
      </c>
      <c r="L17">
        <f>IF(COUNT(J17:K17)=2,K17-J17,"")</f>
        <v>-17.43418713998133</v>
      </c>
      <c r="O17">
        <v>15</v>
      </c>
      <c r="P17">
        <v>14</v>
      </c>
      <c r="Q17">
        <f>100*384174/1163453</f>
        <v>33.020156379329464</v>
      </c>
      <c r="R17">
        <f>100*256635/1595546</f>
        <v>16.084462622826294</v>
      </c>
      <c r="S17">
        <f>IF(COUNT(Q17:R17)=2,R17-Q17,"")</f>
        <v>-16.93569375650317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100*97798/639078</f>
        <v>15.302983360403582</v>
      </c>
      <c r="E18">
        <f>IF(COUNT(C18:D18)=2,D18-C18,"")</f>
        <v>-17.96503971570116</v>
      </c>
      <c r="H18">
        <v>16</v>
      </c>
      <c r="I18">
        <v>15</v>
      </c>
      <c r="J18">
        <f>100*311472/1035367</f>
        <v>30.083245844227218</v>
      </c>
      <c r="K18">
        <f>100*152270/838840</f>
        <v>18.152448619522197</v>
      </c>
      <c r="L18">
        <f>IF(COUNT(J18:K18)=2,K18-J18,"")</f>
        <v>-11.930797224705021</v>
      </c>
      <c r="O18">
        <v>16</v>
      </c>
      <c r="P18">
        <v>15</v>
      </c>
      <c r="Q18">
        <f>100*403580/1172064</f>
        <v>34.43327326835394</v>
      </c>
      <c r="R18">
        <f>100*241284/896185</f>
        <v>26.923458884047378</v>
      </c>
      <c r="S18">
        <f>IF(COUNT(Q18:R18)=2,R18-Q18,"")</f>
        <v>-7.509814384306566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100*174795/938582</f>
        <v>18.623306221512877</v>
      </c>
      <c r="E19">
        <f>IF(COUNT(C19:D19)=2,D19-C19,"")</f>
        <v>-2.6280415435289264</v>
      </c>
      <c r="H19">
        <v>17</v>
      </c>
      <c r="I19">
        <v>16</v>
      </c>
      <c r="J19">
        <f>100*547667/1465339</f>
        <v>37.37476447429571</v>
      </c>
      <c r="K19">
        <f>100*220175/1001028</f>
        <v>21.994889253847045</v>
      </c>
      <c r="L19">
        <f>IF(COUNT(J19:K19)=2,K19-J19,"")</f>
        <v>-15.379875220448664</v>
      </c>
      <c r="O19">
        <v>17</v>
      </c>
      <c r="P19">
        <v>16</v>
      </c>
      <c r="Q19">
        <f>100*34194/375756</f>
        <v>9.10005429055025</v>
      </c>
      <c r="R19">
        <f>100*1806/311681</f>
        <v>0.5794385926636529</v>
      </c>
      <c r="S19">
        <f>IF(COUNT(Q19:R19)=2,R19-Q19,"")</f>
        <v>-8.520615697886598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100*19129/636001</f>
        <v>3.0076996734281862</v>
      </c>
      <c r="E20">
        <f>IF(COUNT(C20:D20)=2,D20-C20,"")</f>
        <v>-26.45493442162529</v>
      </c>
      <c r="H20">
        <v>18</v>
      </c>
      <c r="I20">
        <v>17</v>
      </c>
      <c r="J20">
        <f>100*246590/976020</f>
        <v>25.264851130099792</v>
      </c>
      <c r="K20">
        <f>100*23229/605716</f>
        <v>3.8349655614182225</v>
      </c>
      <c r="L20">
        <f>IF(COUNT(J20:K20)=2,K20-J20,"")</f>
        <v>-21.42988556868157</v>
      </c>
      <c r="O20">
        <v>18</v>
      </c>
      <c r="P20">
        <v>17</v>
      </c>
      <c r="Q20">
        <f>100*2176/318434</f>
        <v>0.6833441152640736</v>
      </c>
      <c r="R20">
        <f>100*5106/321730</f>
        <v>1.5870450377645853</v>
      </c>
      <c r="S20">
        <f>IF(COUNT(Q20:R20)=2,R20-Q20,"")</f>
        <v>0.9037009225005117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100*72327/717004</f>
        <v>10.08739142319987</v>
      </c>
      <c r="E21">
        <f>IF(COUNT(C21:D21)=2,D21-C21,"")</f>
        <v>-9.210568606101125</v>
      </c>
      <c r="H21">
        <v>19</v>
      </c>
      <c r="I21">
        <v>18</v>
      </c>
      <c r="J21">
        <f>100*94163/608895</f>
        <v>15.464571067261186</v>
      </c>
      <c r="K21">
        <f>100*92096/712633</f>
        <v>12.923342028786205</v>
      </c>
      <c r="L21">
        <f>IF(COUNT(J21:K21)=2,K21-J21,"")</f>
        <v>-2.541229038474981</v>
      </c>
      <c r="O21">
        <v>19</v>
      </c>
      <c r="P21">
        <v>18</v>
      </c>
      <c r="Q21">
        <f>100*460785/1299362</f>
        <v>35.462403856661965</v>
      </c>
      <c r="R21">
        <f>100*268156/1044349</f>
        <v>25.676857065980816</v>
      </c>
      <c r="S21">
        <f>IF(COUNT(Q21:R21)=2,R21-Q21,"")</f>
        <v>-9.785546790681149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100*29085/497235</f>
        <v>5.849346888292256</v>
      </c>
      <c r="E22">
        <f>IF(COUNT(C22:D22)=2,D22-C22,"")</f>
        <v>-23.21883329706589</v>
      </c>
      <c r="H22">
        <v>20</v>
      </c>
      <c r="I22">
        <v>19</v>
      </c>
      <c r="J22">
        <f>100*51102/454685</f>
        <v>11.238989630183534</v>
      </c>
      <c r="K22">
        <f>100*145831/768347</f>
        <v>18.979835933504003</v>
      </c>
      <c r="L22">
        <f>IF(COUNT(J22:K22)=2,K22-J22,"")</f>
        <v>7.740846303320469</v>
      </c>
      <c r="O22">
        <v>20</v>
      </c>
      <c r="P22">
        <v>19</v>
      </c>
      <c r="Q22">
        <f>100*246053/750263</f>
        <v>32.795566354731605</v>
      </c>
      <c r="R22">
        <f>100*109662/743221</f>
        <v>14.754965212231625</v>
      </c>
      <c r="S22">
        <f>IF(COUNT(Q22:R22)=2,R22-Q22,"")</f>
        <v>-18.04060114249998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100*109999/706220</f>
        <v>15.575741270425647</v>
      </c>
      <c r="E23">
        <f>IF(COUNT(C23:D23)=2,D23-C23,"")</f>
        <v>-7.8455298703379714</v>
      </c>
      <c r="H23">
        <v>21</v>
      </c>
      <c r="I23">
        <v>20</v>
      </c>
      <c r="J23">
        <f>100*591919/1541493</f>
        <v>38.399071549465354</v>
      </c>
      <c r="K23">
        <f>100*86289/624625</f>
        <v>13.814528717230338</v>
      </c>
      <c r="L23">
        <f>IF(COUNT(J23:K23)=2,K23-J23,"")</f>
        <v>-24.584542832235016</v>
      </c>
      <c r="O23">
        <v>21</v>
      </c>
      <c r="P23">
        <v>20</v>
      </c>
      <c r="Q23">
        <f>100*189374/774599</f>
        <v>24.448004709533578</v>
      </c>
      <c r="R23">
        <f>100*109986/694005</f>
        <v>15.848012622387447</v>
      </c>
      <c r="S23">
        <f>IF(COUNT(Q23:R23)=2,R23-Q23,"")</f>
        <v>-8.59999208714613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100*391504/1496055</f>
        <v>26.169091376988145</v>
      </c>
      <c r="E24">
        <f>IF(COUNT(C24:D24)=2,D24-C24,"")</f>
        <v>3.0312858133963445</v>
      </c>
      <c r="H24">
        <v>22</v>
      </c>
      <c r="I24">
        <v>21</v>
      </c>
      <c r="J24">
        <f>100*392324/1270598</f>
        <v>30.87711455550851</v>
      </c>
      <c r="K24">
        <f>100*271225/1126465</f>
        <v>24.07753458829169</v>
      </c>
      <c r="L24">
        <f>IF(COUNT(J24:K24)=2,K24-J24,"")</f>
        <v>-6.799579967216818</v>
      </c>
      <c r="O24">
        <v>22</v>
      </c>
      <c r="P24">
        <v>21</v>
      </c>
      <c r="Q24">
        <f>100*423564/1232833</f>
        <v>34.356964811941275</v>
      </c>
      <c r="R24">
        <f>100*79610/514369</f>
        <v>15.477215773112299</v>
      </c>
      <c r="S24">
        <f>IF(COUNT(Q24:R24)=2,R24-Q24,"")</f>
        <v>-18.879749038828976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100*148124/772344</f>
        <v>19.17850077167687</v>
      </c>
      <c r="E25">
        <f>IF(COUNT(C25:D25)=2,D25-C25,"")</f>
        <v>-13.091272282001437</v>
      </c>
      <c r="H25">
        <v>23</v>
      </c>
      <c r="I25">
        <v>22</v>
      </c>
      <c r="J25">
        <f>100*155683/840858</f>
        <v>18.514778951975245</v>
      </c>
      <c r="K25">
        <f>100*48277/597412</f>
        <v>8.08102281172792</v>
      </c>
      <c r="L25">
        <f>IF(COUNT(J25:K25)=2,K25-J25,"")</f>
        <v>-10.433756140247326</v>
      </c>
      <c r="O25">
        <v>23</v>
      </c>
      <c r="P25">
        <v>22</v>
      </c>
      <c r="Q25">
        <f>100*592/261920</f>
        <v>0.22602321319486865</v>
      </c>
      <c r="R25">
        <f>100*558/267571</f>
        <v>0.2085427792996999</v>
      </c>
      <c r="S25">
        <f>IF(COUNT(Q25:R25)=2,R25-Q25,"")</f>
        <v>-0.017480433895168762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100*95087/688719</f>
        <v>13.806356438547507</v>
      </c>
      <c r="E26">
        <f>IF(COUNT(C26:D26)=2,D26-C26,"")</f>
        <v>-12.458767877117218</v>
      </c>
      <c r="H26">
        <v>24</v>
      </c>
      <c r="I26">
        <v>23</v>
      </c>
      <c r="J26">
        <f>100*377574/1156306</f>
        <v>32.65346716180665</v>
      </c>
      <c r="K26">
        <f>100*163376/911283</f>
        <v>17.928129900371236</v>
      </c>
      <c r="L26">
        <f>IF(COUNT(J26:K26)=2,K26-J26,"")</f>
        <v>-14.725337261435417</v>
      </c>
      <c r="O26">
        <v>24</v>
      </c>
      <c r="P26">
        <v>23</v>
      </c>
      <c r="Q26">
        <f>100*122016/574638</f>
        <v>21.233541812410596</v>
      </c>
      <c r="R26">
        <f>100*21930/569410</f>
        <v>3.8513549112238983</v>
      </c>
      <c r="S26">
        <f>IF(COUNT(Q26:R26)=2,R26-Q26,"")</f>
        <v>-17.3821869011867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100*234357/964384</f>
        <v>24.3012119653582</v>
      </c>
      <c r="E27">
        <f>IF(COUNT(C27:D27)=2,D27-C27,"")</f>
        <v>16.025936337865822</v>
      </c>
      <c r="H27">
        <v>25</v>
      </c>
      <c r="I27">
        <v>24</v>
      </c>
      <c r="J27">
        <f>100*179842/875592</f>
        <v>20.53947500662409</v>
      </c>
      <c r="K27">
        <f>100*122342/872763</f>
        <v>14.017780313785071</v>
      </c>
      <c r="L27">
        <f>IF(COUNT(J27:K27)=2,K27-J27,"")</f>
        <v>-6.52169469283902</v>
      </c>
      <c r="O27">
        <v>25</v>
      </c>
      <c r="P27">
        <v>24</v>
      </c>
      <c r="Q27">
        <f>100*497820/1342997</f>
        <v>37.06784155139587</v>
      </c>
      <c r="R27">
        <f>100*247082/940407</f>
        <v>26.273943090598006</v>
      </c>
      <c r="S27">
        <f>IF(COUNT(Q27:R27)=2,R27-Q27,"")</f>
        <v>-10.793898460797866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100*787/6003</f>
        <v>13.110111610861235</v>
      </c>
      <c r="E28">
        <f>IF(COUNT(C28:D28)=2,D28-C28,"")</f>
        <v>-18.290188239213727</v>
      </c>
      <c r="H28">
        <v>26</v>
      </c>
      <c r="I28">
        <v>25</v>
      </c>
      <c r="J28">
        <f>100*403993/1263866</f>
        <v>31.964860198786898</v>
      </c>
      <c r="K28">
        <f>100*326474/1111815</f>
        <v>29.364057869339774</v>
      </c>
      <c r="L28">
        <f>IF(COUNT(J28:K28)=2,K28-J28,"")</f>
        <v>-2.6008023294471236</v>
      </c>
      <c r="O28">
        <v>26</v>
      </c>
      <c r="P28">
        <v>25</v>
      </c>
      <c r="Q28">
        <f>100*525172/1313199</f>
        <v>39.99180626850919</v>
      </c>
      <c r="R28">
        <f>100*345489/1156666</f>
        <v>29.86938321001914</v>
      </c>
      <c r="S28">
        <f>IF(COUNT(Q28:R28)=2,R28-Q28,"")</f>
        <v>-10.122423058490046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100*97521/736664</f>
        <v>13.2381927174397</v>
      </c>
      <c r="E29">
        <f>IF(COUNT(C29:D29)=2,D29-C29,"")</f>
        <v>-26.465468276902143</v>
      </c>
      <c r="H29">
        <v>27</v>
      </c>
      <c r="I29">
        <v>26</v>
      </c>
      <c r="J29">
        <f>100*136381/818474</f>
        <v>16.66283840415212</v>
      </c>
      <c r="K29">
        <f>100*153824/764601</f>
        <v>20.11820544310039</v>
      </c>
      <c r="L29">
        <f>IF(COUNT(J29:K29)=2,K29-J29,"")</f>
        <v>3.455367038948271</v>
      </c>
      <c r="O29">
        <v>27</v>
      </c>
      <c r="P29">
        <v>26</v>
      </c>
      <c r="Q29">
        <f>100*365374/1222824</f>
        <v>29.87952477216672</v>
      </c>
      <c r="R29">
        <f>100*250445/1030918</f>
        <v>24.29339675900508</v>
      </c>
      <c r="S29">
        <f>IF(COUNT(Q29:R29)=2,R29-Q29,"")</f>
        <v>-5.586128013161641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100*106356/636611</f>
        <v>16.70659162345608</v>
      </c>
      <c r="E30">
        <f>IF(COUNT(C30:D30)=2,D30-C30,"")</f>
        <v>-11.19699943020516</v>
      </c>
      <c r="H30">
        <v>28</v>
      </c>
      <c r="I30">
        <v>27</v>
      </c>
      <c r="J30">
        <f>100*471860/1401372</f>
        <v>33.67128785219057</v>
      </c>
      <c r="K30">
        <f>100*48629/529800</f>
        <v>9.178746696866742</v>
      </c>
      <c r="L30">
        <f>IF(COUNT(J30:K30)=2,K30-J30,"")</f>
        <v>-24.492541155323824</v>
      </c>
      <c r="O30">
        <v>28</v>
      </c>
      <c r="P30">
        <v>27</v>
      </c>
      <c r="Q30">
        <f>100*191/261142</f>
        <v>0.07314028383025327</v>
      </c>
      <c r="R30">
        <f>100*342/259948</f>
        <v>0.1315647744933602</v>
      </c>
      <c r="S30">
        <f>IF(COUNT(Q30:R30)=2,R30-Q30,"")</f>
        <v>0.05842449066310694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100*190770/1055761</f>
        <v>18.069430486634758</v>
      </c>
      <c r="E31">
        <f>IF(COUNT(C31:D31)=2,D31-C31,"")</f>
        <v>-18.81525433106082</v>
      </c>
      <c r="H31">
        <v>29</v>
      </c>
      <c r="I31">
        <v>28</v>
      </c>
      <c r="J31">
        <f>100*501796/1378717</f>
        <v>36.39586659191117</v>
      </c>
      <c r="K31">
        <f>100*117992/808227</f>
        <v>14.598868882133361</v>
      </c>
      <c r="L31">
        <f>IF(COUNT(J31:K31)=2,K31-J31,"")</f>
        <v>-21.796997709777813</v>
      </c>
      <c r="O31">
        <v>29</v>
      </c>
      <c r="P31">
        <v>28</v>
      </c>
      <c r="Q31">
        <f>100*492377/1362039</f>
        <v>36.14999276819533</v>
      </c>
      <c r="R31">
        <f>100*356472/1287943</f>
        <v>27.677622379251257</v>
      </c>
      <c r="S31">
        <f>IF(COUNT(Q31:R31)=2,R31-Q31,"")</f>
        <v>-8.472370388944075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100*70484/500658</f>
        <v>14.078272992741551</v>
      </c>
      <c r="E32">
        <f>IF(COUNT(C32:D32)=2,D32-C32,"")</f>
        <v>-11.756457264966537</v>
      </c>
      <c r="H32">
        <v>30</v>
      </c>
      <c r="I32">
        <v>29</v>
      </c>
      <c r="J32">
        <f>100*264568/888302</f>
        <v>29.783564598526176</v>
      </c>
      <c r="K32">
        <f>100*92649/688222</f>
        <v>13.462080549590103</v>
      </c>
      <c r="L32">
        <f>IF(COUNT(J32:K32)=2,K32-J32,"")</f>
        <v>-16.32148404893607</v>
      </c>
      <c r="O32">
        <v>30</v>
      </c>
      <c r="P32">
        <v>29</v>
      </c>
      <c r="Q32">
        <f>100*465436/1240969</f>
        <v>37.50585228156384</v>
      </c>
      <c r="R32">
        <f>100*229752/882536</f>
        <v>26.033158987282107</v>
      </c>
      <c r="S32">
        <f>IF(COUNT(Q32:R32)=2,R32-Q32,"")</f>
        <v>-11.472693294281733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100*220448/921922</f>
        <v>23.91178429411599</v>
      </c>
      <c r="E33">
        <f>IF(COUNT(C33:D33)=2,D33-C33,"")</f>
        <v>-13.034275936601496</v>
      </c>
      <c r="H33">
        <v>31</v>
      </c>
      <c r="I33">
        <v>30</v>
      </c>
      <c r="J33">
        <f>100*307741/1047349</f>
        <v>29.382851370460084</v>
      </c>
      <c r="K33">
        <f>100*262421/1070542</f>
        <v>24.5129102828287</v>
      </c>
      <c r="L33">
        <f>IF(COUNT(J33:K33)=2,K33-J33,"")</f>
        <v>-4.869941087631386</v>
      </c>
      <c r="O33">
        <v>31</v>
      </c>
      <c r="P33">
        <v>30</v>
      </c>
      <c r="Q33">
        <f>100*7935/484889</f>
        <v>1.63645700356164</v>
      </c>
      <c r="R33">
        <f>100*3032/361264</f>
        <v>0.8392754329243988</v>
      </c>
      <c r="S33">
        <f>IF(COUNT(Q33:R33)=2,R33-Q33,"")</f>
        <v>-0.7971815706372412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16.22686924360545</v>
      </c>
      <c r="E34">
        <f>IF(COUNT(E3:E33)&gt;0,AVERAGE(E3:E33),"")</f>
        <v>-8.524417007934822</v>
      </c>
      <c r="H34" t="s">
        <v>5</v>
      </c>
      <c r="J34">
        <f>IF(COUNT(J3:J33)&gt;0,AVERAGE(J3:J33),"")</f>
        <v>23.26126650336055</v>
      </c>
      <c r="K34">
        <f>IF(COUNT(K3:K33)&gt;0,AVERAGE(K3:K33),"")</f>
        <v>15.030337135078215</v>
      </c>
      <c r="L34">
        <f>IF(COUNT(L3:L33)&gt;0,AVERAGE(L3:L33),"")</f>
        <v>-8.230929368282341</v>
      </c>
      <c r="O34" t="s">
        <v>5</v>
      </c>
      <c r="Q34">
        <f>IF(COUNT(Q3:Q33)&gt;0,AVERAGE(Q3:Q33),"")</f>
        <v>28.172990083851328</v>
      </c>
      <c r="R34">
        <f>IF(COUNT(R3:R33)&gt;0,AVERAGE(R3:R33),"")</f>
        <v>15.971234995763503</v>
      </c>
      <c r="S34">
        <f>IF(COUNT(S3:S33)&gt;0,AVERAGE(S3:S33),"")</f>
        <v>-12.20175508808782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100*3944/19692</f>
        <v>20.02843794434288</v>
      </c>
      <c r="E39">
        <f>IF(COUNT(C39:D39)=2,D39-C39,"")</f>
        <v>1.655786795200676</v>
      </c>
      <c r="H39">
        <v>1</v>
      </c>
      <c r="I39">
        <v>0</v>
      </c>
      <c r="J39">
        <f>100*402854/1288411</f>
        <v>31.267507029977235</v>
      </c>
      <c r="K39">
        <f>100*96569/1016227</f>
        <v>9.502699692096353</v>
      </c>
      <c r="L39">
        <f>IF(COUNT(J39:K39)=2,K39-J39,"")</f>
        <v>-21.76480733788088</v>
      </c>
      <c r="O39">
        <v>1</v>
      </c>
      <c r="P39">
        <v>0</v>
      </c>
      <c r="Q39">
        <f>100*88041/674269</f>
        <v>13.057251631025599</v>
      </c>
      <c r="R39">
        <f>100*71356/612981</f>
        <v>11.640817578358872</v>
      </c>
      <c r="S39">
        <f>IF(COUNT(Q39:R39)=2,R39-Q39,"")</f>
        <v>-1.4164340526667267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100*5939/23866</f>
        <v>24.88477331769044</v>
      </c>
      <c r="E40">
        <f>IF(COUNT(C40:D40)=2,D40-C40,"")</f>
        <v>-16.604670649978218</v>
      </c>
      <c r="H40">
        <v>2</v>
      </c>
      <c r="I40">
        <v>1</v>
      </c>
      <c r="J40">
        <f>100*573780/1506160</f>
        <v>38.095554257183835</v>
      </c>
      <c r="K40">
        <f>100*467587/1706788</f>
        <v>27.39572811620424</v>
      </c>
      <c r="L40">
        <f>IF(COUNT(J40:K40)=2,K40-J40,"")</f>
        <v>-10.699826140979596</v>
      </c>
      <c r="O40">
        <v>2</v>
      </c>
      <c r="P40">
        <v>1</v>
      </c>
      <c r="Q40">
        <f>100*291073/995685</f>
        <v>29.233442303539775</v>
      </c>
      <c r="R40">
        <f>100*330699/1176834</f>
        <v>28.100734683056405</v>
      </c>
      <c r="S40">
        <f>IF(COUNT(Q40:R40)=2,R40-Q40,"")</f>
        <v>-1.1327076204833695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100*51000/519676</f>
        <v>9.813807064401665</v>
      </c>
      <c r="E41">
        <f>IF(COUNT(C41:D41)=2,D41-C41,"")</f>
        <v>-30.71206401519251</v>
      </c>
      <c r="H41">
        <v>3</v>
      </c>
      <c r="I41">
        <v>2</v>
      </c>
      <c r="J41">
        <f>100*646730/1702231</f>
        <v>37.99308084507919</v>
      </c>
      <c r="K41">
        <f>100*590042/1921957</f>
        <v>30.70006248839074</v>
      </c>
      <c r="L41">
        <f>IF(COUNT(J41:K41)=2,K41-J41,"")</f>
        <v>-7.293018356688453</v>
      </c>
      <c r="O41">
        <v>3</v>
      </c>
      <c r="P41">
        <v>2</v>
      </c>
      <c r="Q41">
        <f>100*505429/1286969</f>
        <v>39.272818537198646</v>
      </c>
      <c r="R41">
        <f>100*320368/1357644</f>
        <v>23.597349526090788</v>
      </c>
      <c r="S41">
        <f>IF(COUNT(Q41:R41)=2,R41-Q41,"")</f>
        <v>-15.675469011107857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100*6146/702368</f>
        <v>0.8750398651419199</v>
      </c>
      <c r="E42">
        <f>IF(COUNT(C42:D42)=2,D42-C42,"")</f>
        <v>-5.052480218837858</v>
      </c>
      <c r="H42">
        <v>4</v>
      </c>
      <c r="I42">
        <v>3</v>
      </c>
      <c r="J42">
        <f>100*44764/778520</f>
        <v>5.749884396033499</v>
      </c>
      <c r="K42">
        <f>100*33641/682624</f>
        <v>4.928188871179449</v>
      </c>
      <c r="L42">
        <f>IF(COUNT(J42:K42)=2,K42-J42,"")</f>
        <v>-0.8216955248540501</v>
      </c>
      <c r="O42">
        <v>4</v>
      </c>
      <c r="P42">
        <v>3</v>
      </c>
      <c r="Q42">
        <f>100*589890/1404698</f>
        <v>41.9940798662773</v>
      </c>
      <c r="R42">
        <f>100*541652/1612875</f>
        <v>33.583011702704795</v>
      </c>
      <c r="S42">
        <f>IF(COUNT(Q42:R42)=2,R42-Q42,"")</f>
        <v>-8.411068163572509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100*622003/1951067</f>
        <v>31.880145581879045</v>
      </c>
      <c r="E43">
        <f>IF(COUNT(C43:D43)=2,D43-C43,"")</f>
        <v>-15.335524530498542</v>
      </c>
      <c r="H43">
        <v>5</v>
      </c>
      <c r="I43">
        <v>4</v>
      </c>
      <c r="J43">
        <f>100*942269/2236809</f>
        <v>42.12559051756319</v>
      </c>
      <c r="K43">
        <f>100*318183/1382208</f>
        <v>23.019907278788722</v>
      </c>
      <c r="L43">
        <f>IF(COUNT(J43:K43)=2,K43-J43,"")</f>
        <v>-19.105683238774468</v>
      </c>
      <c r="O43">
        <v>5</v>
      </c>
      <c r="P43">
        <v>4</v>
      </c>
      <c r="Q43">
        <f>100*141535/798132</f>
        <v>17.73328221396962</v>
      </c>
      <c r="R43">
        <f>100*35563/640585</f>
        <v>5.551644200223233</v>
      </c>
      <c r="S43">
        <f>IF(COUNT(Q43:R43)=2,R43-Q43,"")</f>
        <v>-12.181638013746387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100*151883/1006276</f>
        <v>15.093572737499453</v>
      </c>
      <c r="E44">
        <f>IF(COUNT(C44:D44)=2,D44-C44,"")</f>
        <v>-3.0033014995955867</v>
      </c>
      <c r="H44">
        <v>6</v>
      </c>
      <c r="I44">
        <v>5</v>
      </c>
      <c r="J44">
        <f>100*712109/1711457</f>
        <v>41.60834890973013</v>
      </c>
      <c r="K44">
        <f>100*275778/1229449</f>
        <v>22.43102397903451</v>
      </c>
      <c r="L44">
        <f>IF(COUNT(J44:K44)=2,K44-J44,"")</f>
        <v>-19.177324930695622</v>
      </c>
      <c r="O44">
        <v>6</v>
      </c>
      <c r="P44">
        <v>5</v>
      </c>
      <c r="Q44">
        <f>100*603941/1377183</f>
        <v>43.8533586313511</v>
      </c>
      <c r="R44">
        <f>100*149411/860369</f>
        <v>17.365920901380687</v>
      </c>
      <c r="S44">
        <f>IF(COUNT(Q44:R44)=2,R44-Q44,"")</f>
        <v>-26.487437729970413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100*57827/711318</f>
        <v>8.1295566821028</v>
      </c>
      <c r="E45">
        <f>IF(COUNT(C45:D45)=2,D45-C45,"")</f>
        <v>5.503875103981814</v>
      </c>
      <c r="H45">
        <v>7</v>
      </c>
      <c r="I45">
        <v>6</v>
      </c>
      <c r="J45">
        <f>100*1624/545527</f>
        <v>0.2976937896749382</v>
      </c>
      <c r="K45">
        <f>100*16380/814157</f>
        <v>2.0118969682751606</v>
      </c>
      <c r="L45">
        <f>IF(COUNT(J45:K45)=2,K45-J45,"")</f>
        <v>1.7142031786002225</v>
      </c>
      <c r="O45">
        <v>7</v>
      </c>
      <c r="P45">
        <v>6</v>
      </c>
      <c r="Q45">
        <f>100*672106/1493090</f>
        <v>45.01443315540256</v>
      </c>
      <c r="R45">
        <f>100*457171/1541982</f>
        <v>29.648270861786973</v>
      </c>
      <c r="S45">
        <f>IF(COUNT(Q45:R45)=2,R45-Q45,"")</f>
        <v>-15.366162293615584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100*5922/479985</f>
        <v>1.2337885558923716</v>
      </c>
      <c r="E46">
        <f>IF(COUNT(C46:D46)=2,D46-C46,"")</f>
        <v>-2.842595675863702</v>
      </c>
      <c r="H46">
        <v>8</v>
      </c>
      <c r="I46">
        <v>7</v>
      </c>
      <c r="J46">
        <f>100*2064/453926</f>
        <v>0.45469966470305734</v>
      </c>
      <c r="K46">
        <f>100*964/409686</f>
        <v>0.23530215823826053</v>
      </c>
      <c r="L46">
        <f>IF(COUNT(J46:K46)=2,K46-J46,"")</f>
        <v>-0.2193975064647968</v>
      </c>
      <c r="O46">
        <v>8</v>
      </c>
      <c r="P46">
        <v>7</v>
      </c>
      <c r="Q46">
        <f>100*703275/1703373</f>
        <v>41.28719898695118</v>
      </c>
      <c r="R46">
        <f>100*571390/1862431</f>
        <v>30.67979431184296</v>
      </c>
      <c r="S46">
        <f>IF(COUNT(Q46:R46)=2,R46-Q46,"")</f>
        <v>-10.60740467510822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100*545960/1706459</f>
        <v>31.993736737888224</v>
      </c>
      <c r="E47">
        <f>IF(COUNT(C47:D47)=2,D47-C47,"")</f>
        <v>-13.019809826245744</v>
      </c>
      <c r="H47">
        <v>9</v>
      </c>
      <c r="I47">
        <v>8</v>
      </c>
      <c r="J47">
        <f>100*779177/1827411</f>
        <v>42.63830085295535</v>
      </c>
      <c r="K47">
        <f>100*797792/2178335</f>
        <v>36.62393525330126</v>
      </c>
      <c r="L47">
        <f>IF(COUNT(J47:K47)=2,K47-J47,"")</f>
        <v>-6.0143655996540915</v>
      </c>
      <c r="O47">
        <v>9</v>
      </c>
      <c r="P47">
        <v>8</v>
      </c>
      <c r="Q47">
        <f>100*785425/1662476</f>
        <v>47.244291045404566</v>
      </c>
      <c r="R47">
        <f>100*473932/1640111</f>
        <v>28.89633689427118</v>
      </c>
      <c r="S47">
        <f>IF(COUNT(Q47:R47)=2,R47-Q47,"")</f>
        <v>-18.347954151133386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100*183317/1151852</f>
        <v>15.914978660452906</v>
      </c>
      <c r="E48">
        <f>IF(COUNT(C48:D48)=2,D48-C48,"")</f>
        <v>-13.483184388686553</v>
      </c>
      <c r="H48">
        <v>10</v>
      </c>
      <c r="I48">
        <v>9</v>
      </c>
      <c r="J48">
        <f>100*872985/1990559</f>
        <v>43.85627353924199</v>
      </c>
      <c r="K48">
        <f>100*19943/683671</f>
        <v>2.9170463570928122</v>
      </c>
      <c r="L48">
        <f>IF(COUNT(J48:K48)=2,K48-J48,"")</f>
        <v>-40.939227182149175</v>
      </c>
      <c r="O48">
        <v>10</v>
      </c>
      <c r="P48">
        <v>9</v>
      </c>
      <c r="Q48">
        <f>100*317010/1082800</f>
        <v>29.276874769117104</v>
      </c>
      <c r="R48">
        <f>100*8113/496083</f>
        <v>1.635411816167859</v>
      </c>
      <c r="S48">
        <f>IF(COUNT(Q48:R48)=2,R48-Q48,"")</f>
        <v>-27.641462952949244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100*300519/1248331</f>
        <v>24.073663155044617</v>
      </c>
      <c r="E49">
        <f>IF(COUNT(C49:D49)=2,D49-C49,"")</f>
        <v>-17.82527291402057</v>
      </c>
      <c r="H49">
        <v>11</v>
      </c>
      <c r="I49">
        <v>10</v>
      </c>
      <c r="J49">
        <f>100*582667/1702410</f>
        <v>34.22600901075534</v>
      </c>
      <c r="K49">
        <f>100*29723/786885</f>
        <v>3.7772990970726346</v>
      </c>
      <c r="L49">
        <f>IF(COUNT(J49:K49)=2,K49-J49,"")</f>
        <v>-30.448709913682706</v>
      </c>
      <c r="O49">
        <v>11</v>
      </c>
      <c r="P49">
        <v>10</v>
      </c>
      <c r="Q49">
        <f>100*610513/1430887</f>
        <v>42.666751462554345</v>
      </c>
      <c r="R49">
        <f>100*375134/1296391</f>
        <v>28.936794531896627</v>
      </c>
      <c r="S49">
        <f>IF(COUNT(Q49:R49)=2,R49-Q49,"")</f>
        <v>-13.729956930657718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100*40479/730321</f>
        <v>5.542631253928067</v>
      </c>
      <c r="E50">
        <f>IF(COUNT(C50:D50)=2,D50-C50,"")</f>
        <v>-33.56137334207195</v>
      </c>
      <c r="H50">
        <v>12</v>
      </c>
      <c r="I50">
        <v>11</v>
      </c>
      <c r="J50">
        <f>100*2109/16409</f>
        <v>12.85270278505698</v>
      </c>
      <c r="K50">
        <f>100*3190/22477</f>
        <v>14.192285447346176</v>
      </c>
      <c r="L50">
        <f>IF(COUNT(J50:K50)=2,K50-J50,"")</f>
        <v>1.339582662289196</v>
      </c>
      <c r="O50">
        <v>12</v>
      </c>
      <c r="P50">
        <v>11</v>
      </c>
      <c r="Q50">
        <f>100*565746/1449544</f>
        <v>39.029239540158834</v>
      </c>
      <c r="R50">
        <f>100*653314/1801308</f>
        <v>36.26886684564772</v>
      </c>
      <c r="S50">
        <f>IF(COUNT(Q50:R50)=2,R50-Q50,"")</f>
        <v>-2.760372694511112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100*49895/1003788</f>
        <v>4.970671097881226</v>
      </c>
      <c r="E51">
        <f>IF(COUNT(C51:D51)=2,D51-C51,"")</f>
        <v>2.764722387337336</v>
      </c>
      <c r="H51">
        <v>13</v>
      </c>
      <c r="I51">
        <v>12</v>
      </c>
      <c r="J51">
        <f>100*78998/737547</f>
        <v>10.710910626712602</v>
      </c>
      <c r="K51">
        <f>100*341976/1523256</f>
        <v>22.450330082402434</v>
      </c>
      <c r="L51">
        <f>IF(COUNT(J51:K51)=2,K51-J51,"")</f>
        <v>11.739419455689832</v>
      </c>
      <c r="O51">
        <v>13</v>
      </c>
      <c r="P51">
        <v>12</v>
      </c>
      <c r="Q51">
        <f>100*653960/1481691</f>
        <v>44.136058057989146</v>
      </c>
      <c r="R51">
        <f>100*45479/726771</f>
        <v>6.2576795166565535</v>
      </c>
      <c r="S51">
        <f>IF(COUNT(Q51:R51)=2,R51-Q51,"")</f>
        <v>-37.878378541332594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100*5980/501736</f>
        <v>1.1918618556372276</v>
      </c>
      <c r="E52">
        <f>IF(COUNT(C52:D52)=2,D52-C52,"")</f>
        <v>-20.510017025098197</v>
      </c>
      <c r="H52">
        <v>14</v>
      </c>
      <c r="I52">
        <v>13</v>
      </c>
      <c r="J52">
        <f>100*450919/1374273</f>
        <v>32.811457403296146</v>
      </c>
      <c r="K52">
        <f>100*365048/1400031</f>
        <v>26.074279783804787</v>
      </c>
      <c r="L52">
        <f>IF(COUNT(J52:K52)=2,K52-J52,"")</f>
        <v>-6.737177619491359</v>
      </c>
      <c r="O52">
        <v>14</v>
      </c>
      <c r="P52">
        <v>13</v>
      </c>
      <c r="Q52">
        <f>100*1624/402681</f>
        <v>0.40329690251092054</v>
      </c>
      <c r="R52">
        <f>100*3195/439897</f>
        <v>0.7263063853583908</v>
      </c>
      <c r="S52">
        <f>IF(COUNT(Q52:R52)=2,R52-Q52,"")</f>
        <v>0.3230094828474702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100*298643/1230558</f>
        <v>24.268908901490217</v>
      </c>
      <c r="E53">
        <f>IF(COUNT(C53:D53)=2,D53-C53,"")</f>
        <v>-23.84074532027827</v>
      </c>
      <c r="H53">
        <v>15</v>
      </c>
      <c r="I53">
        <v>14</v>
      </c>
      <c r="J53">
        <f>100*381484/1238884</f>
        <v>30.792552006483255</v>
      </c>
      <c r="K53">
        <f>100*498853/1690238</f>
        <v>29.51377261663742</v>
      </c>
      <c r="L53">
        <f>IF(COUNT(J53:K53)=2,K53-J53,"")</f>
        <v>-1.278779389845834</v>
      </c>
      <c r="O53">
        <v>15</v>
      </c>
      <c r="P53">
        <v>14</v>
      </c>
      <c r="Q53">
        <f>100*373593/1196320</f>
        <v>31.22851745352414</v>
      </c>
      <c r="R53">
        <f>100*455311/1485724</f>
        <v>30.645732316365624</v>
      </c>
      <c r="S53">
        <f>IF(COUNT(Q53:R53)=2,R53-Q53,"")</f>
        <v>-0.5827851371585169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100*183463/1191764</f>
        <v>15.394239127881024</v>
      </c>
      <c r="E54">
        <f>IF(COUNT(C54:D54)=2,D54-C54,"")</f>
        <v>-29.9473818008658</v>
      </c>
      <c r="H54">
        <v>16</v>
      </c>
      <c r="I54">
        <v>15</v>
      </c>
      <c r="J54">
        <f>100*600755/1390841</f>
        <v>43.19365046040489</v>
      </c>
      <c r="K54">
        <f>100*121904/883974</f>
        <v>13.790450850364378</v>
      </c>
      <c r="L54">
        <f>IF(COUNT(J54:K54)=2,K54-J54,"")</f>
        <v>-29.40319961004051</v>
      </c>
      <c r="O54">
        <v>16</v>
      </c>
      <c r="P54">
        <v>15</v>
      </c>
      <c r="Q54">
        <f>100*595830/1410973</f>
        <v>42.22830628226054</v>
      </c>
      <c r="R54">
        <f>100*188271/809456</f>
        <v>23.258954161807438</v>
      </c>
      <c r="S54">
        <f>IF(COUNT(Q54:R54)=2,R54-Q54,"")</f>
        <v>-18.969352120453102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100*547058/1913689</f>
        <v>28.586567618876423</v>
      </c>
      <c r="E55">
        <f>IF(COUNT(C55:D55)=2,D55-C55,"")</f>
        <v>-6.58307356333988</v>
      </c>
      <c r="H55">
        <v>17</v>
      </c>
      <c r="I55">
        <v>16</v>
      </c>
      <c r="J55">
        <f>100*627913/1725883</f>
        <v>36.38213019074873</v>
      </c>
      <c r="K55">
        <f>100*433749/1675262</f>
        <v>25.89141280587753</v>
      </c>
      <c r="L55">
        <f>IF(COUNT(J55:K55)=2,K55-J55,"")</f>
        <v>-10.490717384871203</v>
      </c>
      <c r="O55">
        <v>17</v>
      </c>
      <c r="P55">
        <v>16</v>
      </c>
      <c r="Q55">
        <f>100*6486/400160</f>
        <v>1.6208516593362654</v>
      </c>
      <c r="R55">
        <f>100*13648/417269</f>
        <v>3.2707917434556606</v>
      </c>
      <c r="S55">
        <f>IF(COUNT(Q55:R55)=2,R55-Q55,"")</f>
        <v>1.6499400841193952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100*48709/596870</f>
        <v>8.160738519275554</v>
      </c>
      <c r="E56">
        <f>IF(COUNT(C56:D56)=2,D56-C56,"")</f>
        <v>-38.86771203598621</v>
      </c>
      <c r="H56">
        <v>18</v>
      </c>
      <c r="I56">
        <v>17</v>
      </c>
      <c r="J56">
        <f>100*355/2215</f>
        <v>16.02708803611738</v>
      </c>
      <c r="K56">
        <f>100*44314/707996</f>
        <v>6.25907491002774</v>
      </c>
      <c r="L56">
        <f>IF(COUNT(J56:K56)=2,K56-J56,"")</f>
        <v>-9.76801312608964</v>
      </c>
      <c r="O56">
        <v>18</v>
      </c>
      <c r="P56">
        <v>17</v>
      </c>
      <c r="Q56">
        <f>100*78465/548560</f>
        <v>14.303813621117106</v>
      </c>
      <c r="R56">
        <f>100*57060/550662</f>
        <v>10.362073286335356</v>
      </c>
      <c r="S56">
        <f>IF(COUNT(Q56:R56)=2,R56-Q56,"")</f>
        <v>-3.94174033478175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100*68578/800721</f>
        <v>8.564531216241363</v>
      </c>
      <c r="E57">
        <f>IF(COUNT(C57:D57)=2,D57-C57,"")</f>
        <v>-23.729823930110832</v>
      </c>
      <c r="H57">
        <v>19</v>
      </c>
      <c r="I57">
        <v>18</v>
      </c>
      <c r="J57">
        <f>100*451032/1332344</f>
        <v>33.85251856877803</v>
      </c>
      <c r="K57">
        <f>100*395666/1464164</f>
        <v>27.02333891558596</v>
      </c>
      <c r="L57">
        <f>IF(COUNT(J57:K57)=2,K57-J57,"")</f>
        <v>-6.829179653192071</v>
      </c>
      <c r="O57">
        <v>19</v>
      </c>
      <c r="P57">
        <v>18</v>
      </c>
      <c r="Q57">
        <f>100*644704/1630522</f>
        <v>39.53973022136469</v>
      </c>
      <c r="R57">
        <f>100*467092/1509920</f>
        <v>30.93488396736251</v>
      </c>
      <c r="S57">
        <f>IF(COUNT(Q57:R57)=2,R57-Q57,"")</f>
        <v>-8.604846254002183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100*330161/1447354</f>
        <v>22.81135092036917</v>
      </c>
      <c r="E58">
        <f>IF(COUNT(C58:D58)=2,D58-C58,"")</f>
        <v>-19.439549920913127</v>
      </c>
      <c r="H58">
        <v>20</v>
      </c>
      <c r="I58">
        <v>19</v>
      </c>
      <c r="J58">
        <f>100*854529/1945718</f>
        <v>43.918440390642424</v>
      </c>
      <c r="K58">
        <f>100*429049/1569565</f>
        <v>27.33553564204095</v>
      </c>
      <c r="L58">
        <f>IF(COUNT(J58:K58)=2,K58-J58,"")</f>
        <v>-16.582904748601475</v>
      </c>
      <c r="O58">
        <v>20</v>
      </c>
      <c r="P58">
        <v>19</v>
      </c>
      <c r="Q58">
        <f>100*668214/1556077</f>
        <v>42.94221944029762</v>
      </c>
      <c r="R58">
        <f>100*384101/1341861</f>
        <v>28.62449985505205</v>
      </c>
      <c r="S58">
        <f>IF(COUNT(Q58:R58)=2,R58-Q58,"")</f>
        <v>-14.31771958524557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100*167949/998083</f>
        <v>16.82715766123659</v>
      </c>
      <c r="E59">
        <f>IF(COUNT(C59:D59)=2,D59-C59,"")</f>
        <v>-25.15907290106957</v>
      </c>
      <c r="H59">
        <v>21</v>
      </c>
      <c r="I59">
        <v>20</v>
      </c>
      <c r="J59">
        <f>100*708159/1885839</f>
        <v>37.5514028504024</v>
      </c>
      <c r="K59">
        <f>100*98378/1082481</f>
        <v>9.088196467189725</v>
      </c>
      <c r="L59">
        <f>IF(COUNT(J59:K59)=2,K59-J59,"")</f>
        <v>-28.463206383212672</v>
      </c>
      <c r="O59">
        <v>21</v>
      </c>
      <c r="P59">
        <v>20</v>
      </c>
      <c r="Q59">
        <f>100*370589/1143839</f>
        <v>32.39870296431578</v>
      </c>
      <c r="R59">
        <f>100*130762/848206</f>
        <v>15.416302171878058</v>
      </c>
      <c r="S59">
        <f>IF(COUNT(Q59:R59)=2,R59-Q59,"")</f>
        <v>-16.982400792437723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100*14693/446175</f>
        <v>3.2931024822098953</v>
      </c>
      <c r="E60">
        <f>IF(COUNT(C60:D60)=2,D60-C60,"")</f>
        <v>-30.930967793036913</v>
      </c>
      <c r="H60">
        <v>22</v>
      </c>
      <c r="I60">
        <v>21</v>
      </c>
      <c r="J60">
        <f>100*858363/1916826</f>
        <v>44.78043390479887</v>
      </c>
      <c r="K60">
        <f>100*648244/2223299</f>
        <v>29.15685204734046</v>
      </c>
      <c r="L60">
        <f>IF(COUNT(J60:K60)=2,K60-J60,"")</f>
        <v>-15.623581857458408</v>
      </c>
      <c r="O60">
        <v>22</v>
      </c>
      <c r="P60">
        <v>21</v>
      </c>
      <c r="Q60">
        <f>100*754527/1680084</f>
        <v>44.91007592477519</v>
      </c>
      <c r="R60">
        <f>100*302009/1149542</f>
        <v>26.272115329409452</v>
      </c>
      <c r="S60">
        <f>IF(COUNT(Q60:R60)=2,R60-Q60,"")</f>
        <v>-18.63796059536574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100*599612/1830799</f>
        <v>32.751383412378964</v>
      </c>
      <c r="E61">
        <f>IF(COUNT(C61:D61)=2,D61-C61,"")</f>
        <v>-2.3011968492557315</v>
      </c>
      <c r="H61">
        <v>23</v>
      </c>
      <c r="I61">
        <v>22</v>
      </c>
      <c r="J61">
        <f>100*941313/1944636</f>
        <v>48.40561421263414</v>
      </c>
      <c r="K61">
        <f>100*198435/1119641</f>
        <v>17.723091598110464</v>
      </c>
      <c r="L61">
        <f>IF(COUNT(J61:K61)=2,K61-J61,"")</f>
        <v>-30.682522614523677</v>
      </c>
      <c r="O61">
        <v>23</v>
      </c>
      <c r="P61">
        <v>22</v>
      </c>
      <c r="Q61">
        <f>100*844/356205</f>
        <v>0.236942210244101</v>
      </c>
      <c r="R61">
        <f>100*927/348244</f>
        <v>0.26619266950758663</v>
      </c>
      <c r="S61">
        <f>IF(COUNT(Q61:R61)=2,R61-Q61,"")</f>
        <v>0.02925045926348563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100*13475/623454</f>
        <v>2.1613463062230736</v>
      </c>
      <c r="E62">
        <f>IF(COUNT(C62:D62)=2,D62-C62,"")</f>
        <v>-26.733297349565184</v>
      </c>
      <c r="H62">
        <v>24</v>
      </c>
      <c r="I62">
        <v>23</v>
      </c>
      <c r="J62">
        <f>100*792417/1775752</f>
        <v>44.62430564628394</v>
      </c>
      <c r="K62">
        <f>100*445462/1460477</f>
        <v>30.501130794938913</v>
      </c>
      <c r="L62">
        <f>IF(COUNT(J62:K62)=2,K62-J62,"")</f>
        <v>-14.12317485134503</v>
      </c>
      <c r="O62">
        <v>24</v>
      </c>
      <c r="P62">
        <v>23</v>
      </c>
      <c r="Q62">
        <f>100*197250/941831</f>
        <v>20.94324778012191</v>
      </c>
      <c r="R62">
        <f>100*96102/673110</f>
        <v>14.277309800775505</v>
      </c>
      <c r="S62">
        <f>IF(COUNT(Q62:R62)=2,R62-Q62,"")</f>
        <v>-6.665937979346406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100*117879/908490</f>
        <v>12.975266651256481</v>
      </c>
      <c r="E63">
        <f>IF(COUNT(C63:D63)=2,D63-C63,"")</f>
        <v>-30.699421530393266</v>
      </c>
      <c r="H63">
        <v>25</v>
      </c>
      <c r="I63">
        <v>24</v>
      </c>
      <c r="J63">
        <f>100*708043/1588574</f>
        <v>44.57098001100358</v>
      </c>
      <c r="K63">
        <f>100*35748/745794</f>
        <v>4.793280718268047</v>
      </c>
      <c r="L63">
        <f>IF(COUNT(J63:K63)=2,K63-J63,"")</f>
        <v>-39.777699292735534</v>
      </c>
      <c r="O63">
        <v>25</v>
      </c>
      <c r="P63">
        <v>24</v>
      </c>
      <c r="Q63">
        <f>100*339441/1160878</f>
        <v>29.240023499454722</v>
      </c>
      <c r="R63">
        <f>100*402926/1343879</f>
        <v>29.98231239568443</v>
      </c>
      <c r="S63">
        <f>IF(COUNT(Q63:R63)=2,R63-Q63,"")</f>
        <v>0.7422888962297094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100*458011/1496127</f>
        <v>30.613109715953257</v>
      </c>
      <c r="E64">
        <f>IF(COUNT(C64:D64)=2,D64-C64,"")</f>
        <v>-13.791743787387034</v>
      </c>
      <c r="H64">
        <v>26</v>
      </c>
      <c r="I64">
        <v>25</v>
      </c>
      <c r="J64">
        <f>100*398836/1246025</f>
        <v>32.008667562849865</v>
      </c>
      <c r="K64">
        <f>100*544049/1670806</f>
        <v>32.56206884581454</v>
      </c>
      <c r="L64">
        <f>IF(COUNT(J64:K64)=2,K64-J64,"")</f>
        <v>0.5534012829646713</v>
      </c>
      <c r="O64">
        <v>26</v>
      </c>
      <c r="P64">
        <v>25</v>
      </c>
      <c r="Q64">
        <f>100*775571/1671807</f>
        <v>46.39118032165196</v>
      </c>
      <c r="R64">
        <f>100*4841/16749</f>
        <v>28.903218102573287</v>
      </c>
      <c r="S64">
        <f>IF(COUNT(Q64:R64)=2,R64-Q64,"")</f>
        <v>-17.48796221907867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100*248065/1471009</f>
        <v>16.863594988201974</v>
      </c>
      <c r="E65">
        <f>IF(COUNT(C65:D65)=2,D65-C65,"")</f>
        <v>-17.502689486542373</v>
      </c>
      <c r="H65">
        <v>27</v>
      </c>
      <c r="I65">
        <v>26</v>
      </c>
      <c r="J65">
        <f>100*537175/1539092</f>
        <v>34.90207213084078</v>
      </c>
      <c r="K65">
        <f>100*252141/1216458</f>
        <v>20.727472711758235</v>
      </c>
      <c r="L65">
        <f>IF(COUNT(J65:K65)=2,K65-J65,"")</f>
        <v>-14.174599419082544</v>
      </c>
      <c r="O65">
        <v>27</v>
      </c>
      <c r="P65">
        <v>26</v>
      </c>
      <c r="Q65">
        <f>100*484579/1297589</f>
        <v>37.34456750172821</v>
      </c>
      <c r="R65">
        <f>100*350067/1370955</f>
        <v>25.5345361445124</v>
      </c>
      <c r="S65">
        <f>IF(COUNT(Q65:R65)=2,R65-Q65,"")</f>
        <v>-11.810031357215806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100*278645/1373427</f>
        <v>20.288300725120447</v>
      </c>
      <c r="E66">
        <f>IF(COUNT(C66:D66)=2,D66-C66,"")</f>
        <v>-10.575792207148318</v>
      </c>
      <c r="H66">
        <v>28</v>
      </c>
      <c r="I66">
        <v>27</v>
      </c>
      <c r="J66">
        <f>100*531985/1356503</f>
        <v>39.21738470169252</v>
      </c>
      <c r="K66">
        <f>100*773118/2246593</f>
        <v>34.412908791222975</v>
      </c>
      <c r="L66">
        <f>IF(COUNT(J66:K66)=2,K66-J66,"")</f>
        <v>-4.804475910469542</v>
      </c>
      <c r="O66">
        <v>28</v>
      </c>
      <c r="P66">
        <v>27</v>
      </c>
      <c r="Q66">
        <f>100*341/342230</f>
        <v>0.09964059258393478</v>
      </c>
      <c r="R66">
        <f>100*4161/351573</f>
        <v>1.183537984998848</v>
      </c>
      <c r="S66">
        <f>IF(COUNT(Q66:R66)=2,R66-Q66,"")</f>
        <v>1.0838973924149133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100*417182/1457302</f>
        <v>28.62701073627841</v>
      </c>
      <c r="E67">
        <f>IF(COUNT(C67:D67)=2,D67-C67,"")</f>
        <v>-12.304919543656322</v>
      </c>
      <c r="H67">
        <v>29</v>
      </c>
      <c r="I67">
        <v>28</v>
      </c>
      <c r="J67">
        <f>100*917947/2006663</f>
        <v>45.74495069675376</v>
      </c>
      <c r="K67">
        <f>100*656692/2026570</f>
        <v>32.40411138031255</v>
      </c>
      <c r="L67">
        <f>IF(COUNT(J67:K67)=2,K67-J67,"")</f>
        <v>-13.340839316441212</v>
      </c>
      <c r="O67">
        <v>29</v>
      </c>
      <c r="P67">
        <v>28</v>
      </c>
      <c r="Q67">
        <f>100*506385/1453010</f>
        <v>34.850758081499784</v>
      </c>
      <c r="R67">
        <f>100*500018/1644821</f>
        <v>30.399538916392725</v>
      </c>
      <c r="S67">
        <f>IF(COUNT(Q67:R67)=2,R67-Q67,"")</f>
        <v>-4.451219165107059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100*12756/503813</f>
        <v>2.53189179318517</v>
      </c>
      <c r="E68">
        <f>IF(COUNT(C68:D68)=2,D68-C68,"")</f>
        <v>-3.494871370268509</v>
      </c>
      <c r="H68">
        <v>30</v>
      </c>
      <c r="I68">
        <v>29</v>
      </c>
      <c r="J68">
        <f>100*537109/1458999</f>
        <v>36.81352763093052</v>
      </c>
      <c r="K68">
        <f>100*429629/1437394</f>
        <v>29.889438803835276</v>
      </c>
      <c r="L68">
        <f>IF(COUNT(J68:K68)=2,K68-J68,"")</f>
        <v>-6.924088827095247</v>
      </c>
      <c r="O68">
        <v>30</v>
      </c>
      <c r="P68">
        <v>29</v>
      </c>
      <c r="Q68">
        <f>100*609326/1423323</f>
        <v>42.81010002648731</v>
      </c>
      <c r="R68">
        <f>100*303630/1302491</f>
        <v>23.31148545364229</v>
      </c>
      <c r="S68">
        <f>IF(COUNT(Q68:R68)=2,R68-Q68,"")</f>
        <v>-19.49861457284502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100*502226/1508356</f>
        <v>33.29625101766427</v>
      </c>
      <c r="E69">
        <f>IF(COUNT(C69:D69)=2,D69-C69,"")</f>
        <v>0.675917554527075</v>
      </c>
      <c r="H69">
        <v>31</v>
      </c>
      <c r="I69">
        <v>30</v>
      </c>
      <c r="J69">
        <f>100*589124/1665281</f>
        <v>35.3768523150147</v>
      </c>
      <c r="K69">
        <f>100*126981/1006478</f>
        <v>12.616371147705166</v>
      </c>
      <c r="L69">
        <f>IF(COUNT(J69:K69)=2,K69-J69,"")</f>
        <v>-22.760481167309536</v>
      </c>
      <c r="O69">
        <v>31</v>
      </c>
      <c r="P69">
        <v>30</v>
      </c>
      <c r="Q69">
        <f>100*1911/646412</f>
        <v>0.2956318880218808</v>
      </c>
      <c r="R69">
        <f>100*28756/610571</f>
        <v>4.7096897821874935</v>
      </c>
      <c r="S69">
        <f>IF(COUNT(Q69:R69)=2,R69-Q69,"")</f>
        <v>4.414057894165612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16.246497300116943</v>
      </c>
      <c r="E70">
        <f>IF(COUNT(E39:E69)&gt;0,AVERAGE(E39:E69),"")</f>
        <v>-15.395233923705156</v>
      </c>
      <c r="H70" t="s">
        <v>5</v>
      </c>
      <c r="J70">
        <f>IF(COUNT(J39:J69)&gt;0,AVERAGE(J39:J69),"")</f>
        <v>32.99518015949494</v>
      </c>
      <c r="K70">
        <f>IF(COUNT(K39:K69)&gt;0,AVERAGE(K39:K69),"")</f>
        <v>19.67575789097606</v>
      </c>
      <c r="L70">
        <f>IF(COUNT(L39:L69)&gt;0,AVERAGE(L39:L69),"")</f>
        <v>-13.319422268518885</v>
      </c>
      <c r="O70" t="s">
        <v>5</v>
      </c>
      <c r="Q70">
        <f>IF(COUNT(Q39:Q69)&gt;0,AVERAGE(Q39:Q69),"")</f>
        <v>30.180215695878577</v>
      </c>
      <c r="R70">
        <f>IF(COUNT(R39:R69)&gt;0,AVERAGE(R39:R69),"")</f>
        <v>19.68522947862528</v>
      </c>
      <c r="S70">
        <f>IF(COUNT(S39:S69)&gt;0,AVERAGE(S39:S69),"")</f>
        <v>-10.494986217253292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100*288877/1527128</f>
        <v>18.916358026308206</v>
      </c>
      <c r="E75">
        <f>IF(COUNT(C75:D75)=2,D75-C75,"")</f>
        <v>-25.165003200324232</v>
      </c>
      <c r="H75">
        <v>1</v>
      </c>
      <c r="I75">
        <v>0</v>
      </c>
      <c r="J75">
        <f>100*1161020/2178231</f>
        <v>53.30105025591868</v>
      </c>
      <c r="K75">
        <f>100*282268/1394210</f>
        <v>20.24573055708968</v>
      </c>
      <c r="L75">
        <f>IF(COUNT(J75:K75)=2,K75-J75,"")</f>
        <v>-33.055319698829</v>
      </c>
      <c r="O75">
        <v>1</v>
      </c>
      <c r="P75">
        <v>0</v>
      </c>
      <c r="Q75">
        <f>100*17855/657603</f>
        <v>2.7151640123296272</v>
      </c>
      <c r="R75">
        <f>100*163824/927009</f>
        <v>17.672320333459545</v>
      </c>
      <c r="S75">
        <f>IF(COUNT(Q75:R75)=2,R75-Q75,"")</f>
        <v>14.957156321129919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100*491249/2077489</f>
        <v>23.64628645446498</v>
      </c>
      <c r="E76">
        <f>IF(COUNT(C76:D76)=2,D76-C76,"")</f>
        <v>-17.214884325580943</v>
      </c>
      <c r="H76">
        <v>2</v>
      </c>
      <c r="I76">
        <v>1</v>
      </c>
      <c r="J76">
        <f>100*920313/2115455</f>
        <v>43.50425794923551</v>
      </c>
      <c r="K76">
        <f>100*517842/1926062</f>
        <v>26.886050397131555</v>
      </c>
      <c r="L76">
        <f>IF(COUNT(J76:K76)=2,K76-J76,"")</f>
        <v>-16.618207552103954</v>
      </c>
      <c r="O76">
        <v>2</v>
      </c>
      <c r="P76">
        <v>1</v>
      </c>
      <c r="Q76">
        <f>100*506051/1366563</f>
        <v>37.03093088280599</v>
      </c>
      <c r="R76">
        <f>100*365013/1271259</f>
        <v>28.712717078109183</v>
      </c>
      <c r="S76">
        <f>IF(COUNT(Q76:R76)=2,R76-Q76,"")</f>
        <v>-8.318213804696807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100*502394/1699343</f>
        <v>29.564013857120074</v>
      </c>
      <c r="E77">
        <f>IF(COUNT(C77:D77)=2,D77-C77,"")</f>
        <v>25.614832776452694</v>
      </c>
      <c r="H77">
        <v>3</v>
      </c>
      <c r="I77">
        <v>2</v>
      </c>
      <c r="J77">
        <f>100*702390/1654096</f>
        <v>42.46367804528879</v>
      </c>
      <c r="K77">
        <f>100*99304/1068501</f>
        <v>9.29376762398912</v>
      </c>
      <c r="L77">
        <f>IF(COUNT(J77:K77)=2,K77-J77,"")</f>
        <v>-33.16991042129967</v>
      </c>
      <c r="O77">
        <v>3</v>
      </c>
      <c r="P77">
        <v>2</v>
      </c>
      <c r="Q77">
        <f>100*580189/1478595</f>
        <v>39.239210196165956</v>
      </c>
      <c r="R77">
        <f>100*423153/1500174</f>
        <v>28.206927996352423</v>
      </c>
      <c r="S77">
        <f>IF(COUNT(Q77:R77)=2,R77-Q77,"")</f>
        <v>-11.032282199813533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100*511642/1772071</f>
        <v>28.87254517454436</v>
      </c>
      <c r="E78">
        <f>IF(COUNT(C78:D78)=2,D78-C78,"")</f>
        <v>-23.90513317412272</v>
      </c>
      <c r="H78">
        <v>4</v>
      </c>
      <c r="I78">
        <v>3</v>
      </c>
      <c r="J78">
        <f>100*827459/1741510</f>
        <v>47.51388163145776</v>
      </c>
      <c r="K78">
        <f>100*23735/936180</f>
        <v>2.5353030400136727</v>
      </c>
      <c r="L78">
        <f>IF(COUNT(J78:K78)=2,K78-J78,"")</f>
        <v>-44.978578591444084</v>
      </c>
      <c r="O78">
        <v>4</v>
      </c>
      <c r="P78">
        <v>3</v>
      </c>
      <c r="Q78">
        <f>100*617738/1364388</f>
        <v>45.27583062882406</v>
      </c>
      <c r="R78">
        <f>100*424735/1543289</f>
        <v>27.52141692191158</v>
      </c>
      <c r="S78">
        <f>IF(COUNT(Q78:R78)=2,R78-Q78,"")</f>
        <v>-17.75441370691248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100*234562/1048989</f>
        <v>22.360768320735488</v>
      </c>
      <c r="E79">
        <f>IF(COUNT(C79:D79)=2,D79-C79,"")</f>
        <v>-26.571475225510746</v>
      </c>
      <c r="H79">
        <v>5</v>
      </c>
      <c r="I79">
        <v>4</v>
      </c>
      <c r="J79">
        <f>100*1035328/2211231</f>
        <v>46.82134069213031</v>
      </c>
      <c r="K79">
        <f>100*662185/2091019</f>
        <v>31.668052753227016</v>
      </c>
      <c r="L79">
        <f>IF(COUNT(J79:K79)=2,K79-J79,"")</f>
        <v>-15.153287938903297</v>
      </c>
      <c r="O79">
        <v>5</v>
      </c>
      <c r="P79">
        <v>4</v>
      </c>
      <c r="Q79">
        <f>100*829508/1701576</f>
        <v>48.749394678815406</v>
      </c>
      <c r="R79">
        <f>100*80653/765610</f>
        <v>10.53447577748462</v>
      </c>
      <c r="S79">
        <f>IF(COUNT(Q79:R79)=2,R79-Q79,"")</f>
        <v>-38.21491890133079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100*183231/1237073</f>
        <v>14.811656224006182</v>
      </c>
      <c r="E80">
        <f>IF(COUNT(C80:D80)=2,D80-C80,"")</f>
        <v>-28.007042665238547</v>
      </c>
      <c r="H80">
        <v>6</v>
      </c>
      <c r="I80">
        <v>5</v>
      </c>
      <c r="J80">
        <f>100*627723/1597246</f>
        <v>39.30033319851795</v>
      </c>
      <c r="K80">
        <f>100*518378/1953445</f>
        <v>26.536605842498766</v>
      </c>
      <c r="L80">
        <f>IF(COUNT(J80:K80)=2,K80-J80,"")</f>
        <v>-12.763727356019182</v>
      </c>
      <c r="O80">
        <v>6</v>
      </c>
      <c r="P80">
        <v>5</v>
      </c>
      <c r="Q80">
        <f>100*561642/1450968</f>
        <v>38.70809004747176</v>
      </c>
      <c r="R80">
        <f>100*274636/1300501</f>
        <v>21.11770771418092</v>
      </c>
      <c r="S80">
        <f>IF(COUNT(Q80:R80)=2,R80-Q80,"")</f>
        <v>-17.590382333290837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100*51406/1009088</f>
        <v>5.0943029745671335</v>
      </c>
      <c r="E81">
        <f>IF(COUNT(C81:D81)=2,D81-C81,"")</f>
        <v>3.7873944070343706</v>
      </c>
      <c r="H81">
        <v>7</v>
      </c>
      <c r="I81">
        <v>6</v>
      </c>
      <c r="J81">
        <f>100*3904/710153</f>
        <v>0.5497406896823642</v>
      </c>
      <c r="K81">
        <f>100*8453/539549</f>
        <v>1.5666788373252476</v>
      </c>
      <c r="L81">
        <f>IF(COUNT(J81:K81)=2,K81-J81,"")</f>
        <v>1.0169381476428834</v>
      </c>
      <c r="O81">
        <v>7</v>
      </c>
      <c r="P81">
        <v>6</v>
      </c>
      <c r="Q81">
        <f>100*769806/1827455</f>
        <v>42.124484597431945</v>
      </c>
      <c r="R81">
        <f>100*404519/1250939</f>
        <v>32.337228274120484</v>
      </c>
      <c r="S81">
        <f>IF(COUNT(Q81:R81)=2,R81-Q81,"")</f>
        <v>-9.78725632331146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100*11795/498083</f>
        <v>2.3680792157130437</v>
      </c>
      <c r="E82">
        <f>IF(COUNT(C82:D82)=2,D82-C82,"")</f>
        <v>1.01906071652056</v>
      </c>
      <c r="H82">
        <v>8</v>
      </c>
      <c r="I82">
        <v>7</v>
      </c>
      <c r="J82">
        <f>100*7411/619510</f>
        <v>1.1962680182725056</v>
      </c>
      <c r="K82">
        <f>100*431/501878</f>
        <v>0.08587744431913732</v>
      </c>
      <c r="L82">
        <f>IF(COUNT(J82:K82)=2,K82-J82,"")</f>
        <v>-1.1103905739533684</v>
      </c>
      <c r="O82">
        <v>8</v>
      </c>
      <c r="P82">
        <v>7</v>
      </c>
      <c r="Q82">
        <f>100*842526/1806467</f>
        <v>46.63943487481365</v>
      </c>
      <c r="R82">
        <f>100*443976/1508528</f>
        <v>29.431074530933465</v>
      </c>
      <c r="S82">
        <f>IF(COUNT(Q82:R82)=2,R82-Q82,"")</f>
        <v>-17.208360343880187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100*603675/1932195</f>
        <v>31.24296460760948</v>
      </c>
      <c r="E83">
        <f>IF(COUNT(C83:D83)=2,D83-C83,"")</f>
        <v>-7.730502315992823</v>
      </c>
      <c r="H83">
        <v>9</v>
      </c>
      <c r="I83">
        <v>8</v>
      </c>
      <c r="J83">
        <f>100*986121/2196978</f>
        <v>44.88533795058485</v>
      </c>
      <c r="K83">
        <f>100*690505/2367384</f>
        <v>29.16742699959111</v>
      </c>
      <c r="L83">
        <f>IF(COUNT(J83:K83)=2,K83-J83,"")</f>
        <v>-15.717910950993737</v>
      </c>
      <c r="O83">
        <v>9</v>
      </c>
      <c r="P83">
        <v>8</v>
      </c>
      <c r="Q83">
        <f>100*418704/1300185</f>
        <v>32.20341720601299</v>
      </c>
      <c r="R83">
        <f>100*389803/1370513</f>
        <v>28.442123496821992</v>
      </c>
      <c r="S83">
        <f>IF(COUNT(Q83:R83)=2,R83-Q83,"")</f>
        <v>-3.7612937091910013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100*319851/1331250</f>
        <v>24.026366197183098</v>
      </c>
      <c r="E84">
        <f>IF(COUNT(C84:D84)=2,D84-C84,"")</f>
        <v>8.013881966062474</v>
      </c>
      <c r="H84">
        <v>10</v>
      </c>
      <c r="I84">
        <v>9</v>
      </c>
      <c r="J84">
        <f>100*1094395/2180634</f>
        <v>50.187009832920154</v>
      </c>
      <c r="K84">
        <f>100*450407/1788493</f>
        <v>25.183604297025486</v>
      </c>
      <c r="L84">
        <f>IF(COUNT(J84:K84)=2,K84-J84,"")</f>
        <v>-25.003405535894668</v>
      </c>
      <c r="O84">
        <v>10</v>
      </c>
      <c r="P84">
        <v>9</v>
      </c>
      <c r="Q84">
        <f>100*10580/624813</f>
        <v>1.6933066373458938</v>
      </c>
      <c r="R84">
        <f>100*58566/946886</f>
        <v>6.185116265315994</v>
      </c>
      <c r="S84">
        <f>IF(COUNT(Q84:R84)=2,R84-Q84,"")</f>
        <v>4.4918096279701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100*236812/1584144</f>
        <v>14.948893534931168</v>
      </c>
      <c r="E85">
        <f>IF(COUNT(C85:D85)=2,D85-C85,"")</f>
        <v>-33.6514770173842</v>
      </c>
      <c r="H85">
        <v>11</v>
      </c>
      <c r="I85">
        <v>10</v>
      </c>
      <c r="J85">
        <f>100*1248271/2251399</f>
        <v>55.444237116566185</v>
      </c>
      <c r="K85">
        <f>100*113482/1147029</f>
        <v>9.893559796657277</v>
      </c>
      <c r="L85">
        <f>IF(COUNT(J85:K85)=2,K85-J85,"")</f>
        <v>-45.55067731990891</v>
      </c>
      <c r="O85">
        <v>11</v>
      </c>
      <c r="P85">
        <v>10</v>
      </c>
      <c r="Q85">
        <f>100*858874/1796310</f>
        <v>47.8132393629162</v>
      </c>
      <c r="R85">
        <f>100*633676/2111300</f>
        <v>30.013546156396533</v>
      </c>
      <c r="S85">
        <f>IF(COUNT(Q85:R85)=2,R85-Q85,"")</f>
        <v>-17.799693206519667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100*258544/1327739</f>
        <v>19.472501749214267</v>
      </c>
      <c r="E86">
        <f>IF(COUNT(C86:D86)=2,D86-C86,"")</f>
        <v>-29.1676674933248</v>
      </c>
      <c r="H86">
        <v>12</v>
      </c>
      <c r="I86">
        <v>11</v>
      </c>
      <c r="J86">
        <f>100*847034/1777114</f>
        <v>47.66345884394586</v>
      </c>
      <c r="K86">
        <f>100*428791/1599505</f>
        <v>26.807731141822</v>
      </c>
      <c r="L86">
        <f>IF(COUNT(J86:K86)=2,K86-J86,"")</f>
        <v>-20.85572770212386</v>
      </c>
      <c r="O86">
        <v>12</v>
      </c>
      <c r="P86">
        <v>11</v>
      </c>
      <c r="Q86">
        <f>100*739588/1710894</f>
        <v>43.22816024838476</v>
      </c>
      <c r="R86">
        <f>100*447194/1623739</f>
        <v>27.541002587238467</v>
      </c>
      <c r="S86">
        <f>IF(COUNT(Q86:R86)=2,R86-Q86,"")</f>
        <v>-15.687157661146294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100*11259/771768</f>
        <v>1.4588581024349285</v>
      </c>
      <c r="E87">
        <f>IF(COUNT(C87:D87)=2,D87-C87,"")</f>
        <v>0.5781408283110664</v>
      </c>
      <c r="H87">
        <v>13</v>
      </c>
      <c r="I87">
        <v>12</v>
      </c>
      <c r="J87">
        <f>100*767025/1720041</f>
        <v>44.593413761648705</v>
      </c>
      <c r="K87">
        <f>100*14404/787275</f>
        <v>1.8296021085389476</v>
      </c>
      <c r="L87">
        <f>IF(COUNT(J87:K87)=2,K87-J87,"")</f>
        <v>-42.763811653109755</v>
      </c>
      <c r="O87">
        <v>13</v>
      </c>
      <c r="P87">
        <v>12</v>
      </c>
      <c r="Q87">
        <f>100*371461/1317955</f>
        <v>28.18464970351795</v>
      </c>
      <c r="R87">
        <f>100*115443/768849</f>
        <v>15.015041965327391</v>
      </c>
      <c r="S87">
        <f>IF(COUNT(Q87:R87)=2,R87-Q87,"")</f>
        <v>-13.16960773819056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100*221741/1200559</f>
        <v>18.469812812198317</v>
      </c>
      <c r="E88">
        <f>IF(COUNT(C88:D88)=2,D88-C88,"")</f>
        <v>6.507904461356626</v>
      </c>
      <c r="H88">
        <v>14</v>
      </c>
      <c r="I88">
        <v>13</v>
      </c>
      <c r="J88">
        <f>100*438708/1328922</f>
        <v>33.01232126490494</v>
      </c>
      <c r="K88">
        <f>100*325288/1413802</f>
        <v>23.00803082751333</v>
      </c>
      <c r="L88">
        <f>IF(COUNT(J88:K88)=2,K88-J88,"")</f>
        <v>-10.00429043739161</v>
      </c>
      <c r="O88">
        <v>14</v>
      </c>
      <c r="P88">
        <v>13</v>
      </c>
      <c r="Q88">
        <f>100*183244/894097</f>
        <v>20.494868006491465</v>
      </c>
      <c r="R88">
        <f>100*24512/627335</f>
        <v>3.9073222440960573</v>
      </c>
      <c r="S88">
        <f>IF(COUNT(Q88:R88)=2,R88-Q88,"")</f>
        <v>-16.587545762395408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100*342368/1387207</f>
        <v>24.680382956545056</v>
      </c>
      <c r="E89">
        <f>IF(COUNT(C89:D89)=2,D89-C89,"")</f>
        <v>-1.620479977687875</v>
      </c>
      <c r="H89">
        <v>15</v>
      </c>
      <c r="I89">
        <v>14</v>
      </c>
      <c r="J89">
        <f>100*378843/1975907</f>
        <v>19.173118977765654</v>
      </c>
      <c r="K89">
        <f>100*353877/1671450</f>
        <v>21.171856771067038</v>
      </c>
      <c r="L89">
        <f>IF(COUNT(J89:K89)=2,K89-J89,"")</f>
        <v>1.998737793301384</v>
      </c>
      <c r="O89">
        <v>15</v>
      </c>
      <c r="P89">
        <v>14</v>
      </c>
      <c r="Q89">
        <f>100*672160/1590176</f>
        <v>42.269534944559595</v>
      </c>
      <c r="R89">
        <f>100*577299/1873829</f>
        <v>30.8085209482829</v>
      </c>
      <c r="S89">
        <f>IF(COUNT(Q89:R89)=2,R89-Q89,"")</f>
        <v>-11.461013996276694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100*263250/1476610</f>
        <v>17.827997914141175</v>
      </c>
      <c r="E90">
        <f>IF(COUNT(C90:D90)=2,D90-C90,"")</f>
        <v>-33.16020296007888</v>
      </c>
      <c r="H90">
        <v>16</v>
      </c>
      <c r="I90">
        <v>15</v>
      </c>
      <c r="J90">
        <f>100*769550/1774401</f>
        <v>43.36956527864896</v>
      </c>
      <c r="K90">
        <f>100*94274/1228647</f>
        <v>7.672993137980233</v>
      </c>
      <c r="L90">
        <f>IF(COUNT(J90:K90)=2,K90-J90,"")</f>
        <v>-35.69657214066873</v>
      </c>
      <c r="O90">
        <v>16</v>
      </c>
      <c r="P90">
        <v>15</v>
      </c>
      <c r="Q90">
        <f>100*705277/1721980</f>
        <v>40.95732819196506</v>
      </c>
      <c r="R90">
        <f>100*436126/1608864</f>
        <v>27.107698351134715</v>
      </c>
      <c r="S90">
        <f>IF(COUNT(Q90:R90)=2,R90-Q90,"")</f>
        <v>-13.849629840830346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100*958364/2625595</f>
        <v>36.50083124015699</v>
      </c>
      <c r="E91">
        <f>IF(COUNT(C91:D91)=2,D91-C91,"")</f>
        <v>-5.420576725710504</v>
      </c>
      <c r="H91">
        <v>17</v>
      </c>
      <c r="I91">
        <v>16</v>
      </c>
      <c r="J91">
        <f>100*3265/88900</f>
        <v>3.6726659167604048</v>
      </c>
      <c r="K91">
        <f>100*475833/1555398</f>
        <v>30.592362855037745</v>
      </c>
      <c r="L91">
        <f>IF(COUNT(J91:K91)=2,K91-J91,"")</f>
        <v>26.91969693827734</v>
      </c>
      <c r="O91">
        <v>17</v>
      </c>
      <c r="P91">
        <v>16</v>
      </c>
      <c r="Q91">
        <f>100*16305/441767</f>
        <v>3.690859661314675</v>
      </c>
      <c r="R91">
        <f>100*5544/504757</f>
        <v>1.0983502952906052</v>
      </c>
      <c r="S91">
        <f>IF(COUNT(Q91:R91)=2,R91-Q91,"")</f>
        <v>-2.59250936602407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100*446336/1743250</f>
        <v>25.603671303599597</v>
      </c>
      <c r="E92">
        <f>IF(COUNT(C92:D92)=2,D92-C92,"")</f>
        <v>-19.49801865230637</v>
      </c>
      <c r="H92">
        <v>18</v>
      </c>
      <c r="I92">
        <v>17</v>
      </c>
      <c r="K92">
        <f>100*52469/886762</f>
        <v>5.9169202108344745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100*62084/604437</f>
        <v>10.27137650408562</v>
      </c>
      <c r="S92">
        <f>IF(COUNT(Q92:R92)=2,R92-Q92,"")</f>
        <v>-11.83606937079799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100*202929/1316421</f>
        <v>15.415205318055547</v>
      </c>
      <c r="E93">
        <f>IF(COUNT(C93:D93)=2,D93-C93,"")</f>
        <v>-22.412647877207213</v>
      </c>
      <c r="H93">
        <v>19</v>
      </c>
      <c r="I93">
        <v>18</v>
      </c>
      <c r="J93">
        <f>100*453701/1228767</f>
        <v>36.9232734928591</v>
      </c>
      <c r="K93">
        <f>100*27424/666359</f>
        <v>4.115499302928302</v>
      </c>
      <c r="L93">
        <f>IF(COUNT(J93:K93)=2,K93-J93,"")</f>
        <v>-32.807774189930804</v>
      </c>
      <c r="O93">
        <v>19</v>
      </c>
      <c r="P93">
        <v>18</v>
      </c>
      <c r="Q93">
        <f>100*736264/1588962</f>
        <v>46.33616159480214</v>
      </c>
      <c r="R93">
        <f>100*451904/1418774</f>
        <v>31.851725503850506</v>
      </c>
      <c r="S93">
        <f>IF(COUNT(Q93:R93)=2,R93-Q93,"")</f>
        <v>-14.484436090951636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100*290037/1461272</f>
        <v>19.848255492475047</v>
      </c>
      <c r="E94">
        <f>IF(COUNT(C94:D94)=2,D94-C94,"")</f>
        <v>-26.335436100031593</v>
      </c>
      <c r="H94">
        <v>20</v>
      </c>
      <c r="I94">
        <v>19</v>
      </c>
      <c r="J94">
        <f>100*896581/2145144</f>
        <v>41.79584214393066</v>
      </c>
      <c r="K94">
        <f>100*505707/1858904</f>
        <v>27.204578611913256</v>
      </c>
      <c r="L94">
        <f>IF(COUNT(J94:K94)=2,K94-J94,"")</f>
        <v>-14.591263532017408</v>
      </c>
      <c r="O94">
        <v>20</v>
      </c>
      <c r="P94">
        <v>19</v>
      </c>
      <c r="Q94">
        <f>100*596231/1430518</f>
        <v>41.67937767997327</v>
      </c>
      <c r="R94">
        <f>100*596710/1728889</f>
        <v>34.514072332000495</v>
      </c>
      <c r="S94">
        <f>IF(COUNT(Q94:R94)=2,R94-Q94,"")</f>
        <v>-7.165305347972776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100*116037/745478</f>
        <v>15.565449282205511</v>
      </c>
      <c r="E95">
        <f>IF(COUNT(C95:D95)=2,D95-C95,"")</f>
        <v>-31.193813432193622</v>
      </c>
      <c r="H95">
        <v>21</v>
      </c>
      <c r="I95">
        <v>20</v>
      </c>
      <c r="J95">
        <f>100*923720/1857736</f>
        <v>49.722888505148205</v>
      </c>
      <c r="K95">
        <f>100*154165/1137971</f>
        <v>13.54735753371571</v>
      </c>
      <c r="L95">
        <f>IF(COUNT(J95:K95)=2,K95-J95,"")</f>
        <v>-36.175530971432494</v>
      </c>
      <c r="O95">
        <v>21</v>
      </c>
      <c r="P95">
        <v>20</v>
      </c>
      <c r="Q95">
        <f>100*808426/1622789</f>
        <v>49.817074185245275</v>
      </c>
      <c r="R95">
        <f>100*179301/940432</f>
        <v>19.06581230753526</v>
      </c>
      <c r="S95">
        <f>IF(COUNT(Q95:R95)=2,R95-Q95,"")</f>
        <v>-30.751261877710014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100*368649/1722567</f>
        <v>21.401141436008004</v>
      </c>
      <c r="E96">
        <f>IF(COUNT(C96:D96)=2,D96-C96,"")</f>
        <v>-11.758730208975955</v>
      </c>
      <c r="H96">
        <v>22</v>
      </c>
      <c r="I96">
        <v>21</v>
      </c>
      <c r="J96">
        <f>100*1034872/2267546</f>
        <v>45.63841262757183</v>
      </c>
      <c r="K96">
        <f>100*395338/1743592</f>
        <v>22.673767716300603</v>
      </c>
      <c r="L96">
        <f>IF(COUNT(J96:K96)=2,K96-J96,"")</f>
        <v>-22.96464491127123</v>
      </c>
      <c r="O96">
        <v>22</v>
      </c>
      <c r="P96">
        <v>21</v>
      </c>
      <c r="Q96">
        <f>100*248293/932917</f>
        <v>26.614693482914344</v>
      </c>
      <c r="R96">
        <f>100*626225/1902609</f>
        <v>32.91401438761196</v>
      </c>
      <c r="S96">
        <f>IF(COUNT(Q96:R96)=2,R96-Q96,"")</f>
        <v>6.299320904697613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100*593452/1876150</f>
        <v>31.631372758041735</v>
      </c>
      <c r="E97">
        <f>IF(COUNT(C97:D97)=2,D97-C97,"")</f>
        <v>-10.955944581150554</v>
      </c>
      <c r="H97">
        <v>23</v>
      </c>
      <c r="I97">
        <v>22</v>
      </c>
      <c r="J97">
        <f>100*954501/1934417</f>
        <v>49.34308373013678</v>
      </c>
      <c r="K97">
        <f>100*531623/1576909</f>
        <v>33.71297899878814</v>
      </c>
      <c r="L97">
        <f>IF(COUNT(J97:K97)=2,K97-J97,"")</f>
        <v>-15.630104731348645</v>
      </c>
      <c r="O97">
        <v>23</v>
      </c>
      <c r="P97">
        <v>22</v>
      </c>
      <c r="Q97">
        <f>100*491/406810</f>
        <v>0.12069516481895726</v>
      </c>
      <c r="R97">
        <f>100*3518/418167</f>
        <v>0.8412906805175923</v>
      </c>
      <c r="S97">
        <f>IF(COUNT(Q97:R97)=2,R97-Q97,"")</f>
        <v>0.720595515698635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100*435824/1902021</f>
        <v>22.913732287919007</v>
      </c>
      <c r="E98">
        <f>IF(COUNT(C98:D98)=2,D98-C98,"")</f>
        <v>-17.873007820099847</v>
      </c>
      <c r="H98">
        <v>24</v>
      </c>
      <c r="I98">
        <v>23</v>
      </c>
      <c r="J98">
        <f>100*677655/1567258</f>
        <v>43.238254326983814</v>
      </c>
      <c r="K98">
        <f>100*468821/1709847</f>
        <v>27.418886017286926</v>
      </c>
      <c r="L98">
        <f>IF(COUNT(J98:K98)=2,K98-J98,"")</f>
        <v>-15.819368309696888</v>
      </c>
      <c r="O98">
        <v>24</v>
      </c>
      <c r="P98">
        <v>23</v>
      </c>
      <c r="Q98">
        <f>100*462555/1165901</f>
        <v>39.67360865116335</v>
      </c>
      <c r="R98">
        <f>100*240044/1099238</f>
        <v>21.837309117770673</v>
      </c>
      <c r="S98">
        <f>IF(COUNT(Q98:R98)=2,R98-Q98,"")</f>
        <v>-17.836299533392676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100*297728/1442038</f>
        <v>20.646335256075083</v>
      </c>
      <c r="E99">
        <f>IF(COUNT(C99:D99)=2,D99-C99,"")</f>
        <v>-16.739036166380615</v>
      </c>
      <c r="H99">
        <v>25</v>
      </c>
      <c r="I99">
        <v>24</v>
      </c>
      <c r="J99">
        <f>100*1059343/2107573</f>
        <v>50.26364448586123</v>
      </c>
      <c r="K99">
        <f>100*44483/1119029</f>
        <v>3.9751427353535966</v>
      </c>
      <c r="L99">
        <f>IF(COUNT(J99:K99)=2,K99-J99,"")</f>
        <v>-46.288501750507635</v>
      </c>
      <c r="O99">
        <v>25</v>
      </c>
      <c r="P99">
        <v>24</v>
      </c>
      <c r="Q99">
        <f>100*667801/1611354</f>
        <v>41.4434692811139</v>
      </c>
      <c r="R99">
        <f>100*550492/3076086</f>
        <v>17.89585856832351</v>
      </c>
      <c r="S99">
        <f>IF(COUNT(Q99:R99)=2,R99-Q99,"")</f>
        <v>-23.547610712790387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100*364800/1573631</f>
        <v>23.182054751082052</v>
      </c>
      <c r="E100">
        <f>IF(COUNT(C100:D100)=2,D100-C100,"")</f>
        <v>-30.623932375391643</v>
      </c>
      <c r="H100">
        <v>26</v>
      </c>
      <c r="I100">
        <v>25</v>
      </c>
      <c r="J100">
        <f>100*50542/865957</f>
        <v>5.836548466032378</v>
      </c>
      <c r="K100">
        <f>100*249680/1399589</f>
        <v>17.839522888505126</v>
      </c>
      <c r="L100">
        <f>IF(COUNT(J100:K100)=2,K100-J100,"")</f>
        <v>12.002974422472748</v>
      </c>
      <c r="O100">
        <v>26</v>
      </c>
      <c r="P100">
        <v>25</v>
      </c>
      <c r="Q100">
        <f>100*825215/1789490</f>
        <v>46.114535426294644</v>
      </c>
      <c r="R100">
        <f>100*479019/1489935</f>
        <v>32.150328705614676</v>
      </c>
      <c r="S100">
        <f>IF(COUNT(Q100:R100)=2,R100-Q100,"")</f>
        <v>-13.964206720679968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100*446986/1667083</f>
        <v>26.812462246930718</v>
      </c>
      <c r="E101">
        <f>IF(COUNT(C101:D101)=2,D101-C101,"")</f>
        <v>4.267809727082749</v>
      </c>
      <c r="H101">
        <v>27</v>
      </c>
      <c r="I101">
        <v>26</v>
      </c>
      <c r="J101">
        <f>100*307157/1210949</f>
        <v>25.36498234029674</v>
      </c>
      <c r="K101">
        <f>100*151146/1220774</f>
        <v>12.381161459860712</v>
      </c>
      <c r="L101">
        <f>IF(COUNT(J101:K101)=2,K101-J101,"")</f>
        <v>-12.98382088043603</v>
      </c>
      <c r="O101">
        <v>27</v>
      </c>
      <c r="P101">
        <v>26</v>
      </c>
      <c r="Q101">
        <f>100*889999/1746112</f>
        <v>50.9703272184144</v>
      </c>
      <c r="R101">
        <f>100*627094/1938636</f>
        <v>32.34717605574229</v>
      </c>
      <c r="S101">
        <f>IF(COUNT(Q101:R101)=2,R101-Q101,"")</f>
        <v>-18.62315116267211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100*655658/1977511</f>
        <v>33.155719487780345</v>
      </c>
      <c r="E102">
        <f>IF(COUNT(C102:D102)=2,D102-C102,"")</f>
        <v>-7.039358623028463</v>
      </c>
      <c r="H102">
        <v>28</v>
      </c>
      <c r="I102">
        <v>27</v>
      </c>
      <c r="J102">
        <f>100*499214/1645125</f>
        <v>30.345049768254693</v>
      </c>
      <c r="K102">
        <f>100*306561/1570677</f>
        <v>19.51776208603042</v>
      </c>
      <c r="L102">
        <f>IF(COUNT(J102:K102)=2,K102-J102,"")</f>
        <v>-10.827287682224274</v>
      </c>
      <c r="O102">
        <v>28</v>
      </c>
      <c r="P102">
        <v>27</v>
      </c>
      <c r="Q102">
        <f>100*1300/408366</f>
        <v>0.3183418795884084</v>
      </c>
      <c r="R102">
        <f>100*2279/409066</f>
        <v>0.5571228114778545</v>
      </c>
      <c r="S102">
        <f>IF(COUNT(Q102:R102)=2,R102-Q102,"")</f>
        <v>0.23878093188944605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100*927055/2414444</f>
        <v>38.396210473301515</v>
      </c>
      <c r="E103">
        <f>IF(COUNT(C103:D103)=2,D103-C103,"")</f>
        <v>-5.369027311998195</v>
      </c>
      <c r="H103">
        <v>29</v>
      </c>
      <c r="I103">
        <v>28</v>
      </c>
      <c r="J103">
        <f>100*1050807/2150575</f>
        <v>48.86167652837032</v>
      </c>
      <c r="K103">
        <f>100*745117/2249657</f>
        <v>33.12136027847801</v>
      </c>
      <c r="L103">
        <f>IF(COUNT(J103:K103)=2,K103-J103,"")</f>
        <v>-15.74031624989231</v>
      </c>
      <c r="O103">
        <v>29</v>
      </c>
      <c r="P103">
        <v>28</v>
      </c>
      <c r="Q103">
        <f>100*827171/1762089</f>
        <v>46.94263456613145</v>
      </c>
      <c r="R103">
        <f>100*759229/1879968</f>
        <v>40.38520868440314</v>
      </c>
      <c r="S103">
        <f>IF(COUNT(Q103:R103)=2,R103-Q103,"")</f>
        <v>-6.557425881728314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100*11756/652554</f>
        <v>1.801536731059805</v>
      </c>
      <c r="E104">
        <f>IF(COUNT(C104:D104)=2,D104-C104,"")</f>
        <v>0.4420173259695457</v>
      </c>
      <c r="H104">
        <v>30</v>
      </c>
      <c r="I104">
        <v>29</v>
      </c>
      <c r="J104">
        <f>100*410139/1282634</f>
        <v>31.976308128429466</v>
      </c>
      <c r="K104">
        <f>100*15153/823112</f>
        <v>1.8409402365656193</v>
      </c>
      <c r="L104">
        <f>IF(COUNT(J104:K104)=2,K104-J104,"")</f>
        <v>-30.135367891863847</v>
      </c>
      <c r="O104">
        <v>30</v>
      </c>
      <c r="P104">
        <v>29</v>
      </c>
      <c r="Q104">
        <f>100*806811/1713643</f>
        <v>47.08162668653856</v>
      </c>
      <c r="R104">
        <f>100*504575/1676754</f>
        <v>30.092368946190078</v>
      </c>
      <c r="S104">
        <f>IF(COUNT(Q104:R104)=2,R104-Q104,"")</f>
        <v>-16.989257740348485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100*527182/1778415</f>
        <v>29.6433622073588</v>
      </c>
      <c r="E105">
        <f>IF(COUNT(C105:D105)=2,D105-C105,"")</f>
        <v>-15.544126129649747</v>
      </c>
      <c r="H105">
        <v>31</v>
      </c>
      <c r="I105">
        <v>30</v>
      </c>
      <c r="J105">
        <f>100*349588/1410455</f>
        <v>24.785477026916848</v>
      </c>
      <c r="K105">
        <f>100*470187/1669864</f>
        <v>28.157203221340183</v>
      </c>
      <c r="L105">
        <f>IF(COUNT(J105:K105)=2,K105-J105,"")</f>
        <v>3.371726194423335</v>
      </c>
      <c r="O105">
        <v>31</v>
      </c>
      <c r="P105">
        <v>30</v>
      </c>
      <c r="Q105">
        <f>100*267010/983366</f>
        <v>27.15265730155405</v>
      </c>
      <c r="R105">
        <f>100*5250/543642</f>
        <v>0.9657090511770614</v>
      </c>
      <c r="S105">
        <f>IF(COUNT(Q105:R105)=2,R105-Q105,"")</f>
        <v>-26.18694825037699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21.299326722379575</v>
      </c>
      <c r="E106">
        <f>IF(COUNT(E75:E105)&gt;0,AVERAGE(E75:E105),"")</f>
        <v>-12.79762845647032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17.598977926733177</v>
      </c>
      <c r="L106">
        <f>IF(COUNT(L75:L105)&gt;0,AVERAGE(L75:L105),"")</f>
        <v>-18.703190849238258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21.656192406217986</v>
      </c>
      <c r="S106">
        <f>IF(COUNT(S75:S105)&gt;0,AVERAGE(S75:S105),"")</f>
        <v>-12.130599621995025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tabSelected="1" topLeftCell="A52" workbookViewId="0">
      <selection activeCell="G68" sqref="G68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100*332764/1052174</f>
        <v>31.626327964766283</v>
      </c>
      <c r="D3">
        <f>100*159768/889875</f>
        <v>17.953982300884956</v>
      </c>
      <c r="E3">
        <f>IF(COUNT(C3:D3)=2,D3-C3,"")</f>
        <v>-13.672345663881327</v>
      </c>
      <c r="H3">
        <v>1</v>
      </c>
      <c r="I3">
        <v>0</v>
      </c>
      <c r="J3">
        <f>100*291815/1145550</f>
        <v>25.47378988258915</v>
      </c>
      <c r="K3">
        <f>100*216154/1011150</f>
        <v>21.3770459377936</v>
      </c>
      <c r="L3">
        <f>IF(COUNT(J3:K3)=2,K3-J3,"")</f>
        <v>-4.0967439447955485</v>
      </c>
      <c r="O3">
        <v>1</v>
      </c>
      <c r="P3">
        <v>0</v>
      </c>
      <c r="Q3">
        <f>100*208586/733698</f>
        <v>28.429408285152746</v>
      </c>
      <c r="R3">
        <f>100*145071/721978</f>
        <v>20.093548556881235</v>
      </c>
      <c r="S3">
        <f>IF(COUNT(Q3:R3)=2,R3-Q3,"")</f>
        <v>-8.335859728271512</v>
      </c>
    </row>
    <row r="4" spans="1:19" x14ac:dyDescent="0.3">
      <c r="A4">
        <v>2</v>
      </c>
      <c r="B4">
        <v>1</v>
      </c>
      <c r="C4">
        <f>100*356409/1118920</f>
        <v>31.852947485074893</v>
      </c>
      <c r="D4">
        <f>100*153836/860625</f>
        <v>17.874916485112564</v>
      </c>
      <c r="E4">
        <f>IF(COUNT(C4:D4)=2,D4-C4,"")</f>
        <v>-13.978030999962328</v>
      </c>
      <c r="H4">
        <v>2</v>
      </c>
      <c r="I4">
        <v>1</v>
      </c>
      <c r="J4">
        <f>100*130334/783729</f>
        <v>16.629983068126865</v>
      </c>
      <c r="K4">
        <f>100*26976/386591</f>
        <v>6.977917230354561</v>
      </c>
      <c r="L4">
        <f>IF(COUNT(J4:K4)=2,K4-J4,"")</f>
        <v>-9.652065837772305</v>
      </c>
      <c r="O4">
        <v>2</v>
      </c>
      <c r="P4">
        <v>1</v>
      </c>
      <c r="Q4">
        <f>100*510455/1451156</f>
        <v>35.17574954036644</v>
      </c>
      <c r="R4">
        <f>100*241665/983897</f>
        <v>24.562022244198324</v>
      </c>
      <c r="S4">
        <f>IF(COUNT(Q4:R4)=2,R4-Q4,"")</f>
        <v>-10.613727296168115</v>
      </c>
    </row>
    <row r="5" spans="1:19" x14ac:dyDescent="0.3">
      <c r="A5">
        <v>3</v>
      </c>
      <c r="B5">
        <v>2</v>
      </c>
      <c r="C5">
        <f>100*397332/1270809</f>
        <v>31.266067520768267</v>
      </c>
      <c r="D5">
        <f>100*212083/1006092</f>
        <v>21.0798813627382</v>
      </c>
      <c r="E5">
        <f>IF(COUNT(C5:D5)=2,D5-C5,"")</f>
        <v>-10.186186158030068</v>
      </c>
      <c r="H5">
        <v>3</v>
      </c>
      <c r="I5">
        <v>2</v>
      </c>
      <c r="J5">
        <f>100*147851/1441835</f>
        <v>10.25436336335295</v>
      </c>
      <c r="K5">
        <f>100*326354/1311022</f>
        <v>24.89309866653649</v>
      </c>
      <c r="L5">
        <f>IF(COUNT(J5:K5)=2,K5-J5,"")</f>
        <v>14.63873530318354</v>
      </c>
      <c r="O5">
        <v>3</v>
      </c>
      <c r="P5">
        <v>2</v>
      </c>
      <c r="Q5">
        <f>100*480143/1280935</f>
        <v>37.48379113694293</v>
      </c>
      <c r="R5">
        <f>100*215591/875412</f>
        <v>24.62737545292959</v>
      </c>
      <c r="S5">
        <f>IF(COUNT(Q5:R5)=2,R5-Q5,"")</f>
        <v>-12.856415684013342</v>
      </c>
    </row>
    <row r="6" spans="1:19" x14ac:dyDescent="0.3">
      <c r="A6">
        <v>4</v>
      </c>
      <c r="B6">
        <v>3</v>
      </c>
      <c r="C6">
        <f>100*16403/519550</f>
        <v>3.1571552304879225</v>
      </c>
      <c r="D6">
        <f>100*34121/559232</f>
        <v>6.1014033531700615</v>
      </c>
      <c r="E6">
        <f>IF(COUNT(C6:D6)=2,D6-C6,"")</f>
        <v>2.944248122682139</v>
      </c>
      <c r="H6">
        <v>4</v>
      </c>
      <c r="I6">
        <v>3</v>
      </c>
      <c r="J6">
        <f>100*123870/784417</f>
        <v>15.791345674558302</v>
      </c>
      <c r="K6">
        <f>100*96610/748639</f>
        <v>12.904751155096115</v>
      </c>
      <c r="L6">
        <f>IF(COUNT(J6:K6)=2,K6-J6,"")</f>
        <v>-2.8865945194621876</v>
      </c>
      <c r="O6">
        <v>4</v>
      </c>
      <c r="P6">
        <v>3</v>
      </c>
      <c r="Q6">
        <f>100*450191/1211277</f>
        <v>37.16664313777939</v>
      </c>
      <c r="R6">
        <f>100*208343/846435</f>
        <v>24.614175926090013</v>
      </c>
      <c r="S6">
        <f>IF(COUNT(Q6:R6)=2,R6-Q6,"")</f>
        <v>-12.552467211689375</v>
      </c>
    </row>
    <row r="7" spans="1:19" x14ac:dyDescent="0.3">
      <c r="A7">
        <v>5</v>
      </c>
      <c r="B7">
        <v>4</v>
      </c>
      <c r="C7">
        <f>100*497044/1286267</f>
        <v>38.64236585405674</v>
      </c>
      <c r="D7">
        <f>100*256950/1133276</f>
        <v>22.673205821000355</v>
      </c>
      <c r="E7">
        <f>IF(COUNT(C7:D7)=2,D7-C7,"")</f>
        <v>-15.969160033056387</v>
      </c>
      <c r="H7">
        <v>5</v>
      </c>
      <c r="I7">
        <v>4</v>
      </c>
      <c r="J7">
        <f>100*342477/1148710</f>
        <v>29.814052284736793</v>
      </c>
      <c r="K7">
        <f>100*90418/614388</f>
        <v>14.716758790861801</v>
      </c>
      <c r="L7">
        <f>IF(COUNT(J7:K7)=2,K7-J7,"")</f>
        <v>-15.097293493874991</v>
      </c>
      <c r="O7">
        <v>5</v>
      </c>
      <c r="P7">
        <v>4</v>
      </c>
      <c r="Q7">
        <f>100*389359/1092762</f>
        <v>35.63072288384845</v>
      </c>
      <c r="R7">
        <f>100*237498/958969</f>
        <v>24.765972622681232</v>
      </c>
      <c r="S7">
        <f>IF(COUNT(Q7:R7)=2,R7-Q7,"")</f>
        <v>-10.864750261167217</v>
      </c>
    </row>
    <row r="8" spans="1:19" x14ac:dyDescent="0.3">
      <c r="A8">
        <v>6</v>
      </c>
      <c r="B8">
        <v>5</v>
      </c>
      <c r="C8">
        <f>100*295084/1125005</f>
        <v>26.229572313011943</v>
      </c>
      <c r="D8">
        <f>100*183989/972506</f>
        <v>18.919060653610362</v>
      </c>
      <c r="E8">
        <f>IF(COUNT(C8:D8)=2,D8-C8,"")</f>
        <v>-7.31051165940158</v>
      </c>
      <c r="H8">
        <v>6</v>
      </c>
      <c r="I8">
        <v>5</v>
      </c>
      <c r="J8">
        <f>100*246415/1039225</f>
        <v>23.71141956746614</v>
      </c>
      <c r="K8">
        <f>100*206630/1423819</f>
        <v>14.512378328987042</v>
      </c>
      <c r="L8">
        <f>IF(COUNT(J8:K8)=2,K8-J8,"")</f>
        <v>-9.199041238479099</v>
      </c>
      <c r="O8">
        <v>6</v>
      </c>
      <c r="P8">
        <v>5</v>
      </c>
      <c r="Q8">
        <f>100*269836/994553</f>
        <v>27.131384652200538</v>
      </c>
      <c r="R8">
        <f>100*138782/739329</f>
        <v>18.77134536857069</v>
      </c>
      <c r="S8">
        <f>IF(COUNT(Q8:R8)=2,R8-Q8,"")</f>
        <v>-8.360039283629849</v>
      </c>
    </row>
    <row r="9" spans="1:19" x14ac:dyDescent="0.3">
      <c r="A9">
        <v>7</v>
      </c>
      <c r="B9">
        <v>6</v>
      </c>
      <c r="C9">
        <f>100*240424/851852</f>
        <v>28.223682048055295</v>
      </c>
      <c r="D9">
        <f>100*29335/503797</f>
        <v>5.822781795048402</v>
      </c>
      <c r="E9">
        <f>IF(COUNT(C9:D9)=2,D9-C9,"")</f>
        <v>-22.400900253006892</v>
      </c>
      <c r="H9">
        <v>7</v>
      </c>
      <c r="I9">
        <v>6</v>
      </c>
      <c r="J9">
        <f>100*3261/356727</f>
        <v>0.9141444297740289</v>
      </c>
      <c r="K9">
        <f>100*21096/411808</f>
        <v>5.122775662444634</v>
      </c>
      <c r="L9">
        <f>IF(COUNT(J9:K9)=2,K9-J9,"")</f>
        <v>4.208631232670605</v>
      </c>
      <c r="O9">
        <v>7</v>
      </c>
      <c r="P9">
        <v>6</v>
      </c>
      <c r="Q9">
        <f>100*460466/1246393</f>
        <v>36.94388527535055</v>
      </c>
      <c r="R9">
        <f>100*251117/1144006</f>
        <v>21.95067158738678</v>
      </c>
      <c r="S9">
        <f>IF(COUNT(Q9:R9)=2,R9-Q9,"")</f>
        <v>-14.993213687963774</v>
      </c>
    </row>
    <row r="10" spans="1:19" x14ac:dyDescent="0.3">
      <c r="A10">
        <v>8</v>
      </c>
      <c r="B10">
        <v>7</v>
      </c>
      <c r="C10">
        <f>100*3447/313581</f>
        <v>1.09923751757919</v>
      </c>
      <c r="D10">
        <f>100*14808/367133</f>
        <v>4.0334156831448</v>
      </c>
      <c r="E10">
        <f>IF(COUNT(C10:D10)=2,D10-C10,"")</f>
        <v>2.9341781655656103</v>
      </c>
      <c r="H10">
        <v>8</v>
      </c>
      <c r="I10">
        <v>7</v>
      </c>
      <c r="J10">
        <f>100*275/278589</f>
        <v>0.09871172228623527</v>
      </c>
      <c r="K10">
        <f>100*272/283728</f>
        <v>0.09586646365533187</v>
      </c>
      <c r="L10">
        <f>IF(COUNT(J10:K10)=2,K10-J10,"")</f>
        <v>-0.0028452586309034023</v>
      </c>
      <c r="O10">
        <v>8</v>
      </c>
      <c r="P10">
        <v>7</v>
      </c>
      <c r="Q10">
        <f>100*631465/1523952</f>
        <v>41.43601635747058</v>
      </c>
      <c r="R10">
        <f>100*345185/1209407</f>
        <v>28.541673729356617</v>
      </c>
      <c r="S10">
        <f>IF(COUNT(Q10:R10)=2,R10-Q10,"")</f>
        <v>-12.89434262811396</v>
      </c>
    </row>
    <row r="11" spans="1:19" x14ac:dyDescent="0.3">
      <c r="A11">
        <v>9</v>
      </c>
      <c r="B11">
        <v>8</v>
      </c>
      <c r="C11">
        <f>100*328851/1096172</f>
        <v>29.999945264064397</v>
      </c>
      <c r="D11">
        <f>100*260262/1034483</f>
        <v>25.15865412964737</v>
      </c>
      <c r="E11">
        <f>IF(COUNT(C11:D11)=2,D11-C11,"")</f>
        <v>-4.841291134417027</v>
      </c>
      <c r="H11">
        <v>9</v>
      </c>
      <c r="I11">
        <v>8</v>
      </c>
      <c r="J11">
        <f>100*382533/1287826</f>
        <v>29.70377985845914</v>
      </c>
      <c r="K11">
        <f>100*339724/1259280</f>
        <v>26.977638015373863</v>
      </c>
      <c r="L11">
        <f>IF(COUNT(J11:K11)=2,K11-J11,"")</f>
        <v>-2.7261418430852764</v>
      </c>
      <c r="O11">
        <v>9</v>
      </c>
      <c r="P11">
        <v>8</v>
      </c>
      <c r="Q11">
        <f>100*511514/1411309</f>
        <v>36.24394090875917</v>
      </c>
      <c r="R11">
        <f>100*243774/1033272</f>
        <v>23.592432583095256</v>
      </c>
      <c r="S11">
        <f>IF(COUNT(Q11:R11)=2,R11-Q11,"")</f>
        <v>-12.651508325663915</v>
      </c>
    </row>
    <row r="12" spans="1:19" x14ac:dyDescent="0.3">
      <c r="A12">
        <v>10</v>
      </c>
      <c r="B12">
        <v>9</v>
      </c>
      <c r="C12">
        <f>100*147882/738636</f>
        <v>20.0209575487791</v>
      </c>
      <c r="D12">
        <f>100*26350/608893</f>
        <v>4.3275255258313035</v>
      </c>
      <c r="E12">
        <f>IF(COUNT(C12:D12)=2,D12-C12,"")</f>
        <v>-15.693432022947798</v>
      </c>
      <c r="H12">
        <v>10</v>
      </c>
      <c r="I12">
        <v>9</v>
      </c>
      <c r="J12">
        <f>100*179400/747366</f>
        <v>24.00430311253121</v>
      </c>
      <c r="K12">
        <f>100*29255/494492</f>
        <v>5.916172556886663</v>
      </c>
      <c r="L12">
        <f>IF(COUNT(J12:K12)=2,K12-J12,"")</f>
        <v>-18.088130555644547</v>
      </c>
      <c r="O12">
        <v>10</v>
      </c>
      <c r="P12">
        <v>9</v>
      </c>
      <c r="Q12">
        <f>100*361827/1149672</f>
        <v>31.47219380832098</v>
      </c>
      <c r="R12">
        <f>100*23191/583849</f>
        <v>3.9720886736125265</v>
      </c>
      <c r="S12">
        <f>IF(COUNT(Q12:R12)=2,R12-Q12,"")</f>
        <v>-27.500105134708456</v>
      </c>
    </row>
    <row r="13" spans="1:19" x14ac:dyDescent="0.3">
      <c r="A13">
        <v>11</v>
      </c>
      <c r="B13">
        <v>10</v>
      </c>
      <c r="C13">
        <f>100*4137/540292</f>
        <v>0.7656970675116419</v>
      </c>
      <c r="D13">
        <f>100*87486/829075</f>
        <v>10.55224195639719</v>
      </c>
      <c r="E13">
        <f>IF(COUNT(C13:D13)=2,D13-C13,"")</f>
        <v>9.786544888885548</v>
      </c>
      <c r="H13">
        <v>11</v>
      </c>
      <c r="I13">
        <v>10</v>
      </c>
      <c r="J13">
        <f>100*29717/602395</f>
        <v>4.933141875347571</v>
      </c>
      <c r="K13">
        <f>100*44639/499224</f>
        <v>8.94167748345432</v>
      </c>
      <c r="L13">
        <f>IF(COUNT(J13:K13)=2,K13-J13,"")</f>
        <v>4.008535608106749</v>
      </c>
      <c r="O13">
        <v>11</v>
      </c>
      <c r="P13">
        <v>10</v>
      </c>
      <c r="Q13">
        <f>100*314083/1092488</f>
        <v>28.749331800440828</v>
      </c>
      <c r="R13">
        <f>100*323880/1179660</f>
        <v>27.455368496007324</v>
      </c>
      <c r="S13">
        <f>IF(COUNT(Q13:R13)=2,R13-Q13,"")</f>
        <v>-1.293963304433504</v>
      </c>
    </row>
    <row r="14" spans="1:19" x14ac:dyDescent="0.3">
      <c r="A14">
        <v>12</v>
      </c>
      <c r="B14">
        <v>11</v>
      </c>
      <c r="C14">
        <f>100*469865/1292144</f>
        <v>36.363207196721106</v>
      </c>
      <c r="D14">
        <f>100*29383/636103</f>
        <v>4.619220472156239</v>
      </c>
      <c r="E14">
        <f>IF(COUNT(C14:D14)=2,D14-C14,"")</f>
        <v>-31.743986724564866</v>
      </c>
      <c r="H14">
        <v>12</v>
      </c>
      <c r="I14">
        <v>11</v>
      </c>
      <c r="J14">
        <f>100*17227/518447</f>
        <v>3.3228083102033574</v>
      </c>
      <c r="K14">
        <f>100*56330/612383</f>
        <v>9.198491793534439</v>
      </c>
      <c r="L14">
        <f>IF(COUNT(J14:K14)=2,K14-J14,"")</f>
        <v>5.875683483331081</v>
      </c>
      <c r="O14">
        <v>12</v>
      </c>
      <c r="P14">
        <v>11</v>
      </c>
      <c r="Q14">
        <f>100*438660/1271352</f>
        <v>34.5034262737621</v>
      </c>
      <c r="R14">
        <f>100*375646/1390043</f>
        <v>27.024056090351163</v>
      </c>
      <c r="S14">
        <f>IF(COUNT(Q14:R14)=2,R14-Q14,"")</f>
        <v>-7.479370183410939</v>
      </c>
    </row>
    <row r="15" spans="1:19" x14ac:dyDescent="0.3">
      <c r="A15">
        <v>13</v>
      </c>
      <c r="B15">
        <v>12</v>
      </c>
      <c r="C15">
        <f>100*47266/521892</f>
        <v>9.0566630643888</v>
      </c>
      <c r="D15">
        <f>100*284753/1125841</f>
        <v>25.292470251127824</v>
      </c>
      <c r="E15">
        <f>IF(COUNT(C15:D15)=2,D15-C15,"")</f>
        <v>16.235807186739024</v>
      </c>
      <c r="H15">
        <v>13</v>
      </c>
      <c r="I15">
        <v>12</v>
      </c>
      <c r="J15">
        <f>100*544142/1461712</f>
        <v>37.22634828201451</v>
      </c>
      <c r="K15">
        <f>100*197105/946784</f>
        <v>20.818370399161793</v>
      </c>
      <c r="L15">
        <f>IF(COUNT(J15:K15)=2,K15-J15,"")</f>
        <v>-16.40797788285272</v>
      </c>
      <c r="O15">
        <v>13</v>
      </c>
      <c r="P15">
        <v>12</v>
      </c>
      <c r="Q15">
        <f>100*357555/1108932</f>
        <v>32.243185335079154</v>
      </c>
      <c r="R15">
        <f>100*116953/774032</f>
        <v>15.109582032784175</v>
      </c>
      <c r="S15">
        <f>IF(COUNT(Q15:R15)=2,R15-Q15,"")</f>
        <v>-17.13360330229498</v>
      </c>
    </row>
    <row r="16" spans="1:19" x14ac:dyDescent="0.3">
      <c r="A16">
        <v>14</v>
      </c>
      <c r="B16">
        <v>13</v>
      </c>
      <c r="C16">
        <f>100*7402/385878</f>
        <v>1.9182228580017517</v>
      </c>
      <c r="D16">
        <f>100*104534/677072</f>
        <v>15.439126119526431</v>
      </c>
      <c r="E16">
        <f>IF(COUNT(C16:D16)=2,D16-C16,"")</f>
        <v>13.52090326152468</v>
      </c>
      <c r="H16">
        <v>14</v>
      </c>
      <c r="I16">
        <v>13</v>
      </c>
      <c r="J16">
        <f>100*181558/818931</f>
        <v>22.170121780711685</v>
      </c>
      <c r="K16">
        <f>100*103746/684154</f>
        <v>15.16412971348556</v>
      </c>
      <c r="L16">
        <f>IF(COUNT(J16:K16)=2,K16-J16,"")</f>
        <v>-7.005992067226126</v>
      </c>
      <c r="O16">
        <v>14</v>
      </c>
      <c r="P16">
        <v>13</v>
      </c>
      <c r="Q16">
        <f>100*131266/578543</f>
        <v>22.689065462722738</v>
      </c>
      <c r="R16">
        <f>100*46353/533160</f>
        <v>8.694013054242628</v>
      </c>
      <c r="S16">
        <f>IF(COUNT(Q16:R16)=2,R16-Q16,"")</f>
        <v>-13.99505240848011</v>
      </c>
    </row>
    <row r="17" spans="1:19" x14ac:dyDescent="0.3">
      <c r="A17">
        <v>15</v>
      </c>
      <c r="B17">
        <v>14</v>
      </c>
      <c r="C17">
        <f>100*405804/1241849</f>
        <v>32.67740280823192</v>
      </c>
      <c r="D17">
        <f>100*246903/1127620</f>
        <v>21.895940121672194</v>
      </c>
      <c r="E17">
        <f>IF(COUNT(C17:D17)=2,D17-C17,"")</f>
        <v>-10.781462686559724</v>
      </c>
      <c r="H17">
        <v>15</v>
      </c>
      <c r="I17">
        <v>14</v>
      </c>
      <c r="J17">
        <f>100*610081/1573211</f>
        <v>38.779350004544845</v>
      </c>
      <c r="K17">
        <f>100*190231/946989</f>
        <v>20.087984126531566</v>
      </c>
      <c r="L17">
        <f>IF(COUNT(J17:K17)=2,K17-J17,"")</f>
        <v>-18.69136587801328</v>
      </c>
      <c r="O17">
        <v>15</v>
      </c>
      <c r="P17">
        <v>14</v>
      </c>
      <c r="Q17">
        <f>100*384174/1163453</f>
        <v>33.020156379329464</v>
      </c>
      <c r="R17">
        <f>100*195909/917639</f>
        <v>21.34924518247372</v>
      </c>
      <c r="S17">
        <f>IF(COUNT(Q17:R17)=2,R17-Q17,"")</f>
        <v>-11.670911196855744</v>
      </c>
    </row>
    <row r="18" spans="1:19" x14ac:dyDescent="0.3">
      <c r="A18">
        <v>16</v>
      </c>
      <c r="B18">
        <v>15</v>
      </c>
      <c r="C18">
        <f>100*397150/1193789</f>
        <v>33.26802307610474</v>
      </c>
      <c r="D18">
        <f>100*292060/1141012</f>
        <v>25.596575671421512</v>
      </c>
      <c r="E18">
        <f>IF(COUNT(C18:D18)=2,D18-C18,"")</f>
        <v>-7.671447404683228</v>
      </c>
      <c r="H18">
        <v>16</v>
      </c>
      <c r="I18">
        <v>15</v>
      </c>
      <c r="J18">
        <f>100*311472/1035367</f>
        <v>30.083245844227218</v>
      </c>
      <c r="K18">
        <f>100*32231/493679</f>
        <v>6.528736284103638</v>
      </c>
      <c r="L18">
        <f>IF(COUNT(J18:K18)=2,K18-J18,"")</f>
        <v>-23.55450956012358</v>
      </c>
      <c r="O18">
        <v>16</v>
      </c>
      <c r="P18">
        <v>15</v>
      </c>
      <c r="Q18">
        <f>100*403580/1172064</f>
        <v>34.43327326835394</v>
      </c>
      <c r="R18">
        <f>100*444210/1404551</f>
        <v>31.626477073456215</v>
      </c>
      <c r="S18">
        <f>IF(COUNT(Q18:R18)=2,R18-Q18,"")</f>
        <v>-2.8067961948977285</v>
      </c>
    </row>
    <row r="19" spans="1:19" x14ac:dyDescent="0.3">
      <c r="A19">
        <v>17</v>
      </c>
      <c r="B19">
        <v>16</v>
      </c>
      <c r="C19">
        <f>100*170884/804109</f>
        <v>21.251347765041803</v>
      </c>
      <c r="D19">
        <f>100*185286/891127</f>
        <v>20.79232253090749</v>
      </c>
      <c r="E19">
        <f>IF(COUNT(C19:D19)=2,D19-C19,"")</f>
        <v>-0.4590252341343124</v>
      </c>
      <c r="H19">
        <v>17</v>
      </c>
      <c r="I19">
        <v>16</v>
      </c>
      <c r="J19">
        <f>100*547667/1465339</f>
        <v>37.37476447429571</v>
      </c>
      <c r="K19">
        <f>100*244871/916777</f>
        <v>26.709985089067462</v>
      </c>
      <c r="L19">
        <f>IF(COUNT(J19:K19)=2,K19-J19,"")</f>
        <v>-10.664779385228247</v>
      </c>
      <c r="O19">
        <v>17</v>
      </c>
      <c r="P19">
        <v>16</v>
      </c>
      <c r="Q19">
        <f>100*34194/375756</f>
        <v>9.10005429055025</v>
      </c>
      <c r="R19">
        <f>100*9745/325252</f>
        <v>2.9961383788570095</v>
      </c>
      <c r="S19">
        <f>IF(COUNT(Q19:R19)=2,R19-Q19,"")</f>
        <v>-6.103915911693241</v>
      </c>
    </row>
    <row r="20" spans="1:19" x14ac:dyDescent="0.3">
      <c r="A20">
        <v>18</v>
      </c>
      <c r="B20">
        <v>17</v>
      </c>
      <c r="C20">
        <f>100*269013/913065</f>
        <v>29.462634095053474</v>
      </c>
      <c r="D20">
        <f>100*155764/859762</f>
        <v>18.117106827238235</v>
      </c>
      <c r="E20">
        <f>IF(COUNT(C20:D20)=2,D20-C20,"")</f>
        <v>-11.345527267815239</v>
      </c>
      <c r="H20">
        <v>18</v>
      </c>
      <c r="I20">
        <v>17</v>
      </c>
      <c r="J20">
        <f>100*246590/976020</f>
        <v>25.264851130099792</v>
      </c>
      <c r="K20">
        <f>100*54814/685994</f>
        <v>7.990448896054485</v>
      </c>
      <c r="L20">
        <f>IF(COUNT(J20:K20)=2,K20-J20,"")</f>
        <v>-17.274402234045308</v>
      </c>
      <c r="O20">
        <v>18</v>
      </c>
      <c r="P20">
        <v>17</v>
      </c>
      <c r="Q20">
        <f>100*2176/318434</f>
        <v>0.6833441152640736</v>
      </c>
      <c r="R20">
        <f>100*11058/344930</f>
        <v>3.205867857246398</v>
      </c>
      <c r="S20">
        <f>IF(COUNT(Q20:R20)=2,R20-Q20,"")</f>
        <v>2.522523741982324</v>
      </c>
    </row>
    <row r="21" spans="1:19" x14ac:dyDescent="0.3">
      <c r="A21">
        <v>19</v>
      </c>
      <c r="B21">
        <v>18</v>
      </c>
      <c r="C21">
        <f>100*130405/675745</f>
        <v>19.297960029300995</v>
      </c>
      <c r="D21">
        <f>100*200732/943321</f>
        <v>21.27928881048975</v>
      </c>
      <c r="E21">
        <f>IF(COUNT(C21:D21)=2,D21-C21,"")</f>
        <v>1.981328781188754</v>
      </c>
      <c r="H21">
        <v>19</v>
      </c>
      <c r="I21">
        <v>18</v>
      </c>
      <c r="J21">
        <f>100*94163/608895</f>
        <v>15.464571067261186</v>
      </c>
      <c r="K21">
        <f>100*67910/1705863</f>
        <v>3.9809761979713496</v>
      </c>
      <c r="L21">
        <f>IF(COUNT(J21:K21)=2,K21-J21,"")</f>
        <v>-11.483594869289837</v>
      </c>
      <c r="O21">
        <v>19</v>
      </c>
      <c r="P21">
        <v>18</v>
      </c>
      <c r="Q21">
        <f>100*460785/1299362</f>
        <v>35.462403856661965</v>
      </c>
      <c r="R21">
        <f>100*247771/1094137</f>
        <v>22.645336004540564</v>
      </c>
      <c r="S21">
        <f>IF(COUNT(Q21:R21)=2,R21-Q21,"")</f>
        <v>-12.8170678521214</v>
      </c>
    </row>
    <row r="22" spans="1:19" x14ac:dyDescent="0.3">
      <c r="A22">
        <v>20</v>
      </c>
      <c r="B22">
        <v>19</v>
      </c>
      <c r="C22">
        <f>100*271082/932573</f>
        <v>29.068180185358145</v>
      </c>
      <c r="D22">
        <f>100*169877/1080304</f>
        <v>15.724925576504392</v>
      </c>
      <c r="E22">
        <f>IF(COUNT(C22:D22)=2,D22-C22,"")</f>
        <v>-13.343254608853753</v>
      </c>
      <c r="H22">
        <v>20</v>
      </c>
      <c r="I22">
        <v>19</v>
      </c>
      <c r="J22">
        <f>100*51102/454685</f>
        <v>11.238989630183534</v>
      </c>
      <c r="K22">
        <f>100*158683/892818</f>
        <v>17.77327518038391</v>
      </c>
      <c r="L22">
        <f>IF(COUNT(J22:K22)=2,K22-J22,"")</f>
        <v>6.534285550200375</v>
      </c>
      <c r="O22">
        <v>20</v>
      </c>
      <c r="P22">
        <v>19</v>
      </c>
      <c r="Q22">
        <f>100*246053/750263</f>
        <v>32.795566354731605</v>
      </c>
      <c r="R22">
        <f>100*156767/771424</f>
        <v>20.3217685734434</v>
      </c>
      <c r="S22">
        <f>IF(COUNT(Q22:R22)=2,R22-Q22,"")</f>
        <v>-12.473797781288205</v>
      </c>
    </row>
    <row r="23" spans="1:19" x14ac:dyDescent="0.3">
      <c r="A23">
        <v>21</v>
      </c>
      <c r="B23">
        <v>20</v>
      </c>
      <c r="C23">
        <f>100*144702/617823</f>
        <v>23.42127114076362</v>
      </c>
      <c r="D23">
        <f>100*266707/1149655</f>
        <v>23.198872705289848</v>
      </c>
      <c r="E23">
        <f>IF(COUNT(C23:D23)=2,D23-C23,"")</f>
        <v>-0.22239843547377092</v>
      </c>
      <c r="H23">
        <v>21</v>
      </c>
      <c r="I23">
        <v>20</v>
      </c>
      <c r="J23">
        <f>100*591919/1541493</f>
        <v>38.399071549465354</v>
      </c>
      <c r="K23">
        <f>100*114205/719302</f>
        <v>15.877197616578293</v>
      </c>
      <c r="L23">
        <f>IF(COUNT(J23:K23)=2,K23-J23,"")</f>
        <v>-22.52187393288706</v>
      </c>
      <c r="O23">
        <v>21</v>
      </c>
      <c r="P23">
        <v>20</v>
      </c>
      <c r="Q23">
        <f>100*189374/774599</f>
        <v>24.448004709533578</v>
      </c>
      <c r="R23">
        <f>100*103610/668743</f>
        <v>15.493246284447089</v>
      </c>
      <c r="S23">
        <f>IF(COUNT(Q23:R23)=2,R23-Q23,"")</f>
        <v>-8.954758425086489</v>
      </c>
    </row>
    <row r="24" spans="1:19" x14ac:dyDescent="0.3">
      <c r="A24">
        <v>22</v>
      </c>
      <c r="B24">
        <v>21</v>
      </c>
      <c r="C24">
        <f>100*295116/1275471</f>
        <v>23.1378055635918</v>
      </c>
      <c r="D24">
        <f>100*225857/919397</f>
        <v>24.56577517655594</v>
      </c>
      <c r="E24">
        <f>IF(COUNT(C24:D24)=2,D24-C24,"")</f>
        <v>1.4279696129641373</v>
      </c>
      <c r="H24">
        <v>22</v>
      </c>
      <c r="I24">
        <v>21</v>
      </c>
      <c r="J24">
        <f>100*392324/1270598</f>
        <v>30.87711455550851</v>
      </c>
      <c r="K24">
        <f>100*266050/1075594</f>
        <v>24.73516959001259</v>
      </c>
      <c r="L24">
        <f>IF(COUNT(J24:K24)=2,K24-J24,"")</f>
        <v>-6.14194496549592</v>
      </c>
      <c r="O24">
        <v>22</v>
      </c>
      <c r="P24">
        <v>21</v>
      </c>
      <c r="Q24">
        <f>100*423564/1232833</f>
        <v>34.356964811941275</v>
      </c>
      <c r="R24">
        <f>100*163968/819975</f>
        <v>19.996707216683436</v>
      </c>
      <c r="S24">
        <f>IF(COUNT(Q24:R24)=2,R24-Q24,"")</f>
        <v>-14.360257595257838</v>
      </c>
    </row>
    <row r="25" spans="1:19" x14ac:dyDescent="0.3">
      <c r="A25">
        <v>23</v>
      </c>
      <c r="B25">
        <v>22</v>
      </c>
      <c r="C25">
        <f>100*354113/1097352</f>
        <v>32.26977305367831</v>
      </c>
      <c r="D25">
        <f>100*43708/490062</f>
        <v>8.91887148972987</v>
      </c>
      <c r="E25">
        <f>IF(COUNT(C25:D25)=2,D25-C25,"")</f>
        <v>-23.350901563948437</v>
      </c>
      <c r="H25">
        <v>23</v>
      </c>
      <c r="I25">
        <v>22</v>
      </c>
      <c r="J25">
        <f>100*155683/840858</f>
        <v>18.514778951975245</v>
      </c>
      <c r="K25">
        <f>100*183327/814936</f>
        <v>22.495876976842354</v>
      </c>
      <c r="L25">
        <f>IF(COUNT(J25:K25)=2,K25-J25,"")</f>
        <v>3.9810980248671086</v>
      </c>
      <c r="O25">
        <v>23</v>
      </c>
      <c r="P25">
        <v>22</v>
      </c>
      <c r="Q25">
        <f>100*592/261920</f>
        <v>0.22602321319486865</v>
      </c>
      <c r="R25">
        <f>100*427/262413</f>
        <v>0.16272059692164642</v>
      </c>
      <c r="S25">
        <f>IF(COUNT(Q25:R25)=2,R25-Q25,"")</f>
        <v>-0.06330261627322223</v>
      </c>
    </row>
    <row r="26" spans="1:19" x14ac:dyDescent="0.3">
      <c r="A26">
        <v>24</v>
      </c>
      <c r="B26">
        <v>23</v>
      </c>
      <c r="C26">
        <f>100*240022/913843</f>
        <v>26.265124315664725</v>
      </c>
      <c r="D26">
        <f>100*292495/1059772</f>
        <v>27.599804486247987</v>
      </c>
      <c r="E26">
        <f>IF(COUNT(C26:D26)=2,D26-C26,"")</f>
        <v>1.3346801705832618</v>
      </c>
      <c r="H26">
        <v>24</v>
      </c>
      <c r="I26">
        <v>23</v>
      </c>
      <c r="J26">
        <f>100*377574/1156306</f>
        <v>32.65346716180665</v>
      </c>
      <c r="K26">
        <f>100*106511/777131</f>
        <v>13.705668671047738</v>
      </c>
      <c r="L26">
        <f>IF(COUNT(J26:K26)=2,K26-J26,"")</f>
        <v>-18.947798490758913</v>
      </c>
      <c r="O26">
        <v>24</v>
      </c>
      <c r="P26">
        <v>23</v>
      </c>
      <c r="Q26">
        <f>100*122016/574638</f>
        <v>21.233541812410596</v>
      </c>
      <c r="R26">
        <f>100*3906/350904</f>
        <v>1.1131249572532658</v>
      </c>
      <c r="S26">
        <f>IF(COUNT(Q26:R26)=2,R26-Q26,"")</f>
        <v>-20.12041685515733</v>
      </c>
    </row>
    <row r="27" spans="1:19" x14ac:dyDescent="0.3">
      <c r="A27">
        <v>25</v>
      </c>
      <c r="B27">
        <v>24</v>
      </c>
      <c r="C27">
        <f>100*56444/682080</f>
        <v>8.275275627492377</v>
      </c>
      <c r="D27">
        <f>100*95069/642786</f>
        <v>14.790147887477325</v>
      </c>
      <c r="E27">
        <f>IF(COUNT(C27:D27)=2,D27-C27,"")</f>
        <v>6.514872259984948</v>
      </c>
      <c r="H27">
        <v>25</v>
      </c>
      <c r="I27">
        <v>24</v>
      </c>
      <c r="J27">
        <f>100*179842/875592</f>
        <v>20.53947500662409</v>
      </c>
      <c r="K27">
        <f>100*13337/405945</f>
        <v>3.2854204387293846</v>
      </c>
      <c r="L27">
        <f>IF(COUNT(J27:K27)=2,K27-J27,"")</f>
        <v>-17.254054567894705</v>
      </c>
      <c r="O27">
        <v>25</v>
      </c>
      <c r="P27">
        <v>24</v>
      </c>
      <c r="Q27">
        <f>100*497820/1342997</f>
        <v>37.06784155139587</v>
      </c>
      <c r="R27">
        <f>100*235209/1002220</f>
        <v>23.468799265630302</v>
      </c>
      <c r="S27">
        <f>IF(COUNT(Q27:R27)=2,R27-Q27,"")</f>
        <v>-13.59904228576557</v>
      </c>
    </row>
    <row r="28" spans="1:19" x14ac:dyDescent="0.3">
      <c r="A28">
        <v>26</v>
      </c>
      <c r="B28">
        <v>25</v>
      </c>
      <c r="C28">
        <f>100*366520/1167250</f>
        <v>31.400299850074962</v>
      </c>
      <c r="D28">
        <f>100*129948/810233</f>
        <v>16.038349462438582</v>
      </c>
      <c r="E28">
        <f>IF(COUNT(C28:D28)=2,D28-C28,"")</f>
        <v>-15.36195038763638</v>
      </c>
      <c r="H28">
        <v>26</v>
      </c>
      <c r="I28">
        <v>25</v>
      </c>
      <c r="J28">
        <f>100*403993/1263866</f>
        <v>31.964860198786898</v>
      </c>
      <c r="K28">
        <f>100*194908/983455</f>
        <v>19.81870039808634</v>
      </c>
      <c r="L28">
        <f>IF(COUNT(J28:K28)=2,K28-J28,"")</f>
        <v>-12.14615980070056</v>
      </c>
      <c r="O28">
        <v>26</v>
      </c>
      <c r="P28">
        <v>25</v>
      </c>
      <c r="Q28">
        <f>100*525172/1313199</f>
        <v>39.99180626850919</v>
      </c>
      <c r="R28">
        <f>100*217765/906869</f>
        <v>24.01283978171048</v>
      </c>
      <c r="S28">
        <f>IF(COUNT(Q28:R28)=2,R28-Q28,"")</f>
        <v>-15.978966486798708</v>
      </c>
    </row>
    <row r="29" spans="1:19" x14ac:dyDescent="0.3">
      <c r="A29">
        <v>27</v>
      </c>
      <c r="B29">
        <v>26</v>
      </c>
      <c r="C29">
        <f>100*597714/1505438</f>
        <v>39.703660994341845</v>
      </c>
      <c r="D29">
        <f>100*293665/1230340</f>
        <v>23.868605426142366</v>
      </c>
      <c r="E29">
        <f>IF(COUNT(C29:D29)=2,D29-C29,"")</f>
        <v>-15.83505556819948</v>
      </c>
      <c r="H29">
        <v>27</v>
      </c>
      <c r="I29">
        <v>26</v>
      </c>
      <c r="J29">
        <f>100*136381/818474</f>
        <v>16.66283840415212</v>
      </c>
      <c r="K29">
        <f>100*104645/702379</f>
        <v>14.898651582692535</v>
      </c>
      <c r="L29">
        <f>IF(COUNT(J29:K29)=2,K29-J29,"")</f>
        <v>-1.7641868214595835</v>
      </c>
      <c r="O29">
        <v>27</v>
      </c>
      <c r="P29">
        <v>26</v>
      </c>
      <c r="Q29">
        <f>100*365374/1222824</f>
        <v>29.87952477216672</v>
      </c>
      <c r="R29">
        <f>100*329808/1193490</f>
        <v>27.633913983359726</v>
      </c>
      <c r="S29">
        <f>IF(COUNT(Q29:R29)=2,R29-Q29,"")</f>
        <v>-2.245610788806996</v>
      </c>
    </row>
    <row r="30" spans="1:19" x14ac:dyDescent="0.3">
      <c r="A30">
        <v>28</v>
      </c>
      <c r="B30">
        <v>27</v>
      </c>
      <c r="C30">
        <f>100*262582/941033</f>
        <v>27.90359105366124</v>
      </c>
      <c r="D30">
        <f>100*135103/809909</f>
        <v>16.681256783169466</v>
      </c>
      <c r="E30">
        <f>IF(COUNT(C30:D30)=2,D30-C30,"")</f>
        <v>-11.222334270491775</v>
      </c>
      <c r="H30">
        <v>28</v>
      </c>
      <c r="I30">
        <v>27</v>
      </c>
      <c r="J30">
        <f>100*471860/1401372</f>
        <v>33.67128785219057</v>
      </c>
      <c r="K30">
        <f>100*94773/771470</f>
        <v>12.284729153434352</v>
      </c>
      <c r="L30">
        <f>IF(COUNT(J30:K30)=2,K30-J30,"")</f>
        <v>-21.386558698756215</v>
      </c>
      <c r="O30">
        <v>28</v>
      </c>
      <c r="P30">
        <v>27</v>
      </c>
      <c r="Q30">
        <f>100*191/261142</f>
        <v>0.07314028383025327</v>
      </c>
      <c r="R30">
        <f>100*282/263049</f>
        <v>0.10720436116464993</v>
      </c>
      <c r="S30">
        <f>IF(COUNT(Q30:R30)=2,R30-Q30,"")</f>
        <v>0.03406407733439666</v>
      </c>
    </row>
    <row r="31" spans="1:19" x14ac:dyDescent="0.3">
      <c r="A31">
        <v>29</v>
      </c>
      <c r="B31">
        <v>28</v>
      </c>
      <c r="C31">
        <f>100*549615/1490090</f>
        <v>36.88468481769558</v>
      </c>
      <c r="D31">
        <f>100*212909/1077962</f>
        <v>19.75106729179693</v>
      </c>
      <c r="E31">
        <f>IF(COUNT(C31:D31)=2,D31-C31,"")</f>
        <v>-17.13361752589865</v>
      </c>
      <c r="H31">
        <v>29</v>
      </c>
      <c r="I31">
        <v>28</v>
      </c>
      <c r="J31">
        <f>100*501796/1378717</f>
        <v>36.39586659191117</v>
      </c>
      <c r="K31">
        <f>100*303521/1267282</f>
        <v>23.95054928579432</v>
      </c>
      <c r="L31">
        <f>IF(COUNT(J31:K31)=2,K31-J31,"")</f>
        <v>-12.445317306116852</v>
      </c>
      <c r="O31">
        <v>29</v>
      </c>
      <c r="P31">
        <v>28</v>
      </c>
      <c r="Q31">
        <f>100*492377/1362039</f>
        <v>36.14999276819533</v>
      </c>
      <c r="R31">
        <f>100*352738/1418589</f>
        <v>24.86541203970988</v>
      </c>
      <c r="S31">
        <f>IF(COUNT(Q31:R31)=2,R31-Q31,"")</f>
        <v>-11.284580728485452</v>
      </c>
    </row>
    <row r="32" spans="1:19" x14ac:dyDescent="0.3">
      <c r="A32">
        <v>30</v>
      </c>
      <c r="B32">
        <v>29</v>
      </c>
      <c r="C32">
        <f>100*237648/919878</f>
        <v>25.834730257708088</v>
      </c>
      <c r="D32">
        <f>100*80359/732242</f>
        <v>10.974377323343921</v>
      </c>
      <c r="E32">
        <f>IF(COUNT(C32:D32)=2,D32-C32,"")</f>
        <v>-14.860352934364167</v>
      </c>
      <c r="H32">
        <v>30</v>
      </c>
      <c r="I32">
        <v>29</v>
      </c>
      <c r="J32">
        <f>100*264568/888302</f>
        <v>29.783564598526176</v>
      </c>
      <c r="K32">
        <f>100*126310/813838</f>
        <v>15.520287821409175</v>
      </c>
      <c r="L32">
        <f>IF(COUNT(J32:K32)=2,K32-J32,"")</f>
        <v>-14.263276777117001</v>
      </c>
      <c r="O32">
        <v>30</v>
      </c>
      <c r="P32">
        <v>29</v>
      </c>
      <c r="Q32">
        <f>100*465436/1240969</f>
        <v>37.50585228156384</v>
      </c>
      <c r="R32">
        <f>100*54407/305072</f>
        <v>17.834150626737294</v>
      </c>
      <c r="S32">
        <f>IF(COUNT(Q32:R32)=2,R32-Q32,"")</f>
        <v>-19.671701654826546</v>
      </c>
    </row>
    <row r="33" spans="1:19" x14ac:dyDescent="0.3">
      <c r="A33">
        <v>31</v>
      </c>
      <c r="B33">
        <v>30</v>
      </c>
      <c r="C33">
        <f>100*498726/1349876</f>
        <v>36.946060230717485</v>
      </c>
      <c r="D33">
        <f>100*238931/1081893</f>
        <v>22.08453146475668</v>
      </c>
      <c r="E33">
        <f>IF(COUNT(C33:D33)=2,D33-C33,"")</f>
        <v>-14.861528765960806</v>
      </c>
      <c r="H33">
        <v>31</v>
      </c>
      <c r="I33">
        <v>30</v>
      </c>
      <c r="J33">
        <f>100*307741/1047349</f>
        <v>29.382851370460084</v>
      </c>
      <c r="K33">
        <f>100*308498/1126086</f>
        <v>27.39559855996789</v>
      </c>
      <c r="L33">
        <f>IF(COUNT(J33:K33)=2,K33-J33,"")</f>
        <v>-1.987252810492194</v>
      </c>
      <c r="O33">
        <v>31</v>
      </c>
      <c r="P33">
        <v>30</v>
      </c>
      <c r="Q33">
        <f>100*7935/484889</f>
        <v>1.63645700356164</v>
      </c>
      <c r="R33">
        <f>100*605/482053</f>
        <v>0.12550487187093534</v>
      </c>
      <c r="S33">
        <f>IF(COUNT(Q33:R33)=2,R33-Q33,"")</f>
        <v>-1.5109521316907046</v>
      </c>
    </row>
    <row r="34" spans="1:19" x14ac:dyDescent="0.3">
      <c r="A34" t="s">
        <v>5</v>
      </c>
      <c r="C34">
        <f>IF(COUNT(C3:C33)&gt;0,AVERAGE(C3:C33),"")</f>
        <v>24.75128625154027</v>
      </c>
      <c r="D34">
        <f>IF(COUNT(D3:D33)&gt;0,AVERAGE(D3:D33),"")</f>
        <v>17.152442094986405</v>
      </c>
      <c r="E34">
        <f>IF(COUNT(E3:E33)&gt;0,AVERAGE(E3:E33),"")</f>
        <v>-7.598844156553867</v>
      </c>
      <c r="H34" t="s">
        <v>5</v>
      </c>
      <c r="J34">
        <f>IF(COUNT(J3:J33)&gt;0,AVERAGE(J3:J33),"")</f>
        <v>23.26126650336055</v>
      </c>
      <c r="K34">
        <f>IF(COUNT(K3:K33)&gt;0,AVERAGE(K3:K33),"")</f>
        <v>14.988913808591404</v>
      </c>
      <c r="L34">
        <f>IF(COUNT(L3:L33)&gt;0,AVERAGE(L3:L33),"")</f>
        <v>-8.272352694769145</v>
      </c>
      <c r="O34" t="s">
        <v>5</v>
      </c>
      <c r="Q34">
        <f>IF(COUNT(Q3:Q33)&gt;0,AVERAGE(Q3:Q33),"")</f>
        <v>28.172990083851328</v>
      </c>
      <c r="R34">
        <f>IF(COUNT(R3:R33)&gt;0,AVERAGE(R3:R33),"")</f>
        <v>17.765573660441724</v>
      </c>
      <c r="S34">
        <f>IF(COUNT(S3:S33)&gt;0,AVERAGE(S3:S33),"")</f>
        <v>-10.407416423409595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100*192841/1049609</f>
        <v>18.372651149142204</v>
      </c>
      <c r="D39">
        <f>100*423070/1641953</f>
        <v>25.766267365752856</v>
      </c>
      <c r="E39">
        <f>IF(COUNT(C39:D39)=2,D39-C39,"")</f>
        <v>7.393616216610653</v>
      </c>
      <c r="H39">
        <v>1</v>
      </c>
      <c r="I39">
        <v>0</v>
      </c>
      <c r="J39">
        <f>100*402854/1288411</f>
        <v>31.267507029977235</v>
      </c>
      <c r="K39">
        <f>100*351560/1252557</f>
        <v>28.067385356514713</v>
      </c>
      <c r="L39">
        <f>IF(COUNT(J39:K39)=2,K39-J39,"")</f>
        <v>-3.2001216734625224</v>
      </c>
      <c r="O39">
        <v>1</v>
      </c>
      <c r="P39">
        <v>0</v>
      </c>
      <c r="Q39">
        <f>100*88041/674269</f>
        <v>13.057251631025599</v>
      </c>
      <c r="R39">
        <f>100*31990/590857</f>
        <v>5.414169587565181</v>
      </c>
      <c r="S39">
        <f>IF(COUNT(Q39:R39)=2,R39-Q39,"")</f>
        <v>-7.643082043460418</v>
      </c>
    </row>
    <row r="40" spans="1:19" x14ac:dyDescent="0.3">
      <c r="A40">
        <v>2</v>
      </c>
      <c r="B40">
        <v>1</v>
      </c>
      <c r="C40">
        <f>100*767234/1849227</f>
        <v>41.489443967668656</v>
      </c>
      <c r="D40">
        <f>100*269894/1306845</f>
        <v>20.652334439049774</v>
      </c>
      <c r="E40">
        <f>IF(COUNT(C40:D40)=2,D40-C40,"")</f>
        <v>-20.837109528618882</v>
      </c>
      <c r="H40">
        <v>2</v>
      </c>
      <c r="I40">
        <v>1</v>
      </c>
      <c r="J40">
        <f>100*573780/1506160</f>
        <v>38.095554257183835</v>
      </c>
      <c r="K40">
        <f>100*555032/1948371</f>
        <v>28.486977069562215</v>
      </c>
      <c r="L40">
        <f>IF(COUNT(J40:K40)=2,K40-J40,"")</f>
        <v>-9.60857718762162</v>
      </c>
      <c r="O40">
        <v>2</v>
      </c>
      <c r="P40">
        <v>1</v>
      </c>
      <c r="Q40">
        <f>100*291073/995685</f>
        <v>29.233442303539775</v>
      </c>
      <c r="R40">
        <f>100*251895/1817602</f>
        <v>13.858644521737983</v>
      </c>
      <c r="S40">
        <f>IF(COUNT(Q40:R40)=2,R40-Q40,"")</f>
        <v>-15.374797781801792</v>
      </c>
    </row>
    <row r="41" spans="1:19" x14ac:dyDescent="0.3">
      <c r="A41">
        <v>3</v>
      </c>
      <c r="B41">
        <v>2</v>
      </c>
      <c r="C41">
        <f>100*647494/1597730</f>
        <v>40.525871079594175</v>
      </c>
      <c r="D41">
        <f>100*294978/1419311</f>
        <v>20.783182826033194</v>
      </c>
      <c r="E41">
        <f>IF(COUNT(C41:D41)=2,D41-C41,"")</f>
        <v>-19.74268825356098</v>
      </c>
      <c r="H41">
        <v>3</v>
      </c>
      <c r="I41">
        <v>2</v>
      </c>
      <c r="J41">
        <f>100*646730/1702231</f>
        <v>37.99308084507919</v>
      </c>
      <c r="K41">
        <f>100*23862/672977</f>
        <v>3.54573781867731</v>
      </c>
      <c r="L41">
        <f>IF(COUNT(J41:K41)=2,K41-J41,"")</f>
        <v>-34.44734302640188</v>
      </c>
      <c r="O41">
        <v>3</v>
      </c>
      <c r="P41">
        <v>2</v>
      </c>
      <c r="Q41">
        <f>100*505429/1286969</f>
        <v>39.272818537198646</v>
      </c>
      <c r="R41">
        <f>100*539093/1649767</f>
        <v>32.67691740712476</v>
      </c>
      <c r="S41">
        <f>IF(COUNT(Q41:R41)=2,R41-Q41,"")</f>
        <v>-6.595901130073884</v>
      </c>
    </row>
    <row r="42" spans="1:19" x14ac:dyDescent="0.3">
      <c r="A42">
        <v>4</v>
      </c>
      <c r="B42">
        <v>3</v>
      </c>
      <c r="C42">
        <f>100*45060/760183</f>
        <v>5.927520083979778</v>
      </c>
      <c r="D42">
        <f>100*53751/749211</f>
        <v>7.17434741347898</v>
      </c>
      <c r="E42">
        <f>IF(COUNT(C42:D42)=2,D42-C42,"")</f>
        <v>1.2468273294992018</v>
      </c>
      <c r="H42">
        <v>4</v>
      </c>
      <c r="I42">
        <v>3</v>
      </c>
      <c r="J42">
        <f>100*44764/778520</f>
        <v>5.749884396033499</v>
      </c>
      <c r="K42">
        <f>100*25443/653101</f>
        <v>3.8957221011757754</v>
      </c>
      <c r="L42">
        <f>IF(COUNT(J42:K42)=2,K42-J42,"")</f>
        <v>-1.8541622948577237</v>
      </c>
      <c r="O42">
        <v>4</v>
      </c>
      <c r="P42">
        <v>3</v>
      </c>
      <c r="Q42">
        <f>100*589890/1404698</f>
        <v>41.9940798662773</v>
      </c>
      <c r="R42">
        <f>100*288218/1242290</f>
        <v>23.20054093649631</v>
      </c>
      <c r="S42">
        <f>IF(COUNT(Q42:R42)=2,R42-Q42,"")</f>
        <v>-18.793538929780993</v>
      </c>
    </row>
    <row r="43" spans="1:19" x14ac:dyDescent="0.3">
      <c r="A43">
        <v>5</v>
      </c>
      <c r="B43">
        <v>4</v>
      </c>
      <c r="C43">
        <f>100*964627/2043023</f>
        <v>47.21567011237759</v>
      </c>
      <c r="D43">
        <f>100*657564/2189535</f>
        <v>30.03213010981784</v>
      </c>
      <c r="E43">
        <f>IF(COUNT(C43:D43)=2,D43-C43,"")</f>
        <v>-17.18354000255975</v>
      </c>
      <c r="H43">
        <v>5</v>
      </c>
      <c r="I43">
        <v>4</v>
      </c>
      <c r="J43">
        <f>100*942269/2236809</f>
        <v>42.12559051756319</v>
      </c>
      <c r="K43">
        <f>100*519782/1891437</f>
        <v>27.480798990397247</v>
      </c>
      <c r="L43">
        <f>IF(COUNT(J43:K43)=2,K43-J43,"")</f>
        <v>-14.644791527165943</v>
      </c>
      <c r="O43">
        <v>5</v>
      </c>
      <c r="P43">
        <v>4</v>
      </c>
      <c r="Q43">
        <f>100*141535/798132</f>
        <v>17.73328221396962</v>
      </c>
      <c r="R43">
        <f>100*152901/1070828</f>
        <v>14.278763723025547</v>
      </c>
      <c r="S43">
        <f>IF(COUNT(Q43:R43)=2,R43-Q43,"")</f>
        <v>-3.454518490944073</v>
      </c>
    </row>
    <row r="44" spans="1:19" x14ac:dyDescent="0.3">
      <c r="A44">
        <v>6</v>
      </c>
      <c r="B44">
        <v>5</v>
      </c>
      <c r="C44">
        <f>100*200146/1105970</f>
        <v>18.09687423709504</v>
      </c>
      <c r="D44">
        <f>100*236855/1252212</f>
        <v>18.91492814315787</v>
      </c>
      <c r="E44">
        <f>IF(COUNT(C44:D44)=2,D44-C44,"")</f>
        <v>0.8180539060628291</v>
      </c>
      <c r="H44">
        <v>6</v>
      </c>
      <c r="I44">
        <v>5</v>
      </c>
      <c r="J44">
        <f>100*712109/1711457</f>
        <v>41.60834890973013</v>
      </c>
      <c r="K44">
        <f>100*390010/1594870</f>
        <v>24.454030736047454</v>
      </c>
      <c r="L44">
        <f>IF(COUNT(J44:K44)=2,K44-J44,"")</f>
        <v>-17.15431817368268</v>
      </c>
      <c r="O44">
        <v>6</v>
      </c>
      <c r="P44">
        <v>5</v>
      </c>
      <c r="Q44">
        <f>100*603941/1377183</f>
        <v>43.8533586313511</v>
      </c>
      <c r="R44">
        <f>100*199439/965606</f>
        <v>20.654283424088085</v>
      </c>
      <c r="S44">
        <f>IF(COUNT(Q44:R44)=2,R44-Q44,"")</f>
        <v>-23.199075207263014</v>
      </c>
    </row>
    <row r="45" spans="1:19" x14ac:dyDescent="0.3">
      <c r="A45">
        <v>7</v>
      </c>
      <c r="B45">
        <v>6</v>
      </c>
      <c r="C45">
        <f>100*18395/700580</f>
        <v>2.6256815781209855</v>
      </c>
      <c r="D45">
        <f>100*80808/712365</f>
        <v>11.343623002253059</v>
      </c>
      <c r="E45">
        <f>IF(COUNT(C45:D45)=2,D45-C45,"")</f>
        <v>8.717941424132073</v>
      </c>
      <c r="H45">
        <v>7</v>
      </c>
      <c r="I45">
        <v>6</v>
      </c>
      <c r="J45">
        <f>100*1624/545527</f>
        <v>0.2976937896749382</v>
      </c>
      <c r="K45">
        <f>100*3742/540259</f>
        <v>0.6926307567296426</v>
      </c>
      <c r="L45">
        <f>IF(COUNT(J45:K45)=2,K45-J45,"")</f>
        <v>0.3949369670547044</v>
      </c>
      <c r="O45">
        <v>7</v>
      </c>
      <c r="P45">
        <v>6</v>
      </c>
      <c r="Q45">
        <f>100*672106/1493090</f>
        <v>45.01443315540256</v>
      </c>
      <c r="R45">
        <f>100*518215/1666465</f>
        <v>31.09666269618624</v>
      </c>
      <c r="S45">
        <f>IF(COUNT(Q45:R45)=2,R45-Q45,"")</f>
        <v>-13.917770459216317</v>
      </c>
    </row>
    <row r="46" spans="1:19" x14ac:dyDescent="0.3">
      <c r="A46">
        <v>8</v>
      </c>
      <c r="B46">
        <v>7</v>
      </c>
      <c r="C46">
        <f>100*20606/505497</f>
        <v>4.076384231756074</v>
      </c>
      <c r="D46">
        <f>100*31259/525193</f>
        <v>5.95190720363752</v>
      </c>
      <c r="E46">
        <f>IF(COUNT(C46:D46)=2,D46-C46,"")</f>
        <v>1.8755229718814457</v>
      </c>
      <c r="H46">
        <v>8</v>
      </c>
      <c r="I46">
        <v>7</v>
      </c>
      <c r="J46">
        <f>100*2064/453926</f>
        <v>0.45469966470305734</v>
      </c>
      <c r="K46">
        <f>100*2071/519594</f>
        <v>0.39858043010504357</v>
      </c>
      <c r="L46">
        <f>IF(COUNT(J46:K46)=2,K46-J46,"")</f>
        <v>-0.05611923459801377</v>
      </c>
      <c r="O46">
        <v>8</v>
      </c>
      <c r="P46">
        <v>7</v>
      </c>
      <c r="Q46">
        <f>100*703275/1703373</f>
        <v>41.28719898695118</v>
      </c>
      <c r="R46">
        <f>100*211530/1045611</f>
        <v>20.230276842917682</v>
      </c>
      <c r="S46">
        <f>IF(COUNT(Q46:R46)=2,R46-Q46,"")</f>
        <v>-21.0569221440335</v>
      </c>
    </row>
    <row r="47" spans="1:19" x14ac:dyDescent="0.3">
      <c r="A47">
        <v>9</v>
      </c>
      <c r="B47">
        <v>8</v>
      </c>
      <c r="C47">
        <f>100*929076/2063992</f>
        <v>45.01354656413397</v>
      </c>
      <c r="D47">
        <f>100*544903/1850790</f>
        <v>29.44164383857704</v>
      </c>
      <c r="E47">
        <f>IF(COUNT(C47:D47)=2,D47-C47,"")</f>
        <v>-15.571902725556928</v>
      </c>
      <c r="H47">
        <v>9</v>
      </c>
      <c r="I47">
        <v>8</v>
      </c>
      <c r="J47">
        <f>100*779177/1827411</f>
        <v>42.63830085295535</v>
      </c>
      <c r="K47">
        <f>100*708941/2083724</f>
        <v>34.022788046785465</v>
      </c>
      <c r="L47">
        <f>IF(COUNT(J47:K47)=2,K47-J47,"")</f>
        <v>-8.615512806169889</v>
      </c>
      <c r="O47">
        <v>9</v>
      </c>
      <c r="P47">
        <v>8</v>
      </c>
      <c r="Q47">
        <f>100*785425/1662476</f>
        <v>47.244291045404566</v>
      </c>
      <c r="R47">
        <f>100*339903/1358794</f>
        <v>25.015050110612794</v>
      </c>
      <c r="S47">
        <f>IF(COUNT(Q47:R47)=2,R47-Q47,"")</f>
        <v>-22.229240934791772</v>
      </c>
    </row>
    <row r="48" spans="1:19" x14ac:dyDescent="0.3">
      <c r="A48">
        <v>10</v>
      </c>
      <c r="B48">
        <v>9</v>
      </c>
      <c r="C48">
        <f>100*401887/1367048</f>
        <v>29.39816304913946</v>
      </c>
      <c r="D48">
        <f>100*10708/589371</f>
        <v>1.8168522034507975</v>
      </c>
      <c r="E48">
        <f>IF(COUNT(C48:D48)=2,D48-C48,"")</f>
        <v>-27.581310845688662</v>
      </c>
      <c r="H48">
        <v>10</v>
      </c>
      <c r="I48">
        <v>9</v>
      </c>
      <c r="J48">
        <f>100*872985/1990559</f>
        <v>43.85627353924199</v>
      </c>
      <c r="K48">
        <f>100*54747/959179</f>
        <v>5.707693767273887</v>
      </c>
      <c r="L48">
        <f>IF(COUNT(J48:K48)=2,K48-J48,"")</f>
        <v>-38.1485797719681</v>
      </c>
      <c r="O48">
        <v>10</v>
      </c>
      <c r="P48">
        <v>9</v>
      </c>
      <c r="Q48">
        <f>100*317010/1082800</f>
        <v>29.276874769117104</v>
      </c>
      <c r="R48">
        <f>100*48099/764909</f>
        <v>6.288198988376395</v>
      </c>
      <c r="S48">
        <f>IF(COUNT(Q48:R48)=2,R48-Q48,"")</f>
        <v>-22.988675780740707</v>
      </c>
    </row>
    <row r="49" spans="1:19" x14ac:dyDescent="0.3">
      <c r="A49">
        <v>11</v>
      </c>
      <c r="B49">
        <v>10</v>
      </c>
      <c r="C49">
        <f>100*705082/1682816</f>
        <v>41.898936069065186</v>
      </c>
      <c r="D49">
        <f>100*269387/1314008</f>
        <v>20.50116894265484</v>
      </c>
      <c r="E49">
        <f>IF(COUNT(C49:D49)=2,D49-C49,"")</f>
        <v>-21.397767126410347</v>
      </c>
      <c r="H49">
        <v>11</v>
      </c>
      <c r="I49">
        <v>10</v>
      </c>
      <c r="J49">
        <f>100*582667/1702410</f>
        <v>34.22600901075534</v>
      </c>
      <c r="K49">
        <f>100*19295/952875</f>
        <v>2.024924570379116</v>
      </c>
      <c r="L49">
        <f>IF(COUNT(J49:K49)=2,K49-J49,"")</f>
        <v>-32.20108444037623</v>
      </c>
      <c r="O49">
        <v>11</v>
      </c>
      <c r="P49">
        <v>10</v>
      </c>
      <c r="Q49">
        <f>100*610513/1430887</f>
        <v>42.666751462554345</v>
      </c>
      <c r="R49">
        <f>100*211022/1017300</f>
        <v>20.743340214292736</v>
      </c>
      <c r="S49">
        <f>IF(COUNT(Q49:R49)=2,R49-Q49,"")</f>
        <v>-21.92341124826161</v>
      </c>
    </row>
    <row r="50" spans="1:19" x14ac:dyDescent="0.3">
      <c r="A50">
        <v>12</v>
      </c>
      <c r="B50">
        <v>11</v>
      </c>
      <c r="C50">
        <f>100*661603/1691906</f>
        <v>39.10400459600002</v>
      </c>
      <c r="D50">
        <f>100*68107/711882</f>
        <v>9.567175458854136</v>
      </c>
      <c r="E50">
        <f>IF(COUNT(C50:D50)=2,D50-C50,"")</f>
        <v>-29.53682913714588</v>
      </c>
      <c r="H50">
        <v>12</v>
      </c>
      <c r="I50">
        <v>11</v>
      </c>
      <c r="J50">
        <f>100*2109/16409</f>
        <v>12.85270278505698</v>
      </c>
      <c r="K50">
        <f>100*394720/1519568</f>
        <v>25.975803649458268</v>
      </c>
      <c r="L50">
        <f>IF(COUNT(J50:K50)=2,K50-J50,"")</f>
        <v>13.123100864401287</v>
      </c>
      <c r="O50">
        <v>12</v>
      </c>
      <c r="P50">
        <v>11</v>
      </c>
      <c r="Q50">
        <f>100*565746/1449544</f>
        <v>39.029239540158834</v>
      </c>
      <c r="R50">
        <f>100*616413/1784763</f>
        <v>34.53752683129357</v>
      </c>
      <c r="S50">
        <f>IF(COUNT(Q50:R50)=2,R50-Q50,"")</f>
        <v>-4.491712708865265</v>
      </c>
    </row>
    <row r="51" spans="1:19" x14ac:dyDescent="0.3">
      <c r="A51">
        <v>13</v>
      </c>
      <c r="B51">
        <v>12</v>
      </c>
      <c r="C51">
        <f>100*13444/609443</f>
        <v>2.20594871054389</v>
      </c>
      <c r="D51">
        <f>100*51662/790885</f>
        <v>6.532175980072957</v>
      </c>
      <c r="E51">
        <f>IF(COUNT(C51:D51)=2,D51-C51,"")</f>
        <v>4.326227269529067</v>
      </c>
      <c r="H51">
        <v>13</v>
      </c>
      <c r="I51">
        <v>12</v>
      </c>
      <c r="J51">
        <f>100*78998/737547</f>
        <v>10.710910626712602</v>
      </c>
      <c r="K51">
        <f>100*11301/736707</f>
        <v>1.5339884105892845</v>
      </c>
      <c r="L51">
        <f>IF(COUNT(J51:K51)=2,K51-J51,"")</f>
        <v>-9.176922216123318</v>
      </c>
      <c r="O51">
        <v>13</v>
      </c>
      <c r="P51">
        <v>12</v>
      </c>
      <c r="Q51">
        <f>100*653960/1481691</f>
        <v>44.136058057989146</v>
      </c>
      <c r="R51">
        <f>100*248789/1160320</f>
        <v>21.44141271373414</v>
      </c>
      <c r="S51">
        <f>IF(COUNT(Q51:R51)=2,R51-Q51,"")</f>
        <v>-22.694645344255004</v>
      </c>
    </row>
    <row r="52" spans="1:19" x14ac:dyDescent="0.3">
      <c r="A52">
        <v>14</v>
      </c>
      <c r="B52">
        <v>13</v>
      </c>
      <c r="C52">
        <f>100*183005/843268</f>
        <v>21.701878880735425</v>
      </c>
      <c r="D52">
        <f>100*249729/1117686</f>
        <v>22.343395193283264</v>
      </c>
      <c r="E52">
        <f>IF(COUNT(C52:D52)=2,D52-C52,"")</f>
        <v>0.6415163125478394</v>
      </c>
      <c r="H52">
        <v>14</v>
      </c>
      <c r="I52">
        <v>13</v>
      </c>
      <c r="J52">
        <f>100*450919/1374273</f>
        <v>32.811457403296146</v>
      </c>
      <c r="K52">
        <f>100*301765/1181329</f>
        <v>25.544535010991858</v>
      </c>
      <c r="L52">
        <f>IF(COUNT(J52:K52)=2,K52-J52,"")</f>
        <v>-7.266922392304288</v>
      </c>
      <c r="O52">
        <v>14</v>
      </c>
      <c r="P52">
        <v>13</v>
      </c>
      <c r="Q52">
        <f>100*1624/402681</f>
        <v>0.40329690251092054</v>
      </c>
      <c r="R52">
        <f>100*15101/669044</f>
        <v>2.2571011772020975</v>
      </c>
      <c r="S52">
        <f>IF(COUNT(Q52:R52)=2,R52-Q52,"")</f>
        <v>1.853804274691177</v>
      </c>
    </row>
    <row r="53" spans="1:19" x14ac:dyDescent="0.3">
      <c r="A53">
        <v>15</v>
      </c>
      <c r="B53">
        <v>14</v>
      </c>
      <c r="C53">
        <f>100*855788/1778828</f>
        <v>48.10965422176849</v>
      </c>
      <c r="D53">
        <f>100*432333/1665560</f>
        <v>25.957215591152526</v>
      </c>
      <c r="E53">
        <f>IF(COUNT(C53:D53)=2,D53-C53,"")</f>
        <v>-22.15243863061596</v>
      </c>
      <c r="H53">
        <v>15</v>
      </c>
      <c r="I53">
        <v>14</v>
      </c>
      <c r="J53">
        <f>100*381484/1238884</f>
        <v>30.792552006483255</v>
      </c>
      <c r="K53">
        <f>100*518346/1855351</f>
        <v>27.937894231334123</v>
      </c>
      <c r="L53">
        <f>IF(COUNT(J53:K53)=2,K53-J53,"")</f>
        <v>-2.854657775149132</v>
      </c>
      <c r="O53">
        <v>15</v>
      </c>
      <c r="P53">
        <v>14</v>
      </c>
      <c r="Q53">
        <f>100*373593/1196320</f>
        <v>31.22851745352414</v>
      </c>
      <c r="R53">
        <f>100*523794/1683820</f>
        <v>31.10748179734176</v>
      </c>
      <c r="S53">
        <f>IF(COUNT(Q53:R53)=2,R53-Q53,"")</f>
        <v>-0.12103565618238221</v>
      </c>
    </row>
    <row r="54" spans="1:19" x14ac:dyDescent="0.3">
      <c r="A54">
        <v>16</v>
      </c>
      <c r="B54">
        <v>15</v>
      </c>
      <c r="C54">
        <f>100*888567/1959716</f>
        <v>45.34162092874682</v>
      </c>
      <c r="D54">
        <f>100*154981/1090063</f>
        <v>14.217618614703921</v>
      </c>
      <c r="E54">
        <f>IF(COUNT(C54:D54)=2,D54-C54,"")</f>
        <v>-31.124002314042897</v>
      </c>
      <c r="H54">
        <v>16</v>
      </c>
      <c r="I54">
        <v>15</v>
      </c>
      <c r="J54">
        <f>100*600755/1390841</f>
        <v>43.19365046040489</v>
      </c>
      <c r="K54">
        <f>100*3506/437153</f>
        <v>0.8020075351192831</v>
      </c>
      <c r="L54">
        <f>IF(COUNT(J54:K54)=2,K54-J54,"")</f>
        <v>-42.39164292528561</v>
      </c>
      <c r="O54">
        <v>16</v>
      </c>
      <c r="P54">
        <v>15</v>
      </c>
      <c r="Q54">
        <f>100*595830/1410973</f>
        <v>42.22830628226054</v>
      </c>
      <c r="R54">
        <f>100*169661/861836</f>
        <v>19.685995943543784</v>
      </c>
      <c r="S54">
        <f>IF(COUNT(Q54:R54)=2,R54-Q54,"")</f>
        <v>-22.542310338716756</v>
      </c>
    </row>
    <row r="55" spans="1:19" x14ac:dyDescent="0.3">
      <c r="A55">
        <v>17</v>
      </c>
      <c r="B55">
        <v>16</v>
      </c>
      <c r="C55">
        <f>100*543691/1545910</f>
        <v>35.1696411822163</v>
      </c>
      <c r="D55">
        <f>100*536927/1774021</f>
        <v>30.26610169778148</v>
      </c>
      <c r="E55">
        <f>IF(COUNT(C55:D55)=2,D55-C55,"")</f>
        <v>-4.903539484434823</v>
      </c>
      <c r="H55">
        <v>17</v>
      </c>
      <c r="I55">
        <v>16</v>
      </c>
      <c r="J55">
        <f>100*627913/1725883</f>
        <v>36.38213019074873</v>
      </c>
      <c r="K55">
        <f>100*299266/1449565</f>
        <v>20.645228051173973</v>
      </c>
      <c r="L55">
        <f>IF(COUNT(J55:K55)=2,K55-J55,"")</f>
        <v>-15.73690213957476</v>
      </c>
      <c r="O55">
        <v>17</v>
      </c>
      <c r="P55">
        <v>16</v>
      </c>
      <c r="Q55">
        <f>100*6486/400160</f>
        <v>1.6208516593362654</v>
      </c>
      <c r="R55">
        <f>100*5391/403834</f>
        <v>1.3349544614866504</v>
      </c>
      <c r="S55">
        <f>IF(COUNT(Q55:R55)=2,R55-Q55,"")</f>
        <v>-0.285897197849615</v>
      </c>
    </row>
    <row r="56" spans="1:19" x14ac:dyDescent="0.3">
      <c r="A56">
        <v>18</v>
      </c>
      <c r="B56">
        <v>17</v>
      </c>
      <c r="C56">
        <f>100*889308/1891000</f>
        <v>47.02845055526176</v>
      </c>
      <c r="D56">
        <f>100*535313/1753644</f>
        <v>30.525750950592023</v>
      </c>
      <c r="E56">
        <f>IF(COUNT(C56:D56)=2,D56-C56,"")</f>
        <v>-16.50269960466974</v>
      </c>
      <c r="H56">
        <v>18</v>
      </c>
      <c r="I56">
        <v>17</v>
      </c>
      <c r="J56">
        <f>100*355/2215</f>
        <v>16.02708803611738</v>
      </c>
      <c r="K56">
        <f>100*617612/1995281</f>
        <v>30.953635102023224</v>
      </c>
      <c r="L56">
        <f>IF(COUNT(J56:K56)=2,K56-J56,"")</f>
        <v>14.926547065905844</v>
      </c>
      <c r="O56">
        <v>18</v>
      </c>
      <c r="P56">
        <v>17</v>
      </c>
      <c r="Q56">
        <f>100*78465/548560</f>
        <v>14.303813621117106</v>
      </c>
      <c r="R56">
        <f>100*21212/427633</f>
        <v>4.96032813183267</v>
      </c>
      <c r="S56">
        <f>IF(COUNT(Q56:R56)=2,R56-Q56,"")</f>
        <v>-9.343485489284436</v>
      </c>
    </row>
    <row r="57" spans="1:19" x14ac:dyDescent="0.3">
      <c r="A57">
        <v>19</v>
      </c>
      <c r="B57">
        <v>18</v>
      </c>
      <c r="C57">
        <f>100*419048/1297589</f>
        <v>32.294355146352196</v>
      </c>
      <c r="D57">
        <f>100*245518/1096487</f>
        <v>22.39132794096054</v>
      </c>
      <c r="E57">
        <f>IF(COUNT(C57:D57)=2,D57-C57,"")</f>
        <v>-9.903027205391655</v>
      </c>
      <c r="H57">
        <v>19</v>
      </c>
      <c r="I57">
        <v>18</v>
      </c>
      <c r="J57">
        <f>100*451032/1332344</f>
        <v>33.85251856877803</v>
      </c>
      <c r="K57">
        <f>100*151243/1007970</f>
        <v>15.004712441838548</v>
      </c>
      <c r="L57">
        <f>IF(COUNT(J57:K57)=2,K57-J57,"")</f>
        <v>-18.84780612693948</v>
      </c>
      <c r="O57">
        <v>19</v>
      </c>
      <c r="P57">
        <v>18</v>
      </c>
      <c r="Q57">
        <f>100*644704/1630522</f>
        <v>39.53973022136469</v>
      </c>
      <c r="R57">
        <f>100*532534/1647492</f>
        <v>32.323920237548954</v>
      </c>
      <c r="S57">
        <f>IF(COUNT(Q57:R57)=2,R57-Q57,"")</f>
        <v>-7.215809983815738</v>
      </c>
    </row>
    <row r="58" spans="1:19" x14ac:dyDescent="0.3">
      <c r="A58">
        <v>20</v>
      </c>
      <c r="B58">
        <v>19</v>
      </c>
      <c r="C58">
        <f>100*679956/1609329</f>
        <v>42.250900841282295</v>
      </c>
      <c r="D58">
        <f>100*59716/969891</f>
        <v>6.15698052667774</v>
      </c>
      <c r="E58">
        <f>IF(COUNT(C58:D58)=2,D58-C58,"")</f>
        <v>-36.09392031460455</v>
      </c>
      <c r="H58">
        <v>20</v>
      </c>
      <c r="I58">
        <v>19</v>
      </c>
      <c r="J58">
        <f>100*854529/1945718</f>
        <v>43.918440390642424</v>
      </c>
      <c r="K58">
        <f>100*402195/1550376</f>
        <v>25.941771544451154</v>
      </c>
      <c r="L58">
        <f>IF(COUNT(J58:K58)=2,K58-J58,"")</f>
        <v>-17.97666884619127</v>
      </c>
      <c r="O58">
        <v>20</v>
      </c>
      <c r="P58">
        <v>19</v>
      </c>
      <c r="Q58">
        <f>100*668214/1556077</f>
        <v>42.94221944029762</v>
      </c>
      <c r="R58">
        <f>100*65410/771229</f>
        <v>8.481268209571995</v>
      </c>
      <c r="S58">
        <f>IF(COUNT(Q58:R58)=2,R58-Q58,"")</f>
        <v>-34.46095123072563</v>
      </c>
    </row>
    <row r="59" spans="1:19" x14ac:dyDescent="0.3">
      <c r="A59">
        <v>21</v>
      </c>
      <c r="B59">
        <v>20</v>
      </c>
      <c r="C59">
        <f>100*775725/1847570</f>
        <v>41.98623056230616</v>
      </c>
      <c r="D59">
        <f>100*169679/958720</f>
        <v>17.698493825100133</v>
      </c>
      <c r="E59">
        <f>IF(COUNT(C59:D59)=2,D59-C59,"")</f>
        <v>-24.28773673720603</v>
      </c>
      <c r="H59">
        <v>21</v>
      </c>
      <c r="I59">
        <v>20</v>
      </c>
      <c r="J59">
        <f>100*708159/1885839</f>
        <v>37.5514028504024</v>
      </c>
      <c r="K59">
        <f>100*301620/1434794</f>
        <v>21.021833099385695</v>
      </c>
      <c r="L59">
        <f>IF(COUNT(J59:K59)=2,K59-J59,"")</f>
        <v>-16.5295697510167</v>
      </c>
      <c r="O59">
        <v>21</v>
      </c>
      <c r="P59">
        <v>20</v>
      </c>
      <c r="Q59">
        <f>100*370589/1143839</f>
        <v>32.39870296431578</v>
      </c>
      <c r="R59">
        <f>100*204450/964591</f>
        <v>21.195511880164755</v>
      </c>
      <c r="S59">
        <f>IF(COUNT(Q59:R59)=2,R59-Q59,"")</f>
        <v>-11.203191084151026</v>
      </c>
    </row>
    <row r="60" spans="1:19" x14ac:dyDescent="0.3">
      <c r="A60">
        <v>22</v>
      </c>
      <c r="B60">
        <v>21</v>
      </c>
      <c r="C60">
        <f>100*654996/1913846</f>
        <v>34.22407027524681</v>
      </c>
      <c r="D60">
        <f>100*279223/1413964</f>
        <v>19.74753246900204</v>
      </c>
      <c r="E60">
        <f>IF(COUNT(C60:D60)=2,D60-C60,"")</f>
        <v>-14.476537806244771</v>
      </c>
      <c r="H60">
        <v>22</v>
      </c>
      <c r="I60">
        <v>21</v>
      </c>
      <c r="J60">
        <f>100*858363/1916826</f>
        <v>44.78043390479887</v>
      </c>
      <c r="K60">
        <f>100*390849/1459693</f>
        <v>26.776109771027194</v>
      </c>
      <c r="L60">
        <f>IF(COUNT(J60:K60)=2,K60-J60,"")</f>
        <v>-18.004324133771675</v>
      </c>
      <c r="O60">
        <v>22</v>
      </c>
      <c r="P60">
        <v>21</v>
      </c>
      <c r="Q60">
        <f>100*754527/1680084</f>
        <v>44.91007592477519</v>
      </c>
      <c r="R60">
        <f>100*520561/1653946</f>
        <v>31.47388125126213</v>
      </c>
      <c r="S60">
        <f>IF(COUNT(Q60:R60)=2,R60-Q60,"")</f>
        <v>-13.43619467351306</v>
      </c>
    </row>
    <row r="61" spans="1:19" x14ac:dyDescent="0.3">
      <c r="A61">
        <v>23</v>
      </c>
      <c r="B61">
        <v>22</v>
      </c>
      <c r="C61">
        <f>100*604684/1725077</f>
        <v>35.052580261634695</v>
      </c>
      <c r="D61">
        <f>100*622187/1715852</f>
        <v>36.26111109815998</v>
      </c>
      <c r="E61">
        <f>IF(COUNT(C61:D61)=2,D61-C61,"")</f>
        <v>1.2085308365252843</v>
      </c>
      <c r="H61">
        <v>23</v>
      </c>
      <c r="I61">
        <v>22</v>
      </c>
      <c r="J61">
        <f>100*941313/1944636</f>
        <v>48.40561421263414</v>
      </c>
      <c r="K61">
        <f>100*112744/1054508</f>
        <v>10.691621116198265</v>
      </c>
      <c r="L61">
        <f>IF(COUNT(J61:K61)=2,K61-J61,"")</f>
        <v>-37.71399309643588</v>
      </c>
      <c r="O61">
        <v>23</v>
      </c>
      <c r="P61">
        <v>22</v>
      </c>
      <c r="Q61">
        <f>100*844/356205</f>
        <v>0.236942210244101</v>
      </c>
      <c r="R61">
        <f>100*34/334307</f>
        <v>0.010170292575387294</v>
      </c>
      <c r="S61">
        <f>IF(COUNT(Q61:R61)=2,R61-Q61,"")</f>
        <v>-0.2267719176687137</v>
      </c>
    </row>
    <row r="62" spans="1:19" x14ac:dyDescent="0.3">
      <c r="A62">
        <v>24</v>
      </c>
      <c r="B62">
        <v>23</v>
      </c>
      <c r="C62">
        <f>100*344998/1193986</f>
        <v>28.894643655788258</v>
      </c>
      <c r="D62">
        <f>100*89603/1037600</f>
        <v>8.635601387818042</v>
      </c>
      <c r="E62">
        <f>IF(COUNT(C62:D62)=2,D62-C62,"")</f>
        <v>-20.259042267970216</v>
      </c>
      <c r="H62">
        <v>24</v>
      </c>
      <c r="I62">
        <v>23</v>
      </c>
      <c r="J62">
        <f>100*792417/1775752</f>
        <v>44.62430564628394</v>
      </c>
      <c r="K62">
        <f>100*7953/754583</f>
        <v>1.0539596041787318</v>
      </c>
      <c r="L62">
        <f>IF(COUNT(J62:K62)=2,K62-J62,"")</f>
        <v>-43.570346042105214</v>
      </c>
      <c r="O62">
        <v>24</v>
      </c>
      <c r="P62">
        <v>23</v>
      </c>
      <c r="Q62">
        <f>100*197250/941831</f>
        <v>20.94324778012191</v>
      </c>
      <c r="R62">
        <f>100*14077/736907</f>
        <v>1.9102817587565324</v>
      </c>
      <c r="S62">
        <f>IF(COUNT(Q62:R62)=2,R62-Q62,"")</f>
        <v>-19.03296602136538</v>
      </c>
    </row>
    <row r="63" spans="1:19" x14ac:dyDescent="0.3">
      <c r="A63">
        <v>25</v>
      </c>
      <c r="B63">
        <v>24</v>
      </c>
      <c r="C63">
        <f>100*768464/1759518</f>
        <v>43.67468818164975</v>
      </c>
      <c r="D63">
        <f>100*45570/945640</f>
        <v>4.818958588892179</v>
      </c>
      <c r="E63">
        <f>IF(COUNT(C63:D63)=2,D63-C63,"")</f>
        <v>-38.85572959275757</v>
      </c>
      <c r="H63">
        <v>25</v>
      </c>
      <c r="I63">
        <v>24</v>
      </c>
      <c r="J63">
        <f>100*708043/1588574</f>
        <v>44.57098001100358</v>
      </c>
      <c r="K63">
        <f>100*42830/657852</f>
        <v>6.510582927466968</v>
      </c>
      <c r="L63">
        <f>IF(COUNT(J63:K63)=2,K63-J63,"")</f>
        <v>-38.06039708353661</v>
      </c>
      <c r="O63">
        <v>25</v>
      </c>
      <c r="P63">
        <v>24</v>
      </c>
      <c r="Q63">
        <f>100*339441/1160878</f>
        <v>29.240023499454722</v>
      </c>
      <c r="R63">
        <f>100*382775/1400884</f>
        <v>27.323818388960113</v>
      </c>
      <c r="S63">
        <f>IF(COUNT(Q63:R63)=2,R63-Q63,"")</f>
        <v>-1.9162051104946087</v>
      </c>
    </row>
    <row r="64" spans="1:19" x14ac:dyDescent="0.3">
      <c r="A64">
        <v>26</v>
      </c>
      <c r="B64">
        <v>25</v>
      </c>
      <c r="C64">
        <f>100*872598/1965096</f>
        <v>44.40485350334029</v>
      </c>
      <c r="D64">
        <f>100*357299/1626372</f>
        <v>21.96908210421724</v>
      </c>
      <c r="E64">
        <f>IF(COUNT(C64:D64)=2,D64-C64,"")</f>
        <v>-22.435771399123052</v>
      </c>
      <c r="H64">
        <v>26</v>
      </c>
      <c r="I64">
        <v>25</v>
      </c>
      <c r="J64">
        <f>100*398836/1246025</f>
        <v>32.008667562849865</v>
      </c>
      <c r="K64">
        <f>100*215225/1153317</f>
        <v>18.661391447451134</v>
      </c>
      <c r="L64">
        <f>IF(COUNT(J64:K64)=2,K64-J64,"")</f>
        <v>-13.347276115398731</v>
      </c>
      <c r="O64">
        <v>26</v>
      </c>
      <c r="P64">
        <v>25</v>
      </c>
      <c r="Q64">
        <f>100*775571/1671807</f>
        <v>46.39118032165196</v>
      </c>
      <c r="R64">
        <f>100*451132/1520438</f>
        <v>29.671186855366678</v>
      </c>
      <c r="S64">
        <f>IF(COUNT(Q64:R64)=2,R64-Q64,"")</f>
        <v>-16.71999346628528</v>
      </c>
    </row>
    <row r="65" spans="1:19" x14ac:dyDescent="0.3">
      <c r="A65">
        <v>27</v>
      </c>
      <c r="B65">
        <v>26</v>
      </c>
      <c r="C65">
        <f>100*588879/1713537</f>
        <v>34.36628447474435</v>
      </c>
      <c r="D65">
        <f>100*407082/1744405</f>
        <v>23.33643849908708</v>
      </c>
      <c r="E65">
        <f>IF(COUNT(C65:D65)=2,D65-C65,"")</f>
        <v>-11.029845975657267</v>
      </c>
      <c r="H65">
        <v>27</v>
      </c>
      <c r="I65">
        <v>26</v>
      </c>
      <c r="J65">
        <f>100*537175/1539092</f>
        <v>34.90207213084078</v>
      </c>
      <c r="K65">
        <f>100*294776/1330129</f>
        <v>22.16145952760973</v>
      </c>
      <c r="L65">
        <f>IF(COUNT(J65:K65)=2,K65-J65,"")</f>
        <v>-12.74061260323105</v>
      </c>
      <c r="O65">
        <v>27</v>
      </c>
      <c r="P65">
        <v>26</v>
      </c>
      <c r="Q65">
        <f>100*484579/1297589</f>
        <v>37.34456750172821</v>
      </c>
      <c r="R65">
        <f>100*495555/1575917</f>
        <v>31.445501254190418</v>
      </c>
      <c r="S65">
        <f>IF(COUNT(Q65:R65)=2,R65-Q65,"")</f>
        <v>-5.899066247537789</v>
      </c>
    </row>
    <row r="66" spans="1:19" x14ac:dyDescent="0.3">
      <c r="A66">
        <v>28</v>
      </c>
      <c r="B66">
        <v>27</v>
      </c>
      <c r="C66">
        <f>100*367929/1192094</f>
        <v>30.864092932268765</v>
      </c>
      <c r="D66">
        <f>100*532434/1751302</f>
        <v>30.40218077750154</v>
      </c>
      <c r="E66">
        <f>IF(COUNT(C66:D66)=2,D66-C66,"")</f>
        <v>-0.46191215476722647</v>
      </c>
      <c r="H66">
        <v>28</v>
      </c>
      <c r="I66">
        <v>27</v>
      </c>
      <c r="J66">
        <f>100*531985/1356503</f>
        <v>39.21738470169252</v>
      </c>
      <c r="K66">
        <f>100*314280/1424512</f>
        <v>22.062292209542637</v>
      </c>
      <c r="L66">
        <f>IF(COUNT(J66:K66)=2,K66-J66,"")</f>
        <v>-17.15509249214988</v>
      </c>
      <c r="O66">
        <v>28</v>
      </c>
      <c r="P66">
        <v>27</v>
      </c>
      <c r="Q66">
        <f>100*341/342230</f>
        <v>0.09964059258393478</v>
      </c>
      <c r="R66">
        <f>100*669/347800</f>
        <v>0.1923519263944796</v>
      </c>
      <c r="S66">
        <f>IF(COUNT(Q66:R66)=2,R66-Q66,"")</f>
        <v>0.09271133381054482</v>
      </c>
    </row>
    <row r="67" spans="1:19" x14ac:dyDescent="0.3">
      <c r="A67">
        <v>29</v>
      </c>
      <c r="B67">
        <v>28</v>
      </c>
      <c r="C67">
        <f>100*656014/1602695</f>
        <v>40.93193027993473</v>
      </c>
      <c r="D67">
        <f>100*569293/1974836</f>
        <v>28.827355790556787</v>
      </c>
      <c r="E67">
        <f>IF(COUNT(C67:D67)=2,D67-C67,"")</f>
        <v>-12.104574489377946</v>
      </c>
      <c r="H67">
        <v>29</v>
      </c>
      <c r="I67">
        <v>28</v>
      </c>
      <c r="J67">
        <f>100*917947/2006663</f>
        <v>45.74495069675376</v>
      </c>
      <c r="K67">
        <f>100*434429/1612621</f>
        <v>26.9393118407859</v>
      </c>
      <c r="L67">
        <f>IF(COUNT(J67:K67)=2,K67-J67,"")</f>
        <v>-18.80563885596786</v>
      </c>
      <c r="O67">
        <v>29</v>
      </c>
      <c r="P67">
        <v>28</v>
      </c>
      <c r="Q67">
        <f>100*506385/1453010</f>
        <v>34.850758081499784</v>
      </c>
      <c r="R67">
        <f>100*493851/1550158</f>
        <v>31.858107367119995</v>
      </c>
      <c r="S67">
        <f>IF(COUNT(Q67:R67)=2,R67-Q67,"")</f>
        <v>-2.9926507143797885</v>
      </c>
    </row>
    <row r="68" spans="1:19" x14ac:dyDescent="0.3">
      <c r="A68">
        <v>30</v>
      </c>
      <c r="B68">
        <v>29</v>
      </c>
      <c r="C68">
        <f>100*39372/653286</f>
        <v>6.026763163453679</v>
      </c>
      <c r="D68">
        <f>100*489403/1422059</f>
        <v>34.41509810774377</v>
      </c>
      <c r="E68">
        <f>IF(COUNT(C68:D68)=2,D68-C68,"")</f>
        <v>28.388334944290094</v>
      </c>
      <c r="H68">
        <v>30</v>
      </c>
      <c r="I68">
        <v>29</v>
      </c>
      <c r="J68">
        <f>100*537109/1458999</f>
        <v>36.81352763093052</v>
      </c>
      <c r="K68">
        <f>100*67800/756645</f>
        <v>8.960609004222588</v>
      </c>
      <c r="L68">
        <f>IF(COUNT(J68:K68)=2,K68-J68,"")</f>
        <v>-27.852918626707933</v>
      </c>
      <c r="O68">
        <v>30</v>
      </c>
      <c r="P68">
        <v>29</v>
      </c>
      <c r="Q68">
        <f>100*609326/1423323</f>
        <v>42.81010002648731</v>
      </c>
      <c r="R68">
        <f>100*487470/1497664</f>
        <v>32.54868915858297</v>
      </c>
      <c r="S68">
        <f>IF(COUNT(Q68:R68)=2,R68-Q68,"")</f>
        <v>-10.261410867904345</v>
      </c>
    </row>
    <row r="69" spans="1:19" x14ac:dyDescent="0.3">
      <c r="A69">
        <v>31</v>
      </c>
      <c r="B69">
        <v>30</v>
      </c>
      <c r="C69">
        <f>100*401250/1230061</f>
        <v>32.62033346313719</v>
      </c>
      <c r="D69">
        <f>100*53784/537601</f>
        <v>10.004445676254322</v>
      </c>
      <c r="E69">
        <f>IF(COUNT(C69:D69)=2,D69-C69,"")</f>
        <v>-22.615887786882872</v>
      </c>
      <c r="H69">
        <v>31</v>
      </c>
      <c r="I69">
        <v>30</v>
      </c>
      <c r="J69">
        <f>100*589124/1665281</f>
        <v>35.3768523150147</v>
      </c>
      <c r="K69">
        <f>100*164754/1042950</f>
        <v>15.796922191859629</v>
      </c>
      <c r="L69">
        <f>IF(COUNT(J69:K69)=2,K69-J69,"")</f>
        <v>-19.579930123155073</v>
      </c>
      <c r="O69">
        <v>31</v>
      </c>
      <c r="P69">
        <v>30</v>
      </c>
      <c r="Q69">
        <f>100*1911/646412</f>
        <v>0.2956318880218808</v>
      </c>
      <c r="R69">
        <f>100*3960/449526</f>
        <v>0.8809279107326384</v>
      </c>
      <c r="S69">
        <f>IF(COUNT(Q69:R69)=2,R69-Q69,"")</f>
        <v>0.5852960227107576</v>
      </c>
    </row>
    <row r="70" spans="1:19" x14ac:dyDescent="0.3">
      <c r="A70" t="s">
        <v>5</v>
      </c>
      <c r="C70">
        <f>IF(COUNT(C39:C69)&gt;0,AVERAGE(C39:C69),"")</f>
        <v>31.6417312238221</v>
      </c>
      <c r="D70">
        <f>IF(COUNT(D39:D69)&gt;0,AVERAGE(D39:D69),"")</f>
        <v>19.240400831170177</v>
      </c>
      <c r="E70">
        <f>IF(COUNT(E39:E69)&gt;0,AVERAGE(E39:E69),"")</f>
        <v>-12.401330392651921</v>
      </c>
      <c r="H70" t="s">
        <v>5</v>
      </c>
      <c r="J70">
        <f>IF(COUNT(J39:J69)&gt;0,AVERAGE(J39:J69),"")</f>
        <v>32.99518015949494</v>
      </c>
      <c r="K70">
        <f>IF(COUNT(K39:K69)&gt;0,AVERAGE(K39:K69),"")</f>
        <v>16.572675430979224</v>
      </c>
      <c r="L70">
        <f>IF(COUNT(L39:L69)&gt;0,AVERAGE(L39:L69),"")</f>
        <v>-16.42250472851572</v>
      </c>
      <c r="O70" t="s">
        <v>5</v>
      </c>
      <c r="Q70">
        <f>IF(COUNT(Q39:Q69)&gt;0,AVERAGE(Q39:Q69),"")</f>
        <v>30.180215695878577</v>
      </c>
      <c r="R70">
        <f>IF(COUNT(R39:R69)&gt;0,AVERAGE(R39:R69),"")</f>
        <v>18.64829890322856</v>
      </c>
      <c r="S70">
        <f>IF(COUNT(S39:S69)&gt;0,AVERAGE(S39:S69),"")</f>
        <v>-11.531916792650016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100*950574/2156408</f>
        <v>44.08136122663244</v>
      </c>
      <c r="D75">
        <f>100*479769/2140491</f>
        <v>22.41396950512756</v>
      </c>
      <c r="E75">
        <f>IF(COUNT(C75:D75)=2,D75-C75,"")</f>
        <v>-21.667391721504877</v>
      </c>
      <c r="H75">
        <v>1</v>
      </c>
      <c r="I75">
        <v>0</v>
      </c>
      <c r="J75">
        <f>100*1161020/2178231</f>
        <v>53.30105025591868</v>
      </c>
      <c r="K75">
        <f>100*274452/1501922</f>
        <v>18.273385701787443</v>
      </c>
      <c r="L75">
        <f>IF(COUNT(J75:K75)=2,K75-J75,"")</f>
        <v>-35.027664554131235</v>
      </c>
      <c r="O75">
        <v>1</v>
      </c>
      <c r="P75">
        <v>0</v>
      </c>
      <c r="Q75">
        <f>100*17855/657603</f>
        <v>2.7151640123296272</v>
      </c>
      <c r="R75">
        <f>100*185042/948795</f>
        <v>19.50284307990662</v>
      </c>
      <c r="S75">
        <f>IF(COUNT(Q75:R75)=2,R75-Q75,"")</f>
        <v>16.787679067576992</v>
      </c>
    </row>
    <row r="76" spans="1:19" x14ac:dyDescent="0.3">
      <c r="A76">
        <v>2</v>
      </c>
      <c r="B76">
        <v>1</v>
      </c>
      <c r="C76">
        <f>100*784284/1919387</f>
        <v>40.861170780045924</v>
      </c>
      <c r="D76">
        <f>100*676992/2109183</f>
        <v>32.09735712832884</v>
      </c>
      <c r="E76">
        <f>IF(COUNT(C76:D76)=2,D76-C76,"")</f>
        <v>-8.763813651717086</v>
      </c>
      <c r="H76">
        <v>2</v>
      </c>
      <c r="I76">
        <v>1</v>
      </c>
      <c r="J76">
        <f>100*920313/2115455</f>
        <v>43.50425794923551</v>
      </c>
      <c r="K76">
        <f>100*316074/1616178</f>
        <v>19.556880492124012</v>
      </c>
      <c r="L76">
        <f>IF(COUNT(J76:K76)=2,K76-J76,"")</f>
        <v>-23.947377457111497</v>
      </c>
      <c r="O76">
        <v>2</v>
      </c>
      <c r="P76">
        <v>1</v>
      </c>
      <c r="Q76">
        <f>100*506051/1366563</f>
        <v>37.03093088280599</v>
      </c>
      <c r="R76">
        <f>100*28448/514495</f>
        <v>5.529305435426972</v>
      </c>
      <c r="S76">
        <f>IF(COUNT(Q76:R76)=2,R76-Q76,"")</f>
        <v>-31.50162544737902</v>
      </c>
    </row>
    <row r="77" spans="1:19" x14ac:dyDescent="0.3">
      <c r="A77">
        <v>3</v>
      </c>
      <c r="B77">
        <v>2</v>
      </c>
      <c r="C77">
        <f>100*45924/1162874</f>
        <v>3.949181080667381</v>
      </c>
      <c r="D77">
        <f>100*556196/1766888</f>
        <v>31.478848687636116</v>
      </c>
      <c r="E77">
        <f>IF(COUNT(C77:D77)=2,D77-C77,"")</f>
        <v>27.529667606968736</v>
      </c>
      <c r="H77">
        <v>3</v>
      </c>
      <c r="I77">
        <v>2</v>
      </c>
      <c r="J77">
        <f>100*702390/1654096</f>
        <v>42.46367804528879</v>
      </c>
      <c r="K77">
        <f>100*356932/1926154</f>
        <v>18.530813216388722</v>
      </c>
      <c r="L77">
        <f>IF(COUNT(J77:K77)=2,K77-J77,"")</f>
        <v>-23.932864828900065</v>
      </c>
      <c r="O77">
        <v>3</v>
      </c>
      <c r="P77">
        <v>2</v>
      </c>
      <c r="Q77">
        <f>100*580189/1478595</f>
        <v>39.239210196165956</v>
      </c>
      <c r="R77">
        <f>100*507340/1579505</f>
        <v>32.12018955305618</v>
      </c>
      <c r="S77">
        <f>IF(COUNT(Q77:R77)=2,R77-Q77,"")</f>
        <v>-7.119020643109778</v>
      </c>
    </row>
    <row r="78" spans="1:19" x14ac:dyDescent="0.3">
      <c r="A78">
        <v>4</v>
      </c>
      <c r="B78">
        <v>3</v>
      </c>
      <c r="C78">
        <f>100*987891/1871797</f>
        <v>52.77767834866708</v>
      </c>
      <c r="D78">
        <f>100*290583/1361543</f>
        <v>21.342183096677815</v>
      </c>
      <c r="E78">
        <f>IF(COUNT(C78:D78)=2,D78-C78,"")</f>
        <v>-31.435495251989266</v>
      </c>
      <c r="H78">
        <v>4</v>
      </c>
      <c r="I78">
        <v>3</v>
      </c>
      <c r="J78">
        <f>100*827459/1741510</f>
        <v>47.51388163145776</v>
      </c>
      <c r="K78">
        <f>100*4591/626736</f>
        <v>0.7325253376222205</v>
      </c>
      <c r="L78">
        <f>IF(COUNT(J78:K78)=2,K78-J78,"")</f>
        <v>-46.781356293835536</v>
      </c>
      <c r="O78">
        <v>4</v>
      </c>
      <c r="P78">
        <v>3</v>
      </c>
      <c r="Q78">
        <f>100*617738/1364388</f>
        <v>45.27583062882406</v>
      </c>
      <c r="R78">
        <f>100*697957/1917769</f>
        <v>36.394216404582615</v>
      </c>
      <c r="S78">
        <f>IF(COUNT(Q78:R78)=2,R78-Q78,"")</f>
        <v>-8.881614224241446</v>
      </c>
    </row>
    <row r="79" spans="1:19" x14ac:dyDescent="0.3">
      <c r="A79">
        <v>5</v>
      </c>
      <c r="B79">
        <v>4</v>
      </c>
      <c r="C79">
        <f>100*1067979/2182567</f>
        <v>48.932243546246234</v>
      </c>
      <c r="D79">
        <f>100*132536/1133711</f>
        <v>11.690457268210329</v>
      </c>
      <c r="E79">
        <f>IF(COUNT(C79:D79)=2,D79-C79,"")</f>
        <v>-37.2417862780359</v>
      </c>
      <c r="H79">
        <v>5</v>
      </c>
      <c r="I79">
        <v>4</v>
      </c>
      <c r="J79">
        <f>100*1035328/2211231</f>
        <v>46.82134069213031</v>
      </c>
      <c r="K79">
        <f>100*5927/25649</f>
        <v>23.108113376739833</v>
      </c>
      <c r="L79">
        <f>IF(COUNT(J79:K79)=2,K79-J79,"")</f>
        <v>-23.71322731539048</v>
      </c>
      <c r="O79">
        <v>5</v>
      </c>
      <c r="P79">
        <v>4</v>
      </c>
      <c r="Q79">
        <f>100*829508/1701576</f>
        <v>48.749394678815406</v>
      </c>
      <c r="R79">
        <f>100*157434/925319</f>
        <v>17.014024352682696</v>
      </c>
      <c r="S79">
        <f>IF(COUNT(Q79:R79)=2,R79-Q79,"")</f>
        <v>-31.73537032613271</v>
      </c>
    </row>
    <row r="80" spans="1:19" x14ac:dyDescent="0.3">
      <c r="A80">
        <v>6</v>
      </c>
      <c r="B80">
        <v>5</v>
      </c>
      <c r="C80">
        <f>100*819594/1914103</f>
        <v>42.81869888924473</v>
      </c>
      <c r="D80">
        <f>100*180827/1251357</f>
        <v>14.450472566981285</v>
      </c>
      <c r="E80">
        <f>IF(COUNT(C80:D80)=2,D80-C80,"")</f>
        <v>-28.368226322263446</v>
      </c>
      <c r="H80">
        <v>6</v>
      </c>
      <c r="I80">
        <v>5</v>
      </c>
      <c r="J80">
        <f>100*627723/1597246</f>
        <v>39.30033319851795</v>
      </c>
      <c r="K80">
        <f>100*327800/1694732</f>
        <v>19.342291288534117</v>
      </c>
      <c r="L80">
        <f>IF(COUNT(J80:K80)=2,K80-J80,"")</f>
        <v>-19.95804190998383</v>
      </c>
      <c r="O80">
        <v>6</v>
      </c>
      <c r="P80">
        <v>5</v>
      </c>
      <c r="Q80">
        <f>100*561642/1450968</f>
        <v>38.70809004747176</v>
      </c>
      <c r="R80">
        <f>100*290619/1234056</f>
        <v>23.54990373208347</v>
      </c>
      <c r="S80">
        <f>IF(COUNT(Q80:R80)=2,R80-Q80,"")</f>
        <v>-15.158186315388285</v>
      </c>
    </row>
    <row r="81" spans="1:19" x14ac:dyDescent="0.3">
      <c r="A81">
        <v>7</v>
      </c>
      <c r="B81">
        <v>6</v>
      </c>
      <c r="C81">
        <f>100*6901/528040</f>
        <v>1.3069085675327627</v>
      </c>
      <c r="D81">
        <f>100*84773/949531</f>
        <v>8.927881238211285</v>
      </c>
      <c r="E81">
        <f>IF(COUNT(C81:D81)=2,D81-C81,"")</f>
        <v>7.620972670678522</v>
      </c>
      <c r="H81">
        <v>7</v>
      </c>
      <c r="I81">
        <v>6</v>
      </c>
      <c r="J81">
        <f>100*3904/710153</f>
        <v>0.5497406896823642</v>
      </c>
      <c r="K81">
        <f>100*16962/663076</f>
        <v>2.558077807068873</v>
      </c>
      <c r="L81">
        <f>IF(COUNT(J81:K81)=2,K81-J81,"")</f>
        <v>2.0083371173865086</v>
      </c>
      <c r="O81">
        <v>7</v>
      </c>
      <c r="P81">
        <v>6</v>
      </c>
      <c r="Q81">
        <f>100*769806/1827455</f>
        <v>42.124484597431945</v>
      </c>
      <c r="R81">
        <f>100*485042/1507864</f>
        <v>32.16748990625149</v>
      </c>
      <c r="S81">
        <f>IF(COUNT(Q81:R81)=2,R81-Q81,"")</f>
        <v>-9.956994691180455</v>
      </c>
    </row>
    <row r="82" spans="1:19" x14ac:dyDescent="0.3">
      <c r="A82">
        <v>8</v>
      </c>
      <c r="B82">
        <v>7</v>
      </c>
      <c r="C82">
        <f>100*8971/665002</f>
        <v>1.3490184991924836</v>
      </c>
      <c r="D82">
        <f>100*138287/887554</f>
        <v>15.58068579489248</v>
      </c>
      <c r="E82">
        <f>IF(COUNT(C82:D82)=2,D82-C82,"")</f>
        <v>14.231667295699996</v>
      </c>
      <c r="H82">
        <v>8</v>
      </c>
      <c r="I82">
        <v>7</v>
      </c>
      <c r="J82">
        <f>100*7411/619510</f>
        <v>1.1962680182725056</v>
      </c>
      <c r="K82">
        <f>100*1924/483696</f>
        <v>0.39777050047964013</v>
      </c>
      <c r="L82">
        <f>IF(COUNT(J82:K82)=2,K82-J82,"")</f>
        <v>-0.7984975177928655</v>
      </c>
      <c r="O82">
        <v>8</v>
      </c>
      <c r="P82">
        <v>7</v>
      </c>
      <c r="Q82">
        <f>100*842526/1806467</f>
        <v>46.63943487481365</v>
      </c>
      <c r="R82">
        <f>100*672856/2040820</f>
        <v>32.969884654207625</v>
      </c>
      <c r="S82">
        <f>IF(COUNT(Q82:R82)=2,R82-Q82,"")</f>
        <v>-13.669550220606027</v>
      </c>
    </row>
    <row r="83" spans="1:19" x14ac:dyDescent="0.3">
      <c r="A83">
        <v>9</v>
      </c>
      <c r="B83">
        <v>8</v>
      </c>
      <c r="C83">
        <f>100*766923/1967808</f>
        <v>38.9734669236023</v>
      </c>
      <c r="D83">
        <f>100*623782/1934692</f>
        <v>32.24192791410726</v>
      </c>
      <c r="E83">
        <f>IF(COUNT(C83:D83)=2,D83-C83,"")</f>
        <v>-6.7315390094950445</v>
      </c>
      <c r="H83">
        <v>9</v>
      </c>
      <c r="I83">
        <v>8</v>
      </c>
      <c r="J83">
        <f>100*986121/2196978</f>
        <v>44.88533795058485</v>
      </c>
      <c r="K83">
        <f>100*467062/1686626</f>
        <v>27.692090599812882</v>
      </c>
      <c r="L83">
        <f>IF(COUNT(J83:K83)=2,K83-J83,"")</f>
        <v>-17.193247350771966</v>
      </c>
      <c r="O83">
        <v>9</v>
      </c>
      <c r="P83">
        <v>8</v>
      </c>
      <c r="Q83">
        <f>100*418704/1300185</f>
        <v>32.20341720601299</v>
      </c>
      <c r="R83">
        <f>100*18005/78595</f>
        <v>22.908581970863285</v>
      </c>
      <c r="S83">
        <f>IF(COUNT(Q83:R83)=2,R83-Q83,"")</f>
        <v>-9.294835235149709</v>
      </c>
    </row>
    <row r="84" spans="1:19" x14ac:dyDescent="0.3">
      <c r="A84">
        <v>10</v>
      </c>
      <c r="B84">
        <v>9</v>
      </c>
      <c r="C84">
        <f>100*193316/1207283</f>
        <v>16.012484231120624</v>
      </c>
      <c r="D84">
        <f>100*101473/989265</f>
        <v>10.257413332120311</v>
      </c>
      <c r="E84">
        <f>IF(COUNT(C84:D84)=2,D84-C84,"")</f>
        <v>-5.755070899000312</v>
      </c>
      <c r="H84">
        <v>10</v>
      </c>
      <c r="I84">
        <v>9</v>
      </c>
      <c r="J84">
        <f>100*1094395/2180634</f>
        <v>50.187009832920154</v>
      </c>
      <c r="K84">
        <f>100*474065/1664282</f>
        <v>28.484655845583863</v>
      </c>
      <c r="L84">
        <f>IF(COUNT(J84:K84)=2,K84-J84,"")</f>
        <v>-21.70235398733629</v>
      </c>
      <c r="O84">
        <v>10</v>
      </c>
      <c r="P84">
        <v>9</v>
      </c>
      <c r="Q84">
        <f>100*10580/624813</f>
        <v>1.6933066373458938</v>
      </c>
      <c r="R84">
        <f>100*76694/891198</f>
        <v>8.605719492189166</v>
      </c>
      <c r="S84">
        <f>IF(COUNT(Q84:R84)=2,R84-Q84,"")</f>
        <v>6.912412854843272</v>
      </c>
    </row>
    <row r="85" spans="1:19" x14ac:dyDescent="0.3">
      <c r="A85">
        <v>11</v>
      </c>
      <c r="B85">
        <v>10</v>
      </c>
      <c r="C85">
        <f>100*1000200/2058009</f>
        <v>48.60037055231537</v>
      </c>
      <c r="D85">
        <f>100*310953/1558968</f>
        <v>19.946079714272518</v>
      </c>
      <c r="E85">
        <f>IF(COUNT(C85:D85)=2,D85-C85,"")</f>
        <v>-28.65429083804285</v>
      </c>
      <c r="H85">
        <v>11</v>
      </c>
      <c r="I85">
        <v>10</v>
      </c>
      <c r="J85">
        <f>100*1248271/2251399</f>
        <v>55.444237116566185</v>
      </c>
      <c r="K85">
        <f>100*973468/2552332</f>
        <v>38.14033597510042</v>
      </c>
      <c r="L85">
        <f>IF(COUNT(J85:K85)=2,K85-J85,"")</f>
        <v>-17.303901141465765</v>
      </c>
      <c r="O85">
        <v>11</v>
      </c>
      <c r="P85">
        <v>10</v>
      </c>
      <c r="Q85">
        <f>100*858874/1796310</f>
        <v>47.8132393629162</v>
      </c>
      <c r="R85">
        <f>100*430083/1521908</f>
        <v>28.25946115008266</v>
      </c>
      <c r="S85">
        <f>IF(COUNT(Q85:R85)=2,R85-Q85,"")</f>
        <v>-19.55377821283354</v>
      </c>
    </row>
    <row r="86" spans="1:19" x14ac:dyDescent="0.3">
      <c r="A86">
        <v>12</v>
      </c>
      <c r="B86">
        <v>11</v>
      </c>
      <c r="C86">
        <f>100*1083380/2227336</f>
        <v>48.640169242539066</v>
      </c>
      <c r="D86">
        <f>100*85529/1388013</f>
        <v>6.161973987275335</v>
      </c>
      <c r="E86">
        <f>IF(COUNT(C86:D86)=2,D86-C86,"")</f>
        <v>-42.47819525526373</v>
      </c>
      <c r="H86">
        <v>12</v>
      </c>
      <c r="I86">
        <v>11</v>
      </c>
      <c r="J86">
        <f>100*847034/1777114</f>
        <v>47.66345884394586</v>
      </c>
      <c r="K86">
        <f>100*174087/1343199</f>
        <v>12.960626087422638</v>
      </c>
      <c r="L86">
        <f>IF(COUNT(J86:K86)=2,K86-J86,"")</f>
        <v>-34.70283275652322</v>
      </c>
      <c r="O86">
        <v>12</v>
      </c>
      <c r="P86">
        <v>11</v>
      </c>
      <c r="Q86">
        <f>100*739588/1710894</f>
        <v>43.22816024838476</v>
      </c>
      <c r="R86">
        <f>100*508987/1823629</f>
        <v>27.91066604007723</v>
      </c>
      <c r="S86">
        <f>IF(COUNT(Q86:R86)=2,R86-Q86,"")</f>
        <v>-15.31749420830753</v>
      </c>
    </row>
    <row r="87" spans="1:19" x14ac:dyDescent="0.3">
      <c r="A87">
        <v>13</v>
      </c>
      <c r="B87">
        <v>12</v>
      </c>
      <c r="C87">
        <f>100*7212/818878</f>
        <v>0.8807172741238621</v>
      </c>
      <c r="D87">
        <f>100*7648/676193</f>
        <v>1.131038032041148</v>
      </c>
      <c r="E87">
        <f>IF(COUNT(C87:D87)=2,D87-C87,"")</f>
        <v>0.2503207579172858</v>
      </c>
      <c r="H87">
        <v>13</v>
      </c>
      <c r="I87">
        <v>12</v>
      </c>
      <c r="J87">
        <f>100*767025/1720041</f>
        <v>44.593413761648705</v>
      </c>
      <c r="K87">
        <f>100*42571/739602</f>
        <v>5.755933596718235</v>
      </c>
      <c r="L87">
        <f>IF(COUNT(J87:K87)=2,K87-J87,"")</f>
        <v>-38.83748016493047</v>
      </c>
      <c r="O87">
        <v>13</v>
      </c>
      <c r="P87">
        <v>12</v>
      </c>
      <c r="Q87">
        <f>100*371461/1317955</f>
        <v>28.18464970351795</v>
      </c>
      <c r="R87">
        <f>100*162193/1100485</f>
        <v>14.73831992257959</v>
      </c>
      <c r="S87">
        <f>IF(COUNT(Q87:R87)=2,R87-Q87,"")</f>
        <v>-13.446329780938362</v>
      </c>
    </row>
    <row r="88" spans="1:19" x14ac:dyDescent="0.3">
      <c r="A88">
        <v>14</v>
      </c>
      <c r="B88">
        <v>13</v>
      </c>
      <c r="C88">
        <f>100*92689/774868</f>
        <v>11.961908350841691</v>
      </c>
      <c r="D88">
        <f>100*2014/544682</f>
        <v>0.36975703254375947</v>
      </c>
      <c r="E88">
        <f>IF(COUNT(C88:D88)=2,D88-C88,"")</f>
        <v>-11.592151318297931</v>
      </c>
      <c r="H88">
        <v>14</v>
      </c>
      <c r="I88">
        <v>13</v>
      </c>
      <c r="J88">
        <f>100*438708/1328922</f>
        <v>33.01232126490494</v>
      </c>
      <c r="K88">
        <f>100*2571/555761</f>
        <v>0.4626089272187145</v>
      </c>
      <c r="L88">
        <f>IF(COUNT(J88:K88)=2,K88-J88,"")</f>
        <v>-32.54971233768622</v>
      </c>
      <c r="O88">
        <v>14</v>
      </c>
      <c r="P88">
        <v>13</v>
      </c>
      <c r="Q88">
        <f>100*183244/894097</f>
        <v>20.494868006491465</v>
      </c>
      <c r="R88">
        <f>100*10588/616425</f>
        <v>1.7176461045544875</v>
      </c>
      <c r="S88">
        <f>IF(COUNT(Q88:R88)=2,R88-Q88,"")</f>
        <v>-18.77722190193698</v>
      </c>
    </row>
    <row r="89" spans="1:19" x14ac:dyDescent="0.3">
      <c r="A89">
        <v>15</v>
      </c>
      <c r="B89">
        <v>14</v>
      </c>
      <c r="C89">
        <f>100*410087/1559215</f>
        <v>26.30086293423293</v>
      </c>
      <c r="D89">
        <f>100*232407/1413058</f>
        <v>16.4470955898484</v>
      </c>
      <c r="E89">
        <f>IF(COUNT(C89:D89)=2,D89-C89,"")</f>
        <v>-9.853767344384533</v>
      </c>
      <c r="H89">
        <v>15</v>
      </c>
      <c r="I89">
        <v>14</v>
      </c>
      <c r="J89">
        <f>100*378843/1975907</f>
        <v>19.173118977765654</v>
      </c>
      <c r="K89">
        <f>100*625383/1966634</f>
        <v>31.799663791025683</v>
      </c>
      <c r="L89">
        <f>IF(COUNT(J89:K89)=2,K89-J89,"")</f>
        <v>12.626544813260029</v>
      </c>
      <c r="O89">
        <v>15</v>
      </c>
      <c r="P89">
        <v>14</v>
      </c>
      <c r="Q89">
        <f>100*672160/1590176</f>
        <v>42.269534944559595</v>
      </c>
      <c r="R89">
        <f>100*470052/2495388</f>
        <v>18.83683018432404</v>
      </c>
      <c r="S89">
        <f>IF(COUNT(Q89:R89)=2,R89-Q89,"")</f>
        <v>-23.432704760235556</v>
      </c>
    </row>
    <row r="90" spans="1:19" x14ac:dyDescent="0.3">
      <c r="A90">
        <v>16</v>
      </c>
      <c r="B90">
        <v>15</v>
      </c>
      <c r="C90">
        <f>100*1111193/2179314</f>
        <v>50.988200874220055</v>
      </c>
      <c r="D90">
        <f>100*227672/1273238</f>
        <v>17.88133875991763</v>
      </c>
      <c r="E90">
        <f>IF(COUNT(C90:D90)=2,D90-C90,"")</f>
        <v>-33.10686211430243</v>
      </c>
      <c r="H90">
        <v>16</v>
      </c>
      <c r="I90">
        <v>15</v>
      </c>
      <c r="J90">
        <f>100*769550/1774401</f>
        <v>43.36956527864896</v>
      </c>
      <c r="K90">
        <f>100*782820/2268978</f>
        <v>34.50099560242541</v>
      </c>
      <c r="L90">
        <f>IF(COUNT(J90:K90)=2,K90-J90,"")</f>
        <v>-8.86856967622355</v>
      </c>
      <c r="O90">
        <v>16</v>
      </c>
      <c r="P90">
        <v>15</v>
      </c>
      <c r="Q90">
        <f>100*705277/1721980</f>
        <v>40.95732819196506</v>
      </c>
      <c r="R90">
        <f>100*692618/1872172</f>
        <v>36.99542563396953</v>
      </c>
      <c r="S90">
        <f>IF(COUNT(Q90:R90)=2,R90-Q90,"")</f>
        <v>-3.961902557995529</v>
      </c>
    </row>
    <row r="91" spans="1:19" x14ac:dyDescent="0.3">
      <c r="A91">
        <v>17</v>
      </c>
      <c r="B91">
        <v>16</v>
      </c>
      <c r="C91">
        <f>100*743599/1773793</f>
        <v>41.921407965867495</v>
      </c>
      <c r="D91">
        <f>100*263144/1355751</f>
        <v>19.40946383222288</v>
      </c>
      <c r="E91">
        <f>IF(COUNT(C91:D91)=2,D91-C91,"")</f>
        <v>-22.511944133644615</v>
      </c>
      <c r="H91">
        <v>17</v>
      </c>
      <c r="I91">
        <v>16</v>
      </c>
      <c r="J91">
        <f>100*3265/88900</f>
        <v>3.6726659167604048</v>
      </c>
      <c r="K91">
        <f>100*783010/2191460</f>
        <v>35.73006123771367</v>
      </c>
      <c r="L91">
        <f>IF(COUNT(J91:K91)=2,K91-J91,"")</f>
        <v>32.05739532095326</v>
      </c>
      <c r="O91">
        <v>17</v>
      </c>
      <c r="P91">
        <v>16</v>
      </c>
      <c r="Q91">
        <f>100*16305/441767</f>
        <v>3.690859661314675</v>
      </c>
      <c r="R91">
        <f>100*6871/459402</f>
        <v>1.4956399841533123</v>
      </c>
      <c r="S91">
        <f>IF(COUNT(Q91:R91)=2,R91-Q91,"")</f>
        <v>-2.195219677161363</v>
      </c>
    </row>
    <row r="92" spans="1:19" x14ac:dyDescent="0.3">
      <c r="A92">
        <v>18</v>
      </c>
      <c r="B92">
        <v>17</v>
      </c>
      <c r="C92">
        <f>100*929466/2060823</f>
        <v>45.10168995590597</v>
      </c>
      <c r="D92">
        <f>100*65080/1001749</f>
        <v>6.496637381220245</v>
      </c>
      <c r="E92">
        <f>IF(COUNT(C92:D92)=2,D92-C92,"")</f>
        <v>-38.60505257468572</v>
      </c>
      <c r="H92">
        <v>18</v>
      </c>
      <c r="I92">
        <v>17</v>
      </c>
      <c r="K92">
        <f>100*315/17515</f>
        <v>1.7984584641735655</v>
      </c>
      <c r="L92" t="str">
        <f>IF(COUNT(J92:K92)=2,K92-J92,"")</f>
        <v/>
      </c>
      <c r="O92">
        <v>18</v>
      </c>
      <c r="P92">
        <v>17</v>
      </c>
      <c r="Q92">
        <f>100*156937/709883</f>
        <v>22.10744587488361</v>
      </c>
      <c r="R92">
        <f>100*2777/498167</f>
        <v>0.5574435881943204</v>
      </c>
      <c r="S92">
        <f>IF(COUNT(Q92:R92)=2,R92-Q92,"")</f>
        <v>-21.55000228668929</v>
      </c>
    </row>
    <row r="93" spans="1:19" x14ac:dyDescent="0.3">
      <c r="A93">
        <v>19</v>
      </c>
      <c r="B93">
        <v>18</v>
      </c>
      <c r="C93">
        <f>100*675293/1785174</f>
        <v>37.82785319526276</v>
      </c>
      <c r="D93">
        <f>100*54250/847976</f>
        <v>6.39758672415257</v>
      </c>
      <c r="E93">
        <f>IF(COUNT(C93:D93)=2,D93-C93,"")</f>
        <v>-31.43026647111019</v>
      </c>
      <c r="H93">
        <v>19</v>
      </c>
      <c r="I93">
        <v>18</v>
      </c>
      <c r="J93">
        <f>100*453701/1228767</f>
        <v>36.9232734928591</v>
      </c>
      <c r="K93">
        <f>100*262934/1122753</f>
        <v>23.418686033348386</v>
      </c>
      <c r="L93">
        <f>IF(COUNT(J93:K93)=2,K93-J93,"")</f>
        <v>-13.504587459510716</v>
      </c>
      <c r="O93">
        <v>19</v>
      </c>
      <c r="P93">
        <v>18</v>
      </c>
      <c r="Q93">
        <f>100*736264/1588962</f>
        <v>46.33616159480214</v>
      </c>
      <c r="R93">
        <f>100*722166/2102894</f>
        <v>34.34153124218339</v>
      </c>
      <c r="S93">
        <f>IF(COUNT(Q93:R93)=2,R93-Q93,"")</f>
        <v>-11.99463035261875</v>
      </c>
    </row>
    <row r="94" spans="1:19" x14ac:dyDescent="0.3">
      <c r="A94">
        <v>20</v>
      </c>
      <c r="B94">
        <v>19</v>
      </c>
      <c r="C94">
        <f>100*1003210/2172217</f>
        <v>46.18369159250664</v>
      </c>
      <c r="D94">
        <f>100*346887/1428365</f>
        <v>24.285599269094384</v>
      </c>
      <c r="E94">
        <f>IF(COUNT(C94:D94)=2,D94-C94,"")</f>
        <v>-21.898092323412257</v>
      </c>
      <c r="H94">
        <v>20</v>
      </c>
      <c r="I94">
        <v>19</v>
      </c>
      <c r="J94">
        <f>100*896581/2145144</f>
        <v>41.79584214393066</v>
      </c>
      <c r="K94">
        <f>100*477865/1704370</f>
        <v>28.037632673656542</v>
      </c>
      <c r="L94">
        <f>IF(COUNT(J94:K94)=2,K94-J94,"")</f>
        <v>-13.758209470274121</v>
      </c>
      <c r="O94">
        <v>20</v>
      </c>
      <c r="P94">
        <v>19</v>
      </c>
      <c r="Q94">
        <f>100*596231/1430518</f>
        <v>41.67937767997327</v>
      </c>
      <c r="R94">
        <f>100*173140/1011541</f>
        <v>17.116458947289335</v>
      </c>
      <c r="S94">
        <f>IF(COUNT(Q94:R94)=2,R94-Q94,"")</f>
        <v>-24.562918732683936</v>
      </c>
    </row>
    <row r="95" spans="1:19" x14ac:dyDescent="0.3">
      <c r="A95">
        <v>21</v>
      </c>
      <c r="B95">
        <v>20</v>
      </c>
      <c r="C95">
        <f>100*814501/1741903</f>
        <v>46.759262714399135</v>
      </c>
      <c r="D95">
        <f>100*633802/1787777</f>
        <v>35.451960731120266</v>
      </c>
      <c r="E95">
        <f>IF(COUNT(C95:D95)=2,D95-C95,"")</f>
        <v>-11.307301983278869</v>
      </c>
      <c r="H95">
        <v>21</v>
      </c>
      <c r="I95">
        <v>20</v>
      </c>
      <c r="J95">
        <f>100*923720/1857736</f>
        <v>49.722888505148205</v>
      </c>
      <c r="K95">
        <f>100*147003/1341366</f>
        <v>10.959201291817445</v>
      </c>
      <c r="L95">
        <f>IF(COUNT(J95:K95)=2,K95-J95,"")</f>
        <v>-38.76368721333076</v>
      </c>
      <c r="O95">
        <v>21</v>
      </c>
      <c r="P95">
        <v>20</v>
      </c>
      <c r="Q95">
        <f>100*808426/1622789</f>
        <v>49.817074185245275</v>
      </c>
      <c r="R95">
        <f>100*300718/1163194</f>
        <v>25.852781221361184</v>
      </c>
      <c r="S95">
        <f>IF(COUNT(Q95:R95)=2,R95-Q95,"")</f>
        <v>-23.96429296388409</v>
      </c>
    </row>
    <row r="96" spans="1:19" x14ac:dyDescent="0.3">
      <c r="A96">
        <v>22</v>
      </c>
      <c r="B96">
        <v>21</v>
      </c>
      <c r="C96">
        <f>100*599877/1809045</f>
        <v>33.15987164498396</v>
      </c>
      <c r="D96">
        <f>100*198325/1234780</f>
        <v>16.061565623025963</v>
      </c>
      <c r="E96">
        <f>IF(COUNT(C96:D96)=2,D96-C96,"")</f>
        <v>-17.098306021957995</v>
      </c>
      <c r="H96">
        <v>22</v>
      </c>
      <c r="I96">
        <v>21</v>
      </c>
      <c r="J96">
        <f>100*1034872/2267546</f>
        <v>45.63841262757183</v>
      </c>
      <c r="K96">
        <f>100*656210/1864260</f>
        <v>35.19948934161544</v>
      </c>
      <c r="L96">
        <f>IF(COUNT(J96:K96)=2,K96-J96,"")</f>
        <v>-10.438923285956392</v>
      </c>
      <c r="O96">
        <v>22</v>
      </c>
      <c r="P96">
        <v>21</v>
      </c>
      <c r="Q96">
        <f>100*248293/932917</f>
        <v>26.614693482914344</v>
      </c>
      <c r="R96">
        <f>100*757502/2179701</f>
        <v>34.75256468662445</v>
      </c>
      <c r="S96">
        <f>IF(COUNT(Q96:R96)=2,R96-Q96,"")</f>
        <v>8.137871203710109</v>
      </c>
    </row>
    <row r="97" spans="1:19" x14ac:dyDescent="0.3">
      <c r="A97">
        <v>23</v>
      </c>
      <c r="B97">
        <v>22</v>
      </c>
      <c r="C97">
        <f>100*649730/1525642</f>
        <v>42.58731733919229</v>
      </c>
      <c r="D97">
        <f>100*763869/2121147</f>
        <v>36.012072713489445</v>
      </c>
      <c r="E97">
        <f>IF(COUNT(C97:D97)=2,D97-C97,"")</f>
        <v>-6.575244625702844</v>
      </c>
      <c r="H97">
        <v>23</v>
      </c>
      <c r="I97">
        <v>22</v>
      </c>
      <c r="J97">
        <f>100*954501/1934417</f>
        <v>49.34308373013678</v>
      </c>
      <c r="K97">
        <f>100*925248/2458546</f>
        <v>37.633951123957004</v>
      </c>
      <c r="L97">
        <f>IF(COUNT(J97:K97)=2,K97-J97,"")</f>
        <v>-11.709132606179779</v>
      </c>
      <c r="O97">
        <v>23</v>
      </c>
      <c r="P97">
        <v>22</v>
      </c>
      <c r="Q97">
        <f>100*491/406810</f>
        <v>0.12069516481895726</v>
      </c>
      <c r="R97">
        <f>100*1758/758282</f>
        <v>0.23183986959996414</v>
      </c>
      <c r="S97">
        <f>IF(COUNT(Q97:R97)=2,R97-Q97,"")</f>
        <v>0.11114470478100688</v>
      </c>
    </row>
    <row r="98" spans="1:19" x14ac:dyDescent="0.3">
      <c r="A98">
        <v>24</v>
      </c>
      <c r="B98">
        <v>23</v>
      </c>
      <c r="C98">
        <f>100*540481/1325139</f>
        <v>40.786740108018854</v>
      </c>
      <c r="D98">
        <f>100*338014/1491727</f>
        <v>22.659239927949283</v>
      </c>
      <c r="E98">
        <f>IF(COUNT(C98:D98)=2,D98-C98,"")</f>
        <v>-18.12750018006957</v>
      </c>
      <c r="H98">
        <v>24</v>
      </c>
      <c r="I98">
        <v>23</v>
      </c>
      <c r="J98">
        <f>100*677655/1567258</f>
        <v>43.238254326983814</v>
      </c>
      <c r="K98">
        <f>100*243079/1362054</f>
        <v>17.846502414735394</v>
      </c>
      <c r="L98">
        <f>IF(COUNT(J98:K98)=2,K98-J98,"")</f>
        <v>-25.39175191224842</v>
      </c>
      <c r="O98">
        <v>24</v>
      </c>
      <c r="P98">
        <v>23</v>
      </c>
      <c r="Q98">
        <f>100*462555/1165901</f>
        <v>39.67360865116335</v>
      </c>
      <c r="R98">
        <f>100*52123/903135</f>
        <v>5.77134094016952</v>
      </c>
      <c r="S98">
        <f>IF(COUNT(Q98:R98)=2,R98-Q98,"")</f>
        <v>-33.902267710993826</v>
      </c>
    </row>
    <row r="99" spans="1:19" x14ac:dyDescent="0.3">
      <c r="A99">
        <v>25</v>
      </c>
      <c r="B99">
        <v>24</v>
      </c>
      <c r="C99">
        <f>100*628764/1681845</f>
        <v>37.3853714224557</v>
      </c>
      <c r="D99">
        <f>100*304591/1455615</f>
        <v>20.925244656038856</v>
      </c>
      <c r="E99">
        <f>IF(COUNT(C99:D99)=2,D99-C99,"")</f>
        <v>-16.460126766416842</v>
      </c>
      <c r="H99">
        <v>25</v>
      </c>
      <c r="I99">
        <v>24</v>
      </c>
      <c r="J99">
        <f>100*1059343/2107573</f>
        <v>50.26364448586123</v>
      </c>
      <c r="K99">
        <f>100*318754/1429451</f>
        <v>22.299050474622774</v>
      </c>
      <c r="L99">
        <f>IF(COUNT(J99:K99)=2,K99-J99,"")</f>
        <v>-27.964594011238454</v>
      </c>
      <c r="O99">
        <v>25</v>
      </c>
      <c r="P99">
        <v>24</v>
      </c>
      <c r="Q99">
        <f>100*667801/1611354</f>
        <v>41.4434692811139</v>
      </c>
      <c r="R99">
        <f>100*581217/1848349</f>
        <v>31.44519784954032</v>
      </c>
      <c r="S99">
        <f>IF(COUNT(Q99:R99)=2,R99-Q99,"")</f>
        <v>-9.998271431573578</v>
      </c>
    </row>
    <row r="100" spans="1:19" x14ac:dyDescent="0.3">
      <c r="A100">
        <v>26</v>
      </c>
      <c r="B100">
        <v>25</v>
      </c>
      <c r="C100">
        <f>100*1206228/2241810</f>
        <v>53.805987126473696</v>
      </c>
      <c r="D100">
        <f>100*678322/1999728</f>
        <v>33.92071321699751</v>
      </c>
      <c r="E100">
        <f>IF(COUNT(C100:D100)=2,D100-C100,"")</f>
        <v>-19.885273909476183</v>
      </c>
      <c r="H100">
        <v>26</v>
      </c>
      <c r="I100">
        <v>25</v>
      </c>
      <c r="J100">
        <f>100*50542/865957</f>
        <v>5.836548466032378</v>
      </c>
      <c r="K100">
        <f>100*457477/1767258</f>
        <v>25.886259957516106</v>
      </c>
      <c r="L100">
        <f>IF(COUNT(J100:K100)=2,K100-J100,"")</f>
        <v>20.049711491483727</v>
      </c>
      <c r="O100">
        <v>26</v>
      </c>
      <c r="P100">
        <v>25</v>
      </c>
      <c r="Q100">
        <f>100*825215/1789490</f>
        <v>46.114535426294644</v>
      </c>
      <c r="R100">
        <f>100*6167/23931</f>
        <v>25.76992185867703</v>
      </c>
      <c r="S100">
        <f>IF(COUNT(Q100:R100)=2,R100-Q100,"")</f>
        <v>-20.344613567617614</v>
      </c>
    </row>
    <row r="101" spans="1:19" x14ac:dyDescent="0.3">
      <c r="A101">
        <v>27</v>
      </c>
      <c r="B101">
        <v>26</v>
      </c>
      <c r="C101">
        <f>100*312477/1386036</f>
        <v>22.54465251984797</v>
      </c>
      <c r="D101">
        <f>100*138119/997537</f>
        <v>13.846002704661581</v>
      </c>
      <c r="E101">
        <f>IF(COUNT(C101:D101)=2,D101-C101,"")</f>
        <v>-8.698649815186387</v>
      </c>
      <c r="H101">
        <v>27</v>
      </c>
      <c r="I101">
        <v>26</v>
      </c>
      <c r="J101">
        <f>100*307157/1210949</f>
        <v>25.36498234029674</v>
      </c>
      <c r="K101">
        <f>100*161965/954613</f>
        <v>16.966561318565745</v>
      </c>
      <c r="L101">
        <f>IF(COUNT(J101:K101)=2,K101-J101,"")</f>
        <v>-8.398421021730996</v>
      </c>
      <c r="O101">
        <v>27</v>
      </c>
      <c r="P101">
        <v>26</v>
      </c>
      <c r="Q101">
        <f>100*889999/1746112</f>
        <v>50.9703272184144</v>
      </c>
      <c r="R101">
        <f>100*121857/804210</f>
        <v>15.152385570932966</v>
      </c>
      <c r="S101">
        <f>IF(COUNT(Q101:R101)=2,R101-Q101,"")</f>
        <v>-35.81794164748143</v>
      </c>
    </row>
    <row r="102" spans="1:19" x14ac:dyDescent="0.3">
      <c r="A102">
        <v>28</v>
      </c>
      <c r="B102">
        <v>27</v>
      </c>
      <c r="C102">
        <f>100*803250/1998379</f>
        <v>40.19507811080881</v>
      </c>
      <c r="D102">
        <f>100*464012/1881882</f>
        <v>24.65680632473237</v>
      </c>
      <c r="E102">
        <f>IF(COUNT(C102:D102)=2,D102-C102,"")</f>
        <v>-15.53827178607644</v>
      </c>
      <c r="H102">
        <v>28</v>
      </c>
      <c r="I102">
        <v>27</v>
      </c>
      <c r="J102">
        <f>100*499214/1645125</f>
        <v>30.345049768254693</v>
      </c>
      <c r="K102">
        <f>100*895927/2517749</f>
        <v>35.58444467657419</v>
      </c>
      <c r="L102">
        <f>IF(COUNT(J102:K102)=2,K102-J102,"")</f>
        <v>5.2393949083195</v>
      </c>
      <c r="O102">
        <v>28</v>
      </c>
      <c r="P102">
        <v>27</v>
      </c>
      <c r="Q102">
        <f>100*1300/408366</f>
        <v>0.3183418795884084</v>
      </c>
      <c r="R102">
        <f>100*549/734195</f>
        <v>0.07477577482821321</v>
      </c>
      <c r="S102">
        <f>IF(COUNT(Q102:R102)=2,R102-Q102,"")</f>
        <v>-0.24356610476019522</v>
      </c>
    </row>
    <row r="103" spans="1:19" x14ac:dyDescent="0.3">
      <c r="A103">
        <v>29</v>
      </c>
      <c r="B103">
        <v>28</v>
      </c>
      <c r="C103">
        <f>100*764531/1746891</f>
        <v>43.76523778529971</v>
      </c>
      <c r="D103">
        <f>100*471140/1810900</f>
        <v>26.01689767518913</v>
      </c>
      <c r="E103">
        <f>IF(COUNT(C103:D103)=2,D103-C103,"")</f>
        <v>-17.74834011011058</v>
      </c>
      <c r="H103">
        <v>29</v>
      </c>
      <c r="I103">
        <v>28</v>
      </c>
      <c r="J103">
        <f>100*1050807/2150575</f>
        <v>48.86167652837032</v>
      </c>
      <c r="K103">
        <f>100*234015/1420567</f>
        <v>16.473351837681715</v>
      </c>
      <c r="L103">
        <f>IF(COUNT(J103:K103)=2,K103-J103,"")</f>
        <v>-32.388324690688606</v>
      </c>
      <c r="O103">
        <v>29</v>
      </c>
      <c r="P103">
        <v>28</v>
      </c>
      <c r="Q103">
        <f>100*827171/1762089</f>
        <v>46.94263456613145</v>
      </c>
      <c r="R103">
        <f>100*826999/2168360</f>
        <v>38.13937722518401</v>
      </c>
      <c r="S103">
        <f>IF(COUNT(Q103:R103)=2,R103-Q103,"")</f>
        <v>-8.80325734094744</v>
      </c>
    </row>
    <row r="104" spans="1:19" x14ac:dyDescent="0.3">
      <c r="A104">
        <v>30</v>
      </c>
      <c r="B104">
        <v>29</v>
      </c>
      <c r="C104">
        <f>100*7364/541662</f>
        <v>1.3595194050902593</v>
      </c>
      <c r="D104">
        <f>100*9797/893084</f>
        <v>1.0969852779805707</v>
      </c>
      <c r="E104">
        <f>IF(COUNT(C104:D104)=2,D104-C104,"")</f>
        <v>-0.2625341271096886</v>
      </c>
      <c r="H104">
        <v>30</v>
      </c>
      <c r="I104">
        <v>29</v>
      </c>
      <c r="J104">
        <f>100*410139/1282634</f>
        <v>31.976308128429466</v>
      </c>
      <c r="K104">
        <f>100*29456/752085</f>
        <v>3.9165785782192173</v>
      </c>
      <c r="L104">
        <f>IF(COUNT(J104:K104)=2,K104-J104,"")</f>
        <v>-28.05972955021025</v>
      </c>
      <c r="O104">
        <v>30</v>
      </c>
      <c r="P104">
        <v>29</v>
      </c>
      <c r="Q104">
        <f>100*806811/1713643</f>
        <v>47.08162668653856</v>
      </c>
      <c r="R104">
        <f>100*660911/1938259</f>
        <v>34.098177797704025</v>
      </c>
      <c r="S104">
        <f>IF(COUNT(Q104:R104)=2,R104-Q104,"")</f>
        <v>-12.983448888834538</v>
      </c>
    </row>
    <row r="105" spans="1:19" x14ac:dyDescent="0.3">
      <c r="A105">
        <v>31</v>
      </c>
      <c r="B105">
        <v>30</v>
      </c>
      <c r="C105">
        <f>100*859640/1902385</f>
        <v>45.187488337008546</v>
      </c>
      <c r="D105">
        <f>100*276859/1248124</f>
        <v>22.182010761751236</v>
      </c>
      <c r="E105">
        <f>IF(COUNT(C105:D105)=2,D105-C105,"")</f>
        <v>-23.00547757525731</v>
      </c>
      <c r="H105">
        <v>31</v>
      </c>
      <c r="I105">
        <v>30</v>
      </c>
      <c r="J105">
        <f>100*349588/1410455</f>
        <v>24.785477026916848</v>
      </c>
      <c r="K105">
        <f>100*700402/2245776</f>
        <v>31.187527162103432</v>
      </c>
      <c r="L105">
        <f>IF(COUNT(J105:K105)=2,K105-J105,"")</f>
        <v>6.402050135186585</v>
      </c>
      <c r="O105">
        <v>31</v>
      </c>
      <c r="P105">
        <v>30</v>
      </c>
      <c r="Q105">
        <f>100*267010/983366</f>
        <v>27.15265730155405</v>
      </c>
      <c r="R105">
        <f>100*2617/426597</f>
        <v>0.6134595414407509</v>
      </c>
      <c r="S105">
        <f>IF(COUNT(Q105:R105)=2,R105-Q105,"")</f>
        <v>-26.5391977601133</v>
      </c>
    </row>
    <row r="106" spans="1:19" x14ac:dyDescent="0.3">
      <c r="A106" t="s">
        <v>5</v>
      </c>
      <c r="C106">
        <f>IF(COUNT(C75:C105)&gt;0,AVERAGE(C75:C105),"")</f>
        <v>34.096955178849896</v>
      </c>
      <c r="D106">
        <f>IF(COUNT(D75:D105)&gt;0,AVERAGE(D75:D105),"")</f>
        <v>18.446363434445754</v>
      </c>
      <c r="E106">
        <f>IF(COUNT(E75:E105)&gt;0,AVERAGE(E75:E105),"")</f>
        <v>-15.65059174440414</v>
      </c>
      <c r="H106" t="s">
        <v>5</v>
      </c>
      <c r="J106">
        <f>IF(COUNT(J75:J105)&gt;0,AVERAGE(J75:J105),"")</f>
        <v>36.69157069983473</v>
      </c>
      <c r="K106">
        <f>IF(COUNT(K75:K105)&gt;0,AVERAGE(K75:K105),"")</f>
        <v>20.16885563652752</v>
      </c>
      <c r="L106">
        <f>IF(COUNT(L75:L105)&gt;0,AVERAGE(L75:L105),"")</f>
        <v>-15.910368490895396</v>
      </c>
      <c r="O106" t="s">
        <v>5</v>
      </c>
      <c r="Q106">
        <f>IF(COUNT(Q75:Q105)&gt;0,AVERAGE(Q75:Q105),"")</f>
        <v>33.786792028213014</v>
      </c>
      <c r="R106">
        <f>IF(COUNT(R75:R105)&gt;0,AVERAGE(R75:R105),"")</f>
        <v>20.149464635958726</v>
      </c>
      <c r="S106">
        <f>IF(COUNT(S75:S105)&gt;0,AVERAGE(S75:S105),"")</f>
        <v>-13.637327392254289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LCC(RREQ, q_1)</vt:lpstr>
      <vt:lpstr>LCC(RREQ, q_2)</vt:lpstr>
      <vt:lpstr>LCC(RREQ, q_3)</vt:lpstr>
      <vt:lpstr>LCC(RREQ, q_4)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2015-06-05T18:19:34Z</dcterms:created>
  <dcterms:modified xsi:type="dcterms:W3CDTF">2026-09-14T05:20:47Z</dcterms:modified>
</cp:coreProperties>
</file>