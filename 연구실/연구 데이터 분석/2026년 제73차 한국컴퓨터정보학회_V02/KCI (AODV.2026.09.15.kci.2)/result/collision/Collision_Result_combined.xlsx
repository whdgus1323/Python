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#0, 21_0, 19" sheetId="1" r:id="rId1"/>
    <sheet name="full#21, 33_19, 32" sheetId="2" r:id="rId2"/>
    <sheet name="full#33, 44_32, 43" sheetId="3" r:id="rId3"/>
    <sheet name="full#44, 101_43, 101" sheetId="4" r:id="rId4"/>
    <sheet name="rrep#0_21" sheetId="5" r:id="rId5"/>
    <sheet name="rrep#21_33" sheetId="6" r:id="rId6"/>
    <sheet name="rrep#33_44" sheetId="7" r:id="rId7"/>
    <sheet name="rrep#44_101" sheetId="8" r:id="rId8"/>
    <sheet name="rreq#0_19" sheetId="9" r:id="rId9"/>
    <sheet name="rreq#19_32" sheetId="10" r:id="rId10"/>
    <sheet name="rreq#32_43" sheetId="11" r:id="rId11"/>
    <sheet name="rreq#43_101" sheetId="12" r:id="rId12"/>
    <sheet name="Raw Counts" sheetId="13" r:id="rId13"/>
    <sheet name="Read Me" sheetId="14" r:id="rId14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19_result\d#120\v#30\30\ping_collision_summary.csv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32_result\d#120\v#30\30\ping_collision_summary.csv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43_result\d#120\v#30\30\ping_collision_summary.csv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101_result\d#120\v#30\30\ping_collision_summary.csv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D:\CBP_2026.07.21\i#3\rrep\rrep#0_21_result\d#120\v#30\30\ping_collision_summary.csv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D:\CBP_2026.07.21\i#3\rrep\rrep#21_33_result\d#120\v#30\30\ping_collision_summary.csv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D:\CBP_2026.07.21\i#3\rrep\rrep#33_44_result\d#120\v#30\30\ping_collision_summary.csv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D:\CBP_2026.07.21\i#3\rrep\rrep#44_101_result\d#120\v#30\30\ping_collision_summary.csv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D:\CBP_2026.07.21\i#3\rreq\rreq#0_19_result\d#120\v#30\30\ping_collision_summary.csv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D:\CBP_2026.07.21\i#3\rreq\rreq#19_32_result\d#120\v#30\30\ping_collision_summary.csv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D:\CBP_2026.07.21\i#3\rreq\rreq#32_43_result\d#100\v#20\5\ping_collision_summary.csv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D:\CBP_2026.07.21\i#3\rreq\rreq#32_43_result\d#100\v#10\16\ping_collision_summary.csv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D:\CBP_2026.07.21\i#3\rreq\rreq#32_43_result\d#100\v#10\28\ping_collision_summary.csv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D:\CBP_2026.07.21\i#3\rreq\rreq#32_43_result\d#100\v#10\29\ping_collision_summary.csv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D:\CBP_2026.07.21\i#3\rreq\rreq#32_43_result\d#120\v#30\30\ping_collision_summary.csv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D:\CBP_2026.07.21\i#3\rreq\rreq#43_101_result\d#120\v#30\30\ping_collision_summary.csv</t>
        </r>
      </text>
    </comment>
  </commentList>
</comments>
</file>

<file path=xl/sharedStrings.xml><?xml version="1.0" encoding="utf-8"?>
<sst xmlns="http://schemas.openxmlformats.org/spreadsheetml/2006/main" count="11748" uniqueCount="3658">
  <si>
    <t>70/10</t>
  </si>
  <si>
    <t>No</t>
  </si>
  <si>
    <t>nodeId</t>
  </si>
  <si>
    <t>Legacy</t>
  </si>
  <si>
    <t>Proposed</t>
  </si>
  <si>
    <t>Delta</t>
  </si>
  <si>
    <t>AVG</t>
  </si>
  <si>
    <t>N</t>
  </si>
  <si>
    <t>70/20</t>
  </si>
  <si>
    <t>70/30</t>
  </si>
  <si>
    <t>100/10</t>
  </si>
  <si>
    <t>100/20</t>
  </si>
  <si>
    <t>100/30</t>
  </si>
  <si>
    <t>120/10</t>
  </si>
  <si>
    <t>120/20</t>
  </si>
  <si>
    <t>120/30</t>
  </si>
  <si>
    <t>source</t>
  </si>
  <si>
    <t>packet</t>
  </si>
  <si>
    <t>receptionAttempts</t>
  </si>
  <si>
    <t>failedReceptionsWithInterference</t>
  </si>
  <si>
    <t>status</t>
  </si>
  <si>
    <t>requestAttempts</t>
  </si>
  <si>
    <t>requestFailures</t>
  </si>
  <si>
    <t>replyAttempts</t>
  </si>
  <si>
    <t>replyFailures</t>
  </si>
  <si>
    <t>D:\CBP_2026.07.21\i#3\full\full#0, 21_0, 19_result\d#100\v#10\0\ping_collision_summary.csv</t>
  </si>
  <si>
    <t>combined</t>
  </si>
  <si>
    <t>ok</t>
  </si>
  <si>
    <t>D:\CBP_2026.07.21\i#3\full\full#0, 21_0, 19_result\d#100\v#10\10\ping_collision_summary.csv</t>
  </si>
  <si>
    <t>D:\CBP_2026.07.21\i#3\full\full#0, 21_0, 19_result\d#100\v#10\11\ping_collision_summary.csv</t>
  </si>
  <si>
    <t>D:\CBP_2026.07.21\i#3\full\full#0, 21_0, 19_result\d#100\v#10\12\ping_collision_summary.csv</t>
  </si>
  <si>
    <t>D:\CBP_2026.07.21\i#3\full\full#0, 21_0, 19_result\d#100\v#10\13\ping_collision_summary.csv</t>
  </si>
  <si>
    <t>D:\CBP_2026.07.21\i#3\full\full#0, 21_0, 19_result\d#100\v#10\14\ping_collision_summary.csv</t>
  </si>
  <si>
    <t>D:\CBP_2026.07.21\i#3\full\full#0, 21_0, 19_result\d#100\v#10\15\ping_collision_summary.csv</t>
  </si>
  <si>
    <t>D:\CBP_2026.07.21\i#3\full\full#0, 21_0, 19_result\d#100\v#10\16\ping_collision_summary.csv</t>
  </si>
  <si>
    <t>D:\CBP_2026.07.21\i#3\full\full#0, 21_0, 19_result\d#100\v#10\17\ping_collision_summary.csv</t>
  </si>
  <si>
    <t>D:\CBP_2026.07.21\i#3\full\full#0, 21_0, 19_result\d#100\v#10\18\ping_collision_summary.csv</t>
  </si>
  <si>
    <t>D:\CBP_2026.07.21\i#3\full\full#0, 21_0, 19_result\d#100\v#10\19\ping_collision_summary.csv</t>
  </si>
  <si>
    <t>D:\CBP_2026.07.21\i#3\full\full#0, 21_0, 19_result\d#100\v#10\1\ping_collision_summary.csv</t>
  </si>
  <si>
    <t>D:\CBP_2026.07.21\i#3\full\full#0, 21_0, 19_result\d#100\v#10\20\ping_collision_summary.csv</t>
  </si>
  <si>
    <t>D:\CBP_2026.07.21\i#3\full\full#0, 21_0, 19_result\d#100\v#10\21\ping_collision_summary.csv</t>
  </si>
  <si>
    <t>D:\CBP_2026.07.21\i#3\full\full#0, 21_0, 19_result\d#100\v#10\22\ping_collision_summary.csv</t>
  </si>
  <si>
    <t>D:\CBP_2026.07.21\i#3\full\full#0, 21_0, 19_result\d#100\v#10\23\ping_collision_summary.csv</t>
  </si>
  <si>
    <t>D:\CBP_2026.07.21\i#3\full\full#0, 21_0, 19_result\d#100\v#10\24\ping_collision_summary.csv</t>
  </si>
  <si>
    <t>D:\CBP_2026.07.21\i#3\full\full#0, 21_0, 19_result\d#100\v#10\25\ping_collision_summary.csv</t>
  </si>
  <si>
    <t>D:\CBP_2026.07.21\i#3\full\full#0, 21_0, 19_result\d#100\v#10\26\ping_collision_summary.csv</t>
  </si>
  <si>
    <t>D:\CBP_2026.07.21\i#3\full\full#0, 21_0, 19_result\d#100\v#10\27\ping_collision_summary.csv</t>
  </si>
  <si>
    <t>D:\CBP_2026.07.21\i#3\full\full#0, 21_0, 19_result\d#100\v#10\28\ping_collision_summary.csv</t>
  </si>
  <si>
    <t>D:\CBP_2026.07.21\i#3\full\full#0, 21_0, 19_result\d#100\v#10\29\ping_collision_summary.csv</t>
  </si>
  <si>
    <t>D:\CBP_2026.07.21\i#3\full\full#0, 21_0, 19_result\d#100\v#10\2\ping_collision_summary.csv</t>
  </si>
  <si>
    <t>D:\CBP_2026.07.21\i#3\full\full#0, 21_0, 19_result\d#100\v#10\30\ping_collision_summary.csv</t>
  </si>
  <si>
    <t>D:\CBP_2026.07.21\i#3\full\full#0, 21_0, 19_result\d#100\v#10\3\ping_collision_summary.csv</t>
  </si>
  <si>
    <t>D:\CBP_2026.07.21\i#3\full\full#0, 21_0, 19_result\d#100\v#10\4\ping_collision_summary.csv</t>
  </si>
  <si>
    <t>D:\CBP_2026.07.21\i#3\full\full#0, 21_0, 19_result\d#100\v#10\5\ping_collision_summary.csv</t>
  </si>
  <si>
    <t>D:\CBP_2026.07.21\i#3\full\full#0, 21_0, 19_result\d#100\v#10\6\ping_collision_summary.csv</t>
  </si>
  <si>
    <t>D:\CBP_2026.07.21\i#3\full\full#0, 21_0, 19_result\d#100\v#10\7\ping_collision_summary.csv</t>
  </si>
  <si>
    <t>D:\CBP_2026.07.21\i#3\full\full#0, 21_0, 19_result\d#100\v#10\8\ping_collision_summary.csv</t>
  </si>
  <si>
    <t>D:\CBP_2026.07.21\i#3\full\full#0, 21_0, 19_result\d#100\v#10\9\ping_collision_summary.csv</t>
  </si>
  <si>
    <t>D:\CBP_2026.07.21\i#3\full\full#0, 21_0, 19_result\d#100\v#20\0\ping_collision_summary.csv</t>
  </si>
  <si>
    <t>D:\CBP_2026.07.21\i#3\full\full#0, 21_0, 19_result\d#100\v#20\10\ping_collision_summary.csv</t>
  </si>
  <si>
    <t>D:\CBP_2026.07.21\i#3\full\full#0, 21_0, 19_result\d#100\v#20\11\ping_collision_summary.csv</t>
  </si>
  <si>
    <t>D:\CBP_2026.07.21\i#3\full\full#0, 21_0, 19_result\d#100\v#20\12\ping_collision_summary.csv</t>
  </si>
  <si>
    <t>D:\CBP_2026.07.21\i#3\full\full#0, 21_0, 19_result\d#100\v#20\13\ping_collision_summary.csv</t>
  </si>
  <si>
    <t>D:\CBP_2026.07.21\i#3\full\full#0, 21_0, 19_result\d#100\v#20\14\ping_collision_summary.csv</t>
  </si>
  <si>
    <t>D:\CBP_2026.07.21\i#3\full\full#0, 21_0, 19_result\d#100\v#20\15\ping_collision_summary.csv</t>
  </si>
  <si>
    <t>D:\CBP_2026.07.21\i#3\full\full#0, 21_0, 19_result\d#100\v#20\16\ping_collision_summary.csv</t>
  </si>
  <si>
    <t>D:\CBP_2026.07.21\i#3\full\full#0, 21_0, 19_result\d#100\v#20\17\ping_collision_summary.csv</t>
  </si>
  <si>
    <t>D:\CBP_2026.07.21\i#3\full\full#0, 21_0, 19_result\d#100\v#20\18\ping_collision_summary.csv</t>
  </si>
  <si>
    <t>D:\CBP_2026.07.21\i#3\full\full#0, 21_0, 19_result\d#100\v#20\19\ping_collision_summary.csv</t>
  </si>
  <si>
    <t>D:\CBP_2026.07.21\i#3\full\full#0, 21_0, 19_result\d#100\v#20\1\ping_collision_summary.csv</t>
  </si>
  <si>
    <t>D:\CBP_2026.07.21\i#3\full\full#0, 21_0, 19_result\d#100\v#20\20\ping_collision_summary.csv</t>
  </si>
  <si>
    <t>D:\CBP_2026.07.21\i#3\full\full#0, 21_0, 19_result\d#100\v#20\21\ping_collision_summary.csv</t>
  </si>
  <si>
    <t>D:\CBP_2026.07.21\i#3\full\full#0, 21_0, 19_result\d#100\v#20\22\ping_collision_summary.csv</t>
  </si>
  <si>
    <t>D:\CBP_2026.07.21\i#3\full\full#0, 21_0, 19_result\d#100\v#20\23\ping_collision_summary.csv</t>
  </si>
  <si>
    <t>D:\CBP_2026.07.21\i#3\full\full#0, 21_0, 19_result\d#100\v#20\24\ping_collision_summary.csv</t>
  </si>
  <si>
    <t>D:\CBP_2026.07.21\i#3\full\full#0, 21_0, 19_result\d#100\v#20\25\ping_collision_summary.csv</t>
  </si>
  <si>
    <t>D:\CBP_2026.07.21\i#3\full\full#0, 21_0, 19_result\d#100\v#20\26\ping_collision_summary.csv</t>
  </si>
  <si>
    <t>D:\CBP_2026.07.21\i#3\full\full#0, 21_0, 19_result\d#100\v#20\27\ping_collision_summary.csv</t>
  </si>
  <si>
    <t>D:\CBP_2026.07.21\i#3\full\full#0, 21_0, 19_result\d#100\v#20\28\ping_collision_summary.csv</t>
  </si>
  <si>
    <t>D:\CBP_2026.07.21\i#3\full\full#0, 21_0, 19_result\d#100\v#20\29\ping_collision_summary.csv</t>
  </si>
  <si>
    <t>D:\CBP_2026.07.21\i#3\full\full#0, 21_0, 19_result\d#100\v#20\2\ping_collision_summary.csv</t>
  </si>
  <si>
    <t>D:\CBP_2026.07.21\i#3\full\full#0, 21_0, 19_result\d#100\v#20\30\ping_collision_summary.csv</t>
  </si>
  <si>
    <t>D:\CBP_2026.07.21\i#3\full\full#0, 21_0, 19_result\d#100\v#20\3\ping_collision_summary.csv</t>
  </si>
  <si>
    <t>D:\CBP_2026.07.21\i#3\full\full#0, 21_0, 19_result\d#100\v#20\4\ping_collision_summary.csv</t>
  </si>
  <si>
    <t>D:\CBP_2026.07.21\i#3\full\full#0, 21_0, 19_result\d#100\v#20\5\ping_collision_summary.csv</t>
  </si>
  <si>
    <t>D:\CBP_2026.07.21\i#3\full\full#0, 21_0, 19_result\d#100\v#20\6\ping_collision_summary.csv</t>
  </si>
  <si>
    <t>D:\CBP_2026.07.21\i#3\full\full#0, 21_0, 19_result\d#100\v#20\7\ping_collision_summary.csv</t>
  </si>
  <si>
    <t>D:\CBP_2026.07.21\i#3\full\full#0, 21_0, 19_result\d#100\v#20\8\ping_collision_summary.csv</t>
  </si>
  <si>
    <t>D:\CBP_2026.07.21\i#3\full\full#0, 21_0, 19_result\d#100\v#20\9\ping_collision_summary.csv</t>
  </si>
  <si>
    <t>D:\CBP_2026.07.21\i#3\full\full#0, 21_0, 19_result\d#100\v#30\0\ping_collision_summary.csv</t>
  </si>
  <si>
    <t>D:\CBP_2026.07.21\i#3\full\full#0, 21_0, 19_result\d#100\v#30\10\ping_collision_summary.csv</t>
  </si>
  <si>
    <t>D:\CBP_2026.07.21\i#3\full\full#0, 21_0, 19_result\d#100\v#30\11\ping_collision_summary.csv</t>
  </si>
  <si>
    <t>D:\CBP_2026.07.21\i#3\full\full#0, 21_0, 19_result\d#100\v#30\12\ping_collision_summary.csv</t>
  </si>
  <si>
    <t>D:\CBP_2026.07.21\i#3\full\full#0, 21_0, 19_result\d#100\v#30\13\ping_collision_summary.csv</t>
  </si>
  <si>
    <t>D:\CBP_2026.07.21\i#3\full\full#0, 21_0, 19_result\d#100\v#30\14\ping_collision_summary.csv</t>
  </si>
  <si>
    <t>D:\CBP_2026.07.21\i#3\full\full#0, 21_0, 19_result\d#100\v#30\15\ping_collision_summary.csv</t>
  </si>
  <si>
    <t>D:\CBP_2026.07.21\i#3\full\full#0, 21_0, 19_result\d#100\v#30\16\ping_collision_summary.csv</t>
  </si>
  <si>
    <t>D:\CBP_2026.07.21\i#3\full\full#0, 21_0, 19_result\d#100\v#30\17\ping_collision_summary.csv</t>
  </si>
  <si>
    <t>D:\CBP_2026.07.21\i#3\full\full#0, 21_0, 19_result\d#100\v#30\18\ping_collision_summary.csv</t>
  </si>
  <si>
    <t>D:\CBP_2026.07.21\i#3\full\full#0, 21_0, 19_result\d#100\v#30\19\ping_collision_summary.csv</t>
  </si>
  <si>
    <t>D:\CBP_2026.07.21\i#3\full\full#0, 21_0, 19_result\d#100\v#30\1\ping_collision_summary.csv</t>
  </si>
  <si>
    <t>D:\CBP_2026.07.21\i#3\full\full#0, 21_0, 19_result\d#100\v#30\20\ping_collision_summary.csv</t>
  </si>
  <si>
    <t>D:\CBP_2026.07.21\i#3\full\full#0, 21_0, 19_result\d#100\v#30\21\ping_collision_summary.csv</t>
  </si>
  <si>
    <t>D:\CBP_2026.07.21\i#3\full\full#0, 21_0, 19_result\d#100\v#30\22\ping_collision_summary.csv</t>
  </si>
  <si>
    <t>D:\CBP_2026.07.21\i#3\full\full#0, 21_0, 19_result\d#100\v#30\23\ping_collision_summary.csv</t>
  </si>
  <si>
    <t>D:\CBP_2026.07.21\i#3\full\full#0, 21_0, 19_result\d#100\v#30\24\ping_collision_summary.csv</t>
  </si>
  <si>
    <t>D:\CBP_2026.07.21\i#3\full\full#0, 21_0, 19_result\d#100\v#30\25\ping_collision_summary.csv</t>
  </si>
  <si>
    <t>D:\CBP_2026.07.21\i#3\full\full#0, 21_0, 19_result\d#100\v#30\26\ping_collision_summary.csv</t>
  </si>
  <si>
    <t>D:\CBP_2026.07.21\i#3\full\full#0, 21_0, 19_result\d#100\v#30\27\ping_collision_summary.csv</t>
  </si>
  <si>
    <t>D:\CBP_2026.07.21\i#3\full\full#0, 21_0, 19_result\d#100\v#30\28\ping_collision_summary.csv</t>
  </si>
  <si>
    <t>D:\CBP_2026.07.21\i#3\full\full#0, 21_0, 19_result\d#100\v#30\29\ping_collision_summary.csv</t>
  </si>
  <si>
    <t>D:\CBP_2026.07.21\i#3\full\full#0, 21_0, 19_result\d#100\v#30\2\ping_collision_summary.csv</t>
  </si>
  <si>
    <t>D:\CBP_2026.07.21\i#3\full\full#0, 21_0, 19_result\d#100\v#30\30\ping_collision_summary.csv</t>
  </si>
  <si>
    <t>D:\CBP_2026.07.21\i#3\full\full#0, 21_0, 19_result\d#100\v#30\3\ping_collision_summary.csv</t>
  </si>
  <si>
    <t>D:\CBP_2026.07.21\i#3\full\full#0, 21_0, 19_result\d#100\v#30\4\ping_collision_summary.csv</t>
  </si>
  <si>
    <t>D:\CBP_2026.07.21\i#3\full\full#0, 21_0, 19_result\d#100\v#30\5\ping_collision_summary.csv</t>
  </si>
  <si>
    <t>D:\CBP_2026.07.21\i#3\full\full#0, 21_0, 19_result\d#100\v#30\6\ping_collision_summary.csv</t>
  </si>
  <si>
    <t>D:\CBP_2026.07.21\i#3\full\full#0, 21_0, 19_result\d#100\v#30\7\ping_collision_summary.csv</t>
  </si>
  <si>
    <t>D:\CBP_2026.07.21\i#3\full\full#0, 21_0, 19_result\d#100\v#30\8\ping_collision_summary.csv</t>
  </si>
  <si>
    <t>D:\CBP_2026.07.21\i#3\full\full#0, 21_0, 19_result\d#100\v#30\9\ping_collision_summary.csv</t>
  </si>
  <si>
    <t>D:\CBP_2026.07.21\i#3\full\full#0, 21_0, 19_result\d#120\v#10\0\ping_collision_summary.csv</t>
  </si>
  <si>
    <t>D:\CBP_2026.07.21\i#3\full\full#0, 21_0, 19_result\d#120\v#10\10\ping_collision_summary.csv</t>
  </si>
  <si>
    <t>D:\CBP_2026.07.21\i#3\full\full#0, 21_0, 19_result\d#120\v#10\11\ping_collision_summary.csv</t>
  </si>
  <si>
    <t>D:\CBP_2026.07.21\i#3\full\full#0, 21_0, 19_result\d#120\v#10\12\ping_collision_summary.csv</t>
  </si>
  <si>
    <t>D:\CBP_2026.07.21\i#3\full\full#0, 21_0, 19_result\d#120\v#10\13\ping_collision_summary.csv</t>
  </si>
  <si>
    <t>D:\CBP_2026.07.21\i#3\full\full#0, 21_0, 19_result\d#120\v#10\14\ping_collision_summary.csv</t>
  </si>
  <si>
    <t>D:\CBP_2026.07.21\i#3\full\full#0, 21_0, 19_result\d#120\v#10\15\ping_collision_summary.csv</t>
  </si>
  <si>
    <t>D:\CBP_2026.07.21\i#3\full\full#0, 21_0, 19_result\d#120\v#10\16\ping_collision_summary.csv</t>
  </si>
  <si>
    <t>D:\CBP_2026.07.21\i#3\full\full#0, 21_0, 19_result\d#120\v#10\17\ping_collision_summary.csv</t>
  </si>
  <si>
    <t>D:\CBP_2026.07.21\i#3\full\full#0, 21_0, 19_result\d#120\v#10\18\ping_collision_summary.csv</t>
  </si>
  <si>
    <t>D:\CBP_2026.07.21\i#3\full\full#0, 21_0, 19_result\d#120\v#10\19\ping_collision_summary.csv</t>
  </si>
  <si>
    <t>D:\CBP_2026.07.21\i#3\full\full#0, 21_0, 19_result\d#120\v#10\1\ping_collision_summary.csv</t>
  </si>
  <si>
    <t>D:\CBP_2026.07.21\i#3\full\full#0, 21_0, 19_result\d#120\v#10\20\ping_collision_summary.csv</t>
  </si>
  <si>
    <t>D:\CBP_2026.07.21\i#3\full\full#0, 21_0, 19_result\d#120\v#10\21\ping_collision_summary.csv</t>
  </si>
  <si>
    <t>D:\CBP_2026.07.21\i#3\full\full#0, 21_0, 19_result\d#120\v#10\22\ping_collision_summary.csv</t>
  </si>
  <si>
    <t>D:\CBP_2026.07.21\i#3\full\full#0, 21_0, 19_result\d#120\v#10\23\ping_collision_summary.csv</t>
  </si>
  <si>
    <t>D:\CBP_2026.07.21\i#3\full\full#0, 21_0, 19_result\d#120\v#10\24\ping_collision_summary.csv</t>
  </si>
  <si>
    <t>D:\CBP_2026.07.21\i#3\full\full#0, 21_0, 19_result\d#120\v#10\25\ping_collision_summary.csv</t>
  </si>
  <si>
    <t>D:\CBP_2026.07.21\i#3\full\full#0, 21_0, 19_result\d#120\v#10\26\ping_collision_summary.csv</t>
  </si>
  <si>
    <t>D:\CBP_2026.07.21\i#3\full\full#0, 21_0, 19_result\d#120\v#10\27\ping_collision_summary.csv</t>
  </si>
  <si>
    <t>D:\CBP_2026.07.21\i#3\full\full#0, 21_0, 19_result\d#120\v#10\28\ping_collision_summary.csv</t>
  </si>
  <si>
    <t>D:\CBP_2026.07.21\i#3\full\full#0, 21_0, 19_result\d#120\v#10\29\ping_collision_summary.csv</t>
  </si>
  <si>
    <t>D:\CBP_2026.07.21\i#3\full\full#0, 21_0, 19_result\d#120\v#10\2\ping_collision_summary.csv</t>
  </si>
  <si>
    <t>D:\CBP_2026.07.21\i#3\full\full#0, 21_0, 19_result\d#120\v#10\30\ping_collision_summary.csv</t>
  </si>
  <si>
    <t>D:\CBP_2026.07.21\i#3\full\full#0, 21_0, 19_result\d#120\v#10\3\ping_collision_summary.csv</t>
  </si>
  <si>
    <t>D:\CBP_2026.07.21\i#3\full\full#0, 21_0, 19_result\d#120\v#10\4\ping_collision_summary.csv</t>
  </si>
  <si>
    <t>D:\CBP_2026.07.21\i#3\full\full#0, 21_0, 19_result\d#120\v#10\5\ping_collision_summary.csv</t>
  </si>
  <si>
    <t>D:\CBP_2026.07.21\i#3\full\full#0, 21_0, 19_result\d#120\v#10\6\ping_collision_summary.csv</t>
  </si>
  <si>
    <t>D:\CBP_2026.07.21\i#3\full\full#0, 21_0, 19_result\d#120\v#10\7\ping_collision_summary.csv</t>
  </si>
  <si>
    <t>D:\CBP_2026.07.21\i#3\full\full#0, 21_0, 19_result\d#120\v#10\8\ping_collision_summary.csv</t>
  </si>
  <si>
    <t>D:\CBP_2026.07.21\i#3\full\full#0, 21_0, 19_result\d#120\v#10\9\ping_collision_summary.csv</t>
  </si>
  <si>
    <t>D:\CBP_2026.07.21\i#3\full\full#0, 21_0, 19_result\d#120\v#20\0\ping_collision_summary.csv</t>
  </si>
  <si>
    <t>D:\CBP_2026.07.21\i#3\full\full#0, 21_0, 19_result\d#120\v#20\10\ping_collision_summary.csv</t>
  </si>
  <si>
    <t>D:\CBP_2026.07.21\i#3\full\full#0, 21_0, 19_result\d#120\v#20\11\ping_collision_summary.csv</t>
  </si>
  <si>
    <t>D:\CBP_2026.07.21\i#3\full\full#0, 21_0, 19_result\d#120\v#20\12\ping_collision_summary.csv</t>
  </si>
  <si>
    <t>D:\CBP_2026.07.21\i#3\full\full#0, 21_0, 19_result\d#120\v#20\13\ping_collision_summary.csv</t>
  </si>
  <si>
    <t>D:\CBP_2026.07.21\i#3\full\full#0, 21_0, 19_result\d#120\v#20\14\ping_collision_summary.csv</t>
  </si>
  <si>
    <t>D:\CBP_2026.07.21\i#3\full\full#0, 21_0, 19_result\d#120\v#20\15\ping_collision_summary.csv</t>
  </si>
  <si>
    <t>D:\CBP_2026.07.21\i#3\full\full#0, 21_0, 19_result\d#120\v#20\16\ping_collision_summary.csv</t>
  </si>
  <si>
    <t>D:\CBP_2026.07.21\i#3\full\full#0, 21_0, 19_result\d#120\v#20\17\ping_collision_summary.csv</t>
  </si>
  <si>
    <t>D:\CBP_2026.07.21\i#3\full\full#0, 21_0, 19_result\d#120\v#20\18\ping_collision_summary.csv</t>
  </si>
  <si>
    <t>D:\CBP_2026.07.21\i#3\full\full#0, 21_0, 19_result\d#120\v#20\19\ping_collision_summary.csv</t>
  </si>
  <si>
    <t>D:\CBP_2026.07.21\i#3\full\full#0, 21_0, 19_result\d#120\v#20\1\ping_collision_summary.csv</t>
  </si>
  <si>
    <t>D:\CBP_2026.07.21\i#3\full\full#0, 21_0, 19_result\d#120\v#20\20\ping_collision_summary.csv</t>
  </si>
  <si>
    <t>D:\CBP_2026.07.21\i#3\full\full#0, 21_0, 19_result\d#120\v#20\21\ping_collision_summary.csv</t>
  </si>
  <si>
    <t>D:\CBP_2026.07.21\i#3\full\full#0, 21_0, 19_result\d#120\v#20\22\ping_collision_summary.csv</t>
  </si>
  <si>
    <t>D:\CBP_2026.07.21\i#3\full\full#0, 21_0, 19_result\d#120\v#20\23\ping_collision_summary.csv</t>
  </si>
  <si>
    <t>D:\CBP_2026.07.21\i#3\full\full#0, 21_0, 19_result\d#120\v#20\24\ping_collision_summary.csv</t>
  </si>
  <si>
    <t>D:\CBP_2026.07.21\i#3\full\full#0, 21_0, 19_result\d#120\v#20\25\ping_collision_summary.csv</t>
  </si>
  <si>
    <t>D:\CBP_2026.07.21\i#3\full\full#0, 21_0, 19_result\d#120\v#20\26\ping_collision_summary.csv</t>
  </si>
  <si>
    <t>D:\CBP_2026.07.21\i#3\full\full#0, 21_0, 19_result\d#120\v#20\27\ping_collision_summary.csv</t>
  </si>
  <si>
    <t>D:\CBP_2026.07.21\i#3\full\full#0, 21_0, 19_result\d#120\v#20\28\ping_collision_summary.csv</t>
  </si>
  <si>
    <t>D:\CBP_2026.07.21\i#3\full\full#0, 21_0, 19_result\d#120\v#20\29\ping_collision_summary.csv</t>
  </si>
  <si>
    <t>D:\CBP_2026.07.21\i#3\full\full#0, 21_0, 19_result\d#120\v#20\2\ping_collision_summary.csv</t>
  </si>
  <si>
    <t>D:\CBP_2026.07.21\i#3\full\full#0, 21_0, 19_result\d#120\v#20\30\ping_collision_summary.csv</t>
  </si>
  <si>
    <t>D:\CBP_2026.07.21\i#3\full\full#0, 21_0, 19_result\d#120\v#20\3\ping_collision_summary.csv</t>
  </si>
  <si>
    <t>D:\CBP_2026.07.21\i#3\full\full#0, 21_0, 19_result\d#120\v#20\4\ping_collision_summary.csv</t>
  </si>
  <si>
    <t>D:\CBP_2026.07.21\i#3\full\full#0, 21_0, 19_result\d#120\v#20\5\ping_collision_summary.csv</t>
  </si>
  <si>
    <t>D:\CBP_2026.07.21\i#3\full\full#0, 21_0, 19_result\d#120\v#20\6\ping_collision_summary.csv</t>
  </si>
  <si>
    <t>D:\CBP_2026.07.21\i#3\full\full#0, 21_0, 19_result\d#120\v#20\7\ping_collision_summary.csv</t>
  </si>
  <si>
    <t>D:\CBP_2026.07.21\i#3\full\full#0, 21_0, 19_result\d#120\v#20\8\ping_collision_summary.csv</t>
  </si>
  <si>
    <t>D:\CBP_2026.07.21\i#3\full\full#0, 21_0, 19_result\d#120\v#20\9\ping_collision_summary.csv</t>
  </si>
  <si>
    <t>D:\CBP_2026.07.21\i#3\full\full#0, 21_0, 19_result\d#120\v#30\0\ping_collision_summary.csv</t>
  </si>
  <si>
    <t>D:\CBP_2026.07.21\i#3\full\full#0, 21_0, 19_result\d#120\v#30\10\ping_collision_summary.csv</t>
  </si>
  <si>
    <t>D:\CBP_2026.07.21\i#3\full\full#0, 21_0, 19_result\d#120\v#30\11\ping_collision_summary.csv</t>
  </si>
  <si>
    <t>D:\CBP_2026.07.21\i#3\full\full#0, 21_0, 19_result\d#120\v#30\12\ping_collision_summary.csv</t>
  </si>
  <si>
    <t>D:\CBP_2026.07.21\i#3\full\full#0, 21_0, 19_result\d#120\v#30\13\ping_collision_summary.csv</t>
  </si>
  <si>
    <t>D:\CBP_2026.07.21\i#3\full\full#0, 21_0, 19_result\d#120\v#30\14\ping_collision_summary.csv</t>
  </si>
  <si>
    <t>D:\CBP_2026.07.21\i#3\full\full#0, 21_0, 19_result\d#120\v#30\15\ping_collision_summary.csv</t>
  </si>
  <si>
    <t>D:\CBP_2026.07.21\i#3\full\full#0, 21_0, 19_result\d#120\v#30\16\ping_collision_summary.csv</t>
  </si>
  <si>
    <t>D:\CBP_2026.07.21\i#3\full\full#0, 21_0, 19_result\d#120\v#30\17\ping_collision_summary.csv</t>
  </si>
  <si>
    <t>D:\CBP_2026.07.21\i#3\full\full#0, 21_0, 19_result\d#120\v#30\18\ping_collision_summary.csv</t>
  </si>
  <si>
    <t>D:\CBP_2026.07.21\i#3\full\full#0, 21_0, 19_result\d#120\v#30\19\ping_collision_summary.csv</t>
  </si>
  <si>
    <t>D:\CBP_2026.07.21\i#3\full\full#0, 21_0, 19_result\d#120\v#30\1\ping_collision_summary.csv</t>
  </si>
  <si>
    <t>D:\CBP_2026.07.21\i#3\full\full#0, 21_0, 19_result\d#120\v#30\20\ping_collision_summary.csv</t>
  </si>
  <si>
    <t>D:\CBP_2026.07.21\i#3\full\full#0, 21_0, 19_result\d#120\v#30\21\ping_collision_summary.csv</t>
  </si>
  <si>
    <t>D:\CBP_2026.07.21\i#3\full\full#0, 21_0, 19_result\d#120\v#30\22\ping_collision_summary.csv</t>
  </si>
  <si>
    <t>D:\CBP_2026.07.21\i#3\full\full#0, 21_0, 19_result\d#120\v#30\23\ping_collision_summary.csv</t>
  </si>
  <si>
    <t>D:\CBP_2026.07.21\i#3\full\full#0, 21_0, 19_result\d#120\v#30\24\ping_collision_summary.csv</t>
  </si>
  <si>
    <t>D:\CBP_2026.07.21\i#3\full\full#0, 21_0, 19_result\d#120\v#30\25\ping_collision_summary.csv</t>
  </si>
  <si>
    <t>D:\CBP_2026.07.21\i#3\full\full#0, 21_0, 19_result\d#120\v#30\26\ping_collision_summary.csv</t>
  </si>
  <si>
    <t>D:\CBP_2026.07.21\i#3\full\full#0, 21_0, 19_result\d#120\v#30\27\ping_collision_summary.csv</t>
  </si>
  <si>
    <t>D:\CBP_2026.07.21\i#3\full\full#0, 21_0, 19_result\d#120\v#30\28\ping_collision_summary.csv</t>
  </si>
  <si>
    <t>D:\CBP_2026.07.21\i#3\full\full#0, 21_0, 19_result\d#120\v#30\29\ping_collision_summary.csv</t>
  </si>
  <si>
    <t>D:\CBP_2026.07.21\i#3\full\full#0, 21_0, 19_result\d#120\v#30\2\ping_collision_summary.csv</t>
  </si>
  <si>
    <t>D:\CBP_2026.07.21\i#3\full\full#0, 21_0, 19_result\d#120\v#30\30\ping_collision_summary.csv</t>
  </si>
  <si>
    <t>D:\CBP_2026.07.21\i#3\full\full#0, 21_0, 19_result\d#120\v#30\3\ping_collision_summary.csv</t>
  </si>
  <si>
    <t>D:\CBP_2026.07.21\i#3\full\full#0, 21_0, 19_result\d#120\v#30\4\ping_collision_summary.csv</t>
  </si>
  <si>
    <t>D:\CBP_2026.07.21\i#3\full\full#0, 21_0, 19_result\d#120\v#30\5\ping_collision_summary.csv</t>
  </si>
  <si>
    <t>D:\CBP_2026.07.21\i#3\full\full#0, 21_0, 19_result\d#120\v#30\6\ping_collision_summary.csv</t>
  </si>
  <si>
    <t>D:\CBP_2026.07.21\i#3\full\full#0, 21_0, 19_result\d#120\v#30\7\ping_collision_summary.csv</t>
  </si>
  <si>
    <t>D:\CBP_2026.07.21\i#3\full\full#0, 21_0, 19_result\d#120\v#30\8\ping_collision_summary.csv</t>
  </si>
  <si>
    <t>D:\CBP_2026.07.21\i#3\full\full#0, 21_0, 19_result\d#120\v#30\9\ping_collision_summary.csv</t>
  </si>
  <si>
    <t>D:\CBP_2026.07.21\i#3\full\full#0, 21_0, 19_result\d#70\v#10\0\ping_collision_summary.csv</t>
  </si>
  <si>
    <t>D:\CBP_2026.07.21\i#3\full\full#0, 21_0, 19_result\d#70\v#10\10\ping_collision_summary.csv</t>
  </si>
  <si>
    <t>D:\CBP_2026.07.21\i#3\full\full#0, 21_0, 19_result\d#70\v#10\11\ping_collision_summary.csv</t>
  </si>
  <si>
    <t>D:\CBP_2026.07.21\i#3\full\full#0, 21_0, 19_result\d#70\v#10\12\ping_collision_summary.csv</t>
  </si>
  <si>
    <t>D:\CBP_2026.07.21\i#3\full\full#0, 21_0, 19_result\d#70\v#10\13\ping_collision_summary.csv</t>
  </si>
  <si>
    <t>D:\CBP_2026.07.21\i#3\full\full#0, 21_0, 19_result\d#70\v#10\14\ping_collision_summary.csv</t>
  </si>
  <si>
    <t>D:\CBP_2026.07.21\i#3\full\full#0, 21_0, 19_result\d#70\v#10\15\ping_collision_summary.csv</t>
  </si>
  <si>
    <t>D:\CBP_2026.07.21\i#3\full\full#0, 21_0, 19_result\d#70\v#10\16\ping_collision_summary.csv</t>
  </si>
  <si>
    <t>D:\CBP_2026.07.21\i#3\full\full#0, 21_0, 19_result\d#70\v#10\17\ping_collision_summary.csv</t>
  </si>
  <si>
    <t>D:\CBP_2026.07.21\i#3\full\full#0, 21_0, 19_result\d#70\v#10\18\ping_collision_summary.csv</t>
  </si>
  <si>
    <t>D:\CBP_2026.07.21\i#3\full\full#0, 21_0, 19_result\d#70\v#10\19\ping_collision_summary.csv</t>
  </si>
  <si>
    <t>D:\CBP_2026.07.21\i#3\full\full#0, 21_0, 19_result\d#70\v#10\1\ping_collision_summary.csv</t>
  </si>
  <si>
    <t>D:\CBP_2026.07.21\i#3\full\full#0, 21_0, 19_result\d#70\v#10\20\ping_collision_summary.csv</t>
  </si>
  <si>
    <t>D:\CBP_2026.07.21\i#3\full\full#0, 21_0, 19_result\d#70\v#10\21\ping_collision_summary.csv</t>
  </si>
  <si>
    <t>D:\CBP_2026.07.21\i#3\full\full#0, 21_0, 19_result\d#70\v#10\22\ping_collision_summary.csv</t>
  </si>
  <si>
    <t>D:\CBP_2026.07.21\i#3\full\full#0, 21_0, 19_result\d#70\v#10\23\ping_collision_summary.csv</t>
  </si>
  <si>
    <t>D:\CBP_2026.07.21\i#3\full\full#0, 21_0, 19_result\d#70\v#10\24\ping_collision_summary.csv</t>
  </si>
  <si>
    <t>D:\CBP_2026.07.21\i#3\full\full#0, 21_0, 19_result\d#70\v#10\25\ping_collision_summary.csv</t>
  </si>
  <si>
    <t>D:\CBP_2026.07.21\i#3\full\full#0, 21_0, 19_result\d#70\v#10\26\ping_collision_summary.csv</t>
  </si>
  <si>
    <t>D:\CBP_2026.07.21\i#3\full\full#0, 21_0, 19_result\d#70\v#10\27\ping_collision_summary.csv</t>
  </si>
  <si>
    <t>D:\CBP_2026.07.21\i#3\full\full#0, 21_0, 19_result\d#70\v#10\28\ping_collision_summary.csv</t>
  </si>
  <si>
    <t>D:\CBP_2026.07.21\i#3\full\full#0, 21_0, 19_result\d#70\v#10\29\ping_collision_summary.csv</t>
  </si>
  <si>
    <t>D:\CBP_2026.07.21\i#3\full\full#0, 21_0, 19_result\d#70\v#10\2\ping_collision_summary.csv</t>
  </si>
  <si>
    <t>D:\CBP_2026.07.21\i#3\full\full#0, 21_0, 19_result\d#70\v#10\30\ping_collision_summary.csv</t>
  </si>
  <si>
    <t>D:\CBP_2026.07.21\i#3\full\full#0, 21_0, 19_result\d#70\v#10\3\ping_collision_summary.csv</t>
  </si>
  <si>
    <t>D:\CBP_2026.07.21\i#3\full\full#0, 21_0, 19_result\d#70\v#10\4\ping_collision_summary.csv</t>
  </si>
  <si>
    <t>D:\CBP_2026.07.21\i#3\full\full#0, 21_0, 19_result\d#70\v#10\5\ping_collision_summary.csv</t>
  </si>
  <si>
    <t>D:\CBP_2026.07.21\i#3\full\full#0, 21_0, 19_result\d#70\v#10\6\ping_collision_summary.csv</t>
  </si>
  <si>
    <t>D:\CBP_2026.07.21\i#3\full\full#0, 21_0, 19_result\d#70\v#10\7\ping_collision_summary.csv</t>
  </si>
  <si>
    <t>D:\CBP_2026.07.21\i#3\full\full#0, 21_0, 19_result\d#70\v#10\8\ping_collision_summary.csv</t>
  </si>
  <si>
    <t>D:\CBP_2026.07.21\i#3\full\full#0, 21_0, 19_result\d#70\v#10\9\ping_collision_summary.csv</t>
  </si>
  <si>
    <t>D:\CBP_2026.07.21\i#3\full\full#0, 21_0, 19_result\d#70\v#20\0\ping_collision_summary.csv</t>
  </si>
  <si>
    <t>D:\CBP_2026.07.21\i#3\full\full#0, 21_0, 19_result\d#70\v#20\10\ping_collision_summary.csv</t>
  </si>
  <si>
    <t>D:\CBP_2026.07.21\i#3\full\full#0, 21_0, 19_result\d#70\v#20\11\ping_collision_summary.csv</t>
  </si>
  <si>
    <t>D:\CBP_2026.07.21\i#3\full\full#0, 21_0, 19_result\d#70\v#20\12\ping_collision_summary.csv</t>
  </si>
  <si>
    <t>D:\CBP_2026.07.21\i#3\full\full#0, 21_0, 19_result\d#70\v#20\13\ping_collision_summary.csv</t>
  </si>
  <si>
    <t>D:\CBP_2026.07.21\i#3\full\full#0, 21_0, 19_result\d#70\v#20\14\ping_collision_summary.csv</t>
  </si>
  <si>
    <t>D:\CBP_2026.07.21\i#3\full\full#0, 21_0, 19_result\d#70\v#20\15\ping_collision_summary.csv</t>
  </si>
  <si>
    <t>D:\CBP_2026.07.21\i#3\full\full#0, 21_0, 19_result\d#70\v#20\16\ping_collision_summary.csv</t>
  </si>
  <si>
    <t>D:\CBP_2026.07.21\i#3\full\full#0, 21_0, 19_result\d#70\v#20\17\ping_collision_summary.csv</t>
  </si>
  <si>
    <t>D:\CBP_2026.07.21\i#3\full\full#0, 21_0, 19_result\d#70\v#20\18\ping_collision_summary.csv</t>
  </si>
  <si>
    <t>D:\CBP_2026.07.21\i#3\full\full#0, 21_0, 19_result\d#70\v#20\19\ping_collision_summary.csv</t>
  </si>
  <si>
    <t>D:\CBP_2026.07.21\i#3\full\full#0, 21_0, 19_result\d#70\v#20\1\ping_collision_summary.csv</t>
  </si>
  <si>
    <t>D:\CBP_2026.07.21\i#3\full\full#0, 21_0, 19_result\d#70\v#20\20\ping_collision_summary.csv</t>
  </si>
  <si>
    <t>D:\CBP_2026.07.21\i#3\full\full#0, 21_0, 19_result\d#70\v#20\21\ping_collision_summary.csv</t>
  </si>
  <si>
    <t>D:\CBP_2026.07.21\i#3\full\full#0, 21_0, 19_result\d#70\v#20\22\ping_collision_summary.csv</t>
  </si>
  <si>
    <t>D:\CBP_2026.07.21\i#3\full\full#0, 21_0, 19_result\d#70\v#20\23\ping_collision_summary.csv</t>
  </si>
  <si>
    <t>D:\CBP_2026.07.21\i#3\full\full#0, 21_0, 19_result\d#70\v#20\24\ping_collision_summary.csv</t>
  </si>
  <si>
    <t>D:\CBP_2026.07.21\i#3\full\full#0, 21_0, 19_result\d#70\v#20\25\ping_collision_summary.csv</t>
  </si>
  <si>
    <t>D:\CBP_2026.07.21\i#3\full\full#0, 21_0, 19_result\d#70\v#20\26\ping_collision_summary.csv</t>
  </si>
  <si>
    <t>D:\CBP_2026.07.21\i#3\full\full#0, 21_0, 19_result\d#70\v#20\27\ping_collision_summary.csv</t>
  </si>
  <si>
    <t>D:\CBP_2026.07.21\i#3\full\full#0, 21_0, 19_result\d#70\v#20\28\ping_collision_summary.csv</t>
  </si>
  <si>
    <t>D:\CBP_2026.07.21\i#3\full\full#0, 21_0, 19_result\d#70\v#20\29\ping_collision_summary.csv</t>
  </si>
  <si>
    <t>D:\CBP_2026.07.21\i#3\full\full#0, 21_0, 19_result\d#70\v#20\2\ping_collision_summary.csv</t>
  </si>
  <si>
    <t>D:\CBP_2026.07.21\i#3\full\full#0, 21_0, 19_result\d#70\v#20\30\ping_collision_summary.csv</t>
  </si>
  <si>
    <t>D:\CBP_2026.07.21\i#3\full\full#0, 21_0, 19_result\d#70\v#20\3\ping_collision_summary.csv</t>
  </si>
  <si>
    <t>D:\CBP_2026.07.21\i#3\full\full#0, 21_0, 19_result\d#70\v#20\4\ping_collision_summary.csv</t>
  </si>
  <si>
    <t>D:\CBP_2026.07.21\i#3\full\full#0, 21_0, 19_result\d#70\v#20\5\ping_collision_summary.csv</t>
  </si>
  <si>
    <t>D:\CBP_2026.07.21\i#3\full\full#0, 21_0, 19_result\d#70\v#20\6\ping_collision_summary.csv</t>
  </si>
  <si>
    <t>D:\CBP_2026.07.21\i#3\full\full#0, 21_0, 19_result\d#70\v#20\7\ping_collision_summary.csv</t>
  </si>
  <si>
    <t>D:\CBP_2026.07.21\i#3\full\full#0, 21_0, 19_result\d#70\v#20\8\ping_collision_summary.csv</t>
  </si>
  <si>
    <t>D:\CBP_2026.07.21\i#3\full\full#0, 21_0, 19_result\d#70\v#20\9\ping_collision_summary.csv</t>
  </si>
  <si>
    <t>D:\CBP_2026.07.21\i#3\full\full#0, 21_0, 19_result\d#70\v#30\0\ping_collision_summary.csv</t>
  </si>
  <si>
    <t>D:\CBP_2026.07.21\i#3\full\full#0, 21_0, 19_result\d#70\v#30\10\ping_collision_summary.csv</t>
  </si>
  <si>
    <t>D:\CBP_2026.07.21\i#3\full\full#0, 21_0, 19_result\d#70\v#30\11\ping_collision_summary.csv</t>
  </si>
  <si>
    <t>D:\CBP_2026.07.21\i#3\full\full#0, 21_0, 19_result\d#70\v#30\12\ping_collision_summary.csv</t>
  </si>
  <si>
    <t>D:\CBP_2026.07.21\i#3\full\full#0, 21_0, 19_result\d#70\v#30\13\ping_collision_summary.csv</t>
  </si>
  <si>
    <t>D:\CBP_2026.07.21\i#3\full\full#0, 21_0, 19_result\d#70\v#30\14\ping_collision_summary.csv</t>
  </si>
  <si>
    <t>D:\CBP_2026.07.21\i#3\full\full#0, 21_0, 19_result\d#70\v#30\15\ping_collision_summary.csv</t>
  </si>
  <si>
    <t>D:\CBP_2026.07.21\i#3\full\full#0, 21_0, 19_result\d#70\v#30\16\ping_collision_summary.csv</t>
  </si>
  <si>
    <t>D:\CBP_2026.07.21\i#3\full\full#0, 21_0, 19_result\d#70\v#30\17\ping_collision_summary.csv</t>
  </si>
  <si>
    <t>D:\CBP_2026.07.21\i#3\full\full#0, 21_0, 19_result\d#70\v#30\18\ping_collision_summary.csv</t>
  </si>
  <si>
    <t>D:\CBP_2026.07.21\i#3\full\full#0, 21_0, 19_result\d#70\v#30\19\ping_collision_summary.csv</t>
  </si>
  <si>
    <t>D:\CBP_2026.07.21\i#3\full\full#0, 21_0, 19_result\d#70\v#30\1\ping_collision_summary.csv</t>
  </si>
  <si>
    <t>D:\CBP_2026.07.21\i#3\full\full#0, 21_0, 19_result\d#70\v#30\20\ping_collision_summary.csv</t>
  </si>
  <si>
    <t>D:\CBP_2026.07.21\i#3\full\full#0, 21_0, 19_result\d#70\v#30\21\ping_collision_summary.csv</t>
  </si>
  <si>
    <t>D:\CBP_2026.07.21\i#3\full\full#0, 21_0, 19_result\d#70\v#30\22\ping_collision_summary.csv</t>
  </si>
  <si>
    <t>D:\CBP_2026.07.21\i#3\full\full#0, 21_0, 19_result\d#70\v#30\23\ping_collision_summary.csv</t>
  </si>
  <si>
    <t>D:\CBP_2026.07.21\i#3\full\full#0, 21_0, 19_result\d#70\v#30\24\ping_collision_summary.csv</t>
  </si>
  <si>
    <t>D:\CBP_2026.07.21\i#3\full\full#0, 21_0, 19_result\d#70\v#30\25\ping_collision_summary.csv</t>
  </si>
  <si>
    <t>D:\CBP_2026.07.21\i#3\full\full#0, 21_0, 19_result\d#70\v#30\26\ping_collision_summary.csv</t>
  </si>
  <si>
    <t>D:\CBP_2026.07.21\i#3\full\full#0, 21_0, 19_result\d#70\v#30\27\ping_collision_summary.csv</t>
  </si>
  <si>
    <t>D:\CBP_2026.07.21\i#3\full\full#0, 21_0, 19_result\d#70\v#30\28\ping_collision_summary.csv</t>
  </si>
  <si>
    <t>D:\CBP_2026.07.21\i#3\full\full#0, 21_0, 19_result\d#70\v#30\29\ping_collision_summary.csv</t>
  </si>
  <si>
    <t>D:\CBP_2026.07.21\i#3\full\full#0, 21_0, 19_result\d#70\v#30\2\ping_collision_summary.csv</t>
  </si>
  <si>
    <t>D:\CBP_2026.07.21\i#3\full\full#0, 21_0, 19_result\d#70\v#30\30\ping_collision_summary.csv</t>
  </si>
  <si>
    <t>D:\CBP_2026.07.21\i#3\full\full#0, 21_0, 19_result\d#70\v#30\3\ping_collision_summary.csv</t>
  </si>
  <si>
    <t>D:\CBP_2026.07.21\i#3\full\full#0, 21_0, 19_result\d#70\v#30\4\ping_collision_summary.csv</t>
  </si>
  <si>
    <t>D:\CBP_2026.07.21\i#3\full\full#0, 21_0, 19_result\d#70\v#30\5\ping_collision_summary.csv</t>
  </si>
  <si>
    <t>D:\CBP_2026.07.21\i#3\full\full#0, 21_0, 19_result\d#70\v#30\6\ping_collision_summary.csv</t>
  </si>
  <si>
    <t>D:\CBP_2026.07.21\i#3\full\full#0, 21_0, 19_result\d#70\v#30\7\ping_collision_summary.csv</t>
  </si>
  <si>
    <t>D:\CBP_2026.07.21\i#3\full\full#0, 21_0, 19_result\d#70\v#30\8\ping_collision_summary.csv</t>
  </si>
  <si>
    <t>D:\CBP_2026.07.21\i#3\full\full#0, 21_0, 19_result\d#70\v#30\9\ping_collision_summary.csv</t>
  </si>
  <si>
    <t>D:\CBP_2026.07.21\i#3\full\full#21, 33_19, 32_result\d#100\v#10\0\ping_collision_summary.csv</t>
  </si>
  <si>
    <t>D:\CBP_2026.07.21\i#3\full\full#21, 33_19, 32_result\d#100\v#10\10\ping_collision_summary.csv</t>
  </si>
  <si>
    <t>D:\CBP_2026.07.21\i#3\full\full#21, 33_19, 32_result\d#100\v#10\11\ping_collision_summary.csv</t>
  </si>
  <si>
    <t>D:\CBP_2026.07.21\i#3\full\full#21, 33_19, 32_result\d#100\v#10\12\ping_collision_summary.csv</t>
  </si>
  <si>
    <t>D:\CBP_2026.07.21\i#3\full\full#21, 33_19, 32_result\d#100\v#10\13\ping_collision_summary.csv</t>
  </si>
  <si>
    <t>D:\CBP_2026.07.21\i#3\full\full#21, 33_19, 32_result\d#100\v#10\14\ping_collision_summary.csv</t>
  </si>
  <si>
    <t>D:\CBP_2026.07.21\i#3\full\full#21, 33_19, 32_result\d#100\v#10\15\ping_collision_summary.csv</t>
  </si>
  <si>
    <t>D:\CBP_2026.07.21\i#3\full\full#21, 33_19, 32_result\d#100\v#10\16\ping_collision_summary.csv</t>
  </si>
  <si>
    <t>D:\CBP_2026.07.21\i#3\full\full#21, 33_19, 32_result\d#100\v#10\17\ping_collision_summary.csv</t>
  </si>
  <si>
    <t>D:\CBP_2026.07.21\i#3\full\full#21, 33_19, 32_result\d#100\v#10\18\ping_collision_summary.csv</t>
  </si>
  <si>
    <t>D:\CBP_2026.07.21\i#3\full\full#21, 33_19, 32_result\d#100\v#10\19\ping_collision_summary.csv</t>
  </si>
  <si>
    <t>D:\CBP_2026.07.21\i#3\full\full#21, 33_19, 32_result\d#100\v#10\1\ping_collision_summary.csv</t>
  </si>
  <si>
    <t>D:\CBP_2026.07.21\i#3\full\full#21, 33_19, 32_result\d#100\v#10\20\ping_collision_summary.csv</t>
  </si>
  <si>
    <t>D:\CBP_2026.07.21\i#3\full\full#21, 33_19, 32_result\d#100\v#10\21\ping_collision_summary.csv</t>
  </si>
  <si>
    <t>D:\CBP_2026.07.21\i#3\full\full#21, 33_19, 32_result\d#100\v#10\22\ping_collision_summary.csv</t>
  </si>
  <si>
    <t>D:\CBP_2026.07.21\i#3\full\full#21, 33_19, 32_result\d#100\v#10\23\ping_collision_summary.csv</t>
  </si>
  <si>
    <t>D:\CBP_2026.07.21\i#3\full\full#21, 33_19, 32_result\d#100\v#10\24\ping_collision_summary.csv</t>
  </si>
  <si>
    <t>D:\CBP_2026.07.21\i#3\full\full#21, 33_19, 32_result\d#100\v#10\25\ping_collision_summary.csv</t>
  </si>
  <si>
    <t>D:\CBP_2026.07.21\i#3\full\full#21, 33_19, 32_result\d#100\v#10\26\ping_collision_summary.csv</t>
  </si>
  <si>
    <t>D:\CBP_2026.07.21\i#3\full\full#21, 33_19, 32_result\d#100\v#10\27\ping_collision_summary.csv</t>
  </si>
  <si>
    <t>D:\CBP_2026.07.21\i#3\full\full#21, 33_19, 32_result\d#100\v#10\28\ping_collision_summary.csv</t>
  </si>
  <si>
    <t>D:\CBP_2026.07.21\i#3\full\full#21, 33_19, 32_result\d#100\v#10\29\ping_collision_summary.csv</t>
  </si>
  <si>
    <t>D:\CBP_2026.07.21\i#3\full\full#21, 33_19, 32_result\d#100\v#10\2\ping_collision_summary.csv</t>
  </si>
  <si>
    <t>D:\CBP_2026.07.21\i#3\full\full#21, 33_19, 32_result\d#100\v#10\30\ping_collision_summary.csv</t>
  </si>
  <si>
    <t>D:\CBP_2026.07.21\i#3\full\full#21, 33_19, 32_result\d#100\v#10\3\ping_collision_summary.csv</t>
  </si>
  <si>
    <t>D:\CBP_2026.07.21\i#3\full\full#21, 33_19, 32_result\d#100\v#10\4\ping_collision_summary.csv</t>
  </si>
  <si>
    <t>D:\CBP_2026.07.21\i#3\full\full#21, 33_19, 32_result\d#100\v#10\5\ping_collision_summary.csv</t>
  </si>
  <si>
    <t>D:\CBP_2026.07.21\i#3\full\full#21, 33_19, 32_result\d#100\v#10\6\ping_collision_summary.csv</t>
  </si>
  <si>
    <t>D:\CBP_2026.07.21\i#3\full\full#21, 33_19, 32_result\d#100\v#10\7\ping_collision_summary.csv</t>
  </si>
  <si>
    <t>D:\CBP_2026.07.21\i#3\full\full#21, 33_19, 32_result\d#100\v#10\8\ping_collision_summary.csv</t>
  </si>
  <si>
    <t>D:\CBP_2026.07.21\i#3\full\full#21, 33_19, 32_result\d#100\v#10\9\ping_collision_summary.csv</t>
  </si>
  <si>
    <t>D:\CBP_2026.07.21\i#3\full\full#21, 33_19, 32_result\d#100\v#20\0\ping_collision_summary.csv</t>
  </si>
  <si>
    <t>D:\CBP_2026.07.21\i#3\full\full#21, 33_19, 32_result\d#100\v#20\10\ping_collision_summary.csv</t>
  </si>
  <si>
    <t>D:\CBP_2026.07.21\i#3\full\full#21, 33_19, 32_result\d#100\v#20\11\ping_collision_summary.csv</t>
  </si>
  <si>
    <t>D:\CBP_2026.07.21\i#3\full\full#21, 33_19, 32_result\d#100\v#20\12\ping_collision_summary.csv</t>
  </si>
  <si>
    <t>D:\CBP_2026.07.21\i#3\full\full#21, 33_19, 32_result\d#100\v#20\13\ping_collision_summary.csv</t>
  </si>
  <si>
    <t>D:\CBP_2026.07.21\i#3\full\full#21, 33_19, 32_result\d#100\v#20\14\ping_collision_summary.csv</t>
  </si>
  <si>
    <t>D:\CBP_2026.07.21\i#3\full\full#21, 33_19, 32_result\d#100\v#20\15\ping_collision_summary.csv</t>
  </si>
  <si>
    <t>D:\CBP_2026.07.21\i#3\full\full#21, 33_19, 32_result\d#100\v#20\16\ping_collision_summary.csv</t>
  </si>
  <si>
    <t>D:\CBP_2026.07.21\i#3\full\full#21, 33_19, 32_result\d#100\v#20\17\ping_collision_summary.csv</t>
  </si>
  <si>
    <t>D:\CBP_2026.07.21\i#3\full\full#21, 33_19, 32_result\d#100\v#20\18\ping_collision_summary.csv</t>
  </si>
  <si>
    <t>D:\CBP_2026.07.21\i#3\full\full#21, 33_19, 32_result\d#100\v#20\19\ping_collision_summary.csv</t>
  </si>
  <si>
    <t>D:\CBP_2026.07.21\i#3\full\full#21, 33_19, 32_result\d#100\v#20\1\ping_collision_summary.csv</t>
  </si>
  <si>
    <t>D:\CBP_2026.07.21\i#3\full\full#21, 33_19, 32_result\d#100\v#20\20\ping_collision_summary.csv</t>
  </si>
  <si>
    <t>D:\CBP_2026.07.21\i#3\full\full#21, 33_19, 32_result\d#100\v#20\21\ping_collision_summary.csv</t>
  </si>
  <si>
    <t>D:\CBP_2026.07.21\i#3\full\full#21, 33_19, 32_result\d#100\v#20\22\ping_collision_summary.csv</t>
  </si>
  <si>
    <t>D:\CBP_2026.07.21\i#3\full\full#21, 33_19, 32_result\d#100\v#20\23\ping_collision_summary.csv</t>
  </si>
  <si>
    <t>D:\CBP_2026.07.21\i#3\full\full#21, 33_19, 32_result\d#100\v#20\24\ping_collision_summary.csv</t>
  </si>
  <si>
    <t>D:\CBP_2026.07.21\i#3\full\full#21, 33_19, 32_result\d#100\v#20\25\ping_collision_summary.csv</t>
  </si>
  <si>
    <t>D:\CBP_2026.07.21\i#3\full\full#21, 33_19, 32_result\d#100\v#20\26\ping_collision_summary.csv</t>
  </si>
  <si>
    <t>D:\CBP_2026.07.21\i#3\full\full#21, 33_19, 32_result\d#100\v#20\27\ping_collision_summary.csv</t>
  </si>
  <si>
    <t>D:\CBP_2026.07.21\i#3\full\full#21, 33_19, 32_result\d#100\v#20\28\ping_collision_summary.csv</t>
  </si>
  <si>
    <t>D:\CBP_2026.07.21\i#3\full\full#21, 33_19, 32_result\d#100\v#20\29\ping_collision_summary.csv</t>
  </si>
  <si>
    <t>D:\CBP_2026.07.21\i#3\full\full#21, 33_19, 32_result\d#100\v#20\2\ping_collision_summary.csv</t>
  </si>
  <si>
    <t>D:\CBP_2026.07.21\i#3\full\full#21, 33_19, 32_result\d#100\v#20\30\ping_collision_summary.csv</t>
  </si>
  <si>
    <t>D:\CBP_2026.07.21\i#3\full\full#21, 33_19, 32_result\d#100\v#20\3\ping_collision_summary.csv</t>
  </si>
  <si>
    <t>D:\CBP_2026.07.21\i#3\full\full#21, 33_19, 32_result\d#100\v#20\4\ping_collision_summary.csv</t>
  </si>
  <si>
    <t>D:\CBP_2026.07.21\i#3\full\full#21, 33_19, 32_result\d#100\v#20\5\ping_collision_summary.csv</t>
  </si>
  <si>
    <t>D:\CBP_2026.07.21\i#3\full\full#21, 33_19, 32_result\d#100\v#20\6\ping_collision_summary.csv</t>
  </si>
  <si>
    <t>D:\CBP_2026.07.21\i#3\full\full#21, 33_19, 32_result\d#100\v#20\7\ping_collision_summary.csv</t>
  </si>
  <si>
    <t>D:\CBP_2026.07.21\i#3\full\full#21, 33_19, 32_result\d#100\v#20\8\ping_collision_summary.csv</t>
  </si>
  <si>
    <t>D:\CBP_2026.07.21\i#3\full\full#21, 33_19, 32_result\d#100\v#20\9\ping_collision_summary.csv</t>
  </si>
  <si>
    <t>D:\CBP_2026.07.21\i#3\full\full#21, 33_19, 32_result\d#100\v#30\0\ping_collision_summary.csv</t>
  </si>
  <si>
    <t>D:\CBP_2026.07.21\i#3\full\full#21, 33_19, 32_result\d#100\v#30\10\ping_collision_summary.csv</t>
  </si>
  <si>
    <t>D:\CBP_2026.07.21\i#3\full\full#21, 33_19, 32_result\d#100\v#30\11\ping_collision_summary.csv</t>
  </si>
  <si>
    <t>D:\CBP_2026.07.21\i#3\full\full#21, 33_19, 32_result\d#100\v#30\12\ping_collision_summary.csv</t>
  </si>
  <si>
    <t>D:\CBP_2026.07.21\i#3\full\full#21, 33_19, 32_result\d#100\v#30\13\ping_collision_summary.csv</t>
  </si>
  <si>
    <t>D:\CBP_2026.07.21\i#3\full\full#21, 33_19, 32_result\d#100\v#30\14\ping_collision_summary.csv</t>
  </si>
  <si>
    <t>D:\CBP_2026.07.21\i#3\full\full#21, 33_19, 32_result\d#100\v#30\15\ping_collision_summary.csv</t>
  </si>
  <si>
    <t>D:\CBP_2026.07.21\i#3\full\full#21, 33_19, 32_result\d#100\v#30\16\ping_collision_summary.csv</t>
  </si>
  <si>
    <t>D:\CBP_2026.07.21\i#3\full\full#21, 33_19, 32_result\d#100\v#30\17\ping_collision_summary.csv</t>
  </si>
  <si>
    <t>D:\CBP_2026.07.21\i#3\full\full#21, 33_19, 32_result\d#100\v#30\18\ping_collision_summary.csv</t>
  </si>
  <si>
    <t>D:\CBP_2026.07.21\i#3\full\full#21, 33_19, 32_result\d#100\v#30\19\ping_collision_summary.csv</t>
  </si>
  <si>
    <t>D:\CBP_2026.07.21\i#3\full\full#21, 33_19, 32_result\d#100\v#30\1\ping_collision_summary.csv</t>
  </si>
  <si>
    <t>D:\CBP_2026.07.21\i#3\full\full#21, 33_19, 32_result\d#100\v#30\20\ping_collision_summary.csv</t>
  </si>
  <si>
    <t>D:\CBP_2026.07.21\i#3\full\full#21, 33_19, 32_result\d#100\v#30\21\ping_collision_summary.csv</t>
  </si>
  <si>
    <t>D:\CBP_2026.07.21\i#3\full\full#21, 33_19, 32_result\d#100\v#30\22\ping_collision_summary.csv</t>
  </si>
  <si>
    <t>D:\CBP_2026.07.21\i#3\full\full#21, 33_19, 32_result\d#100\v#30\23\ping_collision_summary.csv</t>
  </si>
  <si>
    <t>D:\CBP_2026.07.21\i#3\full\full#21, 33_19, 32_result\d#100\v#30\24\ping_collision_summary.csv</t>
  </si>
  <si>
    <t>D:\CBP_2026.07.21\i#3\full\full#21, 33_19, 32_result\d#100\v#30\25\ping_collision_summary.csv</t>
  </si>
  <si>
    <t>D:\CBP_2026.07.21\i#3\full\full#21, 33_19, 32_result\d#100\v#30\26\ping_collision_summary.csv</t>
  </si>
  <si>
    <t>D:\CBP_2026.07.21\i#3\full\full#21, 33_19, 32_result\d#100\v#30\27\ping_collision_summary.csv</t>
  </si>
  <si>
    <t>D:\CBP_2026.07.21\i#3\full\full#21, 33_19, 32_result\d#100\v#30\28\ping_collision_summary.csv</t>
  </si>
  <si>
    <t>D:\CBP_2026.07.21\i#3\full\full#21, 33_19, 32_result\d#100\v#30\29\ping_collision_summary.csv</t>
  </si>
  <si>
    <t>D:\CBP_2026.07.21\i#3\full\full#21, 33_19, 32_result\d#100\v#30\2\ping_collision_summary.csv</t>
  </si>
  <si>
    <t>D:\CBP_2026.07.21\i#3\full\full#21, 33_19, 32_result\d#100\v#30\30\ping_collision_summary.csv</t>
  </si>
  <si>
    <t>D:\CBP_2026.07.21\i#3\full\full#21, 33_19, 32_result\d#100\v#30\3\ping_collision_summary.csv</t>
  </si>
  <si>
    <t>D:\CBP_2026.07.21\i#3\full\full#21, 33_19, 32_result\d#100\v#30\4\ping_collision_summary.csv</t>
  </si>
  <si>
    <t>D:\CBP_2026.07.21\i#3\full\full#21, 33_19, 32_result\d#100\v#30\5\ping_collision_summary.csv</t>
  </si>
  <si>
    <t>D:\CBP_2026.07.21\i#3\full\full#21, 33_19, 32_result\d#100\v#30\6\ping_collision_summary.csv</t>
  </si>
  <si>
    <t>D:\CBP_2026.07.21\i#3\full\full#21, 33_19, 32_result\d#100\v#30\7\ping_collision_summary.csv</t>
  </si>
  <si>
    <t>D:\CBP_2026.07.21\i#3\full\full#21, 33_19, 32_result\d#100\v#30\8\ping_collision_summary.csv</t>
  </si>
  <si>
    <t>D:\CBP_2026.07.21\i#3\full\full#21, 33_19, 32_result\d#100\v#30\9\ping_collision_summary.csv</t>
  </si>
  <si>
    <t>D:\CBP_2026.07.21\i#3\full\full#21, 33_19, 32_result\d#120\v#10\0\ping_collision_summary.csv</t>
  </si>
  <si>
    <t>D:\CBP_2026.07.21\i#3\full\full#21, 33_19, 32_result\d#120\v#10\10\ping_collision_summary.csv</t>
  </si>
  <si>
    <t>D:\CBP_2026.07.21\i#3\full\full#21, 33_19, 32_result\d#120\v#10\11\ping_collision_summary.csv</t>
  </si>
  <si>
    <t>D:\CBP_2026.07.21\i#3\full\full#21, 33_19, 32_result\d#120\v#10\12\ping_collision_summary.csv</t>
  </si>
  <si>
    <t>D:\CBP_2026.07.21\i#3\full\full#21, 33_19, 32_result\d#120\v#10\13\ping_collision_summary.csv</t>
  </si>
  <si>
    <t>D:\CBP_2026.07.21\i#3\full\full#21, 33_19, 32_result\d#120\v#10\14\ping_collision_summary.csv</t>
  </si>
  <si>
    <t>D:\CBP_2026.07.21\i#3\full\full#21, 33_19, 32_result\d#120\v#10\15\ping_collision_summary.csv</t>
  </si>
  <si>
    <t>D:\CBP_2026.07.21\i#3\full\full#21, 33_19, 32_result\d#120\v#10\16\ping_collision_summary.csv</t>
  </si>
  <si>
    <t>D:\CBP_2026.07.21\i#3\full\full#21, 33_19, 32_result\d#120\v#10\17\ping_collision_summary.csv</t>
  </si>
  <si>
    <t>D:\CBP_2026.07.21\i#3\full\full#21, 33_19, 32_result\d#120\v#10\18\ping_collision_summary.csv</t>
  </si>
  <si>
    <t>D:\CBP_2026.07.21\i#3\full\full#21, 33_19, 32_result\d#120\v#10\19\ping_collision_summary.csv</t>
  </si>
  <si>
    <t>D:\CBP_2026.07.21\i#3\full\full#21, 33_19, 32_result\d#120\v#10\1\ping_collision_summary.csv</t>
  </si>
  <si>
    <t>D:\CBP_2026.07.21\i#3\full\full#21, 33_19, 32_result\d#120\v#10\20\ping_collision_summary.csv</t>
  </si>
  <si>
    <t>D:\CBP_2026.07.21\i#3\full\full#21, 33_19, 32_result\d#120\v#10\21\ping_collision_summary.csv</t>
  </si>
  <si>
    <t>D:\CBP_2026.07.21\i#3\full\full#21, 33_19, 32_result\d#120\v#10\22\ping_collision_summary.csv</t>
  </si>
  <si>
    <t>D:\CBP_2026.07.21\i#3\full\full#21, 33_19, 32_result\d#120\v#10\23\ping_collision_summary.csv</t>
  </si>
  <si>
    <t>D:\CBP_2026.07.21\i#3\full\full#21, 33_19, 32_result\d#120\v#10\24\ping_collision_summary.csv</t>
  </si>
  <si>
    <t>D:\CBP_2026.07.21\i#3\full\full#21, 33_19, 32_result\d#120\v#10\25\ping_collision_summary.csv</t>
  </si>
  <si>
    <t>D:\CBP_2026.07.21\i#3\full\full#21, 33_19, 32_result\d#120\v#10\26\ping_collision_summary.csv</t>
  </si>
  <si>
    <t>D:\CBP_2026.07.21\i#3\full\full#21, 33_19, 32_result\d#120\v#10\27\ping_collision_summary.csv</t>
  </si>
  <si>
    <t>D:\CBP_2026.07.21\i#3\full\full#21, 33_19, 32_result\d#120\v#10\28\ping_collision_summary.csv</t>
  </si>
  <si>
    <t>D:\CBP_2026.07.21\i#3\full\full#21, 33_19, 32_result\d#120\v#10\29\ping_collision_summary.csv</t>
  </si>
  <si>
    <t>D:\CBP_2026.07.21\i#3\full\full#21, 33_19, 32_result\d#120\v#10\2\ping_collision_summary.csv</t>
  </si>
  <si>
    <t>D:\CBP_2026.07.21\i#3\full\full#21, 33_19, 32_result\d#120\v#10\30\ping_collision_summary.csv</t>
  </si>
  <si>
    <t>D:\CBP_2026.07.21\i#3\full\full#21, 33_19, 32_result\d#120\v#10\3\ping_collision_summary.csv</t>
  </si>
  <si>
    <t>D:\CBP_2026.07.21\i#3\full\full#21, 33_19, 32_result\d#120\v#10\4\ping_collision_summary.csv</t>
  </si>
  <si>
    <t>D:\CBP_2026.07.21\i#3\full\full#21, 33_19, 32_result\d#120\v#10\5\ping_collision_summary.csv</t>
  </si>
  <si>
    <t>D:\CBP_2026.07.21\i#3\full\full#21, 33_19, 32_result\d#120\v#10\6\ping_collision_summary.csv</t>
  </si>
  <si>
    <t>D:\CBP_2026.07.21\i#3\full\full#21, 33_19, 32_result\d#120\v#10\7\ping_collision_summary.csv</t>
  </si>
  <si>
    <t>D:\CBP_2026.07.21\i#3\full\full#21, 33_19, 32_result\d#120\v#10\8\ping_collision_summary.csv</t>
  </si>
  <si>
    <t>D:\CBP_2026.07.21\i#3\full\full#21, 33_19, 32_result\d#120\v#10\9\ping_collision_summary.csv</t>
  </si>
  <si>
    <t>D:\CBP_2026.07.21\i#3\full\full#21, 33_19, 32_result\d#120\v#20\0\ping_collision_summary.csv</t>
  </si>
  <si>
    <t>D:\CBP_2026.07.21\i#3\full\full#21, 33_19, 32_result\d#120\v#20\10\ping_collision_summary.csv</t>
  </si>
  <si>
    <t>D:\CBP_2026.07.21\i#3\full\full#21, 33_19, 32_result\d#120\v#20\11\ping_collision_summary.csv</t>
  </si>
  <si>
    <t>D:\CBP_2026.07.21\i#3\full\full#21, 33_19, 32_result\d#120\v#20\12\ping_collision_summary.csv</t>
  </si>
  <si>
    <t>D:\CBP_2026.07.21\i#3\full\full#21, 33_19, 32_result\d#120\v#20\13\ping_collision_summary.csv</t>
  </si>
  <si>
    <t>D:\CBP_2026.07.21\i#3\full\full#21, 33_19, 32_result\d#120\v#20\14\ping_collision_summary.csv</t>
  </si>
  <si>
    <t>D:\CBP_2026.07.21\i#3\full\full#21, 33_19, 32_result\d#120\v#20\15\ping_collision_summary.csv</t>
  </si>
  <si>
    <t>D:\CBP_2026.07.21\i#3\full\full#21, 33_19, 32_result\d#120\v#20\16\ping_collision_summary.csv</t>
  </si>
  <si>
    <t>D:\CBP_2026.07.21\i#3\full\full#21, 33_19, 32_result\d#120\v#20\17\ping_collision_summary.csv</t>
  </si>
  <si>
    <t>D:\CBP_2026.07.21\i#3\full\full#21, 33_19, 32_result\d#120\v#20\18\ping_collision_summary.csv</t>
  </si>
  <si>
    <t>D:\CBP_2026.07.21\i#3\full\full#21, 33_19, 32_result\d#120\v#20\19\ping_collision_summary.csv</t>
  </si>
  <si>
    <t>D:\CBP_2026.07.21\i#3\full\full#21, 33_19, 32_result\d#120\v#20\1\ping_collision_summary.csv</t>
  </si>
  <si>
    <t>D:\CBP_2026.07.21\i#3\full\full#21, 33_19, 32_result\d#120\v#20\20\ping_collision_summary.csv</t>
  </si>
  <si>
    <t>D:\CBP_2026.07.21\i#3\full\full#21, 33_19, 32_result\d#120\v#20\21\ping_collision_summary.csv</t>
  </si>
  <si>
    <t>D:\CBP_2026.07.21\i#3\full\full#21, 33_19, 32_result\d#120\v#20\22\ping_collision_summary.csv</t>
  </si>
  <si>
    <t>D:\CBP_2026.07.21\i#3\full\full#21, 33_19, 32_result\d#120\v#20\23\ping_collision_summary.csv</t>
  </si>
  <si>
    <t>D:\CBP_2026.07.21\i#3\full\full#21, 33_19, 32_result\d#120\v#20\24\ping_collision_summary.csv</t>
  </si>
  <si>
    <t>D:\CBP_2026.07.21\i#3\full\full#21, 33_19, 32_result\d#120\v#20\25\ping_collision_summary.csv</t>
  </si>
  <si>
    <t>D:\CBP_2026.07.21\i#3\full\full#21, 33_19, 32_result\d#120\v#20\26\ping_collision_summary.csv</t>
  </si>
  <si>
    <t>D:\CBP_2026.07.21\i#3\full\full#21, 33_19, 32_result\d#120\v#20\27\ping_collision_summary.csv</t>
  </si>
  <si>
    <t>D:\CBP_2026.07.21\i#3\full\full#21, 33_19, 32_result\d#120\v#20\28\ping_collision_summary.csv</t>
  </si>
  <si>
    <t>D:\CBP_2026.07.21\i#3\full\full#21, 33_19, 32_result\d#120\v#20\29\ping_collision_summary.csv</t>
  </si>
  <si>
    <t>D:\CBP_2026.07.21\i#3\full\full#21, 33_19, 32_result\d#120\v#20\2\ping_collision_summary.csv</t>
  </si>
  <si>
    <t>D:\CBP_2026.07.21\i#3\full\full#21, 33_19, 32_result\d#120\v#20\30\ping_collision_summary.csv</t>
  </si>
  <si>
    <t>D:\CBP_2026.07.21\i#3\full\full#21, 33_19, 32_result\d#120\v#20\3\ping_collision_summary.csv</t>
  </si>
  <si>
    <t>D:\CBP_2026.07.21\i#3\full\full#21, 33_19, 32_result\d#120\v#20\4\ping_collision_summary.csv</t>
  </si>
  <si>
    <t>D:\CBP_2026.07.21\i#3\full\full#21, 33_19, 32_result\d#120\v#20\5\ping_collision_summary.csv</t>
  </si>
  <si>
    <t>D:\CBP_2026.07.21\i#3\full\full#21, 33_19, 32_result\d#120\v#20\6\ping_collision_summary.csv</t>
  </si>
  <si>
    <t>D:\CBP_2026.07.21\i#3\full\full#21, 33_19, 32_result\d#120\v#20\7\ping_collision_summary.csv</t>
  </si>
  <si>
    <t>D:\CBP_2026.07.21\i#3\full\full#21, 33_19, 32_result\d#120\v#20\8\ping_collision_summary.csv</t>
  </si>
  <si>
    <t>D:\CBP_2026.07.21\i#3\full\full#21, 33_19, 32_result\d#120\v#20\9\ping_collision_summary.csv</t>
  </si>
  <si>
    <t>D:\CBP_2026.07.21\i#3\full\full#21, 33_19, 32_result\d#120\v#30\0\ping_collision_summary.csv</t>
  </si>
  <si>
    <t>D:\CBP_2026.07.21\i#3\full\full#21, 33_19, 32_result\d#120\v#30\10\ping_collision_summary.csv</t>
  </si>
  <si>
    <t>D:\CBP_2026.07.21\i#3\full\full#21, 33_19, 32_result\d#120\v#30\11\ping_collision_summary.csv</t>
  </si>
  <si>
    <t>D:\CBP_2026.07.21\i#3\full\full#21, 33_19, 32_result\d#120\v#30\12\ping_collision_summary.csv</t>
  </si>
  <si>
    <t>D:\CBP_2026.07.21\i#3\full\full#21, 33_19, 32_result\d#120\v#30\13\ping_collision_summary.csv</t>
  </si>
  <si>
    <t>D:\CBP_2026.07.21\i#3\full\full#21, 33_19, 32_result\d#120\v#30\14\ping_collision_summary.csv</t>
  </si>
  <si>
    <t>D:\CBP_2026.07.21\i#3\full\full#21, 33_19, 32_result\d#120\v#30\15\ping_collision_summary.csv</t>
  </si>
  <si>
    <t>D:\CBP_2026.07.21\i#3\full\full#21, 33_19, 32_result\d#120\v#30\16\ping_collision_summary.csv</t>
  </si>
  <si>
    <t>D:\CBP_2026.07.21\i#3\full\full#21, 33_19, 32_result\d#120\v#30\17\ping_collision_summary.csv</t>
  </si>
  <si>
    <t>D:\CBP_2026.07.21\i#3\full\full#21, 33_19, 32_result\d#120\v#30\18\ping_collision_summary.csv</t>
  </si>
  <si>
    <t>D:\CBP_2026.07.21\i#3\full\full#21, 33_19, 32_result\d#120\v#30\19\ping_collision_summary.csv</t>
  </si>
  <si>
    <t>D:\CBP_2026.07.21\i#3\full\full#21, 33_19, 32_result\d#120\v#30\1\ping_collision_summary.csv</t>
  </si>
  <si>
    <t>D:\CBP_2026.07.21\i#3\full\full#21, 33_19, 32_result\d#120\v#30\20\ping_collision_summary.csv</t>
  </si>
  <si>
    <t>D:\CBP_2026.07.21\i#3\full\full#21, 33_19, 32_result\d#120\v#30\21\ping_collision_summary.csv</t>
  </si>
  <si>
    <t>D:\CBP_2026.07.21\i#3\full\full#21, 33_19, 32_result\d#120\v#30\22\ping_collision_summary.csv</t>
  </si>
  <si>
    <t>D:\CBP_2026.07.21\i#3\full\full#21, 33_19, 32_result\d#120\v#30\23\ping_collision_summary.csv</t>
  </si>
  <si>
    <t>D:\CBP_2026.07.21\i#3\full\full#21, 33_19, 32_result\d#120\v#30\24\ping_collision_summary.csv</t>
  </si>
  <si>
    <t>D:\CBP_2026.07.21\i#3\full\full#21, 33_19, 32_result\d#120\v#30\25\ping_collision_summary.csv</t>
  </si>
  <si>
    <t>D:\CBP_2026.07.21\i#3\full\full#21, 33_19, 32_result\d#120\v#30\26\ping_collision_summary.csv</t>
  </si>
  <si>
    <t>D:\CBP_2026.07.21\i#3\full\full#21, 33_19, 32_result\d#120\v#30\27\ping_collision_summary.csv</t>
  </si>
  <si>
    <t>D:\CBP_2026.07.21\i#3\full\full#21, 33_19, 32_result\d#120\v#30\28\ping_collision_summary.csv</t>
  </si>
  <si>
    <t>D:\CBP_2026.07.21\i#3\full\full#21, 33_19, 32_result\d#120\v#30\29\ping_collision_summary.csv</t>
  </si>
  <si>
    <t>D:\CBP_2026.07.21\i#3\full\full#21, 33_19, 32_result\d#120\v#30\2\ping_collision_summary.csv</t>
  </si>
  <si>
    <t>D:\CBP_2026.07.21\i#3\full\full#21, 33_19, 32_result\d#120\v#30\30\ping_collision_summary.csv</t>
  </si>
  <si>
    <t>D:\CBP_2026.07.21\i#3\full\full#21, 33_19, 32_result\d#120\v#30\3\ping_collision_summary.csv</t>
  </si>
  <si>
    <t>D:\CBP_2026.07.21\i#3\full\full#21, 33_19, 32_result\d#120\v#30\4\ping_collision_summary.csv</t>
  </si>
  <si>
    <t>D:\CBP_2026.07.21\i#3\full\full#21, 33_19, 32_result\d#120\v#30\5\ping_collision_summary.csv</t>
  </si>
  <si>
    <t>D:\CBP_2026.07.21\i#3\full\full#21, 33_19, 32_result\d#120\v#30\6\ping_collision_summary.csv</t>
  </si>
  <si>
    <t>D:\CBP_2026.07.21\i#3\full\full#21, 33_19, 32_result\d#120\v#30\7\ping_collision_summary.csv</t>
  </si>
  <si>
    <t>D:\CBP_2026.07.21\i#3\full\full#21, 33_19, 32_result\d#120\v#30\8\ping_collision_summary.csv</t>
  </si>
  <si>
    <t>D:\CBP_2026.07.21\i#3\full\full#21, 33_19, 32_result\d#120\v#30\9\ping_collision_summary.csv</t>
  </si>
  <si>
    <t>D:\CBP_2026.07.21\i#3\full\full#21, 33_19, 32_result\d#70\v#10\0\ping_collision_summary.csv</t>
  </si>
  <si>
    <t>D:\CBP_2026.07.21\i#3\full\full#21, 33_19, 32_result\d#70\v#10\10\ping_collision_summary.csv</t>
  </si>
  <si>
    <t>D:\CBP_2026.07.21\i#3\full\full#21, 33_19, 32_result\d#70\v#10\11\ping_collision_summary.csv</t>
  </si>
  <si>
    <t>D:\CBP_2026.07.21\i#3\full\full#21, 33_19, 32_result\d#70\v#10\12\ping_collision_summary.csv</t>
  </si>
  <si>
    <t>D:\CBP_2026.07.21\i#3\full\full#21, 33_19, 32_result\d#70\v#10\13\ping_collision_summary.csv</t>
  </si>
  <si>
    <t>D:\CBP_2026.07.21\i#3\full\full#21, 33_19, 32_result\d#70\v#10\14\ping_collision_summary.csv</t>
  </si>
  <si>
    <t>D:\CBP_2026.07.21\i#3\full\full#21, 33_19, 32_result\d#70\v#10\15\ping_collision_summary.csv</t>
  </si>
  <si>
    <t>D:\CBP_2026.07.21\i#3\full\full#21, 33_19, 32_result\d#70\v#10\16\ping_collision_summary.csv</t>
  </si>
  <si>
    <t>D:\CBP_2026.07.21\i#3\full\full#21, 33_19, 32_result\d#70\v#10\17\ping_collision_summary.csv</t>
  </si>
  <si>
    <t>D:\CBP_2026.07.21\i#3\full\full#21, 33_19, 32_result\d#70\v#10\18\ping_collision_summary.csv</t>
  </si>
  <si>
    <t>D:\CBP_2026.07.21\i#3\full\full#21, 33_19, 32_result\d#70\v#10\19\ping_collision_summary.csv</t>
  </si>
  <si>
    <t>D:\CBP_2026.07.21\i#3\full\full#21, 33_19, 32_result\d#70\v#10\1\ping_collision_summary.csv</t>
  </si>
  <si>
    <t>D:\CBP_2026.07.21\i#3\full\full#21, 33_19, 32_result\d#70\v#10\20\ping_collision_summary.csv</t>
  </si>
  <si>
    <t>D:\CBP_2026.07.21\i#3\full\full#21, 33_19, 32_result\d#70\v#10\21\ping_collision_summary.csv</t>
  </si>
  <si>
    <t>D:\CBP_2026.07.21\i#3\full\full#21, 33_19, 32_result\d#70\v#10\22\ping_collision_summary.csv</t>
  </si>
  <si>
    <t>D:\CBP_2026.07.21\i#3\full\full#21, 33_19, 32_result\d#70\v#10\23\ping_collision_summary.csv</t>
  </si>
  <si>
    <t>D:\CBP_2026.07.21\i#3\full\full#21, 33_19, 32_result\d#70\v#10\24\ping_collision_summary.csv</t>
  </si>
  <si>
    <t>D:\CBP_2026.07.21\i#3\full\full#21, 33_19, 32_result\d#70\v#10\25\ping_collision_summary.csv</t>
  </si>
  <si>
    <t>D:\CBP_2026.07.21\i#3\full\full#21, 33_19, 32_result\d#70\v#10\26\ping_collision_summary.csv</t>
  </si>
  <si>
    <t>D:\CBP_2026.07.21\i#3\full\full#21, 33_19, 32_result\d#70\v#10\27\ping_collision_summary.csv</t>
  </si>
  <si>
    <t>D:\CBP_2026.07.21\i#3\full\full#21, 33_19, 32_result\d#70\v#10\28\ping_collision_summary.csv</t>
  </si>
  <si>
    <t>D:\CBP_2026.07.21\i#3\full\full#21, 33_19, 32_result\d#70\v#10\29\ping_collision_summary.csv</t>
  </si>
  <si>
    <t>D:\CBP_2026.07.21\i#3\full\full#21, 33_19, 32_result\d#70\v#10\2\ping_collision_summary.csv</t>
  </si>
  <si>
    <t>D:\CBP_2026.07.21\i#3\full\full#21, 33_19, 32_result\d#70\v#10\30\ping_collision_summary.csv</t>
  </si>
  <si>
    <t>D:\CBP_2026.07.21\i#3\full\full#21, 33_19, 32_result\d#70\v#10\3\ping_collision_summary.csv</t>
  </si>
  <si>
    <t>D:\CBP_2026.07.21\i#3\full\full#21, 33_19, 32_result\d#70\v#10\4\ping_collision_summary.csv</t>
  </si>
  <si>
    <t>D:\CBP_2026.07.21\i#3\full\full#21, 33_19, 32_result\d#70\v#10\5\ping_collision_summary.csv</t>
  </si>
  <si>
    <t>D:\CBP_2026.07.21\i#3\full\full#21, 33_19, 32_result\d#70\v#10\6\ping_collision_summary.csv</t>
  </si>
  <si>
    <t>D:\CBP_2026.07.21\i#3\full\full#21, 33_19, 32_result\d#70\v#10\7\ping_collision_summary.csv</t>
  </si>
  <si>
    <t>D:\CBP_2026.07.21\i#3\full\full#21, 33_19, 32_result\d#70\v#10\8\ping_collision_summary.csv</t>
  </si>
  <si>
    <t>D:\CBP_2026.07.21\i#3\full\full#21, 33_19, 32_result\d#70\v#10\9\ping_collision_summary.csv</t>
  </si>
  <si>
    <t>D:\CBP_2026.07.21\i#3\full\full#21, 33_19, 32_result\d#70\v#20\0\ping_collision_summary.csv</t>
  </si>
  <si>
    <t>D:\CBP_2026.07.21\i#3\full\full#21, 33_19, 32_result\d#70\v#20\10\ping_collision_summary.csv</t>
  </si>
  <si>
    <t>D:\CBP_2026.07.21\i#3\full\full#21, 33_19, 32_result\d#70\v#20\11\ping_collision_summary.csv</t>
  </si>
  <si>
    <t>D:\CBP_2026.07.21\i#3\full\full#21, 33_19, 32_result\d#70\v#20\12\ping_collision_summary.csv</t>
  </si>
  <si>
    <t>D:\CBP_2026.07.21\i#3\full\full#21, 33_19, 32_result\d#70\v#20\13\ping_collision_summary.csv</t>
  </si>
  <si>
    <t>D:\CBP_2026.07.21\i#3\full\full#21, 33_19, 32_result\d#70\v#20\14\ping_collision_summary.csv</t>
  </si>
  <si>
    <t>D:\CBP_2026.07.21\i#3\full\full#21, 33_19, 32_result\d#70\v#20\15\ping_collision_summary.csv</t>
  </si>
  <si>
    <t>D:\CBP_2026.07.21\i#3\full\full#21, 33_19, 32_result\d#70\v#20\16\ping_collision_summary.csv</t>
  </si>
  <si>
    <t>D:\CBP_2026.07.21\i#3\full\full#21, 33_19, 32_result\d#70\v#20\17\ping_collision_summary.csv</t>
  </si>
  <si>
    <t>D:\CBP_2026.07.21\i#3\full\full#21, 33_19, 32_result\d#70\v#20\18\ping_collision_summary.csv</t>
  </si>
  <si>
    <t>D:\CBP_2026.07.21\i#3\full\full#21, 33_19, 32_result\d#70\v#20\19\ping_collision_summary.csv</t>
  </si>
  <si>
    <t>D:\CBP_2026.07.21\i#3\full\full#21, 33_19, 32_result\d#70\v#20\1\ping_collision_summary.csv</t>
  </si>
  <si>
    <t>D:\CBP_2026.07.21\i#3\full\full#21, 33_19, 32_result\d#70\v#20\20\ping_collision_summary.csv</t>
  </si>
  <si>
    <t>D:\CBP_2026.07.21\i#3\full\full#21, 33_19, 32_result\d#70\v#20\21\ping_collision_summary.csv</t>
  </si>
  <si>
    <t>D:\CBP_2026.07.21\i#3\full\full#21, 33_19, 32_result\d#70\v#20\22\ping_collision_summary.csv</t>
  </si>
  <si>
    <t>D:\CBP_2026.07.21\i#3\full\full#21, 33_19, 32_result\d#70\v#20\23\ping_collision_summary.csv</t>
  </si>
  <si>
    <t>D:\CBP_2026.07.21\i#3\full\full#21, 33_19, 32_result\d#70\v#20\24\ping_collision_summary.csv</t>
  </si>
  <si>
    <t>D:\CBP_2026.07.21\i#3\full\full#21, 33_19, 32_result\d#70\v#20\25\ping_collision_summary.csv</t>
  </si>
  <si>
    <t>D:\CBP_2026.07.21\i#3\full\full#21, 33_19, 32_result\d#70\v#20\26\ping_collision_summary.csv</t>
  </si>
  <si>
    <t>D:\CBP_2026.07.21\i#3\full\full#21, 33_19, 32_result\d#70\v#20\27\ping_collision_summary.csv</t>
  </si>
  <si>
    <t>D:\CBP_2026.07.21\i#3\full\full#21, 33_19, 32_result\d#70\v#20\28\ping_collision_summary.csv</t>
  </si>
  <si>
    <t>D:\CBP_2026.07.21\i#3\full\full#21, 33_19, 32_result\d#70\v#20\29\ping_collision_summary.csv</t>
  </si>
  <si>
    <t>D:\CBP_2026.07.21\i#3\full\full#21, 33_19, 32_result\d#70\v#20\2\ping_collision_summary.csv</t>
  </si>
  <si>
    <t>D:\CBP_2026.07.21\i#3\full\full#21, 33_19, 32_result\d#70\v#20\30\ping_collision_summary.csv</t>
  </si>
  <si>
    <t>D:\CBP_2026.07.21\i#3\full\full#21, 33_19, 32_result\d#70\v#20\3\ping_collision_summary.csv</t>
  </si>
  <si>
    <t>D:\CBP_2026.07.21\i#3\full\full#21, 33_19, 32_result\d#70\v#20\4\ping_collision_summary.csv</t>
  </si>
  <si>
    <t>D:\CBP_2026.07.21\i#3\full\full#21, 33_19, 32_result\d#70\v#20\5\ping_collision_summary.csv</t>
  </si>
  <si>
    <t>D:\CBP_2026.07.21\i#3\full\full#21, 33_19, 32_result\d#70\v#20\6\ping_collision_summary.csv</t>
  </si>
  <si>
    <t>D:\CBP_2026.07.21\i#3\full\full#21, 33_19, 32_result\d#70\v#20\7\ping_collision_summary.csv</t>
  </si>
  <si>
    <t>D:\CBP_2026.07.21\i#3\full\full#21, 33_19, 32_result\d#70\v#20\8\ping_collision_summary.csv</t>
  </si>
  <si>
    <t>D:\CBP_2026.07.21\i#3\full\full#21, 33_19, 32_result\d#70\v#20\9\ping_collision_summary.csv</t>
  </si>
  <si>
    <t>D:\CBP_2026.07.21\i#3\full\full#21, 33_19, 32_result\d#70\v#30\0\ping_collision_summary.csv</t>
  </si>
  <si>
    <t>D:\CBP_2026.07.21\i#3\full\full#21, 33_19, 32_result\d#70\v#30\10\ping_collision_summary.csv</t>
  </si>
  <si>
    <t>D:\CBP_2026.07.21\i#3\full\full#21, 33_19, 32_result\d#70\v#30\11\ping_collision_summary.csv</t>
  </si>
  <si>
    <t>D:\CBP_2026.07.21\i#3\full\full#21, 33_19, 32_result\d#70\v#30\12\ping_collision_summary.csv</t>
  </si>
  <si>
    <t>D:\CBP_2026.07.21\i#3\full\full#21, 33_19, 32_result\d#70\v#30\13\ping_collision_summary.csv</t>
  </si>
  <si>
    <t>D:\CBP_2026.07.21\i#3\full\full#21, 33_19, 32_result\d#70\v#30\14\ping_collision_summary.csv</t>
  </si>
  <si>
    <t>D:\CBP_2026.07.21\i#3\full\full#21, 33_19, 32_result\d#70\v#30\15\ping_collision_summary.csv</t>
  </si>
  <si>
    <t>D:\CBP_2026.07.21\i#3\full\full#21, 33_19, 32_result\d#70\v#30\16\ping_collision_summary.csv</t>
  </si>
  <si>
    <t>D:\CBP_2026.07.21\i#3\full\full#21, 33_19, 32_result\d#70\v#30\17\ping_collision_summary.csv</t>
  </si>
  <si>
    <t>D:\CBP_2026.07.21\i#3\full\full#21, 33_19, 32_result\d#70\v#30\18\ping_collision_summary.csv</t>
  </si>
  <si>
    <t>D:\CBP_2026.07.21\i#3\full\full#21, 33_19, 32_result\d#70\v#30\19\ping_collision_summary.csv</t>
  </si>
  <si>
    <t>D:\CBP_2026.07.21\i#3\full\full#21, 33_19, 32_result\d#70\v#30\1\ping_collision_summary.csv</t>
  </si>
  <si>
    <t>D:\CBP_2026.07.21\i#3\full\full#21, 33_19, 32_result\d#70\v#30\20\ping_collision_summary.csv</t>
  </si>
  <si>
    <t>D:\CBP_2026.07.21\i#3\full\full#21, 33_19, 32_result\d#70\v#30\21\ping_collision_summary.csv</t>
  </si>
  <si>
    <t>D:\CBP_2026.07.21\i#3\full\full#21, 33_19, 32_result\d#70\v#30\22\ping_collision_summary.csv</t>
  </si>
  <si>
    <t>D:\CBP_2026.07.21\i#3\full\full#21, 33_19, 32_result\d#70\v#30\23\ping_collision_summary.csv</t>
  </si>
  <si>
    <t>D:\CBP_2026.07.21\i#3\full\full#21, 33_19, 32_result\d#70\v#30\24\ping_collision_summary.csv</t>
  </si>
  <si>
    <t>D:\CBP_2026.07.21\i#3\full\full#21, 33_19, 32_result\d#70\v#30\25\ping_collision_summary.csv</t>
  </si>
  <si>
    <t>D:\CBP_2026.07.21\i#3\full\full#21, 33_19, 32_result\d#70\v#30\26\ping_collision_summary.csv</t>
  </si>
  <si>
    <t>D:\CBP_2026.07.21\i#3\full\full#21, 33_19, 32_result\d#70\v#30\27\ping_collision_summary.csv</t>
  </si>
  <si>
    <t>D:\CBP_2026.07.21\i#3\full\full#21, 33_19, 32_result\d#70\v#30\28\ping_collision_summary.csv</t>
  </si>
  <si>
    <t>D:\CBP_2026.07.21\i#3\full\full#21, 33_19, 32_result\d#70\v#30\29\ping_collision_summary.csv</t>
  </si>
  <si>
    <t>D:\CBP_2026.07.21\i#3\full\full#21, 33_19, 32_result\d#70\v#30\2\ping_collision_summary.csv</t>
  </si>
  <si>
    <t>D:\CBP_2026.07.21\i#3\full\full#21, 33_19, 32_result\d#70\v#30\30\ping_collision_summary.csv</t>
  </si>
  <si>
    <t>D:\CBP_2026.07.21\i#3\full\full#21, 33_19, 32_result\d#70\v#30\3\ping_collision_summary.csv</t>
  </si>
  <si>
    <t>D:\CBP_2026.07.21\i#3\full\full#21, 33_19, 32_result\d#70\v#30\4\ping_collision_summary.csv</t>
  </si>
  <si>
    <t>D:\CBP_2026.07.21\i#3\full\full#21, 33_19, 32_result\d#70\v#30\5\ping_collision_summary.csv</t>
  </si>
  <si>
    <t>D:\CBP_2026.07.21\i#3\full\full#21, 33_19, 32_result\d#70\v#30\6\ping_collision_summary.csv</t>
  </si>
  <si>
    <t>D:\CBP_2026.07.21\i#3\full\full#21, 33_19, 32_result\d#70\v#30\7\ping_collision_summary.csv</t>
  </si>
  <si>
    <t>D:\CBP_2026.07.21\i#3\full\full#21, 33_19, 32_result\d#70\v#30\8\ping_collision_summary.csv</t>
  </si>
  <si>
    <t>D:\CBP_2026.07.21\i#3\full\full#21, 33_19, 32_result\d#70\v#30\9\ping_collision_summary.csv</t>
  </si>
  <si>
    <t>D:\CBP_2026.07.21\i#3\full\full#33, 44_32, 43_result\d#100\v#10\0\ping_collision_summary.csv</t>
  </si>
  <si>
    <t>D:\CBP_2026.07.21\i#3\full\full#33, 44_32, 43_result\d#100\v#10\10\ping_collision_summary.csv</t>
  </si>
  <si>
    <t>D:\CBP_2026.07.21\i#3\full\full#33, 44_32, 43_result\d#100\v#10\11\ping_collision_summary.csv</t>
  </si>
  <si>
    <t>D:\CBP_2026.07.21\i#3\full\full#33, 44_32, 43_result\d#100\v#10\12\ping_collision_summary.csv</t>
  </si>
  <si>
    <t>D:\CBP_2026.07.21\i#3\full\full#33, 44_32, 43_result\d#100\v#10\13\ping_collision_summary.csv</t>
  </si>
  <si>
    <t>D:\CBP_2026.07.21\i#3\full\full#33, 44_32, 43_result\d#100\v#10\14\ping_collision_summary.csv</t>
  </si>
  <si>
    <t>D:\CBP_2026.07.21\i#3\full\full#33, 44_32, 43_result\d#100\v#10\15\ping_collision_summary.csv</t>
  </si>
  <si>
    <t>D:\CBP_2026.07.21\i#3\full\full#33, 44_32, 43_result\d#100\v#10\16\ping_collision_summary.csv</t>
  </si>
  <si>
    <t>D:\CBP_2026.07.21\i#3\full\full#33, 44_32, 43_result\d#100\v#10\17\ping_collision_summary.csv</t>
  </si>
  <si>
    <t>D:\CBP_2026.07.21\i#3\full\full#33, 44_32, 43_result\d#100\v#10\18\ping_collision_summary.csv</t>
  </si>
  <si>
    <t>D:\CBP_2026.07.21\i#3\full\full#33, 44_32, 43_result\d#100\v#10\19\ping_collision_summary.csv</t>
  </si>
  <si>
    <t>D:\CBP_2026.07.21\i#3\full\full#33, 44_32, 43_result\d#100\v#10\1\ping_collision_summary.csv</t>
  </si>
  <si>
    <t>D:\CBP_2026.07.21\i#3\full\full#33, 44_32, 43_result\d#100\v#10\20\ping_collision_summary.csv</t>
  </si>
  <si>
    <t>D:\CBP_2026.07.21\i#3\full\full#33, 44_32, 43_result\d#100\v#10\21\ping_collision_summary.csv</t>
  </si>
  <si>
    <t>D:\CBP_2026.07.21\i#3\full\full#33, 44_32, 43_result\d#100\v#10\22\ping_collision_summary.csv</t>
  </si>
  <si>
    <t>D:\CBP_2026.07.21\i#3\full\full#33, 44_32, 43_result\d#100\v#10\23\ping_collision_summary.csv</t>
  </si>
  <si>
    <t>D:\CBP_2026.07.21\i#3\full\full#33, 44_32, 43_result\d#100\v#10\24\ping_collision_summary.csv</t>
  </si>
  <si>
    <t>D:\CBP_2026.07.21\i#3\full\full#33, 44_32, 43_result\d#100\v#10\25\ping_collision_summary.csv</t>
  </si>
  <si>
    <t>D:\CBP_2026.07.21\i#3\full\full#33, 44_32, 43_result\d#100\v#10\26\ping_collision_summary.csv</t>
  </si>
  <si>
    <t>D:\CBP_2026.07.21\i#3\full\full#33, 44_32, 43_result\d#100\v#10\27\ping_collision_summary.csv</t>
  </si>
  <si>
    <t>D:\CBP_2026.07.21\i#3\full\full#33, 44_32, 43_result\d#100\v#10\28\ping_collision_summary.csv</t>
  </si>
  <si>
    <t>D:\CBP_2026.07.21\i#3\full\full#33, 44_32, 43_result\d#100\v#10\29\ping_collision_summary.csv</t>
  </si>
  <si>
    <t>D:\CBP_2026.07.21\i#3\full\full#33, 44_32, 43_result\d#100\v#10\2\ping_collision_summary.csv</t>
  </si>
  <si>
    <t>D:\CBP_2026.07.21\i#3\full\full#33, 44_32, 43_result\d#100\v#10\30\ping_collision_summary.csv</t>
  </si>
  <si>
    <t>D:\CBP_2026.07.21\i#3\full\full#33, 44_32, 43_result\d#100\v#10\3\ping_collision_summary.csv</t>
  </si>
  <si>
    <t>D:\CBP_2026.07.21\i#3\full\full#33, 44_32, 43_result\d#100\v#10\4\ping_collision_summary.csv</t>
  </si>
  <si>
    <t>D:\CBP_2026.07.21\i#3\full\full#33, 44_32, 43_result\d#100\v#10\5\ping_collision_summary.csv</t>
  </si>
  <si>
    <t>D:\CBP_2026.07.21\i#3\full\full#33, 44_32, 43_result\d#100\v#10\6\ping_collision_summary.csv</t>
  </si>
  <si>
    <t>D:\CBP_2026.07.21\i#3\full\full#33, 44_32, 43_result\d#100\v#10\7\ping_collision_summary.csv</t>
  </si>
  <si>
    <t>D:\CBP_2026.07.21\i#3\full\full#33, 44_32, 43_result\d#100\v#10\8\ping_collision_summary.csv</t>
  </si>
  <si>
    <t>D:\CBP_2026.07.21\i#3\full\full#33, 44_32, 43_result\d#100\v#10\9\ping_collision_summary.csv</t>
  </si>
  <si>
    <t>D:\CBP_2026.07.21\i#3\full\full#33, 44_32, 43_result\d#100\v#20\0\ping_collision_summary.csv</t>
  </si>
  <si>
    <t>D:\CBP_2026.07.21\i#3\full\full#33, 44_32, 43_result\d#100\v#20\10\ping_collision_summary.csv</t>
  </si>
  <si>
    <t>D:\CBP_2026.07.21\i#3\full\full#33, 44_32, 43_result\d#100\v#20\11\ping_collision_summary.csv</t>
  </si>
  <si>
    <t>D:\CBP_2026.07.21\i#3\full\full#33, 44_32, 43_result\d#100\v#20\12\ping_collision_summary.csv</t>
  </si>
  <si>
    <t>D:\CBP_2026.07.21\i#3\full\full#33, 44_32, 43_result\d#100\v#20\13\ping_collision_summary.csv</t>
  </si>
  <si>
    <t>D:\CBP_2026.07.21\i#3\full\full#33, 44_32, 43_result\d#100\v#20\14\ping_collision_summary.csv</t>
  </si>
  <si>
    <t>D:\CBP_2026.07.21\i#3\full\full#33, 44_32, 43_result\d#100\v#20\15\ping_collision_summary.csv</t>
  </si>
  <si>
    <t>D:\CBP_2026.07.21\i#3\full\full#33, 44_32, 43_result\d#100\v#20\16\ping_collision_summary.csv</t>
  </si>
  <si>
    <t>D:\CBP_2026.07.21\i#3\full\full#33, 44_32, 43_result\d#100\v#20\17\ping_collision_summary.csv</t>
  </si>
  <si>
    <t>D:\CBP_2026.07.21\i#3\full\full#33, 44_32, 43_result\d#100\v#20\18\ping_collision_summary.csv</t>
  </si>
  <si>
    <t>D:\CBP_2026.07.21\i#3\full\full#33, 44_32, 43_result\d#100\v#20\19\ping_collision_summary.csv</t>
  </si>
  <si>
    <t>D:\CBP_2026.07.21\i#3\full\full#33, 44_32, 43_result\d#100\v#20\1\ping_collision_summary.csv</t>
  </si>
  <si>
    <t>D:\CBP_2026.07.21\i#3\full\full#33, 44_32, 43_result\d#100\v#20\20\ping_collision_summary.csv</t>
  </si>
  <si>
    <t>D:\CBP_2026.07.21\i#3\full\full#33, 44_32, 43_result\d#100\v#20\21\ping_collision_summary.csv</t>
  </si>
  <si>
    <t>D:\CBP_2026.07.21\i#3\full\full#33, 44_32, 43_result\d#100\v#20\22\ping_collision_summary.csv</t>
  </si>
  <si>
    <t>D:\CBP_2026.07.21\i#3\full\full#33, 44_32, 43_result\d#100\v#20\23\ping_collision_summary.csv</t>
  </si>
  <si>
    <t>D:\CBP_2026.07.21\i#3\full\full#33, 44_32, 43_result\d#100\v#20\24\ping_collision_summary.csv</t>
  </si>
  <si>
    <t>D:\CBP_2026.07.21\i#3\full\full#33, 44_32, 43_result\d#100\v#20\25\ping_collision_summary.csv</t>
  </si>
  <si>
    <t>D:\CBP_2026.07.21\i#3\full\full#33, 44_32, 43_result\d#100\v#20\26\ping_collision_summary.csv</t>
  </si>
  <si>
    <t>D:\CBP_2026.07.21\i#3\full\full#33, 44_32, 43_result\d#100\v#20\27\ping_collision_summary.csv</t>
  </si>
  <si>
    <t>D:\CBP_2026.07.21\i#3\full\full#33, 44_32, 43_result\d#100\v#20\28\ping_collision_summary.csv</t>
  </si>
  <si>
    <t>D:\CBP_2026.07.21\i#3\full\full#33, 44_32, 43_result\d#100\v#20\29\ping_collision_summary.csv</t>
  </si>
  <si>
    <t>D:\CBP_2026.07.21\i#3\full\full#33, 44_32, 43_result\d#100\v#20\2\ping_collision_summary.csv</t>
  </si>
  <si>
    <t>D:\CBP_2026.07.21\i#3\full\full#33, 44_32, 43_result\d#100\v#20\30\ping_collision_summary.csv</t>
  </si>
  <si>
    <t>D:\CBP_2026.07.21\i#3\full\full#33, 44_32, 43_result\d#100\v#20\3\ping_collision_summary.csv</t>
  </si>
  <si>
    <t>D:\CBP_2026.07.21\i#3\full\full#33, 44_32, 43_result\d#100\v#20\4\ping_collision_summary.csv</t>
  </si>
  <si>
    <t>D:\CBP_2026.07.21\i#3\full\full#33, 44_32, 43_result\d#100\v#20\5\ping_collision_summary.csv</t>
  </si>
  <si>
    <t>D:\CBP_2026.07.21\i#3\full\full#33, 44_32, 43_result\d#100\v#20\6\ping_collision_summary.csv</t>
  </si>
  <si>
    <t>D:\CBP_2026.07.21\i#3\full\full#33, 44_32, 43_result\d#100\v#20\7\ping_collision_summary.csv</t>
  </si>
  <si>
    <t>D:\CBP_2026.07.21\i#3\full\full#33, 44_32, 43_result\d#100\v#20\8\ping_collision_summary.csv</t>
  </si>
  <si>
    <t>D:\CBP_2026.07.21\i#3\full\full#33, 44_32, 43_result\d#100\v#20\9\ping_collision_summary.csv</t>
  </si>
  <si>
    <t>D:\CBP_2026.07.21\i#3\full\full#33, 44_32, 43_result\d#100\v#30\0\ping_collision_summary.csv</t>
  </si>
  <si>
    <t>D:\CBP_2026.07.21\i#3\full\full#33, 44_32, 43_result\d#100\v#30\10\ping_collision_summary.csv</t>
  </si>
  <si>
    <t>D:\CBP_2026.07.21\i#3\full\full#33, 44_32, 43_result\d#100\v#30\11\ping_collision_summary.csv</t>
  </si>
  <si>
    <t>D:\CBP_2026.07.21\i#3\full\full#33, 44_32, 43_result\d#100\v#30\12\ping_collision_summary.csv</t>
  </si>
  <si>
    <t>D:\CBP_2026.07.21\i#3\full\full#33, 44_32, 43_result\d#100\v#30\13\ping_collision_summary.csv</t>
  </si>
  <si>
    <t>D:\CBP_2026.07.21\i#3\full\full#33, 44_32, 43_result\d#100\v#30\14\ping_collision_summary.csv</t>
  </si>
  <si>
    <t>D:\CBP_2026.07.21\i#3\full\full#33, 44_32, 43_result\d#100\v#30\15\ping_collision_summary.csv</t>
  </si>
  <si>
    <t>D:\CBP_2026.07.21\i#3\full\full#33, 44_32, 43_result\d#100\v#30\16\ping_collision_summary.csv</t>
  </si>
  <si>
    <t>D:\CBP_2026.07.21\i#3\full\full#33, 44_32, 43_result\d#100\v#30\17\ping_collision_summary.csv</t>
  </si>
  <si>
    <t>D:\CBP_2026.07.21\i#3\full\full#33, 44_32, 43_result\d#100\v#30\18\ping_collision_summary.csv</t>
  </si>
  <si>
    <t>D:\CBP_2026.07.21\i#3\full\full#33, 44_32, 43_result\d#100\v#30\19\ping_collision_summary.csv</t>
  </si>
  <si>
    <t>D:\CBP_2026.07.21\i#3\full\full#33, 44_32, 43_result\d#100\v#30\1\ping_collision_summary.csv</t>
  </si>
  <si>
    <t>D:\CBP_2026.07.21\i#3\full\full#33, 44_32, 43_result\d#100\v#30\20\ping_collision_summary.csv</t>
  </si>
  <si>
    <t>D:\CBP_2026.07.21\i#3\full\full#33, 44_32, 43_result\d#100\v#30\21\ping_collision_summary.csv</t>
  </si>
  <si>
    <t>D:\CBP_2026.07.21\i#3\full\full#33, 44_32, 43_result\d#100\v#30\22\ping_collision_summary.csv</t>
  </si>
  <si>
    <t>D:\CBP_2026.07.21\i#3\full\full#33, 44_32, 43_result\d#100\v#30\23\ping_collision_summary.csv</t>
  </si>
  <si>
    <t>D:\CBP_2026.07.21\i#3\full\full#33, 44_32, 43_result\d#100\v#30\24\ping_collision_summary.csv</t>
  </si>
  <si>
    <t>D:\CBP_2026.07.21\i#3\full\full#33, 44_32, 43_result\d#100\v#30\25\ping_collision_summary.csv</t>
  </si>
  <si>
    <t>D:\CBP_2026.07.21\i#3\full\full#33, 44_32, 43_result\d#100\v#30\26\ping_collision_summary.csv</t>
  </si>
  <si>
    <t>D:\CBP_2026.07.21\i#3\full\full#33, 44_32, 43_result\d#100\v#30\27\ping_collision_summary.csv</t>
  </si>
  <si>
    <t>D:\CBP_2026.07.21\i#3\full\full#33, 44_32, 43_result\d#100\v#30\28\ping_collision_summary.csv</t>
  </si>
  <si>
    <t>D:\CBP_2026.07.21\i#3\full\full#33, 44_32, 43_result\d#100\v#30\29\ping_collision_summary.csv</t>
  </si>
  <si>
    <t>D:\CBP_2026.07.21\i#3\full\full#33, 44_32, 43_result\d#100\v#30\2\ping_collision_summary.csv</t>
  </si>
  <si>
    <t>D:\CBP_2026.07.21\i#3\full\full#33, 44_32, 43_result\d#100\v#30\30\ping_collision_summary.csv</t>
  </si>
  <si>
    <t>D:\CBP_2026.07.21\i#3\full\full#33, 44_32, 43_result\d#100\v#30\3\ping_collision_summary.csv</t>
  </si>
  <si>
    <t>D:\CBP_2026.07.21\i#3\full\full#33, 44_32, 43_result\d#100\v#30\4\ping_collision_summary.csv</t>
  </si>
  <si>
    <t>D:\CBP_2026.07.21\i#3\full\full#33, 44_32, 43_result\d#100\v#30\5\ping_collision_summary.csv</t>
  </si>
  <si>
    <t>D:\CBP_2026.07.21\i#3\full\full#33, 44_32, 43_result\d#100\v#30\6\ping_collision_summary.csv</t>
  </si>
  <si>
    <t>D:\CBP_2026.07.21\i#3\full\full#33, 44_32, 43_result\d#100\v#30\7\ping_collision_summary.csv</t>
  </si>
  <si>
    <t>D:\CBP_2026.07.21\i#3\full\full#33, 44_32, 43_result\d#100\v#30\8\ping_collision_summary.csv</t>
  </si>
  <si>
    <t>D:\CBP_2026.07.21\i#3\full\full#33, 44_32, 43_result\d#100\v#30\9\ping_collision_summary.csv</t>
  </si>
  <si>
    <t>D:\CBP_2026.07.21\i#3\full\full#33, 44_32, 43_result\d#120\v#10\0\ping_collision_summary.csv</t>
  </si>
  <si>
    <t>D:\CBP_2026.07.21\i#3\full\full#33, 44_32, 43_result\d#120\v#10\10\ping_collision_summary.csv</t>
  </si>
  <si>
    <t>D:\CBP_2026.07.21\i#3\full\full#33, 44_32, 43_result\d#120\v#10\11\ping_collision_summary.csv</t>
  </si>
  <si>
    <t>D:\CBP_2026.07.21\i#3\full\full#33, 44_32, 43_result\d#120\v#10\12\ping_collision_summary.csv</t>
  </si>
  <si>
    <t>D:\CBP_2026.07.21\i#3\full\full#33, 44_32, 43_result\d#120\v#10\13\ping_collision_summary.csv</t>
  </si>
  <si>
    <t>D:\CBP_2026.07.21\i#3\full\full#33, 44_32, 43_result\d#120\v#10\14\ping_collision_summary.csv</t>
  </si>
  <si>
    <t>D:\CBP_2026.07.21\i#3\full\full#33, 44_32, 43_result\d#120\v#10\15\ping_collision_summary.csv</t>
  </si>
  <si>
    <t>D:\CBP_2026.07.21\i#3\full\full#33, 44_32, 43_result\d#120\v#10\16\ping_collision_summary.csv</t>
  </si>
  <si>
    <t>D:\CBP_2026.07.21\i#3\full\full#33, 44_32, 43_result\d#120\v#10\17\ping_collision_summary.csv</t>
  </si>
  <si>
    <t>D:\CBP_2026.07.21\i#3\full\full#33, 44_32, 43_result\d#120\v#10\18\ping_collision_summary.csv</t>
  </si>
  <si>
    <t>D:\CBP_2026.07.21\i#3\full\full#33, 44_32, 43_result\d#120\v#10\19\ping_collision_summary.csv</t>
  </si>
  <si>
    <t>D:\CBP_2026.07.21\i#3\full\full#33, 44_32, 43_result\d#120\v#10\1\ping_collision_summary.csv</t>
  </si>
  <si>
    <t>D:\CBP_2026.07.21\i#3\full\full#33, 44_32, 43_result\d#120\v#10\20\ping_collision_summary.csv</t>
  </si>
  <si>
    <t>D:\CBP_2026.07.21\i#3\full\full#33, 44_32, 43_result\d#120\v#10\21\ping_collision_summary.csv</t>
  </si>
  <si>
    <t>D:\CBP_2026.07.21\i#3\full\full#33, 44_32, 43_result\d#120\v#10\22\ping_collision_summary.csv</t>
  </si>
  <si>
    <t>D:\CBP_2026.07.21\i#3\full\full#33, 44_32, 43_result\d#120\v#10\23\ping_collision_summary.csv</t>
  </si>
  <si>
    <t>D:\CBP_2026.07.21\i#3\full\full#33, 44_32, 43_result\d#120\v#10\24\ping_collision_summary.csv</t>
  </si>
  <si>
    <t>D:\CBP_2026.07.21\i#3\full\full#33, 44_32, 43_result\d#120\v#10\25\ping_collision_summary.csv</t>
  </si>
  <si>
    <t>D:\CBP_2026.07.21\i#3\full\full#33, 44_32, 43_result\d#120\v#10\26\ping_collision_summary.csv</t>
  </si>
  <si>
    <t>D:\CBP_2026.07.21\i#3\full\full#33, 44_32, 43_result\d#120\v#10\27\ping_collision_summary.csv</t>
  </si>
  <si>
    <t>D:\CBP_2026.07.21\i#3\full\full#33, 44_32, 43_result\d#120\v#10\28\ping_collision_summary.csv</t>
  </si>
  <si>
    <t>D:\CBP_2026.07.21\i#3\full\full#33, 44_32, 43_result\d#120\v#10\29\ping_collision_summary.csv</t>
  </si>
  <si>
    <t>D:\CBP_2026.07.21\i#3\full\full#33, 44_32, 43_result\d#120\v#10\2\ping_collision_summary.csv</t>
  </si>
  <si>
    <t>D:\CBP_2026.07.21\i#3\full\full#33, 44_32, 43_result\d#120\v#10\30\ping_collision_summary.csv</t>
  </si>
  <si>
    <t>D:\CBP_2026.07.21\i#3\full\full#33, 44_32, 43_result\d#120\v#10\3\ping_collision_summary.csv</t>
  </si>
  <si>
    <t>D:\CBP_2026.07.21\i#3\full\full#33, 44_32, 43_result\d#120\v#10\4\ping_collision_summary.csv</t>
  </si>
  <si>
    <t>D:\CBP_2026.07.21\i#3\full\full#33, 44_32, 43_result\d#120\v#10\5\ping_collision_summary.csv</t>
  </si>
  <si>
    <t>D:\CBP_2026.07.21\i#3\full\full#33, 44_32, 43_result\d#120\v#10\6\ping_collision_summary.csv</t>
  </si>
  <si>
    <t>D:\CBP_2026.07.21\i#3\full\full#33, 44_32, 43_result\d#120\v#10\7\ping_collision_summary.csv</t>
  </si>
  <si>
    <t>D:\CBP_2026.07.21\i#3\full\full#33, 44_32, 43_result\d#120\v#10\8\ping_collision_summary.csv</t>
  </si>
  <si>
    <t>D:\CBP_2026.07.21\i#3\full\full#33, 44_32, 43_result\d#120\v#10\9\ping_collision_summary.csv</t>
  </si>
  <si>
    <t>D:\CBP_2026.07.21\i#3\full\full#33, 44_32, 43_result\d#120\v#20\0\ping_collision_summary.csv</t>
  </si>
  <si>
    <t>D:\CBP_2026.07.21\i#3\full\full#33, 44_32, 43_result\d#120\v#20\10\ping_collision_summary.csv</t>
  </si>
  <si>
    <t>D:\CBP_2026.07.21\i#3\full\full#33, 44_32, 43_result\d#120\v#20\11\ping_collision_summary.csv</t>
  </si>
  <si>
    <t>D:\CBP_2026.07.21\i#3\full\full#33, 44_32, 43_result\d#120\v#20\12\ping_collision_summary.csv</t>
  </si>
  <si>
    <t>D:\CBP_2026.07.21\i#3\full\full#33, 44_32, 43_result\d#120\v#20\13\ping_collision_summary.csv</t>
  </si>
  <si>
    <t>D:\CBP_2026.07.21\i#3\full\full#33, 44_32, 43_result\d#120\v#20\14\ping_collision_summary.csv</t>
  </si>
  <si>
    <t>D:\CBP_2026.07.21\i#3\full\full#33, 44_32, 43_result\d#120\v#20\15\ping_collision_summary.csv</t>
  </si>
  <si>
    <t>D:\CBP_2026.07.21\i#3\full\full#33, 44_32, 43_result\d#120\v#20\16\ping_collision_summary.csv</t>
  </si>
  <si>
    <t>D:\CBP_2026.07.21\i#3\full\full#33, 44_32, 43_result\d#120\v#20\17\ping_collision_summary.csv</t>
  </si>
  <si>
    <t>D:\CBP_2026.07.21\i#3\full\full#33, 44_32, 43_result\d#120\v#20\18\ping_collision_summary.csv</t>
  </si>
  <si>
    <t>D:\CBP_2026.07.21\i#3\full\full#33, 44_32, 43_result\d#120\v#20\19\ping_collision_summary.csv</t>
  </si>
  <si>
    <t>D:\CBP_2026.07.21\i#3\full\full#33, 44_32, 43_result\d#120\v#20\1\ping_collision_summary.csv</t>
  </si>
  <si>
    <t>D:\CBP_2026.07.21\i#3\full\full#33, 44_32, 43_result\d#120\v#20\20\ping_collision_summary.csv</t>
  </si>
  <si>
    <t>D:\CBP_2026.07.21\i#3\full\full#33, 44_32, 43_result\d#120\v#20\21\ping_collision_summary.csv</t>
  </si>
  <si>
    <t>D:\CBP_2026.07.21\i#3\full\full#33, 44_32, 43_result\d#120\v#20\22\ping_collision_summary.csv</t>
  </si>
  <si>
    <t>D:\CBP_2026.07.21\i#3\full\full#33, 44_32, 43_result\d#120\v#20\23\ping_collision_summary.csv</t>
  </si>
  <si>
    <t>D:\CBP_2026.07.21\i#3\full\full#33, 44_32, 43_result\d#120\v#20\24\ping_collision_summary.csv</t>
  </si>
  <si>
    <t>D:\CBP_2026.07.21\i#3\full\full#33, 44_32, 43_result\d#120\v#20\25\ping_collision_summary.csv</t>
  </si>
  <si>
    <t>D:\CBP_2026.07.21\i#3\full\full#33, 44_32, 43_result\d#120\v#20\26\ping_collision_summary.csv</t>
  </si>
  <si>
    <t>D:\CBP_2026.07.21\i#3\full\full#33, 44_32, 43_result\d#120\v#20\27\ping_collision_summary.csv</t>
  </si>
  <si>
    <t>D:\CBP_2026.07.21\i#3\full\full#33, 44_32, 43_result\d#120\v#20\28\ping_collision_summary.csv</t>
  </si>
  <si>
    <t>D:\CBP_2026.07.21\i#3\full\full#33, 44_32, 43_result\d#120\v#20\29\ping_collision_summary.csv</t>
  </si>
  <si>
    <t>D:\CBP_2026.07.21\i#3\full\full#33, 44_32, 43_result\d#120\v#20\2\ping_collision_summary.csv</t>
  </si>
  <si>
    <t>D:\CBP_2026.07.21\i#3\full\full#33, 44_32, 43_result\d#120\v#20\30\ping_collision_summary.csv</t>
  </si>
  <si>
    <t>D:\CBP_2026.07.21\i#3\full\full#33, 44_32, 43_result\d#120\v#20\3\ping_collision_summary.csv</t>
  </si>
  <si>
    <t>D:\CBP_2026.07.21\i#3\full\full#33, 44_32, 43_result\d#120\v#20\4\ping_collision_summary.csv</t>
  </si>
  <si>
    <t>D:\CBP_2026.07.21\i#3\full\full#33, 44_32, 43_result\d#120\v#20\5\ping_collision_summary.csv</t>
  </si>
  <si>
    <t>D:\CBP_2026.07.21\i#3\full\full#33, 44_32, 43_result\d#120\v#20\6\ping_collision_summary.csv</t>
  </si>
  <si>
    <t>D:\CBP_2026.07.21\i#3\full\full#33, 44_32, 43_result\d#120\v#20\7\ping_collision_summary.csv</t>
  </si>
  <si>
    <t>D:\CBP_2026.07.21\i#3\full\full#33, 44_32, 43_result\d#120\v#20\8\ping_collision_summary.csv</t>
  </si>
  <si>
    <t>D:\CBP_2026.07.21\i#3\full\full#33, 44_32, 43_result\d#120\v#20\9\ping_collision_summary.csv</t>
  </si>
  <si>
    <t>D:\CBP_2026.07.21\i#3\full\full#33, 44_32, 43_result\d#120\v#30\0\ping_collision_summary.csv</t>
  </si>
  <si>
    <t>D:\CBP_2026.07.21\i#3\full\full#33, 44_32, 43_result\d#120\v#30\10\ping_collision_summary.csv</t>
  </si>
  <si>
    <t>D:\CBP_2026.07.21\i#3\full\full#33, 44_32, 43_result\d#120\v#30\11\ping_collision_summary.csv</t>
  </si>
  <si>
    <t>D:\CBP_2026.07.21\i#3\full\full#33, 44_32, 43_result\d#120\v#30\12\ping_collision_summary.csv</t>
  </si>
  <si>
    <t>D:\CBP_2026.07.21\i#3\full\full#33, 44_32, 43_result\d#120\v#30\13\ping_collision_summary.csv</t>
  </si>
  <si>
    <t>D:\CBP_2026.07.21\i#3\full\full#33, 44_32, 43_result\d#120\v#30\14\ping_collision_summary.csv</t>
  </si>
  <si>
    <t>D:\CBP_2026.07.21\i#3\full\full#33, 44_32, 43_result\d#120\v#30\15\ping_collision_summary.csv</t>
  </si>
  <si>
    <t>D:\CBP_2026.07.21\i#3\full\full#33, 44_32, 43_result\d#120\v#30\16\ping_collision_summary.csv</t>
  </si>
  <si>
    <t>D:\CBP_2026.07.21\i#3\full\full#33, 44_32, 43_result\d#120\v#30\17\ping_collision_summary.csv</t>
  </si>
  <si>
    <t>D:\CBP_2026.07.21\i#3\full\full#33, 44_32, 43_result\d#120\v#30\18\ping_collision_summary.csv</t>
  </si>
  <si>
    <t>D:\CBP_2026.07.21\i#3\full\full#33, 44_32, 43_result\d#120\v#30\19\ping_collision_summary.csv</t>
  </si>
  <si>
    <t>D:\CBP_2026.07.21\i#3\full\full#33, 44_32, 43_result\d#120\v#30\1\ping_collision_summary.csv</t>
  </si>
  <si>
    <t>D:\CBP_2026.07.21\i#3\full\full#33, 44_32, 43_result\d#120\v#30\20\ping_collision_summary.csv</t>
  </si>
  <si>
    <t>D:\CBP_2026.07.21\i#3\full\full#33, 44_32, 43_result\d#120\v#30\21\ping_collision_summary.csv</t>
  </si>
  <si>
    <t>D:\CBP_2026.07.21\i#3\full\full#33, 44_32, 43_result\d#120\v#30\22\ping_collision_summary.csv</t>
  </si>
  <si>
    <t>D:\CBP_2026.07.21\i#3\full\full#33, 44_32, 43_result\d#120\v#30\23\ping_collision_summary.csv</t>
  </si>
  <si>
    <t>D:\CBP_2026.07.21\i#3\full\full#33, 44_32, 43_result\d#120\v#30\24\ping_collision_summary.csv</t>
  </si>
  <si>
    <t>D:\CBP_2026.07.21\i#3\full\full#33, 44_32, 43_result\d#120\v#30\25\ping_collision_summary.csv</t>
  </si>
  <si>
    <t>D:\CBP_2026.07.21\i#3\full\full#33, 44_32, 43_result\d#120\v#30\26\ping_collision_summary.csv</t>
  </si>
  <si>
    <t>D:\CBP_2026.07.21\i#3\full\full#33, 44_32, 43_result\d#120\v#30\27\ping_collision_summary.csv</t>
  </si>
  <si>
    <t>D:\CBP_2026.07.21\i#3\full\full#33, 44_32, 43_result\d#120\v#30\28\ping_collision_summary.csv</t>
  </si>
  <si>
    <t>D:\CBP_2026.07.21\i#3\full\full#33, 44_32, 43_result\d#120\v#30\29\ping_collision_summary.csv</t>
  </si>
  <si>
    <t>D:\CBP_2026.07.21\i#3\full\full#33, 44_32, 43_result\d#120\v#30\2\ping_collision_summary.csv</t>
  </si>
  <si>
    <t>D:\CBP_2026.07.21\i#3\full\full#33, 44_32, 43_result\d#120\v#30\30\ping_collision_summary.csv</t>
  </si>
  <si>
    <t>D:\CBP_2026.07.21\i#3\full\full#33, 44_32, 43_result\d#120\v#30\3\ping_collision_summary.csv</t>
  </si>
  <si>
    <t>D:\CBP_2026.07.21\i#3\full\full#33, 44_32, 43_result\d#120\v#30\4\ping_collision_summary.csv</t>
  </si>
  <si>
    <t>D:\CBP_2026.07.21\i#3\full\full#33, 44_32, 43_result\d#120\v#30\5\ping_collision_summary.csv</t>
  </si>
  <si>
    <t>D:\CBP_2026.07.21\i#3\full\full#33, 44_32, 43_result\d#120\v#30\6\ping_collision_summary.csv</t>
  </si>
  <si>
    <t>D:\CBP_2026.07.21\i#3\full\full#33, 44_32, 43_result\d#120\v#30\7\ping_collision_summary.csv</t>
  </si>
  <si>
    <t>D:\CBP_2026.07.21\i#3\full\full#33, 44_32, 43_result\d#120\v#30\8\ping_collision_summary.csv</t>
  </si>
  <si>
    <t>D:\CBP_2026.07.21\i#3\full\full#33, 44_32, 43_result\d#120\v#30\9\ping_collision_summary.csv</t>
  </si>
  <si>
    <t>D:\CBP_2026.07.21\i#3\full\full#33, 44_32, 43_result\d#70\v#10\0\ping_collision_summary.csv</t>
  </si>
  <si>
    <t>D:\CBP_2026.07.21\i#3\full\full#33, 44_32, 43_result\d#70\v#10\10\ping_collision_summary.csv</t>
  </si>
  <si>
    <t>D:\CBP_2026.07.21\i#3\full\full#33, 44_32, 43_result\d#70\v#10\11\ping_collision_summary.csv</t>
  </si>
  <si>
    <t>D:\CBP_2026.07.21\i#3\full\full#33, 44_32, 43_result\d#70\v#10\12\ping_collision_summary.csv</t>
  </si>
  <si>
    <t>D:\CBP_2026.07.21\i#3\full\full#33, 44_32, 43_result\d#70\v#10\13\ping_collision_summary.csv</t>
  </si>
  <si>
    <t>D:\CBP_2026.07.21\i#3\full\full#33, 44_32, 43_result\d#70\v#10\14\ping_collision_summary.csv</t>
  </si>
  <si>
    <t>D:\CBP_2026.07.21\i#3\full\full#33, 44_32, 43_result\d#70\v#10\15\ping_collision_summary.csv</t>
  </si>
  <si>
    <t>D:\CBP_2026.07.21\i#3\full\full#33, 44_32, 43_result\d#70\v#10\16\ping_collision_summary.csv</t>
  </si>
  <si>
    <t>D:\CBP_2026.07.21\i#3\full\full#33, 44_32, 43_result\d#70\v#10\17\ping_collision_summary.csv</t>
  </si>
  <si>
    <t>D:\CBP_2026.07.21\i#3\full\full#33, 44_32, 43_result\d#70\v#10\18\ping_collision_summary.csv</t>
  </si>
  <si>
    <t>D:\CBP_2026.07.21\i#3\full\full#33, 44_32, 43_result\d#70\v#10\19\ping_collision_summary.csv</t>
  </si>
  <si>
    <t>D:\CBP_2026.07.21\i#3\full\full#33, 44_32, 43_result\d#70\v#10\1\ping_collision_summary.csv</t>
  </si>
  <si>
    <t>D:\CBP_2026.07.21\i#3\full\full#33, 44_32, 43_result\d#70\v#10\20\ping_collision_summary.csv</t>
  </si>
  <si>
    <t>D:\CBP_2026.07.21\i#3\full\full#33, 44_32, 43_result\d#70\v#10\21\ping_collision_summary.csv</t>
  </si>
  <si>
    <t>D:\CBP_2026.07.21\i#3\full\full#33, 44_32, 43_result\d#70\v#10\22\ping_collision_summary.csv</t>
  </si>
  <si>
    <t>D:\CBP_2026.07.21\i#3\full\full#33, 44_32, 43_result\d#70\v#10\23\ping_collision_summary.csv</t>
  </si>
  <si>
    <t>D:\CBP_2026.07.21\i#3\full\full#33, 44_32, 43_result\d#70\v#10\24\ping_collision_summary.csv</t>
  </si>
  <si>
    <t>D:\CBP_2026.07.21\i#3\full\full#33, 44_32, 43_result\d#70\v#10\25\ping_collision_summary.csv</t>
  </si>
  <si>
    <t>D:\CBP_2026.07.21\i#3\full\full#33, 44_32, 43_result\d#70\v#10\26\ping_collision_summary.csv</t>
  </si>
  <si>
    <t>D:\CBP_2026.07.21\i#3\full\full#33, 44_32, 43_result\d#70\v#10\27\ping_collision_summary.csv</t>
  </si>
  <si>
    <t>D:\CBP_2026.07.21\i#3\full\full#33, 44_32, 43_result\d#70\v#10\28\ping_collision_summary.csv</t>
  </si>
  <si>
    <t>D:\CBP_2026.07.21\i#3\full\full#33, 44_32, 43_result\d#70\v#10\29\ping_collision_summary.csv</t>
  </si>
  <si>
    <t>D:\CBP_2026.07.21\i#3\full\full#33, 44_32, 43_result\d#70\v#10\2\ping_collision_summary.csv</t>
  </si>
  <si>
    <t>D:\CBP_2026.07.21\i#3\full\full#33, 44_32, 43_result\d#70\v#10\30\ping_collision_summary.csv</t>
  </si>
  <si>
    <t>D:\CBP_2026.07.21\i#3\full\full#33, 44_32, 43_result\d#70\v#10\3\ping_collision_summary.csv</t>
  </si>
  <si>
    <t>D:\CBP_2026.07.21\i#3\full\full#33, 44_32, 43_result\d#70\v#10\4\ping_collision_summary.csv</t>
  </si>
  <si>
    <t>D:\CBP_2026.07.21\i#3\full\full#33, 44_32, 43_result\d#70\v#10\5\ping_collision_summary.csv</t>
  </si>
  <si>
    <t>D:\CBP_2026.07.21\i#3\full\full#33, 44_32, 43_result\d#70\v#10\6\ping_collision_summary.csv</t>
  </si>
  <si>
    <t>D:\CBP_2026.07.21\i#3\full\full#33, 44_32, 43_result\d#70\v#10\7\ping_collision_summary.csv</t>
  </si>
  <si>
    <t>D:\CBP_2026.07.21\i#3\full\full#33, 44_32, 43_result\d#70\v#10\8\ping_collision_summary.csv</t>
  </si>
  <si>
    <t>D:\CBP_2026.07.21\i#3\full\full#33, 44_32, 43_result\d#70\v#10\9\ping_collision_summary.csv</t>
  </si>
  <si>
    <t>D:\CBP_2026.07.21\i#3\full\full#33, 44_32, 43_result\d#70\v#20\0\ping_collision_summary.csv</t>
  </si>
  <si>
    <t>D:\CBP_2026.07.21\i#3\full\full#33, 44_32, 43_result\d#70\v#20\10\ping_collision_summary.csv</t>
  </si>
  <si>
    <t>D:\CBP_2026.07.21\i#3\full\full#33, 44_32, 43_result\d#70\v#20\11\ping_collision_summary.csv</t>
  </si>
  <si>
    <t>D:\CBP_2026.07.21\i#3\full\full#33, 44_32, 43_result\d#70\v#20\12\ping_collision_summary.csv</t>
  </si>
  <si>
    <t>D:\CBP_2026.07.21\i#3\full\full#33, 44_32, 43_result\d#70\v#20\13\ping_collision_summary.csv</t>
  </si>
  <si>
    <t>D:\CBP_2026.07.21\i#3\full\full#33, 44_32, 43_result\d#70\v#20\14\ping_collision_summary.csv</t>
  </si>
  <si>
    <t>D:\CBP_2026.07.21\i#3\full\full#33, 44_32, 43_result\d#70\v#20\15\ping_collision_summary.csv</t>
  </si>
  <si>
    <t>D:\CBP_2026.07.21\i#3\full\full#33, 44_32, 43_result\d#70\v#20\16\ping_collision_summary.csv</t>
  </si>
  <si>
    <t>D:\CBP_2026.07.21\i#3\full\full#33, 44_32, 43_result\d#70\v#20\17\ping_collision_summary.csv</t>
  </si>
  <si>
    <t>D:\CBP_2026.07.21\i#3\full\full#33, 44_32, 43_result\d#70\v#20\18\ping_collision_summary.csv</t>
  </si>
  <si>
    <t>D:\CBP_2026.07.21\i#3\full\full#33, 44_32, 43_result\d#70\v#20\19\ping_collision_summary.csv</t>
  </si>
  <si>
    <t>D:\CBP_2026.07.21\i#3\full\full#33, 44_32, 43_result\d#70\v#20\1\ping_collision_summary.csv</t>
  </si>
  <si>
    <t>D:\CBP_2026.07.21\i#3\full\full#33, 44_32, 43_result\d#70\v#20\20\ping_collision_summary.csv</t>
  </si>
  <si>
    <t>D:\CBP_2026.07.21\i#3\full\full#33, 44_32, 43_result\d#70\v#20\21\ping_collision_summary.csv</t>
  </si>
  <si>
    <t>D:\CBP_2026.07.21\i#3\full\full#33, 44_32, 43_result\d#70\v#20\22\ping_collision_summary.csv</t>
  </si>
  <si>
    <t>D:\CBP_2026.07.21\i#3\full\full#33, 44_32, 43_result\d#70\v#20\23\ping_collision_summary.csv</t>
  </si>
  <si>
    <t>D:\CBP_2026.07.21\i#3\full\full#33, 44_32, 43_result\d#70\v#20\24\ping_collision_summary.csv</t>
  </si>
  <si>
    <t>D:\CBP_2026.07.21\i#3\full\full#33, 44_32, 43_result\d#70\v#20\25\ping_collision_summary.csv</t>
  </si>
  <si>
    <t>D:\CBP_2026.07.21\i#3\full\full#33, 44_32, 43_result\d#70\v#20\26\ping_collision_summary.csv</t>
  </si>
  <si>
    <t>D:\CBP_2026.07.21\i#3\full\full#33, 44_32, 43_result\d#70\v#20\27\ping_collision_summary.csv</t>
  </si>
  <si>
    <t>D:\CBP_2026.07.21\i#3\full\full#33, 44_32, 43_result\d#70\v#20\28\ping_collision_summary.csv</t>
  </si>
  <si>
    <t>D:\CBP_2026.07.21\i#3\full\full#33, 44_32, 43_result\d#70\v#20\29\ping_collision_summary.csv</t>
  </si>
  <si>
    <t>D:\CBP_2026.07.21\i#3\full\full#33, 44_32, 43_result\d#70\v#20\2\ping_collision_summary.csv</t>
  </si>
  <si>
    <t>D:\CBP_2026.07.21\i#3\full\full#33, 44_32, 43_result\d#70\v#20\30\ping_collision_summary.csv</t>
  </si>
  <si>
    <t>D:\CBP_2026.07.21\i#3\full\full#33, 44_32, 43_result\d#70\v#20\3\ping_collision_summary.csv</t>
  </si>
  <si>
    <t>D:\CBP_2026.07.21\i#3\full\full#33, 44_32, 43_result\d#70\v#20\4\ping_collision_summary.csv</t>
  </si>
  <si>
    <t>D:\CBP_2026.07.21\i#3\full\full#33, 44_32, 43_result\d#70\v#20\5\ping_collision_summary.csv</t>
  </si>
  <si>
    <t>D:\CBP_2026.07.21\i#3\full\full#33, 44_32, 43_result\d#70\v#20\6\ping_collision_summary.csv</t>
  </si>
  <si>
    <t>D:\CBP_2026.07.21\i#3\full\full#33, 44_32, 43_result\d#70\v#20\7\ping_collision_summary.csv</t>
  </si>
  <si>
    <t>D:\CBP_2026.07.21\i#3\full\full#33, 44_32, 43_result\d#70\v#20\8\ping_collision_summary.csv</t>
  </si>
  <si>
    <t>D:\CBP_2026.07.21\i#3\full\full#33, 44_32, 43_result\d#70\v#20\9\ping_collision_summary.csv</t>
  </si>
  <si>
    <t>D:\CBP_2026.07.21\i#3\full\full#33, 44_32, 43_result\d#70\v#30\0\ping_collision_summary.csv</t>
  </si>
  <si>
    <t>D:\CBP_2026.07.21\i#3\full\full#33, 44_32, 43_result\d#70\v#30\10\ping_collision_summary.csv</t>
  </si>
  <si>
    <t>D:\CBP_2026.07.21\i#3\full\full#33, 44_32, 43_result\d#70\v#30\11\ping_collision_summary.csv</t>
  </si>
  <si>
    <t>D:\CBP_2026.07.21\i#3\full\full#33, 44_32, 43_result\d#70\v#30\12\ping_collision_summary.csv</t>
  </si>
  <si>
    <t>D:\CBP_2026.07.21\i#3\full\full#33, 44_32, 43_result\d#70\v#30\13\ping_collision_summary.csv</t>
  </si>
  <si>
    <t>D:\CBP_2026.07.21\i#3\full\full#33, 44_32, 43_result\d#70\v#30\14\ping_collision_summary.csv</t>
  </si>
  <si>
    <t>D:\CBP_2026.07.21\i#3\full\full#33, 44_32, 43_result\d#70\v#30\15\ping_collision_summary.csv</t>
  </si>
  <si>
    <t>D:\CBP_2026.07.21\i#3\full\full#33, 44_32, 43_result\d#70\v#30\16\ping_collision_summary.csv</t>
  </si>
  <si>
    <t>D:\CBP_2026.07.21\i#3\full\full#33, 44_32, 43_result\d#70\v#30\17\ping_collision_summary.csv</t>
  </si>
  <si>
    <t>D:\CBP_2026.07.21\i#3\full\full#33, 44_32, 43_result\d#70\v#30\18\ping_collision_summary.csv</t>
  </si>
  <si>
    <t>D:\CBP_2026.07.21\i#3\full\full#33, 44_32, 43_result\d#70\v#30\19\ping_collision_summary.csv</t>
  </si>
  <si>
    <t>D:\CBP_2026.07.21\i#3\full\full#33, 44_32, 43_result\d#70\v#30\1\ping_collision_summary.csv</t>
  </si>
  <si>
    <t>D:\CBP_2026.07.21\i#3\full\full#33, 44_32, 43_result\d#70\v#30\20\ping_collision_summary.csv</t>
  </si>
  <si>
    <t>D:\CBP_2026.07.21\i#3\full\full#33, 44_32, 43_result\d#70\v#30\21\ping_collision_summary.csv</t>
  </si>
  <si>
    <t>D:\CBP_2026.07.21\i#3\full\full#33, 44_32, 43_result\d#70\v#30\22\ping_collision_summary.csv</t>
  </si>
  <si>
    <t>D:\CBP_2026.07.21\i#3\full\full#33, 44_32, 43_result\d#70\v#30\23\ping_collision_summary.csv</t>
  </si>
  <si>
    <t>D:\CBP_2026.07.21\i#3\full\full#33, 44_32, 43_result\d#70\v#30\24\ping_collision_summary.csv</t>
  </si>
  <si>
    <t>D:\CBP_2026.07.21\i#3\full\full#33, 44_32, 43_result\d#70\v#30\25\ping_collision_summary.csv</t>
  </si>
  <si>
    <t>D:\CBP_2026.07.21\i#3\full\full#33, 44_32, 43_result\d#70\v#30\26\ping_collision_summary.csv</t>
  </si>
  <si>
    <t>D:\CBP_2026.07.21\i#3\full\full#33, 44_32, 43_result\d#70\v#30\27\ping_collision_summary.csv</t>
  </si>
  <si>
    <t>D:\CBP_2026.07.21\i#3\full\full#33, 44_32, 43_result\d#70\v#30\28\ping_collision_summary.csv</t>
  </si>
  <si>
    <t>D:\CBP_2026.07.21\i#3\full\full#33, 44_32, 43_result\d#70\v#30\29\ping_collision_summary.csv</t>
  </si>
  <si>
    <t>D:\CBP_2026.07.21\i#3\full\full#33, 44_32, 43_result\d#70\v#30\2\ping_collision_summary.csv</t>
  </si>
  <si>
    <t>D:\CBP_2026.07.21\i#3\full\full#33, 44_32, 43_result\d#70\v#30\30\ping_collision_summary.csv</t>
  </si>
  <si>
    <t>D:\CBP_2026.07.21\i#3\full\full#33, 44_32, 43_result\d#70\v#30\3\ping_collision_summary.csv</t>
  </si>
  <si>
    <t>D:\CBP_2026.07.21\i#3\full\full#33, 44_32, 43_result\d#70\v#30\4\ping_collision_summary.csv</t>
  </si>
  <si>
    <t>D:\CBP_2026.07.21\i#3\full\full#33, 44_32, 43_result\d#70\v#30\5\ping_collision_summary.csv</t>
  </si>
  <si>
    <t>D:\CBP_2026.07.21\i#3\full\full#33, 44_32, 43_result\d#70\v#30\6\ping_collision_summary.csv</t>
  </si>
  <si>
    <t>D:\CBP_2026.07.21\i#3\full\full#33, 44_32, 43_result\d#70\v#30\7\ping_collision_summary.csv</t>
  </si>
  <si>
    <t>D:\CBP_2026.07.21\i#3\full\full#33, 44_32, 43_result\d#70\v#30\8\ping_collision_summary.csv</t>
  </si>
  <si>
    <t>D:\CBP_2026.07.21\i#3\full\full#33, 44_32, 43_result\d#70\v#30\9\ping_collision_summary.csv</t>
  </si>
  <si>
    <t>D:\CBP_2026.07.21\i#3\full\full#44, 101_43, 101_result\d#100\v#10\0\ping_collision_summary.csv</t>
  </si>
  <si>
    <t>D:\CBP_2026.07.21\i#3\full\full#44, 101_43, 101_result\d#100\v#10\10\ping_collision_summary.csv</t>
  </si>
  <si>
    <t>D:\CBP_2026.07.21\i#3\full\full#44, 101_43, 101_result\d#100\v#10\11\ping_collision_summary.csv</t>
  </si>
  <si>
    <t>D:\CBP_2026.07.21\i#3\full\full#44, 101_43, 101_result\d#100\v#10\12\ping_collision_summary.csv</t>
  </si>
  <si>
    <t>D:\CBP_2026.07.21\i#3\full\full#44, 101_43, 101_result\d#100\v#10\13\ping_collision_summary.csv</t>
  </si>
  <si>
    <t>D:\CBP_2026.07.21\i#3\full\full#44, 101_43, 101_result\d#100\v#10\14\ping_collision_summary.csv</t>
  </si>
  <si>
    <t>D:\CBP_2026.07.21\i#3\full\full#44, 101_43, 101_result\d#100\v#10\15\ping_collision_summary.csv</t>
  </si>
  <si>
    <t>D:\CBP_2026.07.21\i#3\full\full#44, 101_43, 101_result\d#100\v#10\16\ping_collision_summary.csv</t>
  </si>
  <si>
    <t>D:\CBP_2026.07.21\i#3\full\full#44, 101_43, 101_result\d#100\v#10\17\ping_collision_summary.csv</t>
  </si>
  <si>
    <t>D:\CBP_2026.07.21\i#3\full\full#44, 101_43, 101_result\d#100\v#10\18\ping_collision_summary.csv</t>
  </si>
  <si>
    <t>D:\CBP_2026.07.21\i#3\full\full#44, 101_43, 101_result\d#100\v#10\19\ping_collision_summary.csv</t>
  </si>
  <si>
    <t>D:\CBP_2026.07.21\i#3\full\full#44, 101_43, 101_result\d#100\v#10\1\ping_collision_summary.csv</t>
  </si>
  <si>
    <t>D:\CBP_2026.07.21\i#3\full\full#44, 101_43, 101_result\d#100\v#10\20\ping_collision_summary.csv</t>
  </si>
  <si>
    <t>D:\CBP_2026.07.21\i#3\full\full#44, 101_43, 101_result\d#100\v#10\21\ping_collision_summary.csv</t>
  </si>
  <si>
    <t>D:\CBP_2026.07.21\i#3\full\full#44, 101_43, 101_result\d#100\v#10\22\ping_collision_summary.csv</t>
  </si>
  <si>
    <t>D:\CBP_2026.07.21\i#3\full\full#44, 101_43, 101_result\d#100\v#10\23\ping_collision_summary.csv</t>
  </si>
  <si>
    <t>D:\CBP_2026.07.21\i#3\full\full#44, 101_43, 101_result\d#100\v#10\24\ping_collision_summary.csv</t>
  </si>
  <si>
    <t>D:\CBP_2026.07.21\i#3\full\full#44, 101_43, 101_result\d#100\v#10\25\ping_collision_summary.csv</t>
  </si>
  <si>
    <t>D:\CBP_2026.07.21\i#3\full\full#44, 101_43, 101_result\d#100\v#10\26\ping_collision_summary.csv</t>
  </si>
  <si>
    <t>D:\CBP_2026.07.21\i#3\full\full#44, 101_43, 101_result\d#100\v#10\27\ping_collision_summary.csv</t>
  </si>
  <si>
    <t>D:\CBP_2026.07.21\i#3\full\full#44, 101_43, 101_result\d#100\v#10\28\ping_collision_summary.csv</t>
  </si>
  <si>
    <t>D:\CBP_2026.07.21\i#3\full\full#44, 101_43, 101_result\d#100\v#10\29\ping_collision_summary.csv</t>
  </si>
  <si>
    <t>D:\CBP_2026.07.21\i#3\full\full#44, 101_43, 101_result\d#100\v#10\2\ping_collision_summary.csv</t>
  </si>
  <si>
    <t>D:\CBP_2026.07.21\i#3\full\full#44, 101_43, 101_result\d#100\v#10\30\ping_collision_summary.csv</t>
  </si>
  <si>
    <t>D:\CBP_2026.07.21\i#3\full\full#44, 101_43, 101_result\d#100\v#10\3\ping_collision_summary.csv</t>
  </si>
  <si>
    <t>D:\CBP_2026.07.21\i#3\full\full#44, 101_43, 101_result\d#100\v#10\4\ping_collision_summary.csv</t>
  </si>
  <si>
    <t>D:\CBP_2026.07.21\i#3\full\full#44, 101_43, 101_result\d#100\v#10\5\ping_collision_summary.csv</t>
  </si>
  <si>
    <t>D:\CBP_2026.07.21\i#3\full\full#44, 101_43, 101_result\d#100\v#10\6\ping_collision_summary.csv</t>
  </si>
  <si>
    <t>D:\CBP_2026.07.21\i#3\full\full#44, 101_43, 101_result\d#100\v#10\7\ping_collision_summary.csv</t>
  </si>
  <si>
    <t>D:\CBP_2026.07.21\i#3\full\full#44, 101_43, 101_result\d#100\v#10\8\ping_collision_summary.csv</t>
  </si>
  <si>
    <t>D:\CBP_2026.07.21\i#3\full\full#44, 101_43, 101_result\d#100\v#10\9\ping_collision_summary.csv</t>
  </si>
  <si>
    <t>D:\CBP_2026.07.21\i#3\full\full#44, 101_43, 101_result\d#100\v#20\0\ping_collision_summary.csv</t>
  </si>
  <si>
    <t>D:\CBP_2026.07.21\i#3\full\full#44, 101_43, 101_result\d#100\v#20\10\ping_collision_summary.csv</t>
  </si>
  <si>
    <t>D:\CBP_2026.07.21\i#3\full\full#44, 101_43, 101_result\d#100\v#20\11\ping_collision_summary.csv</t>
  </si>
  <si>
    <t>D:\CBP_2026.07.21\i#3\full\full#44, 101_43, 101_result\d#100\v#20\12\ping_collision_summary.csv</t>
  </si>
  <si>
    <t>D:\CBP_2026.07.21\i#3\full\full#44, 101_43, 101_result\d#100\v#20\13\ping_collision_summary.csv</t>
  </si>
  <si>
    <t>D:\CBP_2026.07.21\i#3\full\full#44, 101_43, 101_result\d#100\v#20\14\ping_collision_summary.csv</t>
  </si>
  <si>
    <t>D:\CBP_2026.07.21\i#3\full\full#44, 101_43, 101_result\d#100\v#20\15\ping_collision_summary.csv</t>
  </si>
  <si>
    <t>D:\CBP_2026.07.21\i#3\full\full#44, 101_43, 101_result\d#100\v#20\16\ping_collision_summary.csv</t>
  </si>
  <si>
    <t>D:\CBP_2026.07.21\i#3\full\full#44, 101_43, 101_result\d#100\v#20\17\ping_collision_summary.csv</t>
  </si>
  <si>
    <t>D:\CBP_2026.07.21\i#3\full\full#44, 101_43, 101_result\d#100\v#20\18\ping_collision_summary.csv</t>
  </si>
  <si>
    <t>D:\CBP_2026.07.21\i#3\full\full#44, 101_43, 101_result\d#100\v#20\19\ping_collision_summary.csv</t>
  </si>
  <si>
    <t>D:\CBP_2026.07.21\i#3\full\full#44, 101_43, 101_result\d#100\v#20\1\ping_collision_summary.csv</t>
  </si>
  <si>
    <t>D:\CBP_2026.07.21\i#3\full\full#44, 101_43, 101_result\d#100\v#20\20\ping_collision_summary.csv</t>
  </si>
  <si>
    <t>D:\CBP_2026.07.21\i#3\full\full#44, 101_43, 101_result\d#100\v#20\21\ping_collision_summary.csv</t>
  </si>
  <si>
    <t>D:\CBP_2026.07.21\i#3\full\full#44, 101_43, 101_result\d#100\v#20\22\ping_collision_summary.csv</t>
  </si>
  <si>
    <t>D:\CBP_2026.07.21\i#3\full\full#44, 101_43, 101_result\d#100\v#20\23\ping_collision_summary.csv</t>
  </si>
  <si>
    <t>D:\CBP_2026.07.21\i#3\full\full#44, 101_43, 101_result\d#100\v#20\24\ping_collision_summary.csv</t>
  </si>
  <si>
    <t>D:\CBP_2026.07.21\i#3\full\full#44, 101_43, 101_result\d#100\v#20\25\ping_collision_summary.csv</t>
  </si>
  <si>
    <t>D:\CBP_2026.07.21\i#3\full\full#44, 101_43, 101_result\d#100\v#20\26\ping_collision_summary.csv</t>
  </si>
  <si>
    <t>D:\CBP_2026.07.21\i#3\full\full#44, 101_43, 101_result\d#100\v#20\27\ping_collision_summary.csv</t>
  </si>
  <si>
    <t>D:\CBP_2026.07.21\i#3\full\full#44, 101_43, 101_result\d#100\v#20\28\ping_collision_summary.csv</t>
  </si>
  <si>
    <t>D:\CBP_2026.07.21\i#3\full\full#44, 101_43, 101_result\d#100\v#20\29\ping_collision_summary.csv</t>
  </si>
  <si>
    <t>D:\CBP_2026.07.21\i#3\full\full#44, 101_43, 101_result\d#100\v#20\2\ping_collision_summary.csv</t>
  </si>
  <si>
    <t>D:\CBP_2026.07.21\i#3\full\full#44, 101_43, 101_result\d#100\v#20\30\ping_collision_summary.csv</t>
  </si>
  <si>
    <t>D:\CBP_2026.07.21\i#3\full\full#44, 101_43, 101_result\d#100\v#20\3\ping_collision_summary.csv</t>
  </si>
  <si>
    <t>D:\CBP_2026.07.21\i#3\full\full#44, 101_43, 101_result\d#100\v#20\4\ping_collision_summary.csv</t>
  </si>
  <si>
    <t>D:\CBP_2026.07.21\i#3\full\full#44, 101_43, 101_result\d#100\v#20\5\ping_collision_summary.csv</t>
  </si>
  <si>
    <t>D:\CBP_2026.07.21\i#3\full\full#44, 101_43, 101_result\d#100\v#20\6\ping_collision_summary.csv</t>
  </si>
  <si>
    <t>D:\CBP_2026.07.21\i#3\full\full#44, 101_43, 101_result\d#100\v#20\7\ping_collision_summary.csv</t>
  </si>
  <si>
    <t>D:\CBP_2026.07.21\i#3\full\full#44, 101_43, 101_result\d#100\v#20\8\ping_collision_summary.csv</t>
  </si>
  <si>
    <t>D:\CBP_2026.07.21\i#3\full\full#44, 101_43, 101_result\d#100\v#20\9\ping_collision_summary.csv</t>
  </si>
  <si>
    <t>D:\CBP_2026.07.21\i#3\full\full#44, 101_43, 101_result\d#100\v#30\0\ping_collision_summary.csv</t>
  </si>
  <si>
    <t>D:\CBP_2026.07.21\i#3\full\full#44, 101_43, 101_result\d#100\v#30\10\ping_collision_summary.csv</t>
  </si>
  <si>
    <t>D:\CBP_2026.07.21\i#3\full\full#44, 101_43, 101_result\d#100\v#30\11\ping_collision_summary.csv</t>
  </si>
  <si>
    <t>D:\CBP_2026.07.21\i#3\full\full#44, 101_43, 101_result\d#100\v#30\12\ping_collision_summary.csv</t>
  </si>
  <si>
    <t>D:\CBP_2026.07.21\i#3\full\full#44, 101_43, 101_result\d#100\v#30\13\ping_collision_summary.csv</t>
  </si>
  <si>
    <t>D:\CBP_2026.07.21\i#3\full\full#44, 101_43, 101_result\d#100\v#30\14\ping_collision_summary.csv</t>
  </si>
  <si>
    <t>D:\CBP_2026.07.21\i#3\full\full#44, 101_43, 101_result\d#100\v#30\15\ping_collision_summary.csv</t>
  </si>
  <si>
    <t>D:\CBP_2026.07.21\i#3\full\full#44, 101_43, 101_result\d#100\v#30\16\ping_collision_summary.csv</t>
  </si>
  <si>
    <t>D:\CBP_2026.07.21\i#3\full\full#44, 101_43, 101_result\d#100\v#30\17\ping_collision_summary.csv</t>
  </si>
  <si>
    <t>D:\CBP_2026.07.21\i#3\full\full#44, 101_43, 101_result\d#100\v#30\18\ping_collision_summary.csv</t>
  </si>
  <si>
    <t>D:\CBP_2026.07.21\i#3\full\full#44, 101_43, 101_result\d#100\v#30\19\ping_collision_summary.csv</t>
  </si>
  <si>
    <t>D:\CBP_2026.07.21\i#3\full\full#44, 101_43, 101_result\d#100\v#30\1\ping_collision_summary.csv</t>
  </si>
  <si>
    <t>D:\CBP_2026.07.21\i#3\full\full#44, 101_43, 101_result\d#100\v#30\20\ping_collision_summary.csv</t>
  </si>
  <si>
    <t>D:\CBP_2026.07.21\i#3\full\full#44, 101_43, 101_result\d#100\v#30\21\ping_collision_summary.csv</t>
  </si>
  <si>
    <t>D:\CBP_2026.07.21\i#3\full\full#44, 101_43, 101_result\d#100\v#30\22\ping_collision_summary.csv</t>
  </si>
  <si>
    <t>D:\CBP_2026.07.21\i#3\full\full#44, 101_43, 101_result\d#100\v#30\23\ping_collision_summary.csv</t>
  </si>
  <si>
    <t>D:\CBP_2026.07.21\i#3\full\full#44, 101_43, 101_result\d#100\v#30\24\ping_collision_summary.csv</t>
  </si>
  <si>
    <t>D:\CBP_2026.07.21\i#3\full\full#44, 101_43, 101_result\d#100\v#30\25\ping_collision_summary.csv</t>
  </si>
  <si>
    <t>D:\CBP_2026.07.21\i#3\full\full#44, 101_43, 101_result\d#100\v#30\26\ping_collision_summary.csv</t>
  </si>
  <si>
    <t>D:\CBP_2026.07.21\i#3\full\full#44, 101_43, 101_result\d#100\v#30\27\ping_collision_summary.csv</t>
  </si>
  <si>
    <t>D:\CBP_2026.07.21\i#3\full\full#44, 101_43, 101_result\d#100\v#30\28\ping_collision_summary.csv</t>
  </si>
  <si>
    <t>D:\CBP_2026.07.21\i#3\full\full#44, 101_43, 101_result\d#100\v#30\29\ping_collision_summary.csv</t>
  </si>
  <si>
    <t>D:\CBP_2026.07.21\i#3\full\full#44, 101_43, 101_result\d#100\v#30\2\ping_collision_summary.csv</t>
  </si>
  <si>
    <t>D:\CBP_2026.07.21\i#3\full\full#44, 101_43, 101_result\d#100\v#30\30\ping_collision_summary.csv</t>
  </si>
  <si>
    <t>D:\CBP_2026.07.21\i#3\full\full#44, 101_43, 101_result\d#100\v#30\3\ping_collision_summary.csv</t>
  </si>
  <si>
    <t>D:\CBP_2026.07.21\i#3\full\full#44, 101_43, 101_result\d#100\v#30\4\ping_collision_summary.csv</t>
  </si>
  <si>
    <t>D:\CBP_2026.07.21\i#3\full\full#44, 101_43, 101_result\d#100\v#30\5\ping_collision_summary.csv</t>
  </si>
  <si>
    <t>D:\CBP_2026.07.21\i#3\full\full#44, 101_43, 101_result\d#100\v#30\6\ping_collision_summary.csv</t>
  </si>
  <si>
    <t>D:\CBP_2026.07.21\i#3\full\full#44, 101_43, 101_result\d#100\v#30\7\ping_collision_summary.csv</t>
  </si>
  <si>
    <t>D:\CBP_2026.07.21\i#3\full\full#44, 101_43, 101_result\d#100\v#30\8\ping_collision_summary.csv</t>
  </si>
  <si>
    <t>D:\CBP_2026.07.21\i#3\full\full#44, 101_43, 101_result\d#100\v#30\9\ping_collision_summary.csv</t>
  </si>
  <si>
    <t>D:\CBP_2026.07.21\i#3\full\full#44, 101_43, 101_result\d#120\v#10\0\ping_collision_summary.csv</t>
  </si>
  <si>
    <t>D:\CBP_2026.07.21\i#3\full\full#44, 101_43, 101_result\d#120\v#10\10\ping_collision_summary.csv</t>
  </si>
  <si>
    <t>D:\CBP_2026.07.21\i#3\full\full#44, 101_43, 101_result\d#120\v#10\11\ping_collision_summary.csv</t>
  </si>
  <si>
    <t>D:\CBP_2026.07.21\i#3\full\full#44, 101_43, 101_result\d#120\v#10\12\ping_collision_summary.csv</t>
  </si>
  <si>
    <t>D:\CBP_2026.07.21\i#3\full\full#44, 101_43, 101_result\d#120\v#10\13\ping_collision_summary.csv</t>
  </si>
  <si>
    <t>D:\CBP_2026.07.21\i#3\full\full#44, 101_43, 101_result\d#120\v#10\14\ping_collision_summary.csv</t>
  </si>
  <si>
    <t>D:\CBP_2026.07.21\i#3\full\full#44, 101_43, 101_result\d#120\v#10\15\ping_collision_summary.csv</t>
  </si>
  <si>
    <t>D:\CBP_2026.07.21\i#3\full\full#44, 101_43, 101_result\d#120\v#10\16\ping_collision_summary.csv</t>
  </si>
  <si>
    <t>D:\CBP_2026.07.21\i#3\full\full#44, 101_43, 101_result\d#120\v#10\17\ping_collision_summary.csv</t>
  </si>
  <si>
    <t>D:\CBP_2026.07.21\i#3\full\full#44, 101_43, 101_result\d#120\v#10\18\ping_collision_summary.csv</t>
  </si>
  <si>
    <t>D:\CBP_2026.07.21\i#3\full\full#44, 101_43, 101_result\d#120\v#10\19\ping_collision_summary.csv</t>
  </si>
  <si>
    <t>D:\CBP_2026.07.21\i#3\full\full#44, 101_43, 101_result\d#120\v#10\1\ping_collision_summary.csv</t>
  </si>
  <si>
    <t>D:\CBP_2026.07.21\i#3\full\full#44, 101_43, 101_result\d#120\v#10\20\ping_collision_summary.csv</t>
  </si>
  <si>
    <t>D:\CBP_2026.07.21\i#3\full\full#44, 101_43, 101_result\d#120\v#10\21\ping_collision_summary.csv</t>
  </si>
  <si>
    <t>D:\CBP_2026.07.21\i#3\full\full#44, 101_43, 101_result\d#120\v#10\22\ping_collision_summary.csv</t>
  </si>
  <si>
    <t>D:\CBP_2026.07.21\i#3\full\full#44, 101_43, 101_result\d#120\v#10\23\ping_collision_summary.csv</t>
  </si>
  <si>
    <t>D:\CBP_2026.07.21\i#3\full\full#44, 101_43, 101_result\d#120\v#10\24\ping_collision_summary.csv</t>
  </si>
  <si>
    <t>D:\CBP_2026.07.21\i#3\full\full#44, 101_43, 101_result\d#120\v#10\25\ping_collision_summary.csv</t>
  </si>
  <si>
    <t>D:\CBP_2026.07.21\i#3\full\full#44, 101_43, 101_result\d#120\v#10\26\ping_collision_summary.csv</t>
  </si>
  <si>
    <t>D:\CBP_2026.07.21\i#3\full\full#44, 101_43, 101_result\d#120\v#10\27\ping_collision_summary.csv</t>
  </si>
  <si>
    <t>D:\CBP_2026.07.21\i#3\full\full#44, 101_43, 101_result\d#120\v#10\28\ping_collision_summary.csv</t>
  </si>
  <si>
    <t>D:\CBP_2026.07.21\i#3\full\full#44, 101_43, 101_result\d#120\v#10\29\ping_collision_summary.csv</t>
  </si>
  <si>
    <t>D:\CBP_2026.07.21\i#3\full\full#44, 101_43, 101_result\d#120\v#10\2\ping_collision_summary.csv</t>
  </si>
  <si>
    <t>D:\CBP_2026.07.21\i#3\full\full#44, 101_43, 101_result\d#120\v#10\30\ping_collision_summary.csv</t>
  </si>
  <si>
    <t>D:\CBP_2026.07.21\i#3\full\full#44, 101_43, 101_result\d#120\v#10\3\ping_collision_summary.csv</t>
  </si>
  <si>
    <t>D:\CBP_2026.07.21\i#3\full\full#44, 101_43, 101_result\d#120\v#10\4\ping_collision_summary.csv</t>
  </si>
  <si>
    <t>D:\CBP_2026.07.21\i#3\full\full#44, 101_43, 101_result\d#120\v#10\5\ping_collision_summary.csv</t>
  </si>
  <si>
    <t>D:\CBP_2026.07.21\i#3\full\full#44, 101_43, 101_result\d#120\v#10\6\ping_collision_summary.csv</t>
  </si>
  <si>
    <t>D:\CBP_2026.07.21\i#3\full\full#44, 101_43, 101_result\d#120\v#10\7\ping_collision_summary.csv</t>
  </si>
  <si>
    <t>D:\CBP_2026.07.21\i#3\full\full#44, 101_43, 101_result\d#120\v#10\8\ping_collision_summary.csv</t>
  </si>
  <si>
    <t>D:\CBP_2026.07.21\i#3\full\full#44, 101_43, 101_result\d#120\v#10\9\ping_collision_summary.csv</t>
  </si>
  <si>
    <t>D:\CBP_2026.07.21\i#3\full\full#44, 101_43, 101_result\d#120\v#20\0\ping_collision_summary.csv</t>
  </si>
  <si>
    <t>D:\CBP_2026.07.21\i#3\full\full#44, 101_43, 101_result\d#120\v#20\10\ping_collision_summary.csv</t>
  </si>
  <si>
    <t>D:\CBP_2026.07.21\i#3\full\full#44, 101_43, 101_result\d#120\v#20\11\ping_collision_summary.csv</t>
  </si>
  <si>
    <t>D:\CBP_2026.07.21\i#3\full\full#44, 101_43, 101_result\d#120\v#20\12\ping_collision_summary.csv</t>
  </si>
  <si>
    <t>D:\CBP_2026.07.21\i#3\full\full#44, 101_43, 101_result\d#120\v#20\13\ping_collision_summary.csv</t>
  </si>
  <si>
    <t>D:\CBP_2026.07.21\i#3\full\full#44, 101_43, 101_result\d#120\v#20\14\ping_collision_summary.csv</t>
  </si>
  <si>
    <t>D:\CBP_2026.07.21\i#3\full\full#44, 101_43, 101_result\d#120\v#20\15\ping_collision_summary.csv</t>
  </si>
  <si>
    <t>D:\CBP_2026.07.21\i#3\full\full#44, 101_43, 101_result\d#120\v#20\16\ping_collision_summary.csv</t>
  </si>
  <si>
    <t>D:\CBP_2026.07.21\i#3\full\full#44, 101_43, 101_result\d#120\v#20\17\ping_collision_summary.csv</t>
  </si>
  <si>
    <t>D:\CBP_2026.07.21\i#3\full\full#44, 101_43, 101_result\d#120\v#20\18\ping_collision_summary.csv</t>
  </si>
  <si>
    <t>D:\CBP_2026.07.21\i#3\full\full#44, 101_43, 101_result\d#120\v#20\19\ping_collision_summary.csv</t>
  </si>
  <si>
    <t>D:\CBP_2026.07.21\i#3\full\full#44, 101_43, 101_result\d#120\v#20\1\ping_collision_summary.csv</t>
  </si>
  <si>
    <t>D:\CBP_2026.07.21\i#3\full\full#44, 101_43, 101_result\d#120\v#20\20\ping_collision_summary.csv</t>
  </si>
  <si>
    <t>D:\CBP_2026.07.21\i#3\full\full#44, 101_43, 101_result\d#120\v#20\21\ping_collision_summary.csv</t>
  </si>
  <si>
    <t>D:\CBP_2026.07.21\i#3\full\full#44, 101_43, 101_result\d#120\v#20\22\ping_collision_summary.csv</t>
  </si>
  <si>
    <t>D:\CBP_2026.07.21\i#3\full\full#44, 101_43, 101_result\d#120\v#20\23\ping_collision_summary.csv</t>
  </si>
  <si>
    <t>D:\CBP_2026.07.21\i#3\full\full#44, 101_43, 101_result\d#120\v#20\24\ping_collision_summary.csv</t>
  </si>
  <si>
    <t>D:\CBP_2026.07.21\i#3\full\full#44, 101_43, 101_result\d#120\v#20\25\ping_collision_summary.csv</t>
  </si>
  <si>
    <t>D:\CBP_2026.07.21\i#3\full\full#44, 101_43, 101_result\d#120\v#20\26\ping_collision_summary.csv</t>
  </si>
  <si>
    <t>D:\CBP_2026.07.21\i#3\full\full#44, 101_43, 101_result\d#120\v#20\27\ping_collision_summary.csv</t>
  </si>
  <si>
    <t>D:\CBP_2026.07.21\i#3\full\full#44, 101_43, 101_result\d#120\v#20\28\ping_collision_summary.csv</t>
  </si>
  <si>
    <t>D:\CBP_2026.07.21\i#3\full\full#44, 101_43, 101_result\d#120\v#20\29\ping_collision_summary.csv</t>
  </si>
  <si>
    <t>D:\CBP_2026.07.21\i#3\full\full#44, 101_43, 101_result\d#120\v#20\2\ping_collision_summary.csv</t>
  </si>
  <si>
    <t>D:\CBP_2026.07.21\i#3\full\full#44, 101_43, 101_result\d#120\v#20\30\ping_collision_summary.csv</t>
  </si>
  <si>
    <t>D:\CBP_2026.07.21\i#3\full\full#44, 101_43, 101_result\d#120\v#20\3\ping_collision_summary.csv</t>
  </si>
  <si>
    <t>D:\CBP_2026.07.21\i#3\full\full#44, 101_43, 101_result\d#120\v#20\4\ping_collision_summary.csv</t>
  </si>
  <si>
    <t>D:\CBP_2026.07.21\i#3\full\full#44, 101_43, 101_result\d#120\v#20\5\ping_collision_summary.csv</t>
  </si>
  <si>
    <t>D:\CBP_2026.07.21\i#3\full\full#44, 101_43, 101_result\d#120\v#20\6\ping_collision_summary.csv</t>
  </si>
  <si>
    <t>D:\CBP_2026.07.21\i#3\full\full#44, 101_43, 101_result\d#120\v#20\7\ping_collision_summary.csv</t>
  </si>
  <si>
    <t>D:\CBP_2026.07.21\i#3\full\full#44, 101_43, 101_result\d#120\v#20\8\ping_collision_summary.csv</t>
  </si>
  <si>
    <t>D:\CBP_2026.07.21\i#3\full\full#44, 101_43, 101_result\d#120\v#20\9\ping_collision_summary.csv</t>
  </si>
  <si>
    <t>D:\CBP_2026.07.21\i#3\full\full#44, 101_43, 101_result\d#120\v#30\0\ping_collision_summary.csv</t>
  </si>
  <si>
    <t>D:\CBP_2026.07.21\i#3\full\full#44, 101_43, 101_result\d#120\v#30\10\ping_collision_summary.csv</t>
  </si>
  <si>
    <t>D:\CBP_2026.07.21\i#3\full\full#44, 101_43, 101_result\d#120\v#30\11\ping_collision_summary.csv</t>
  </si>
  <si>
    <t>D:\CBP_2026.07.21\i#3\full\full#44, 101_43, 101_result\d#120\v#30\12\ping_collision_summary.csv</t>
  </si>
  <si>
    <t>D:\CBP_2026.07.21\i#3\full\full#44, 101_43, 101_result\d#120\v#30\13\ping_collision_summary.csv</t>
  </si>
  <si>
    <t>D:\CBP_2026.07.21\i#3\full\full#44, 101_43, 101_result\d#120\v#30\14\ping_collision_summary.csv</t>
  </si>
  <si>
    <t>D:\CBP_2026.07.21\i#3\full\full#44, 101_43, 101_result\d#120\v#30\15\ping_collision_summary.csv</t>
  </si>
  <si>
    <t>D:\CBP_2026.07.21\i#3\full\full#44, 101_43, 101_result\d#120\v#30\16\ping_collision_summary.csv</t>
  </si>
  <si>
    <t>D:\CBP_2026.07.21\i#3\full\full#44, 101_43, 101_result\d#120\v#30\17\ping_collision_summary.csv</t>
  </si>
  <si>
    <t>D:\CBP_2026.07.21\i#3\full\full#44, 101_43, 101_result\d#120\v#30\18\ping_collision_summary.csv</t>
  </si>
  <si>
    <t>D:\CBP_2026.07.21\i#3\full\full#44, 101_43, 101_result\d#120\v#30\19\ping_collision_summary.csv</t>
  </si>
  <si>
    <t>D:\CBP_2026.07.21\i#3\full\full#44, 101_43, 101_result\d#120\v#30\1\ping_collision_summary.csv</t>
  </si>
  <si>
    <t>D:\CBP_2026.07.21\i#3\full\full#44, 101_43, 101_result\d#120\v#30\20\ping_collision_summary.csv</t>
  </si>
  <si>
    <t>D:\CBP_2026.07.21\i#3\full\full#44, 101_43, 101_result\d#120\v#30\21\ping_collision_summary.csv</t>
  </si>
  <si>
    <t>D:\CBP_2026.07.21\i#3\full\full#44, 101_43, 101_result\d#120\v#30\22\ping_collision_summary.csv</t>
  </si>
  <si>
    <t>D:\CBP_2026.07.21\i#3\full\full#44, 101_43, 101_result\d#120\v#30\23\ping_collision_summary.csv</t>
  </si>
  <si>
    <t>D:\CBP_2026.07.21\i#3\full\full#44, 101_43, 101_result\d#120\v#30\24\ping_collision_summary.csv</t>
  </si>
  <si>
    <t>D:\CBP_2026.07.21\i#3\full\full#44, 101_43, 101_result\d#120\v#30\25\ping_collision_summary.csv</t>
  </si>
  <si>
    <t>D:\CBP_2026.07.21\i#3\full\full#44, 101_43, 101_result\d#120\v#30\26\ping_collision_summary.csv</t>
  </si>
  <si>
    <t>D:\CBP_2026.07.21\i#3\full\full#44, 101_43, 101_result\d#120\v#30\27\ping_collision_summary.csv</t>
  </si>
  <si>
    <t>D:\CBP_2026.07.21\i#3\full\full#44, 101_43, 101_result\d#120\v#30\28\ping_collision_summary.csv</t>
  </si>
  <si>
    <t>D:\CBP_2026.07.21\i#3\full\full#44, 101_43, 101_result\d#120\v#30\29\ping_collision_summary.csv</t>
  </si>
  <si>
    <t>D:\CBP_2026.07.21\i#3\full\full#44, 101_43, 101_result\d#120\v#30\2\ping_collision_summary.csv</t>
  </si>
  <si>
    <t>D:\CBP_2026.07.21\i#3\full\full#44, 101_43, 101_result\d#120\v#30\30\ping_collision_summary.csv</t>
  </si>
  <si>
    <t>D:\CBP_2026.07.21\i#3\full\full#44, 101_43, 101_result\d#120\v#30\3\ping_collision_summary.csv</t>
  </si>
  <si>
    <t>D:\CBP_2026.07.21\i#3\full\full#44, 101_43, 101_result\d#120\v#30\4\ping_collision_summary.csv</t>
  </si>
  <si>
    <t>D:\CBP_2026.07.21\i#3\full\full#44, 101_43, 101_result\d#120\v#30\5\ping_collision_summary.csv</t>
  </si>
  <si>
    <t>D:\CBP_2026.07.21\i#3\full\full#44, 101_43, 101_result\d#120\v#30\6\ping_collision_summary.csv</t>
  </si>
  <si>
    <t>D:\CBP_2026.07.21\i#3\full\full#44, 101_43, 101_result\d#120\v#30\7\ping_collision_summary.csv</t>
  </si>
  <si>
    <t>D:\CBP_2026.07.21\i#3\full\full#44, 101_43, 101_result\d#120\v#30\8\ping_collision_summary.csv</t>
  </si>
  <si>
    <t>D:\CBP_2026.07.21\i#3\full\full#44, 101_43, 101_result\d#120\v#30\9\ping_collision_summary.csv</t>
  </si>
  <si>
    <t>D:\CBP_2026.07.21\i#3\full\full#44, 101_43, 101_result\d#70\v#10\0\ping_collision_summary.csv</t>
  </si>
  <si>
    <t>D:\CBP_2026.07.21\i#3\full\full#44, 101_43, 101_result\d#70\v#10\10\ping_collision_summary.csv</t>
  </si>
  <si>
    <t>D:\CBP_2026.07.21\i#3\full\full#44, 101_43, 101_result\d#70\v#10\11\ping_collision_summary.csv</t>
  </si>
  <si>
    <t>D:\CBP_2026.07.21\i#3\full\full#44, 101_43, 101_result\d#70\v#10\12\ping_collision_summary.csv</t>
  </si>
  <si>
    <t>D:\CBP_2026.07.21\i#3\full\full#44, 101_43, 101_result\d#70\v#10\13\ping_collision_summary.csv</t>
  </si>
  <si>
    <t>D:\CBP_2026.07.21\i#3\full\full#44, 101_43, 101_result\d#70\v#10\14\ping_collision_summary.csv</t>
  </si>
  <si>
    <t>D:\CBP_2026.07.21\i#3\full\full#44, 101_43, 101_result\d#70\v#10\15\ping_collision_summary.csv</t>
  </si>
  <si>
    <t>D:\CBP_2026.07.21\i#3\full\full#44, 101_43, 101_result\d#70\v#10\16\ping_collision_summary.csv</t>
  </si>
  <si>
    <t>D:\CBP_2026.07.21\i#3\full\full#44, 101_43, 101_result\d#70\v#10\17\ping_collision_summary.csv</t>
  </si>
  <si>
    <t>D:\CBP_2026.07.21\i#3\full\full#44, 101_43, 101_result\d#70\v#10\18\ping_collision_summary.csv</t>
  </si>
  <si>
    <t>D:\CBP_2026.07.21\i#3\full\full#44, 101_43, 101_result\d#70\v#10\19\ping_collision_summary.csv</t>
  </si>
  <si>
    <t>D:\CBP_2026.07.21\i#3\full\full#44, 101_43, 101_result\d#70\v#10\1\ping_collision_summary.csv</t>
  </si>
  <si>
    <t>D:\CBP_2026.07.21\i#3\full\full#44, 101_43, 101_result\d#70\v#10\20\ping_collision_summary.csv</t>
  </si>
  <si>
    <t>D:\CBP_2026.07.21\i#3\full\full#44, 101_43, 101_result\d#70\v#10\21\ping_collision_summary.csv</t>
  </si>
  <si>
    <t>D:\CBP_2026.07.21\i#3\full\full#44, 101_43, 101_result\d#70\v#10\22\ping_collision_summary.csv</t>
  </si>
  <si>
    <t>D:\CBP_2026.07.21\i#3\full\full#44, 101_43, 101_result\d#70\v#10\23\ping_collision_summary.csv</t>
  </si>
  <si>
    <t>D:\CBP_2026.07.21\i#3\full\full#44, 101_43, 101_result\d#70\v#10\24\ping_collision_summary.csv</t>
  </si>
  <si>
    <t>D:\CBP_2026.07.21\i#3\full\full#44, 101_43, 101_result\d#70\v#10\25\ping_collision_summary.csv</t>
  </si>
  <si>
    <t>D:\CBP_2026.07.21\i#3\full\full#44, 101_43, 101_result\d#70\v#10\26\ping_collision_summary.csv</t>
  </si>
  <si>
    <t>D:\CBP_2026.07.21\i#3\full\full#44, 101_43, 101_result\d#70\v#10\27\ping_collision_summary.csv</t>
  </si>
  <si>
    <t>D:\CBP_2026.07.21\i#3\full\full#44, 101_43, 101_result\d#70\v#10\28\ping_collision_summary.csv</t>
  </si>
  <si>
    <t>D:\CBP_2026.07.21\i#3\full\full#44, 101_43, 101_result\d#70\v#10\29\ping_collision_summary.csv</t>
  </si>
  <si>
    <t>D:\CBP_2026.07.21\i#3\full\full#44, 101_43, 101_result\d#70\v#10\2\ping_collision_summary.csv</t>
  </si>
  <si>
    <t>D:\CBP_2026.07.21\i#3\full\full#44, 101_43, 101_result\d#70\v#10\30\ping_collision_summary.csv</t>
  </si>
  <si>
    <t>D:\CBP_2026.07.21\i#3\full\full#44, 101_43, 101_result\d#70\v#10\3\ping_collision_summary.csv</t>
  </si>
  <si>
    <t>D:\CBP_2026.07.21\i#3\full\full#44, 101_43, 101_result\d#70\v#10\4\ping_collision_summary.csv</t>
  </si>
  <si>
    <t>D:\CBP_2026.07.21\i#3\full\full#44, 101_43, 101_result\d#70\v#10\5\ping_collision_summary.csv</t>
  </si>
  <si>
    <t>D:\CBP_2026.07.21\i#3\full\full#44, 101_43, 101_result\d#70\v#10\6\ping_collision_summary.csv</t>
  </si>
  <si>
    <t>D:\CBP_2026.07.21\i#3\full\full#44, 101_43, 101_result\d#70\v#10\7\ping_collision_summary.csv</t>
  </si>
  <si>
    <t>D:\CBP_2026.07.21\i#3\full\full#44, 101_43, 101_result\d#70\v#10\8\ping_collision_summary.csv</t>
  </si>
  <si>
    <t>D:\CBP_2026.07.21\i#3\full\full#44, 101_43, 101_result\d#70\v#10\9\ping_collision_summary.csv</t>
  </si>
  <si>
    <t>D:\CBP_2026.07.21\i#3\full\full#44, 101_43, 101_result\d#70\v#20\0\ping_collision_summary.csv</t>
  </si>
  <si>
    <t>D:\CBP_2026.07.21\i#3\full\full#44, 101_43, 101_result\d#70\v#20\10\ping_collision_summary.csv</t>
  </si>
  <si>
    <t>D:\CBP_2026.07.21\i#3\full\full#44, 101_43, 101_result\d#70\v#20\11\ping_collision_summary.csv</t>
  </si>
  <si>
    <t>D:\CBP_2026.07.21\i#3\full\full#44, 101_43, 101_result\d#70\v#20\12\ping_collision_summary.csv</t>
  </si>
  <si>
    <t>D:\CBP_2026.07.21\i#3\full\full#44, 101_43, 101_result\d#70\v#20\13\ping_collision_summary.csv</t>
  </si>
  <si>
    <t>D:\CBP_2026.07.21\i#3\full\full#44, 101_43, 101_result\d#70\v#20\14\ping_collision_summary.csv</t>
  </si>
  <si>
    <t>D:\CBP_2026.07.21\i#3\full\full#44, 101_43, 101_result\d#70\v#20\15\ping_collision_summary.csv</t>
  </si>
  <si>
    <t>D:\CBP_2026.07.21\i#3\full\full#44, 101_43, 101_result\d#70\v#20\16\ping_collision_summary.csv</t>
  </si>
  <si>
    <t>D:\CBP_2026.07.21\i#3\full\full#44, 101_43, 101_result\d#70\v#20\17\ping_collision_summary.csv</t>
  </si>
  <si>
    <t>D:\CBP_2026.07.21\i#3\full\full#44, 101_43, 101_result\d#70\v#20\18\ping_collision_summary.csv</t>
  </si>
  <si>
    <t>D:\CBP_2026.07.21\i#3\full\full#44, 101_43, 101_result\d#70\v#20\19\ping_collision_summary.csv</t>
  </si>
  <si>
    <t>D:\CBP_2026.07.21\i#3\full\full#44, 101_43, 101_result\d#70\v#20\1\ping_collision_summary.csv</t>
  </si>
  <si>
    <t>D:\CBP_2026.07.21\i#3\full\full#44, 101_43, 101_result\d#70\v#20\20\ping_collision_summary.csv</t>
  </si>
  <si>
    <t>D:\CBP_2026.07.21\i#3\full\full#44, 101_43, 101_result\d#70\v#20\21\ping_collision_summary.csv</t>
  </si>
  <si>
    <t>D:\CBP_2026.07.21\i#3\full\full#44, 101_43, 101_result\d#70\v#20\22\ping_collision_summary.csv</t>
  </si>
  <si>
    <t>D:\CBP_2026.07.21\i#3\full\full#44, 101_43, 101_result\d#70\v#20\23\ping_collision_summary.csv</t>
  </si>
  <si>
    <t>D:\CBP_2026.07.21\i#3\full\full#44, 101_43, 101_result\d#70\v#20\24\ping_collision_summary.csv</t>
  </si>
  <si>
    <t>D:\CBP_2026.07.21\i#3\full\full#44, 101_43, 101_result\d#70\v#20\25\ping_collision_summary.csv</t>
  </si>
  <si>
    <t>D:\CBP_2026.07.21\i#3\full\full#44, 101_43, 101_result\d#70\v#20\26\ping_collision_summary.csv</t>
  </si>
  <si>
    <t>D:\CBP_2026.07.21\i#3\full\full#44, 101_43, 101_result\d#70\v#20\27\ping_collision_summary.csv</t>
  </si>
  <si>
    <t>D:\CBP_2026.07.21\i#3\full\full#44, 101_43, 101_result\d#70\v#20\28\ping_collision_summary.csv</t>
  </si>
  <si>
    <t>D:\CBP_2026.07.21\i#3\full\full#44, 101_43, 101_result\d#70\v#20\29\ping_collision_summary.csv</t>
  </si>
  <si>
    <t>D:\CBP_2026.07.21\i#3\full\full#44, 101_43, 101_result\d#70\v#20\2\ping_collision_summary.csv</t>
  </si>
  <si>
    <t>D:\CBP_2026.07.21\i#3\full\full#44, 101_43, 101_result\d#70\v#20\30\ping_collision_summary.csv</t>
  </si>
  <si>
    <t>D:\CBP_2026.07.21\i#3\full\full#44, 101_43, 101_result\d#70\v#20\3\ping_collision_summary.csv</t>
  </si>
  <si>
    <t>D:\CBP_2026.07.21\i#3\full\full#44, 101_43, 101_result\d#70\v#20\4\ping_collision_summary.csv</t>
  </si>
  <si>
    <t>D:\CBP_2026.07.21\i#3\full\full#44, 101_43, 101_result\d#70\v#20\5\ping_collision_summary.csv</t>
  </si>
  <si>
    <t>D:\CBP_2026.07.21\i#3\full\full#44, 101_43, 101_result\d#70\v#20\6\ping_collision_summary.csv</t>
  </si>
  <si>
    <t>D:\CBP_2026.07.21\i#3\full\full#44, 101_43, 101_result\d#70\v#20\7\ping_collision_summary.csv</t>
  </si>
  <si>
    <t>D:\CBP_2026.07.21\i#3\full\full#44, 101_43, 101_result\d#70\v#20\8\ping_collision_summary.csv</t>
  </si>
  <si>
    <t>D:\CBP_2026.07.21\i#3\full\full#44, 101_43, 101_result\d#70\v#20\9\ping_collision_summary.csv</t>
  </si>
  <si>
    <t>D:\CBP_2026.07.21\i#3\full\full#44, 101_43, 101_result\d#70\v#30\0\ping_collision_summary.csv</t>
  </si>
  <si>
    <t>D:\CBP_2026.07.21\i#3\full\full#44, 101_43, 101_result\d#70\v#30\10\ping_collision_summary.csv</t>
  </si>
  <si>
    <t>D:\CBP_2026.07.21\i#3\full\full#44, 101_43, 101_result\d#70\v#30\11\ping_collision_summary.csv</t>
  </si>
  <si>
    <t>D:\CBP_2026.07.21\i#3\full\full#44, 101_43, 101_result\d#70\v#30\12\ping_collision_summary.csv</t>
  </si>
  <si>
    <t>D:\CBP_2026.07.21\i#3\full\full#44, 101_43, 101_result\d#70\v#30\13\ping_collision_summary.csv</t>
  </si>
  <si>
    <t>D:\CBP_2026.07.21\i#3\full\full#44, 101_43, 101_result\d#70\v#30\14\ping_collision_summary.csv</t>
  </si>
  <si>
    <t>D:\CBP_2026.07.21\i#3\full\full#44, 101_43, 101_result\d#70\v#30\15\ping_collision_summary.csv</t>
  </si>
  <si>
    <t>D:\CBP_2026.07.21\i#3\full\full#44, 101_43, 101_result\d#70\v#30\16\ping_collision_summary.csv</t>
  </si>
  <si>
    <t>D:\CBP_2026.07.21\i#3\full\full#44, 101_43, 101_result\d#70\v#30\17\ping_collision_summary.csv</t>
  </si>
  <si>
    <t>D:\CBP_2026.07.21\i#3\full\full#44, 101_43, 101_result\d#70\v#30\18\ping_collision_summary.csv</t>
  </si>
  <si>
    <t>D:\CBP_2026.07.21\i#3\full\full#44, 101_43, 101_result\d#70\v#30\19\ping_collision_summary.csv</t>
  </si>
  <si>
    <t>D:\CBP_2026.07.21\i#3\full\full#44, 101_43, 101_result\d#70\v#30\1\ping_collision_summary.csv</t>
  </si>
  <si>
    <t>D:\CBP_2026.07.21\i#3\full\full#44, 101_43, 101_result\d#70\v#30\20\ping_collision_summary.csv</t>
  </si>
  <si>
    <t>D:\CBP_2026.07.21\i#3\full\full#44, 101_43, 101_result\d#70\v#30\21\ping_collision_summary.csv</t>
  </si>
  <si>
    <t>D:\CBP_2026.07.21\i#3\full\full#44, 101_43, 101_result\d#70\v#30\22\ping_collision_summary.csv</t>
  </si>
  <si>
    <t>D:\CBP_2026.07.21\i#3\full\full#44, 101_43, 101_result\d#70\v#30\23\ping_collision_summary.csv</t>
  </si>
  <si>
    <t>D:\CBP_2026.07.21\i#3\full\full#44, 101_43, 101_result\d#70\v#30\24\ping_collision_summary.csv</t>
  </si>
  <si>
    <t>D:\CBP_2026.07.21\i#3\full\full#44, 101_43, 101_result\d#70\v#30\25\ping_collision_summary.csv</t>
  </si>
  <si>
    <t>D:\CBP_2026.07.21\i#3\full\full#44, 101_43, 101_result\d#70\v#30\26\ping_collision_summary.csv</t>
  </si>
  <si>
    <t>D:\CBP_2026.07.21\i#3\full\full#44, 101_43, 101_result\d#70\v#30\27\ping_collision_summary.csv</t>
  </si>
  <si>
    <t>D:\CBP_2026.07.21\i#3\full\full#44, 101_43, 101_result\d#70\v#30\28\ping_collision_summary.csv</t>
  </si>
  <si>
    <t>D:\CBP_2026.07.21\i#3\full\full#44, 101_43, 101_result\d#70\v#30\29\ping_collision_summary.csv</t>
  </si>
  <si>
    <t>D:\CBP_2026.07.21\i#3\full\full#44, 101_43, 101_result\d#70\v#30\2\ping_collision_summary.csv</t>
  </si>
  <si>
    <t>D:\CBP_2026.07.21\i#3\full\full#44, 101_43, 101_result\d#70\v#30\30\ping_collision_summary.csv</t>
  </si>
  <si>
    <t>D:\CBP_2026.07.21\i#3\full\full#44, 101_43, 101_result\d#70\v#30\3\ping_collision_summary.csv</t>
  </si>
  <si>
    <t>D:\CBP_2026.07.21\i#3\full\full#44, 101_43, 101_result\d#70\v#30\4\ping_collision_summary.csv</t>
  </si>
  <si>
    <t>D:\CBP_2026.07.21\i#3\full\full#44, 101_43, 101_result\d#70\v#30\5\ping_collision_summary.csv</t>
  </si>
  <si>
    <t>D:\CBP_2026.07.21\i#3\full\full#44, 101_43, 101_result\d#70\v#30\6\ping_collision_summary.csv</t>
  </si>
  <si>
    <t>D:\CBP_2026.07.21\i#3\full\full#44, 101_43, 101_result\d#70\v#30\7\ping_collision_summary.csv</t>
  </si>
  <si>
    <t>D:\CBP_2026.07.21\i#3\full\full#44, 101_43, 101_result\d#70\v#30\8\ping_collision_summary.csv</t>
  </si>
  <si>
    <t>D:\CBP_2026.07.21\i#3\full\full#44, 101_43, 101_result\d#70\v#30\9\ping_collision_summary.csv</t>
  </si>
  <si>
    <t>D:\CBP_2026.07.21\i#3\r#legacy\d#100\v#10\0\ping_collision_summary.csv</t>
  </si>
  <si>
    <t>D:\CBP_2026.07.21\i#3\r#legacy\d#100\v#10\10\ping_collision_summary.csv</t>
  </si>
  <si>
    <t>D:\CBP_2026.07.21\i#3\r#legacy\d#100\v#10\11\ping_collision_summary.csv</t>
  </si>
  <si>
    <t>D:\CBP_2026.07.21\i#3\r#legacy\d#100\v#10\12\ping_collision_summary.csv</t>
  </si>
  <si>
    <t>D:\CBP_2026.07.21\i#3\r#legacy\d#100\v#10\13\ping_collision_summary.csv</t>
  </si>
  <si>
    <t>D:\CBP_2026.07.21\i#3\r#legacy\d#100\v#10\14\ping_collision_summary.csv</t>
  </si>
  <si>
    <t>D:\CBP_2026.07.21\i#3\r#legacy\d#100\v#10\15\ping_collision_summary.csv</t>
  </si>
  <si>
    <t>D:\CBP_2026.07.21\i#3\r#legacy\d#100\v#10\16\ping_collision_summary.csv</t>
  </si>
  <si>
    <t>D:\CBP_2026.07.21\i#3\r#legacy\d#100\v#10\17\ping_collision_summary.csv</t>
  </si>
  <si>
    <t>D:\CBP_2026.07.21\i#3\r#legacy\d#100\v#10\18\ping_collision_summary.csv</t>
  </si>
  <si>
    <t>D:\CBP_2026.07.21\i#3\r#legacy\d#100\v#10\19\ping_collision_summary.csv</t>
  </si>
  <si>
    <t>D:\CBP_2026.07.21\i#3\r#legacy\d#100\v#10\1\ping_collision_summary.csv</t>
  </si>
  <si>
    <t>D:\CBP_2026.07.21\i#3\r#legacy\d#100\v#10\20\ping_collision_summary.csv</t>
  </si>
  <si>
    <t>D:\CBP_2026.07.21\i#3\r#legacy\d#100\v#10\21\ping_collision_summary.csv</t>
  </si>
  <si>
    <t>D:\CBP_2026.07.21\i#3\r#legacy\d#100\v#10\22\ping_collision_summary.csv</t>
  </si>
  <si>
    <t>D:\CBP_2026.07.21\i#3\r#legacy\d#100\v#10\23\ping_collision_summary.csv</t>
  </si>
  <si>
    <t>D:\CBP_2026.07.21\i#3\r#legacy\d#100\v#10\24\ping_collision_summary.csv</t>
  </si>
  <si>
    <t>D:\CBP_2026.07.21\i#3\r#legacy\d#100\v#10\25\ping_collision_summary.csv</t>
  </si>
  <si>
    <t>D:\CBP_2026.07.21\i#3\r#legacy\d#100\v#10\26\ping_collision_summary.csv</t>
  </si>
  <si>
    <t>D:\CBP_2026.07.21\i#3\r#legacy\d#100\v#10\27\ping_collision_summary.csv</t>
  </si>
  <si>
    <t>D:\CBP_2026.07.21\i#3\r#legacy\d#100\v#10\28\ping_collision_summary.csv</t>
  </si>
  <si>
    <t>D:\CBP_2026.07.21\i#3\r#legacy\d#100\v#10\29\ping_collision_summary.csv</t>
  </si>
  <si>
    <t>D:\CBP_2026.07.21\i#3\r#legacy\d#100\v#10\2\ping_collision_summary.csv</t>
  </si>
  <si>
    <t>D:\CBP_2026.07.21\i#3\r#legacy\d#100\v#10\30\ping_collision_summary.csv</t>
  </si>
  <si>
    <t>D:\CBP_2026.07.21\i#3\r#legacy\d#100\v#10\3\ping_collision_summary.csv</t>
  </si>
  <si>
    <t>D:\CBP_2026.07.21\i#3\r#legacy\d#100\v#10\4\ping_collision_summary.csv</t>
  </si>
  <si>
    <t>D:\CBP_2026.07.21\i#3\r#legacy\d#100\v#10\5\ping_collision_summary.csv</t>
  </si>
  <si>
    <t>D:\CBP_2026.07.21\i#3\r#legacy\d#100\v#10\6\ping_collision_summary.csv</t>
  </si>
  <si>
    <t>D:\CBP_2026.07.21\i#3\r#legacy\d#100\v#10\7\ping_collision_summary.csv</t>
  </si>
  <si>
    <t>D:\CBP_2026.07.21\i#3\r#legacy\d#100\v#10\8\ping_collision_summary.csv</t>
  </si>
  <si>
    <t>D:\CBP_2026.07.21\i#3\r#legacy\d#100\v#10\9\ping_collision_summary.csv</t>
  </si>
  <si>
    <t>D:\CBP_2026.07.21\i#3\r#legacy\d#100\v#20\0\ping_collision_summary.csv</t>
  </si>
  <si>
    <t>D:\CBP_2026.07.21\i#3\r#legacy\d#100\v#20\10\ping_collision_summary.csv</t>
  </si>
  <si>
    <t>D:\CBP_2026.07.21\i#3\r#legacy\d#100\v#20\11\ping_collision_summary.csv</t>
  </si>
  <si>
    <t>D:\CBP_2026.07.21\i#3\r#legacy\d#100\v#20\12\ping_collision_summary.csv</t>
  </si>
  <si>
    <t>D:\CBP_2026.07.21\i#3\r#legacy\d#100\v#20\13\ping_collision_summary.csv</t>
  </si>
  <si>
    <t>D:\CBP_2026.07.21\i#3\r#legacy\d#100\v#20\14\ping_collision_summary.csv</t>
  </si>
  <si>
    <t>D:\CBP_2026.07.21\i#3\r#legacy\d#100\v#20\15\ping_collision_summary.csv</t>
  </si>
  <si>
    <t>D:\CBP_2026.07.21\i#3\r#legacy\d#100\v#20\16\ping_collision_summary.csv</t>
  </si>
  <si>
    <t>D:\CBP_2026.07.21\i#3\r#legacy\d#100\v#20\17\ping_collision_summary.csv</t>
  </si>
  <si>
    <t>D:\CBP_2026.07.21\i#3\r#legacy\d#100\v#20\18\ping_collision_summary.csv</t>
  </si>
  <si>
    <t>D:\CBP_2026.07.21\i#3\r#legacy\d#100\v#20\19\ping_collision_summary.csv</t>
  </si>
  <si>
    <t>D:\CBP_2026.07.21\i#3\r#legacy\d#100\v#20\1\ping_collision_summary.csv</t>
  </si>
  <si>
    <t>D:\CBP_2026.07.21\i#3\r#legacy\d#100\v#20\20\ping_collision_summary.csv</t>
  </si>
  <si>
    <t>D:\CBP_2026.07.21\i#3\r#legacy\d#100\v#20\21\ping_collision_summary.csv</t>
  </si>
  <si>
    <t>D:\CBP_2026.07.21\i#3\r#legacy\d#100\v#20\22\ping_collision_summary.csv</t>
  </si>
  <si>
    <t>D:\CBP_2026.07.21\i#3\r#legacy\d#100\v#20\23\ping_collision_summary.csv</t>
  </si>
  <si>
    <t>D:\CBP_2026.07.21\i#3\r#legacy\d#100\v#20\24\ping_collision_summary.csv</t>
  </si>
  <si>
    <t>D:\CBP_2026.07.21\i#3\r#legacy\d#100\v#20\25\ping_collision_summary.csv</t>
  </si>
  <si>
    <t>D:\CBP_2026.07.21\i#3\r#legacy\d#100\v#20\26\ping_collision_summary.csv</t>
  </si>
  <si>
    <t>D:\CBP_2026.07.21\i#3\r#legacy\d#100\v#20\27\ping_collision_summary.csv</t>
  </si>
  <si>
    <t>D:\CBP_2026.07.21\i#3\r#legacy\d#100\v#20\28\ping_collision_summary.csv</t>
  </si>
  <si>
    <t>D:\CBP_2026.07.21\i#3\r#legacy\d#100\v#20\29\ping_collision_summary.csv</t>
  </si>
  <si>
    <t>D:\CBP_2026.07.21\i#3\r#legacy\d#100\v#20\2\ping_collision_summary.csv</t>
  </si>
  <si>
    <t>D:\CBP_2026.07.21\i#3\r#legacy\d#100\v#20\30\ping_collision_summary.csv</t>
  </si>
  <si>
    <t>D:\CBP_2026.07.21\i#3\r#legacy\d#100\v#20\3\ping_collision_summary.csv</t>
  </si>
  <si>
    <t>D:\CBP_2026.07.21\i#3\r#legacy\d#100\v#20\4\ping_collision_summary.csv</t>
  </si>
  <si>
    <t>D:\CBP_2026.07.21\i#3\r#legacy\d#100\v#20\5\ping_collision_summary.csv</t>
  </si>
  <si>
    <t>D:\CBP_2026.07.21\i#3\r#legacy\d#100\v#20\6\ping_collision_summary.csv</t>
  </si>
  <si>
    <t>D:\CBP_2026.07.21\i#3\r#legacy\d#100\v#20\7\ping_collision_summary.csv</t>
  </si>
  <si>
    <t>D:\CBP_2026.07.21\i#3\r#legacy\d#100\v#20\8\ping_collision_summary.csv</t>
  </si>
  <si>
    <t>D:\CBP_2026.07.21\i#3\r#legacy\d#100\v#20\9\ping_collision_summary.csv</t>
  </si>
  <si>
    <t>D:\CBP_2026.07.21\i#3\r#legacy\d#100\v#30\0\ping_collision_summary.csv</t>
  </si>
  <si>
    <t>D:\CBP_2026.07.21\i#3\r#legacy\d#100\v#30\10\ping_collision_summary.csv</t>
  </si>
  <si>
    <t>D:\CBP_2026.07.21\i#3\r#legacy\d#100\v#30\11\ping_collision_summary.csv</t>
  </si>
  <si>
    <t>D:\CBP_2026.07.21\i#3\r#legacy\d#100\v#30\12\ping_collision_summary.csv</t>
  </si>
  <si>
    <t>D:\CBP_2026.07.21\i#3\r#legacy\d#100\v#30\13\ping_collision_summary.csv</t>
  </si>
  <si>
    <t>D:\CBP_2026.07.21\i#3\r#legacy\d#100\v#30\14\ping_collision_summary.csv</t>
  </si>
  <si>
    <t>D:\CBP_2026.07.21\i#3\r#legacy\d#100\v#30\15\ping_collision_summary.csv</t>
  </si>
  <si>
    <t>D:\CBP_2026.07.21\i#3\r#legacy\d#100\v#30\16\ping_collision_summary.csv</t>
  </si>
  <si>
    <t>D:\CBP_2026.07.21\i#3\r#legacy\d#100\v#30\17\ping_collision_summary.csv</t>
  </si>
  <si>
    <t>D:\CBP_2026.07.21\i#3\r#legacy\d#100\v#30\18\ping_collision_summary.csv</t>
  </si>
  <si>
    <t>D:\CBP_2026.07.21\i#3\r#legacy\d#100\v#30\19\ping_collision_summary.csv</t>
  </si>
  <si>
    <t>D:\CBP_2026.07.21\i#3\r#legacy\d#100\v#30\1\ping_collision_summary.csv</t>
  </si>
  <si>
    <t>D:\CBP_2026.07.21\i#3\r#legacy\d#100\v#30\20\ping_collision_summary.csv</t>
  </si>
  <si>
    <t>D:\CBP_2026.07.21\i#3\r#legacy\d#100\v#30\21\ping_collision_summary.csv</t>
  </si>
  <si>
    <t>D:\CBP_2026.07.21\i#3\r#legacy\d#100\v#30\22\ping_collision_summary.csv</t>
  </si>
  <si>
    <t>D:\CBP_2026.07.21\i#3\r#legacy\d#100\v#30\23\ping_collision_summary.csv</t>
  </si>
  <si>
    <t>D:\CBP_2026.07.21\i#3\r#legacy\d#100\v#30\24\ping_collision_summary.csv</t>
  </si>
  <si>
    <t>D:\CBP_2026.07.21\i#3\r#legacy\d#100\v#30\25\ping_collision_summary.csv</t>
  </si>
  <si>
    <t>D:\CBP_2026.07.21\i#3\r#legacy\d#100\v#30\26\ping_collision_summary.csv</t>
  </si>
  <si>
    <t>D:\CBP_2026.07.21\i#3\r#legacy\d#100\v#30\27\ping_collision_summary.csv</t>
  </si>
  <si>
    <t>D:\CBP_2026.07.21\i#3\r#legacy\d#100\v#30\28\ping_collision_summary.csv</t>
  </si>
  <si>
    <t>D:\CBP_2026.07.21\i#3\r#legacy\d#100\v#30\29\ping_collision_summary.csv</t>
  </si>
  <si>
    <t>D:\CBP_2026.07.21\i#3\r#legacy\d#100\v#30\2\ping_collision_summary.csv</t>
  </si>
  <si>
    <t>D:\CBP_2026.07.21\i#3\r#legacy\d#100\v#30\30\ping_collision_summary.csv</t>
  </si>
  <si>
    <t>D:\CBP_2026.07.21\i#3\r#legacy\d#100\v#30\3\ping_collision_summary.csv</t>
  </si>
  <si>
    <t>D:\CBP_2026.07.21\i#3\r#legacy\d#100\v#30\4\ping_collision_summary.csv</t>
  </si>
  <si>
    <t>D:\CBP_2026.07.21\i#3\r#legacy\d#100\v#30\5\ping_collision_summary.csv</t>
  </si>
  <si>
    <t>D:\CBP_2026.07.21\i#3\r#legacy\d#100\v#30\6\ping_collision_summary.csv</t>
  </si>
  <si>
    <t>D:\CBP_2026.07.21\i#3\r#legacy\d#100\v#30\7\ping_collision_summary.csv</t>
  </si>
  <si>
    <t>D:\CBP_2026.07.21\i#3\r#legacy\d#100\v#30\8\ping_collision_summary.csv</t>
  </si>
  <si>
    <t>D:\CBP_2026.07.21\i#3\r#legacy\d#100\v#30\9\ping_collision_summary.csv</t>
  </si>
  <si>
    <t>D:\CBP_2026.07.21\i#3\r#legacy\d#120\v#10\0\ping_collision_summary.csv</t>
  </si>
  <si>
    <t>D:\CBP_2026.07.21\i#3\r#legacy\d#120\v#10\10\ping_collision_summary.csv</t>
  </si>
  <si>
    <t>D:\CBP_2026.07.21\i#3\r#legacy\d#120\v#10\11\ping_collision_summary.csv</t>
  </si>
  <si>
    <t>D:\CBP_2026.07.21\i#3\r#legacy\d#120\v#10\12\ping_collision_summary.csv</t>
  </si>
  <si>
    <t>D:\CBP_2026.07.21\i#3\r#legacy\d#120\v#10\13\ping_collision_summary.csv</t>
  </si>
  <si>
    <t>D:\CBP_2026.07.21\i#3\r#legacy\d#120\v#10\14\ping_collision_summary.csv</t>
  </si>
  <si>
    <t>D:\CBP_2026.07.21\i#3\r#legacy\d#120\v#10\15\ping_collision_summary.csv</t>
  </si>
  <si>
    <t>D:\CBP_2026.07.21\i#3\r#legacy\d#120\v#10\16\ping_collision_summary.csv</t>
  </si>
  <si>
    <t>D:\CBP_2026.07.21\i#3\r#legacy\d#120\v#10\17\ping_collision_summary.csv</t>
  </si>
  <si>
    <t>D:\CBP_2026.07.21\i#3\r#legacy\d#120\v#10\18\ping_collision_summary.csv</t>
  </si>
  <si>
    <t>D:\CBP_2026.07.21\i#3\r#legacy\d#120\v#10\19\ping_collision_summary.csv</t>
  </si>
  <si>
    <t>D:\CBP_2026.07.21\i#3\r#legacy\d#120\v#10\1\ping_collision_summary.csv</t>
  </si>
  <si>
    <t>D:\CBP_2026.07.21\i#3\r#legacy\d#120\v#10\20\ping_collision_summary.csv</t>
  </si>
  <si>
    <t>D:\CBP_2026.07.21\i#3\r#legacy\d#120\v#10\21\ping_collision_summary.csv</t>
  </si>
  <si>
    <t>D:\CBP_2026.07.21\i#3\r#legacy\d#120\v#10\22\ping_collision_summary.csv</t>
  </si>
  <si>
    <t>D:\CBP_2026.07.21\i#3\r#legacy\d#120\v#10\23\ping_collision_summary.csv</t>
  </si>
  <si>
    <t>D:\CBP_2026.07.21\i#3\r#legacy\d#120\v#10\24\ping_collision_summary.csv</t>
  </si>
  <si>
    <t>D:\CBP_2026.07.21\i#3\r#legacy\d#120\v#10\25\ping_collision_summary.csv</t>
  </si>
  <si>
    <t>D:\CBP_2026.07.21\i#3\r#legacy\d#120\v#10\26\ping_collision_summary.csv</t>
  </si>
  <si>
    <t>D:\CBP_2026.07.21\i#3\r#legacy\d#120\v#10\27\ping_collision_summary.csv</t>
  </si>
  <si>
    <t>D:\CBP_2026.07.21\i#3\r#legacy\d#120\v#10\28\ping_collision_summary.csv</t>
  </si>
  <si>
    <t>D:\CBP_2026.07.21\i#3\r#legacy\d#120\v#10\29\ping_collision_summary.csv</t>
  </si>
  <si>
    <t>D:\CBP_2026.07.21\i#3\r#legacy\d#120\v#10\2\ping_collision_summary.csv</t>
  </si>
  <si>
    <t>D:\CBP_2026.07.21\i#3\r#legacy\d#120\v#10\30\ping_collision_summary.csv</t>
  </si>
  <si>
    <t>D:\CBP_2026.07.21\i#3\r#legacy\d#120\v#10\3\ping_collision_summary.csv</t>
  </si>
  <si>
    <t>D:\CBP_2026.07.21\i#3\r#legacy\d#120\v#10\4\ping_collision_summary.csv</t>
  </si>
  <si>
    <t>D:\CBP_2026.07.21\i#3\r#legacy\d#120\v#10\5\ping_collision_summary.csv</t>
  </si>
  <si>
    <t>D:\CBP_2026.07.21\i#3\r#legacy\d#120\v#10\6\ping_collision_summary.csv</t>
  </si>
  <si>
    <t>D:\CBP_2026.07.21\i#3\r#legacy\d#120\v#10\7\ping_collision_summary.csv</t>
  </si>
  <si>
    <t>D:\CBP_2026.07.21\i#3\r#legacy\d#120\v#10\8\ping_collision_summary.csv</t>
  </si>
  <si>
    <t>D:\CBP_2026.07.21\i#3\r#legacy\d#120\v#10\9\ping_collision_summary.csv</t>
  </si>
  <si>
    <t>D:\CBP_2026.07.21\i#3\r#legacy\d#120\v#20\0\ping_collision_summary.csv</t>
  </si>
  <si>
    <t>D:\CBP_2026.07.21\i#3\r#legacy\d#120\v#20\10\ping_collision_summary.csv</t>
  </si>
  <si>
    <t>D:\CBP_2026.07.21\i#3\r#legacy\d#120\v#20\11\ping_collision_summary.csv</t>
  </si>
  <si>
    <t>D:\CBP_2026.07.21\i#3\r#legacy\d#120\v#20\12\ping_collision_summary.csv</t>
  </si>
  <si>
    <t>D:\CBP_2026.07.21\i#3\r#legacy\d#120\v#20\13\ping_collision_summary.csv</t>
  </si>
  <si>
    <t>D:\CBP_2026.07.21\i#3\r#legacy\d#120\v#20\14\ping_collision_summary.csv</t>
  </si>
  <si>
    <t>D:\CBP_2026.07.21\i#3\r#legacy\d#120\v#20\15\ping_collision_summary.csv</t>
  </si>
  <si>
    <t>D:\CBP_2026.07.21\i#3\r#legacy\d#120\v#20\16\ping_collision_summary.csv</t>
  </si>
  <si>
    <t>D:\CBP_2026.07.21\i#3\r#legacy\d#120\v#20\18\ping_collision_summary.csv</t>
  </si>
  <si>
    <t>D:\CBP_2026.07.21\i#3\r#legacy\d#120\v#20\19\ping_collision_summary.csv</t>
  </si>
  <si>
    <t>D:\CBP_2026.07.21\i#3\r#legacy\d#120\v#20\1\ping_collision_summary.csv</t>
  </si>
  <si>
    <t>D:\CBP_2026.07.21\i#3\r#legacy\d#120\v#20\20\ping_collision_summary.csv</t>
  </si>
  <si>
    <t>D:\CBP_2026.07.21\i#3\r#legacy\d#120\v#20\21\ping_collision_summary.csv</t>
  </si>
  <si>
    <t>D:\CBP_2026.07.21\i#3\r#legacy\d#120\v#20\22\ping_collision_summary.csv</t>
  </si>
  <si>
    <t>D:\CBP_2026.07.21\i#3\r#legacy\d#120\v#20\23\ping_collision_summary.csv</t>
  </si>
  <si>
    <t>D:\CBP_2026.07.21\i#3\r#legacy\d#120\v#20\24\ping_collision_summary.csv</t>
  </si>
  <si>
    <t>D:\CBP_2026.07.21\i#3\r#legacy\d#120\v#20\25\ping_collision_summary.csv</t>
  </si>
  <si>
    <t>D:\CBP_2026.07.21\i#3\r#legacy\d#120\v#20\26\ping_collision_summary.csv</t>
  </si>
  <si>
    <t>D:\CBP_2026.07.21\i#3\r#legacy\d#120\v#20\27\ping_collision_summary.csv</t>
  </si>
  <si>
    <t>D:\CBP_2026.07.21\i#3\r#legacy\d#120\v#20\28\ping_collision_summary.csv</t>
  </si>
  <si>
    <t>D:\CBP_2026.07.21\i#3\r#legacy\d#120\v#20\29\ping_collision_summary.csv</t>
  </si>
  <si>
    <t>D:\CBP_2026.07.21\i#3\r#legacy\d#120\v#20\2\ping_collision_summary.csv</t>
  </si>
  <si>
    <t>D:\CBP_2026.07.21\i#3\r#legacy\d#120\v#20\30\ping_collision_summary.csv</t>
  </si>
  <si>
    <t>D:\CBP_2026.07.21\i#3\r#legacy\d#120\v#20\3\ping_collision_summary.csv</t>
  </si>
  <si>
    <t>D:\CBP_2026.07.21\i#3\r#legacy\d#120\v#20\4\ping_collision_summary.csv</t>
  </si>
  <si>
    <t>D:\CBP_2026.07.21\i#3\r#legacy\d#120\v#20\5\ping_collision_summary.csv</t>
  </si>
  <si>
    <t>D:\CBP_2026.07.21\i#3\r#legacy\d#120\v#20\6\ping_collision_summary.csv</t>
  </si>
  <si>
    <t>D:\CBP_2026.07.21\i#3\r#legacy\d#120\v#20\7\ping_collision_summary.csv</t>
  </si>
  <si>
    <t>D:\CBP_2026.07.21\i#3\r#legacy\d#120\v#20\8\ping_collision_summary.csv</t>
  </si>
  <si>
    <t>D:\CBP_2026.07.21\i#3\r#legacy\d#120\v#20\9\ping_collision_summary.csv</t>
  </si>
  <si>
    <t>D:\CBP_2026.07.21\i#3\r#legacy\d#120\v#30\0\ping_collision_summary.csv</t>
  </si>
  <si>
    <t>D:\CBP_2026.07.21\i#3\r#legacy\d#120\v#30\10\ping_collision_summary.csv</t>
  </si>
  <si>
    <t>D:\CBP_2026.07.21\i#3\r#legacy\d#120\v#30\11\ping_collision_summary.csv</t>
  </si>
  <si>
    <t>D:\CBP_2026.07.21\i#3\r#legacy\d#120\v#30\12\ping_collision_summary.csv</t>
  </si>
  <si>
    <t>D:\CBP_2026.07.21\i#3\r#legacy\d#120\v#30\13\ping_collision_summary.csv</t>
  </si>
  <si>
    <t>D:\CBP_2026.07.21\i#3\r#legacy\d#120\v#30\14\ping_collision_summary.csv</t>
  </si>
  <si>
    <t>D:\CBP_2026.07.21\i#3\r#legacy\d#120\v#30\15\ping_collision_summary.csv</t>
  </si>
  <si>
    <t>D:\CBP_2026.07.21\i#3\r#legacy\d#120\v#30\16\ping_collision_summary.csv</t>
  </si>
  <si>
    <t>D:\CBP_2026.07.21\i#3\r#legacy\d#120\v#30\17\ping_collision_summary.csv</t>
  </si>
  <si>
    <t>D:\CBP_2026.07.21\i#3\r#legacy\d#120\v#30\18\ping_collision_summary.csv</t>
  </si>
  <si>
    <t>D:\CBP_2026.07.21\i#3\r#legacy\d#120\v#30\19\ping_collision_summary.csv</t>
  </si>
  <si>
    <t>D:\CBP_2026.07.21\i#3\r#legacy\d#120\v#30\1\ping_collision_summary.csv</t>
  </si>
  <si>
    <t>D:\CBP_2026.07.21\i#3\r#legacy\d#120\v#30\20\ping_collision_summary.csv</t>
  </si>
  <si>
    <t>D:\CBP_2026.07.21\i#3\r#legacy\d#120\v#30\21\ping_collision_summary.csv</t>
  </si>
  <si>
    <t>D:\CBP_2026.07.21\i#3\r#legacy\d#120\v#30\22\ping_collision_summary.csv</t>
  </si>
  <si>
    <t>D:\CBP_2026.07.21\i#3\r#legacy\d#120\v#30\23\ping_collision_summary.csv</t>
  </si>
  <si>
    <t>D:\CBP_2026.07.21\i#3\r#legacy\d#120\v#30\24\ping_collision_summary.csv</t>
  </si>
  <si>
    <t>D:\CBP_2026.07.21\i#3\r#legacy\d#120\v#30\25\ping_collision_summary.csv</t>
  </si>
  <si>
    <t>D:\CBP_2026.07.21\i#3\r#legacy\d#120\v#30\26\ping_collision_summary.csv</t>
  </si>
  <si>
    <t>D:\CBP_2026.07.21\i#3\r#legacy\d#120\v#30\27\ping_collision_summary.csv</t>
  </si>
  <si>
    <t>D:\CBP_2026.07.21\i#3\r#legacy\d#120\v#30\28\ping_collision_summary.csv</t>
  </si>
  <si>
    <t>D:\CBP_2026.07.21\i#3\r#legacy\d#120\v#30\29\ping_collision_summary.csv</t>
  </si>
  <si>
    <t>D:\CBP_2026.07.21\i#3\r#legacy\d#120\v#30\2\ping_collision_summary.csv</t>
  </si>
  <si>
    <t>D:\CBP_2026.07.21\i#3\r#legacy\d#120\v#30\30\ping_collision_summary.csv</t>
  </si>
  <si>
    <t>D:\CBP_2026.07.21\i#3\r#legacy\d#120\v#30\3\ping_collision_summary.csv</t>
  </si>
  <si>
    <t>D:\CBP_2026.07.21\i#3\r#legacy\d#120\v#30\4\ping_collision_summary.csv</t>
  </si>
  <si>
    <t>D:\CBP_2026.07.21\i#3\r#legacy\d#120\v#30\5\ping_collision_summary.csv</t>
  </si>
  <si>
    <t>D:\CBP_2026.07.21\i#3\r#legacy\d#120\v#30\6\ping_collision_summary.csv</t>
  </si>
  <si>
    <t>D:\CBP_2026.07.21\i#3\r#legacy\d#120\v#30\7\ping_collision_summary.csv</t>
  </si>
  <si>
    <t>D:\CBP_2026.07.21\i#3\r#legacy\d#120\v#30\8\ping_collision_summary.csv</t>
  </si>
  <si>
    <t>D:\CBP_2026.07.21\i#3\r#legacy\d#120\v#30\9\ping_collision_summary.csv</t>
  </si>
  <si>
    <t>D:\CBP_2026.07.21\i#3\r#legacy\d#70\v#10\0\ping_collision_summary.csv</t>
  </si>
  <si>
    <t>D:\CBP_2026.07.21\i#3\r#legacy\d#70\v#10\10\ping_collision_summary.csv</t>
  </si>
  <si>
    <t>D:\CBP_2026.07.21\i#3\r#legacy\d#70\v#10\11\ping_collision_summary.csv</t>
  </si>
  <si>
    <t>D:\CBP_2026.07.21\i#3\r#legacy\d#70\v#10\12\ping_collision_summary.csv</t>
  </si>
  <si>
    <t>D:\CBP_2026.07.21\i#3\r#legacy\d#70\v#10\13\ping_collision_summary.csv</t>
  </si>
  <si>
    <t>D:\CBP_2026.07.21\i#3\r#legacy\d#70\v#10\14\ping_collision_summary.csv</t>
  </si>
  <si>
    <t>D:\CBP_2026.07.21\i#3\r#legacy\d#70\v#10\15\ping_collision_summary.csv</t>
  </si>
  <si>
    <t>D:\CBP_2026.07.21\i#3\r#legacy\d#70\v#10\16\ping_collision_summary.csv</t>
  </si>
  <si>
    <t>D:\CBP_2026.07.21\i#3\r#legacy\d#70\v#10\17\ping_collision_summary.csv</t>
  </si>
  <si>
    <t>D:\CBP_2026.07.21\i#3\r#legacy\d#70\v#10\18\ping_collision_summary.csv</t>
  </si>
  <si>
    <t>D:\CBP_2026.07.21\i#3\r#legacy\d#70\v#10\19\ping_collision_summary.csv</t>
  </si>
  <si>
    <t>D:\CBP_2026.07.21\i#3\r#legacy\d#70\v#10\1\ping_collision_summary.csv</t>
  </si>
  <si>
    <t>D:\CBP_2026.07.21\i#3\r#legacy\d#70\v#10\20\ping_collision_summary.csv</t>
  </si>
  <si>
    <t>D:\CBP_2026.07.21\i#3\r#legacy\d#70\v#10\21\ping_collision_summary.csv</t>
  </si>
  <si>
    <t>D:\CBP_2026.07.21\i#3\r#legacy\d#70\v#10\22\ping_collision_summary.csv</t>
  </si>
  <si>
    <t>D:\CBP_2026.07.21\i#3\r#legacy\d#70\v#10\23\ping_collision_summary.csv</t>
  </si>
  <si>
    <t>D:\CBP_2026.07.21\i#3\r#legacy\d#70\v#10\24\ping_collision_summary.csv</t>
  </si>
  <si>
    <t>D:\CBP_2026.07.21\i#3\r#legacy\d#70\v#10\25\ping_collision_summary.csv</t>
  </si>
  <si>
    <t>D:\CBP_2026.07.21\i#3\r#legacy\d#70\v#10\26\ping_collision_summary.csv</t>
  </si>
  <si>
    <t>D:\CBP_2026.07.21\i#3\r#legacy\d#70\v#10\27\ping_collision_summary.csv</t>
  </si>
  <si>
    <t>D:\CBP_2026.07.21\i#3\r#legacy\d#70\v#10\28\ping_collision_summary.csv</t>
  </si>
  <si>
    <t>D:\CBP_2026.07.21\i#3\r#legacy\d#70\v#10\29\ping_collision_summary.csv</t>
  </si>
  <si>
    <t>D:\CBP_2026.07.21\i#3\r#legacy\d#70\v#10\2\ping_collision_summary.csv</t>
  </si>
  <si>
    <t>D:\CBP_2026.07.21\i#3\r#legacy\d#70\v#10\30\ping_collision_summary.csv</t>
  </si>
  <si>
    <t>D:\CBP_2026.07.21\i#3\r#legacy\d#70\v#10\3\ping_collision_summary.csv</t>
  </si>
  <si>
    <t>D:\CBP_2026.07.21\i#3\r#legacy\d#70\v#10\4\ping_collision_summary.csv</t>
  </si>
  <si>
    <t>D:\CBP_2026.07.21\i#3\r#legacy\d#70\v#10\5\ping_collision_summary.csv</t>
  </si>
  <si>
    <t>D:\CBP_2026.07.21\i#3\r#legacy\d#70\v#10\6\ping_collision_summary.csv</t>
  </si>
  <si>
    <t>D:\CBP_2026.07.21\i#3\r#legacy\d#70\v#10\7\ping_collision_summary.csv</t>
  </si>
  <si>
    <t>D:\CBP_2026.07.21\i#3\r#legacy\d#70\v#10\8\ping_collision_summary.csv</t>
  </si>
  <si>
    <t>D:\CBP_2026.07.21\i#3\r#legacy\d#70\v#10\9\ping_collision_summary.csv</t>
  </si>
  <si>
    <t>D:\CBP_2026.07.21\i#3\r#legacy\d#70\v#20\0\ping_collision_summary.csv</t>
  </si>
  <si>
    <t>D:\CBP_2026.07.21\i#3\r#legacy\d#70\v#20\10\ping_collision_summary.csv</t>
  </si>
  <si>
    <t>D:\CBP_2026.07.21\i#3\r#legacy\d#70\v#20\11\ping_collision_summary.csv</t>
  </si>
  <si>
    <t>D:\CBP_2026.07.21\i#3\r#legacy\d#70\v#20\12\ping_collision_summary.csv</t>
  </si>
  <si>
    <t>D:\CBP_2026.07.21\i#3\r#legacy\d#70\v#20\13\ping_collision_summary.csv</t>
  </si>
  <si>
    <t>D:\CBP_2026.07.21\i#3\r#legacy\d#70\v#20\14\ping_collision_summary.csv</t>
  </si>
  <si>
    <t>D:\CBP_2026.07.21\i#3\r#legacy\d#70\v#20\15\ping_collision_summary.csv</t>
  </si>
  <si>
    <t>D:\CBP_2026.07.21\i#3\r#legacy\d#70\v#20\16\ping_collision_summary.csv</t>
  </si>
  <si>
    <t>D:\CBP_2026.07.21\i#3\r#legacy\d#70\v#20\17\ping_collision_summary.csv</t>
  </si>
  <si>
    <t>D:\CBP_2026.07.21\i#3\r#legacy\d#70\v#20\18\ping_collision_summary.csv</t>
  </si>
  <si>
    <t>D:\CBP_2026.07.21\i#3\r#legacy\d#70\v#20\19\ping_collision_summary.csv</t>
  </si>
  <si>
    <t>D:\CBP_2026.07.21\i#3\r#legacy\d#70\v#20\1\ping_collision_summary.csv</t>
  </si>
  <si>
    <t>D:\CBP_2026.07.21\i#3\r#legacy\d#70\v#20\20\ping_collision_summary.csv</t>
  </si>
  <si>
    <t>D:\CBP_2026.07.21\i#3\r#legacy\d#70\v#20\21\ping_collision_summary.csv</t>
  </si>
  <si>
    <t>D:\CBP_2026.07.21\i#3\r#legacy\d#70\v#20\22\ping_collision_summary.csv</t>
  </si>
  <si>
    <t>D:\CBP_2026.07.21\i#3\r#legacy\d#70\v#20\23\ping_collision_summary.csv</t>
  </si>
  <si>
    <t>D:\CBP_2026.07.21\i#3\r#legacy\d#70\v#20\24\ping_collision_summary.csv</t>
  </si>
  <si>
    <t>D:\CBP_2026.07.21\i#3\r#legacy\d#70\v#20\25\ping_collision_summary.csv</t>
  </si>
  <si>
    <t>D:\CBP_2026.07.21\i#3\r#legacy\d#70\v#20\26\ping_collision_summary.csv</t>
  </si>
  <si>
    <t>D:\CBP_2026.07.21\i#3\r#legacy\d#70\v#20\27\ping_collision_summary.csv</t>
  </si>
  <si>
    <t>D:\CBP_2026.07.21\i#3\r#legacy\d#70\v#20\28\ping_collision_summary.csv</t>
  </si>
  <si>
    <t>D:\CBP_2026.07.21\i#3\r#legacy\d#70\v#20\29\ping_collision_summary.csv</t>
  </si>
  <si>
    <t>D:\CBP_2026.07.21\i#3\r#legacy\d#70\v#20\2\ping_collision_summary.csv</t>
  </si>
  <si>
    <t>D:\CBP_2026.07.21\i#3\r#legacy\d#70\v#20\30\ping_collision_summary.csv</t>
  </si>
  <si>
    <t>D:\CBP_2026.07.21\i#3\r#legacy\d#70\v#20\3\ping_collision_summary.csv</t>
  </si>
  <si>
    <t>D:\CBP_2026.07.21\i#3\r#legacy\d#70\v#20\4\ping_collision_summary.csv</t>
  </si>
  <si>
    <t>D:\CBP_2026.07.21\i#3\r#legacy\d#70\v#20\5\ping_collision_summary.csv</t>
  </si>
  <si>
    <t>D:\CBP_2026.07.21\i#3\r#legacy\d#70\v#20\6\ping_collision_summary.csv</t>
  </si>
  <si>
    <t>D:\CBP_2026.07.21\i#3\r#legacy\d#70\v#20\7\ping_collision_summary.csv</t>
  </si>
  <si>
    <t>D:\CBP_2026.07.21\i#3\r#legacy\d#70\v#20\8\ping_collision_summary.csv</t>
  </si>
  <si>
    <t>D:\CBP_2026.07.21\i#3\r#legacy\d#70\v#20\9\ping_collision_summary.csv</t>
  </si>
  <si>
    <t>D:\CBP_2026.07.21\i#3\r#legacy\d#70\v#30\0\ping_collision_summary.csv</t>
  </si>
  <si>
    <t>D:\CBP_2026.07.21\i#3\r#legacy\d#70\v#30\10\ping_collision_summary.csv</t>
  </si>
  <si>
    <t>D:\CBP_2026.07.21\i#3\r#legacy\d#70\v#30\11\ping_collision_summary.csv</t>
  </si>
  <si>
    <t>D:\CBP_2026.07.21\i#3\r#legacy\d#70\v#30\12\ping_collision_summary.csv</t>
  </si>
  <si>
    <t>D:\CBP_2026.07.21\i#3\r#legacy\d#70\v#30\13\ping_collision_summary.csv</t>
  </si>
  <si>
    <t>D:\CBP_2026.07.21\i#3\r#legacy\d#70\v#30\14\ping_collision_summary.csv</t>
  </si>
  <si>
    <t>D:\CBP_2026.07.21\i#3\r#legacy\d#70\v#30\15\ping_collision_summary.csv</t>
  </si>
  <si>
    <t>D:\CBP_2026.07.21\i#3\r#legacy\d#70\v#30\16\ping_collision_summary.csv</t>
  </si>
  <si>
    <t>D:\CBP_2026.07.21\i#3\r#legacy\d#70\v#30\17\ping_collision_summary.csv</t>
  </si>
  <si>
    <t>D:\CBP_2026.07.21\i#3\r#legacy\d#70\v#30\18\ping_collision_summary.csv</t>
  </si>
  <si>
    <t>D:\CBP_2026.07.21\i#3\r#legacy\d#70\v#30\19\ping_collision_summary.csv</t>
  </si>
  <si>
    <t>D:\CBP_2026.07.21\i#3\r#legacy\d#70\v#30\1\ping_collision_summary.csv</t>
  </si>
  <si>
    <t>D:\CBP_2026.07.21\i#3\r#legacy\d#70\v#30\20\ping_collision_summary.csv</t>
  </si>
  <si>
    <t>D:\CBP_2026.07.21\i#3\r#legacy\d#70\v#30\21\ping_collision_summary.csv</t>
  </si>
  <si>
    <t>D:\CBP_2026.07.21\i#3\r#legacy\d#70\v#30\22\ping_collision_summary.csv</t>
  </si>
  <si>
    <t>D:\CBP_2026.07.21\i#3\r#legacy\d#70\v#30\23\ping_collision_summary.csv</t>
  </si>
  <si>
    <t>D:\CBP_2026.07.21\i#3\r#legacy\d#70\v#30\24\ping_collision_summary.csv</t>
  </si>
  <si>
    <t>D:\CBP_2026.07.21\i#3\r#legacy\d#70\v#30\25\ping_collision_summary.csv</t>
  </si>
  <si>
    <t>D:\CBP_2026.07.21\i#3\r#legacy\d#70\v#30\26\ping_collision_summary.csv</t>
  </si>
  <si>
    <t>D:\CBP_2026.07.21\i#3\r#legacy\d#70\v#30\27\ping_collision_summary.csv</t>
  </si>
  <si>
    <t>D:\CBP_2026.07.21\i#3\r#legacy\d#70\v#30\28\ping_collision_summary.csv</t>
  </si>
  <si>
    <t>D:\CBP_2026.07.21\i#3\r#legacy\d#70\v#30\29\ping_collision_summary.csv</t>
  </si>
  <si>
    <t>D:\CBP_2026.07.21\i#3\r#legacy\d#70\v#30\2\ping_collision_summary.csv</t>
  </si>
  <si>
    <t>D:\CBP_2026.07.21\i#3\r#legacy\d#70\v#30\30\ping_collision_summary.csv</t>
  </si>
  <si>
    <t>D:\CBP_2026.07.21\i#3\r#legacy\d#70\v#30\3\ping_collision_summary.csv</t>
  </si>
  <si>
    <t>D:\CBP_2026.07.21\i#3\r#legacy\d#70\v#30\4\ping_collision_summary.csv</t>
  </si>
  <si>
    <t>D:\CBP_2026.07.21\i#3\r#legacy\d#70\v#30\5\ping_collision_summary.csv</t>
  </si>
  <si>
    <t>D:\CBP_2026.07.21\i#3\r#legacy\d#70\v#30\6\ping_collision_summary.csv</t>
  </si>
  <si>
    <t>D:\CBP_2026.07.21\i#3\r#legacy\d#70\v#30\7\ping_collision_summary.csv</t>
  </si>
  <si>
    <t>D:\CBP_2026.07.21\i#3\r#legacy\d#70\v#30\8\ping_collision_summary.csv</t>
  </si>
  <si>
    <t>D:\CBP_2026.07.21\i#3\r#legacy\d#70\v#30\9\ping_collision_summary.csv</t>
  </si>
  <si>
    <t>D:\CBP_2026.07.21\i#3\rrep\rrep#0_21_result\d#100\v#10\0\ping_collision_summary.csv</t>
  </si>
  <si>
    <t>D:\CBP_2026.07.21\i#3\rrep\rrep#0_21_result\d#100\v#10\10\ping_collision_summary.csv</t>
  </si>
  <si>
    <t>D:\CBP_2026.07.21\i#3\rrep\rrep#0_21_result\d#100\v#10\11\ping_collision_summary.csv</t>
  </si>
  <si>
    <t>D:\CBP_2026.07.21\i#3\rrep\rrep#0_21_result\d#100\v#10\12\ping_collision_summary.csv</t>
  </si>
  <si>
    <t>D:\CBP_2026.07.21\i#3\rrep\rrep#0_21_result\d#100\v#10\13\ping_collision_summary.csv</t>
  </si>
  <si>
    <t>D:\CBP_2026.07.21\i#3\rrep\rrep#0_21_result\d#100\v#10\14\ping_collision_summary.csv</t>
  </si>
  <si>
    <t>D:\CBP_2026.07.21\i#3\rrep\rrep#0_21_result\d#100\v#10\15\ping_collision_summary.csv</t>
  </si>
  <si>
    <t>D:\CBP_2026.07.21\i#3\rrep\rrep#0_21_result\d#100\v#10\16\ping_collision_summary.csv</t>
  </si>
  <si>
    <t>D:\CBP_2026.07.21\i#3\rrep\rrep#0_21_result\d#100\v#10\17\ping_collision_summary.csv</t>
  </si>
  <si>
    <t>D:\CBP_2026.07.21\i#3\rrep\rrep#0_21_result\d#100\v#10\18\ping_collision_summary.csv</t>
  </si>
  <si>
    <t>D:\CBP_2026.07.21\i#3\rrep\rrep#0_21_result\d#100\v#10\19\ping_collision_summary.csv</t>
  </si>
  <si>
    <t>D:\CBP_2026.07.21\i#3\rrep\rrep#0_21_result\d#100\v#10\1\ping_collision_summary.csv</t>
  </si>
  <si>
    <t>D:\CBP_2026.07.21\i#3\rrep\rrep#0_21_result\d#100\v#10\20\ping_collision_summary.csv</t>
  </si>
  <si>
    <t>D:\CBP_2026.07.21\i#3\rrep\rrep#0_21_result\d#100\v#10\21\ping_collision_summary.csv</t>
  </si>
  <si>
    <t>D:\CBP_2026.07.21\i#3\rrep\rrep#0_21_result\d#100\v#10\22\ping_collision_summary.csv</t>
  </si>
  <si>
    <t>D:\CBP_2026.07.21\i#3\rrep\rrep#0_21_result\d#100\v#10\23\ping_collision_summary.csv</t>
  </si>
  <si>
    <t>D:\CBP_2026.07.21\i#3\rrep\rrep#0_21_result\d#100\v#10\24\ping_collision_summary.csv</t>
  </si>
  <si>
    <t>D:\CBP_2026.07.21\i#3\rrep\rrep#0_21_result\d#100\v#10\25\ping_collision_summary.csv</t>
  </si>
  <si>
    <t>D:\CBP_2026.07.21\i#3\rrep\rrep#0_21_result\d#100\v#10\26\ping_collision_summary.csv</t>
  </si>
  <si>
    <t>D:\CBP_2026.07.21\i#3\rrep\rrep#0_21_result\d#100\v#10\27\ping_collision_summary.csv</t>
  </si>
  <si>
    <t>D:\CBP_2026.07.21\i#3\rrep\rrep#0_21_result\d#100\v#10\28\ping_collision_summary.csv</t>
  </si>
  <si>
    <t>D:\CBP_2026.07.21\i#3\rrep\rrep#0_21_result\d#100\v#10\29\ping_collision_summary.csv</t>
  </si>
  <si>
    <t>D:\CBP_2026.07.21\i#3\rrep\rrep#0_21_result\d#100\v#10\2\ping_collision_summary.csv</t>
  </si>
  <si>
    <t>D:\CBP_2026.07.21\i#3\rrep\rrep#0_21_result\d#100\v#10\30\ping_collision_summary.csv</t>
  </si>
  <si>
    <t>D:\CBP_2026.07.21\i#3\rrep\rrep#0_21_result\d#100\v#10\3\ping_collision_summary.csv</t>
  </si>
  <si>
    <t>D:\CBP_2026.07.21\i#3\rrep\rrep#0_21_result\d#100\v#10\4\ping_collision_summary.csv</t>
  </si>
  <si>
    <t>D:\CBP_2026.07.21\i#3\rrep\rrep#0_21_result\d#100\v#10\5\ping_collision_summary.csv</t>
  </si>
  <si>
    <t>D:\CBP_2026.07.21\i#3\rrep\rrep#0_21_result\d#100\v#10\6\ping_collision_summary.csv</t>
  </si>
  <si>
    <t>D:\CBP_2026.07.21\i#3\rrep\rrep#0_21_result\d#100\v#10\7\ping_collision_summary.csv</t>
  </si>
  <si>
    <t>D:\CBP_2026.07.21\i#3\rrep\rrep#0_21_result\d#100\v#10\8\ping_collision_summary.csv</t>
  </si>
  <si>
    <t>D:\CBP_2026.07.21\i#3\rrep\rrep#0_21_result\d#100\v#10\9\ping_collision_summary.csv</t>
  </si>
  <si>
    <t>D:\CBP_2026.07.21\i#3\rrep\rrep#0_21_result\d#100\v#20\0\ping_collision_summary.csv</t>
  </si>
  <si>
    <t>D:\CBP_2026.07.21\i#3\rrep\rrep#0_21_result\d#100\v#20\10\ping_collision_summary.csv</t>
  </si>
  <si>
    <t>D:\CBP_2026.07.21\i#3\rrep\rrep#0_21_result\d#100\v#20\11\ping_collision_summary.csv</t>
  </si>
  <si>
    <t>D:\CBP_2026.07.21\i#3\rrep\rrep#0_21_result\d#100\v#20\12\ping_collision_summary.csv</t>
  </si>
  <si>
    <t>D:\CBP_2026.07.21\i#3\rrep\rrep#0_21_result\d#100\v#20\13\ping_collision_summary.csv</t>
  </si>
  <si>
    <t>D:\CBP_2026.07.21\i#3\rrep\rrep#0_21_result\d#100\v#20\14\ping_collision_summary.csv</t>
  </si>
  <si>
    <t>D:\CBP_2026.07.21\i#3\rrep\rrep#0_21_result\d#100\v#20\15\ping_collision_summary.csv</t>
  </si>
  <si>
    <t>D:\CBP_2026.07.21\i#3\rrep\rrep#0_21_result\d#100\v#20\16\ping_collision_summary.csv</t>
  </si>
  <si>
    <t>D:\CBP_2026.07.21\i#3\rrep\rrep#0_21_result\d#100\v#20\17\ping_collision_summary.csv</t>
  </si>
  <si>
    <t>D:\CBP_2026.07.21\i#3\rrep\rrep#0_21_result\d#100\v#20\18\ping_collision_summary.csv</t>
  </si>
  <si>
    <t>D:\CBP_2026.07.21\i#3\rrep\rrep#0_21_result\d#100\v#20\19\ping_collision_summary.csv</t>
  </si>
  <si>
    <t>D:\CBP_2026.07.21\i#3\rrep\rrep#0_21_result\d#100\v#20\1\ping_collision_summary.csv</t>
  </si>
  <si>
    <t>D:\CBP_2026.07.21\i#3\rrep\rrep#0_21_result\d#100\v#20\20\ping_collision_summary.csv</t>
  </si>
  <si>
    <t>D:\CBP_2026.07.21\i#3\rrep\rrep#0_21_result\d#100\v#20\21\ping_collision_summary.csv</t>
  </si>
  <si>
    <t>D:\CBP_2026.07.21\i#3\rrep\rrep#0_21_result\d#100\v#20\22\ping_collision_summary.csv</t>
  </si>
  <si>
    <t>D:\CBP_2026.07.21\i#3\rrep\rrep#0_21_result\d#100\v#20\23\ping_collision_summary.csv</t>
  </si>
  <si>
    <t>D:\CBP_2026.07.21\i#3\rrep\rrep#0_21_result\d#100\v#20\24\ping_collision_summary.csv</t>
  </si>
  <si>
    <t>D:\CBP_2026.07.21\i#3\rrep\rrep#0_21_result\d#100\v#20\25\ping_collision_summary.csv</t>
  </si>
  <si>
    <t>D:\CBP_2026.07.21\i#3\rrep\rrep#0_21_result\d#100\v#20\26\ping_collision_summary.csv</t>
  </si>
  <si>
    <t>D:\CBP_2026.07.21\i#3\rrep\rrep#0_21_result\d#100\v#20\27\ping_collision_summary.csv</t>
  </si>
  <si>
    <t>D:\CBP_2026.07.21\i#3\rrep\rrep#0_21_result\d#100\v#20\28\ping_collision_summary.csv</t>
  </si>
  <si>
    <t>D:\CBP_2026.07.21\i#3\rrep\rrep#0_21_result\d#100\v#20\29\ping_collision_summary.csv</t>
  </si>
  <si>
    <t>D:\CBP_2026.07.21\i#3\rrep\rrep#0_21_result\d#100\v#20\2\ping_collision_summary.csv</t>
  </si>
  <si>
    <t>D:\CBP_2026.07.21\i#3\rrep\rrep#0_21_result\d#100\v#20\30\ping_collision_summary.csv</t>
  </si>
  <si>
    <t>D:\CBP_2026.07.21\i#3\rrep\rrep#0_21_result\d#100\v#20\3\ping_collision_summary.csv</t>
  </si>
  <si>
    <t>D:\CBP_2026.07.21\i#3\rrep\rrep#0_21_result\d#100\v#20\4\ping_collision_summary.csv</t>
  </si>
  <si>
    <t>D:\CBP_2026.07.21\i#3\rrep\rrep#0_21_result\d#100\v#20\5\ping_collision_summary.csv</t>
  </si>
  <si>
    <t>D:\CBP_2026.07.21\i#3\rrep\rrep#0_21_result\d#100\v#20\6\ping_collision_summary.csv</t>
  </si>
  <si>
    <t>D:\CBP_2026.07.21\i#3\rrep\rrep#0_21_result\d#100\v#20\7\ping_collision_summary.csv</t>
  </si>
  <si>
    <t>D:\CBP_2026.07.21\i#3\rrep\rrep#0_21_result\d#100\v#20\8\ping_collision_summary.csv</t>
  </si>
  <si>
    <t>D:\CBP_2026.07.21\i#3\rrep\rrep#0_21_result\d#100\v#20\9\ping_collision_summary.csv</t>
  </si>
  <si>
    <t>D:\CBP_2026.07.21\i#3\rrep\rrep#0_21_result\d#100\v#30\0\ping_collision_summary.csv</t>
  </si>
  <si>
    <t>D:\CBP_2026.07.21\i#3\rrep\rrep#0_21_result\d#100\v#30\10\ping_collision_summary.csv</t>
  </si>
  <si>
    <t>D:\CBP_2026.07.21\i#3\rrep\rrep#0_21_result\d#100\v#30\11\ping_collision_summary.csv</t>
  </si>
  <si>
    <t>D:\CBP_2026.07.21\i#3\rrep\rrep#0_21_result\d#100\v#30\12\ping_collision_summary.csv</t>
  </si>
  <si>
    <t>D:\CBP_2026.07.21\i#3\rrep\rrep#0_21_result\d#100\v#30\13\ping_collision_summary.csv</t>
  </si>
  <si>
    <t>D:\CBP_2026.07.21\i#3\rrep\rrep#0_21_result\d#100\v#30\14\ping_collision_summary.csv</t>
  </si>
  <si>
    <t>D:\CBP_2026.07.21\i#3\rrep\rrep#0_21_result\d#100\v#30\15\ping_collision_summary.csv</t>
  </si>
  <si>
    <t>D:\CBP_2026.07.21\i#3\rrep\rrep#0_21_result\d#100\v#30\16\ping_collision_summary.csv</t>
  </si>
  <si>
    <t>D:\CBP_2026.07.21\i#3\rrep\rrep#0_21_result\d#100\v#30\17\ping_collision_summary.csv</t>
  </si>
  <si>
    <t>D:\CBP_2026.07.21\i#3\rrep\rrep#0_21_result\d#100\v#30\18\ping_collision_summary.csv</t>
  </si>
  <si>
    <t>D:\CBP_2026.07.21\i#3\rrep\rrep#0_21_result\d#100\v#30\19\ping_collision_summary.csv</t>
  </si>
  <si>
    <t>D:\CBP_2026.07.21\i#3\rrep\rrep#0_21_result\d#100\v#30\1\ping_collision_summary.csv</t>
  </si>
  <si>
    <t>D:\CBP_2026.07.21\i#3\rrep\rrep#0_21_result\d#100\v#30\20\ping_collision_summary.csv</t>
  </si>
  <si>
    <t>D:\CBP_2026.07.21\i#3\rrep\rrep#0_21_result\d#100\v#30\21\ping_collision_summary.csv</t>
  </si>
  <si>
    <t>D:\CBP_2026.07.21\i#3\rrep\rrep#0_21_result\d#100\v#30\22\ping_collision_summary.csv</t>
  </si>
  <si>
    <t>D:\CBP_2026.07.21\i#3\rrep\rrep#0_21_result\d#100\v#30\23\ping_collision_summary.csv</t>
  </si>
  <si>
    <t>D:\CBP_2026.07.21\i#3\rrep\rrep#0_21_result\d#100\v#30\24\ping_collision_summary.csv</t>
  </si>
  <si>
    <t>D:\CBP_2026.07.21\i#3\rrep\rrep#0_21_result\d#100\v#30\25\ping_collision_summary.csv</t>
  </si>
  <si>
    <t>D:\CBP_2026.07.21\i#3\rrep\rrep#0_21_result\d#100\v#30\26\ping_collision_summary.csv</t>
  </si>
  <si>
    <t>D:\CBP_2026.07.21\i#3\rrep\rrep#0_21_result\d#100\v#30\27\ping_collision_summary.csv</t>
  </si>
  <si>
    <t>D:\CBP_2026.07.21\i#3\rrep\rrep#0_21_result\d#100\v#30\28\ping_collision_summary.csv</t>
  </si>
  <si>
    <t>D:\CBP_2026.07.21\i#3\rrep\rrep#0_21_result\d#100\v#30\29\ping_collision_summary.csv</t>
  </si>
  <si>
    <t>D:\CBP_2026.07.21\i#3\rrep\rrep#0_21_result\d#100\v#30\2\ping_collision_summary.csv</t>
  </si>
  <si>
    <t>D:\CBP_2026.07.21\i#3\rrep\rrep#0_21_result\d#100\v#30\30\ping_collision_summary.csv</t>
  </si>
  <si>
    <t>D:\CBP_2026.07.21\i#3\rrep\rrep#0_21_result\d#100\v#30\3\ping_collision_summary.csv</t>
  </si>
  <si>
    <t>D:\CBP_2026.07.21\i#3\rrep\rrep#0_21_result\d#100\v#30\4\ping_collision_summary.csv</t>
  </si>
  <si>
    <t>D:\CBP_2026.07.21\i#3\rrep\rrep#0_21_result\d#100\v#30\5\ping_collision_summary.csv</t>
  </si>
  <si>
    <t>D:\CBP_2026.07.21\i#3\rrep\rrep#0_21_result\d#100\v#30\6\ping_collision_summary.csv</t>
  </si>
  <si>
    <t>D:\CBP_2026.07.21\i#3\rrep\rrep#0_21_result\d#100\v#30\7\ping_collision_summary.csv</t>
  </si>
  <si>
    <t>D:\CBP_2026.07.21\i#3\rrep\rrep#0_21_result\d#100\v#30\8\ping_collision_summary.csv</t>
  </si>
  <si>
    <t>D:\CBP_2026.07.21\i#3\rrep\rrep#0_21_result\d#100\v#30\9\ping_collision_summary.csv</t>
  </si>
  <si>
    <t>D:\CBP_2026.07.21\i#3\rrep\rrep#0_21_result\d#120\v#10\0\ping_collision_summary.csv</t>
  </si>
  <si>
    <t>D:\CBP_2026.07.21\i#3\rrep\rrep#0_21_result\d#120\v#10\10\ping_collision_summary.csv</t>
  </si>
  <si>
    <t>D:\CBP_2026.07.21\i#3\rrep\rrep#0_21_result\d#120\v#10\11\ping_collision_summary.csv</t>
  </si>
  <si>
    <t>D:\CBP_2026.07.21\i#3\rrep\rrep#0_21_result\d#120\v#10\12\ping_collision_summary.csv</t>
  </si>
  <si>
    <t>D:\CBP_2026.07.21\i#3\rrep\rrep#0_21_result\d#120\v#10\13\ping_collision_summary.csv</t>
  </si>
  <si>
    <t>D:\CBP_2026.07.21\i#3\rrep\rrep#0_21_result\d#120\v#10\14\ping_collision_summary.csv</t>
  </si>
  <si>
    <t>D:\CBP_2026.07.21\i#3\rrep\rrep#0_21_result\d#120\v#10\15\ping_collision_summary.csv</t>
  </si>
  <si>
    <t>D:\CBP_2026.07.21\i#3\rrep\rrep#0_21_result\d#120\v#10\16\ping_collision_summary.csv</t>
  </si>
  <si>
    <t>D:\CBP_2026.07.21\i#3\rrep\rrep#0_21_result\d#120\v#10\17\ping_collision_summary.csv</t>
  </si>
  <si>
    <t>D:\CBP_2026.07.21\i#3\rrep\rrep#0_21_result\d#120\v#10\18\ping_collision_summary.csv</t>
  </si>
  <si>
    <t>D:\CBP_2026.07.21\i#3\rrep\rrep#0_21_result\d#120\v#10\19\ping_collision_summary.csv</t>
  </si>
  <si>
    <t>D:\CBP_2026.07.21\i#3\rrep\rrep#0_21_result\d#120\v#10\1\ping_collision_summary.csv</t>
  </si>
  <si>
    <t>D:\CBP_2026.07.21\i#3\rrep\rrep#0_21_result\d#120\v#10\20\ping_collision_summary.csv</t>
  </si>
  <si>
    <t>D:\CBP_2026.07.21\i#3\rrep\rrep#0_21_result\d#120\v#10\21\ping_collision_summary.csv</t>
  </si>
  <si>
    <t>D:\CBP_2026.07.21\i#3\rrep\rrep#0_21_result\d#120\v#10\22\ping_collision_summary.csv</t>
  </si>
  <si>
    <t>D:\CBP_2026.07.21\i#3\rrep\rrep#0_21_result\d#120\v#10\23\ping_collision_summary.csv</t>
  </si>
  <si>
    <t>D:\CBP_2026.07.21\i#3\rrep\rrep#0_21_result\d#120\v#10\24\ping_collision_summary.csv</t>
  </si>
  <si>
    <t>D:\CBP_2026.07.21\i#3\rrep\rrep#0_21_result\d#120\v#10\25\ping_collision_summary.csv</t>
  </si>
  <si>
    <t>D:\CBP_2026.07.21\i#3\rrep\rrep#0_21_result\d#120\v#10\26\ping_collision_summary.csv</t>
  </si>
  <si>
    <t>D:\CBP_2026.07.21\i#3\rrep\rrep#0_21_result\d#120\v#10\27\ping_collision_summary.csv</t>
  </si>
  <si>
    <t>D:\CBP_2026.07.21\i#3\rrep\rrep#0_21_result\d#120\v#10\28\ping_collision_summary.csv</t>
  </si>
  <si>
    <t>D:\CBP_2026.07.21\i#3\rrep\rrep#0_21_result\d#120\v#10\29\ping_collision_summary.csv</t>
  </si>
  <si>
    <t>D:\CBP_2026.07.21\i#3\rrep\rrep#0_21_result\d#120\v#10\2\ping_collision_summary.csv</t>
  </si>
  <si>
    <t>D:\CBP_2026.07.21\i#3\rrep\rrep#0_21_result\d#120\v#10\30\ping_collision_summary.csv</t>
  </si>
  <si>
    <t>D:\CBP_2026.07.21\i#3\rrep\rrep#0_21_result\d#120\v#10\3\ping_collision_summary.csv</t>
  </si>
  <si>
    <t>D:\CBP_2026.07.21\i#3\rrep\rrep#0_21_result\d#120\v#10\4\ping_collision_summary.csv</t>
  </si>
  <si>
    <t>D:\CBP_2026.07.21\i#3\rrep\rrep#0_21_result\d#120\v#10\5\ping_collision_summary.csv</t>
  </si>
  <si>
    <t>D:\CBP_2026.07.21\i#3\rrep\rrep#0_21_result\d#120\v#10\6\ping_collision_summary.csv</t>
  </si>
  <si>
    <t>D:\CBP_2026.07.21\i#3\rrep\rrep#0_21_result\d#120\v#10\7\ping_collision_summary.csv</t>
  </si>
  <si>
    <t>D:\CBP_2026.07.21\i#3\rrep\rrep#0_21_result\d#120\v#10\8\ping_collision_summary.csv</t>
  </si>
  <si>
    <t>D:\CBP_2026.07.21\i#3\rrep\rrep#0_21_result\d#120\v#10\9\ping_collision_summary.csv</t>
  </si>
  <si>
    <t>D:\CBP_2026.07.21\i#3\rrep\rrep#0_21_result\d#120\v#20\0\ping_collision_summary.csv</t>
  </si>
  <si>
    <t>D:\CBP_2026.07.21\i#3\rrep\rrep#0_21_result\d#120\v#20\10\ping_collision_summary.csv</t>
  </si>
  <si>
    <t>D:\CBP_2026.07.21\i#3\rrep\rrep#0_21_result\d#120\v#20\11\ping_collision_summary.csv</t>
  </si>
  <si>
    <t>D:\CBP_2026.07.21\i#3\rrep\rrep#0_21_result\d#120\v#20\12\ping_collision_summary.csv</t>
  </si>
  <si>
    <t>D:\CBP_2026.07.21\i#3\rrep\rrep#0_21_result\d#120\v#20\13\ping_collision_summary.csv</t>
  </si>
  <si>
    <t>D:\CBP_2026.07.21\i#3\rrep\rrep#0_21_result\d#120\v#20\14\ping_collision_summary.csv</t>
  </si>
  <si>
    <t>D:\CBP_2026.07.21\i#3\rrep\rrep#0_21_result\d#120\v#20\15\ping_collision_summary.csv</t>
  </si>
  <si>
    <t>D:\CBP_2026.07.21\i#3\rrep\rrep#0_21_result\d#120\v#20\16\ping_collision_summary.csv</t>
  </si>
  <si>
    <t>D:\CBP_2026.07.21\i#3\rrep\rrep#0_21_result\d#120\v#20\17\ping_collision_summary.csv</t>
  </si>
  <si>
    <t>D:\CBP_2026.07.21\i#3\rrep\rrep#0_21_result\d#120\v#20\18\ping_collision_summary.csv</t>
  </si>
  <si>
    <t>D:\CBP_2026.07.21\i#3\rrep\rrep#0_21_result\d#120\v#20\19\ping_collision_summary.csv</t>
  </si>
  <si>
    <t>D:\CBP_2026.07.21\i#3\rrep\rrep#0_21_result\d#120\v#20\1\ping_collision_summary.csv</t>
  </si>
  <si>
    <t>D:\CBP_2026.07.21\i#3\rrep\rrep#0_21_result\d#120\v#20\20\ping_collision_summary.csv</t>
  </si>
  <si>
    <t>D:\CBP_2026.07.21\i#3\rrep\rrep#0_21_result\d#120\v#20\21\ping_collision_summary.csv</t>
  </si>
  <si>
    <t>D:\CBP_2026.07.21\i#3\rrep\rrep#0_21_result\d#120\v#20\22\ping_collision_summary.csv</t>
  </si>
  <si>
    <t>D:\CBP_2026.07.21\i#3\rrep\rrep#0_21_result\d#120\v#20\23\ping_collision_summary.csv</t>
  </si>
  <si>
    <t>D:\CBP_2026.07.21\i#3\rrep\rrep#0_21_result\d#120\v#20\24\ping_collision_summary.csv</t>
  </si>
  <si>
    <t>D:\CBP_2026.07.21\i#3\rrep\rrep#0_21_result\d#120\v#20\25\ping_collision_summary.csv</t>
  </si>
  <si>
    <t>D:\CBP_2026.07.21\i#3\rrep\rrep#0_21_result\d#120\v#20\26\ping_collision_summary.csv</t>
  </si>
  <si>
    <t>D:\CBP_2026.07.21\i#3\rrep\rrep#0_21_result\d#120\v#20\27\ping_collision_summary.csv</t>
  </si>
  <si>
    <t>D:\CBP_2026.07.21\i#3\rrep\rrep#0_21_result\d#120\v#20\28\ping_collision_summary.csv</t>
  </si>
  <si>
    <t>D:\CBP_2026.07.21\i#3\rrep\rrep#0_21_result\d#120\v#20\29\ping_collision_summary.csv</t>
  </si>
  <si>
    <t>D:\CBP_2026.07.21\i#3\rrep\rrep#0_21_result\d#120\v#20\2\ping_collision_summary.csv</t>
  </si>
  <si>
    <t>D:\CBP_2026.07.21\i#3\rrep\rrep#0_21_result\d#120\v#20\30\ping_collision_summary.csv</t>
  </si>
  <si>
    <t>D:\CBP_2026.07.21\i#3\rrep\rrep#0_21_result\d#120\v#20\3\ping_collision_summary.csv</t>
  </si>
  <si>
    <t>D:\CBP_2026.07.21\i#3\rrep\rrep#0_21_result\d#120\v#20\4\ping_collision_summary.csv</t>
  </si>
  <si>
    <t>D:\CBP_2026.07.21\i#3\rrep\rrep#0_21_result\d#120\v#20\5\ping_collision_summary.csv</t>
  </si>
  <si>
    <t>D:\CBP_2026.07.21\i#3\rrep\rrep#0_21_result\d#120\v#20\6\ping_collision_summary.csv</t>
  </si>
  <si>
    <t>D:\CBP_2026.07.21\i#3\rrep\rrep#0_21_result\d#120\v#20\7\ping_collision_summary.csv</t>
  </si>
  <si>
    <t>D:\CBP_2026.07.21\i#3\rrep\rrep#0_21_result\d#120\v#20\8\ping_collision_summary.csv</t>
  </si>
  <si>
    <t>D:\CBP_2026.07.21\i#3\rrep\rrep#0_21_result\d#120\v#20\9\ping_collision_summary.csv</t>
  </si>
  <si>
    <t>D:\CBP_2026.07.21\i#3\rrep\rrep#0_21_result\d#120\v#30\0\ping_collision_summary.csv</t>
  </si>
  <si>
    <t>D:\CBP_2026.07.21\i#3\rrep\rrep#0_21_result\d#120\v#30\10\ping_collision_summary.csv</t>
  </si>
  <si>
    <t>D:\CBP_2026.07.21\i#3\rrep\rrep#0_21_result\d#120\v#30\11\ping_collision_summary.csv</t>
  </si>
  <si>
    <t>D:\CBP_2026.07.21\i#3\rrep\rrep#0_21_result\d#120\v#30\12\ping_collision_summary.csv</t>
  </si>
  <si>
    <t>D:\CBP_2026.07.21\i#3\rrep\rrep#0_21_result\d#120\v#30\13\ping_collision_summary.csv</t>
  </si>
  <si>
    <t>D:\CBP_2026.07.21\i#3\rrep\rrep#0_21_result\d#120\v#30\14\ping_collision_summary.csv</t>
  </si>
  <si>
    <t>D:\CBP_2026.07.21\i#3\rrep\rrep#0_21_result\d#120\v#30\15\ping_collision_summary.csv</t>
  </si>
  <si>
    <t>D:\CBP_2026.07.21\i#3\rrep\rrep#0_21_result\d#120\v#30\16\ping_collision_summary.csv</t>
  </si>
  <si>
    <t>D:\CBP_2026.07.21\i#3\rrep\rrep#0_21_result\d#120\v#30\17\ping_collision_summary.csv</t>
  </si>
  <si>
    <t>D:\CBP_2026.07.21\i#3\rrep\rrep#0_21_result\d#120\v#30\18\ping_collision_summary.csv</t>
  </si>
  <si>
    <t>D:\CBP_2026.07.21\i#3\rrep\rrep#0_21_result\d#120\v#30\19\ping_collision_summary.csv</t>
  </si>
  <si>
    <t>D:\CBP_2026.07.21\i#3\rrep\rrep#0_21_result\d#120\v#30\1\ping_collision_summary.csv</t>
  </si>
  <si>
    <t>D:\CBP_2026.07.21\i#3\rrep\rrep#0_21_result\d#120\v#30\20\ping_collision_summary.csv</t>
  </si>
  <si>
    <t>D:\CBP_2026.07.21\i#3\rrep\rrep#0_21_result\d#120\v#30\21\ping_collision_summary.csv</t>
  </si>
  <si>
    <t>D:\CBP_2026.07.21\i#3\rrep\rrep#0_21_result\d#120\v#30\22\ping_collision_summary.csv</t>
  </si>
  <si>
    <t>D:\CBP_2026.07.21\i#3\rrep\rrep#0_21_result\d#120\v#30\23\ping_collision_summary.csv</t>
  </si>
  <si>
    <t>D:\CBP_2026.07.21\i#3\rrep\rrep#0_21_result\d#120\v#30\24\ping_collision_summary.csv</t>
  </si>
  <si>
    <t>D:\CBP_2026.07.21\i#3\rrep\rrep#0_21_result\d#120\v#30\25\ping_collision_summary.csv</t>
  </si>
  <si>
    <t>D:\CBP_2026.07.21\i#3\rrep\rrep#0_21_result\d#120\v#30\26\ping_collision_summary.csv</t>
  </si>
  <si>
    <t>D:\CBP_2026.07.21\i#3\rrep\rrep#0_21_result\d#120\v#30\27\ping_collision_summary.csv</t>
  </si>
  <si>
    <t>D:\CBP_2026.07.21\i#3\rrep\rrep#0_21_result\d#120\v#30\28\ping_collision_summary.csv</t>
  </si>
  <si>
    <t>D:\CBP_2026.07.21\i#3\rrep\rrep#0_21_result\d#120\v#30\29\ping_collision_summary.csv</t>
  </si>
  <si>
    <t>D:\CBP_2026.07.21\i#3\rrep\rrep#0_21_result\d#120\v#30\2\ping_collision_summary.csv</t>
  </si>
  <si>
    <t>D:\CBP_2026.07.21\i#3\rrep\rrep#0_21_result\d#120\v#30\30\ping_collision_summary.csv</t>
  </si>
  <si>
    <t>D:\CBP_2026.07.21\i#3\rrep\rrep#0_21_result\d#120\v#30\3\ping_collision_summary.csv</t>
  </si>
  <si>
    <t>D:\CBP_2026.07.21\i#3\rrep\rrep#0_21_result\d#120\v#30\4\ping_collision_summary.csv</t>
  </si>
  <si>
    <t>D:\CBP_2026.07.21\i#3\rrep\rrep#0_21_result\d#120\v#30\5\ping_collision_summary.csv</t>
  </si>
  <si>
    <t>D:\CBP_2026.07.21\i#3\rrep\rrep#0_21_result\d#120\v#30\6\ping_collision_summary.csv</t>
  </si>
  <si>
    <t>D:\CBP_2026.07.21\i#3\rrep\rrep#0_21_result\d#120\v#30\7\ping_collision_summary.csv</t>
  </si>
  <si>
    <t>D:\CBP_2026.07.21\i#3\rrep\rrep#0_21_result\d#120\v#30\8\ping_collision_summary.csv</t>
  </si>
  <si>
    <t>D:\CBP_2026.07.21\i#3\rrep\rrep#0_21_result\d#120\v#30\9\ping_collision_summary.csv</t>
  </si>
  <si>
    <t>D:\CBP_2026.07.21\i#3\rrep\rrep#0_21_result\d#70\v#10\0\ping_collision_summary.csv</t>
  </si>
  <si>
    <t>D:\CBP_2026.07.21\i#3\rrep\rrep#0_21_result\d#70\v#10\10\ping_collision_summary.csv</t>
  </si>
  <si>
    <t>D:\CBP_2026.07.21\i#3\rrep\rrep#0_21_result\d#70\v#10\11\ping_collision_summary.csv</t>
  </si>
  <si>
    <t>D:\CBP_2026.07.21\i#3\rrep\rrep#0_21_result\d#70\v#10\12\ping_collision_summary.csv</t>
  </si>
  <si>
    <t>D:\CBP_2026.07.21\i#3\rrep\rrep#0_21_result\d#70\v#10\13\ping_collision_summary.csv</t>
  </si>
  <si>
    <t>D:\CBP_2026.07.21\i#3\rrep\rrep#0_21_result\d#70\v#10\14\ping_collision_summary.csv</t>
  </si>
  <si>
    <t>D:\CBP_2026.07.21\i#3\rrep\rrep#0_21_result\d#70\v#10\15\ping_collision_summary.csv</t>
  </si>
  <si>
    <t>D:\CBP_2026.07.21\i#3\rrep\rrep#0_21_result\d#70\v#10\16\ping_collision_summary.csv</t>
  </si>
  <si>
    <t>D:\CBP_2026.07.21\i#3\rrep\rrep#0_21_result\d#70\v#10\17\ping_collision_summary.csv</t>
  </si>
  <si>
    <t>D:\CBP_2026.07.21\i#3\rrep\rrep#0_21_result\d#70\v#10\18\ping_collision_summary.csv</t>
  </si>
  <si>
    <t>D:\CBP_2026.07.21\i#3\rrep\rrep#0_21_result\d#70\v#10\19\ping_collision_summary.csv</t>
  </si>
  <si>
    <t>D:\CBP_2026.07.21\i#3\rrep\rrep#0_21_result\d#70\v#10\1\ping_collision_summary.csv</t>
  </si>
  <si>
    <t>D:\CBP_2026.07.21\i#3\rrep\rrep#0_21_result\d#70\v#10\20\ping_collision_summary.csv</t>
  </si>
  <si>
    <t>D:\CBP_2026.07.21\i#3\rrep\rrep#0_21_result\d#70\v#10\21\ping_collision_summary.csv</t>
  </si>
  <si>
    <t>D:\CBP_2026.07.21\i#3\rrep\rrep#0_21_result\d#70\v#10\22\ping_collision_summary.csv</t>
  </si>
  <si>
    <t>D:\CBP_2026.07.21\i#3\rrep\rrep#0_21_result\d#70\v#10\23\ping_collision_summary.csv</t>
  </si>
  <si>
    <t>D:\CBP_2026.07.21\i#3\rrep\rrep#0_21_result\d#70\v#10\24\ping_collision_summary.csv</t>
  </si>
  <si>
    <t>D:\CBP_2026.07.21\i#3\rrep\rrep#0_21_result\d#70\v#10\25\ping_collision_summary.csv</t>
  </si>
  <si>
    <t>D:\CBP_2026.07.21\i#3\rrep\rrep#0_21_result\d#70\v#10\26\ping_collision_summary.csv</t>
  </si>
  <si>
    <t>D:\CBP_2026.07.21\i#3\rrep\rrep#0_21_result\d#70\v#10\27\ping_collision_summary.csv</t>
  </si>
  <si>
    <t>D:\CBP_2026.07.21\i#3\rrep\rrep#0_21_result\d#70\v#10\28\ping_collision_summary.csv</t>
  </si>
  <si>
    <t>D:\CBP_2026.07.21\i#3\rrep\rrep#0_21_result\d#70\v#10\29\ping_collision_summary.csv</t>
  </si>
  <si>
    <t>D:\CBP_2026.07.21\i#3\rrep\rrep#0_21_result\d#70\v#10\2\ping_collision_summary.csv</t>
  </si>
  <si>
    <t>D:\CBP_2026.07.21\i#3\rrep\rrep#0_21_result\d#70\v#10\30\ping_collision_summary.csv</t>
  </si>
  <si>
    <t>D:\CBP_2026.07.21\i#3\rrep\rrep#0_21_result\d#70\v#10\3\ping_collision_summary.csv</t>
  </si>
  <si>
    <t>D:\CBP_2026.07.21\i#3\rrep\rrep#0_21_result\d#70\v#10\4\ping_collision_summary.csv</t>
  </si>
  <si>
    <t>D:\CBP_2026.07.21\i#3\rrep\rrep#0_21_result\d#70\v#10\5\ping_collision_summary.csv</t>
  </si>
  <si>
    <t>D:\CBP_2026.07.21\i#3\rrep\rrep#0_21_result\d#70\v#10\6\ping_collision_summary.csv</t>
  </si>
  <si>
    <t>D:\CBP_2026.07.21\i#3\rrep\rrep#0_21_result\d#70\v#10\7\ping_collision_summary.csv</t>
  </si>
  <si>
    <t>D:\CBP_2026.07.21\i#3\rrep\rrep#0_21_result\d#70\v#10\8\ping_collision_summary.csv</t>
  </si>
  <si>
    <t>D:\CBP_2026.07.21\i#3\rrep\rrep#0_21_result\d#70\v#10\9\ping_collision_summary.csv</t>
  </si>
  <si>
    <t>D:\CBP_2026.07.21\i#3\rrep\rrep#0_21_result\d#70\v#20\0\ping_collision_summary.csv</t>
  </si>
  <si>
    <t>D:\CBP_2026.07.21\i#3\rrep\rrep#0_21_result\d#70\v#20\10\ping_collision_summary.csv</t>
  </si>
  <si>
    <t>D:\CBP_2026.07.21\i#3\rrep\rrep#0_21_result\d#70\v#20\11\ping_collision_summary.csv</t>
  </si>
  <si>
    <t>D:\CBP_2026.07.21\i#3\rrep\rrep#0_21_result\d#70\v#20\12\ping_collision_summary.csv</t>
  </si>
  <si>
    <t>D:\CBP_2026.07.21\i#3\rrep\rrep#0_21_result\d#70\v#20\13\ping_collision_summary.csv</t>
  </si>
  <si>
    <t>D:\CBP_2026.07.21\i#3\rrep\rrep#0_21_result\d#70\v#20\14\ping_collision_summary.csv</t>
  </si>
  <si>
    <t>D:\CBP_2026.07.21\i#3\rrep\rrep#0_21_result\d#70\v#20\15\ping_collision_summary.csv</t>
  </si>
  <si>
    <t>D:\CBP_2026.07.21\i#3\rrep\rrep#0_21_result\d#70\v#20\16\ping_collision_summary.csv</t>
  </si>
  <si>
    <t>D:\CBP_2026.07.21\i#3\rrep\rrep#0_21_result\d#70\v#20\17\ping_collision_summary.csv</t>
  </si>
  <si>
    <t>D:\CBP_2026.07.21\i#3\rrep\rrep#0_21_result\d#70\v#20\18\ping_collision_summary.csv</t>
  </si>
  <si>
    <t>D:\CBP_2026.07.21\i#3\rrep\rrep#0_21_result\d#70\v#20\19\ping_collision_summary.csv</t>
  </si>
  <si>
    <t>D:\CBP_2026.07.21\i#3\rrep\rrep#0_21_result\d#70\v#20\1\ping_collision_summary.csv</t>
  </si>
  <si>
    <t>D:\CBP_2026.07.21\i#3\rrep\rrep#0_21_result\d#70\v#20\20\ping_collision_summary.csv</t>
  </si>
  <si>
    <t>D:\CBP_2026.07.21\i#3\rrep\rrep#0_21_result\d#70\v#20\21\ping_collision_summary.csv</t>
  </si>
  <si>
    <t>D:\CBP_2026.07.21\i#3\rrep\rrep#0_21_result\d#70\v#20\22\ping_collision_summary.csv</t>
  </si>
  <si>
    <t>D:\CBP_2026.07.21\i#3\rrep\rrep#0_21_result\d#70\v#20\23\ping_collision_summary.csv</t>
  </si>
  <si>
    <t>D:\CBP_2026.07.21\i#3\rrep\rrep#0_21_result\d#70\v#20\24\ping_collision_summary.csv</t>
  </si>
  <si>
    <t>D:\CBP_2026.07.21\i#3\rrep\rrep#0_21_result\d#70\v#20\25\ping_collision_summary.csv</t>
  </si>
  <si>
    <t>D:\CBP_2026.07.21\i#3\rrep\rrep#0_21_result\d#70\v#20\26\ping_collision_summary.csv</t>
  </si>
  <si>
    <t>D:\CBP_2026.07.21\i#3\rrep\rrep#0_21_result\d#70\v#20\27\ping_collision_summary.csv</t>
  </si>
  <si>
    <t>D:\CBP_2026.07.21\i#3\rrep\rrep#0_21_result\d#70\v#20\28\ping_collision_summary.csv</t>
  </si>
  <si>
    <t>D:\CBP_2026.07.21\i#3\rrep\rrep#0_21_result\d#70\v#20\29\ping_collision_summary.csv</t>
  </si>
  <si>
    <t>D:\CBP_2026.07.21\i#3\rrep\rrep#0_21_result\d#70\v#20\2\ping_collision_summary.csv</t>
  </si>
  <si>
    <t>D:\CBP_2026.07.21\i#3\rrep\rrep#0_21_result\d#70\v#20\30\ping_collision_summary.csv</t>
  </si>
  <si>
    <t>D:\CBP_2026.07.21\i#3\rrep\rrep#0_21_result\d#70\v#20\3\ping_collision_summary.csv</t>
  </si>
  <si>
    <t>D:\CBP_2026.07.21\i#3\rrep\rrep#0_21_result\d#70\v#20\4\ping_collision_summary.csv</t>
  </si>
  <si>
    <t>D:\CBP_2026.07.21\i#3\rrep\rrep#0_21_result\d#70\v#20\5\ping_collision_summary.csv</t>
  </si>
  <si>
    <t>D:\CBP_2026.07.21\i#3\rrep\rrep#0_21_result\d#70\v#20\6\ping_collision_summary.csv</t>
  </si>
  <si>
    <t>D:\CBP_2026.07.21\i#3\rrep\rrep#0_21_result\d#70\v#20\7\ping_collision_summary.csv</t>
  </si>
  <si>
    <t>D:\CBP_2026.07.21\i#3\rrep\rrep#0_21_result\d#70\v#20\8\ping_collision_summary.csv</t>
  </si>
  <si>
    <t>D:\CBP_2026.07.21\i#3\rrep\rrep#0_21_result\d#70\v#20\9\ping_collision_summary.csv</t>
  </si>
  <si>
    <t>D:\CBP_2026.07.21\i#3\rrep\rrep#0_21_result\d#70\v#30\0\ping_collision_summary.csv</t>
  </si>
  <si>
    <t>D:\CBP_2026.07.21\i#3\rrep\rrep#0_21_result\d#70\v#30\10\ping_collision_summary.csv</t>
  </si>
  <si>
    <t>D:\CBP_2026.07.21\i#3\rrep\rrep#0_21_result\d#70\v#30\11\ping_collision_summary.csv</t>
  </si>
  <si>
    <t>D:\CBP_2026.07.21\i#3\rrep\rrep#0_21_result\d#70\v#30\12\ping_collision_summary.csv</t>
  </si>
  <si>
    <t>D:\CBP_2026.07.21\i#3\rrep\rrep#0_21_result\d#70\v#30\13\ping_collision_summary.csv</t>
  </si>
  <si>
    <t>D:\CBP_2026.07.21\i#3\rrep\rrep#0_21_result\d#70\v#30\14\ping_collision_summary.csv</t>
  </si>
  <si>
    <t>D:\CBP_2026.07.21\i#3\rrep\rrep#0_21_result\d#70\v#30\15\ping_collision_summary.csv</t>
  </si>
  <si>
    <t>D:\CBP_2026.07.21\i#3\rrep\rrep#0_21_result\d#70\v#30\16\ping_collision_summary.csv</t>
  </si>
  <si>
    <t>D:\CBP_2026.07.21\i#3\rrep\rrep#0_21_result\d#70\v#30\17\ping_collision_summary.csv</t>
  </si>
  <si>
    <t>D:\CBP_2026.07.21\i#3\rrep\rrep#0_21_result\d#70\v#30\18\ping_collision_summary.csv</t>
  </si>
  <si>
    <t>D:\CBP_2026.07.21\i#3\rrep\rrep#0_21_result\d#70\v#30\19\ping_collision_summary.csv</t>
  </si>
  <si>
    <t>D:\CBP_2026.07.21\i#3\rrep\rrep#0_21_result\d#70\v#30\1\ping_collision_summary.csv</t>
  </si>
  <si>
    <t>D:\CBP_2026.07.21\i#3\rrep\rrep#0_21_result\d#70\v#30\20\ping_collision_summary.csv</t>
  </si>
  <si>
    <t>D:\CBP_2026.07.21\i#3\rrep\rrep#0_21_result\d#70\v#30\21\ping_collision_summary.csv</t>
  </si>
  <si>
    <t>D:\CBP_2026.07.21\i#3\rrep\rrep#0_21_result\d#70\v#30\22\ping_collision_summary.csv</t>
  </si>
  <si>
    <t>D:\CBP_2026.07.21\i#3\rrep\rrep#0_21_result\d#70\v#30\23\ping_collision_summary.csv</t>
  </si>
  <si>
    <t>D:\CBP_2026.07.21\i#3\rrep\rrep#0_21_result\d#70\v#30\24\ping_collision_summary.csv</t>
  </si>
  <si>
    <t>D:\CBP_2026.07.21\i#3\rrep\rrep#0_21_result\d#70\v#30\25\ping_collision_summary.csv</t>
  </si>
  <si>
    <t>D:\CBP_2026.07.21\i#3\rrep\rrep#0_21_result\d#70\v#30\26\ping_collision_summary.csv</t>
  </si>
  <si>
    <t>D:\CBP_2026.07.21\i#3\rrep\rrep#0_21_result\d#70\v#30\27\ping_collision_summary.csv</t>
  </si>
  <si>
    <t>D:\CBP_2026.07.21\i#3\rrep\rrep#0_21_result\d#70\v#30\28\ping_collision_summary.csv</t>
  </si>
  <si>
    <t>D:\CBP_2026.07.21\i#3\rrep\rrep#0_21_result\d#70\v#30\29\ping_collision_summary.csv</t>
  </si>
  <si>
    <t>D:\CBP_2026.07.21\i#3\rrep\rrep#0_21_result\d#70\v#30\2\ping_collision_summary.csv</t>
  </si>
  <si>
    <t>D:\CBP_2026.07.21\i#3\rrep\rrep#0_21_result\d#70\v#30\30\ping_collision_summary.csv</t>
  </si>
  <si>
    <t>D:\CBP_2026.07.21\i#3\rrep\rrep#0_21_result\d#70\v#30\3\ping_collision_summary.csv</t>
  </si>
  <si>
    <t>D:\CBP_2026.07.21\i#3\rrep\rrep#0_21_result\d#70\v#30\4\ping_collision_summary.csv</t>
  </si>
  <si>
    <t>D:\CBP_2026.07.21\i#3\rrep\rrep#0_21_result\d#70\v#30\5\ping_collision_summary.csv</t>
  </si>
  <si>
    <t>D:\CBP_2026.07.21\i#3\rrep\rrep#0_21_result\d#70\v#30\6\ping_collision_summary.csv</t>
  </si>
  <si>
    <t>D:\CBP_2026.07.21\i#3\rrep\rrep#0_21_result\d#70\v#30\7\ping_collision_summary.csv</t>
  </si>
  <si>
    <t>D:\CBP_2026.07.21\i#3\rrep\rrep#0_21_result\d#70\v#30\8\ping_collision_summary.csv</t>
  </si>
  <si>
    <t>D:\CBP_2026.07.21\i#3\rrep\rrep#0_21_result\d#70\v#30\9\ping_collision_summary.csv</t>
  </si>
  <si>
    <t>D:\CBP_2026.07.21\i#3\rrep\rrep#21_33_result\d#100\v#10\0\ping_collision_summary.csv</t>
  </si>
  <si>
    <t>D:\CBP_2026.07.21\i#3\rrep\rrep#21_33_result\d#100\v#10\10\ping_collision_summary.csv</t>
  </si>
  <si>
    <t>D:\CBP_2026.07.21\i#3\rrep\rrep#21_33_result\d#100\v#10\11\ping_collision_summary.csv</t>
  </si>
  <si>
    <t>D:\CBP_2026.07.21\i#3\rrep\rrep#21_33_result\d#100\v#10\12\ping_collision_summary.csv</t>
  </si>
  <si>
    <t>D:\CBP_2026.07.21\i#3\rrep\rrep#21_33_result\d#100\v#10\13\ping_collision_summary.csv</t>
  </si>
  <si>
    <t>D:\CBP_2026.07.21\i#3\rrep\rrep#21_33_result\d#100\v#10\14\ping_collision_summary.csv</t>
  </si>
  <si>
    <t>D:\CBP_2026.07.21\i#3\rrep\rrep#21_33_result\d#100\v#10\15\ping_collision_summary.csv</t>
  </si>
  <si>
    <t>D:\CBP_2026.07.21\i#3\rrep\rrep#21_33_result\d#100\v#10\16\ping_collision_summary.csv</t>
  </si>
  <si>
    <t>D:\CBP_2026.07.21\i#3\rrep\rrep#21_33_result\d#100\v#10\17\ping_collision_summary.csv</t>
  </si>
  <si>
    <t>D:\CBP_2026.07.21\i#3\rrep\rrep#21_33_result\d#100\v#10\18\ping_collision_summary.csv</t>
  </si>
  <si>
    <t>D:\CBP_2026.07.21\i#3\rrep\rrep#21_33_result\d#100\v#10\19\ping_collision_summary.csv</t>
  </si>
  <si>
    <t>D:\CBP_2026.07.21\i#3\rrep\rrep#21_33_result\d#100\v#10\1\ping_collision_summary.csv</t>
  </si>
  <si>
    <t>D:\CBP_2026.07.21\i#3\rrep\rrep#21_33_result\d#100\v#10\20\ping_collision_summary.csv</t>
  </si>
  <si>
    <t>D:\CBP_2026.07.21\i#3\rrep\rrep#21_33_result\d#100\v#10\21\ping_collision_summary.csv</t>
  </si>
  <si>
    <t>D:\CBP_2026.07.21\i#3\rrep\rrep#21_33_result\d#100\v#10\22\ping_collision_summary.csv</t>
  </si>
  <si>
    <t>D:\CBP_2026.07.21\i#3\rrep\rrep#21_33_result\d#100\v#10\23\ping_collision_summary.csv</t>
  </si>
  <si>
    <t>D:\CBP_2026.07.21\i#3\rrep\rrep#21_33_result\d#100\v#10\24\ping_collision_summary.csv</t>
  </si>
  <si>
    <t>D:\CBP_2026.07.21\i#3\rrep\rrep#21_33_result\d#100\v#10\25\ping_collision_summary.csv</t>
  </si>
  <si>
    <t>D:\CBP_2026.07.21\i#3\rrep\rrep#21_33_result\d#100\v#10\26\ping_collision_summary.csv</t>
  </si>
  <si>
    <t>D:\CBP_2026.07.21\i#3\rrep\rrep#21_33_result\d#100\v#10\27\ping_collision_summary.csv</t>
  </si>
  <si>
    <t>D:\CBP_2026.07.21\i#3\rrep\rrep#21_33_result\d#100\v#10\28\ping_collision_summary.csv</t>
  </si>
  <si>
    <t>D:\CBP_2026.07.21\i#3\rrep\rrep#21_33_result\d#100\v#10\29\ping_collision_summary.csv</t>
  </si>
  <si>
    <t>D:\CBP_2026.07.21\i#3\rrep\rrep#21_33_result\d#100\v#10\2\ping_collision_summary.csv</t>
  </si>
  <si>
    <t>D:\CBP_2026.07.21\i#3\rrep\rrep#21_33_result\d#100\v#10\30\ping_collision_summary.csv</t>
  </si>
  <si>
    <t>D:\CBP_2026.07.21\i#3\rrep\rrep#21_33_result\d#100\v#10\3\ping_collision_summary.csv</t>
  </si>
  <si>
    <t>D:\CBP_2026.07.21\i#3\rrep\rrep#21_33_result\d#100\v#10\4\ping_collision_summary.csv</t>
  </si>
  <si>
    <t>D:\CBP_2026.07.21\i#3\rrep\rrep#21_33_result\d#100\v#10\5\ping_collision_summary.csv</t>
  </si>
  <si>
    <t>D:\CBP_2026.07.21\i#3\rrep\rrep#21_33_result\d#100\v#10\6\ping_collision_summary.csv</t>
  </si>
  <si>
    <t>D:\CBP_2026.07.21\i#3\rrep\rrep#21_33_result\d#100\v#10\7\ping_collision_summary.csv</t>
  </si>
  <si>
    <t>D:\CBP_2026.07.21\i#3\rrep\rrep#21_33_result\d#100\v#10\8\ping_collision_summary.csv</t>
  </si>
  <si>
    <t>D:\CBP_2026.07.21\i#3\rrep\rrep#21_33_result\d#100\v#10\9\ping_collision_summary.csv</t>
  </si>
  <si>
    <t>D:\CBP_2026.07.21\i#3\rrep\rrep#21_33_result\d#100\v#20\0\ping_collision_summary.csv</t>
  </si>
  <si>
    <t>D:\CBP_2026.07.21\i#3\rrep\rrep#21_33_result\d#100\v#20\10\ping_collision_summary.csv</t>
  </si>
  <si>
    <t>D:\CBP_2026.07.21\i#3\rrep\rrep#21_33_result\d#100\v#20\11\ping_collision_summary.csv</t>
  </si>
  <si>
    <t>D:\CBP_2026.07.21\i#3\rrep\rrep#21_33_result\d#100\v#20\12\ping_collision_summary.csv</t>
  </si>
  <si>
    <t>D:\CBP_2026.07.21\i#3\rrep\rrep#21_33_result\d#100\v#20\13\ping_collision_summary.csv</t>
  </si>
  <si>
    <t>D:\CBP_2026.07.21\i#3\rrep\rrep#21_33_result\d#100\v#20\14\ping_collision_summary.csv</t>
  </si>
  <si>
    <t>D:\CBP_2026.07.21\i#3\rrep\rrep#21_33_result\d#100\v#20\15\ping_collision_summary.csv</t>
  </si>
  <si>
    <t>D:\CBP_2026.07.21\i#3\rrep\rrep#21_33_result\d#100\v#20\16\ping_collision_summary.csv</t>
  </si>
  <si>
    <t>D:\CBP_2026.07.21\i#3\rrep\rrep#21_33_result\d#100\v#20\17\ping_collision_summary.csv</t>
  </si>
  <si>
    <t>D:\CBP_2026.07.21\i#3\rrep\rrep#21_33_result\d#100\v#20\18\ping_collision_summary.csv</t>
  </si>
  <si>
    <t>D:\CBP_2026.07.21\i#3\rrep\rrep#21_33_result\d#100\v#20\19\ping_collision_summary.csv</t>
  </si>
  <si>
    <t>D:\CBP_2026.07.21\i#3\rrep\rrep#21_33_result\d#100\v#20\1\ping_collision_summary.csv</t>
  </si>
  <si>
    <t>D:\CBP_2026.07.21\i#3\rrep\rrep#21_33_result\d#100\v#20\20\ping_collision_summary.csv</t>
  </si>
  <si>
    <t>D:\CBP_2026.07.21\i#3\rrep\rrep#21_33_result\d#100\v#20\21\ping_collision_summary.csv</t>
  </si>
  <si>
    <t>D:\CBP_2026.07.21\i#3\rrep\rrep#21_33_result\d#100\v#20\22\ping_collision_summary.csv</t>
  </si>
  <si>
    <t>D:\CBP_2026.07.21\i#3\rrep\rrep#21_33_result\d#100\v#20\23\ping_collision_summary.csv</t>
  </si>
  <si>
    <t>D:\CBP_2026.07.21\i#3\rrep\rrep#21_33_result\d#100\v#20\24\ping_collision_summary.csv</t>
  </si>
  <si>
    <t>D:\CBP_2026.07.21\i#3\rrep\rrep#21_33_result\d#100\v#20\25\ping_collision_summary.csv</t>
  </si>
  <si>
    <t>D:\CBP_2026.07.21\i#3\rrep\rrep#21_33_result\d#100\v#20\26\ping_collision_summary.csv</t>
  </si>
  <si>
    <t>D:\CBP_2026.07.21\i#3\rrep\rrep#21_33_result\d#100\v#20\27\ping_collision_summary.csv</t>
  </si>
  <si>
    <t>D:\CBP_2026.07.21\i#3\rrep\rrep#21_33_result\d#100\v#20\28\ping_collision_summary.csv</t>
  </si>
  <si>
    <t>D:\CBP_2026.07.21\i#3\rrep\rrep#21_33_result\d#100\v#20\29\ping_collision_summary.csv</t>
  </si>
  <si>
    <t>D:\CBP_2026.07.21\i#3\rrep\rrep#21_33_result\d#100\v#20\2\ping_collision_summary.csv</t>
  </si>
  <si>
    <t>D:\CBP_2026.07.21\i#3\rrep\rrep#21_33_result\d#100\v#20\30\ping_collision_summary.csv</t>
  </si>
  <si>
    <t>D:\CBP_2026.07.21\i#3\rrep\rrep#21_33_result\d#100\v#20\3\ping_collision_summary.csv</t>
  </si>
  <si>
    <t>D:\CBP_2026.07.21\i#3\rrep\rrep#21_33_result\d#100\v#20\4\ping_collision_summary.csv</t>
  </si>
  <si>
    <t>D:\CBP_2026.07.21\i#3\rrep\rrep#21_33_result\d#100\v#20\5\ping_collision_summary.csv</t>
  </si>
  <si>
    <t>D:\CBP_2026.07.21\i#3\rrep\rrep#21_33_result\d#100\v#20\6\ping_collision_summary.csv</t>
  </si>
  <si>
    <t>D:\CBP_2026.07.21\i#3\rrep\rrep#21_33_result\d#100\v#20\7\ping_collision_summary.csv</t>
  </si>
  <si>
    <t>D:\CBP_2026.07.21\i#3\rrep\rrep#21_33_result\d#100\v#20\8\ping_collision_summary.csv</t>
  </si>
  <si>
    <t>D:\CBP_2026.07.21\i#3\rrep\rrep#21_33_result\d#100\v#20\9\ping_collision_summary.csv</t>
  </si>
  <si>
    <t>D:\CBP_2026.07.21\i#3\rrep\rrep#21_33_result\d#100\v#30\0\ping_collision_summary.csv</t>
  </si>
  <si>
    <t>D:\CBP_2026.07.21\i#3\rrep\rrep#21_33_result\d#100\v#30\10\ping_collision_summary.csv</t>
  </si>
  <si>
    <t>D:\CBP_2026.07.21\i#3\rrep\rrep#21_33_result\d#100\v#30\11\ping_collision_summary.csv</t>
  </si>
  <si>
    <t>D:\CBP_2026.07.21\i#3\rrep\rrep#21_33_result\d#100\v#30\12\ping_collision_summary.csv</t>
  </si>
  <si>
    <t>D:\CBP_2026.07.21\i#3\rrep\rrep#21_33_result\d#100\v#30\13\ping_collision_summary.csv</t>
  </si>
  <si>
    <t>D:\CBP_2026.07.21\i#3\rrep\rrep#21_33_result\d#100\v#30\14\ping_collision_summary.csv</t>
  </si>
  <si>
    <t>D:\CBP_2026.07.21\i#3\rrep\rrep#21_33_result\d#100\v#30\15\ping_collision_summary.csv</t>
  </si>
  <si>
    <t>D:\CBP_2026.07.21\i#3\rrep\rrep#21_33_result\d#100\v#30\16\ping_collision_summary.csv</t>
  </si>
  <si>
    <t>D:\CBP_2026.07.21\i#3\rrep\rrep#21_33_result\d#100\v#30\17\ping_collision_summary.csv</t>
  </si>
  <si>
    <t>D:\CBP_2026.07.21\i#3\rrep\rrep#21_33_result\d#100\v#30\18\ping_collision_summary.csv</t>
  </si>
  <si>
    <t>D:\CBP_2026.07.21\i#3\rrep\rrep#21_33_result\d#100\v#30\19\ping_collision_summary.csv</t>
  </si>
  <si>
    <t>D:\CBP_2026.07.21\i#3\rrep\rrep#21_33_result\d#100\v#30\1\ping_collision_summary.csv</t>
  </si>
  <si>
    <t>D:\CBP_2026.07.21\i#3\rrep\rrep#21_33_result\d#100\v#30\20\ping_collision_summary.csv</t>
  </si>
  <si>
    <t>D:\CBP_2026.07.21\i#3\rrep\rrep#21_33_result\d#100\v#30\21\ping_collision_summary.csv</t>
  </si>
  <si>
    <t>D:\CBP_2026.07.21\i#3\rrep\rrep#21_33_result\d#100\v#30\22\ping_collision_summary.csv</t>
  </si>
  <si>
    <t>D:\CBP_2026.07.21\i#3\rrep\rrep#21_33_result\d#100\v#30\23\ping_collision_summary.csv</t>
  </si>
  <si>
    <t>D:\CBP_2026.07.21\i#3\rrep\rrep#21_33_result\d#100\v#30\24\ping_collision_summary.csv</t>
  </si>
  <si>
    <t>D:\CBP_2026.07.21\i#3\rrep\rrep#21_33_result\d#100\v#30\25\ping_collision_summary.csv</t>
  </si>
  <si>
    <t>D:\CBP_2026.07.21\i#3\rrep\rrep#21_33_result\d#100\v#30\26\ping_collision_summary.csv</t>
  </si>
  <si>
    <t>D:\CBP_2026.07.21\i#3\rrep\rrep#21_33_result\d#100\v#30\27\ping_collision_summary.csv</t>
  </si>
  <si>
    <t>D:\CBP_2026.07.21\i#3\rrep\rrep#21_33_result\d#100\v#30\28\ping_collision_summary.csv</t>
  </si>
  <si>
    <t>D:\CBP_2026.07.21\i#3\rrep\rrep#21_33_result\d#100\v#30\29\ping_collision_summary.csv</t>
  </si>
  <si>
    <t>D:\CBP_2026.07.21\i#3\rrep\rrep#21_33_result\d#100\v#30\2\ping_collision_summary.csv</t>
  </si>
  <si>
    <t>D:\CBP_2026.07.21\i#3\rrep\rrep#21_33_result\d#100\v#30\30\ping_collision_summary.csv</t>
  </si>
  <si>
    <t>D:\CBP_2026.07.21\i#3\rrep\rrep#21_33_result\d#100\v#30\3\ping_collision_summary.csv</t>
  </si>
  <si>
    <t>D:\CBP_2026.07.21\i#3\rrep\rrep#21_33_result\d#100\v#30\4\ping_collision_summary.csv</t>
  </si>
  <si>
    <t>D:\CBP_2026.07.21\i#3\rrep\rrep#21_33_result\d#100\v#30\5\ping_collision_summary.csv</t>
  </si>
  <si>
    <t>D:\CBP_2026.07.21\i#3\rrep\rrep#21_33_result\d#100\v#30\6\ping_collision_summary.csv</t>
  </si>
  <si>
    <t>D:\CBP_2026.07.21\i#3\rrep\rrep#21_33_result\d#100\v#30\7\ping_collision_summary.csv</t>
  </si>
  <si>
    <t>D:\CBP_2026.07.21\i#3\rrep\rrep#21_33_result\d#100\v#30\8\ping_collision_summary.csv</t>
  </si>
  <si>
    <t>D:\CBP_2026.07.21\i#3\rrep\rrep#21_33_result\d#100\v#30\9\ping_collision_summary.csv</t>
  </si>
  <si>
    <t>D:\CBP_2026.07.21\i#3\rrep\rrep#21_33_result\d#120\v#10\0\ping_collision_summary.csv</t>
  </si>
  <si>
    <t>D:\CBP_2026.07.21\i#3\rrep\rrep#21_33_result\d#120\v#10\10\ping_collision_summary.csv</t>
  </si>
  <si>
    <t>D:\CBP_2026.07.21\i#3\rrep\rrep#21_33_result\d#120\v#10\11\ping_collision_summary.csv</t>
  </si>
  <si>
    <t>D:\CBP_2026.07.21\i#3\rrep\rrep#21_33_result\d#120\v#10\12\ping_collision_summary.csv</t>
  </si>
  <si>
    <t>D:\CBP_2026.07.21\i#3\rrep\rrep#21_33_result\d#120\v#10\13\ping_collision_summary.csv</t>
  </si>
  <si>
    <t>D:\CBP_2026.07.21\i#3\rrep\rrep#21_33_result\d#120\v#10\14\ping_collision_summary.csv</t>
  </si>
  <si>
    <t>D:\CBP_2026.07.21\i#3\rrep\rrep#21_33_result\d#120\v#10\15\ping_collision_summary.csv</t>
  </si>
  <si>
    <t>D:\CBP_2026.07.21\i#3\rrep\rrep#21_33_result\d#120\v#10\16\ping_collision_summary.csv</t>
  </si>
  <si>
    <t>D:\CBP_2026.07.21\i#3\rrep\rrep#21_33_result\d#120\v#10\17\ping_collision_summary.csv</t>
  </si>
  <si>
    <t>D:\CBP_2026.07.21\i#3\rrep\rrep#21_33_result\d#120\v#10\18\ping_collision_summary.csv</t>
  </si>
  <si>
    <t>D:\CBP_2026.07.21\i#3\rrep\rrep#21_33_result\d#120\v#10\19\ping_collision_summary.csv</t>
  </si>
  <si>
    <t>D:\CBP_2026.07.21\i#3\rrep\rrep#21_33_result\d#120\v#10\1\ping_collision_summary.csv</t>
  </si>
  <si>
    <t>D:\CBP_2026.07.21\i#3\rrep\rrep#21_33_result\d#120\v#10\20\ping_collision_summary.csv</t>
  </si>
  <si>
    <t>D:\CBP_2026.07.21\i#3\rrep\rrep#21_33_result\d#120\v#10\21\ping_collision_summary.csv</t>
  </si>
  <si>
    <t>D:\CBP_2026.07.21\i#3\rrep\rrep#21_33_result\d#120\v#10\22\ping_collision_summary.csv</t>
  </si>
  <si>
    <t>D:\CBP_2026.07.21\i#3\rrep\rrep#21_33_result\d#120\v#10\23\ping_collision_summary.csv</t>
  </si>
  <si>
    <t>D:\CBP_2026.07.21\i#3\rrep\rrep#21_33_result\d#120\v#10\24\ping_collision_summary.csv</t>
  </si>
  <si>
    <t>D:\CBP_2026.07.21\i#3\rrep\rrep#21_33_result\d#120\v#10\25\ping_collision_summary.csv</t>
  </si>
  <si>
    <t>D:\CBP_2026.07.21\i#3\rrep\rrep#21_33_result\d#120\v#10\26\ping_collision_summary.csv</t>
  </si>
  <si>
    <t>D:\CBP_2026.07.21\i#3\rrep\rrep#21_33_result\d#120\v#10\27\ping_collision_summary.csv</t>
  </si>
  <si>
    <t>D:\CBP_2026.07.21\i#3\rrep\rrep#21_33_result\d#120\v#10\28\ping_collision_summary.csv</t>
  </si>
  <si>
    <t>D:\CBP_2026.07.21\i#3\rrep\rrep#21_33_result\d#120\v#10\29\ping_collision_summary.csv</t>
  </si>
  <si>
    <t>D:\CBP_2026.07.21\i#3\rrep\rrep#21_33_result\d#120\v#10\2\ping_collision_summary.csv</t>
  </si>
  <si>
    <t>D:\CBP_2026.07.21\i#3\rrep\rrep#21_33_result\d#120\v#10\30\ping_collision_summary.csv</t>
  </si>
  <si>
    <t>D:\CBP_2026.07.21\i#3\rrep\rrep#21_33_result\d#120\v#10\3\ping_collision_summary.csv</t>
  </si>
  <si>
    <t>D:\CBP_2026.07.21\i#3\rrep\rrep#21_33_result\d#120\v#10\4\ping_collision_summary.csv</t>
  </si>
  <si>
    <t>D:\CBP_2026.07.21\i#3\rrep\rrep#21_33_result\d#120\v#10\5\ping_collision_summary.csv</t>
  </si>
  <si>
    <t>D:\CBP_2026.07.21\i#3\rrep\rrep#21_33_result\d#120\v#10\6\ping_collision_summary.csv</t>
  </si>
  <si>
    <t>D:\CBP_2026.07.21\i#3\rrep\rrep#21_33_result\d#120\v#10\7\ping_collision_summary.csv</t>
  </si>
  <si>
    <t>D:\CBP_2026.07.21\i#3\rrep\rrep#21_33_result\d#120\v#10\8\ping_collision_summary.csv</t>
  </si>
  <si>
    <t>D:\CBP_2026.07.21\i#3\rrep\rrep#21_33_result\d#120\v#10\9\ping_collision_summary.csv</t>
  </si>
  <si>
    <t>D:\CBP_2026.07.21\i#3\rrep\rrep#21_33_result\d#120\v#20\0\ping_collision_summary.csv</t>
  </si>
  <si>
    <t>D:\CBP_2026.07.21\i#3\rrep\rrep#21_33_result\d#120\v#20\10\ping_collision_summary.csv</t>
  </si>
  <si>
    <t>D:\CBP_2026.07.21\i#3\rrep\rrep#21_33_result\d#120\v#20\11\ping_collision_summary.csv</t>
  </si>
  <si>
    <t>D:\CBP_2026.07.21\i#3\rrep\rrep#21_33_result\d#120\v#20\12\ping_collision_summary.csv</t>
  </si>
  <si>
    <t>D:\CBP_2026.07.21\i#3\rrep\rrep#21_33_result\d#120\v#20\13\ping_collision_summary.csv</t>
  </si>
  <si>
    <t>D:\CBP_2026.07.21\i#3\rrep\rrep#21_33_result\d#120\v#20\14\ping_collision_summary.csv</t>
  </si>
  <si>
    <t>D:\CBP_2026.07.21\i#3\rrep\rrep#21_33_result\d#120\v#20\15\ping_collision_summary.csv</t>
  </si>
  <si>
    <t>D:\CBP_2026.07.21\i#3\rrep\rrep#21_33_result\d#120\v#20\16\ping_collision_summary.csv</t>
  </si>
  <si>
    <t>D:\CBP_2026.07.21\i#3\rrep\rrep#21_33_result\d#120\v#20\17\ping_collision_summary.csv</t>
  </si>
  <si>
    <t>D:\CBP_2026.07.21\i#3\rrep\rrep#21_33_result\d#120\v#20\18\ping_collision_summary.csv</t>
  </si>
  <si>
    <t>D:\CBP_2026.07.21\i#3\rrep\rrep#21_33_result\d#120\v#20\19\ping_collision_summary.csv</t>
  </si>
  <si>
    <t>D:\CBP_2026.07.21\i#3\rrep\rrep#21_33_result\d#120\v#20\1\ping_collision_summary.csv</t>
  </si>
  <si>
    <t>D:\CBP_2026.07.21\i#3\rrep\rrep#21_33_result\d#120\v#20\20\ping_collision_summary.csv</t>
  </si>
  <si>
    <t>D:\CBP_2026.07.21\i#3\rrep\rrep#21_33_result\d#120\v#20\21\ping_collision_summary.csv</t>
  </si>
  <si>
    <t>D:\CBP_2026.07.21\i#3\rrep\rrep#21_33_result\d#120\v#20\22\ping_collision_summary.csv</t>
  </si>
  <si>
    <t>D:\CBP_2026.07.21\i#3\rrep\rrep#21_33_result\d#120\v#20\23\ping_collision_summary.csv</t>
  </si>
  <si>
    <t>D:\CBP_2026.07.21\i#3\rrep\rrep#21_33_result\d#120\v#20\24\ping_collision_summary.csv</t>
  </si>
  <si>
    <t>D:\CBP_2026.07.21\i#3\rrep\rrep#21_33_result\d#120\v#20\25\ping_collision_summary.csv</t>
  </si>
  <si>
    <t>D:\CBP_2026.07.21\i#3\rrep\rrep#21_33_result\d#120\v#20\26\ping_collision_summary.csv</t>
  </si>
  <si>
    <t>D:\CBP_2026.07.21\i#3\rrep\rrep#21_33_result\d#120\v#20\27\ping_collision_summary.csv</t>
  </si>
  <si>
    <t>D:\CBP_2026.07.21\i#3\rrep\rrep#21_33_result\d#120\v#20\28\ping_collision_summary.csv</t>
  </si>
  <si>
    <t>D:\CBP_2026.07.21\i#3\rrep\rrep#21_33_result\d#120\v#20\29\ping_collision_summary.csv</t>
  </si>
  <si>
    <t>D:\CBP_2026.07.21\i#3\rrep\rrep#21_33_result\d#120\v#20\2\ping_collision_summary.csv</t>
  </si>
  <si>
    <t>D:\CBP_2026.07.21\i#3\rrep\rrep#21_33_result\d#120\v#20\30\ping_collision_summary.csv</t>
  </si>
  <si>
    <t>D:\CBP_2026.07.21\i#3\rrep\rrep#21_33_result\d#120\v#20\3\ping_collision_summary.csv</t>
  </si>
  <si>
    <t>D:\CBP_2026.07.21\i#3\rrep\rrep#21_33_result\d#120\v#20\4\ping_collision_summary.csv</t>
  </si>
  <si>
    <t>D:\CBP_2026.07.21\i#3\rrep\rrep#21_33_result\d#120\v#20\5\ping_collision_summary.csv</t>
  </si>
  <si>
    <t>D:\CBP_2026.07.21\i#3\rrep\rrep#21_33_result\d#120\v#20\6\ping_collision_summary.csv</t>
  </si>
  <si>
    <t>D:\CBP_2026.07.21\i#3\rrep\rrep#21_33_result\d#120\v#20\7\ping_collision_summary.csv</t>
  </si>
  <si>
    <t>D:\CBP_2026.07.21\i#3\rrep\rrep#21_33_result\d#120\v#20\8\ping_collision_summary.csv</t>
  </si>
  <si>
    <t>D:\CBP_2026.07.21\i#3\rrep\rrep#21_33_result\d#120\v#20\9\ping_collision_summary.csv</t>
  </si>
  <si>
    <t>D:\CBP_2026.07.21\i#3\rrep\rrep#21_33_result\d#120\v#30\0\ping_collision_summary.csv</t>
  </si>
  <si>
    <t>D:\CBP_2026.07.21\i#3\rrep\rrep#21_33_result\d#120\v#30\10\ping_collision_summary.csv</t>
  </si>
  <si>
    <t>D:\CBP_2026.07.21\i#3\rrep\rrep#21_33_result\d#120\v#30\11\ping_collision_summary.csv</t>
  </si>
  <si>
    <t>D:\CBP_2026.07.21\i#3\rrep\rrep#21_33_result\d#120\v#30\12\ping_collision_summary.csv</t>
  </si>
  <si>
    <t>D:\CBP_2026.07.21\i#3\rrep\rrep#21_33_result\d#120\v#30\13\ping_collision_summary.csv</t>
  </si>
  <si>
    <t>D:\CBP_2026.07.21\i#3\rrep\rrep#21_33_result\d#120\v#30\14\ping_collision_summary.csv</t>
  </si>
  <si>
    <t>D:\CBP_2026.07.21\i#3\rrep\rrep#21_33_result\d#120\v#30\15\ping_collision_summary.csv</t>
  </si>
  <si>
    <t>D:\CBP_2026.07.21\i#3\rrep\rrep#21_33_result\d#120\v#30\16\ping_collision_summary.csv</t>
  </si>
  <si>
    <t>D:\CBP_2026.07.21\i#3\rrep\rrep#21_33_result\d#120\v#30\17\ping_collision_summary.csv</t>
  </si>
  <si>
    <t>D:\CBP_2026.07.21\i#3\rrep\rrep#21_33_result\d#120\v#30\18\ping_collision_summary.csv</t>
  </si>
  <si>
    <t>D:\CBP_2026.07.21\i#3\rrep\rrep#21_33_result\d#120\v#30\19\ping_collision_summary.csv</t>
  </si>
  <si>
    <t>D:\CBP_2026.07.21\i#3\rrep\rrep#21_33_result\d#120\v#30\1\ping_collision_summary.csv</t>
  </si>
  <si>
    <t>D:\CBP_2026.07.21\i#3\rrep\rrep#21_33_result\d#120\v#30\20\ping_collision_summary.csv</t>
  </si>
  <si>
    <t>D:\CBP_2026.07.21\i#3\rrep\rrep#21_33_result\d#120\v#30\21\ping_collision_summary.csv</t>
  </si>
  <si>
    <t>D:\CBP_2026.07.21\i#3\rrep\rrep#21_33_result\d#120\v#30\22\ping_collision_summary.csv</t>
  </si>
  <si>
    <t>D:\CBP_2026.07.21\i#3\rrep\rrep#21_33_result\d#120\v#30\23\ping_collision_summary.csv</t>
  </si>
  <si>
    <t>D:\CBP_2026.07.21\i#3\rrep\rrep#21_33_result\d#120\v#30\24\ping_collision_summary.csv</t>
  </si>
  <si>
    <t>D:\CBP_2026.07.21\i#3\rrep\rrep#21_33_result\d#120\v#30\25\ping_collision_summary.csv</t>
  </si>
  <si>
    <t>D:\CBP_2026.07.21\i#3\rrep\rrep#21_33_result\d#120\v#30\26\ping_collision_summary.csv</t>
  </si>
  <si>
    <t>D:\CBP_2026.07.21\i#3\rrep\rrep#21_33_result\d#120\v#30\27\ping_collision_summary.csv</t>
  </si>
  <si>
    <t>D:\CBP_2026.07.21\i#3\rrep\rrep#21_33_result\d#120\v#30\28\ping_collision_summary.csv</t>
  </si>
  <si>
    <t>D:\CBP_2026.07.21\i#3\rrep\rrep#21_33_result\d#120\v#30\29\ping_collision_summary.csv</t>
  </si>
  <si>
    <t>D:\CBP_2026.07.21\i#3\rrep\rrep#21_33_result\d#120\v#30\2\ping_collision_summary.csv</t>
  </si>
  <si>
    <t>D:\CBP_2026.07.21\i#3\rrep\rrep#21_33_result\d#120\v#30\30\ping_collision_summary.csv</t>
  </si>
  <si>
    <t>D:\CBP_2026.07.21\i#3\rrep\rrep#21_33_result\d#120\v#30\3\ping_collision_summary.csv</t>
  </si>
  <si>
    <t>D:\CBP_2026.07.21\i#3\rrep\rrep#21_33_result\d#120\v#30\4\ping_collision_summary.csv</t>
  </si>
  <si>
    <t>D:\CBP_2026.07.21\i#3\rrep\rrep#21_33_result\d#120\v#30\5\ping_collision_summary.csv</t>
  </si>
  <si>
    <t>D:\CBP_2026.07.21\i#3\rrep\rrep#21_33_result\d#120\v#30\6\ping_collision_summary.csv</t>
  </si>
  <si>
    <t>D:\CBP_2026.07.21\i#3\rrep\rrep#21_33_result\d#120\v#30\7\ping_collision_summary.csv</t>
  </si>
  <si>
    <t>D:\CBP_2026.07.21\i#3\rrep\rrep#21_33_result\d#120\v#30\8\ping_collision_summary.csv</t>
  </si>
  <si>
    <t>D:\CBP_2026.07.21\i#3\rrep\rrep#21_33_result\d#120\v#30\9\ping_collision_summary.csv</t>
  </si>
  <si>
    <t>D:\CBP_2026.07.21\i#3\rrep\rrep#21_33_result\d#70\v#10\0\ping_collision_summary.csv</t>
  </si>
  <si>
    <t>D:\CBP_2026.07.21\i#3\rrep\rrep#21_33_result\d#70\v#10\10\ping_collision_summary.csv</t>
  </si>
  <si>
    <t>D:\CBP_2026.07.21\i#3\rrep\rrep#21_33_result\d#70\v#10\11\ping_collision_summary.csv</t>
  </si>
  <si>
    <t>D:\CBP_2026.07.21\i#3\rrep\rrep#21_33_result\d#70\v#10\12\ping_collision_summary.csv</t>
  </si>
  <si>
    <t>D:\CBP_2026.07.21\i#3\rrep\rrep#21_33_result\d#70\v#10\13\ping_collision_summary.csv</t>
  </si>
  <si>
    <t>D:\CBP_2026.07.21\i#3\rrep\rrep#21_33_result\d#70\v#10\14\ping_collision_summary.csv</t>
  </si>
  <si>
    <t>D:\CBP_2026.07.21\i#3\rrep\rrep#21_33_result\d#70\v#10\15\ping_collision_summary.csv</t>
  </si>
  <si>
    <t>D:\CBP_2026.07.21\i#3\rrep\rrep#21_33_result\d#70\v#10\16\ping_collision_summary.csv</t>
  </si>
  <si>
    <t>D:\CBP_2026.07.21\i#3\rrep\rrep#21_33_result\d#70\v#10\17\ping_collision_summary.csv</t>
  </si>
  <si>
    <t>D:\CBP_2026.07.21\i#3\rrep\rrep#21_33_result\d#70\v#10\18\ping_collision_summary.csv</t>
  </si>
  <si>
    <t>D:\CBP_2026.07.21\i#3\rrep\rrep#21_33_result\d#70\v#10\19\ping_collision_summary.csv</t>
  </si>
  <si>
    <t>D:\CBP_2026.07.21\i#3\rrep\rrep#21_33_result\d#70\v#10\1\ping_collision_summary.csv</t>
  </si>
  <si>
    <t>D:\CBP_2026.07.21\i#3\rrep\rrep#21_33_result\d#70\v#10\20\ping_collision_summary.csv</t>
  </si>
  <si>
    <t>D:\CBP_2026.07.21\i#3\rrep\rrep#21_33_result\d#70\v#10\21\ping_collision_summary.csv</t>
  </si>
  <si>
    <t>D:\CBP_2026.07.21\i#3\rrep\rrep#21_33_result\d#70\v#10\22\ping_collision_summary.csv</t>
  </si>
  <si>
    <t>D:\CBP_2026.07.21\i#3\rrep\rrep#21_33_result\d#70\v#10\23\ping_collision_summary.csv</t>
  </si>
  <si>
    <t>D:\CBP_2026.07.21\i#3\rrep\rrep#21_33_result\d#70\v#10\24\ping_collision_summary.csv</t>
  </si>
  <si>
    <t>D:\CBP_2026.07.21\i#3\rrep\rrep#21_33_result\d#70\v#10\25\ping_collision_summary.csv</t>
  </si>
  <si>
    <t>D:\CBP_2026.07.21\i#3\rrep\rrep#21_33_result\d#70\v#10\26\ping_collision_summary.csv</t>
  </si>
  <si>
    <t>D:\CBP_2026.07.21\i#3\rrep\rrep#21_33_result\d#70\v#10\27\ping_collision_summary.csv</t>
  </si>
  <si>
    <t>D:\CBP_2026.07.21\i#3\rrep\rrep#21_33_result\d#70\v#10\28\ping_collision_summary.csv</t>
  </si>
  <si>
    <t>D:\CBP_2026.07.21\i#3\rrep\rrep#21_33_result\d#70\v#10\29\ping_collision_summary.csv</t>
  </si>
  <si>
    <t>D:\CBP_2026.07.21\i#3\rrep\rrep#21_33_result\d#70\v#10\2\ping_collision_summary.csv</t>
  </si>
  <si>
    <t>D:\CBP_2026.07.21\i#3\rrep\rrep#21_33_result\d#70\v#10\30\ping_collision_summary.csv</t>
  </si>
  <si>
    <t>D:\CBP_2026.07.21\i#3\rrep\rrep#21_33_result\d#70\v#10\3\ping_collision_summary.csv</t>
  </si>
  <si>
    <t>D:\CBP_2026.07.21\i#3\rrep\rrep#21_33_result\d#70\v#10\4\ping_collision_summary.csv</t>
  </si>
  <si>
    <t>D:\CBP_2026.07.21\i#3\rrep\rrep#21_33_result\d#70\v#10\5\ping_collision_summary.csv</t>
  </si>
  <si>
    <t>D:\CBP_2026.07.21\i#3\rrep\rrep#21_33_result\d#70\v#10\6\ping_collision_summary.csv</t>
  </si>
  <si>
    <t>D:\CBP_2026.07.21\i#3\rrep\rrep#21_33_result\d#70\v#10\7\ping_collision_summary.csv</t>
  </si>
  <si>
    <t>D:\CBP_2026.07.21\i#3\rrep\rrep#21_33_result\d#70\v#10\8\ping_collision_summary.csv</t>
  </si>
  <si>
    <t>D:\CBP_2026.07.21\i#3\rrep\rrep#21_33_result\d#70\v#10\9\ping_collision_summary.csv</t>
  </si>
  <si>
    <t>D:\CBP_2026.07.21\i#3\rrep\rrep#21_33_result\d#70\v#20\0\ping_collision_summary.csv</t>
  </si>
  <si>
    <t>D:\CBP_2026.07.21\i#3\rrep\rrep#21_33_result\d#70\v#20\10\ping_collision_summary.csv</t>
  </si>
  <si>
    <t>D:\CBP_2026.07.21\i#3\rrep\rrep#21_33_result\d#70\v#20\11\ping_collision_summary.csv</t>
  </si>
  <si>
    <t>D:\CBP_2026.07.21\i#3\rrep\rrep#21_33_result\d#70\v#20\12\ping_collision_summary.csv</t>
  </si>
  <si>
    <t>D:\CBP_2026.07.21\i#3\rrep\rrep#21_33_result\d#70\v#20\13\ping_collision_summary.csv</t>
  </si>
  <si>
    <t>D:\CBP_2026.07.21\i#3\rrep\rrep#21_33_result\d#70\v#20\14\ping_collision_summary.csv</t>
  </si>
  <si>
    <t>D:\CBP_2026.07.21\i#3\rrep\rrep#21_33_result\d#70\v#20\15\ping_collision_summary.csv</t>
  </si>
  <si>
    <t>D:\CBP_2026.07.21\i#3\rrep\rrep#21_33_result\d#70\v#20\16\ping_collision_summary.csv</t>
  </si>
  <si>
    <t>D:\CBP_2026.07.21\i#3\rrep\rrep#21_33_result\d#70\v#20\17\ping_collision_summary.csv</t>
  </si>
  <si>
    <t>D:\CBP_2026.07.21\i#3\rrep\rrep#21_33_result\d#70\v#20\18\ping_collision_summary.csv</t>
  </si>
  <si>
    <t>D:\CBP_2026.07.21\i#3\rrep\rrep#21_33_result\d#70\v#20\19\ping_collision_summary.csv</t>
  </si>
  <si>
    <t>D:\CBP_2026.07.21\i#3\rrep\rrep#21_33_result\d#70\v#20\1\ping_collision_summary.csv</t>
  </si>
  <si>
    <t>D:\CBP_2026.07.21\i#3\rrep\rrep#21_33_result\d#70\v#20\20\ping_collision_summary.csv</t>
  </si>
  <si>
    <t>D:\CBP_2026.07.21\i#3\rrep\rrep#21_33_result\d#70\v#20\21\ping_collision_summary.csv</t>
  </si>
  <si>
    <t>D:\CBP_2026.07.21\i#3\rrep\rrep#21_33_result\d#70\v#20\22\ping_collision_summary.csv</t>
  </si>
  <si>
    <t>D:\CBP_2026.07.21\i#3\rrep\rrep#21_33_result\d#70\v#20\23\ping_collision_summary.csv</t>
  </si>
  <si>
    <t>D:\CBP_2026.07.21\i#3\rrep\rrep#21_33_result\d#70\v#20\24\ping_collision_summary.csv</t>
  </si>
  <si>
    <t>D:\CBP_2026.07.21\i#3\rrep\rrep#21_33_result\d#70\v#20\25\ping_collision_summary.csv</t>
  </si>
  <si>
    <t>D:\CBP_2026.07.21\i#3\rrep\rrep#21_33_result\d#70\v#20\26\ping_collision_summary.csv</t>
  </si>
  <si>
    <t>D:\CBP_2026.07.21\i#3\rrep\rrep#21_33_result\d#70\v#20\27\ping_collision_summary.csv</t>
  </si>
  <si>
    <t>D:\CBP_2026.07.21\i#3\rrep\rrep#21_33_result\d#70\v#20\28\ping_collision_summary.csv</t>
  </si>
  <si>
    <t>D:\CBP_2026.07.21\i#3\rrep\rrep#21_33_result\d#70\v#20\29\ping_collision_summary.csv</t>
  </si>
  <si>
    <t>D:\CBP_2026.07.21\i#3\rrep\rrep#21_33_result\d#70\v#20\2\ping_collision_summary.csv</t>
  </si>
  <si>
    <t>D:\CBP_2026.07.21\i#3\rrep\rrep#21_33_result\d#70\v#20\30\ping_collision_summary.csv</t>
  </si>
  <si>
    <t>D:\CBP_2026.07.21\i#3\rrep\rrep#21_33_result\d#70\v#20\3\ping_collision_summary.csv</t>
  </si>
  <si>
    <t>D:\CBP_2026.07.21\i#3\rrep\rrep#21_33_result\d#70\v#20\4\ping_collision_summary.csv</t>
  </si>
  <si>
    <t>D:\CBP_2026.07.21\i#3\rrep\rrep#21_33_result\d#70\v#20\5\ping_collision_summary.csv</t>
  </si>
  <si>
    <t>D:\CBP_2026.07.21\i#3\rrep\rrep#21_33_result\d#70\v#20\6\ping_collision_summary.csv</t>
  </si>
  <si>
    <t>D:\CBP_2026.07.21\i#3\rrep\rrep#21_33_result\d#70\v#20\7\ping_collision_summary.csv</t>
  </si>
  <si>
    <t>D:\CBP_2026.07.21\i#3\rrep\rrep#21_33_result\d#70\v#20\8\ping_collision_summary.csv</t>
  </si>
  <si>
    <t>D:\CBP_2026.07.21\i#3\rrep\rrep#21_33_result\d#70\v#20\9\ping_collision_summary.csv</t>
  </si>
  <si>
    <t>D:\CBP_2026.07.21\i#3\rrep\rrep#21_33_result\d#70\v#30\0\ping_collision_summary.csv</t>
  </si>
  <si>
    <t>D:\CBP_2026.07.21\i#3\rrep\rrep#21_33_result\d#70\v#30\10\ping_collision_summary.csv</t>
  </si>
  <si>
    <t>D:\CBP_2026.07.21\i#3\rrep\rrep#21_33_result\d#70\v#30\11\ping_collision_summary.csv</t>
  </si>
  <si>
    <t>D:\CBP_2026.07.21\i#3\rrep\rrep#21_33_result\d#70\v#30\12\ping_collision_summary.csv</t>
  </si>
  <si>
    <t>D:\CBP_2026.07.21\i#3\rrep\rrep#21_33_result\d#70\v#30\13\ping_collision_summary.csv</t>
  </si>
  <si>
    <t>D:\CBP_2026.07.21\i#3\rrep\rrep#21_33_result\d#70\v#30\14\ping_collision_summary.csv</t>
  </si>
  <si>
    <t>D:\CBP_2026.07.21\i#3\rrep\rrep#21_33_result\d#70\v#30\15\ping_collision_summary.csv</t>
  </si>
  <si>
    <t>D:\CBP_2026.07.21\i#3\rrep\rrep#21_33_result\d#70\v#30\16\ping_collision_summary.csv</t>
  </si>
  <si>
    <t>D:\CBP_2026.07.21\i#3\rrep\rrep#21_33_result\d#70\v#30\17\ping_collision_summary.csv</t>
  </si>
  <si>
    <t>D:\CBP_2026.07.21\i#3\rrep\rrep#21_33_result\d#70\v#30\18\ping_collision_summary.csv</t>
  </si>
  <si>
    <t>D:\CBP_2026.07.21\i#3\rrep\rrep#21_33_result\d#70\v#30\19\ping_collision_summary.csv</t>
  </si>
  <si>
    <t>D:\CBP_2026.07.21\i#3\rrep\rrep#21_33_result\d#70\v#30\1\ping_collision_summary.csv</t>
  </si>
  <si>
    <t>D:\CBP_2026.07.21\i#3\rrep\rrep#21_33_result\d#70\v#30\20\ping_collision_summary.csv</t>
  </si>
  <si>
    <t>D:\CBP_2026.07.21\i#3\rrep\rrep#21_33_result\d#70\v#30\21\ping_collision_summary.csv</t>
  </si>
  <si>
    <t>D:\CBP_2026.07.21\i#3\rrep\rrep#21_33_result\d#70\v#30\22\ping_collision_summary.csv</t>
  </si>
  <si>
    <t>D:\CBP_2026.07.21\i#3\rrep\rrep#21_33_result\d#70\v#30\23\ping_collision_summary.csv</t>
  </si>
  <si>
    <t>D:\CBP_2026.07.21\i#3\rrep\rrep#21_33_result\d#70\v#30\24\ping_collision_summary.csv</t>
  </si>
  <si>
    <t>D:\CBP_2026.07.21\i#3\rrep\rrep#21_33_result\d#70\v#30\25\ping_collision_summary.csv</t>
  </si>
  <si>
    <t>D:\CBP_2026.07.21\i#3\rrep\rrep#21_33_result\d#70\v#30\26\ping_collision_summary.csv</t>
  </si>
  <si>
    <t>D:\CBP_2026.07.21\i#3\rrep\rrep#21_33_result\d#70\v#30\27\ping_collision_summary.csv</t>
  </si>
  <si>
    <t>D:\CBP_2026.07.21\i#3\rrep\rrep#21_33_result\d#70\v#30\28\ping_collision_summary.csv</t>
  </si>
  <si>
    <t>D:\CBP_2026.07.21\i#3\rrep\rrep#21_33_result\d#70\v#30\29\ping_collision_summary.csv</t>
  </si>
  <si>
    <t>D:\CBP_2026.07.21\i#3\rrep\rrep#21_33_result\d#70\v#30\2\ping_collision_summary.csv</t>
  </si>
  <si>
    <t>D:\CBP_2026.07.21\i#3\rrep\rrep#21_33_result\d#70\v#30\30\ping_collision_summary.csv</t>
  </si>
  <si>
    <t>D:\CBP_2026.07.21\i#3\rrep\rrep#21_33_result\d#70\v#30\3\ping_collision_summary.csv</t>
  </si>
  <si>
    <t>D:\CBP_2026.07.21\i#3\rrep\rrep#21_33_result\d#70\v#30\4\ping_collision_summary.csv</t>
  </si>
  <si>
    <t>D:\CBP_2026.07.21\i#3\rrep\rrep#21_33_result\d#70\v#30\5\ping_collision_summary.csv</t>
  </si>
  <si>
    <t>D:\CBP_2026.07.21\i#3\rrep\rrep#21_33_result\d#70\v#30\6\ping_collision_summary.csv</t>
  </si>
  <si>
    <t>D:\CBP_2026.07.21\i#3\rrep\rrep#21_33_result\d#70\v#30\7\ping_collision_summary.csv</t>
  </si>
  <si>
    <t>D:\CBP_2026.07.21\i#3\rrep\rrep#21_33_result\d#70\v#30\8\ping_collision_summary.csv</t>
  </si>
  <si>
    <t>D:\CBP_2026.07.21\i#3\rrep\rrep#21_33_result\d#70\v#30\9\ping_collision_summary.csv</t>
  </si>
  <si>
    <t>D:\CBP_2026.07.21\i#3\rrep\rrep#33_44_result\d#100\v#10\0\ping_collision_summary.csv</t>
  </si>
  <si>
    <t>D:\CBP_2026.07.21\i#3\rrep\rrep#33_44_result\d#100\v#10\10\ping_collision_summary.csv</t>
  </si>
  <si>
    <t>D:\CBP_2026.07.21\i#3\rrep\rrep#33_44_result\d#100\v#10\11\ping_collision_summary.csv</t>
  </si>
  <si>
    <t>D:\CBP_2026.07.21\i#3\rrep\rrep#33_44_result\d#100\v#10\12\ping_collision_summary.csv</t>
  </si>
  <si>
    <t>D:\CBP_2026.07.21\i#3\rrep\rrep#33_44_result\d#100\v#10\13\ping_collision_summary.csv</t>
  </si>
  <si>
    <t>D:\CBP_2026.07.21\i#3\rrep\rrep#33_44_result\d#100\v#10\14\ping_collision_summary.csv</t>
  </si>
  <si>
    <t>D:\CBP_2026.07.21\i#3\rrep\rrep#33_44_result\d#100\v#10\15\ping_collision_summary.csv</t>
  </si>
  <si>
    <t>D:\CBP_2026.07.21\i#3\rrep\rrep#33_44_result\d#100\v#10\16\ping_collision_summary.csv</t>
  </si>
  <si>
    <t>D:\CBP_2026.07.21\i#3\rrep\rrep#33_44_result\d#100\v#10\17\ping_collision_summary.csv</t>
  </si>
  <si>
    <t>D:\CBP_2026.07.21\i#3\rrep\rrep#33_44_result\d#100\v#10\18\ping_collision_summary.csv</t>
  </si>
  <si>
    <t>D:\CBP_2026.07.21\i#3\rrep\rrep#33_44_result\d#100\v#10\19\ping_collision_summary.csv</t>
  </si>
  <si>
    <t>D:\CBP_2026.07.21\i#3\rrep\rrep#33_44_result\d#100\v#10\1\ping_collision_summary.csv</t>
  </si>
  <si>
    <t>D:\CBP_2026.07.21\i#3\rrep\rrep#33_44_result\d#100\v#10\20\ping_collision_summary.csv</t>
  </si>
  <si>
    <t>D:\CBP_2026.07.21\i#3\rrep\rrep#33_44_result\d#100\v#10\21\ping_collision_summary.csv</t>
  </si>
  <si>
    <t>D:\CBP_2026.07.21\i#3\rrep\rrep#33_44_result\d#100\v#10\22\ping_collision_summary.csv</t>
  </si>
  <si>
    <t>D:\CBP_2026.07.21\i#3\rrep\rrep#33_44_result\d#100\v#10\23\ping_collision_summary.csv</t>
  </si>
  <si>
    <t>D:\CBP_2026.07.21\i#3\rrep\rrep#33_44_result\d#100\v#10\24\ping_collision_summary.csv</t>
  </si>
  <si>
    <t>D:\CBP_2026.07.21\i#3\rrep\rrep#33_44_result\d#100\v#10\25\ping_collision_summary.csv</t>
  </si>
  <si>
    <t>D:\CBP_2026.07.21\i#3\rrep\rrep#33_44_result\d#100\v#10\26\ping_collision_summary.csv</t>
  </si>
  <si>
    <t>D:\CBP_2026.07.21\i#3\rrep\rrep#33_44_result\d#100\v#10\27\ping_collision_summary.csv</t>
  </si>
  <si>
    <t>D:\CBP_2026.07.21\i#3\rrep\rrep#33_44_result\d#100\v#10\28\ping_collision_summary.csv</t>
  </si>
  <si>
    <t>D:\CBP_2026.07.21\i#3\rrep\rrep#33_44_result\d#100\v#10\29\ping_collision_summary.csv</t>
  </si>
  <si>
    <t>D:\CBP_2026.07.21\i#3\rrep\rrep#33_44_result\d#100\v#10\2\ping_collision_summary.csv</t>
  </si>
  <si>
    <t>D:\CBP_2026.07.21\i#3\rrep\rrep#33_44_result\d#100\v#10\30\ping_collision_summary.csv</t>
  </si>
  <si>
    <t>D:\CBP_2026.07.21\i#3\rrep\rrep#33_44_result\d#100\v#10\3\ping_collision_summary.csv</t>
  </si>
  <si>
    <t>D:\CBP_2026.07.21\i#3\rrep\rrep#33_44_result\d#100\v#10\4\ping_collision_summary.csv</t>
  </si>
  <si>
    <t>D:\CBP_2026.07.21\i#3\rrep\rrep#33_44_result\d#100\v#10\5\ping_collision_summary.csv</t>
  </si>
  <si>
    <t>D:\CBP_2026.07.21\i#3\rrep\rrep#33_44_result\d#100\v#10\6\ping_collision_summary.csv</t>
  </si>
  <si>
    <t>D:\CBP_2026.07.21\i#3\rrep\rrep#33_44_result\d#100\v#10\7\ping_collision_summary.csv</t>
  </si>
  <si>
    <t>D:\CBP_2026.07.21\i#3\rrep\rrep#33_44_result\d#100\v#10\8\ping_collision_summary.csv</t>
  </si>
  <si>
    <t>D:\CBP_2026.07.21\i#3\rrep\rrep#33_44_result\d#100\v#10\9\ping_collision_summary.csv</t>
  </si>
  <si>
    <t>D:\CBP_2026.07.21\i#3\rrep\rrep#33_44_result\d#100\v#20\0\ping_collision_summary.csv</t>
  </si>
  <si>
    <t>D:\CBP_2026.07.21\i#3\rrep\rrep#33_44_result\d#100\v#20\10\ping_collision_summary.csv</t>
  </si>
  <si>
    <t>D:\CBP_2026.07.21\i#3\rrep\rrep#33_44_result\d#100\v#20\11\ping_collision_summary.csv</t>
  </si>
  <si>
    <t>D:\CBP_2026.07.21\i#3\rrep\rrep#33_44_result\d#100\v#20\12\ping_collision_summary.csv</t>
  </si>
  <si>
    <t>D:\CBP_2026.07.21\i#3\rrep\rrep#33_44_result\d#100\v#20\13\ping_collision_summary.csv</t>
  </si>
  <si>
    <t>D:\CBP_2026.07.21\i#3\rrep\rrep#33_44_result\d#100\v#20\14\ping_collision_summary.csv</t>
  </si>
  <si>
    <t>D:\CBP_2026.07.21\i#3\rrep\rrep#33_44_result\d#100\v#20\15\ping_collision_summary.csv</t>
  </si>
  <si>
    <t>D:\CBP_2026.07.21\i#3\rrep\rrep#33_44_result\d#100\v#20\16\ping_collision_summary.csv</t>
  </si>
  <si>
    <t>D:\CBP_2026.07.21\i#3\rrep\rrep#33_44_result\d#100\v#20\17\ping_collision_summary.csv</t>
  </si>
  <si>
    <t>D:\CBP_2026.07.21\i#3\rrep\rrep#33_44_result\d#100\v#20\18\ping_collision_summary.csv</t>
  </si>
  <si>
    <t>D:\CBP_2026.07.21\i#3\rrep\rrep#33_44_result\d#100\v#20\19\ping_collision_summary.csv</t>
  </si>
  <si>
    <t>D:\CBP_2026.07.21\i#3\rrep\rrep#33_44_result\d#100\v#20\1\ping_collision_summary.csv</t>
  </si>
  <si>
    <t>D:\CBP_2026.07.21\i#3\rrep\rrep#33_44_result\d#100\v#20\20\ping_collision_summary.csv</t>
  </si>
  <si>
    <t>D:\CBP_2026.07.21\i#3\rrep\rrep#33_44_result\d#100\v#20\21\ping_collision_summary.csv</t>
  </si>
  <si>
    <t>D:\CBP_2026.07.21\i#3\rrep\rrep#33_44_result\d#100\v#20\22\ping_collision_summary.csv</t>
  </si>
  <si>
    <t>D:\CBP_2026.07.21\i#3\rrep\rrep#33_44_result\d#100\v#20\23\ping_collision_summary.csv</t>
  </si>
  <si>
    <t>D:\CBP_2026.07.21\i#3\rrep\rrep#33_44_result\d#100\v#20\24\ping_collision_summary.csv</t>
  </si>
  <si>
    <t>D:\CBP_2026.07.21\i#3\rrep\rrep#33_44_result\d#100\v#20\25\ping_collision_summary.csv</t>
  </si>
  <si>
    <t>D:\CBP_2026.07.21\i#3\rrep\rrep#33_44_result\d#100\v#20\26\ping_collision_summary.csv</t>
  </si>
  <si>
    <t>D:\CBP_2026.07.21\i#3\rrep\rrep#33_44_result\d#100\v#20\27\ping_collision_summary.csv</t>
  </si>
  <si>
    <t>D:\CBP_2026.07.21\i#3\rrep\rrep#33_44_result\d#100\v#20\28\ping_collision_summary.csv</t>
  </si>
  <si>
    <t>D:\CBP_2026.07.21\i#3\rrep\rrep#33_44_result\d#100\v#20\29\ping_collision_summary.csv</t>
  </si>
  <si>
    <t>D:\CBP_2026.07.21\i#3\rrep\rrep#33_44_result\d#100\v#20\2\ping_collision_summary.csv</t>
  </si>
  <si>
    <t>D:\CBP_2026.07.21\i#3\rrep\rrep#33_44_result\d#100\v#20\30\ping_collision_summary.csv</t>
  </si>
  <si>
    <t>D:\CBP_2026.07.21\i#3\rrep\rrep#33_44_result\d#100\v#20\3\ping_collision_summary.csv</t>
  </si>
  <si>
    <t>D:\CBP_2026.07.21\i#3\rrep\rrep#33_44_result\d#100\v#20\4\ping_collision_summary.csv</t>
  </si>
  <si>
    <t>D:\CBP_2026.07.21\i#3\rrep\rrep#33_44_result\d#100\v#20\5\ping_collision_summary.csv</t>
  </si>
  <si>
    <t>D:\CBP_2026.07.21\i#3\rrep\rrep#33_44_result\d#100\v#20\6\ping_collision_summary.csv</t>
  </si>
  <si>
    <t>D:\CBP_2026.07.21\i#3\rrep\rrep#33_44_result\d#100\v#20\7\ping_collision_summary.csv</t>
  </si>
  <si>
    <t>D:\CBP_2026.07.21\i#3\rrep\rrep#33_44_result\d#100\v#20\8\ping_collision_summary.csv</t>
  </si>
  <si>
    <t>D:\CBP_2026.07.21\i#3\rrep\rrep#33_44_result\d#100\v#20\9\ping_collision_summary.csv</t>
  </si>
  <si>
    <t>D:\CBP_2026.07.21\i#3\rrep\rrep#33_44_result\d#100\v#30\0\ping_collision_summary.csv</t>
  </si>
  <si>
    <t>D:\CBP_2026.07.21\i#3\rrep\rrep#33_44_result\d#100\v#30\10\ping_collision_summary.csv</t>
  </si>
  <si>
    <t>D:\CBP_2026.07.21\i#3\rrep\rrep#33_44_result\d#100\v#30\11\ping_collision_summary.csv</t>
  </si>
  <si>
    <t>D:\CBP_2026.07.21\i#3\rrep\rrep#33_44_result\d#100\v#30\12\ping_collision_summary.csv</t>
  </si>
  <si>
    <t>D:\CBP_2026.07.21\i#3\rrep\rrep#33_44_result\d#100\v#30\13\ping_collision_summary.csv</t>
  </si>
  <si>
    <t>D:\CBP_2026.07.21\i#3\rrep\rrep#33_44_result\d#100\v#30\14\ping_collision_summary.csv</t>
  </si>
  <si>
    <t>D:\CBP_2026.07.21\i#3\rrep\rrep#33_44_result\d#100\v#30\15\ping_collision_summary.csv</t>
  </si>
  <si>
    <t>D:\CBP_2026.07.21\i#3\rrep\rrep#33_44_result\d#100\v#30\16\ping_collision_summary.csv</t>
  </si>
  <si>
    <t>D:\CBP_2026.07.21\i#3\rrep\rrep#33_44_result\d#100\v#30\17\ping_collision_summary.csv</t>
  </si>
  <si>
    <t>D:\CBP_2026.07.21\i#3\rrep\rrep#33_44_result\d#100\v#30\18\ping_collision_summary.csv</t>
  </si>
  <si>
    <t>D:\CBP_2026.07.21\i#3\rrep\rrep#33_44_result\d#100\v#30\19\ping_collision_summary.csv</t>
  </si>
  <si>
    <t>D:\CBP_2026.07.21\i#3\rrep\rrep#33_44_result\d#100\v#30\1\ping_collision_summary.csv</t>
  </si>
  <si>
    <t>D:\CBP_2026.07.21\i#3\rrep\rrep#33_44_result\d#100\v#30\20\ping_collision_summary.csv</t>
  </si>
  <si>
    <t>D:\CBP_2026.07.21\i#3\rrep\rrep#33_44_result\d#100\v#30\21\ping_collision_summary.csv</t>
  </si>
  <si>
    <t>D:\CBP_2026.07.21\i#3\rrep\rrep#33_44_result\d#100\v#30\22\ping_collision_summary.csv</t>
  </si>
  <si>
    <t>D:\CBP_2026.07.21\i#3\rrep\rrep#33_44_result\d#100\v#30\23\ping_collision_summary.csv</t>
  </si>
  <si>
    <t>D:\CBP_2026.07.21\i#3\rrep\rrep#33_44_result\d#100\v#30\24\ping_collision_summary.csv</t>
  </si>
  <si>
    <t>D:\CBP_2026.07.21\i#3\rrep\rrep#33_44_result\d#100\v#30\25\ping_collision_summary.csv</t>
  </si>
  <si>
    <t>D:\CBP_2026.07.21\i#3\rrep\rrep#33_44_result\d#100\v#30\26\ping_collision_summary.csv</t>
  </si>
  <si>
    <t>D:\CBP_2026.07.21\i#3\rrep\rrep#33_44_result\d#100\v#30\27\ping_collision_summary.csv</t>
  </si>
  <si>
    <t>D:\CBP_2026.07.21\i#3\rrep\rrep#33_44_result\d#100\v#30\28\ping_collision_summary.csv</t>
  </si>
  <si>
    <t>D:\CBP_2026.07.21\i#3\rrep\rrep#33_44_result\d#100\v#30\29\ping_collision_summary.csv</t>
  </si>
  <si>
    <t>D:\CBP_2026.07.21\i#3\rrep\rrep#33_44_result\d#100\v#30\2\ping_collision_summary.csv</t>
  </si>
  <si>
    <t>D:\CBP_2026.07.21\i#3\rrep\rrep#33_44_result\d#100\v#30\30\ping_collision_summary.csv</t>
  </si>
  <si>
    <t>D:\CBP_2026.07.21\i#3\rrep\rrep#33_44_result\d#100\v#30\3\ping_collision_summary.csv</t>
  </si>
  <si>
    <t>D:\CBP_2026.07.21\i#3\rrep\rrep#33_44_result\d#100\v#30\4\ping_collision_summary.csv</t>
  </si>
  <si>
    <t>D:\CBP_2026.07.21\i#3\rrep\rrep#33_44_result\d#100\v#30\5\ping_collision_summary.csv</t>
  </si>
  <si>
    <t>D:\CBP_2026.07.21\i#3\rrep\rrep#33_44_result\d#100\v#30\6\ping_collision_summary.csv</t>
  </si>
  <si>
    <t>D:\CBP_2026.07.21\i#3\rrep\rrep#33_44_result\d#100\v#30\7\ping_collision_summary.csv</t>
  </si>
  <si>
    <t>D:\CBP_2026.07.21\i#3\rrep\rrep#33_44_result\d#100\v#30\8\ping_collision_summary.csv</t>
  </si>
  <si>
    <t>D:\CBP_2026.07.21\i#3\rrep\rrep#33_44_result\d#100\v#30\9\ping_collision_summary.csv</t>
  </si>
  <si>
    <t>D:\CBP_2026.07.21\i#3\rrep\rrep#33_44_result\d#120\v#10\0\ping_collision_summary.csv</t>
  </si>
  <si>
    <t>D:\CBP_2026.07.21\i#3\rrep\rrep#33_44_result\d#120\v#10\10\ping_collision_summary.csv</t>
  </si>
  <si>
    <t>D:\CBP_2026.07.21\i#3\rrep\rrep#33_44_result\d#120\v#10\11\ping_collision_summary.csv</t>
  </si>
  <si>
    <t>D:\CBP_2026.07.21\i#3\rrep\rrep#33_44_result\d#120\v#10\12\ping_collision_summary.csv</t>
  </si>
  <si>
    <t>D:\CBP_2026.07.21\i#3\rrep\rrep#33_44_result\d#120\v#10\13\ping_collision_summary.csv</t>
  </si>
  <si>
    <t>D:\CBP_2026.07.21\i#3\rrep\rrep#33_44_result\d#120\v#10\14\ping_collision_summary.csv</t>
  </si>
  <si>
    <t>D:\CBP_2026.07.21\i#3\rrep\rrep#33_44_result\d#120\v#10\15\ping_collision_summary.csv</t>
  </si>
  <si>
    <t>D:\CBP_2026.07.21\i#3\rrep\rrep#33_44_result\d#120\v#10\16\ping_collision_summary.csv</t>
  </si>
  <si>
    <t>D:\CBP_2026.07.21\i#3\rrep\rrep#33_44_result\d#120\v#10\17\ping_collision_summary.csv</t>
  </si>
  <si>
    <t>D:\CBP_2026.07.21\i#3\rrep\rrep#33_44_result\d#120\v#10\18\ping_collision_summary.csv</t>
  </si>
  <si>
    <t>D:\CBP_2026.07.21\i#3\rrep\rrep#33_44_result\d#120\v#10\19\ping_collision_summary.csv</t>
  </si>
  <si>
    <t>D:\CBP_2026.07.21\i#3\rrep\rrep#33_44_result\d#120\v#10\1\ping_collision_summary.csv</t>
  </si>
  <si>
    <t>D:\CBP_2026.07.21\i#3\rrep\rrep#33_44_result\d#120\v#10\20\ping_collision_summary.csv</t>
  </si>
  <si>
    <t>D:\CBP_2026.07.21\i#3\rrep\rrep#33_44_result\d#120\v#10\21\ping_collision_summary.csv</t>
  </si>
  <si>
    <t>D:\CBP_2026.07.21\i#3\rrep\rrep#33_44_result\d#120\v#10\22\ping_collision_summary.csv</t>
  </si>
  <si>
    <t>D:\CBP_2026.07.21\i#3\rrep\rrep#33_44_result\d#120\v#10\23\ping_collision_summary.csv</t>
  </si>
  <si>
    <t>D:\CBP_2026.07.21\i#3\rrep\rrep#33_44_result\d#120\v#10\24\ping_collision_summary.csv</t>
  </si>
  <si>
    <t>D:\CBP_2026.07.21\i#3\rrep\rrep#33_44_result\d#120\v#10\25\ping_collision_summary.csv</t>
  </si>
  <si>
    <t>D:\CBP_2026.07.21\i#3\rrep\rrep#33_44_result\d#120\v#10\26\ping_collision_summary.csv</t>
  </si>
  <si>
    <t>D:\CBP_2026.07.21\i#3\rrep\rrep#33_44_result\d#120\v#10\27\ping_collision_summary.csv</t>
  </si>
  <si>
    <t>D:\CBP_2026.07.21\i#3\rrep\rrep#33_44_result\d#120\v#10\28\ping_collision_summary.csv</t>
  </si>
  <si>
    <t>D:\CBP_2026.07.21\i#3\rrep\rrep#33_44_result\d#120\v#10\29\ping_collision_summary.csv</t>
  </si>
  <si>
    <t>D:\CBP_2026.07.21\i#3\rrep\rrep#33_44_result\d#120\v#10\2\ping_collision_summary.csv</t>
  </si>
  <si>
    <t>D:\CBP_2026.07.21\i#3\rrep\rrep#33_44_result\d#120\v#10\30\ping_collision_summary.csv</t>
  </si>
  <si>
    <t>D:\CBP_2026.07.21\i#3\rrep\rrep#33_44_result\d#120\v#10\3\ping_collision_summary.csv</t>
  </si>
  <si>
    <t>D:\CBP_2026.07.21\i#3\rrep\rrep#33_44_result\d#120\v#10\4\ping_collision_summary.csv</t>
  </si>
  <si>
    <t>D:\CBP_2026.07.21\i#3\rrep\rrep#33_44_result\d#120\v#10\5\ping_collision_summary.csv</t>
  </si>
  <si>
    <t>D:\CBP_2026.07.21\i#3\rrep\rrep#33_44_result\d#120\v#10\6\ping_collision_summary.csv</t>
  </si>
  <si>
    <t>D:\CBP_2026.07.21\i#3\rrep\rrep#33_44_result\d#120\v#10\7\ping_collision_summary.csv</t>
  </si>
  <si>
    <t>D:\CBP_2026.07.21\i#3\rrep\rrep#33_44_result\d#120\v#10\8\ping_collision_summary.csv</t>
  </si>
  <si>
    <t>D:\CBP_2026.07.21\i#3\rrep\rrep#33_44_result\d#120\v#10\9\ping_collision_summary.csv</t>
  </si>
  <si>
    <t>D:\CBP_2026.07.21\i#3\rrep\rrep#33_44_result\d#120\v#20\0\ping_collision_summary.csv</t>
  </si>
  <si>
    <t>D:\CBP_2026.07.21\i#3\rrep\rrep#33_44_result\d#120\v#20\10\ping_collision_summary.csv</t>
  </si>
  <si>
    <t>D:\CBP_2026.07.21\i#3\rrep\rrep#33_44_result\d#120\v#20\11\ping_collision_summary.csv</t>
  </si>
  <si>
    <t>D:\CBP_2026.07.21\i#3\rrep\rrep#33_44_result\d#120\v#20\12\ping_collision_summary.csv</t>
  </si>
  <si>
    <t>D:\CBP_2026.07.21\i#3\rrep\rrep#33_44_result\d#120\v#20\13\ping_collision_summary.csv</t>
  </si>
  <si>
    <t>D:\CBP_2026.07.21\i#3\rrep\rrep#33_44_result\d#120\v#20\14\ping_collision_summary.csv</t>
  </si>
  <si>
    <t>D:\CBP_2026.07.21\i#3\rrep\rrep#33_44_result\d#120\v#20\15\ping_collision_summary.csv</t>
  </si>
  <si>
    <t>D:\CBP_2026.07.21\i#3\rrep\rrep#33_44_result\d#120\v#20\16\ping_collision_summary.csv</t>
  </si>
  <si>
    <t>D:\CBP_2026.07.21\i#3\rrep\rrep#33_44_result\d#120\v#20\17\ping_collision_summary.csv</t>
  </si>
  <si>
    <t>D:\CBP_2026.07.21\i#3\rrep\rrep#33_44_result\d#120\v#20\18\ping_collision_summary.csv</t>
  </si>
  <si>
    <t>D:\CBP_2026.07.21\i#3\rrep\rrep#33_44_result\d#120\v#20\19\ping_collision_summary.csv</t>
  </si>
  <si>
    <t>D:\CBP_2026.07.21\i#3\rrep\rrep#33_44_result\d#120\v#20\1\ping_collision_summary.csv</t>
  </si>
  <si>
    <t>D:\CBP_2026.07.21\i#3\rrep\rrep#33_44_result\d#120\v#20\20\ping_collision_summary.csv</t>
  </si>
  <si>
    <t>D:\CBP_2026.07.21\i#3\rrep\rrep#33_44_result\d#120\v#20\21\ping_collision_summary.csv</t>
  </si>
  <si>
    <t>D:\CBP_2026.07.21\i#3\rrep\rrep#33_44_result\d#120\v#20\22\ping_collision_summary.csv</t>
  </si>
  <si>
    <t>D:\CBP_2026.07.21\i#3\rrep\rrep#33_44_result\d#120\v#20\23\ping_collision_summary.csv</t>
  </si>
  <si>
    <t>D:\CBP_2026.07.21\i#3\rrep\rrep#33_44_result\d#120\v#20\24\ping_collision_summary.csv</t>
  </si>
  <si>
    <t>D:\CBP_2026.07.21\i#3\rrep\rrep#33_44_result\d#120\v#20\25\ping_collision_summary.csv</t>
  </si>
  <si>
    <t>D:\CBP_2026.07.21\i#3\rrep\rrep#33_44_result\d#120\v#20\26\ping_collision_summary.csv</t>
  </si>
  <si>
    <t>D:\CBP_2026.07.21\i#3\rrep\rrep#33_44_result\d#120\v#20\27\ping_collision_summary.csv</t>
  </si>
  <si>
    <t>D:\CBP_2026.07.21\i#3\rrep\rrep#33_44_result\d#120\v#20\28\ping_collision_summary.csv</t>
  </si>
  <si>
    <t>D:\CBP_2026.07.21\i#3\rrep\rrep#33_44_result\d#120\v#20\29\ping_collision_summary.csv</t>
  </si>
  <si>
    <t>D:\CBP_2026.07.21\i#3\rrep\rrep#33_44_result\d#120\v#20\2\ping_collision_summary.csv</t>
  </si>
  <si>
    <t>D:\CBP_2026.07.21\i#3\rrep\rrep#33_44_result\d#120\v#20\30\ping_collision_summary.csv</t>
  </si>
  <si>
    <t>D:\CBP_2026.07.21\i#3\rrep\rrep#33_44_result\d#120\v#20\3\ping_collision_summary.csv</t>
  </si>
  <si>
    <t>D:\CBP_2026.07.21\i#3\rrep\rrep#33_44_result\d#120\v#20\4\ping_collision_summary.csv</t>
  </si>
  <si>
    <t>D:\CBP_2026.07.21\i#3\rrep\rrep#33_44_result\d#120\v#20\5\ping_collision_summary.csv</t>
  </si>
  <si>
    <t>D:\CBP_2026.07.21\i#3\rrep\rrep#33_44_result\d#120\v#20\6\ping_collision_summary.csv</t>
  </si>
  <si>
    <t>D:\CBP_2026.07.21\i#3\rrep\rrep#33_44_result\d#120\v#20\7\ping_collision_summary.csv</t>
  </si>
  <si>
    <t>D:\CBP_2026.07.21\i#3\rrep\rrep#33_44_result\d#120\v#20\8\ping_collision_summary.csv</t>
  </si>
  <si>
    <t>D:\CBP_2026.07.21\i#3\rrep\rrep#33_44_result\d#120\v#20\9\ping_collision_summary.csv</t>
  </si>
  <si>
    <t>D:\CBP_2026.07.21\i#3\rrep\rrep#33_44_result\d#120\v#30\0\ping_collision_summary.csv</t>
  </si>
  <si>
    <t>D:\CBP_2026.07.21\i#3\rrep\rrep#33_44_result\d#120\v#30\10\ping_collision_summary.csv</t>
  </si>
  <si>
    <t>D:\CBP_2026.07.21\i#3\rrep\rrep#33_44_result\d#120\v#30\11\ping_collision_summary.csv</t>
  </si>
  <si>
    <t>D:\CBP_2026.07.21\i#3\rrep\rrep#33_44_result\d#120\v#30\12\ping_collision_summary.csv</t>
  </si>
  <si>
    <t>D:\CBP_2026.07.21\i#3\rrep\rrep#33_44_result\d#120\v#30\13\ping_collision_summary.csv</t>
  </si>
  <si>
    <t>D:\CBP_2026.07.21\i#3\rrep\rrep#33_44_result\d#120\v#30\14\ping_collision_summary.csv</t>
  </si>
  <si>
    <t>D:\CBP_2026.07.21\i#3\rrep\rrep#33_44_result\d#120\v#30\15\ping_collision_summary.csv</t>
  </si>
  <si>
    <t>D:\CBP_2026.07.21\i#3\rrep\rrep#33_44_result\d#120\v#30\16\ping_collision_summary.csv</t>
  </si>
  <si>
    <t>D:\CBP_2026.07.21\i#3\rrep\rrep#33_44_result\d#120\v#30\17\ping_collision_summary.csv</t>
  </si>
  <si>
    <t>D:\CBP_2026.07.21\i#3\rrep\rrep#33_44_result\d#120\v#30\18\ping_collision_summary.csv</t>
  </si>
  <si>
    <t>D:\CBP_2026.07.21\i#3\rrep\rrep#33_44_result\d#120\v#30\19\ping_collision_summary.csv</t>
  </si>
  <si>
    <t>D:\CBP_2026.07.21\i#3\rrep\rrep#33_44_result\d#120\v#30\1\ping_collision_summary.csv</t>
  </si>
  <si>
    <t>D:\CBP_2026.07.21\i#3\rrep\rrep#33_44_result\d#120\v#30\20\ping_collision_summary.csv</t>
  </si>
  <si>
    <t>D:\CBP_2026.07.21\i#3\rrep\rrep#33_44_result\d#120\v#30\21\ping_collision_summary.csv</t>
  </si>
  <si>
    <t>D:\CBP_2026.07.21\i#3\rrep\rrep#33_44_result\d#120\v#30\22\ping_collision_summary.csv</t>
  </si>
  <si>
    <t>D:\CBP_2026.07.21\i#3\rrep\rrep#33_44_result\d#120\v#30\23\ping_collision_summary.csv</t>
  </si>
  <si>
    <t>D:\CBP_2026.07.21\i#3\rrep\rrep#33_44_result\d#120\v#30\24\ping_collision_summary.csv</t>
  </si>
  <si>
    <t>D:\CBP_2026.07.21\i#3\rrep\rrep#33_44_result\d#120\v#30\25\ping_collision_summary.csv</t>
  </si>
  <si>
    <t>D:\CBP_2026.07.21\i#3\rrep\rrep#33_44_result\d#120\v#30\26\ping_collision_summary.csv</t>
  </si>
  <si>
    <t>D:\CBP_2026.07.21\i#3\rrep\rrep#33_44_result\d#120\v#30\27\ping_collision_summary.csv</t>
  </si>
  <si>
    <t>D:\CBP_2026.07.21\i#3\rrep\rrep#33_44_result\d#120\v#30\28\ping_collision_summary.csv</t>
  </si>
  <si>
    <t>D:\CBP_2026.07.21\i#3\rrep\rrep#33_44_result\d#120\v#30\29\ping_collision_summary.csv</t>
  </si>
  <si>
    <t>D:\CBP_2026.07.21\i#3\rrep\rrep#33_44_result\d#120\v#30\2\ping_collision_summary.csv</t>
  </si>
  <si>
    <t>D:\CBP_2026.07.21\i#3\rrep\rrep#33_44_result\d#120\v#30\30\ping_collision_summary.csv</t>
  </si>
  <si>
    <t>D:\CBP_2026.07.21\i#3\rrep\rrep#33_44_result\d#120\v#30\3\ping_collision_summary.csv</t>
  </si>
  <si>
    <t>D:\CBP_2026.07.21\i#3\rrep\rrep#33_44_result\d#120\v#30\4\ping_collision_summary.csv</t>
  </si>
  <si>
    <t>D:\CBP_2026.07.21\i#3\rrep\rrep#33_44_result\d#120\v#30\5\ping_collision_summary.csv</t>
  </si>
  <si>
    <t>D:\CBP_2026.07.21\i#3\rrep\rrep#33_44_result\d#120\v#30\6\ping_collision_summary.csv</t>
  </si>
  <si>
    <t>D:\CBP_2026.07.21\i#3\rrep\rrep#33_44_result\d#120\v#30\7\ping_collision_summary.csv</t>
  </si>
  <si>
    <t>D:\CBP_2026.07.21\i#3\rrep\rrep#33_44_result\d#120\v#30\8\ping_collision_summary.csv</t>
  </si>
  <si>
    <t>D:\CBP_2026.07.21\i#3\rrep\rrep#33_44_result\d#120\v#30\9\ping_collision_summary.csv</t>
  </si>
  <si>
    <t>D:\CBP_2026.07.21\i#3\rrep\rrep#33_44_result\d#70\v#10\0\ping_collision_summary.csv</t>
  </si>
  <si>
    <t>D:\CBP_2026.07.21\i#3\rrep\rrep#33_44_result\d#70\v#10\10\ping_collision_summary.csv</t>
  </si>
  <si>
    <t>D:\CBP_2026.07.21\i#3\rrep\rrep#33_44_result\d#70\v#10\11\ping_collision_summary.csv</t>
  </si>
  <si>
    <t>D:\CBP_2026.07.21\i#3\rrep\rrep#33_44_result\d#70\v#10\12\ping_collision_summary.csv</t>
  </si>
  <si>
    <t>D:\CBP_2026.07.21\i#3\rrep\rrep#33_44_result\d#70\v#10\13\ping_collision_summary.csv</t>
  </si>
  <si>
    <t>D:\CBP_2026.07.21\i#3\rrep\rrep#33_44_result\d#70\v#10\14\ping_collision_summary.csv</t>
  </si>
  <si>
    <t>D:\CBP_2026.07.21\i#3\rrep\rrep#33_44_result\d#70\v#10\15\ping_collision_summary.csv</t>
  </si>
  <si>
    <t>D:\CBP_2026.07.21\i#3\rrep\rrep#33_44_result\d#70\v#10\16\ping_collision_summary.csv</t>
  </si>
  <si>
    <t>D:\CBP_2026.07.21\i#3\rrep\rrep#33_44_result\d#70\v#10\17\ping_collision_summary.csv</t>
  </si>
  <si>
    <t>D:\CBP_2026.07.21\i#3\rrep\rrep#33_44_result\d#70\v#10\18\ping_collision_summary.csv</t>
  </si>
  <si>
    <t>D:\CBP_2026.07.21\i#3\rrep\rrep#33_44_result\d#70\v#10\19\ping_collision_summary.csv</t>
  </si>
  <si>
    <t>D:\CBP_2026.07.21\i#3\rrep\rrep#33_44_result\d#70\v#10\1\ping_collision_summary.csv</t>
  </si>
  <si>
    <t>D:\CBP_2026.07.21\i#3\rrep\rrep#33_44_result\d#70\v#10\20\ping_collision_summary.csv</t>
  </si>
  <si>
    <t>D:\CBP_2026.07.21\i#3\rrep\rrep#33_44_result\d#70\v#10\21\ping_collision_summary.csv</t>
  </si>
  <si>
    <t>D:\CBP_2026.07.21\i#3\rrep\rrep#33_44_result\d#70\v#10\22\ping_collision_summary.csv</t>
  </si>
  <si>
    <t>D:\CBP_2026.07.21\i#3\rrep\rrep#33_44_result\d#70\v#10\23\ping_collision_summary.csv</t>
  </si>
  <si>
    <t>D:\CBP_2026.07.21\i#3\rrep\rrep#33_44_result\d#70\v#10\24\ping_collision_summary.csv</t>
  </si>
  <si>
    <t>D:\CBP_2026.07.21\i#3\rrep\rrep#33_44_result\d#70\v#10\25\ping_collision_summary.csv</t>
  </si>
  <si>
    <t>D:\CBP_2026.07.21\i#3\rrep\rrep#33_44_result\d#70\v#10\26\ping_collision_summary.csv</t>
  </si>
  <si>
    <t>D:\CBP_2026.07.21\i#3\rrep\rrep#33_44_result\d#70\v#10\27\ping_collision_summary.csv</t>
  </si>
  <si>
    <t>D:\CBP_2026.07.21\i#3\rrep\rrep#33_44_result\d#70\v#10\28\ping_collision_summary.csv</t>
  </si>
  <si>
    <t>D:\CBP_2026.07.21\i#3\rrep\rrep#33_44_result\d#70\v#10\29\ping_collision_summary.csv</t>
  </si>
  <si>
    <t>D:\CBP_2026.07.21\i#3\rrep\rrep#33_44_result\d#70\v#10\2\ping_collision_summary.csv</t>
  </si>
  <si>
    <t>D:\CBP_2026.07.21\i#3\rrep\rrep#33_44_result\d#70\v#10\30\ping_collision_summary.csv</t>
  </si>
  <si>
    <t>D:\CBP_2026.07.21\i#3\rrep\rrep#33_44_result\d#70\v#10\3\ping_collision_summary.csv</t>
  </si>
  <si>
    <t>D:\CBP_2026.07.21\i#3\rrep\rrep#33_44_result\d#70\v#10\4\ping_collision_summary.csv</t>
  </si>
  <si>
    <t>D:\CBP_2026.07.21\i#3\rrep\rrep#33_44_result\d#70\v#10\5\ping_collision_summary.csv</t>
  </si>
  <si>
    <t>D:\CBP_2026.07.21\i#3\rrep\rrep#33_44_result\d#70\v#10\6\ping_collision_summary.csv</t>
  </si>
  <si>
    <t>D:\CBP_2026.07.21\i#3\rrep\rrep#33_44_result\d#70\v#10\7\ping_collision_summary.csv</t>
  </si>
  <si>
    <t>D:\CBP_2026.07.21\i#3\rrep\rrep#33_44_result\d#70\v#10\8\ping_collision_summary.csv</t>
  </si>
  <si>
    <t>D:\CBP_2026.07.21\i#3\rrep\rrep#33_44_result\d#70\v#10\9\ping_collision_summary.csv</t>
  </si>
  <si>
    <t>D:\CBP_2026.07.21\i#3\rrep\rrep#33_44_result\d#70\v#20\0\ping_collision_summary.csv</t>
  </si>
  <si>
    <t>D:\CBP_2026.07.21\i#3\rrep\rrep#33_44_result\d#70\v#20\10\ping_collision_summary.csv</t>
  </si>
  <si>
    <t>D:\CBP_2026.07.21\i#3\rrep\rrep#33_44_result\d#70\v#20\11\ping_collision_summary.csv</t>
  </si>
  <si>
    <t>D:\CBP_2026.07.21\i#3\rrep\rrep#33_44_result\d#70\v#20\12\ping_collision_summary.csv</t>
  </si>
  <si>
    <t>D:\CBP_2026.07.21\i#3\rrep\rrep#33_44_result\d#70\v#20\13\ping_collision_summary.csv</t>
  </si>
  <si>
    <t>D:\CBP_2026.07.21\i#3\rrep\rrep#33_44_result\d#70\v#20\14\ping_collision_summary.csv</t>
  </si>
  <si>
    <t>D:\CBP_2026.07.21\i#3\rrep\rrep#33_44_result\d#70\v#20\15\ping_collision_summary.csv</t>
  </si>
  <si>
    <t>D:\CBP_2026.07.21\i#3\rrep\rrep#33_44_result\d#70\v#20\16\ping_collision_summary.csv</t>
  </si>
  <si>
    <t>D:\CBP_2026.07.21\i#3\rrep\rrep#33_44_result\d#70\v#20\17\ping_collision_summary.csv</t>
  </si>
  <si>
    <t>D:\CBP_2026.07.21\i#3\rrep\rrep#33_44_result\d#70\v#20\18\ping_collision_summary.csv</t>
  </si>
  <si>
    <t>D:\CBP_2026.07.21\i#3\rrep\rrep#33_44_result\d#70\v#20\19\ping_collision_summary.csv</t>
  </si>
  <si>
    <t>D:\CBP_2026.07.21\i#3\rrep\rrep#33_44_result\d#70\v#20\1\ping_collision_summary.csv</t>
  </si>
  <si>
    <t>D:\CBP_2026.07.21\i#3\rrep\rrep#33_44_result\d#70\v#20\20\ping_collision_summary.csv</t>
  </si>
  <si>
    <t>D:\CBP_2026.07.21\i#3\rrep\rrep#33_44_result\d#70\v#20\21\ping_collision_summary.csv</t>
  </si>
  <si>
    <t>D:\CBP_2026.07.21\i#3\rrep\rrep#33_44_result\d#70\v#20\22\ping_collision_summary.csv</t>
  </si>
  <si>
    <t>D:\CBP_2026.07.21\i#3\rrep\rrep#33_44_result\d#70\v#20\23\ping_collision_summary.csv</t>
  </si>
  <si>
    <t>D:\CBP_2026.07.21\i#3\rrep\rrep#33_44_result\d#70\v#20\24\ping_collision_summary.csv</t>
  </si>
  <si>
    <t>D:\CBP_2026.07.21\i#3\rrep\rrep#33_44_result\d#70\v#20\25\ping_collision_summary.csv</t>
  </si>
  <si>
    <t>D:\CBP_2026.07.21\i#3\rrep\rrep#33_44_result\d#70\v#20\26\ping_collision_summary.csv</t>
  </si>
  <si>
    <t>D:\CBP_2026.07.21\i#3\rrep\rrep#33_44_result\d#70\v#20\27\ping_collision_summary.csv</t>
  </si>
  <si>
    <t>D:\CBP_2026.07.21\i#3\rrep\rrep#33_44_result\d#70\v#20\28\ping_collision_summary.csv</t>
  </si>
  <si>
    <t>D:\CBP_2026.07.21\i#3\rrep\rrep#33_44_result\d#70\v#20\29\ping_collision_summary.csv</t>
  </si>
  <si>
    <t>D:\CBP_2026.07.21\i#3\rrep\rrep#33_44_result\d#70\v#20\2\ping_collision_summary.csv</t>
  </si>
  <si>
    <t>D:\CBP_2026.07.21\i#3\rrep\rrep#33_44_result\d#70\v#20\30\ping_collision_summary.csv</t>
  </si>
  <si>
    <t>D:\CBP_2026.07.21\i#3\rrep\rrep#33_44_result\d#70\v#20\3\ping_collision_summary.csv</t>
  </si>
  <si>
    <t>D:\CBP_2026.07.21\i#3\rrep\rrep#33_44_result\d#70\v#20\4\ping_collision_summary.csv</t>
  </si>
  <si>
    <t>D:\CBP_2026.07.21\i#3\rrep\rrep#33_44_result\d#70\v#20\5\ping_collision_summary.csv</t>
  </si>
  <si>
    <t>D:\CBP_2026.07.21\i#3\rrep\rrep#33_44_result\d#70\v#20\6\ping_collision_summary.csv</t>
  </si>
  <si>
    <t>D:\CBP_2026.07.21\i#3\rrep\rrep#33_44_result\d#70\v#20\7\ping_collision_summary.csv</t>
  </si>
  <si>
    <t>D:\CBP_2026.07.21\i#3\rrep\rrep#33_44_result\d#70\v#20\8\ping_collision_summary.csv</t>
  </si>
  <si>
    <t>D:\CBP_2026.07.21\i#3\rrep\rrep#33_44_result\d#70\v#20\9\ping_collision_summary.csv</t>
  </si>
  <si>
    <t>D:\CBP_2026.07.21\i#3\rrep\rrep#33_44_result\d#70\v#30\0\ping_collision_summary.csv</t>
  </si>
  <si>
    <t>D:\CBP_2026.07.21\i#3\rrep\rrep#33_44_result\d#70\v#30\10\ping_collision_summary.csv</t>
  </si>
  <si>
    <t>D:\CBP_2026.07.21\i#3\rrep\rrep#33_44_result\d#70\v#30\11\ping_collision_summary.csv</t>
  </si>
  <si>
    <t>D:\CBP_2026.07.21\i#3\rrep\rrep#33_44_result\d#70\v#30\12\ping_collision_summary.csv</t>
  </si>
  <si>
    <t>D:\CBP_2026.07.21\i#3\rrep\rrep#33_44_result\d#70\v#30\13\ping_collision_summary.csv</t>
  </si>
  <si>
    <t>D:\CBP_2026.07.21\i#3\rrep\rrep#33_44_result\d#70\v#30\14\ping_collision_summary.csv</t>
  </si>
  <si>
    <t>D:\CBP_2026.07.21\i#3\rrep\rrep#33_44_result\d#70\v#30\15\ping_collision_summary.csv</t>
  </si>
  <si>
    <t>D:\CBP_2026.07.21\i#3\rrep\rrep#33_44_result\d#70\v#30\16\ping_collision_summary.csv</t>
  </si>
  <si>
    <t>D:\CBP_2026.07.21\i#3\rrep\rrep#33_44_result\d#70\v#30\17\ping_collision_summary.csv</t>
  </si>
  <si>
    <t>D:\CBP_2026.07.21\i#3\rrep\rrep#33_44_result\d#70\v#30\18\ping_collision_summary.csv</t>
  </si>
  <si>
    <t>D:\CBP_2026.07.21\i#3\rrep\rrep#33_44_result\d#70\v#30\19\ping_collision_summary.csv</t>
  </si>
  <si>
    <t>D:\CBP_2026.07.21\i#3\rrep\rrep#33_44_result\d#70\v#30\1\ping_collision_summary.csv</t>
  </si>
  <si>
    <t>D:\CBP_2026.07.21\i#3\rrep\rrep#33_44_result\d#70\v#30\20\ping_collision_summary.csv</t>
  </si>
  <si>
    <t>D:\CBP_2026.07.21\i#3\rrep\rrep#33_44_result\d#70\v#30\21\ping_collision_summary.csv</t>
  </si>
  <si>
    <t>D:\CBP_2026.07.21\i#3\rrep\rrep#33_44_result\d#70\v#30\22\ping_collision_summary.csv</t>
  </si>
  <si>
    <t>D:\CBP_2026.07.21\i#3\rrep\rrep#33_44_result\d#70\v#30\23\ping_collision_summary.csv</t>
  </si>
  <si>
    <t>D:\CBP_2026.07.21\i#3\rrep\rrep#33_44_result\d#70\v#30\24\ping_collision_summary.csv</t>
  </si>
  <si>
    <t>D:\CBP_2026.07.21\i#3\rrep\rrep#33_44_result\d#70\v#30\25\ping_collision_summary.csv</t>
  </si>
  <si>
    <t>D:\CBP_2026.07.21\i#3\rrep\rrep#33_44_result\d#70\v#30\26\ping_collision_summary.csv</t>
  </si>
  <si>
    <t>D:\CBP_2026.07.21\i#3\rrep\rrep#33_44_result\d#70\v#30\27\ping_collision_summary.csv</t>
  </si>
  <si>
    <t>D:\CBP_2026.07.21\i#3\rrep\rrep#33_44_result\d#70\v#30\28\ping_collision_summary.csv</t>
  </si>
  <si>
    <t>D:\CBP_2026.07.21\i#3\rrep\rrep#33_44_result\d#70\v#30\29\ping_collision_summary.csv</t>
  </si>
  <si>
    <t>D:\CBP_2026.07.21\i#3\rrep\rrep#33_44_result\d#70\v#30\2\ping_collision_summary.csv</t>
  </si>
  <si>
    <t>D:\CBP_2026.07.21\i#3\rrep\rrep#33_44_result\d#70\v#30\30\ping_collision_summary.csv</t>
  </si>
  <si>
    <t>D:\CBP_2026.07.21\i#3\rrep\rrep#33_44_result\d#70\v#30\3\ping_collision_summary.csv</t>
  </si>
  <si>
    <t>D:\CBP_2026.07.21\i#3\rrep\rrep#33_44_result\d#70\v#30\4\ping_collision_summary.csv</t>
  </si>
  <si>
    <t>D:\CBP_2026.07.21\i#3\rrep\rrep#33_44_result\d#70\v#30\5\ping_collision_summary.csv</t>
  </si>
  <si>
    <t>D:\CBP_2026.07.21\i#3\rrep\rrep#33_44_result\d#70\v#30\6\ping_collision_summary.csv</t>
  </si>
  <si>
    <t>D:\CBP_2026.07.21\i#3\rrep\rrep#33_44_result\d#70\v#30\7\ping_collision_summary.csv</t>
  </si>
  <si>
    <t>D:\CBP_2026.07.21\i#3\rrep\rrep#33_44_result\d#70\v#30\8\ping_collision_summary.csv</t>
  </si>
  <si>
    <t>D:\CBP_2026.07.21\i#3\rrep\rrep#33_44_result\d#70\v#30\9\ping_collision_summary.csv</t>
  </si>
  <si>
    <t>D:\CBP_2026.07.21\i#3\rrep\rrep#44_101_result\d#100\v#10\0\ping_collision_summary.csv</t>
  </si>
  <si>
    <t>D:\CBP_2026.07.21\i#3\rrep\rrep#44_101_result\d#100\v#10\10\ping_collision_summary.csv</t>
  </si>
  <si>
    <t>D:\CBP_2026.07.21\i#3\rrep\rrep#44_101_result\d#100\v#10\11\ping_collision_summary.csv</t>
  </si>
  <si>
    <t>D:\CBP_2026.07.21\i#3\rrep\rrep#44_101_result\d#100\v#10\12\ping_collision_summary.csv</t>
  </si>
  <si>
    <t>D:\CBP_2026.07.21\i#3\rrep\rrep#44_101_result\d#100\v#10\13\ping_collision_summary.csv</t>
  </si>
  <si>
    <t>D:\CBP_2026.07.21\i#3\rrep\rrep#44_101_result\d#100\v#10\14\ping_collision_summary.csv</t>
  </si>
  <si>
    <t>D:\CBP_2026.07.21\i#3\rrep\rrep#44_101_result\d#100\v#10\15\ping_collision_summary.csv</t>
  </si>
  <si>
    <t>D:\CBP_2026.07.21\i#3\rrep\rrep#44_101_result\d#100\v#10\16\ping_collision_summary.csv</t>
  </si>
  <si>
    <t>D:\CBP_2026.07.21\i#3\rrep\rrep#44_101_result\d#100\v#10\17\ping_collision_summary.csv</t>
  </si>
  <si>
    <t>D:\CBP_2026.07.21\i#3\rrep\rrep#44_101_result\d#100\v#10\18\ping_collision_summary.csv</t>
  </si>
  <si>
    <t>D:\CBP_2026.07.21\i#3\rrep\rrep#44_101_result\d#100\v#10\19\ping_collision_summary.csv</t>
  </si>
  <si>
    <t>D:\CBP_2026.07.21\i#3\rrep\rrep#44_101_result\d#100\v#10\1\ping_collision_summary.csv</t>
  </si>
  <si>
    <t>D:\CBP_2026.07.21\i#3\rrep\rrep#44_101_result\d#100\v#10\20\ping_collision_summary.csv</t>
  </si>
  <si>
    <t>D:\CBP_2026.07.21\i#3\rrep\rrep#44_101_result\d#100\v#10\21\ping_collision_summary.csv</t>
  </si>
  <si>
    <t>D:\CBP_2026.07.21\i#3\rrep\rrep#44_101_result\d#100\v#10\22\ping_collision_summary.csv</t>
  </si>
  <si>
    <t>D:\CBP_2026.07.21\i#3\rrep\rrep#44_101_result\d#100\v#10\23\ping_collision_summary.csv</t>
  </si>
  <si>
    <t>D:\CBP_2026.07.21\i#3\rrep\rrep#44_101_result\d#100\v#10\24\ping_collision_summary.csv</t>
  </si>
  <si>
    <t>D:\CBP_2026.07.21\i#3\rrep\rrep#44_101_result\d#100\v#10\25\ping_collision_summary.csv</t>
  </si>
  <si>
    <t>D:\CBP_2026.07.21\i#3\rrep\rrep#44_101_result\d#100\v#10\26\ping_collision_summary.csv</t>
  </si>
  <si>
    <t>D:\CBP_2026.07.21\i#3\rrep\rrep#44_101_result\d#100\v#10\27\ping_collision_summary.csv</t>
  </si>
  <si>
    <t>D:\CBP_2026.07.21\i#3\rrep\rrep#44_101_result\d#100\v#10\28\ping_collision_summary.csv</t>
  </si>
  <si>
    <t>D:\CBP_2026.07.21\i#3\rrep\rrep#44_101_result\d#100\v#10\29\ping_collision_summary.csv</t>
  </si>
  <si>
    <t>D:\CBP_2026.07.21\i#3\rrep\rrep#44_101_result\d#100\v#10\2\ping_collision_summary.csv</t>
  </si>
  <si>
    <t>D:\CBP_2026.07.21\i#3\rrep\rrep#44_101_result\d#100\v#10\30\ping_collision_summary.csv</t>
  </si>
  <si>
    <t>D:\CBP_2026.07.21\i#3\rrep\rrep#44_101_result\d#100\v#10\3\ping_collision_summary.csv</t>
  </si>
  <si>
    <t>D:\CBP_2026.07.21\i#3\rrep\rrep#44_101_result\d#100\v#10\4\ping_collision_summary.csv</t>
  </si>
  <si>
    <t>D:\CBP_2026.07.21\i#3\rrep\rrep#44_101_result\d#100\v#10\5\ping_collision_summary.csv</t>
  </si>
  <si>
    <t>D:\CBP_2026.07.21\i#3\rrep\rrep#44_101_result\d#100\v#10\6\ping_collision_summary.csv</t>
  </si>
  <si>
    <t>D:\CBP_2026.07.21\i#3\rrep\rrep#44_101_result\d#100\v#10\7\ping_collision_summary.csv</t>
  </si>
  <si>
    <t>D:\CBP_2026.07.21\i#3\rrep\rrep#44_101_result\d#100\v#10\8\ping_collision_summary.csv</t>
  </si>
  <si>
    <t>D:\CBP_2026.07.21\i#3\rrep\rrep#44_101_result\d#100\v#10\9\ping_collision_summary.csv</t>
  </si>
  <si>
    <t>D:\CBP_2026.07.21\i#3\rrep\rrep#44_101_result\d#100\v#20\0\ping_collision_summary.csv</t>
  </si>
  <si>
    <t>D:\CBP_2026.07.21\i#3\rrep\rrep#44_101_result\d#100\v#20\10\ping_collision_summary.csv</t>
  </si>
  <si>
    <t>D:\CBP_2026.07.21\i#3\rrep\rrep#44_101_result\d#100\v#20\11\ping_collision_summary.csv</t>
  </si>
  <si>
    <t>D:\CBP_2026.07.21\i#3\rrep\rrep#44_101_result\d#100\v#20\12\ping_collision_summary.csv</t>
  </si>
  <si>
    <t>D:\CBP_2026.07.21\i#3\rrep\rrep#44_101_result\d#100\v#20\13\ping_collision_summary.csv</t>
  </si>
  <si>
    <t>D:\CBP_2026.07.21\i#3\rrep\rrep#44_101_result\d#100\v#20\14\ping_collision_summary.csv</t>
  </si>
  <si>
    <t>D:\CBP_2026.07.21\i#3\rrep\rrep#44_101_result\d#100\v#20\15\ping_collision_summary.csv</t>
  </si>
  <si>
    <t>D:\CBP_2026.07.21\i#3\rrep\rrep#44_101_result\d#100\v#20\16\ping_collision_summary.csv</t>
  </si>
  <si>
    <t>D:\CBP_2026.07.21\i#3\rrep\rrep#44_101_result\d#100\v#20\17\ping_collision_summary.csv</t>
  </si>
  <si>
    <t>D:\CBP_2026.07.21\i#3\rrep\rrep#44_101_result\d#100\v#20\18\ping_collision_summary.csv</t>
  </si>
  <si>
    <t>D:\CBP_2026.07.21\i#3\rrep\rrep#44_101_result\d#100\v#20\19\ping_collision_summary.csv</t>
  </si>
  <si>
    <t>D:\CBP_2026.07.21\i#3\rrep\rrep#44_101_result\d#100\v#20\1\ping_collision_summary.csv</t>
  </si>
  <si>
    <t>D:\CBP_2026.07.21\i#3\rrep\rrep#44_101_result\d#100\v#20\20\ping_collision_summary.csv</t>
  </si>
  <si>
    <t>D:\CBP_2026.07.21\i#3\rrep\rrep#44_101_result\d#100\v#20\21\ping_collision_summary.csv</t>
  </si>
  <si>
    <t>D:\CBP_2026.07.21\i#3\rrep\rrep#44_101_result\d#100\v#20\22\ping_collision_summary.csv</t>
  </si>
  <si>
    <t>D:\CBP_2026.07.21\i#3\rrep\rrep#44_101_result\d#100\v#20\23\ping_collision_summary.csv</t>
  </si>
  <si>
    <t>D:\CBP_2026.07.21\i#3\rrep\rrep#44_101_result\d#100\v#20\24\ping_collision_summary.csv</t>
  </si>
  <si>
    <t>D:\CBP_2026.07.21\i#3\rrep\rrep#44_101_result\d#100\v#20\25\ping_collision_summary.csv</t>
  </si>
  <si>
    <t>D:\CBP_2026.07.21\i#3\rrep\rrep#44_101_result\d#100\v#20\26\ping_collision_summary.csv</t>
  </si>
  <si>
    <t>D:\CBP_2026.07.21\i#3\rrep\rrep#44_101_result\d#100\v#20\27\ping_collision_summary.csv</t>
  </si>
  <si>
    <t>D:\CBP_2026.07.21\i#3\rrep\rrep#44_101_result\d#100\v#20\28\ping_collision_summary.csv</t>
  </si>
  <si>
    <t>D:\CBP_2026.07.21\i#3\rrep\rrep#44_101_result\d#100\v#20\29\ping_collision_summary.csv</t>
  </si>
  <si>
    <t>D:\CBP_2026.07.21\i#3\rrep\rrep#44_101_result\d#100\v#20\2\ping_collision_summary.csv</t>
  </si>
  <si>
    <t>D:\CBP_2026.07.21\i#3\rrep\rrep#44_101_result\d#100\v#20\30\ping_collision_summary.csv</t>
  </si>
  <si>
    <t>D:\CBP_2026.07.21\i#3\rrep\rrep#44_101_result\d#100\v#20\3\ping_collision_summary.csv</t>
  </si>
  <si>
    <t>D:\CBP_2026.07.21\i#3\rrep\rrep#44_101_result\d#100\v#20\4\ping_collision_summary.csv</t>
  </si>
  <si>
    <t>D:\CBP_2026.07.21\i#3\rrep\rrep#44_101_result\d#100\v#20\5\ping_collision_summary.csv</t>
  </si>
  <si>
    <t>D:\CBP_2026.07.21\i#3\rrep\rrep#44_101_result\d#100\v#20\6\ping_collision_summary.csv</t>
  </si>
  <si>
    <t>D:\CBP_2026.07.21\i#3\rrep\rrep#44_101_result\d#100\v#20\7\ping_collision_summary.csv</t>
  </si>
  <si>
    <t>D:\CBP_2026.07.21\i#3\rrep\rrep#44_101_result\d#100\v#20\8\ping_collision_summary.csv</t>
  </si>
  <si>
    <t>D:\CBP_2026.07.21\i#3\rrep\rrep#44_101_result\d#100\v#20\9\ping_collision_summary.csv</t>
  </si>
  <si>
    <t>D:\CBP_2026.07.21\i#3\rrep\rrep#44_101_result\d#100\v#30\0\ping_collision_summary.csv</t>
  </si>
  <si>
    <t>D:\CBP_2026.07.21\i#3\rrep\rrep#44_101_result\d#100\v#30\10\ping_collision_summary.csv</t>
  </si>
  <si>
    <t>D:\CBP_2026.07.21\i#3\rrep\rrep#44_101_result\d#100\v#30\11\ping_collision_summary.csv</t>
  </si>
  <si>
    <t>D:\CBP_2026.07.21\i#3\rrep\rrep#44_101_result\d#100\v#30\12\ping_collision_summary.csv</t>
  </si>
  <si>
    <t>D:\CBP_2026.07.21\i#3\rrep\rrep#44_101_result\d#100\v#30\13\ping_collision_summary.csv</t>
  </si>
  <si>
    <t>D:\CBP_2026.07.21\i#3\rrep\rrep#44_101_result\d#100\v#30\14\ping_collision_summary.csv</t>
  </si>
  <si>
    <t>D:\CBP_2026.07.21\i#3\rrep\rrep#44_101_result\d#100\v#30\15\ping_collision_summary.csv</t>
  </si>
  <si>
    <t>D:\CBP_2026.07.21\i#3\rrep\rrep#44_101_result\d#100\v#30\16\ping_collision_summary.csv</t>
  </si>
  <si>
    <t>D:\CBP_2026.07.21\i#3\rrep\rrep#44_101_result\d#100\v#30\17\ping_collision_summary.csv</t>
  </si>
  <si>
    <t>D:\CBP_2026.07.21\i#3\rrep\rrep#44_101_result\d#100\v#30\18\ping_collision_summary.csv</t>
  </si>
  <si>
    <t>D:\CBP_2026.07.21\i#3\rrep\rrep#44_101_result\d#100\v#30\19\ping_collision_summary.csv</t>
  </si>
  <si>
    <t>D:\CBP_2026.07.21\i#3\rrep\rrep#44_101_result\d#100\v#30\1\ping_collision_summary.csv</t>
  </si>
  <si>
    <t>D:\CBP_2026.07.21\i#3\rrep\rrep#44_101_result\d#100\v#30\20\ping_collision_summary.csv</t>
  </si>
  <si>
    <t>D:\CBP_2026.07.21\i#3\rrep\rrep#44_101_result\d#100\v#30\21\ping_collision_summary.csv</t>
  </si>
  <si>
    <t>D:\CBP_2026.07.21\i#3\rrep\rrep#44_101_result\d#100\v#30\22\ping_collision_summary.csv</t>
  </si>
  <si>
    <t>D:\CBP_2026.07.21\i#3\rrep\rrep#44_101_result\d#100\v#30\23\ping_collision_summary.csv</t>
  </si>
  <si>
    <t>D:\CBP_2026.07.21\i#3\rrep\rrep#44_101_result\d#100\v#30\24\ping_collision_summary.csv</t>
  </si>
  <si>
    <t>D:\CBP_2026.07.21\i#3\rrep\rrep#44_101_result\d#100\v#30\25\ping_collision_summary.csv</t>
  </si>
  <si>
    <t>D:\CBP_2026.07.21\i#3\rrep\rrep#44_101_result\d#100\v#30\26\ping_collision_summary.csv</t>
  </si>
  <si>
    <t>D:\CBP_2026.07.21\i#3\rrep\rrep#44_101_result\d#100\v#30\27\ping_collision_summary.csv</t>
  </si>
  <si>
    <t>D:\CBP_2026.07.21\i#3\rrep\rrep#44_101_result\d#100\v#30\28\ping_collision_summary.csv</t>
  </si>
  <si>
    <t>D:\CBP_2026.07.21\i#3\rrep\rrep#44_101_result\d#100\v#30\29\ping_collision_summary.csv</t>
  </si>
  <si>
    <t>D:\CBP_2026.07.21\i#3\rrep\rrep#44_101_result\d#100\v#30\2\ping_collision_summary.csv</t>
  </si>
  <si>
    <t>D:\CBP_2026.07.21\i#3\rrep\rrep#44_101_result\d#100\v#30\30\ping_collision_summary.csv</t>
  </si>
  <si>
    <t>D:\CBP_2026.07.21\i#3\rrep\rrep#44_101_result\d#100\v#30\3\ping_collision_summary.csv</t>
  </si>
  <si>
    <t>D:\CBP_2026.07.21\i#3\rrep\rrep#44_101_result\d#100\v#30\4\ping_collision_summary.csv</t>
  </si>
  <si>
    <t>D:\CBP_2026.07.21\i#3\rrep\rrep#44_101_result\d#100\v#30\5\ping_collision_summary.csv</t>
  </si>
  <si>
    <t>D:\CBP_2026.07.21\i#3\rrep\rrep#44_101_result\d#100\v#30\6\ping_collision_summary.csv</t>
  </si>
  <si>
    <t>D:\CBP_2026.07.21\i#3\rrep\rrep#44_101_result\d#100\v#30\7\ping_collision_summary.csv</t>
  </si>
  <si>
    <t>D:\CBP_2026.07.21\i#3\rrep\rrep#44_101_result\d#100\v#30\8\ping_collision_summary.csv</t>
  </si>
  <si>
    <t>D:\CBP_2026.07.21\i#3\rrep\rrep#44_101_result\d#100\v#30\9\ping_collision_summary.csv</t>
  </si>
  <si>
    <t>D:\CBP_2026.07.21\i#3\rrep\rrep#44_101_result\d#120\v#10\0\ping_collision_summary.csv</t>
  </si>
  <si>
    <t>D:\CBP_2026.07.21\i#3\rrep\rrep#44_101_result\d#120\v#10\10\ping_collision_summary.csv</t>
  </si>
  <si>
    <t>D:\CBP_2026.07.21\i#3\rrep\rrep#44_101_result\d#120\v#10\11\ping_collision_summary.csv</t>
  </si>
  <si>
    <t>D:\CBP_2026.07.21\i#3\rrep\rrep#44_101_result\d#120\v#10\12\ping_collision_summary.csv</t>
  </si>
  <si>
    <t>D:\CBP_2026.07.21\i#3\rrep\rrep#44_101_result\d#120\v#10\13\ping_collision_summary.csv</t>
  </si>
  <si>
    <t>D:\CBP_2026.07.21\i#3\rrep\rrep#44_101_result\d#120\v#10\14\ping_collision_summary.csv</t>
  </si>
  <si>
    <t>D:\CBP_2026.07.21\i#3\rrep\rrep#44_101_result\d#120\v#10\15\ping_collision_summary.csv</t>
  </si>
  <si>
    <t>D:\CBP_2026.07.21\i#3\rrep\rrep#44_101_result\d#120\v#10\16\ping_collision_summary.csv</t>
  </si>
  <si>
    <t>D:\CBP_2026.07.21\i#3\rrep\rrep#44_101_result\d#120\v#10\17\ping_collision_summary.csv</t>
  </si>
  <si>
    <t>D:\CBP_2026.07.21\i#3\rrep\rrep#44_101_result\d#120\v#10\18\ping_collision_summary.csv</t>
  </si>
  <si>
    <t>D:\CBP_2026.07.21\i#3\rrep\rrep#44_101_result\d#120\v#10\19\ping_collision_summary.csv</t>
  </si>
  <si>
    <t>D:\CBP_2026.07.21\i#3\rrep\rrep#44_101_result\d#120\v#10\1\ping_collision_summary.csv</t>
  </si>
  <si>
    <t>D:\CBP_2026.07.21\i#3\rrep\rrep#44_101_result\d#120\v#10\20\ping_collision_summary.csv</t>
  </si>
  <si>
    <t>D:\CBP_2026.07.21\i#3\rrep\rrep#44_101_result\d#120\v#10\21\ping_collision_summary.csv</t>
  </si>
  <si>
    <t>D:\CBP_2026.07.21\i#3\rrep\rrep#44_101_result\d#120\v#10\22\ping_collision_summary.csv</t>
  </si>
  <si>
    <t>D:\CBP_2026.07.21\i#3\rrep\rrep#44_101_result\d#120\v#10\23\ping_collision_summary.csv</t>
  </si>
  <si>
    <t>D:\CBP_2026.07.21\i#3\rrep\rrep#44_101_result\d#120\v#10\24\ping_collision_summary.csv</t>
  </si>
  <si>
    <t>D:\CBP_2026.07.21\i#3\rrep\rrep#44_101_result\d#120\v#10\25\ping_collision_summary.csv</t>
  </si>
  <si>
    <t>D:\CBP_2026.07.21\i#3\rrep\rrep#44_101_result\d#120\v#10\26\ping_collision_summary.csv</t>
  </si>
  <si>
    <t>D:\CBP_2026.07.21\i#3\rrep\rrep#44_101_result\d#120\v#10\27\ping_collision_summary.csv</t>
  </si>
  <si>
    <t>D:\CBP_2026.07.21\i#3\rrep\rrep#44_101_result\d#120\v#10\28\ping_collision_summary.csv</t>
  </si>
  <si>
    <t>D:\CBP_2026.07.21\i#3\rrep\rrep#44_101_result\d#120\v#10\29\ping_collision_summary.csv</t>
  </si>
  <si>
    <t>D:\CBP_2026.07.21\i#3\rrep\rrep#44_101_result\d#120\v#10\2\ping_collision_summary.csv</t>
  </si>
  <si>
    <t>D:\CBP_2026.07.21\i#3\rrep\rrep#44_101_result\d#120\v#10\30\ping_collision_summary.csv</t>
  </si>
  <si>
    <t>D:\CBP_2026.07.21\i#3\rrep\rrep#44_101_result\d#120\v#10\3\ping_collision_summary.csv</t>
  </si>
  <si>
    <t>D:\CBP_2026.07.21\i#3\rrep\rrep#44_101_result\d#120\v#10\4\ping_collision_summary.csv</t>
  </si>
  <si>
    <t>D:\CBP_2026.07.21\i#3\rrep\rrep#44_101_result\d#120\v#10\5\ping_collision_summary.csv</t>
  </si>
  <si>
    <t>D:\CBP_2026.07.21\i#3\rrep\rrep#44_101_result\d#120\v#10\6\ping_collision_summary.csv</t>
  </si>
  <si>
    <t>D:\CBP_2026.07.21\i#3\rrep\rrep#44_101_result\d#120\v#10\7\ping_collision_summary.csv</t>
  </si>
  <si>
    <t>D:\CBP_2026.07.21\i#3\rrep\rrep#44_101_result\d#120\v#10\8\ping_collision_summary.csv</t>
  </si>
  <si>
    <t>D:\CBP_2026.07.21\i#3\rrep\rrep#44_101_result\d#120\v#10\9\ping_collision_summary.csv</t>
  </si>
  <si>
    <t>D:\CBP_2026.07.21\i#3\rrep\rrep#44_101_result\d#120\v#20\0\ping_collision_summary.csv</t>
  </si>
  <si>
    <t>D:\CBP_2026.07.21\i#3\rrep\rrep#44_101_result\d#120\v#20\10\ping_collision_summary.csv</t>
  </si>
  <si>
    <t>D:\CBP_2026.07.21\i#3\rrep\rrep#44_101_result\d#120\v#20\11\ping_collision_summary.csv</t>
  </si>
  <si>
    <t>D:\CBP_2026.07.21\i#3\rrep\rrep#44_101_result\d#120\v#20\12\ping_collision_summary.csv</t>
  </si>
  <si>
    <t>D:\CBP_2026.07.21\i#3\rrep\rrep#44_101_result\d#120\v#20\13\ping_collision_summary.csv</t>
  </si>
  <si>
    <t>D:\CBP_2026.07.21\i#3\rrep\rrep#44_101_result\d#120\v#20\14\ping_collision_summary.csv</t>
  </si>
  <si>
    <t>D:\CBP_2026.07.21\i#3\rrep\rrep#44_101_result\d#120\v#20\15\ping_collision_summary.csv</t>
  </si>
  <si>
    <t>D:\CBP_2026.07.21\i#3\rrep\rrep#44_101_result\d#120\v#20\16\ping_collision_summary.csv</t>
  </si>
  <si>
    <t>D:\CBP_2026.07.21\i#3\rrep\rrep#44_101_result\d#120\v#20\17\ping_collision_summary.csv</t>
  </si>
  <si>
    <t>D:\CBP_2026.07.21\i#3\rrep\rrep#44_101_result\d#120\v#20\18\ping_collision_summary.csv</t>
  </si>
  <si>
    <t>D:\CBP_2026.07.21\i#3\rrep\rrep#44_101_result\d#120\v#20\19\ping_collision_summary.csv</t>
  </si>
  <si>
    <t>D:\CBP_2026.07.21\i#3\rrep\rrep#44_101_result\d#120\v#20\1\ping_collision_summary.csv</t>
  </si>
  <si>
    <t>D:\CBP_2026.07.21\i#3\rrep\rrep#44_101_result\d#120\v#20\20\ping_collision_summary.csv</t>
  </si>
  <si>
    <t>D:\CBP_2026.07.21\i#3\rrep\rrep#44_101_result\d#120\v#20\21\ping_collision_summary.csv</t>
  </si>
  <si>
    <t>D:\CBP_2026.07.21\i#3\rrep\rrep#44_101_result\d#120\v#20\22\ping_collision_summary.csv</t>
  </si>
  <si>
    <t>D:\CBP_2026.07.21\i#3\rrep\rrep#44_101_result\d#120\v#20\23\ping_collision_summary.csv</t>
  </si>
  <si>
    <t>D:\CBP_2026.07.21\i#3\rrep\rrep#44_101_result\d#120\v#20\24\ping_collision_summary.csv</t>
  </si>
  <si>
    <t>D:\CBP_2026.07.21\i#3\rrep\rrep#44_101_result\d#120\v#20\25\ping_collision_summary.csv</t>
  </si>
  <si>
    <t>D:\CBP_2026.07.21\i#3\rrep\rrep#44_101_result\d#120\v#20\26\ping_collision_summary.csv</t>
  </si>
  <si>
    <t>D:\CBP_2026.07.21\i#3\rrep\rrep#44_101_result\d#120\v#20\27\ping_collision_summary.csv</t>
  </si>
  <si>
    <t>D:\CBP_2026.07.21\i#3\rrep\rrep#44_101_result\d#120\v#20\28\ping_collision_summary.csv</t>
  </si>
  <si>
    <t>D:\CBP_2026.07.21\i#3\rrep\rrep#44_101_result\d#120\v#20\29\ping_collision_summary.csv</t>
  </si>
  <si>
    <t>D:\CBP_2026.07.21\i#3\rrep\rrep#44_101_result\d#120\v#20\2\ping_collision_summary.csv</t>
  </si>
  <si>
    <t>D:\CBP_2026.07.21\i#3\rrep\rrep#44_101_result\d#120\v#20\30\ping_collision_summary.csv</t>
  </si>
  <si>
    <t>D:\CBP_2026.07.21\i#3\rrep\rrep#44_101_result\d#120\v#20\3\ping_collision_summary.csv</t>
  </si>
  <si>
    <t>D:\CBP_2026.07.21\i#3\rrep\rrep#44_101_result\d#120\v#20\4\ping_collision_summary.csv</t>
  </si>
  <si>
    <t>D:\CBP_2026.07.21\i#3\rrep\rrep#44_101_result\d#120\v#20\5\ping_collision_summary.csv</t>
  </si>
  <si>
    <t>D:\CBP_2026.07.21\i#3\rrep\rrep#44_101_result\d#120\v#20\6\ping_collision_summary.csv</t>
  </si>
  <si>
    <t>D:\CBP_2026.07.21\i#3\rrep\rrep#44_101_result\d#120\v#20\7\ping_collision_summary.csv</t>
  </si>
  <si>
    <t>D:\CBP_2026.07.21\i#3\rrep\rrep#44_101_result\d#120\v#20\8\ping_collision_summary.csv</t>
  </si>
  <si>
    <t>D:\CBP_2026.07.21\i#3\rrep\rrep#44_101_result\d#120\v#20\9\ping_collision_summary.csv</t>
  </si>
  <si>
    <t>D:\CBP_2026.07.21\i#3\rrep\rrep#44_101_result\d#120\v#30\0\ping_collision_summary.csv</t>
  </si>
  <si>
    <t>D:\CBP_2026.07.21\i#3\rrep\rrep#44_101_result\d#120\v#30\10\ping_collision_summary.csv</t>
  </si>
  <si>
    <t>D:\CBP_2026.07.21\i#3\rrep\rrep#44_101_result\d#120\v#30\11\ping_collision_summary.csv</t>
  </si>
  <si>
    <t>D:\CBP_2026.07.21\i#3\rrep\rrep#44_101_result\d#120\v#30\12\ping_collision_summary.csv</t>
  </si>
  <si>
    <t>D:\CBP_2026.07.21\i#3\rrep\rrep#44_101_result\d#120\v#30\13\ping_collision_summary.csv</t>
  </si>
  <si>
    <t>D:\CBP_2026.07.21\i#3\rrep\rrep#44_101_result\d#120\v#30\14\ping_collision_summary.csv</t>
  </si>
  <si>
    <t>D:\CBP_2026.07.21\i#3\rrep\rrep#44_101_result\d#120\v#30\15\ping_collision_summary.csv</t>
  </si>
  <si>
    <t>D:\CBP_2026.07.21\i#3\rrep\rrep#44_101_result\d#120\v#30\16\ping_collision_summary.csv</t>
  </si>
  <si>
    <t>D:\CBP_2026.07.21\i#3\rrep\rrep#44_101_result\d#120\v#30\17\ping_collision_summary.csv</t>
  </si>
  <si>
    <t>D:\CBP_2026.07.21\i#3\rrep\rrep#44_101_result\d#120\v#30\18\ping_collision_summary.csv</t>
  </si>
  <si>
    <t>D:\CBP_2026.07.21\i#3\rrep\rrep#44_101_result\d#120\v#30\19\ping_collision_summary.csv</t>
  </si>
  <si>
    <t>D:\CBP_2026.07.21\i#3\rrep\rrep#44_101_result\d#120\v#30\1\ping_collision_summary.csv</t>
  </si>
  <si>
    <t>D:\CBP_2026.07.21\i#3\rrep\rrep#44_101_result\d#120\v#30\20\ping_collision_summary.csv</t>
  </si>
  <si>
    <t>D:\CBP_2026.07.21\i#3\rrep\rrep#44_101_result\d#120\v#30\21\ping_collision_summary.csv</t>
  </si>
  <si>
    <t>D:\CBP_2026.07.21\i#3\rrep\rrep#44_101_result\d#120\v#30\22\ping_collision_summary.csv</t>
  </si>
  <si>
    <t>D:\CBP_2026.07.21\i#3\rrep\rrep#44_101_result\d#120\v#30\23\ping_collision_summary.csv</t>
  </si>
  <si>
    <t>D:\CBP_2026.07.21\i#3\rrep\rrep#44_101_result\d#120\v#30\24\ping_collision_summary.csv</t>
  </si>
  <si>
    <t>D:\CBP_2026.07.21\i#3\rrep\rrep#44_101_result\d#120\v#30\25\ping_collision_summary.csv</t>
  </si>
  <si>
    <t>D:\CBP_2026.07.21\i#3\rrep\rrep#44_101_result\d#120\v#30\26\ping_collision_summary.csv</t>
  </si>
  <si>
    <t>D:\CBP_2026.07.21\i#3\rrep\rrep#44_101_result\d#120\v#30\27\ping_collision_summary.csv</t>
  </si>
  <si>
    <t>D:\CBP_2026.07.21\i#3\rrep\rrep#44_101_result\d#120\v#30\28\ping_collision_summary.csv</t>
  </si>
  <si>
    <t>D:\CBP_2026.07.21\i#3\rrep\rrep#44_101_result\d#120\v#30\29\ping_collision_summary.csv</t>
  </si>
  <si>
    <t>D:\CBP_2026.07.21\i#3\rrep\rrep#44_101_result\d#120\v#30\2\ping_collision_summary.csv</t>
  </si>
  <si>
    <t>D:\CBP_2026.07.21\i#3\rrep\rrep#44_101_result\d#120\v#30\30\ping_collision_summary.csv</t>
  </si>
  <si>
    <t>D:\CBP_2026.07.21\i#3\rrep\rrep#44_101_result\d#120\v#30\3\ping_collision_summary.csv</t>
  </si>
  <si>
    <t>D:\CBP_2026.07.21\i#3\rrep\rrep#44_101_result\d#120\v#30\4\ping_collision_summary.csv</t>
  </si>
  <si>
    <t>D:\CBP_2026.07.21\i#3\rrep\rrep#44_101_result\d#120\v#30\5\ping_collision_summary.csv</t>
  </si>
  <si>
    <t>D:\CBP_2026.07.21\i#3\rrep\rrep#44_101_result\d#120\v#30\6\ping_collision_summary.csv</t>
  </si>
  <si>
    <t>D:\CBP_2026.07.21\i#3\rrep\rrep#44_101_result\d#120\v#30\7\ping_collision_summary.csv</t>
  </si>
  <si>
    <t>D:\CBP_2026.07.21\i#3\rrep\rrep#44_101_result\d#120\v#30\8\ping_collision_summary.csv</t>
  </si>
  <si>
    <t>D:\CBP_2026.07.21\i#3\rrep\rrep#44_101_result\d#120\v#30\9\ping_collision_summary.csv</t>
  </si>
  <si>
    <t>D:\CBP_2026.07.21\i#3\rrep\rrep#44_101_result\d#70\v#10\0\ping_collision_summary.csv</t>
  </si>
  <si>
    <t>D:\CBP_2026.07.21\i#3\rrep\rrep#44_101_result\d#70\v#10\10\ping_collision_summary.csv</t>
  </si>
  <si>
    <t>D:\CBP_2026.07.21\i#3\rrep\rrep#44_101_result\d#70\v#10\11\ping_collision_summary.csv</t>
  </si>
  <si>
    <t>D:\CBP_2026.07.21\i#3\rrep\rrep#44_101_result\d#70\v#10\12\ping_collision_summary.csv</t>
  </si>
  <si>
    <t>D:\CBP_2026.07.21\i#3\rrep\rrep#44_101_result\d#70\v#10\13\ping_collision_summary.csv</t>
  </si>
  <si>
    <t>D:\CBP_2026.07.21\i#3\rrep\rrep#44_101_result\d#70\v#10\14\ping_collision_summary.csv</t>
  </si>
  <si>
    <t>D:\CBP_2026.07.21\i#3\rrep\rrep#44_101_result\d#70\v#10\15\ping_collision_summary.csv</t>
  </si>
  <si>
    <t>D:\CBP_2026.07.21\i#3\rrep\rrep#44_101_result\d#70\v#10\16\ping_collision_summary.csv</t>
  </si>
  <si>
    <t>D:\CBP_2026.07.21\i#3\rrep\rrep#44_101_result\d#70\v#10\17\ping_collision_summary.csv</t>
  </si>
  <si>
    <t>D:\CBP_2026.07.21\i#3\rrep\rrep#44_101_result\d#70\v#10\18\ping_collision_summary.csv</t>
  </si>
  <si>
    <t>D:\CBP_2026.07.21\i#3\rrep\rrep#44_101_result\d#70\v#10\19\ping_collision_summary.csv</t>
  </si>
  <si>
    <t>D:\CBP_2026.07.21\i#3\rrep\rrep#44_101_result\d#70\v#10\1\ping_collision_summary.csv</t>
  </si>
  <si>
    <t>D:\CBP_2026.07.21\i#3\rrep\rrep#44_101_result\d#70\v#10\20\ping_collision_summary.csv</t>
  </si>
  <si>
    <t>D:\CBP_2026.07.21\i#3\rrep\rrep#44_101_result\d#70\v#10\21\ping_collision_summary.csv</t>
  </si>
  <si>
    <t>D:\CBP_2026.07.21\i#3\rrep\rrep#44_101_result\d#70\v#10\22\ping_collision_summary.csv</t>
  </si>
  <si>
    <t>D:\CBP_2026.07.21\i#3\rrep\rrep#44_101_result\d#70\v#10\23\ping_collision_summary.csv</t>
  </si>
  <si>
    <t>D:\CBP_2026.07.21\i#3\rrep\rrep#44_101_result\d#70\v#10\24\ping_collision_summary.csv</t>
  </si>
  <si>
    <t>D:\CBP_2026.07.21\i#3\rrep\rrep#44_101_result\d#70\v#10\25\ping_collision_summary.csv</t>
  </si>
  <si>
    <t>D:\CBP_2026.07.21\i#3\rrep\rrep#44_101_result\d#70\v#10\26\ping_collision_summary.csv</t>
  </si>
  <si>
    <t>D:\CBP_2026.07.21\i#3\rrep\rrep#44_101_result\d#70\v#10\27\ping_collision_summary.csv</t>
  </si>
  <si>
    <t>D:\CBP_2026.07.21\i#3\rrep\rrep#44_101_result\d#70\v#10\28\ping_collision_summary.csv</t>
  </si>
  <si>
    <t>D:\CBP_2026.07.21\i#3\rrep\rrep#44_101_result\d#70\v#10\29\ping_collision_summary.csv</t>
  </si>
  <si>
    <t>D:\CBP_2026.07.21\i#3\rrep\rrep#44_101_result\d#70\v#10\2\ping_collision_summary.csv</t>
  </si>
  <si>
    <t>D:\CBP_2026.07.21\i#3\rrep\rrep#44_101_result\d#70\v#10\30\ping_collision_summary.csv</t>
  </si>
  <si>
    <t>D:\CBP_2026.07.21\i#3\rrep\rrep#44_101_result\d#70\v#10\3\ping_collision_summary.csv</t>
  </si>
  <si>
    <t>D:\CBP_2026.07.21\i#3\rrep\rrep#44_101_result\d#70\v#10\4\ping_collision_summary.csv</t>
  </si>
  <si>
    <t>D:\CBP_2026.07.21\i#3\rrep\rrep#44_101_result\d#70\v#10\5\ping_collision_summary.csv</t>
  </si>
  <si>
    <t>D:\CBP_2026.07.21\i#3\rrep\rrep#44_101_result\d#70\v#10\6\ping_collision_summary.csv</t>
  </si>
  <si>
    <t>D:\CBP_2026.07.21\i#3\rrep\rrep#44_101_result\d#70\v#10\7\ping_collision_summary.csv</t>
  </si>
  <si>
    <t>D:\CBP_2026.07.21\i#3\rrep\rrep#44_101_result\d#70\v#10\8\ping_collision_summary.csv</t>
  </si>
  <si>
    <t>D:\CBP_2026.07.21\i#3\rrep\rrep#44_101_result\d#70\v#10\9\ping_collision_summary.csv</t>
  </si>
  <si>
    <t>D:\CBP_2026.07.21\i#3\rrep\rrep#44_101_result\d#70\v#20\0\ping_collision_summary.csv</t>
  </si>
  <si>
    <t>D:\CBP_2026.07.21\i#3\rrep\rrep#44_101_result\d#70\v#20\10\ping_collision_summary.csv</t>
  </si>
  <si>
    <t>D:\CBP_2026.07.21\i#3\rrep\rrep#44_101_result\d#70\v#20\11\ping_collision_summary.csv</t>
  </si>
  <si>
    <t>D:\CBP_2026.07.21\i#3\rrep\rrep#44_101_result\d#70\v#20\12\ping_collision_summary.csv</t>
  </si>
  <si>
    <t>D:\CBP_2026.07.21\i#3\rrep\rrep#44_101_result\d#70\v#20\13\ping_collision_summary.csv</t>
  </si>
  <si>
    <t>D:\CBP_2026.07.21\i#3\rrep\rrep#44_101_result\d#70\v#20\14\ping_collision_summary.csv</t>
  </si>
  <si>
    <t>D:\CBP_2026.07.21\i#3\rrep\rrep#44_101_result\d#70\v#20\15\ping_collision_summary.csv</t>
  </si>
  <si>
    <t>D:\CBP_2026.07.21\i#3\rrep\rrep#44_101_result\d#70\v#20\16\ping_collision_summary.csv</t>
  </si>
  <si>
    <t>D:\CBP_2026.07.21\i#3\rrep\rrep#44_101_result\d#70\v#20\17\ping_collision_summary.csv</t>
  </si>
  <si>
    <t>D:\CBP_2026.07.21\i#3\rrep\rrep#44_101_result\d#70\v#20\18\ping_collision_summary.csv</t>
  </si>
  <si>
    <t>D:\CBP_2026.07.21\i#3\rrep\rrep#44_101_result\d#70\v#20\19\ping_collision_summary.csv</t>
  </si>
  <si>
    <t>D:\CBP_2026.07.21\i#3\rrep\rrep#44_101_result\d#70\v#20\1\ping_collision_summary.csv</t>
  </si>
  <si>
    <t>D:\CBP_2026.07.21\i#3\rrep\rrep#44_101_result\d#70\v#20\20\ping_collision_summary.csv</t>
  </si>
  <si>
    <t>D:\CBP_2026.07.21\i#3\rrep\rrep#44_101_result\d#70\v#20\21\ping_collision_summary.csv</t>
  </si>
  <si>
    <t>D:\CBP_2026.07.21\i#3\rrep\rrep#44_101_result\d#70\v#20\22\ping_collision_summary.csv</t>
  </si>
  <si>
    <t>D:\CBP_2026.07.21\i#3\rrep\rrep#44_101_result\d#70\v#20\23\ping_collision_summary.csv</t>
  </si>
  <si>
    <t>D:\CBP_2026.07.21\i#3\rrep\rrep#44_101_result\d#70\v#20\24\ping_collision_summary.csv</t>
  </si>
  <si>
    <t>D:\CBP_2026.07.21\i#3\rrep\rrep#44_101_result\d#70\v#20\25\ping_collision_summary.csv</t>
  </si>
  <si>
    <t>D:\CBP_2026.07.21\i#3\rrep\rrep#44_101_result\d#70\v#20\26\ping_collision_summary.csv</t>
  </si>
  <si>
    <t>D:\CBP_2026.07.21\i#3\rrep\rrep#44_101_result\d#70\v#20\27\ping_collision_summary.csv</t>
  </si>
  <si>
    <t>D:\CBP_2026.07.21\i#3\rrep\rrep#44_101_result\d#70\v#20\28\ping_collision_summary.csv</t>
  </si>
  <si>
    <t>D:\CBP_2026.07.21\i#3\rrep\rrep#44_101_result\d#70\v#20\29\ping_collision_summary.csv</t>
  </si>
  <si>
    <t>D:\CBP_2026.07.21\i#3\rrep\rrep#44_101_result\d#70\v#20\2\ping_collision_summary.csv</t>
  </si>
  <si>
    <t>D:\CBP_2026.07.21\i#3\rrep\rrep#44_101_result\d#70\v#20\30\ping_collision_summary.csv</t>
  </si>
  <si>
    <t>D:\CBP_2026.07.21\i#3\rrep\rrep#44_101_result\d#70\v#20\3\ping_collision_summary.csv</t>
  </si>
  <si>
    <t>D:\CBP_2026.07.21\i#3\rrep\rrep#44_101_result\d#70\v#20\4\ping_collision_summary.csv</t>
  </si>
  <si>
    <t>D:\CBP_2026.07.21\i#3\rrep\rrep#44_101_result\d#70\v#20\5\ping_collision_summary.csv</t>
  </si>
  <si>
    <t>D:\CBP_2026.07.21\i#3\rrep\rrep#44_101_result\d#70\v#20\6\ping_collision_summary.csv</t>
  </si>
  <si>
    <t>D:\CBP_2026.07.21\i#3\rrep\rrep#44_101_result\d#70\v#20\7\ping_collision_summary.csv</t>
  </si>
  <si>
    <t>D:\CBP_2026.07.21\i#3\rrep\rrep#44_101_result\d#70\v#20\8\ping_collision_summary.csv</t>
  </si>
  <si>
    <t>D:\CBP_2026.07.21\i#3\rrep\rrep#44_101_result\d#70\v#20\9\ping_collision_summary.csv</t>
  </si>
  <si>
    <t>D:\CBP_2026.07.21\i#3\rrep\rrep#44_101_result\d#70\v#30\0\ping_collision_summary.csv</t>
  </si>
  <si>
    <t>D:\CBP_2026.07.21\i#3\rrep\rrep#44_101_result\d#70\v#30\10\ping_collision_summary.csv</t>
  </si>
  <si>
    <t>D:\CBP_2026.07.21\i#3\rrep\rrep#44_101_result\d#70\v#30\11\ping_collision_summary.csv</t>
  </si>
  <si>
    <t>D:\CBP_2026.07.21\i#3\rrep\rrep#44_101_result\d#70\v#30\12\ping_collision_summary.csv</t>
  </si>
  <si>
    <t>D:\CBP_2026.07.21\i#3\rrep\rrep#44_101_result\d#70\v#30\13\ping_collision_summary.csv</t>
  </si>
  <si>
    <t>D:\CBP_2026.07.21\i#3\rrep\rrep#44_101_result\d#70\v#30\14\ping_collision_summary.csv</t>
  </si>
  <si>
    <t>D:\CBP_2026.07.21\i#3\rrep\rrep#44_101_result\d#70\v#30\15\ping_collision_summary.csv</t>
  </si>
  <si>
    <t>D:\CBP_2026.07.21\i#3\rrep\rrep#44_101_result\d#70\v#30\16\ping_collision_summary.csv</t>
  </si>
  <si>
    <t>D:\CBP_2026.07.21\i#3\rrep\rrep#44_101_result\d#70\v#30\17\ping_collision_summary.csv</t>
  </si>
  <si>
    <t>D:\CBP_2026.07.21\i#3\rrep\rrep#44_101_result\d#70\v#30\18\ping_collision_summary.csv</t>
  </si>
  <si>
    <t>D:\CBP_2026.07.21\i#3\rrep\rrep#44_101_result\d#70\v#30\19\ping_collision_summary.csv</t>
  </si>
  <si>
    <t>D:\CBP_2026.07.21\i#3\rrep\rrep#44_101_result\d#70\v#30\1\ping_collision_summary.csv</t>
  </si>
  <si>
    <t>D:\CBP_2026.07.21\i#3\rrep\rrep#44_101_result\d#70\v#30\20\ping_collision_summary.csv</t>
  </si>
  <si>
    <t>D:\CBP_2026.07.21\i#3\rrep\rrep#44_101_result\d#70\v#30\21\ping_collision_summary.csv</t>
  </si>
  <si>
    <t>D:\CBP_2026.07.21\i#3\rrep\rrep#44_101_result\d#70\v#30\22\ping_collision_summary.csv</t>
  </si>
  <si>
    <t>D:\CBP_2026.07.21\i#3\rrep\rrep#44_101_result\d#70\v#30\23\ping_collision_summary.csv</t>
  </si>
  <si>
    <t>D:\CBP_2026.07.21\i#3\rrep\rrep#44_101_result\d#70\v#30\24\ping_collision_summary.csv</t>
  </si>
  <si>
    <t>D:\CBP_2026.07.21\i#3\rrep\rrep#44_101_result\d#70\v#30\25\ping_collision_summary.csv</t>
  </si>
  <si>
    <t>D:\CBP_2026.07.21\i#3\rrep\rrep#44_101_result\d#70\v#30\26\ping_collision_summary.csv</t>
  </si>
  <si>
    <t>D:\CBP_2026.07.21\i#3\rrep\rrep#44_101_result\d#70\v#30\27\ping_collision_summary.csv</t>
  </si>
  <si>
    <t>D:\CBP_2026.07.21\i#3\rrep\rrep#44_101_result\d#70\v#30\28\ping_collision_summary.csv</t>
  </si>
  <si>
    <t>D:\CBP_2026.07.21\i#3\rrep\rrep#44_101_result\d#70\v#30\29\ping_collision_summary.csv</t>
  </si>
  <si>
    <t>D:\CBP_2026.07.21\i#3\rrep\rrep#44_101_result\d#70\v#30\2\ping_collision_summary.csv</t>
  </si>
  <si>
    <t>D:\CBP_2026.07.21\i#3\rrep\rrep#44_101_result\d#70\v#30\30\ping_collision_summary.csv</t>
  </si>
  <si>
    <t>D:\CBP_2026.07.21\i#3\rrep\rrep#44_101_result\d#70\v#30\3\ping_collision_summary.csv</t>
  </si>
  <si>
    <t>D:\CBP_2026.07.21\i#3\rrep\rrep#44_101_result\d#70\v#30\4\ping_collision_summary.csv</t>
  </si>
  <si>
    <t>D:\CBP_2026.07.21\i#3\rrep\rrep#44_101_result\d#70\v#30\5\ping_collision_summary.csv</t>
  </si>
  <si>
    <t>D:\CBP_2026.07.21\i#3\rrep\rrep#44_101_result\d#70\v#30\6\ping_collision_summary.csv</t>
  </si>
  <si>
    <t>D:\CBP_2026.07.21\i#3\rrep\rrep#44_101_result\d#70\v#30\7\ping_collision_summary.csv</t>
  </si>
  <si>
    <t>D:\CBP_2026.07.21\i#3\rrep\rrep#44_101_result\d#70\v#30\8\ping_collision_summary.csv</t>
  </si>
  <si>
    <t>D:\CBP_2026.07.21\i#3\rrep\rrep#44_101_result\d#70\v#30\9\ping_collision_summary.csv</t>
  </si>
  <si>
    <t>D:\CBP_2026.07.21\i#3\rreq\rreq#0_19_result\d#100\v#10\0\ping_collision_summary.csv</t>
  </si>
  <si>
    <t>D:\CBP_2026.07.21\i#3\rreq\rreq#0_19_result\d#100\v#10\10\ping_collision_summary.csv</t>
  </si>
  <si>
    <t>D:\CBP_2026.07.21\i#3\rreq\rreq#0_19_result\d#100\v#10\11\ping_collision_summary.csv</t>
  </si>
  <si>
    <t>D:\CBP_2026.07.21\i#3\rreq\rreq#0_19_result\d#100\v#10\12\ping_collision_summary.csv</t>
  </si>
  <si>
    <t>D:\CBP_2026.07.21\i#3\rreq\rreq#0_19_result\d#100\v#10\13\ping_collision_summary.csv</t>
  </si>
  <si>
    <t>D:\CBP_2026.07.21\i#3\rreq\rreq#0_19_result\d#100\v#10\14\ping_collision_summary.csv</t>
  </si>
  <si>
    <t>D:\CBP_2026.07.21\i#3\rreq\rreq#0_19_result\d#100\v#10\15\ping_collision_summary.csv</t>
  </si>
  <si>
    <t>D:\CBP_2026.07.21\i#3\rreq\rreq#0_19_result\d#100\v#10\16\ping_collision_summary.csv</t>
  </si>
  <si>
    <t>D:\CBP_2026.07.21\i#3\rreq\rreq#0_19_result\d#100\v#10\17\ping_collision_summary.csv</t>
  </si>
  <si>
    <t>D:\CBP_2026.07.21\i#3\rreq\rreq#0_19_result\d#100\v#10\18\ping_collision_summary.csv</t>
  </si>
  <si>
    <t>D:\CBP_2026.07.21\i#3\rreq\rreq#0_19_result\d#100\v#10\19\ping_collision_summary.csv</t>
  </si>
  <si>
    <t>D:\CBP_2026.07.21\i#3\rreq\rreq#0_19_result\d#100\v#10\1\ping_collision_summary.csv</t>
  </si>
  <si>
    <t>D:\CBP_2026.07.21\i#3\rreq\rreq#0_19_result\d#100\v#10\20\ping_collision_summary.csv</t>
  </si>
  <si>
    <t>D:\CBP_2026.07.21\i#3\rreq\rreq#0_19_result\d#100\v#10\21\ping_collision_summary.csv</t>
  </si>
  <si>
    <t>D:\CBP_2026.07.21\i#3\rreq\rreq#0_19_result\d#100\v#10\22\ping_collision_summary.csv</t>
  </si>
  <si>
    <t>D:\CBP_2026.07.21\i#3\rreq\rreq#0_19_result\d#100\v#10\23\ping_collision_summary.csv</t>
  </si>
  <si>
    <t>D:\CBP_2026.07.21\i#3\rreq\rreq#0_19_result\d#100\v#10\24\ping_collision_summary.csv</t>
  </si>
  <si>
    <t>D:\CBP_2026.07.21\i#3\rreq\rreq#0_19_result\d#100\v#10\25\ping_collision_summary.csv</t>
  </si>
  <si>
    <t>D:\CBP_2026.07.21\i#3\rreq\rreq#0_19_result\d#100\v#10\26\ping_collision_summary.csv</t>
  </si>
  <si>
    <t>D:\CBP_2026.07.21\i#3\rreq\rreq#0_19_result\d#100\v#10\27\ping_collision_summary.csv</t>
  </si>
  <si>
    <t>D:\CBP_2026.07.21\i#3\rreq\rreq#0_19_result\d#100\v#10\28\ping_collision_summary.csv</t>
  </si>
  <si>
    <t>D:\CBP_2026.07.21\i#3\rreq\rreq#0_19_result\d#100\v#10\29\ping_collision_summary.csv</t>
  </si>
  <si>
    <t>D:\CBP_2026.07.21\i#3\rreq\rreq#0_19_result\d#100\v#10\2\ping_collision_summary.csv</t>
  </si>
  <si>
    <t>D:\CBP_2026.07.21\i#3\rreq\rreq#0_19_result\d#100\v#10\30\ping_collision_summary.csv</t>
  </si>
  <si>
    <t>D:\CBP_2026.07.21\i#3\rreq\rreq#0_19_result\d#100\v#10\3\ping_collision_summary.csv</t>
  </si>
  <si>
    <t>D:\CBP_2026.07.21\i#3\rreq\rreq#0_19_result\d#100\v#10\4\ping_collision_summary.csv</t>
  </si>
  <si>
    <t>D:\CBP_2026.07.21\i#3\rreq\rreq#0_19_result\d#100\v#10\5\ping_collision_summary.csv</t>
  </si>
  <si>
    <t>D:\CBP_2026.07.21\i#3\rreq\rreq#0_19_result\d#100\v#10\6\ping_collision_summary.csv</t>
  </si>
  <si>
    <t>D:\CBP_2026.07.21\i#3\rreq\rreq#0_19_result\d#100\v#10\7\ping_collision_summary.csv</t>
  </si>
  <si>
    <t>D:\CBP_2026.07.21\i#3\rreq\rreq#0_19_result\d#100\v#10\8\ping_collision_summary.csv</t>
  </si>
  <si>
    <t>D:\CBP_2026.07.21\i#3\rreq\rreq#0_19_result\d#100\v#10\9\ping_collision_summary.csv</t>
  </si>
  <si>
    <t>D:\CBP_2026.07.21\i#3\rreq\rreq#0_19_result\d#100\v#20\0\ping_collision_summary.csv</t>
  </si>
  <si>
    <t>D:\CBP_2026.07.21\i#3\rreq\rreq#0_19_result\d#100\v#20\10\ping_collision_summary.csv</t>
  </si>
  <si>
    <t>D:\CBP_2026.07.21\i#3\rreq\rreq#0_19_result\d#100\v#20\11\ping_collision_summary.csv</t>
  </si>
  <si>
    <t>D:\CBP_2026.07.21\i#3\rreq\rreq#0_19_result\d#100\v#20\12\ping_collision_summary.csv</t>
  </si>
  <si>
    <t>D:\CBP_2026.07.21\i#3\rreq\rreq#0_19_result\d#100\v#20\13\ping_collision_summary.csv</t>
  </si>
  <si>
    <t>D:\CBP_2026.07.21\i#3\rreq\rreq#0_19_result\d#100\v#20\14\ping_collision_summary.csv</t>
  </si>
  <si>
    <t>D:\CBP_2026.07.21\i#3\rreq\rreq#0_19_result\d#100\v#20\15\ping_collision_summary.csv</t>
  </si>
  <si>
    <t>D:\CBP_2026.07.21\i#3\rreq\rreq#0_19_result\d#100\v#20\16\ping_collision_summary.csv</t>
  </si>
  <si>
    <t>D:\CBP_2026.07.21\i#3\rreq\rreq#0_19_result\d#100\v#20\17\ping_collision_summary.csv</t>
  </si>
  <si>
    <t>D:\CBP_2026.07.21\i#3\rreq\rreq#0_19_result\d#100\v#20\18\ping_collision_summary.csv</t>
  </si>
  <si>
    <t>D:\CBP_2026.07.21\i#3\rreq\rreq#0_19_result\d#100\v#20\19\ping_collision_summary.csv</t>
  </si>
  <si>
    <t>D:\CBP_2026.07.21\i#3\rreq\rreq#0_19_result\d#100\v#20\1\ping_collision_summary.csv</t>
  </si>
  <si>
    <t>D:\CBP_2026.07.21\i#3\rreq\rreq#0_19_result\d#100\v#20\20\ping_collision_summary.csv</t>
  </si>
  <si>
    <t>D:\CBP_2026.07.21\i#3\rreq\rreq#0_19_result\d#100\v#20\21\ping_collision_summary.csv</t>
  </si>
  <si>
    <t>D:\CBP_2026.07.21\i#3\rreq\rreq#0_19_result\d#100\v#20\22\ping_collision_summary.csv</t>
  </si>
  <si>
    <t>D:\CBP_2026.07.21\i#3\rreq\rreq#0_19_result\d#100\v#20\23\ping_collision_summary.csv</t>
  </si>
  <si>
    <t>D:\CBP_2026.07.21\i#3\rreq\rreq#0_19_result\d#100\v#20\24\ping_collision_summary.csv</t>
  </si>
  <si>
    <t>D:\CBP_2026.07.21\i#3\rreq\rreq#0_19_result\d#100\v#20\25\ping_collision_summary.csv</t>
  </si>
  <si>
    <t>D:\CBP_2026.07.21\i#3\rreq\rreq#0_19_result\d#100\v#20\26\ping_collision_summary.csv</t>
  </si>
  <si>
    <t>D:\CBP_2026.07.21\i#3\rreq\rreq#0_19_result\d#100\v#20\27\ping_collision_summary.csv</t>
  </si>
  <si>
    <t>D:\CBP_2026.07.21\i#3\rreq\rreq#0_19_result\d#100\v#20\28\ping_collision_summary.csv</t>
  </si>
  <si>
    <t>D:\CBP_2026.07.21\i#3\rreq\rreq#0_19_result\d#100\v#20\29\ping_collision_summary.csv</t>
  </si>
  <si>
    <t>D:\CBP_2026.07.21\i#3\rreq\rreq#0_19_result\d#100\v#20\2\ping_collision_summary.csv</t>
  </si>
  <si>
    <t>D:\CBP_2026.07.21\i#3\rreq\rreq#0_19_result\d#100\v#20\30\ping_collision_summary.csv</t>
  </si>
  <si>
    <t>D:\CBP_2026.07.21\i#3\rreq\rreq#0_19_result\d#100\v#20\3\ping_collision_summary.csv</t>
  </si>
  <si>
    <t>D:\CBP_2026.07.21\i#3\rreq\rreq#0_19_result\d#100\v#20\4\ping_collision_summary.csv</t>
  </si>
  <si>
    <t>D:\CBP_2026.07.21\i#3\rreq\rreq#0_19_result\d#100\v#20\5\ping_collision_summary.csv</t>
  </si>
  <si>
    <t>D:\CBP_2026.07.21\i#3\rreq\rreq#0_19_result\d#100\v#20\6\ping_collision_summary.csv</t>
  </si>
  <si>
    <t>D:\CBP_2026.07.21\i#3\rreq\rreq#0_19_result\d#100\v#20\7\ping_collision_summary.csv</t>
  </si>
  <si>
    <t>D:\CBP_2026.07.21\i#3\rreq\rreq#0_19_result\d#100\v#20\8\ping_collision_summary.csv</t>
  </si>
  <si>
    <t>D:\CBP_2026.07.21\i#3\rreq\rreq#0_19_result\d#100\v#20\9\ping_collision_summary.csv</t>
  </si>
  <si>
    <t>D:\CBP_2026.07.21\i#3\rreq\rreq#0_19_result\d#100\v#30\0\ping_collision_summary.csv</t>
  </si>
  <si>
    <t>D:\CBP_2026.07.21\i#3\rreq\rreq#0_19_result\d#100\v#30\10\ping_collision_summary.csv</t>
  </si>
  <si>
    <t>D:\CBP_2026.07.21\i#3\rreq\rreq#0_19_result\d#100\v#30\11\ping_collision_summary.csv</t>
  </si>
  <si>
    <t>D:\CBP_2026.07.21\i#3\rreq\rreq#0_19_result\d#100\v#30\12\ping_collision_summary.csv</t>
  </si>
  <si>
    <t>D:\CBP_2026.07.21\i#3\rreq\rreq#0_19_result\d#100\v#30\13\ping_collision_summary.csv</t>
  </si>
  <si>
    <t>D:\CBP_2026.07.21\i#3\rreq\rreq#0_19_result\d#100\v#30\14\ping_collision_summary.csv</t>
  </si>
  <si>
    <t>D:\CBP_2026.07.21\i#3\rreq\rreq#0_19_result\d#100\v#30\15\ping_collision_summary.csv</t>
  </si>
  <si>
    <t>D:\CBP_2026.07.21\i#3\rreq\rreq#0_19_result\d#100\v#30\16\ping_collision_summary.csv</t>
  </si>
  <si>
    <t>D:\CBP_2026.07.21\i#3\rreq\rreq#0_19_result\d#100\v#30\17\ping_collision_summary.csv</t>
  </si>
  <si>
    <t>D:\CBP_2026.07.21\i#3\rreq\rreq#0_19_result\d#100\v#30\18\ping_collision_summary.csv</t>
  </si>
  <si>
    <t>D:\CBP_2026.07.21\i#3\rreq\rreq#0_19_result\d#100\v#30\19\ping_collision_summary.csv</t>
  </si>
  <si>
    <t>D:\CBP_2026.07.21\i#3\rreq\rreq#0_19_result\d#100\v#30\1\ping_collision_summary.csv</t>
  </si>
  <si>
    <t>D:\CBP_2026.07.21\i#3\rreq\rreq#0_19_result\d#100\v#30\20\ping_collision_summary.csv</t>
  </si>
  <si>
    <t>D:\CBP_2026.07.21\i#3\rreq\rreq#0_19_result\d#100\v#30\21\ping_collision_summary.csv</t>
  </si>
  <si>
    <t>D:\CBP_2026.07.21\i#3\rreq\rreq#0_19_result\d#100\v#30\22\ping_collision_summary.csv</t>
  </si>
  <si>
    <t>D:\CBP_2026.07.21\i#3\rreq\rreq#0_19_result\d#100\v#30\23\ping_collision_summary.csv</t>
  </si>
  <si>
    <t>D:\CBP_2026.07.21\i#3\rreq\rreq#0_19_result\d#100\v#30\24\ping_collision_summary.csv</t>
  </si>
  <si>
    <t>D:\CBP_2026.07.21\i#3\rreq\rreq#0_19_result\d#100\v#30\25\ping_collision_summary.csv</t>
  </si>
  <si>
    <t>D:\CBP_2026.07.21\i#3\rreq\rreq#0_19_result\d#100\v#30\26\ping_collision_summary.csv</t>
  </si>
  <si>
    <t>D:\CBP_2026.07.21\i#3\rreq\rreq#0_19_result\d#100\v#30\27\ping_collision_summary.csv</t>
  </si>
  <si>
    <t>D:\CBP_2026.07.21\i#3\rreq\rreq#0_19_result\d#100\v#30\28\ping_collision_summary.csv</t>
  </si>
  <si>
    <t>D:\CBP_2026.07.21\i#3\rreq\rreq#0_19_result\d#100\v#30\29\ping_collision_summary.csv</t>
  </si>
  <si>
    <t>D:\CBP_2026.07.21\i#3\rreq\rreq#0_19_result\d#100\v#30\2\ping_collision_summary.csv</t>
  </si>
  <si>
    <t>D:\CBP_2026.07.21\i#3\rreq\rreq#0_19_result\d#100\v#30\30\ping_collision_summary.csv</t>
  </si>
  <si>
    <t>D:\CBP_2026.07.21\i#3\rreq\rreq#0_19_result\d#100\v#30\3\ping_collision_summary.csv</t>
  </si>
  <si>
    <t>D:\CBP_2026.07.21\i#3\rreq\rreq#0_19_result\d#100\v#30\4\ping_collision_summary.csv</t>
  </si>
  <si>
    <t>D:\CBP_2026.07.21\i#3\rreq\rreq#0_19_result\d#100\v#30\5\ping_collision_summary.csv</t>
  </si>
  <si>
    <t>D:\CBP_2026.07.21\i#3\rreq\rreq#0_19_result\d#100\v#30\6\ping_collision_summary.csv</t>
  </si>
  <si>
    <t>D:\CBP_2026.07.21\i#3\rreq\rreq#0_19_result\d#100\v#30\7\ping_collision_summary.csv</t>
  </si>
  <si>
    <t>D:\CBP_2026.07.21\i#3\rreq\rreq#0_19_result\d#100\v#30\8\ping_collision_summary.csv</t>
  </si>
  <si>
    <t>D:\CBP_2026.07.21\i#3\rreq\rreq#0_19_result\d#100\v#30\9\ping_collision_summary.csv</t>
  </si>
  <si>
    <t>D:\CBP_2026.07.21\i#3\rreq\rreq#0_19_result\d#120\v#10\0\ping_collision_summary.csv</t>
  </si>
  <si>
    <t>D:\CBP_2026.07.21\i#3\rreq\rreq#0_19_result\d#120\v#10\10\ping_collision_summary.csv</t>
  </si>
  <si>
    <t>D:\CBP_2026.07.21\i#3\rreq\rreq#0_19_result\d#120\v#10\11\ping_collision_summary.csv</t>
  </si>
  <si>
    <t>D:\CBP_2026.07.21\i#3\rreq\rreq#0_19_result\d#120\v#10\12\ping_collision_summary.csv</t>
  </si>
  <si>
    <t>D:\CBP_2026.07.21\i#3\rreq\rreq#0_19_result\d#120\v#10\13\ping_collision_summary.csv</t>
  </si>
  <si>
    <t>D:\CBP_2026.07.21\i#3\rreq\rreq#0_19_result\d#120\v#10\14\ping_collision_summary.csv</t>
  </si>
  <si>
    <t>D:\CBP_2026.07.21\i#3\rreq\rreq#0_19_result\d#120\v#10\15\ping_collision_summary.csv</t>
  </si>
  <si>
    <t>D:\CBP_2026.07.21\i#3\rreq\rreq#0_19_result\d#120\v#10\16\ping_collision_summary.csv</t>
  </si>
  <si>
    <t>D:\CBP_2026.07.21\i#3\rreq\rreq#0_19_result\d#120\v#10\17\ping_collision_summary.csv</t>
  </si>
  <si>
    <t>D:\CBP_2026.07.21\i#3\rreq\rreq#0_19_result\d#120\v#10\18\ping_collision_summary.csv</t>
  </si>
  <si>
    <t>D:\CBP_2026.07.21\i#3\rreq\rreq#0_19_result\d#120\v#10\19\ping_collision_summary.csv</t>
  </si>
  <si>
    <t>D:\CBP_2026.07.21\i#3\rreq\rreq#0_19_result\d#120\v#10\1\ping_collision_summary.csv</t>
  </si>
  <si>
    <t>D:\CBP_2026.07.21\i#3\rreq\rreq#0_19_result\d#120\v#10\20\ping_collision_summary.csv</t>
  </si>
  <si>
    <t>D:\CBP_2026.07.21\i#3\rreq\rreq#0_19_result\d#120\v#10\21\ping_collision_summary.csv</t>
  </si>
  <si>
    <t>D:\CBP_2026.07.21\i#3\rreq\rreq#0_19_result\d#120\v#10\22\ping_collision_summary.csv</t>
  </si>
  <si>
    <t>D:\CBP_2026.07.21\i#3\rreq\rreq#0_19_result\d#120\v#10\23\ping_collision_summary.csv</t>
  </si>
  <si>
    <t>D:\CBP_2026.07.21\i#3\rreq\rreq#0_19_result\d#120\v#10\24\ping_collision_summary.csv</t>
  </si>
  <si>
    <t>D:\CBP_2026.07.21\i#3\rreq\rreq#0_19_result\d#120\v#10\25\ping_collision_summary.csv</t>
  </si>
  <si>
    <t>D:\CBP_2026.07.21\i#3\rreq\rreq#0_19_result\d#120\v#10\26\ping_collision_summary.csv</t>
  </si>
  <si>
    <t>D:\CBP_2026.07.21\i#3\rreq\rreq#0_19_result\d#120\v#10\27\ping_collision_summary.csv</t>
  </si>
  <si>
    <t>D:\CBP_2026.07.21\i#3\rreq\rreq#0_19_result\d#120\v#10\28\ping_collision_summary.csv</t>
  </si>
  <si>
    <t>D:\CBP_2026.07.21\i#3\rreq\rreq#0_19_result\d#120\v#10\29\ping_collision_summary.csv</t>
  </si>
  <si>
    <t>D:\CBP_2026.07.21\i#3\rreq\rreq#0_19_result\d#120\v#10\2\ping_collision_summary.csv</t>
  </si>
  <si>
    <t>D:\CBP_2026.07.21\i#3\rreq\rreq#0_19_result\d#120\v#10\30\ping_collision_summary.csv</t>
  </si>
  <si>
    <t>D:\CBP_2026.07.21\i#3\rreq\rreq#0_19_result\d#120\v#10\3\ping_collision_summary.csv</t>
  </si>
  <si>
    <t>D:\CBP_2026.07.21\i#3\rreq\rreq#0_19_result\d#120\v#10\4\ping_collision_summary.csv</t>
  </si>
  <si>
    <t>D:\CBP_2026.07.21\i#3\rreq\rreq#0_19_result\d#120\v#10\5\ping_collision_summary.csv</t>
  </si>
  <si>
    <t>D:\CBP_2026.07.21\i#3\rreq\rreq#0_19_result\d#120\v#10\6\ping_collision_summary.csv</t>
  </si>
  <si>
    <t>D:\CBP_2026.07.21\i#3\rreq\rreq#0_19_result\d#120\v#10\7\ping_collision_summary.csv</t>
  </si>
  <si>
    <t>D:\CBP_2026.07.21\i#3\rreq\rreq#0_19_result\d#120\v#10\8\ping_collision_summary.csv</t>
  </si>
  <si>
    <t>D:\CBP_2026.07.21\i#3\rreq\rreq#0_19_result\d#120\v#10\9\ping_collision_summary.csv</t>
  </si>
  <si>
    <t>D:\CBP_2026.07.21\i#3\rreq\rreq#0_19_result\d#120\v#20\0\ping_collision_summary.csv</t>
  </si>
  <si>
    <t>D:\CBP_2026.07.21\i#3\rreq\rreq#0_19_result\d#120\v#20\10\ping_collision_summary.csv</t>
  </si>
  <si>
    <t>D:\CBP_2026.07.21\i#3\rreq\rreq#0_19_result\d#120\v#20\11\ping_collision_summary.csv</t>
  </si>
  <si>
    <t>D:\CBP_2026.07.21\i#3\rreq\rreq#0_19_result\d#120\v#20\12\ping_collision_summary.csv</t>
  </si>
  <si>
    <t>D:\CBP_2026.07.21\i#3\rreq\rreq#0_19_result\d#120\v#20\13\ping_collision_summary.csv</t>
  </si>
  <si>
    <t>D:\CBP_2026.07.21\i#3\rreq\rreq#0_19_result\d#120\v#20\14\ping_collision_summary.csv</t>
  </si>
  <si>
    <t>D:\CBP_2026.07.21\i#3\rreq\rreq#0_19_result\d#120\v#20\15\ping_collision_summary.csv</t>
  </si>
  <si>
    <t>D:\CBP_2026.07.21\i#3\rreq\rreq#0_19_result\d#120\v#20\16\ping_collision_summary.csv</t>
  </si>
  <si>
    <t>D:\CBP_2026.07.21\i#3\rreq\rreq#0_19_result\d#120\v#20\17\ping_collision_summary.csv</t>
  </si>
  <si>
    <t>D:\CBP_2026.07.21\i#3\rreq\rreq#0_19_result\d#120\v#20\18\ping_collision_summary.csv</t>
  </si>
  <si>
    <t>D:\CBP_2026.07.21\i#3\rreq\rreq#0_19_result\d#120\v#20\19\ping_collision_summary.csv</t>
  </si>
  <si>
    <t>D:\CBP_2026.07.21\i#3\rreq\rreq#0_19_result\d#120\v#20\1\ping_collision_summary.csv</t>
  </si>
  <si>
    <t>D:\CBP_2026.07.21\i#3\rreq\rreq#0_19_result\d#120\v#20\20\ping_collision_summary.csv</t>
  </si>
  <si>
    <t>D:\CBP_2026.07.21\i#3\rreq\rreq#0_19_result\d#120\v#20\21\ping_collision_summary.csv</t>
  </si>
  <si>
    <t>D:\CBP_2026.07.21\i#3\rreq\rreq#0_19_result\d#120\v#20\22\ping_collision_summary.csv</t>
  </si>
  <si>
    <t>D:\CBP_2026.07.21\i#3\rreq\rreq#0_19_result\d#120\v#20\23\ping_collision_summary.csv</t>
  </si>
  <si>
    <t>D:\CBP_2026.07.21\i#3\rreq\rreq#0_19_result\d#120\v#20\24\ping_collision_summary.csv</t>
  </si>
  <si>
    <t>D:\CBP_2026.07.21\i#3\rreq\rreq#0_19_result\d#120\v#20\25\ping_collision_summary.csv</t>
  </si>
  <si>
    <t>D:\CBP_2026.07.21\i#3\rreq\rreq#0_19_result\d#120\v#20\26\ping_collision_summary.csv</t>
  </si>
  <si>
    <t>D:\CBP_2026.07.21\i#3\rreq\rreq#0_19_result\d#120\v#20\27\ping_collision_summary.csv</t>
  </si>
  <si>
    <t>D:\CBP_2026.07.21\i#3\rreq\rreq#0_19_result\d#120\v#20\28\ping_collision_summary.csv</t>
  </si>
  <si>
    <t>D:\CBP_2026.07.21\i#3\rreq\rreq#0_19_result\d#120\v#20\29\ping_collision_summary.csv</t>
  </si>
  <si>
    <t>D:\CBP_2026.07.21\i#3\rreq\rreq#0_19_result\d#120\v#20\2\ping_collision_summary.csv</t>
  </si>
  <si>
    <t>D:\CBP_2026.07.21\i#3\rreq\rreq#0_19_result\d#120\v#20\30\ping_collision_summary.csv</t>
  </si>
  <si>
    <t>D:\CBP_2026.07.21\i#3\rreq\rreq#0_19_result\d#120\v#20\3\ping_collision_summary.csv</t>
  </si>
  <si>
    <t>D:\CBP_2026.07.21\i#3\rreq\rreq#0_19_result\d#120\v#20\4\ping_collision_summary.csv</t>
  </si>
  <si>
    <t>D:\CBP_2026.07.21\i#3\rreq\rreq#0_19_result\d#120\v#20\5\ping_collision_summary.csv</t>
  </si>
  <si>
    <t>D:\CBP_2026.07.21\i#3\rreq\rreq#0_19_result\d#120\v#20\6\ping_collision_summary.csv</t>
  </si>
  <si>
    <t>D:\CBP_2026.07.21\i#3\rreq\rreq#0_19_result\d#120\v#20\7\ping_collision_summary.csv</t>
  </si>
  <si>
    <t>D:\CBP_2026.07.21\i#3\rreq\rreq#0_19_result\d#120\v#20\8\ping_collision_summary.csv</t>
  </si>
  <si>
    <t>D:\CBP_2026.07.21\i#3\rreq\rreq#0_19_result\d#120\v#20\9\ping_collision_summary.csv</t>
  </si>
  <si>
    <t>D:\CBP_2026.07.21\i#3\rreq\rreq#0_19_result\d#120\v#30\0\ping_collision_summary.csv</t>
  </si>
  <si>
    <t>D:\CBP_2026.07.21\i#3\rreq\rreq#0_19_result\d#120\v#30\10\ping_collision_summary.csv</t>
  </si>
  <si>
    <t>D:\CBP_2026.07.21\i#3\rreq\rreq#0_19_result\d#120\v#30\11\ping_collision_summary.csv</t>
  </si>
  <si>
    <t>D:\CBP_2026.07.21\i#3\rreq\rreq#0_19_result\d#120\v#30\12\ping_collision_summary.csv</t>
  </si>
  <si>
    <t>D:\CBP_2026.07.21\i#3\rreq\rreq#0_19_result\d#120\v#30\13\ping_collision_summary.csv</t>
  </si>
  <si>
    <t>D:\CBP_2026.07.21\i#3\rreq\rreq#0_19_result\d#120\v#30\14\ping_collision_summary.csv</t>
  </si>
  <si>
    <t>D:\CBP_2026.07.21\i#3\rreq\rreq#0_19_result\d#120\v#30\15\ping_collision_summary.csv</t>
  </si>
  <si>
    <t>D:\CBP_2026.07.21\i#3\rreq\rreq#0_19_result\d#120\v#30\16\ping_collision_summary.csv</t>
  </si>
  <si>
    <t>D:\CBP_2026.07.21\i#3\rreq\rreq#0_19_result\d#120\v#30\17\ping_collision_summary.csv</t>
  </si>
  <si>
    <t>D:\CBP_2026.07.21\i#3\rreq\rreq#0_19_result\d#120\v#30\18\ping_collision_summary.csv</t>
  </si>
  <si>
    <t>D:\CBP_2026.07.21\i#3\rreq\rreq#0_19_result\d#120\v#30\19\ping_collision_summary.csv</t>
  </si>
  <si>
    <t>D:\CBP_2026.07.21\i#3\rreq\rreq#0_19_result\d#120\v#30\1\ping_collision_summary.csv</t>
  </si>
  <si>
    <t>D:\CBP_2026.07.21\i#3\rreq\rreq#0_19_result\d#120\v#30\20\ping_collision_summary.csv</t>
  </si>
  <si>
    <t>D:\CBP_2026.07.21\i#3\rreq\rreq#0_19_result\d#120\v#30\21\ping_collision_summary.csv</t>
  </si>
  <si>
    <t>D:\CBP_2026.07.21\i#3\rreq\rreq#0_19_result\d#120\v#30\22\ping_collision_summary.csv</t>
  </si>
  <si>
    <t>D:\CBP_2026.07.21\i#3\rreq\rreq#0_19_result\d#120\v#30\23\ping_collision_summary.csv</t>
  </si>
  <si>
    <t>D:\CBP_2026.07.21\i#3\rreq\rreq#0_19_result\d#120\v#30\24\ping_collision_summary.csv</t>
  </si>
  <si>
    <t>D:\CBP_2026.07.21\i#3\rreq\rreq#0_19_result\d#120\v#30\25\ping_collision_summary.csv</t>
  </si>
  <si>
    <t>D:\CBP_2026.07.21\i#3\rreq\rreq#0_19_result\d#120\v#30\26\ping_collision_summary.csv</t>
  </si>
  <si>
    <t>D:\CBP_2026.07.21\i#3\rreq\rreq#0_19_result\d#120\v#30\27\ping_collision_summary.csv</t>
  </si>
  <si>
    <t>D:\CBP_2026.07.21\i#3\rreq\rreq#0_19_result\d#120\v#30\28\ping_collision_summary.csv</t>
  </si>
  <si>
    <t>D:\CBP_2026.07.21\i#3\rreq\rreq#0_19_result\d#120\v#30\29\ping_collision_summary.csv</t>
  </si>
  <si>
    <t>D:\CBP_2026.07.21\i#3\rreq\rreq#0_19_result\d#120\v#30\2\ping_collision_summary.csv</t>
  </si>
  <si>
    <t>D:\CBP_2026.07.21\i#3\rreq\rreq#0_19_result\d#120\v#30\30\ping_collision_summary.csv</t>
  </si>
  <si>
    <t>D:\CBP_2026.07.21\i#3\rreq\rreq#0_19_result\d#120\v#30\3\ping_collision_summary.csv</t>
  </si>
  <si>
    <t>D:\CBP_2026.07.21\i#3\rreq\rreq#0_19_result\d#120\v#30\4\ping_collision_summary.csv</t>
  </si>
  <si>
    <t>D:\CBP_2026.07.21\i#3\rreq\rreq#0_19_result\d#120\v#30\5\ping_collision_summary.csv</t>
  </si>
  <si>
    <t>D:\CBP_2026.07.21\i#3\rreq\rreq#0_19_result\d#120\v#30\6\ping_collision_summary.csv</t>
  </si>
  <si>
    <t>D:\CBP_2026.07.21\i#3\rreq\rreq#0_19_result\d#120\v#30\7\ping_collision_summary.csv</t>
  </si>
  <si>
    <t>D:\CBP_2026.07.21\i#3\rreq\rreq#0_19_result\d#120\v#30\8\ping_collision_summary.csv</t>
  </si>
  <si>
    <t>D:\CBP_2026.07.21\i#3\rreq\rreq#0_19_result\d#120\v#30\9\ping_collision_summary.csv</t>
  </si>
  <si>
    <t>D:\CBP_2026.07.21\i#3\rreq\rreq#0_19_result\d#70\v#10\0\ping_collision_summary.csv</t>
  </si>
  <si>
    <t>D:\CBP_2026.07.21\i#3\rreq\rreq#0_19_result\d#70\v#10\10\ping_collision_summary.csv</t>
  </si>
  <si>
    <t>D:\CBP_2026.07.21\i#3\rreq\rreq#0_19_result\d#70\v#10\11\ping_collision_summary.csv</t>
  </si>
  <si>
    <t>D:\CBP_2026.07.21\i#3\rreq\rreq#0_19_result\d#70\v#10\12\ping_collision_summary.csv</t>
  </si>
  <si>
    <t>D:\CBP_2026.07.21\i#3\rreq\rreq#0_19_result\d#70\v#10\13\ping_collision_summary.csv</t>
  </si>
  <si>
    <t>D:\CBP_2026.07.21\i#3\rreq\rreq#0_19_result\d#70\v#10\14\ping_collision_summary.csv</t>
  </si>
  <si>
    <t>D:\CBP_2026.07.21\i#3\rreq\rreq#0_19_result\d#70\v#10\15\ping_collision_summary.csv</t>
  </si>
  <si>
    <t>D:\CBP_2026.07.21\i#3\rreq\rreq#0_19_result\d#70\v#10\16\ping_collision_summary.csv</t>
  </si>
  <si>
    <t>D:\CBP_2026.07.21\i#3\rreq\rreq#0_19_result\d#70\v#10\17\ping_collision_summary.csv</t>
  </si>
  <si>
    <t>D:\CBP_2026.07.21\i#3\rreq\rreq#0_19_result\d#70\v#10\18\ping_collision_summary.csv</t>
  </si>
  <si>
    <t>D:\CBP_2026.07.21\i#3\rreq\rreq#0_19_result\d#70\v#10\19\ping_collision_summary.csv</t>
  </si>
  <si>
    <t>D:\CBP_2026.07.21\i#3\rreq\rreq#0_19_result\d#70\v#10\1\ping_collision_summary.csv</t>
  </si>
  <si>
    <t>D:\CBP_2026.07.21\i#3\rreq\rreq#0_19_result\d#70\v#10\20\ping_collision_summary.csv</t>
  </si>
  <si>
    <t>D:\CBP_2026.07.21\i#3\rreq\rreq#0_19_result\d#70\v#10\21\ping_collision_summary.csv</t>
  </si>
  <si>
    <t>D:\CBP_2026.07.21\i#3\rreq\rreq#0_19_result\d#70\v#10\22\ping_collision_summary.csv</t>
  </si>
  <si>
    <t>D:\CBP_2026.07.21\i#3\rreq\rreq#0_19_result\d#70\v#10\23\ping_collision_summary.csv</t>
  </si>
  <si>
    <t>D:\CBP_2026.07.21\i#3\rreq\rreq#0_19_result\d#70\v#10\24\ping_collision_summary.csv</t>
  </si>
  <si>
    <t>D:\CBP_2026.07.21\i#3\rreq\rreq#0_19_result\d#70\v#10\25\ping_collision_summary.csv</t>
  </si>
  <si>
    <t>D:\CBP_2026.07.21\i#3\rreq\rreq#0_19_result\d#70\v#10\26\ping_collision_summary.csv</t>
  </si>
  <si>
    <t>D:\CBP_2026.07.21\i#3\rreq\rreq#0_19_result\d#70\v#10\27\ping_collision_summary.csv</t>
  </si>
  <si>
    <t>D:\CBP_2026.07.21\i#3\rreq\rreq#0_19_result\d#70\v#10\28\ping_collision_summary.csv</t>
  </si>
  <si>
    <t>D:\CBP_2026.07.21\i#3\rreq\rreq#0_19_result\d#70\v#10\29\ping_collision_summary.csv</t>
  </si>
  <si>
    <t>D:\CBP_2026.07.21\i#3\rreq\rreq#0_19_result\d#70\v#10\2\ping_collision_summary.csv</t>
  </si>
  <si>
    <t>D:\CBP_2026.07.21\i#3\rreq\rreq#0_19_result\d#70\v#10\30\ping_collision_summary.csv</t>
  </si>
  <si>
    <t>D:\CBP_2026.07.21\i#3\rreq\rreq#0_19_result\d#70\v#10\3\ping_collision_summary.csv</t>
  </si>
  <si>
    <t>D:\CBP_2026.07.21\i#3\rreq\rreq#0_19_result\d#70\v#10\4\ping_collision_summary.csv</t>
  </si>
  <si>
    <t>D:\CBP_2026.07.21\i#3\rreq\rreq#0_19_result\d#70\v#10\5\ping_collision_summary.csv</t>
  </si>
  <si>
    <t>D:\CBP_2026.07.21\i#3\rreq\rreq#0_19_result\d#70\v#10\6\ping_collision_summary.csv</t>
  </si>
  <si>
    <t>D:\CBP_2026.07.21\i#3\rreq\rreq#0_19_result\d#70\v#10\7\ping_collision_summary.csv</t>
  </si>
  <si>
    <t>D:\CBP_2026.07.21\i#3\rreq\rreq#0_19_result\d#70\v#10\8\ping_collision_summary.csv</t>
  </si>
  <si>
    <t>D:\CBP_2026.07.21\i#3\rreq\rreq#0_19_result\d#70\v#10\9\ping_collision_summary.csv</t>
  </si>
  <si>
    <t>D:\CBP_2026.07.21\i#3\rreq\rreq#0_19_result\d#70\v#20\0\ping_collision_summary.csv</t>
  </si>
  <si>
    <t>D:\CBP_2026.07.21\i#3\rreq\rreq#0_19_result\d#70\v#20\10\ping_collision_summary.csv</t>
  </si>
  <si>
    <t>D:\CBP_2026.07.21\i#3\rreq\rreq#0_19_result\d#70\v#20\11\ping_collision_summary.csv</t>
  </si>
  <si>
    <t>D:\CBP_2026.07.21\i#3\rreq\rreq#0_19_result\d#70\v#20\12\ping_collision_summary.csv</t>
  </si>
  <si>
    <t>D:\CBP_2026.07.21\i#3\rreq\rreq#0_19_result\d#70\v#20\13\ping_collision_summary.csv</t>
  </si>
  <si>
    <t>D:\CBP_2026.07.21\i#3\rreq\rreq#0_19_result\d#70\v#20\14\ping_collision_summary.csv</t>
  </si>
  <si>
    <t>D:\CBP_2026.07.21\i#3\rreq\rreq#0_19_result\d#70\v#20\15\ping_collision_summary.csv</t>
  </si>
  <si>
    <t>D:\CBP_2026.07.21\i#3\rreq\rreq#0_19_result\d#70\v#20\16\ping_collision_summary.csv</t>
  </si>
  <si>
    <t>D:\CBP_2026.07.21\i#3\rreq\rreq#0_19_result\d#70\v#20\17\ping_collision_summary.csv</t>
  </si>
  <si>
    <t>D:\CBP_2026.07.21\i#3\rreq\rreq#0_19_result\d#70\v#20\18\ping_collision_summary.csv</t>
  </si>
  <si>
    <t>D:\CBP_2026.07.21\i#3\rreq\rreq#0_19_result\d#70\v#20\19\ping_collision_summary.csv</t>
  </si>
  <si>
    <t>D:\CBP_2026.07.21\i#3\rreq\rreq#0_19_result\d#70\v#20\1\ping_collision_summary.csv</t>
  </si>
  <si>
    <t>D:\CBP_2026.07.21\i#3\rreq\rreq#0_19_result\d#70\v#20\20\ping_collision_summary.csv</t>
  </si>
  <si>
    <t>D:\CBP_2026.07.21\i#3\rreq\rreq#0_19_result\d#70\v#20\21\ping_collision_summary.csv</t>
  </si>
  <si>
    <t>D:\CBP_2026.07.21\i#3\rreq\rreq#0_19_result\d#70\v#20\22\ping_collision_summary.csv</t>
  </si>
  <si>
    <t>D:\CBP_2026.07.21\i#3\rreq\rreq#0_19_result\d#70\v#20\23\ping_collision_summary.csv</t>
  </si>
  <si>
    <t>D:\CBP_2026.07.21\i#3\rreq\rreq#0_19_result\d#70\v#20\24\ping_collision_summary.csv</t>
  </si>
  <si>
    <t>D:\CBP_2026.07.21\i#3\rreq\rreq#0_19_result\d#70\v#20\25\ping_collision_summary.csv</t>
  </si>
  <si>
    <t>D:\CBP_2026.07.21\i#3\rreq\rreq#0_19_result\d#70\v#20\26\ping_collision_summary.csv</t>
  </si>
  <si>
    <t>D:\CBP_2026.07.21\i#3\rreq\rreq#0_19_result\d#70\v#20\27\ping_collision_summary.csv</t>
  </si>
  <si>
    <t>D:\CBP_2026.07.21\i#3\rreq\rreq#0_19_result\d#70\v#20\28\ping_collision_summary.csv</t>
  </si>
  <si>
    <t>D:\CBP_2026.07.21\i#3\rreq\rreq#0_19_result\d#70\v#20\29\ping_collision_summary.csv</t>
  </si>
  <si>
    <t>D:\CBP_2026.07.21\i#3\rreq\rreq#0_19_result\d#70\v#20\2\ping_collision_summary.csv</t>
  </si>
  <si>
    <t>D:\CBP_2026.07.21\i#3\rreq\rreq#0_19_result\d#70\v#20\30\ping_collision_summary.csv</t>
  </si>
  <si>
    <t>D:\CBP_2026.07.21\i#3\rreq\rreq#0_19_result\d#70\v#20\3\ping_collision_summary.csv</t>
  </si>
  <si>
    <t>D:\CBP_2026.07.21\i#3\rreq\rreq#0_19_result\d#70\v#20\4\ping_collision_summary.csv</t>
  </si>
  <si>
    <t>D:\CBP_2026.07.21\i#3\rreq\rreq#0_19_result\d#70\v#20\5\ping_collision_summary.csv</t>
  </si>
  <si>
    <t>D:\CBP_2026.07.21\i#3\rreq\rreq#0_19_result\d#70\v#20\6\ping_collision_summary.csv</t>
  </si>
  <si>
    <t>D:\CBP_2026.07.21\i#3\rreq\rreq#0_19_result\d#70\v#20\7\ping_collision_summary.csv</t>
  </si>
  <si>
    <t>D:\CBP_2026.07.21\i#3\rreq\rreq#0_19_result\d#70\v#20\8\ping_collision_summary.csv</t>
  </si>
  <si>
    <t>D:\CBP_2026.07.21\i#3\rreq\rreq#0_19_result\d#70\v#20\9\ping_collision_summary.csv</t>
  </si>
  <si>
    <t>D:\CBP_2026.07.21\i#3\rreq\rreq#0_19_result\d#70\v#30\0\ping_collision_summary.csv</t>
  </si>
  <si>
    <t>D:\CBP_2026.07.21\i#3\rreq\rreq#0_19_result\d#70\v#30\10\ping_collision_summary.csv</t>
  </si>
  <si>
    <t>D:\CBP_2026.07.21\i#3\rreq\rreq#0_19_result\d#70\v#30\11\ping_collision_summary.csv</t>
  </si>
  <si>
    <t>D:\CBP_2026.07.21\i#3\rreq\rreq#0_19_result\d#70\v#30\12\ping_collision_summary.csv</t>
  </si>
  <si>
    <t>D:\CBP_2026.07.21\i#3\rreq\rreq#0_19_result\d#70\v#30\13\ping_collision_summary.csv</t>
  </si>
  <si>
    <t>D:\CBP_2026.07.21\i#3\rreq\rreq#0_19_result\d#70\v#30\14\ping_collision_summary.csv</t>
  </si>
  <si>
    <t>D:\CBP_2026.07.21\i#3\rreq\rreq#0_19_result\d#70\v#30\15\ping_collision_summary.csv</t>
  </si>
  <si>
    <t>D:\CBP_2026.07.21\i#3\rreq\rreq#0_19_result\d#70\v#30\16\ping_collision_summary.csv</t>
  </si>
  <si>
    <t>D:\CBP_2026.07.21\i#3\rreq\rreq#0_19_result\d#70\v#30\17\ping_collision_summary.csv</t>
  </si>
  <si>
    <t>D:\CBP_2026.07.21\i#3\rreq\rreq#0_19_result\d#70\v#30\18\ping_collision_summary.csv</t>
  </si>
  <si>
    <t>D:\CBP_2026.07.21\i#3\rreq\rreq#0_19_result\d#70\v#30\19\ping_collision_summary.csv</t>
  </si>
  <si>
    <t>D:\CBP_2026.07.21\i#3\rreq\rreq#0_19_result\d#70\v#30\1\ping_collision_summary.csv</t>
  </si>
  <si>
    <t>D:\CBP_2026.07.21\i#3\rreq\rreq#0_19_result\d#70\v#30\20\ping_collision_summary.csv</t>
  </si>
  <si>
    <t>D:\CBP_2026.07.21\i#3\rreq\rreq#0_19_result\d#70\v#30\21\ping_collision_summary.csv</t>
  </si>
  <si>
    <t>D:\CBP_2026.07.21\i#3\rreq\rreq#0_19_result\d#70\v#30\22\ping_collision_summary.csv</t>
  </si>
  <si>
    <t>D:\CBP_2026.07.21\i#3\rreq\rreq#0_19_result\d#70\v#30\23\ping_collision_summary.csv</t>
  </si>
  <si>
    <t>D:\CBP_2026.07.21\i#3\rreq\rreq#0_19_result\d#70\v#30\24\ping_collision_summary.csv</t>
  </si>
  <si>
    <t>D:\CBP_2026.07.21\i#3\rreq\rreq#0_19_result\d#70\v#30\25\ping_collision_summary.csv</t>
  </si>
  <si>
    <t>D:\CBP_2026.07.21\i#3\rreq\rreq#0_19_result\d#70\v#30\26\ping_collision_summary.csv</t>
  </si>
  <si>
    <t>D:\CBP_2026.07.21\i#3\rreq\rreq#0_19_result\d#70\v#30\27\ping_collision_summary.csv</t>
  </si>
  <si>
    <t>D:\CBP_2026.07.21\i#3\rreq\rreq#0_19_result\d#70\v#30\28\ping_collision_summary.csv</t>
  </si>
  <si>
    <t>D:\CBP_2026.07.21\i#3\rreq\rreq#0_19_result\d#70\v#30\29\ping_collision_summary.csv</t>
  </si>
  <si>
    <t>D:\CBP_2026.07.21\i#3\rreq\rreq#0_19_result\d#70\v#30\2\ping_collision_summary.csv</t>
  </si>
  <si>
    <t>D:\CBP_2026.07.21\i#3\rreq\rreq#0_19_result\d#70\v#30\30\ping_collision_summary.csv</t>
  </si>
  <si>
    <t>D:\CBP_2026.07.21\i#3\rreq\rreq#0_19_result\d#70\v#30\3\ping_collision_summary.csv</t>
  </si>
  <si>
    <t>D:\CBP_2026.07.21\i#3\rreq\rreq#0_19_result\d#70\v#30\4\ping_collision_summary.csv</t>
  </si>
  <si>
    <t>D:\CBP_2026.07.21\i#3\rreq\rreq#0_19_result\d#70\v#30\5\ping_collision_summary.csv</t>
  </si>
  <si>
    <t>D:\CBP_2026.07.21\i#3\rreq\rreq#0_19_result\d#70\v#30\6\ping_collision_summary.csv</t>
  </si>
  <si>
    <t>D:\CBP_2026.07.21\i#3\rreq\rreq#0_19_result\d#70\v#30\7\ping_collision_summary.csv</t>
  </si>
  <si>
    <t>D:\CBP_2026.07.21\i#3\rreq\rreq#0_19_result\d#70\v#30\8\ping_collision_summary.csv</t>
  </si>
  <si>
    <t>D:\CBP_2026.07.21\i#3\rreq\rreq#0_19_result\d#70\v#30\9\ping_collision_summary.csv</t>
  </si>
  <si>
    <t>D:\CBP_2026.07.21\i#3\rreq\rreq#19_32_result\d#100\v#10\0\ping_collision_summary.csv</t>
  </si>
  <si>
    <t>D:\CBP_2026.07.21\i#3\rreq\rreq#19_32_result\d#100\v#10\10\ping_collision_summary.csv</t>
  </si>
  <si>
    <t>D:\CBP_2026.07.21\i#3\rreq\rreq#19_32_result\d#100\v#10\11\ping_collision_summary.csv</t>
  </si>
  <si>
    <t>D:\CBP_2026.07.21\i#3\rreq\rreq#19_32_result\d#100\v#10\12\ping_collision_summary.csv</t>
  </si>
  <si>
    <t>D:\CBP_2026.07.21\i#3\rreq\rreq#19_32_result\d#100\v#10\13\ping_collision_summary.csv</t>
  </si>
  <si>
    <t>D:\CBP_2026.07.21\i#3\rreq\rreq#19_32_result\d#100\v#10\14\ping_collision_summary.csv</t>
  </si>
  <si>
    <t>D:\CBP_2026.07.21\i#3\rreq\rreq#19_32_result\d#100\v#10\15\ping_collision_summary.csv</t>
  </si>
  <si>
    <t>D:\CBP_2026.07.21\i#3\rreq\rreq#19_32_result\d#100\v#10\16\ping_collision_summary.csv</t>
  </si>
  <si>
    <t>D:\CBP_2026.07.21\i#3\rreq\rreq#19_32_result\d#100\v#10\17\ping_collision_summary.csv</t>
  </si>
  <si>
    <t>D:\CBP_2026.07.21\i#3\rreq\rreq#19_32_result\d#100\v#10\18\ping_collision_summary.csv</t>
  </si>
  <si>
    <t>D:\CBP_2026.07.21\i#3\rreq\rreq#19_32_result\d#100\v#10\19\ping_collision_summary.csv</t>
  </si>
  <si>
    <t>D:\CBP_2026.07.21\i#3\rreq\rreq#19_32_result\d#100\v#10\1\ping_collision_summary.csv</t>
  </si>
  <si>
    <t>D:\CBP_2026.07.21\i#3\rreq\rreq#19_32_result\d#100\v#10\20\ping_collision_summary.csv</t>
  </si>
  <si>
    <t>D:\CBP_2026.07.21\i#3\rreq\rreq#19_32_result\d#100\v#10\21\ping_collision_summary.csv</t>
  </si>
  <si>
    <t>D:\CBP_2026.07.21\i#3\rreq\rreq#19_32_result\d#100\v#10\22\ping_collision_summary.csv</t>
  </si>
  <si>
    <t>D:\CBP_2026.07.21\i#3\rreq\rreq#19_32_result\d#100\v#10\23\ping_collision_summary.csv</t>
  </si>
  <si>
    <t>D:\CBP_2026.07.21\i#3\rreq\rreq#19_32_result\d#100\v#10\24\ping_collision_summary.csv</t>
  </si>
  <si>
    <t>D:\CBP_2026.07.21\i#3\rreq\rreq#19_32_result\d#100\v#10\25\ping_collision_summary.csv</t>
  </si>
  <si>
    <t>D:\CBP_2026.07.21\i#3\rreq\rreq#19_32_result\d#100\v#10\26\ping_collision_summary.csv</t>
  </si>
  <si>
    <t>D:\CBP_2026.07.21\i#3\rreq\rreq#19_32_result\d#100\v#10\27\ping_collision_summary.csv</t>
  </si>
  <si>
    <t>D:\CBP_2026.07.21\i#3\rreq\rreq#19_32_result\d#100\v#10\28\ping_collision_summary.csv</t>
  </si>
  <si>
    <t>D:\CBP_2026.07.21\i#3\rreq\rreq#19_32_result\d#100\v#10\29\ping_collision_summary.csv</t>
  </si>
  <si>
    <t>D:\CBP_2026.07.21\i#3\rreq\rreq#19_32_result\d#100\v#10\2\ping_collision_summary.csv</t>
  </si>
  <si>
    <t>D:\CBP_2026.07.21\i#3\rreq\rreq#19_32_result\d#100\v#10\30\ping_collision_summary.csv</t>
  </si>
  <si>
    <t>D:\CBP_2026.07.21\i#3\rreq\rreq#19_32_result\d#100\v#10\3\ping_collision_summary.csv</t>
  </si>
  <si>
    <t>D:\CBP_2026.07.21\i#3\rreq\rreq#19_32_result\d#100\v#10\4\ping_collision_summary.csv</t>
  </si>
  <si>
    <t>D:\CBP_2026.07.21\i#3\rreq\rreq#19_32_result\d#100\v#10\5\ping_collision_summary.csv</t>
  </si>
  <si>
    <t>D:\CBP_2026.07.21\i#3\rreq\rreq#19_32_result\d#100\v#10\6\ping_collision_summary.csv</t>
  </si>
  <si>
    <t>D:\CBP_2026.07.21\i#3\rreq\rreq#19_32_result\d#100\v#10\7\ping_collision_summary.csv</t>
  </si>
  <si>
    <t>D:\CBP_2026.07.21\i#3\rreq\rreq#19_32_result\d#100\v#10\8\ping_collision_summary.csv</t>
  </si>
  <si>
    <t>D:\CBP_2026.07.21\i#3\rreq\rreq#19_32_result\d#100\v#10\9\ping_collision_summary.csv</t>
  </si>
  <si>
    <t>D:\CBP_2026.07.21\i#3\rreq\rreq#19_32_result\d#100\v#20\0\ping_collision_summary.csv</t>
  </si>
  <si>
    <t>D:\CBP_2026.07.21\i#3\rreq\rreq#19_32_result\d#100\v#20\10\ping_collision_summary.csv</t>
  </si>
  <si>
    <t>D:\CBP_2026.07.21\i#3\rreq\rreq#19_32_result\d#100\v#20\11\ping_collision_summary.csv</t>
  </si>
  <si>
    <t>D:\CBP_2026.07.21\i#3\rreq\rreq#19_32_result\d#100\v#20\12\ping_collision_summary.csv</t>
  </si>
  <si>
    <t>D:\CBP_2026.07.21\i#3\rreq\rreq#19_32_result\d#100\v#20\13\ping_collision_summary.csv</t>
  </si>
  <si>
    <t>D:\CBP_2026.07.21\i#3\rreq\rreq#19_32_result\d#100\v#20\14\ping_collision_summary.csv</t>
  </si>
  <si>
    <t>D:\CBP_2026.07.21\i#3\rreq\rreq#19_32_result\d#100\v#20\15\ping_collision_summary.csv</t>
  </si>
  <si>
    <t>D:\CBP_2026.07.21\i#3\rreq\rreq#19_32_result\d#100\v#20\16\ping_collision_summary.csv</t>
  </si>
  <si>
    <t>D:\CBP_2026.07.21\i#3\rreq\rreq#19_32_result\d#100\v#20\17\ping_collision_summary.csv</t>
  </si>
  <si>
    <t>D:\CBP_2026.07.21\i#3\rreq\rreq#19_32_result\d#100\v#20\18\ping_collision_summary.csv</t>
  </si>
  <si>
    <t>D:\CBP_2026.07.21\i#3\rreq\rreq#19_32_result\d#100\v#20\19\ping_collision_summary.csv</t>
  </si>
  <si>
    <t>D:\CBP_2026.07.21\i#3\rreq\rreq#19_32_result\d#100\v#20\1\ping_collision_summary.csv</t>
  </si>
  <si>
    <t>D:\CBP_2026.07.21\i#3\rreq\rreq#19_32_result\d#100\v#20\20\ping_collision_summary.csv</t>
  </si>
  <si>
    <t>D:\CBP_2026.07.21\i#3\rreq\rreq#19_32_result\d#100\v#20\21\ping_collision_summary.csv</t>
  </si>
  <si>
    <t>D:\CBP_2026.07.21\i#3\rreq\rreq#19_32_result\d#100\v#20\22\ping_collision_summary.csv</t>
  </si>
  <si>
    <t>D:\CBP_2026.07.21\i#3\rreq\rreq#19_32_result\d#100\v#20\23\ping_collision_summary.csv</t>
  </si>
  <si>
    <t>D:\CBP_2026.07.21\i#3\rreq\rreq#19_32_result\d#100\v#20\24\ping_collision_summary.csv</t>
  </si>
  <si>
    <t>D:\CBP_2026.07.21\i#3\rreq\rreq#19_32_result\d#100\v#20\25\ping_collision_summary.csv</t>
  </si>
  <si>
    <t>D:\CBP_2026.07.21\i#3\rreq\rreq#19_32_result\d#100\v#20\26\ping_collision_summary.csv</t>
  </si>
  <si>
    <t>D:\CBP_2026.07.21\i#3\rreq\rreq#19_32_result\d#100\v#20\27\ping_collision_summary.csv</t>
  </si>
  <si>
    <t>D:\CBP_2026.07.21\i#3\rreq\rreq#19_32_result\d#100\v#20\28\ping_collision_summary.csv</t>
  </si>
  <si>
    <t>D:\CBP_2026.07.21\i#3\rreq\rreq#19_32_result\d#100\v#20\29\ping_collision_summary.csv</t>
  </si>
  <si>
    <t>D:\CBP_2026.07.21\i#3\rreq\rreq#19_32_result\d#100\v#20\2\ping_collision_summary.csv</t>
  </si>
  <si>
    <t>D:\CBP_2026.07.21\i#3\rreq\rreq#19_32_result\d#100\v#20\30\ping_collision_summary.csv</t>
  </si>
  <si>
    <t>D:\CBP_2026.07.21\i#3\rreq\rreq#19_32_result\d#100\v#20\3\ping_collision_summary.csv</t>
  </si>
  <si>
    <t>D:\CBP_2026.07.21\i#3\rreq\rreq#19_32_result\d#100\v#20\4\ping_collision_summary.csv</t>
  </si>
  <si>
    <t>D:\CBP_2026.07.21\i#3\rreq\rreq#19_32_result\d#100\v#20\5\ping_collision_summary.csv</t>
  </si>
  <si>
    <t>D:\CBP_2026.07.21\i#3\rreq\rreq#19_32_result\d#100\v#20\6\ping_collision_summary.csv</t>
  </si>
  <si>
    <t>D:\CBP_2026.07.21\i#3\rreq\rreq#19_32_result\d#100\v#20\7\ping_collision_summary.csv</t>
  </si>
  <si>
    <t>D:\CBP_2026.07.21\i#3\rreq\rreq#19_32_result\d#100\v#20\8\ping_collision_summary.csv</t>
  </si>
  <si>
    <t>D:\CBP_2026.07.21\i#3\rreq\rreq#19_32_result\d#100\v#20\9\ping_collision_summary.csv</t>
  </si>
  <si>
    <t>D:\CBP_2026.07.21\i#3\rreq\rreq#19_32_result\d#100\v#30\0\ping_collision_summary.csv</t>
  </si>
  <si>
    <t>D:\CBP_2026.07.21\i#3\rreq\rreq#19_32_result\d#100\v#30\10\ping_collision_summary.csv</t>
  </si>
  <si>
    <t>D:\CBP_2026.07.21\i#3\rreq\rreq#19_32_result\d#100\v#30\11\ping_collision_summary.csv</t>
  </si>
  <si>
    <t>D:\CBP_2026.07.21\i#3\rreq\rreq#19_32_result\d#100\v#30\12\ping_collision_summary.csv</t>
  </si>
  <si>
    <t>D:\CBP_2026.07.21\i#3\rreq\rreq#19_32_result\d#100\v#30\13\ping_collision_summary.csv</t>
  </si>
  <si>
    <t>D:\CBP_2026.07.21\i#3\rreq\rreq#19_32_result\d#100\v#30\14\ping_collision_summary.csv</t>
  </si>
  <si>
    <t>D:\CBP_2026.07.21\i#3\rreq\rreq#19_32_result\d#100\v#30\15\ping_collision_summary.csv</t>
  </si>
  <si>
    <t>D:\CBP_2026.07.21\i#3\rreq\rreq#19_32_result\d#100\v#30\16\ping_collision_summary.csv</t>
  </si>
  <si>
    <t>D:\CBP_2026.07.21\i#3\rreq\rreq#19_32_result\d#100\v#30\17\ping_collision_summary.csv</t>
  </si>
  <si>
    <t>D:\CBP_2026.07.21\i#3\rreq\rreq#19_32_result\d#100\v#30\18\ping_collision_summary.csv</t>
  </si>
  <si>
    <t>D:\CBP_2026.07.21\i#3\rreq\rreq#19_32_result\d#100\v#30\19\ping_collision_summary.csv</t>
  </si>
  <si>
    <t>D:\CBP_2026.07.21\i#3\rreq\rreq#19_32_result\d#100\v#30\1\ping_collision_summary.csv</t>
  </si>
  <si>
    <t>D:\CBP_2026.07.21\i#3\rreq\rreq#19_32_result\d#100\v#30\20\ping_collision_summary.csv</t>
  </si>
  <si>
    <t>D:\CBP_2026.07.21\i#3\rreq\rreq#19_32_result\d#100\v#30\21\ping_collision_summary.csv</t>
  </si>
  <si>
    <t>D:\CBP_2026.07.21\i#3\rreq\rreq#19_32_result\d#100\v#30\22\ping_collision_summary.csv</t>
  </si>
  <si>
    <t>D:\CBP_2026.07.21\i#3\rreq\rreq#19_32_result\d#100\v#30\23\ping_collision_summary.csv</t>
  </si>
  <si>
    <t>D:\CBP_2026.07.21\i#3\rreq\rreq#19_32_result\d#100\v#30\24\ping_collision_summary.csv</t>
  </si>
  <si>
    <t>D:\CBP_2026.07.21\i#3\rreq\rreq#19_32_result\d#100\v#30\25\ping_collision_summary.csv</t>
  </si>
  <si>
    <t>D:\CBP_2026.07.21\i#3\rreq\rreq#19_32_result\d#100\v#30\26\ping_collision_summary.csv</t>
  </si>
  <si>
    <t>D:\CBP_2026.07.21\i#3\rreq\rreq#19_32_result\d#100\v#30\27\ping_collision_summary.csv</t>
  </si>
  <si>
    <t>D:\CBP_2026.07.21\i#3\rreq\rreq#19_32_result\d#100\v#30\28\ping_collision_summary.csv</t>
  </si>
  <si>
    <t>D:\CBP_2026.07.21\i#3\rreq\rreq#19_32_result\d#100\v#30\29\ping_collision_summary.csv</t>
  </si>
  <si>
    <t>D:\CBP_2026.07.21\i#3\rreq\rreq#19_32_result\d#100\v#30\2\ping_collision_summary.csv</t>
  </si>
  <si>
    <t>D:\CBP_2026.07.21\i#3\rreq\rreq#19_32_result\d#100\v#30\30\ping_collision_summary.csv</t>
  </si>
  <si>
    <t>D:\CBP_2026.07.21\i#3\rreq\rreq#19_32_result\d#100\v#30\3\ping_collision_summary.csv</t>
  </si>
  <si>
    <t>D:\CBP_2026.07.21\i#3\rreq\rreq#19_32_result\d#100\v#30\4\ping_collision_summary.csv</t>
  </si>
  <si>
    <t>D:\CBP_2026.07.21\i#3\rreq\rreq#19_32_result\d#100\v#30\5\ping_collision_summary.csv</t>
  </si>
  <si>
    <t>D:\CBP_2026.07.21\i#3\rreq\rreq#19_32_result\d#100\v#30\6\ping_collision_summary.csv</t>
  </si>
  <si>
    <t>D:\CBP_2026.07.21\i#3\rreq\rreq#19_32_result\d#100\v#30\7\ping_collision_summary.csv</t>
  </si>
  <si>
    <t>D:\CBP_2026.07.21\i#3\rreq\rreq#19_32_result\d#100\v#30\8\ping_collision_summary.csv</t>
  </si>
  <si>
    <t>D:\CBP_2026.07.21\i#3\rreq\rreq#19_32_result\d#100\v#30\9\ping_collision_summary.csv</t>
  </si>
  <si>
    <t>D:\CBP_2026.07.21\i#3\rreq\rreq#19_32_result\d#120\v#10\0\ping_collision_summary.csv</t>
  </si>
  <si>
    <t>D:\CBP_2026.07.21\i#3\rreq\rreq#19_32_result\d#120\v#10\10\ping_collision_summary.csv</t>
  </si>
  <si>
    <t>D:\CBP_2026.07.21\i#3\rreq\rreq#19_32_result\d#120\v#10\11\ping_collision_summary.csv</t>
  </si>
  <si>
    <t>D:\CBP_2026.07.21\i#3\rreq\rreq#19_32_result\d#120\v#10\12\ping_collision_summary.csv</t>
  </si>
  <si>
    <t>D:\CBP_2026.07.21\i#3\rreq\rreq#19_32_result\d#120\v#10\13\ping_collision_summary.csv</t>
  </si>
  <si>
    <t>D:\CBP_2026.07.21\i#3\rreq\rreq#19_32_result\d#120\v#10\14\ping_collision_summary.csv</t>
  </si>
  <si>
    <t>D:\CBP_2026.07.21\i#3\rreq\rreq#19_32_result\d#120\v#10\15\ping_collision_summary.csv</t>
  </si>
  <si>
    <t>D:\CBP_2026.07.21\i#3\rreq\rreq#19_32_result\d#120\v#10\16\ping_collision_summary.csv</t>
  </si>
  <si>
    <t>D:\CBP_2026.07.21\i#3\rreq\rreq#19_32_result\d#120\v#10\17\ping_collision_summary.csv</t>
  </si>
  <si>
    <t>D:\CBP_2026.07.21\i#3\rreq\rreq#19_32_result\d#120\v#10\18\ping_collision_summary.csv</t>
  </si>
  <si>
    <t>D:\CBP_2026.07.21\i#3\rreq\rreq#19_32_result\d#120\v#10\19\ping_collision_summary.csv</t>
  </si>
  <si>
    <t>D:\CBP_2026.07.21\i#3\rreq\rreq#19_32_result\d#120\v#10\1\ping_collision_summary.csv</t>
  </si>
  <si>
    <t>D:\CBP_2026.07.21\i#3\rreq\rreq#19_32_result\d#120\v#10\20\ping_collision_summary.csv</t>
  </si>
  <si>
    <t>D:\CBP_2026.07.21\i#3\rreq\rreq#19_32_result\d#120\v#10\21\ping_collision_summary.csv</t>
  </si>
  <si>
    <t>D:\CBP_2026.07.21\i#3\rreq\rreq#19_32_result\d#120\v#10\22\ping_collision_summary.csv</t>
  </si>
  <si>
    <t>D:\CBP_2026.07.21\i#3\rreq\rreq#19_32_result\d#120\v#10\23\ping_collision_summary.csv</t>
  </si>
  <si>
    <t>D:\CBP_2026.07.21\i#3\rreq\rreq#19_32_result\d#120\v#10\24\ping_collision_summary.csv</t>
  </si>
  <si>
    <t>D:\CBP_2026.07.21\i#3\rreq\rreq#19_32_result\d#120\v#10\25\ping_collision_summary.csv</t>
  </si>
  <si>
    <t>D:\CBP_2026.07.21\i#3\rreq\rreq#19_32_result\d#120\v#10\26\ping_collision_summary.csv</t>
  </si>
  <si>
    <t>D:\CBP_2026.07.21\i#3\rreq\rreq#19_32_result\d#120\v#10\27\ping_collision_summary.csv</t>
  </si>
  <si>
    <t>D:\CBP_2026.07.21\i#3\rreq\rreq#19_32_result\d#120\v#10\28\ping_collision_summary.csv</t>
  </si>
  <si>
    <t>D:\CBP_2026.07.21\i#3\rreq\rreq#19_32_result\d#120\v#10\29\ping_collision_summary.csv</t>
  </si>
  <si>
    <t>D:\CBP_2026.07.21\i#3\rreq\rreq#19_32_result\d#120\v#10\2\ping_collision_summary.csv</t>
  </si>
  <si>
    <t>D:\CBP_2026.07.21\i#3\rreq\rreq#19_32_result\d#120\v#10\30\ping_collision_summary.csv</t>
  </si>
  <si>
    <t>D:\CBP_2026.07.21\i#3\rreq\rreq#19_32_result\d#120\v#10\3\ping_collision_summary.csv</t>
  </si>
  <si>
    <t>D:\CBP_2026.07.21\i#3\rreq\rreq#19_32_result\d#120\v#10\4\ping_collision_summary.csv</t>
  </si>
  <si>
    <t>D:\CBP_2026.07.21\i#3\rreq\rreq#19_32_result\d#120\v#10\5\ping_collision_summary.csv</t>
  </si>
  <si>
    <t>D:\CBP_2026.07.21\i#3\rreq\rreq#19_32_result\d#120\v#10\6\ping_collision_summary.csv</t>
  </si>
  <si>
    <t>D:\CBP_2026.07.21\i#3\rreq\rreq#19_32_result\d#120\v#10\7\ping_collision_summary.csv</t>
  </si>
  <si>
    <t>D:\CBP_2026.07.21\i#3\rreq\rreq#19_32_result\d#120\v#10\8\ping_collision_summary.csv</t>
  </si>
  <si>
    <t>D:\CBP_2026.07.21\i#3\rreq\rreq#19_32_result\d#120\v#10\9\ping_collision_summary.csv</t>
  </si>
  <si>
    <t>D:\CBP_2026.07.21\i#3\rreq\rreq#19_32_result\d#120\v#20\0\ping_collision_summary.csv</t>
  </si>
  <si>
    <t>D:\CBP_2026.07.21\i#3\rreq\rreq#19_32_result\d#120\v#20\10\ping_collision_summary.csv</t>
  </si>
  <si>
    <t>D:\CBP_2026.07.21\i#3\rreq\rreq#19_32_result\d#120\v#20\11\ping_collision_summary.csv</t>
  </si>
  <si>
    <t>D:\CBP_2026.07.21\i#3\rreq\rreq#19_32_result\d#120\v#20\12\ping_collision_summary.csv</t>
  </si>
  <si>
    <t>D:\CBP_2026.07.21\i#3\rreq\rreq#19_32_result\d#120\v#20\13\ping_collision_summary.csv</t>
  </si>
  <si>
    <t>D:\CBP_2026.07.21\i#3\rreq\rreq#19_32_result\d#120\v#20\14\ping_collision_summary.csv</t>
  </si>
  <si>
    <t>D:\CBP_2026.07.21\i#3\rreq\rreq#19_32_result\d#120\v#20\15\ping_collision_summary.csv</t>
  </si>
  <si>
    <t>D:\CBP_2026.07.21\i#3\rreq\rreq#19_32_result\d#120\v#20\16\ping_collision_summary.csv</t>
  </si>
  <si>
    <t>D:\CBP_2026.07.21\i#3\rreq\rreq#19_32_result\d#120\v#20\17\ping_collision_summary.csv</t>
  </si>
  <si>
    <t>D:\CBP_2026.07.21\i#3\rreq\rreq#19_32_result\d#120\v#20\18\ping_collision_summary.csv</t>
  </si>
  <si>
    <t>D:\CBP_2026.07.21\i#3\rreq\rreq#19_32_result\d#120\v#20\19\ping_collision_summary.csv</t>
  </si>
  <si>
    <t>D:\CBP_2026.07.21\i#3\rreq\rreq#19_32_result\d#120\v#20\1\ping_collision_summary.csv</t>
  </si>
  <si>
    <t>D:\CBP_2026.07.21\i#3\rreq\rreq#19_32_result\d#120\v#20\20\ping_collision_summary.csv</t>
  </si>
  <si>
    <t>D:\CBP_2026.07.21\i#3\rreq\rreq#19_32_result\d#120\v#20\21\ping_collision_summary.csv</t>
  </si>
  <si>
    <t>D:\CBP_2026.07.21\i#3\rreq\rreq#19_32_result\d#120\v#20\22\ping_collision_summary.csv</t>
  </si>
  <si>
    <t>D:\CBP_2026.07.21\i#3\rreq\rreq#19_32_result\d#120\v#20\23\ping_collision_summary.csv</t>
  </si>
  <si>
    <t>D:\CBP_2026.07.21\i#3\rreq\rreq#19_32_result\d#120\v#20\24\ping_collision_summary.csv</t>
  </si>
  <si>
    <t>D:\CBP_2026.07.21\i#3\rreq\rreq#19_32_result\d#120\v#20\25\ping_collision_summary.csv</t>
  </si>
  <si>
    <t>D:\CBP_2026.07.21\i#3\rreq\rreq#19_32_result\d#120\v#20\26\ping_collision_summary.csv</t>
  </si>
  <si>
    <t>D:\CBP_2026.07.21\i#3\rreq\rreq#19_32_result\d#120\v#20\27\ping_collision_summary.csv</t>
  </si>
  <si>
    <t>D:\CBP_2026.07.21\i#3\rreq\rreq#19_32_result\d#120\v#20\28\ping_collision_summary.csv</t>
  </si>
  <si>
    <t>D:\CBP_2026.07.21\i#3\rreq\rreq#19_32_result\d#120\v#20\29\ping_collision_summary.csv</t>
  </si>
  <si>
    <t>D:\CBP_2026.07.21\i#3\rreq\rreq#19_32_result\d#120\v#20\2\ping_collision_summary.csv</t>
  </si>
  <si>
    <t>D:\CBP_2026.07.21\i#3\rreq\rreq#19_32_result\d#120\v#20\30\ping_collision_summary.csv</t>
  </si>
  <si>
    <t>D:\CBP_2026.07.21\i#3\rreq\rreq#19_32_result\d#120\v#20\3\ping_collision_summary.csv</t>
  </si>
  <si>
    <t>D:\CBP_2026.07.21\i#3\rreq\rreq#19_32_result\d#120\v#20\4\ping_collision_summary.csv</t>
  </si>
  <si>
    <t>D:\CBP_2026.07.21\i#3\rreq\rreq#19_32_result\d#120\v#20\5\ping_collision_summary.csv</t>
  </si>
  <si>
    <t>D:\CBP_2026.07.21\i#3\rreq\rreq#19_32_result\d#120\v#20\6\ping_collision_summary.csv</t>
  </si>
  <si>
    <t>D:\CBP_2026.07.21\i#3\rreq\rreq#19_32_result\d#120\v#20\7\ping_collision_summary.csv</t>
  </si>
  <si>
    <t>D:\CBP_2026.07.21\i#3\rreq\rreq#19_32_result\d#120\v#20\8\ping_collision_summary.csv</t>
  </si>
  <si>
    <t>D:\CBP_2026.07.21\i#3\rreq\rreq#19_32_result\d#120\v#20\9\ping_collision_summary.csv</t>
  </si>
  <si>
    <t>D:\CBP_2026.07.21\i#3\rreq\rreq#19_32_result\d#120\v#30\0\ping_collision_summary.csv</t>
  </si>
  <si>
    <t>D:\CBP_2026.07.21\i#3\rreq\rreq#19_32_result\d#120\v#30\10\ping_collision_summary.csv</t>
  </si>
  <si>
    <t>D:\CBP_2026.07.21\i#3\rreq\rreq#19_32_result\d#120\v#30\11\ping_collision_summary.csv</t>
  </si>
  <si>
    <t>D:\CBP_2026.07.21\i#3\rreq\rreq#19_32_result\d#120\v#30\12\ping_collision_summary.csv</t>
  </si>
  <si>
    <t>D:\CBP_2026.07.21\i#3\rreq\rreq#19_32_result\d#120\v#30\13\ping_collision_summary.csv</t>
  </si>
  <si>
    <t>D:\CBP_2026.07.21\i#3\rreq\rreq#19_32_result\d#120\v#30\14\ping_collision_summary.csv</t>
  </si>
  <si>
    <t>D:\CBP_2026.07.21\i#3\rreq\rreq#19_32_result\d#120\v#30\15\ping_collision_summary.csv</t>
  </si>
  <si>
    <t>D:\CBP_2026.07.21\i#3\rreq\rreq#19_32_result\d#120\v#30\16\ping_collision_summary.csv</t>
  </si>
  <si>
    <t>D:\CBP_2026.07.21\i#3\rreq\rreq#19_32_result\d#120\v#30\17\ping_collision_summary.csv</t>
  </si>
  <si>
    <t>D:\CBP_2026.07.21\i#3\rreq\rreq#19_32_result\d#120\v#30\18\ping_collision_summary.csv</t>
  </si>
  <si>
    <t>D:\CBP_2026.07.21\i#3\rreq\rreq#19_32_result\d#120\v#30\19\ping_collision_summary.csv</t>
  </si>
  <si>
    <t>D:\CBP_2026.07.21\i#3\rreq\rreq#19_32_result\d#120\v#30\1\ping_collision_summary.csv</t>
  </si>
  <si>
    <t>D:\CBP_2026.07.21\i#3\rreq\rreq#19_32_result\d#120\v#30\20\ping_collision_summary.csv</t>
  </si>
  <si>
    <t>D:\CBP_2026.07.21\i#3\rreq\rreq#19_32_result\d#120\v#30\21\ping_collision_summary.csv</t>
  </si>
  <si>
    <t>D:\CBP_2026.07.21\i#3\rreq\rreq#19_32_result\d#120\v#30\22\ping_collision_summary.csv</t>
  </si>
  <si>
    <t>D:\CBP_2026.07.21\i#3\rreq\rreq#19_32_result\d#120\v#30\23\ping_collision_summary.csv</t>
  </si>
  <si>
    <t>D:\CBP_2026.07.21\i#3\rreq\rreq#19_32_result\d#120\v#30\24\ping_collision_summary.csv</t>
  </si>
  <si>
    <t>D:\CBP_2026.07.21\i#3\rreq\rreq#19_32_result\d#120\v#30\25\ping_collision_summary.csv</t>
  </si>
  <si>
    <t>D:\CBP_2026.07.21\i#3\rreq\rreq#19_32_result\d#120\v#30\26\ping_collision_summary.csv</t>
  </si>
  <si>
    <t>D:\CBP_2026.07.21\i#3\rreq\rreq#19_32_result\d#120\v#30\27\ping_collision_summary.csv</t>
  </si>
  <si>
    <t>D:\CBP_2026.07.21\i#3\rreq\rreq#19_32_result\d#120\v#30\28\ping_collision_summary.csv</t>
  </si>
  <si>
    <t>D:\CBP_2026.07.21\i#3\rreq\rreq#19_32_result\d#120\v#30\29\ping_collision_summary.csv</t>
  </si>
  <si>
    <t>D:\CBP_2026.07.21\i#3\rreq\rreq#19_32_result\d#120\v#30\2\ping_collision_summary.csv</t>
  </si>
  <si>
    <t>D:\CBP_2026.07.21\i#3\rreq\rreq#19_32_result\d#120\v#30\30\ping_collision_summary.csv</t>
  </si>
  <si>
    <t>D:\CBP_2026.07.21\i#3\rreq\rreq#19_32_result\d#120\v#30\3\ping_collision_summary.csv</t>
  </si>
  <si>
    <t>D:\CBP_2026.07.21\i#3\rreq\rreq#19_32_result\d#120\v#30\4\ping_collision_summary.csv</t>
  </si>
  <si>
    <t>D:\CBP_2026.07.21\i#3\rreq\rreq#19_32_result\d#120\v#30\5\ping_collision_summary.csv</t>
  </si>
  <si>
    <t>D:\CBP_2026.07.21\i#3\rreq\rreq#19_32_result\d#120\v#30\6\ping_collision_summary.csv</t>
  </si>
  <si>
    <t>D:\CBP_2026.07.21\i#3\rreq\rreq#19_32_result\d#120\v#30\7\ping_collision_summary.csv</t>
  </si>
  <si>
    <t>D:\CBP_2026.07.21\i#3\rreq\rreq#19_32_result\d#120\v#30\8\ping_collision_summary.csv</t>
  </si>
  <si>
    <t>D:\CBP_2026.07.21\i#3\rreq\rreq#19_32_result\d#120\v#30\9\ping_collision_summary.csv</t>
  </si>
  <si>
    <t>D:\CBP_2026.07.21\i#3\rreq\rreq#19_32_result\d#70\v#10\0\ping_collision_summary.csv</t>
  </si>
  <si>
    <t>D:\CBP_2026.07.21\i#3\rreq\rreq#19_32_result\d#70\v#10\10\ping_collision_summary.csv</t>
  </si>
  <si>
    <t>D:\CBP_2026.07.21\i#3\rreq\rreq#19_32_result\d#70\v#10\11\ping_collision_summary.csv</t>
  </si>
  <si>
    <t>D:\CBP_2026.07.21\i#3\rreq\rreq#19_32_result\d#70\v#10\12\ping_collision_summary.csv</t>
  </si>
  <si>
    <t>D:\CBP_2026.07.21\i#3\rreq\rreq#19_32_result\d#70\v#10\13\ping_collision_summary.csv</t>
  </si>
  <si>
    <t>D:\CBP_2026.07.21\i#3\rreq\rreq#19_32_result\d#70\v#10\14\ping_collision_summary.csv</t>
  </si>
  <si>
    <t>D:\CBP_2026.07.21\i#3\rreq\rreq#19_32_result\d#70\v#10\15\ping_collision_summary.csv</t>
  </si>
  <si>
    <t>D:\CBP_2026.07.21\i#3\rreq\rreq#19_32_result\d#70\v#10\16\ping_collision_summary.csv</t>
  </si>
  <si>
    <t>D:\CBP_2026.07.21\i#3\rreq\rreq#19_32_result\d#70\v#10\17\ping_collision_summary.csv</t>
  </si>
  <si>
    <t>D:\CBP_2026.07.21\i#3\rreq\rreq#19_32_result\d#70\v#10\18\ping_collision_summary.csv</t>
  </si>
  <si>
    <t>D:\CBP_2026.07.21\i#3\rreq\rreq#19_32_result\d#70\v#10\19\ping_collision_summary.csv</t>
  </si>
  <si>
    <t>D:\CBP_2026.07.21\i#3\rreq\rreq#19_32_result\d#70\v#10\1\ping_collision_summary.csv</t>
  </si>
  <si>
    <t>D:\CBP_2026.07.21\i#3\rreq\rreq#19_32_result\d#70\v#10\20\ping_collision_summary.csv</t>
  </si>
  <si>
    <t>D:\CBP_2026.07.21\i#3\rreq\rreq#19_32_result\d#70\v#10\21\ping_collision_summary.csv</t>
  </si>
  <si>
    <t>D:\CBP_2026.07.21\i#3\rreq\rreq#19_32_result\d#70\v#10\22\ping_collision_summary.csv</t>
  </si>
  <si>
    <t>D:\CBP_2026.07.21\i#3\rreq\rreq#19_32_result\d#70\v#10\23\ping_collision_summary.csv</t>
  </si>
  <si>
    <t>D:\CBP_2026.07.21\i#3\rreq\rreq#19_32_result\d#70\v#10\24\ping_collision_summary.csv</t>
  </si>
  <si>
    <t>D:\CBP_2026.07.21\i#3\rreq\rreq#19_32_result\d#70\v#10\25\ping_collision_summary.csv</t>
  </si>
  <si>
    <t>D:\CBP_2026.07.21\i#3\rreq\rreq#19_32_result\d#70\v#10\26\ping_collision_summary.csv</t>
  </si>
  <si>
    <t>D:\CBP_2026.07.21\i#3\rreq\rreq#19_32_result\d#70\v#10\27\ping_collision_summary.csv</t>
  </si>
  <si>
    <t>D:\CBP_2026.07.21\i#3\rreq\rreq#19_32_result\d#70\v#10\28\ping_collision_summary.csv</t>
  </si>
  <si>
    <t>D:\CBP_2026.07.21\i#3\rreq\rreq#19_32_result\d#70\v#10\29\ping_collision_summary.csv</t>
  </si>
  <si>
    <t>D:\CBP_2026.07.21\i#3\rreq\rreq#19_32_result\d#70\v#10\2\ping_collision_summary.csv</t>
  </si>
  <si>
    <t>D:\CBP_2026.07.21\i#3\rreq\rreq#19_32_result\d#70\v#10\30\ping_collision_summary.csv</t>
  </si>
  <si>
    <t>D:\CBP_2026.07.21\i#3\rreq\rreq#19_32_result\d#70\v#10\3\ping_collision_summary.csv</t>
  </si>
  <si>
    <t>D:\CBP_2026.07.21\i#3\rreq\rreq#19_32_result\d#70\v#10\4\ping_collision_summary.csv</t>
  </si>
  <si>
    <t>D:\CBP_2026.07.21\i#3\rreq\rreq#19_32_result\d#70\v#10\5\ping_collision_summary.csv</t>
  </si>
  <si>
    <t>D:\CBP_2026.07.21\i#3\rreq\rreq#19_32_result\d#70\v#10\6\ping_collision_summary.csv</t>
  </si>
  <si>
    <t>D:\CBP_2026.07.21\i#3\rreq\rreq#19_32_result\d#70\v#10\7\ping_collision_summary.csv</t>
  </si>
  <si>
    <t>D:\CBP_2026.07.21\i#3\rreq\rreq#19_32_result\d#70\v#10\8\ping_collision_summary.csv</t>
  </si>
  <si>
    <t>D:\CBP_2026.07.21\i#3\rreq\rreq#19_32_result\d#70\v#10\9\ping_collision_summary.csv</t>
  </si>
  <si>
    <t>D:\CBP_2026.07.21\i#3\rreq\rreq#19_32_result\d#70\v#20\0\ping_collision_summary.csv</t>
  </si>
  <si>
    <t>D:\CBP_2026.07.21\i#3\rreq\rreq#19_32_result\d#70\v#20\10\ping_collision_summary.csv</t>
  </si>
  <si>
    <t>D:\CBP_2026.07.21\i#3\rreq\rreq#19_32_result\d#70\v#20\11\ping_collision_summary.csv</t>
  </si>
  <si>
    <t>D:\CBP_2026.07.21\i#3\rreq\rreq#19_32_result\d#70\v#20\12\ping_collision_summary.csv</t>
  </si>
  <si>
    <t>D:\CBP_2026.07.21\i#3\rreq\rreq#19_32_result\d#70\v#20\13\ping_collision_summary.csv</t>
  </si>
  <si>
    <t>D:\CBP_2026.07.21\i#3\rreq\rreq#19_32_result\d#70\v#20\14\ping_collision_summary.csv</t>
  </si>
  <si>
    <t>D:\CBP_2026.07.21\i#3\rreq\rreq#19_32_result\d#70\v#20\15\ping_collision_summary.csv</t>
  </si>
  <si>
    <t>D:\CBP_2026.07.21\i#3\rreq\rreq#19_32_result\d#70\v#20\16\ping_collision_summary.csv</t>
  </si>
  <si>
    <t>D:\CBP_2026.07.21\i#3\rreq\rreq#19_32_result\d#70\v#20\17\ping_collision_summary.csv</t>
  </si>
  <si>
    <t>D:\CBP_2026.07.21\i#3\rreq\rreq#19_32_result\d#70\v#20\18\ping_collision_summary.csv</t>
  </si>
  <si>
    <t>D:\CBP_2026.07.21\i#3\rreq\rreq#19_32_result\d#70\v#20\19\ping_collision_summary.csv</t>
  </si>
  <si>
    <t>D:\CBP_2026.07.21\i#3\rreq\rreq#19_32_result\d#70\v#20\1\ping_collision_summary.csv</t>
  </si>
  <si>
    <t>D:\CBP_2026.07.21\i#3\rreq\rreq#19_32_result\d#70\v#20\20\ping_collision_summary.csv</t>
  </si>
  <si>
    <t>D:\CBP_2026.07.21\i#3\rreq\rreq#19_32_result\d#70\v#20\21\ping_collision_summary.csv</t>
  </si>
  <si>
    <t>D:\CBP_2026.07.21\i#3\rreq\rreq#19_32_result\d#70\v#20\22\ping_collision_summary.csv</t>
  </si>
  <si>
    <t>D:\CBP_2026.07.21\i#3\rreq\rreq#19_32_result\d#70\v#20\23\ping_collision_summary.csv</t>
  </si>
  <si>
    <t>D:\CBP_2026.07.21\i#3\rreq\rreq#19_32_result\d#70\v#20\24\ping_collision_summary.csv</t>
  </si>
  <si>
    <t>D:\CBP_2026.07.21\i#3\rreq\rreq#19_32_result\d#70\v#20\25\ping_collision_summary.csv</t>
  </si>
  <si>
    <t>D:\CBP_2026.07.21\i#3\rreq\rreq#19_32_result\d#70\v#20\26\ping_collision_summary.csv</t>
  </si>
  <si>
    <t>D:\CBP_2026.07.21\i#3\rreq\rreq#19_32_result\d#70\v#20\27\ping_collision_summary.csv</t>
  </si>
  <si>
    <t>D:\CBP_2026.07.21\i#3\rreq\rreq#19_32_result\d#70\v#20\28\ping_collision_summary.csv</t>
  </si>
  <si>
    <t>D:\CBP_2026.07.21\i#3\rreq\rreq#19_32_result\d#70\v#20\29\ping_collision_summary.csv</t>
  </si>
  <si>
    <t>D:\CBP_2026.07.21\i#3\rreq\rreq#19_32_result\d#70\v#20\2\ping_collision_summary.csv</t>
  </si>
  <si>
    <t>D:\CBP_2026.07.21\i#3\rreq\rreq#19_32_result\d#70\v#20\30\ping_collision_summary.csv</t>
  </si>
  <si>
    <t>D:\CBP_2026.07.21\i#3\rreq\rreq#19_32_result\d#70\v#20\3\ping_collision_summary.csv</t>
  </si>
  <si>
    <t>D:\CBP_2026.07.21\i#3\rreq\rreq#19_32_result\d#70\v#20\4\ping_collision_summary.csv</t>
  </si>
  <si>
    <t>D:\CBP_2026.07.21\i#3\rreq\rreq#19_32_result\d#70\v#20\5\ping_collision_summary.csv</t>
  </si>
  <si>
    <t>D:\CBP_2026.07.21\i#3\rreq\rreq#19_32_result\d#70\v#20\6\ping_collision_summary.csv</t>
  </si>
  <si>
    <t>D:\CBP_2026.07.21\i#3\rreq\rreq#19_32_result\d#70\v#20\7\ping_collision_summary.csv</t>
  </si>
  <si>
    <t>D:\CBP_2026.07.21\i#3\rreq\rreq#19_32_result\d#70\v#20\8\ping_collision_summary.csv</t>
  </si>
  <si>
    <t>D:\CBP_2026.07.21\i#3\rreq\rreq#19_32_result\d#70\v#20\9\ping_collision_summary.csv</t>
  </si>
  <si>
    <t>D:\CBP_2026.07.21\i#3\rreq\rreq#19_32_result\d#70\v#30\0\ping_collision_summary.csv</t>
  </si>
  <si>
    <t>D:\CBP_2026.07.21\i#3\rreq\rreq#19_32_result\d#70\v#30\10\ping_collision_summary.csv</t>
  </si>
  <si>
    <t>D:\CBP_2026.07.21\i#3\rreq\rreq#19_32_result\d#70\v#30\11\ping_collision_summary.csv</t>
  </si>
  <si>
    <t>D:\CBP_2026.07.21\i#3\rreq\rreq#19_32_result\d#70\v#30\12\ping_collision_summary.csv</t>
  </si>
  <si>
    <t>D:\CBP_2026.07.21\i#3\rreq\rreq#19_32_result\d#70\v#30\13\ping_collision_summary.csv</t>
  </si>
  <si>
    <t>D:\CBP_2026.07.21\i#3\rreq\rreq#19_32_result\d#70\v#30\14\ping_collision_summary.csv</t>
  </si>
  <si>
    <t>D:\CBP_2026.07.21\i#3\rreq\rreq#19_32_result\d#70\v#30\15\ping_collision_summary.csv</t>
  </si>
  <si>
    <t>D:\CBP_2026.07.21\i#3\rreq\rreq#19_32_result\d#70\v#30\16\ping_collision_summary.csv</t>
  </si>
  <si>
    <t>D:\CBP_2026.07.21\i#3\rreq\rreq#19_32_result\d#70\v#30\17\ping_collision_summary.csv</t>
  </si>
  <si>
    <t>D:\CBP_2026.07.21\i#3\rreq\rreq#19_32_result\d#70\v#30\18\ping_collision_summary.csv</t>
  </si>
  <si>
    <t>D:\CBP_2026.07.21\i#3\rreq\rreq#19_32_result\d#70\v#30\19\ping_collision_summary.csv</t>
  </si>
  <si>
    <t>D:\CBP_2026.07.21\i#3\rreq\rreq#19_32_result\d#70\v#30\1\ping_collision_summary.csv</t>
  </si>
  <si>
    <t>D:\CBP_2026.07.21\i#3\rreq\rreq#19_32_result\d#70\v#30\20\ping_collision_summary.csv</t>
  </si>
  <si>
    <t>D:\CBP_2026.07.21\i#3\rreq\rreq#19_32_result\d#70\v#30\21\ping_collision_summary.csv</t>
  </si>
  <si>
    <t>D:\CBP_2026.07.21\i#3\rreq\rreq#19_32_result\d#70\v#30\22\ping_collision_summary.csv</t>
  </si>
  <si>
    <t>D:\CBP_2026.07.21\i#3\rreq\rreq#19_32_result\d#70\v#30\23\ping_collision_summary.csv</t>
  </si>
  <si>
    <t>D:\CBP_2026.07.21\i#3\rreq\rreq#19_32_result\d#70\v#30\24\ping_collision_summary.csv</t>
  </si>
  <si>
    <t>D:\CBP_2026.07.21\i#3\rreq\rreq#19_32_result\d#70\v#30\25\ping_collision_summary.csv</t>
  </si>
  <si>
    <t>D:\CBP_2026.07.21\i#3\rreq\rreq#19_32_result\d#70\v#30\26\ping_collision_summary.csv</t>
  </si>
  <si>
    <t>D:\CBP_2026.07.21\i#3\rreq\rreq#19_32_result\d#70\v#30\27\ping_collision_summary.csv</t>
  </si>
  <si>
    <t>D:\CBP_2026.07.21\i#3\rreq\rreq#19_32_result\d#70\v#30\28\ping_collision_summary.csv</t>
  </si>
  <si>
    <t>D:\CBP_2026.07.21\i#3\rreq\rreq#19_32_result\d#70\v#30\29\ping_collision_summary.csv</t>
  </si>
  <si>
    <t>D:\CBP_2026.07.21\i#3\rreq\rreq#19_32_result\d#70\v#30\2\ping_collision_summary.csv</t>
  </si>
  <si>
    <t>D:\CBP_2026.07.21\i#3\rreq\rreq#19_32_result\d#70\v#30\30\ping_collision_summary.csv</t>
  </si>
  <si>
    <t>D:\CBP_2026.07.21\i#3\rreq\rreq#19_32_result\d#70\v#30\3\ping_collision_summary.csv</t>
  </si>
  <si>
    <t>D:\CBP_2026.07.21\i#3\rreq\rreq#19_32_result\d#70\v#30\4\ping_collision_summary.csv</t>
  </si>
  <si>
    <t>D:\CBP_2026.07.21\i#3\rreq\rreq#19_32_result\d#70\v#30\5\ping_collision_summary.csv</t>
  </si>
  <si>
    <t>D:\CBP_2026.07.21\i#3\rreq\rreq#19_32_result\d#70\v#30\6\ping_collision_summary.csv</t>
  </si>
  <si>
    <t>D:\CBP_2026.07.21\i#3\rreq\rreq#19_32_result\d#70\v#30\7\ping_collision_summary.csv</t>
  </si>
  <si>
    <t>D:\CBP_2026.07.21\i#3\rreq\rreq#19_32_result\d#70\v#30\8\ping_collision_summary.csv</t>
  </si>
  <si>
    <t>D:\CBP_2026.07.21\i#3\rreq\rreq#19_32_result\d#70\v#30\9\ping_collision_summary.csv</t>
  </si>
  <si>
    <t>D:\CBP_2026.07.21\i#3\rreq\rreq#32_43_result\d#100\v#10\0\ping_collision_summary.csv</t>
  </si>
  <si>
    <t>D:\CBP_2026.07.21\i#3\rreq\rreq#32_43_result\d#100\v#10\10\ping_collision_summary.csv</t>
  </si>
  <si>
    <t>D:\CBP_2026.07.21\i#3\rreq\rreq#32_43_result\d#100\v#10\11\ping_collision_summary.csv</t>
  </si>
  <si>
    <t>D:\CBP_2026.07.21\i#3\rreq\rreq#32_43_result\d#100\v#10\12\ping_collision_summary.csv</t>
  </si>
  <si>
    <t>D:\CBP_2026.07.21\i#3\rreq\rreq#32_43_result\d#100\v#10\13\ping_collision_summary.csv</t>
  </si>
  <si>
    <t>D:\CBP_2026.07.21\i#3\rreq\rreq#32_43_result\d#100\v#10\14\ping_collision_summary.csv</t>
  </si>
  <si>
    <t>D:\CBP_2026.07.21\i#3\rreq\rreq#32_43_result\d#100\v#10\15\ping_collision_summary.csv</t>
  </si>
  <si>
    <t>D:\CBP_2026.07.21\i#3\rreq\rreq#32_43_result\d#100\v#10\17\ping_collision_summary.csv</t>
  </si>
  <si>
    <t>D:\CBP_2026.07.21\i#3\rreq\rreq#32_43_result\d#100\v#10\18\ping_collision_summary.csv</t>
  </si>
  <si>
    <t>D:\CBP_2026.07.21\i#3\rreq\rreq#32_43_result\d#100\v#10\19\ping_collision_summary.csv</t>
  </si>
  <si>
    <t>D:\CBP_2026.07.21\i#3\rreq\rreq#32_43_result\d#100\v#10\1\ping_collision_summary.csv</t>
  </si>
  <si>
    <t>D:\CBP_2026.07.21\i#3\rreq\rreq#32_43_result\d#100\v#10\20\ping_collision_summary.csv</t>
  </si>
  <si>
    <t>D:\CBP_2026.07.21\i#3\rreq\rreq#32_43_result\d#100\v#10\21\ping_collision_summary.csv</t>
  </si>
  <si>
    <t>D:\CBP_2026.07.21\i#3\rreq\rreq#32_43_result\d#100\v#10\22\ping_collision_summary.csv</t>
  </si>
  <si>
    <t>D:\CBP_2026.07.21\i#3\rreq\rreq#32_43_result\d#100\v#10\23\ping_collision_summary.csv</t>
  </si>
  <si>
    <t>D:\CBP_2026.07.21\i#3\rreq\rreq#32_43_result\d#100\v#10\24\ping_collision_summary.csv</t>
  </si>
  <si>
    <t>D:\CBP_2026.07.21\i#3\rreq\rreq#32_43_result\d#100\v#10\25\ping_collision_summary.csv</t>
  </si>
  <si>
    <t>D:\CBP_2026.07.21\i#3\rreq\rreq#32_43_result\d#100\v#10\26\ping_collision_summary.csv</t>
  </si>
  <si>
    <t>D:\CBP_2026.07.21\i#3\rreq\rreq#32_43_result\d#100\v#10\27\ping_collision_summary.csv</t>
  </si>
  <si>
    <t>D:\CBP_2026.07.21\i#3\rreq\rreq#32_43_result\d#100\v#10\2\ping_collision_summary.csv</t>
  </si>
  <si>
    <t>D:\CBP_2026.07.21\i#3\rreq\rreq#32_43_result\d#100\v#10\30\ping_collision_summary.csv</t>
  </si>
  <si>
    <t>D:\CBP_2026.07.21\i#3\rreq\rreq#32_43_result\d#100\v#10\3\ping_collision_summary.csv</t>
  </si>
  <si>
    <t>D:\CBP_2026.07.21\i#3\rreq\rreq#32_43_result\d#100\v#10\4\ping_collision_summary.csv</t>
  </si>
  <si>
    <t>D:\CBP_2026.07.21\i#3\rreq\rreq#32_43_result\d#100\v#10\5\ping_collision_summary.csv</t>
  </si>
  <si>
    <t>D:\CBP_2026.07.21\i#3\rreq\rreq#32_43_result\d#100\v#10\6\ping_collision_summary.csv</t>
  </si>
  <si>
    <t>D:\CBP_2026.07.21\i#3\rreq\rreq#32_43_result\d#100\v#10\7\ping_collision_summary.csv</t>
  </si>
  <si>
    <t>D:\CBP_2026.07.21\i#3\rreq\rreq#32_43_result\d#100\v#10\8\ping_collision_summary.csv</t>
  </si>
  <si>
    <t>D:\CBP_2026.07.21\i#3\rreq\rreq#32_43_result\d#100\v#10\9\ping_collision_summary.csv</t>
  </si>
  <si>
    <t>D:\CBP_2026.07.21\i#3\rreq\rreq#32_43_result\d#100\v#20\0\ping_collision_summary.csv</t>
  </si>
  <si>
    <t>D:\CBP_2026.07.21\i#3\rreq\rreq#32_43_result\d#100\v#20\10\ping_collision_summary.csv</t>
  </si>
  <si>
    <t>D:\CBP_2026.07.21\i#3\rreq\rreq#32_43_result\d#100\v#20\11\ping_collision_summary.csv</t>
  </si>
  <si>
    <t>D:\CBP_2026.07.21\i#3\rreq\rreq#32_43_result\d#100\v#20\12\ping_collision_summary.csv</t>
  </si>
  <si>
    <t>D:\CBP_2026.07.21\i#3\rreq\rreq#32_43_result\d#100\v#20\13\ping_collision_summary.csv</t>
  </si>
  <si>
    <t>D:\CBP_2026.07.21\i#3\rreq\rreq#32_43_result\d#100\v#20\14\ping_collision_summary.csv</t>
  </si>
  <si>
    <t>D:\CBP_2026.07.21\i#3\rreq\rreq#32_43_result\d#100\v#20\15\ping_collision_summary.csv</t>
  </si>
  <si>
    <t>D:\CBP_2026.07.21\i#3\rreq\rreq#32_43_result\d#100\v#20\16\ping_collision_summary.csv</t>
  </si>
  <si>
    <t>D:\CBP_2026.07.21\i#3\rreq\rreq#32_43_result\d#100\v#20\17\ping_collision_summary.csv</t>
  </si>
  <si>
    <t>D:\CBP_2026.07.21\i#3\rreq\rreq#32_43_result\d#100\v#20\18\ping_collision_summary.csv</t>
  </si>
  <si>
    <t>D:\CBP_2026.07.21\i#3\rreq\rreq#32_43_result\d#100\v#20\19\ping_collision_summary.csv</t>
  </si>
  <si>
    <t>D:\CBP_2026.07.21\i#3\rreq\rreq#32_43_result\d#100\v#20\1\ping_collision_summary.csv</t>
  </si>
  <si>
    <t>D:\CBP_2026.07.21\i#3\rreq\rreq#32_43_result\d#100\v#20\20\ping_collision_summary.csv</t>
  </si>
  <si>
    <t>D:\CBP_2026.07.21\i#3\rreq\rreq#32_43_result\d#100\v#20\21\ping_collision_summary.csv</t>
  </si>
  <si>
    <t>D:\CBP_2026.07.21\i#3\rreq\rreq#32_43_result\d#100\v#20\22\ping_collision_summary.csv</t>
  </si>
  <si>
    <t>D:\CBP_2026.07.21\i#3\rreq\rreq#32_43_result\d#100\v#20\23\ping_collision_summary.csv</t>
  </si>
  <si>
    <t>D:\CBP_2026.07.21\i#3\rreq\rreq#32_43_result\d#100\v#20\24\ping_collision_summary.csv</t>
  </si>
  <si>
    <t>D:\CBP_2026.07.21\i#3\rreq\rreq#32_43_result\d#100\v#20\25\ping_collision_summary.csv</t>
  </si>
  <si>
    <t>D:\CBP_2026.07.21\i#3\rreq\rreq#32_43_result\d#100\v#20\26\ping_collision_summary.csv</t>
  </si>
  <si>
    <t>D:\CBP_2026.07.21\i#3\rreq\rreq#32_43_result\d#100\v#20\27\ping_collision_summary.csv</t>
  </si>
  <si>
    <t>D:\CBP_2026.07.21\i#3\rreq\rreq#32_43_result\d#100\v#20\28\ping_collision_summary.csv</t>
  </si>
  <si>
    <t>D:\CBP_2026.07.21\i#3\rreq\rreq#32_43_result\d#100\v#20\29\ping_collision_summary.csv</t>
  </si>
  <si>
    <t>D:\CBP_2026.07.21\i#3\rreq\rreq#32_43_result\d#100\v#20\2\ping_collision_summary.csv</t>
  </si>
  <si>
    <t>D:\CBP_2026.07.21\i#3\rreq\rreq#32_43_result\d#100\v#20\30\ping_collision_summary.csv</t>
  </si>
  <si>
    <t>D:\CBP_2026.07.21\i#3\rreq\rreq#32_43_result\d#100\v#20\3\ping_collision_summary.csv</t>
  </si>
  <si>
    <t>D:\CBP_2026.07.21\i#3\rreq\rreq#32_43_result\d#100\v#20\4\ping_collision_summary.csv</t>
  </si>
  <si>
    <t>D:\CBP_2026.07.21\i#3\rreq\rreq#32_43_result\d#100\v#20\6\ping_collision_summary.csv</t>
  </si>
  <si>
    <t>D:\CBP_2026.07.21\i#3\rreq\rreq#32_43_result\d#100\v#20\7\ping_collision_summary.csv</t>
  </si>
  <si>
    <t>D:\CBP_2026.07.21\i#3\rreq\rreq#32_43_result\d#100\v#20\8\ping_collision_summary.csv</t>
  </si>
  <si>
    <t>D:\CBP_2026.07.21\i#3\rreq\rreq#32_43_result\d#100\v#20\9\ping_collision_summary.csv</t>
  </si>
  <si>
    <t>D:\CBP_2026.07.21\i#3\rreq\rreq#32_43_result\d#100\v#30\0\ping_collision_summary.csv</t>
  </si>
  <si>
    <t>D:\CBP_2026.07.21\i#3\rreq\rreq#32_43_result\d#100\v#30\10\ping_collision_summary.csv</t>
  </si>
  <si>
    <t>D:\CBP_2026.07.21\i#3\rreq\rreq#32_43_result\d#100\v#30\11\ping_collision_summary.csv</t>
  </si>
  <si>
    <t>D:\CBP_2026.07.21\i#3\rreq\rreq#32_43_result\d#100\v#30\12\ping_collision_summary.csv</t>
  </si>
  <si>
    <t>D:\CBP_2026.07.21\i#3\rreq\rreq#32_43_result\d#100\v#30\13\ping_collision_summary.csv</t>
  </si>
  <si>
    <t>D:\CBP_2026.07.21\i#3\rreq\rreq#32_43_result\d#100\v#30\14\ping_collision_summary.csv</t>
  </si>
  <si>
    <t>D:\CBP_2026.07.21\i#3\rreq\rreq#32_43_result\d#100\v#30\15\ping_collision_summary.csv</t>
  </si>
  <si>
    <t>D:\CBP_2026.07.21\i#3\rreq\rreq#32_43_result\d#100\v#30\16\ping_collision_summary.csv</t>
  </si>
  <si>
    <t>D:\CBP_2026.07.21\i#3\rreq\rreq#32_43_result\d#100\v#30\17\ping_collision_summary.csv</t>
  </si>
  <si>
    <t>D:\CBP_2026.07.21\i#3\rreq\rreq#32_43_result\d#100\v#30\18\ping_collision_summary.csv</t>
  </si>
  <si>
    <t>D:\CBP_2026.07.21\i#3\rreq\rreq#32_43_result\d#100\v#30\19\ping_collision_summary.csv</t>
  </si>
  <si>
    <t>D:\CBP_2026.07.21\i#3\rreq\rreq#32_43_result\d#100\v#30\1\ping_collision_summary.csv</t>
  </si>
  <si>
    <t>D:\CBP_2026.07.21\i#3\rreq\rreq#32_43_result\d#100\v#30\20\ping_collision_summary.csv</t>
  </si>
  <si>
    <t>D:\CBP_2026.07.21\i#3\rreq\rreq#32_43_result\d#100\v#30\21\ping_collision_summary.csv</t>
  </si>
  <si>
    <t>D:\CBP_2026.07.21\i#3\rreq\rreq#32_43_result\d#100\v#30\22\ping_collision_summary.csv</t>
  </si>
  <si>
    <t>D:\CBP_2026.07.21\i#3\rreq\rreq#32_43_result\d#100\v#30\23\ping_collision_summary.csv</t>
  </si>
  <si>
    <t>D:\CBP_2026.07.21\i#3\rreq\rreq#32_43_result\d#100\v#30\24\ping_collision_summary.csv</t>
  </si>
  <si>
    <t>D:\CBP_2026.07.21\i#3\rreq\rreq#32_43_result\d#100\v#30\25\ping_collision_summary.csv</t>
  </si>
  <si>
    <t>D:\CBP_2026.07.21\i#3\rreq\rreq#32_43_result\d#100\v#30\26\ping_collision_summary.csv</t>
  </si>
  <si>
    <t>D:\CBP_2026.07.21\i#3\rreq\rreq#32_43_result\d#100\v#30\27\ping_collision_summary.csv</t>
  </si>
  <si>
    <t>D:\CBP_2026.07.21\i#3\rreq\rreq#32_43_result\d#100\v#30\28\ping_collision_summary.csv</t>
  </si>
  <si>
    <t>D:\CBP_2026.07.21\i#3\rreq\rreq#32_43_result\d#100\v#30\29\ping_collision_summary.csv</t>
  </si>
  <si>
    <t>D:\CBP_2026.07.21\i#3\rreq\rreq#32_43_result\d#100\v#30\2\ping_collision_summary.csv</t>
  </si>
  <si>
    <t>D:\CBP_2026.07.21\i#3\rreq\rreq#32_43_result\d#100\v#30\30\ping_collision_summary.csv</t>
  </si>
  <si>
    <t>D:\CBP_2026.07.21\i#3\rreq\rreq#32_43_result\d#100\v#30\3\ping_collision_summary.csv</t>
  </si>
  <si>
    <t>D:\CBP_2026.07.21\i#3\rreq\rreq#32_43_result\d#100\v#30\4\ping_collision_summary.csv</t>
  </si>
  <si>
    <t>D:\CBP_2026.07.21\i#3\rreq\rreq#32_43_result\d#100\v#30\5\ping_collision_summary.csv</t>
  </si>
  <si>
    <t>D:\CBP_2026.07.21\i#3\rreq\rreq#32_43_result\d#100\v#30\6\ping_collision_summary.csv</t>
  </si>
  <si>
    <t>D:\CBP_2026.07.21\i#3\rreq\rreq#32_43_result\d#100\v#30\7\ping_collision_summary.csv</t>
  </si>
  <si>
    <t>D:\CBP_2026.07.21\i#3\rreq\rreq#32_43_result\d#100\v#30\8\ping_collision_summary.csv</t>
  </si>
  <si>
    <t>D:\CBP_2026.07.21\i#3\rreq\rreq#32_43_result\d#100\v#30\9\ping_collision_summary.csv</t>
  </si>
  <si>
    <t>D:\CBP_2026.07.21\i#3\rreq\rreq#32_43_result\d#120\v#10\0\ping_collision_summary.csv</t>
  </si>
  <si>
    <t>D:\CBP_2026.07.21\i#3\rreq\rreq#32_43_result\d#120\v#10\10\ping_collision_summary.csv</t>
  </si>
  <si>
    <t>D:\CBP_2026.07.21\i#3\rreq\rreq#32_43_result\d#120\v#10\11\ping_collision_summary.csv</t>
  </si>
  <si>
    <t>D:\CBP_2026.07.21\i#3\rreq\rreq#32_43_result\d#120\v#10\12\ping_collision_summary.csv</t>
  </si>
  <si>
    <t>D:\CBP_2026.07.21\i#3\rreq\rreq#32_43_result\d#120\v#10\13\ping_collision_summary.csv</t>
  </si>
  <si>
    <t>D:\CBP_2026.07.21\i#3\rreq\rreq#32_43_result\d#120\v#10\14\ping_collision_summary.csv</t>
  </si>
  <si>
    <t>D:\CBP_2026.07.21\i#3\rreq\rreq#32_43_result\d#120\v#10\15\ping_collision_summary.csv</t>
  </si>
  <si>
    <t>D:\CBP_2026.07.21\i#3\rreq\rreq#32_43_result\d#120\v#10\16\ping_collision_summary.csv</t>
  </si>
  <si>
    <t>D:\CBP_2026.07.21\i#3\rreq\rreq#32_43_result\d#120\v#10\17\ping_collision_summary.csv</t>
  </si>
  <si>
    <t>D:\CBP_2026.07.21\i#3\rreq\rreq#32_43_result\d#120\v#10\18\ping_collision_summary.csv</t>
  </si>
  <si>
    <t>D:\CBP_2026.07.21\i#3\rreq\rreq#32_43_result\d#120\v#10\19\ping_collision_summary.csv</t>
  </si>
  <si>
    <t>D:\CBP_2026.07.21\i#3\rreq\rreq#32_43_result\d#120\v#10\1\ping_collision_summary.csv</t>
  </si>
  <si>
    <t>D:\CBP_2026.07.21\i#3\rreq\rreq#32_43_result\d#120\v#10\20\ping_collision_summary.csv</t>
  </si>
  <si>
    <t>D:\CBP_2026.07.21\i#3\rreq\rreq#32_43_result\d#120\v#10\21\ping_collision_summary.csv</t>
  </si>
  <si>
    <t>D:\CBP_2026.07.21\i#3\rreq\rreq#32_43_result\d#120\v#10\22\ping_collision_summary.csv</t>
  </si>
  <si>
    <t>D:\CBP_2026.07.21\i#3\rreq\rreq#32_43_result\d#120\v#10\23\ping_collision_summary.csv</t>
  </si>
  <si>
    <t>D:\CBP_2026.07.21\i#3\rreq\rreq#32_43_result\d#120\v#10\24\ping_collision_summary.csv</t>
  </si>
  <si>
    <t>D:\CBP_2026.07.21\i#3\rreq\rreq#32_43_result\d#120\v#10\25\ping_collision_summary.csv</t>
  </si>
  <si>
    <t>D:\CBP_2026.07.21\i#3\rreq\rreq#32_43_result\d#120\v#10\26\ping_collision_summary.csv</t>
  </si>
  <si>
    <t>D:\CBP_2026.07.21\i#3\rreq\rreq#32_43_result\d#120\v#10\27\ping_collision_summary.csv</t>
  </si>
  <si>
    <t>D:\CBP_2026.07.21\i#3\rreq\rreq#32_43_result\d#120\v#10\28\ping_collision_summary.csv</t>
  </si>
  <si>
    <t>D:\CBP_2026.07.21\i#3\rreq\rreq#32_43_result\d#120\v#10\29\ping_collision_summary.csv</t>
  </si>
  <si>
    <t>D:\CBP_2026.07.21\i#3\rreq\rreq#32_43_result\d#120\v#10\2\ping_collision_summary.csv</t>
  </si>
  <si>
    <t>D:\CBP_2026.07.21\i#3\rreq\rreq#32_43_result\d#120\v#10\30\ping_collision_summary.csv</t>
  </si>
  <si>
    <t>D:\CBP_2026.07.21\i#3\rreq\rreq#32_43_result\d#120\v#10\3\ping_collision_summary.csv</t>
  </si>
  <si>
    <t>D:\CBP_2026.07.21\i#3\rreq\rreq#32_43_result\d#120\v#10\4\ping_collision_summary.csv</t>
  </si>
  <si>
    <t>D:\CBP_2026.07.21\i#3\rreq\rreq#32_43_result\d#120\v#10\5\ping_collision_summary.csv</t>
  </si>
  <si>
    <t>D:\CBP_2026.07.21\i#3\rreq\rreq#32_43_result\d#120\v#10\6\ping_collision_summary.csv</t>
  </si>
  <si>
    <t>D:\CBP_2026.07.21\i#3\rreq\rreq#32_43_result\d#120\v#10\7\ping_collision_summary.csv</t>
  </si>
  <si>
    <t>D:\CBP_2026.07.21\i#3\rreq\rreq#32_43_result\d#120\v#10\8\ping_collision_summary.csv</t>
  </si>
  <si>
    <t>D:\CBP_2026.07.21\i#3\rreq\rreq#32_43_result\d#120\v#10\9\ping_collision_summary.csv</t>
  </si>
  <si>
    <t>D:\CBP_2026.07.21\i#3\rreq\rreq#32_43_result\d#120\v#20\0\ping_collision_summary.csv</t>
  </si>
  <si>
    <t>D:\CBP_2026.07.21\i#3\rreq\rreq#32_43_result\d#120\v#20\10\ping_collision_summary.csv</t>
  </si>
  <si>
    <t>D:\CBP_2026.07.21\i#3\rreq\rreq#32_43_result\d#120\v#20\11\ping_collision_summary.csv</t>
  </si>
  <si>
    <t>D:\CBP_2026.07.21\i#3\rreq\rreq#32_43_result\d#120\v#20\12\ping_collision_summary.csv</t>
  </si>
  <si>
    <t>D:\CBP_2026.07.21\i#3\rreq\rreq#32_43_result\d#120\v#20\13\ping_collision_summary.csv</t>
  </si>
  <si>
    <t>D:\CBP_2026.07.21\i#3\rreq\rreq#32_43_result\d#120\v#20\14\ping_collision_summary.csv</t>
  </si>
  <si>
    <t>D:\CBP_2026.07.21\i#3\rreq\rreq#32_43_result\d#120\v#20\15\ping_collision_summary.csv</t>
  </si>
  <si>
    <t>D:\CBP_2026.07.21\i#3\rreq\rreq#32_43_result\d#120\v#20\16\ping_collision_summary.csv</t>
  </si>
  <si>
    <t>D:\CBP_2026.07.21\i#3\rreq\rreq#32_43_result\d#120\v#20\17\ping_collision_summary.csv</t>
  </si>
  <si>
    <t>D:\CBP_2026.07.21\i#3\rreq\rreq#32_43_result\d#120\v#20\18\ping_collision_summary.csv</t>
  </si>
  <si>
    <t>D:\CBP_2026.07.21\i#3\rreq\rreq#32_43_result\d#120\v#20\19\ping_collision_summary.csv</t>
  </si>
  <si>
    <t>D:\CBP_2026.07.21\i#3\rreq\rreq#32_43_result\d#120\v#20\1\ping_collision_summary.csv</t>
  </si>
  <si>
    <t>D:\CBP_2026.07.21\i#3\rreq\rreq#32_43_result\d#120\v#20\20\ping_collision_summary.csv</t>
  </si>
  <si>
    <t>D:\CBP_2026.07.21\i#3\rreq\rreq#32_43_result\d#120\v#20\21\ping_collision_summary.csv</t>
  </si>
  <si>
    <t>D:\CBP_2026.07.21\i#3\rreq\rreq#32_43_result\d#120\v#20\22\ping_collision_summary.csv</t>
  </si>
  <si>
    <t>D:\CBP_2026.07.21\i#3\rreq\rreq#32_43_result\d#120\v#20\23\ping_collision_summary.csv</t>
  </si>
  <si>
    <t>D:\CBP_2026.07.21\i#3\rreq\rreq#32_43_result\d#120\v#20\24\ping_collision_summary.csv</t>
  </si>
  <si>
    <t>D:\CBP_2026.07.21\i#3\rreq\rreq#32_43_result\d#120\v#20\25\ping_collision_summary.csv</t>
  </si>
  <si>
    <t>D:\CBP_2026.07.21\i#3\rreq\rreq#32_43_result\d#120\v#20\26\ping_collision_summary.csv</t>
  </si>
  <si>
    <t>D:\CBP_2026.07.21\i#3\rreq\rreq#32_43_result\d#120\v#20\27\ping_collision_summary.csv</t>
  </si>
  <si>
    <t>D:\CBP_2026.07.21\i#3\rreq\rreq#32_43_result\d#120\v#20\28\ping_collision_summary.csv</t>
  </si>
  <si>
    <t>D:\CBP_2026.07.21\i#3\rreq\rreq#32_43_result\d#120\v#20\29\ping_collision_summary.csv</t>
  </si>
  <si>
    <t>D:\CBP_2026.07.21\i#3\rreq\rreq#32_43_result\d#120\v#20\2\ping_collision_summary.csv</t>
  </si>
  <si>
    <t>D:\CBP_2026.07.21\i#3\rreq\rreq#32_43_result\d#120\v#20\30\ping_collision_summary.csv</t>
  </si>
  <si>
    <t>D:\CBP_2026.07.21\i#3\rreq\rreq#32_43_result\d#120\v#20\3\ping_collision_summary.csv</t>
  </si>
  <si>
    <t>D:\CBP_2026.07.21\i#3\rreq\rreq#32_43_result\d#120\v#20\4\ping_collision_summary.csv</t>
  </si>
  <si>
    <t>D:\CBP_2026.07.21\i#3\rreq\rreq#32_43_result\d#120\v#20\5\ping_collision_summary.csv</t>
  </si>
  <si>
    <t>D:\CBP_2026.07.21\i#3\rreq\rreq#32_43_result\d#120\v#20\6\ping_collision_summary.csv</t>
  </si>
  <si>
    <t>D:\CBP_2026.07.21\i#3\rreq\rreq#32_43_result\d#120\v#20\7\ping_collision_summary.csv</t>
  </si>
  <si>
    <t>D:\CBP_2026.07.21\i#3\rreq\rreq#32_43_result\d#120\v#20\8\ping_collision_summary.csv</t>
  </si>
  <si>
    <t>D:\CBP_2026.07.21\i#3\rreq\rreq#32_43_result\d#120\v#20\9\ping_collision_summary.csv</t>
  </si>
  <si>
    <t>D:\CBP_2026.07.21\i#3\rreq\rreq#32_43_result\d#120\v#30\0\ping_collision_summary.csv</t>
  </si>
  <si>
    <t>D:\CBP_2026.07.21\i#3\rreq\rreq#32_43_result\d#120\v#30\10\ping_collision_summary.csv</t>
  </si>
  <si>
    <t>D:\CBP_2026.07.21\i#3\rreq\rreq#32_43_result\d#120\v#30\11\ping_collision_summary.csv</t>
  </si>
  <si>
    <t>D:\CBP_2026.07.21\i#3\rreq\rreq#32_43_result\d#120\v#30\12\ping_collision_summary.csv</t>
  </si>
  <si>
    <t>D:\CBP_2026.07.21\i#3\rreq\rreq#32_43_result\d#120\v#30\13\ping_collision_summary.csv</t>
  </si>
  <si>
    <t>D:\CBP_2026.07.21\i#3\rreq\rreq#32_43_result\d#120\v#30\14\ping_collision_summary.csv</t>
  </si>
  <si>
    <t>D:\CBP_2026.07.21\i#3\rreq\rreq#32_43_result\d#120\v#30\15\ping_collision_summary.csv</t>
  </si>
  <si>
    <t>D:\CBP_2026.07.21\i#3\rreq\rreq#32_43_result\d#120\v#30\16\ping_collision_summary.csv</t>
  </si>
  <si>
    <t>D:\CBP_2026.07.21\i#3\rreq\rreq#32_43_result\d#120\v#30\17\ping_collision_summary.csv</t>
  </si>
  <si>
    <t>D:\CBP_2026.07.21\i#3\rreq\rreq#32_43_result\d#120\v#30\18\ping_collision_summary.csv</t>
  </si>
  <si>
    <t>D:\CBP_2026.07.21\i#3\rreq\rreq#32_43_result\d#120\v#30\19\ping_collision_summary.csv</t>
  </si>
  <si>
    <t>D:\CBP_2026.07.21\i#3\rreq\rreq#32_43_result\d#120\v#30\1\ping_collision_summary.csv</t>
  </si>
  <si>
    <t>D:\CBP_2026.07.21\i#3\rreq\rreq#32_43_result\d#120\v#30\20\ping_collision_summary.csv</t>
  </si>
  <si>
    <t>D:\CBP_2026.07.21\i#3\rreq\rreq#32_43_result\d#120\v#30\21\ping_collision_summary.csv</t>
  </si>
  <si>
    <t>D:\CBP_2026.07.21\i#3\rreq\rreq#32_43_result\d#120\v#30\22\ping_collision_summary.csv</t>
  </si>
  <si>
    <t>D:\CBP_2026.07.21\i#3\rreq\rreq#32_43_result\d#120\v#30\23\ping_collision_summary.csv</t>
  </si>
  <si>
    <t>D:\CBP_2026.07.21\i#3\rreq\rreq#32_43_result\d#120\v#30\24\ping_collision_summary.csv</t>
  </si>
  <si>
    <t>D:\CBP_2026.07.21\i#3\rreq\rreq#32_43_result\d#120\v#30\25\ping_collision_summary.csv</t>
  </si>
  <si>
    <t>D:\CBP_2026.07.21\i#3\rreq\rreq#32_43_result\d#120\v#30\26\ping_collision_summary.csv</t>
  </si>
  <si>
    <t>D:\CBP_2026.07.21\i#3\rreq\rreq#32_43_result\d#120\v#30\27\ping_collision_summary.csv</t>
  </si>
  <si>
    <t>D:\CBP_2026.07.21\i#3\rreq\rreq#32_43_result\d#120\v#30\28\ping_collision_summary.csv</t>
  </si>
  <si>
    <t>D:\CBP_2026.07.21\i#3\rreq\rreq#32_43_result\d#120\v#30\29\ping_collision_summary.csv</t>
  </si>
  <si>
    <t>D:\CBP_2026.07.21\i#3\rreq\rreq#32_43_result\d#120\v#30\2\ping_collision_summary.csv</t>
  </si>
  <si>
    <t>D:\CBP_2026.07.21\i#3\rreq\rreq#32_43_result\d#120\v#30\30\ping_collision_summary.csv</t>
  </si>
  <si>
    <t>D:\CBP_2026.07.21\i#3\rreq\rreq#32_43_result\d#120\v#30\3\ping_collision_summary.csv</t>
  </si>
  <si>
    <t>D:\CBP_2026.07.21\i#3\rreq\rreq#32_43_result\d#120\v#30\4\ping_collision_summary.csv</t>
  </si>
  <si>
    <t>D:\CBP_2026.07.21\i#3\rreq\rreq#32_43_result\d#120\v#30\5\ping_collision_summary.csv</t>
  </si>
  <si>
    <t>D:\CBP_2026.07.21\i#3\rreq\rreq#32_43_result\d#120\v#30\6\ping_collision_summary.csv</t>
  </si>
  <si>
    <t>D:\CBP_2026.07.21\i#3\rreq\rreq#32_43_result\d#120\v#30\7\ping_collision_summary.csv</t>
  </si>
  <si>
    <t>D:\CBP_2026.07.21\i#3\rreq\rreq#32_43_result\d#120\v#30\8\ping_collision_summary.csv</t>
  </si>
  <si>
    <t>D:\CBP_2026.07.21\i#3\rreq\rreq#32_43_result\d#120\v#30\9\ping_collision_summary.csv</t>
  </si>
  <si>
    <t>D:\CBP_2026.07.21\i#3\rreq\rreq#32_43_result\d#70\v#10\0\ping_collision_summary.csv</t>
  </si>
  <si>
    <t>D:\CBP_2026.07.21\i#3\rreq\rreq#32_43_result\d#70\v#10\10\ping_collision_summary.csv</t>
  </si>
  <si>
    <t>D:\CBP_2026.07.21\i#3\rreq\rreq#32_43_result\d#70\v#10\11\ping_collision_summary.csv</t>
  </si>
  <si>
    <t>D:\CBP_2026.07.21\i#3\rreq\rreq#32_43_result\d#70\v#10\12\ping_collision_summary.csv</t>
  </si>
  <si>
    <t>D:\CBP_2026.07.21\i#3\rreq\rreq#32_43_result\d#70\v#10\13\ping_collision_summary.csv</t>
  </si>
  <si>
    <t>D:\CBP_2026.07.21\i#3\rreq\rreq#32_43_result\d#70\v#10\14\ping_collision_summary.csv</t>
  </si>
  <si>
    <t>D:\CBP_2026.07.21\i#3\rreq\rreq#32_43_result\d#70\v#10\15\ping_collision_summary.csv</t>
  </si>
  <si>
    <t>D:\CBP_2026.07.21\i#3\rreq\rreq#32_43_result\d#70\v#10\16\ping_collision_summary.csv</t>
  </si>
  <si>
    <t>D:\CBP_2026.07.21\i#3\rreq\rreq#32_43_result\d#70\v#10\17\ping_collision_summary.csv</t>
  </si>
  <si>
    <t>D:\CBP_2026.07.21\i#3\rreq\rreq#32_43_result\d#70\v#10\18\ping_collision_summary.csv</t>
  </si>
  <si>
    <t>D:\CBP_2026.07.21\i#3\rreq\rreq#32_43_result\d#70\v#10\19\ping_collision_summary.csv</t>
  </si>
  <si>
    <t>D:\CBP_2026.07.21\i#3\rreq\rreq#32_43_result\d#70\v#10\1\ping_collision_summary.csv</t>
  </si>
  <si>
    <t>D:\CBP_2026.07.21\i#3\rreq\rreq#32_43_result\d#70\v#10\20\ping_collision_summary.csv</t>
  </si>
  <si>
    <t>D:\CBP_2026.07.21\i#3\rreq\rreq#32_43_result\d#70\v#10\21\ping_collision_summary.csv</t>
  </si>
  <si>
    <t>D:\CBP_2026.07.21\i#3\rreq\rreq#32_43_result\d#70\v#10\22\ping_collision_summary.csv</t>
  </si>
  <si>
    <t>D:\CBP_2026.07.21\i#3\rreq\rreq#32_43_result\d#70\v#10\23\ping_collision_summary.csv</t>
  </si>
  <si>
    <t>D:\CBP_2026.07.21\i#3\rreq\rreq#32_43_result\d#70\v#10\24\ping_collision_summary.csv</t>
  </si>
  <si>
    <t>D:\CBP_2026.07.21\i#3\rreq\rreq#32_43_result\d#70\v#10\25\ping_collision_summary.csv</t>
  </si>
  <si>
    <t>D:\CBP_2026.07.21\i#3\rreq\rreq#32_43_result\d#70\v#10\26\ping_collision_summary.csv</t>
  </si>
  <si>
    <t>D:\CBP_2026.07.21\i#3\rreq\rreq#32_43_result\d#70\v#10\27\ping_collision_summary.csv</t>
  </si>
  <si>
    <t>D:\CBP_2026.07.21\i#3\rreq\rreq#32_43_result\d#70\v#10\28\ping_collision_summary.csv</t>
  </si>
  <si>
    <t>D:\CBP_2026.07.21\i#3\rreq\rreq#32_43_result\d#70\v#10\29\ping_collision_summary.csv</t>
  </si>
  <si>
    <t>D:\CBP_2026.07.21\i#3\rreq\rreq#32_43_result\d#70\v#10\2\ping_collision_summary.csv</t>
  </si>
  <si>
    <t>D:\CBP_2026.07.21\i#3\rreq\rreq#32_43_result\d#70\v#10\30\ping_collision_summary.csv</t>
  </si>
  <si>
    <t>D:\CBP_2026.07.21\i#3\rreq\rreq#32_43_result\d#70\v#10\3\ping_collision_summary.csv</t>
  </si>
  <si>
    <t>D:\CBP_2026.07.21\i#3\rreq\rreq#32_43_result\d#70\v#10\4\ping_collision_summary.csv</t>
  </si>
  <si>
    <t>D:\CBP_2026.07.21\i#3\rreq\rreq#32_43_result\d#70\v#10\5\ping_collision_summary.csv</t>
  </si>
  <si>
    <t>D:\CBP_2026.07.21\i#3\rreq\rreq#32_43_result\d#70\v#10\6\ping_collision_summary.csv</t>
  </si>
  <si>
    <t>D:\CBP_2026.07.21\i#3\rreq\rreq#32_43_result\d#70\v#10\7\ping_collision_summary.csv</t>
  </si>
  <si>
    <t>D:\CBP_2026.07.21\i#3\rreq\rreq#32_43_result\d#70\v#10\8\ping_collision_summary.csv</t>
  </si>
  <si>
    <t>D:\CBP_2026.07.21\i#3\rreq\rreq#32_43_result\d#70\v#10\9\ping_collision_summary.csv</t>
  </si>
  <si>
    <t>D:\CBP_2026.07.21\i#3\rreq\rreq#32_43_result\d#70\v#20\0\ping_collision_summary.csv</t>
  </si>
  <si>
    <t>D:\CBP_2026.07.21\i#3\rreq\rreq#32_43_result\d#70\v#20\10\ping_collision_summary.csv</t>
  </si>
  <si>
    <t>D:\CBP_2026.07.21\i#3\rreq\rreq#32_43_result\d#70\v#20\11\ping_collision_summary.csv</t>
  </si>
  <si>
    <t>D:\CBP_2026.07.21\i#3\rreq\rreq#32_43_result\d#70\v#20\12\ping_collision_summary.csv</t>
  </si>
  <si>
    <t>D:\CBP_2026.07.21\i#3\rreq\rreq#32_43_result\d#70\v#20\13\ping_collision_summary.csv</t>
  </si>
  <si>
    <t>D:\CBP_2026.07.21\i#3\rreq\rreq#32_43_result\d#70\v#20\14\ping_collision_summary.csv</t>
  </si>
  <si>
    <t>D:\CBP_2026.07.21\i#3\rreq\rreq#32_43_result\d#70\v#20\15\ping_collision_summary.csv</t>
  </si>
  <si>
    <t>D:\CBP_2026.07.21\i#3\rreq\rreq#32_43_result\d#70\v#20\16\ping_collision_summary.csv</t>
  </si>
  <si>
    <t>D:\CBP_2026.07.21\i#3\rreq\rreq#32_43_result\d#70\v#20\17\ping_collision_summary.csv</t>
  </si>
  <si>
    <t>D:\CBP_2026.07.21\i#3\rreq\rreq#32_43_result\d#70\v#20\18\ping_collision_summary.csv</t>
  </si>
  <si>
    <t>D:\CBP_2026.07.21\i#3\rreq\rreq#32_43_result\d#70\v#20\19\ping_collision_summary.csv</t>
  </si>
  <si>
    <t>D:\CBP_2026.07.21\i#3\rreq\rreq#32_43_result\d#70\v#20\1\ping_collision_summary.csv</t>
  </si>
  <si>
    <t>D:\CBP_2026.07.21\i#3\rreq\rreq#32_43_result\d#70\v#20\20\ping_collision_summary.csv</t>
  </si>
  <si>
    <t>D:\CBP_2026.07.21\i#3\rreq\rreq#32_43_result\d#70\v#20\21\ping_collision_summary.csv</t>
  </si>
  <si>
    <t>D:\CBP_2026.07.21\i#3\rreq\rreq#32_43_result\d#70\v#20\22\ping_collision_summary.csv</t>
  </si>
  <si>
    <t>D:\CBP_2026.07.21\i#3\rreq\rreq#32_43_result\d#70\v#20\23\ping_collision_summary.csv</t>
  </si>
  <si>
    <t>D:\CBP_2026.07.21\i#3\rreq\rreq#32_43_result\d#70\v#20\24\ping_collision_summary.csv</t>
  </si>
  <si>
    <t>D:\CBP_2026.07.21\i#3\rreq\rreq#32_43_result\d#70\v#20\25\ping_collision_summary.csv</t>
  </si>
  <si>
    <t>D:\CBP_2026.07.21\i#3\rreq\rreq#32_43_result\d#70\v#20\26\ping_collision_summary.csv</t>
  </si>
  <si>
    <t>D:\CBP_2026.07.21\i#3\rreq\rreq#32_43_result\d#70\v#20\27\ping_collision_summary.csv</t>
  </si>
  <si>
    <t>D:\CBP_2026.07.21\i#3\rreq\rreq#32_43_result\d#70\v#20\28\ping_collision_summary.csv</t>
  </si>
  <si>
    <t>D:\CBP_2026.07.21\i#3\rreq\rreq#32_43_result\d#70\v#20\29\ping_collision_summary.csv</t>
  </si>
  <si>
    <t>D:\CBP_2026.07.21\i#3\rreq\rreq#32_43_result\d#70\v#20\2\ping_collision_summary.csv</t>
  </si>
  <si>
    <t>D:\CBP_2026.07.21\i#3\rreq\rreq#32_43_result\d#70\v#20\30\ping_collision_summary.csv</t>
  </si>
  <si>
    <t>D:\CBP_2026.07.21\i#3\rreq\rreq#32_43_result\d#70\v#20\3\ping_collision_summary.csv</t>
  </si>
  <si>
    <t>D:\CBP_2026.07.21\i#3\rreq\rreq#32_43_result\d#70\v#20\4\ping_collision_summary.csv</t>
  </si>
  <si>
    <t>D:\CBP_2026.07.21\i#3\rreq\rreq#32_43_result\d#70\v#20\5\ping_collision_summary.csv</t>
  </si>
  <si>
    <t>D:\CBP_2026.07.21\i#3\rreq\rreq#32_43_result\d#70\v#20\6\ping_collision_summary.csv</t>
  </si>
  <si>
    <t>D:\CBP_2026.07.21\i#3\rreq\rreq#32_43_result\d#70\v#20\7\ping_collision_summary.csv</t>
  </si>
  <si>
    <t>D:\CBP_2026.07.21\i#3\rreq\rreq#32_43_result\d#70\v#20\8\ping_collision_summary.csv</t>
  </si>
  <si>
    <t>D:\CBP_2026.07.21\i#3\rreq\rreq#32_43_result\d#70\v#20\9\ping_collision_summary.csv</t>
  </si>
  <si>
    <t>D:\CBP_2026.07.21\i#3\rreq\rreq#32_43_result\d#70\v#30\0\ping_collision_summary.csv</t>
  </si>
  <si>
    <t>D:\CBP_2026.07.21\i#3\rreq\rreq#32_43_result\d#70\v#30\10\ping_collision_summary.csv</t>
  </si>
  <si>
    <t>D:\CBP_2026.07.21\i#3\rreq\rreq#32_43_result\d#70\v#30\11\ping_collision_summary.csv</t>
  </si>
  <si>
    <t>D:\CBP_2026.07.21\i#3\rreq\rreq#32_43_result\d#70\v#30\12\ping_collision_summary.csv</t>
  </si>
  <si>
    <t>D:\CBP_2026.07.21\i#3\rreq\rreq#32_43_result\d#70\v#30\13\ping_collision_summary.csv</t>
  </si>
  <si>
    <t>D:\CBP_2026.07.21\i#3\rreq\rreq#32_43_result\d#70\v#30\14\ping_collision_summary.csv</t>
  </si>
  <si>
    <t>D:\CBP_2026.07.21\i#3\rreq\rreq#32_43_result\d#70\v#30\15\ping_collision_summary.csv</t>
  </si>
  <si>
    <t>D:\CBP_2026.07.21\i#3\rreq\rreq#32_43_result\d#70\v#30\16\ping_collision_summary.csv</t>
  </si>
  <si>
    <t>D:\CBP_2026.07.21\i#3\rreq\rreq#32_43_result\d#70\v#30\17\ping_collision_summary.csv</t>
  </si>
  <si>
    <t>D:\CBP_2026.07.21\i#3\rreq\rreq#32_43_result\d#70\v#30\18\ping_collision_summary.csv</t>
  </si>
  <si>
    <t>D:\CBP_2026.07.21\i#3\rreq\rreq#32_43_result\d#70\v#30\19\ping_collision_summary.csv</t>
  </si>
  <si>
    <t>D:\CBP_2026.07.21\i#3\rreq\rreq#32_43_result\d#70\v#30\1\ping_collision_summary.csv</t>
  </si>
  <si>
    <t>D:\CBP_2026.07.21\i#3\rreq\rreq#32_43_result\d#70\v#30\20\ping_collision_summary.csv</t>
  </si>
  <si>
    <t>D:\CBP_2026.07.21\i#3\rreq\rreq#32_43_result\d#70\v#30\21\ping_collision_summary.csv</t>
  </si>
  <si>
    <t>D:\CBP_2026.07.21\i#3\rreq\rreq#32_43_result\d#70\v#30\22\ping_collision_summary.csv</t>
  </si>
  <si>
    <t>D:\CBP_2026.07.21\i#3\rreq\rreq#32_43_result\d#70\v#30\23\ping_collision_summary.csv</t>
  </si>
  <si>
    <t>D:\CBP_2026.07.21\i#3\rreq\rreq#32_43_result\d#70\v#30\24\ping_collision_summary.csv</t>
  </si>
  <si>
    <t>D:\CBP_2026.07.21\i#3\rreq\rreq#32_43_result\d#70\v#30\25\ping_collision_summary.csv</t>
  </si>
  <si>
    <t>D:\CBP_2026.07.21\i#3\rreq\rreq#32_43_result\d#70\v#30\26\ping_collision_summary.csv</t>
  </si>
  <si>
    <t>D:\CBP_2026.07.21\i#3\rreq\rreq#32_43_result\d#70\v#30\27\ping_collision_summary.csv</t>
  </si>
  <si>
    <t>D:\CBP_2026.07.21\i#3\rreq\rreq#32_43_result\d#70\v#30\28\ping_collision_summary.csv</t>
  </si>
  <si>
    <t>D:\CBP_2026.07.21\i#3\rreq\rreq#32_43_result\d#70\v#30\29\ping_collision_summary.csv</t>
  </si>
  <si>
    <t>D:\CBP_2026.07.21\i#3\rreq\rreq#32_43_result\d#70\v#30\2\ping_collision_summary.csv</t>
  </si>
  <si>
    <t>D:\CBP_2026.07.21\i#3\rreq\rreq#32_43_result\d#70\v#30\30\ping_collision_summary.csv</t>
  </si>
  <si>
    <t>D:\CBP_2026.07.21\i#3\rreq\rreq#32_43_result\d#70\v#30\3\ping_collision_summary.csv</t>
  </si>
  <si>
    <t>D:\CBP_2026.07.21\i#3\rreq\rreq#32_43_result\d#70\v#30\4\ping_collision_summary.csv</t>
  </si>
  <si>
    <t>D:\CBP_2026.07.21\i#3\rreq\rreq#32_43_result\d#70\v#30\5\ping_collision_summary.csv</t>
  </si>
  <si>
    <t>D:\CBP_2026.07.21\i#3\rreq\rreq#32_43_result\d#70\v#30\6\ping_collision_summary.csv</t>
  </si>
  <si>
    <t>D:\CBP_2026.07.21\i#3\rreq\rreq#32_43_result\d#70\v#30\7\ping_collision_summary.csv</t>
  </si>
  <si>
    <t>D:\CBP_2026.07.21\i#3\rreq\rreq#32_43_result\d#70\v#30\8\ping_collision_summary.csv</t>
  </si>
  <si>
    <t>D:\CBP_2026.07.21\i#3\rreq\rreq#32_43_result\d#70\v#30\9\ping_collision_summary.csv</t>
  </si>
  <si>
    <t>D:\CBP_2026.07.21\i#3\rreq\rreq#43_101_result\d#100\v#10\0\ping_collision_summary.csv</t>
  </si>
  <si>
    <t>D:\CBP_2026.07.21\i#3\rreq\rreq#43_101_result\d#100\v#10\10\ping_collision_summary.csv</t>
  </si>
  <si>
    <t>D:\CBP_2026.07.21\i#3\rreq\rreq#43_101_result\d#100\v#10\11\ping_collision_summary.csv</t>
  </si>
  <si>
    <t>D:\CBP_2026.07.21\i#3\rreq\rreq#43_101_result\d#100\v#10\12\ping_collision_summary.csv</t>
  </si>
  <si>
    <t>D:\CBP_2026.07.21\i#3\rreq\rreq#43_101_result\d#100\v#10\13\ping_collision_summary.csv</t>
  </si>
  <si>
    <t>D:\CBP_2026.07.21\i#3\rreq\rreq#43_101_result\d#100\v#10\14\ping_collision_summary.csv</t>
  </si>
  <si>
    <t>D:\CBP_2026.07.21\i#3\rreq\rreq#43_101_result\d#100\v#10\15\ping_collision_summary.csv</t>
  </si>
  <si>
    <t>D:\CBP_2026.07.21\i#3\rreq\rreq#43_101_result\d#100\v#10\16\ping_collision_summary.csv</t>
  </si>
  <si>
    <t>D:\CBP_2026.07.21\i#3\rreq\rreq#43_101_result\d#100\v#10\17\ping_collision_summary.csv</t>
  </si>
  <si>
    <t>D:\CBP_2026.07.21\i#3\rreq\rreq#43_101_result\d#100\v#10\18\ping_collision_summary.csv</t>
  </si>
  <si>
    <t>D:\CBP_2026.07.21\i#3\rreq\rreq#43_101_result\d#100\v#10\19\ping_collision_summary.csv</t>
  </si>
  <si>
    <t>D:\CBP_2026.07.21\i#3\rreq\rreq#43_101_result\d#100\v#10\1\ping_collision_summary.csv</t>
  </si>
  <si>
    <t>D:\CBP_2026.07.21\i#3\rreq\rreq#43_101_result\d#100\v#10\20\ping_collision_summary.csv</t>
  </si>
  <si>
    <t>D:\CBP_2026.07.21\i#3\rreq\rreq#43_101_result\d#100\v#10\21\ping_collision_summary.csv</t>
  </si>
  <si>
    <t>D:\CBP_2026.07.21\i#3\rreq\rreq#43_101_result\d#100\v#10\22\ping_collision_summary.csv</t>
  </si>
  <si>
    <t>D:\CBP_2026.07.21\i#3\rreq\rreq#43_101_result\d#100\v#10\23\ping_collision_summary.csv</t>
  </si>
  <si>
    <t>D:\CBP_2026.07.21\i#3\rreq\rreq#43_101_result\d#100\v#10\24\ping_collision_summary.csv</t>
  </si>
  <si>
    <t>D:\CBP_2026.07.21\i#3\rreq\rreq#43_101_result\d#100\v#10\25\ping_collision_summary.csv</t>
  </si>
  <si>
    <t>D:\CBP_2026.07.21\i#3\rreq\rreq#43_101_result\d#100\v#10\26\ping_collision_summary.csv</t>
  </si>
  <si>
    <t>D:\CBP_2026.07.21\i#3\rreq\rreq#43_101_result\d#100\v#10\27\ping_collision_summary.csv</t>
  </si>
  <si>
    <t>D:\CBP_2026.07.21\i#3\rreq\rreq#43_101_result\d#100\v#10\28\ping_collision_summary.csv</t>
  </si>
  <si>
    <t>D:\CBP_2026.07.21\i#3\rreq\rreq#43_101_result\d#100\v#10\29\ping_collision_summary.csv</t>
  </si>
  <si>
    <t>D:\CBP_2026.07.21\i#3\rreq\rreq#43_101_result\d#100\v#10\2\ping_collision_summary.csv</t>
  </si>
  <si>
    <t>D:\CBP_2026.07.21\i#3\rreq\rreq#43_101_result\d#100\v#10\30\ping_collision_summary.csv</t>
  </si>
  <si>
    <t>D:\CBP_2026.07.21\i#3\rreq\rreq#43_101_result\d#100\v#10\3\ping_collision_summary.csv</t>
  </si>
  <si>
    <t>D:\CBP_2026.07.21\i#3\rreq\rreq#43_101_result\d#100\v#10\4\ping_collision_summary.csv</t>
  </si>
  <si>
    <t>D:\CBP_2026.07.21\i#3\rreq\rreq#43_101_result\d#100\v#10\5\ping_collision_summary.csv</t>
  </si>
  <si>
    <t>D:\CBP_2026.07.21\i#3\rreq\rreq#43_101_result\d#100\v#10\6\ping_collision_summary.csv</t>
  </si>
  <si>
    <t>D:\CBP_2026.07.21\i#3\rreq\rreq#43_101_result\d#100\v#10\7\ping_collision_summary.csv</t>
  </si>
  <si>
    <t>D:\CBP_2026.07.21\i#3\rreq\rreq#43_101_result\d#100\v#10\8\ping_collision_summary.csv</t>
  </si>
  <si>
    <t>D:\CBP_2026.07.21\i#3\rreq\rreq#43_101_result\d#100\v#10\9\ping_collision_summary.csv</t>
  </si>
  <si>
    <t>D:\CBP_2026.07.21\i#3\rreq\rreq#43_101_result\d#100\v#20\0\ping_collision_summary.csv</t>
  </si>
  <si>
    <t>D:\CBP_2026.07.21\i#3\rreq\rreq#43_101_result\d#100\v#20\10\ping_collision_summary.csv</t>
  </si>
  <si>
    <t>D:\CBP_2026.07.21\i#3\rreq\rreq#43_101_result\d#100\v#20\11\ping_collision_summary.csv</t>
  </si>
  <si>
    <t>D:\CBP_2026.07.21\i#3\rreq\rreq#43_101_result\d#100\v#20\12\ping_collision_summary.csv</t>
  </si>
  <si>
    <t>D:\CBP_2026.07.21\i#3\rreq\rreq#43_101_result\d#100\v#20\13\ping_collision_summary.csv</t>
  </si>
  <si>
    <t>D:\CBP_2026.07.21\i#3\rreq\rreq#43_101_result\d#100\v#20\14\ping_collision_summary.csv</t>
  </si>
  <si>
    <t>D:\CBP_2026.07.21\i#3\rreq\rreq#43_101_result\d#100\v#20\15\ping_collision_summary.csv</t>
  </si>
  <si>
    <t>D:\CBP_2026.07.21\i#3\rreq\rreq#43_101_result\d#100\v#20\16\ping_collision_summary.csv</t>
  </si>
  <si>
    <t>D:\CBP_2026.07.21\i#3\rreq\rreq#43_101_result\d#100\v#20\17\ping_collision_summary.csv</t>
  </si>
  <si>
    <t>D:\CBP_2026.07.21\i#3\rreq\rreq#43_101_result\d#100\v#20\18\ping_collision_summary.csv</t>
  </si>
  <si>
    <t>D:\CBP_2026.07.21\i#3\rreq\rreq#43_101_result\d#100\v#20\19\ping_collision_summary.csv</t>
  </si>
  <si>
    <t>D:\CBP_2026.07.21\i#3\rreq\rreq#43_101_result\d#100\v#20\1\ping_collision_summary.csv</t>
  </si>
  <si>
    <t>D:\CBP_2026.07.21\i#3\rreq\rreq#43_101_result\d#100\v#20\20\ping_collision_summary.csv</t>
  </si>
  <si>
    <t>D:\CBP_2026.07.21\i#3\rreq\rreq#43_101_result\d#100\v#20\21\ping_collision_summary.csv</t>
  </si>
  <si>
    <t>D:\CBP_2026.07.21\i#3\rreq\rreq#43_101_result\d#100\v#20\22\ping_collision_summary.csv</t>
  </si>
  <si>
    <t>D:\CBP_2026.07.21\i#3\rreq\rreq#43_101_result\d#100\v#20\23\ping_collision_summary.csv</t>
  </si>
  <si>
    <t>D:\CBP_2026.07.21\i#3\rreq\rreq#43_101_result\d#100\v#20\24\ping_collision_summary.csv</t>
  </si>
  <si>
    <t>D:\CBP_2026.07.21\i#3\rreq\rreq#43_101_result\d#100\v#20\25\ping_collision_summary.csv</t>
  </si>
  <si>
    <t>D:\CBP_2026.07.21\i#3\rreq\rreq#43_101_result\d#100\v#20\26\ping_collision_summary.csv</t>
  </si>
  <si>
    <t>D:\CBP_2026.07.21\i#3\rreq\rreq#43_101_result\d#100\v#20\27\ping_collision_summary.csv</t>
  </si>
  <si>
    <t>D:\CBP_2026.07.21\i#3\rreq\rreq#43_101_result\d#100\v#20\28\ping_collision_summary.csv</t>
  </si>
  <si>
    <t>D:\CBP_2026.07.21\i#3\rreq\rreq#43_101_result\d#100\v#20\29\ping_collision_summary.csv</t>
  </si>
  <si>
    <t>D:\CBP_2026.07.21\i#3\rreq\rreq#43_101_result\d#100\v#20\2\ping_collision_summary.csv</t>
  </si>
  <si>
    <t>D:\CBP_2026.07.21\i#3\rreq\rreq#43_101_result\d#100\v#20\30\ping_collision_summary.csv</t>
  </si>
  <si>
    <t>D:\CBP_2026.07.21\i#3\rreq\rreq#43_101_result\d#100\v#20\3\ping_collision_summary.csv</t>
  </si>
  <si>
    <t>D:\CBP_2026.07.21\i#3\rreq\rreq#43_101_result\d#100\v#20\4\ping_collision_summary.csv</t>
  </si>
  <si>
    <t>D:\CBP_2026.07.21\i#3\rreq\rreq#43_101_result\d#100\v#20\5\ping_collision_summary.csv</t>
  </si>
  <si>
    <t>D:\CBP_2026.07.21\i#3\rreq\rreq#43_101_result\d#100\v#20\6\ping_collision_summary.csv</t>
  </si>
  <si>
    <t>D:\CBP_2026.07.21\i#3\rreq\rreq#43_101_result\d#100\v#20\7\ping_collision_summary.csv</t>
  </si>
  <si>
    <t>D:\CBP_2026.07.21\i#3\rreq\rreq#43_101_result\d#100\v#20\8\ping_collision_summary.csv</t>
  </si>
  <si>
    <t>D:\CBP_2026.07.21\i#3\rreq\rreq#43_101_result\d#100\v#20\9\ping_collision_summary.csv</t>
  </si>
  <si>
    <t>D:\CBP_2026.07.21\i#3\rreq\rreq#43_101_result\d#100\v#30\0\ping_collision_summary.csv</t>
  </si>
  <si>
    <t>D:\CBP_2026.07.21\i#3\rreq\rreq#43_101_result\d#100\v#30\10\ping_collision_summary.csv</t>
  </si>
  <si>
    <t>D:\CBP_2026.07.21\i#3\rreq\rreq#43_101_result\d#100\v#30\11\ping_collision_summary.csv</t>
  </si>
  <si>
    <t>D:\CBP_2026.07.21\i#3\rreq\rreq#43_101_result\d#100\v#30\12\ping_collision_summary.csv</t>
  </si>
  <si>
    <t>D:\CBP_2026.07.21\i#3\rreq\rreq#43_101_result\d#100\v#30\13\ping_collision_summary.csv</t>
  </si>
  <si>
    <t>D:\CBP_2026.07.21\i#3\rreq\rreq#43_101_result\d#100\v#30\14\ping_collision_summary.csv</t>
  </si>
  <si>
    <t>D:\CBP_2026.07.21\i#3\rreq\rreq#43_101_result\d#100\v#30\15\ping_collision_summary.csv</t>
  </si>
  <si>
    <t>D:\CBP_2026.07.21\i#3\rreq\rreq#43_101_result\d#100\v#30\16\ping_collision_summary.csv</t>
  </si>
  <si>
    <t>D:\CBP_2026.07.21\i#3\rreq\rreq#43_101_result\d#100\v#30\17\ping_collision_summary.csv</t>
  </si>
  <si>
    <t>D:\CBP_2026.07.21\i#3\rreq\rreq#43_101_result\d#100\v#30\18\ping_collision_summary.csv</t>
  </si>
  <si>
    <t>D:\CBP_2026.07.21\i#3\rreq\rreq#43_101_result\d#100\v#30\19\ping_collision_summary.csv</t>
  </si>
  <si>
    <t>D:\CBP_2026.07.21\i#3\rreq\rreq#43_101_result\d#100\v#30\1\ping_collision_summary.csv</t>
  </si>
  <si>
    <t>D:\CBP_2026.07.21\i#3\rreq\rreq#43_101_result\d#100\v#30\20\ping_collision_summary.csv</t>
  </si>
  <si>
    <t>D:\CBP_2026.07.21\i#3\rreq\rreq#43_101_result\d#100\v#30\21\ping_collision_summary.csv</t>
  </si>
  <si>
    <t>D:\CBP_2026.07.21\i#3\rreq\rreq#43_101_result\d#100\v#30\22\ping_collision_summary.csv</t>
  </si>
  <si>
    <t>D:\CBP_2026.07.21\i#3\rreq\rreq#43_101_result\d#100\v#30\23\ping_collision_summary.csv</t>
  </si>
  <si>
    <t>D:\CBP_2026.07.21\i#3\rreq\rreq#43_101_result\d#100\v#30\24\ping_collision_summary.csv</t>
  </si>
  <si>
    <t>D:\CBP_2026.07.21\i#3\rreq\rreq#43_101_result\d#100\v#30\25\ping_collision_summary.csv</t>
  </si>
  <si>
    <t>D:\CBP_2026.07.21\i#3\rreq\rreq#43_101_result\d#100\v#30\26\ping_collision_summary.csv</t>
  </si>
  <si>
    <t>D:\CBP_2026.07.21\i#3\rreq\rreq#43_101_result\d#100\v#30\27\ping_collision_summary.csv</t>
  </si>
  <si>
    <t>D:\CBP_2026.07.21\i#3\rreq\rreq#43_101_result\d#100\v#30\28\ping_collision_summary.csv</t>
  </si>
  <si>
    <t>D:\CBP_2026.07.21\i#3\rreq\rreq#43_101_result\d#100\v#30\29\ping_collision_summary.csv</t>
  </si>
  <si>
    <t>D:\CBP_2026.07.21\i#3\rreq\rreq#43_101_result\d#100\v#30\2\ping_collision_summary.csv</t>
  </si>
  <si>
    <t>D:\CBP_2026.07.21\i#3\rreq\rreq#43_101_result\d#100\v#30\30\ping_collision_summary.csv</t>
  </si>
  <si>
    <t>D:\CBP_2026.07.21\i#3\rreq\rreq#43_101_result\d#100\v#30\3\ping_collision_summary.csv</t>
  </si>
  <si>
    <t>D:\CBP_2026.07.21\i#3\rreq\rreq#43_101_result\d#100\v#30\4\ping_collision_summary.csv</t>
  </si>
  <si>
    <t>D:\CBP_2026.07.21\i#3\rreq\rreq#43_101_result\d#100\v#30\5\ping_collision_summary.csv</t>
  </si>
  <si>
    <t>D:\CBP_2026.07.21\i#3\rreq\rreq#43_101_result\d#100\v#30\6\ping_collision_summary.csv</t>
  </si>
  <si>
    <t>D:\CBP_2026.07.21\i#3\rreq\rreq#43_101_result\d#100\v#30\7\ping_collision_summary.csv</t>
  </si>
  <si>
    <t>D:\CBP_2026.07.21\i#3\rreq\rreq#43_101_result\d#100\v#30\8\ping_collision_summary.csv</t>
  </si>
  <si>
    <t>D:\CBP_2026.07.21\i#3\rreq\rreq#43_101_result\d#100\v#30\9\ping_collision_summary.csv</t>
  </si>
  <si>
    <t>D:\CBP_2026.07.21\i#3\rreq\rreq#43_101_result\d#120\v#10\0\ping_collision_summary.csv</t>
  </si>
  <si>
    <t>D:\CBP_2026.07.21\i#3\rreq\rreq#43_101_result\d#120\v#10\10\ping_collision_summary.csv</t>
  </si>
  <si>
    <t>D:\CBP_2026.07.21\i#3\rreq\rreq#43_101_result\d#120\v#10\11\ping_collision_summary.csv</t>
  </si>
  <si>
    <t>D:\CBP_2026.07.21\i#3\rreq\rreq#43_101_result\d#120\v#10\12\ping_collision_summary.csv</t>
  </si>
  <si>
    <t>D:\CBP_2026.07.21\i#3\rreq\rreq#43_101_result\d#120\v#10\13\ping_collision_summary.csv</t>
  </si>
  <si>
    <t>D:\CBP_2026.07.21\i#3\rreq\rreq#43_101_result\d#120\v#10\14\ping_collision_summary.csv</t>
  </si>
  <si>
    <t>D:\CBP_2026.07.21\i#3\rreq\rreq#43_101_result\d#120\v#10\15\ping_collision_summary.csv</t>
  </si>
  <si>
    <t>D:\CBP_2026.07.21\i#3\rreq\rreq#43_101_result\d#120\v#10\16\ping_collision_summary.csv</t>
  </si>
  <si>
    <t>D:\CBP_2026.07.21\i#3\rreq\rreq#43_101_result\d#120\v#10\17\ping_collision_summary.csv</t>
  </si>
  <si>
    <t>D:\CBP_2026.07.21\i#3\rreq\rreq#43_101_result\d#120\v#10\18\ping_collision_summary.csv</t>
  </si>
  <si>
    <t>D:\CBP_2026.07.21\i#3\rreq\rreq#43_101_result\d#120\v#10\19\ping_collision_summary.csv</t>
  </si>
  <si>
    <t>D:\CBP_2026.07.21\i#3\rreq\rreq#43_101_result\d#120\v#10\1\ping_collision_summary.csv</t>
  </si>
  <si>
    <t>D:\CBP_2026.07.21\i#3\rreq\rreq#43_101_result\d#120\v#10\20\ping_collision_summary.csv</t>
  </si>
  <si>
    <t>D:\CBP_2026.07.21\i#3\rreq\rreq#43_101_result\d#120\v#10\21\ping_collision_summary.csv</t>
  </si>
  <si>
    <t>D:\CBP_2026.07.21\i#3\rreq\rreq#43_101_result\d#120\v#10\22\ping_collision_summary.csv</t>
  </si>
  <si>
    <t>D:\CBP_2026.07.21\i#3\rreq\rreq#43_101_result\d#120\v#10\23\ping_collision_summary.csv</t>
  </si>
  <si>
    <t>D:\CBP_2026.07.21\i#3\rreq\rreq#43_101_result\d#120\v#10\24\ping_collision_summary.csv</t>
  </si>
  <si>
    <t>D:\CBP_2026.07.21\i#3\rreq\rreq#43_101_result\d#120\v#10\25\ping_collision_summary.csv</t>
  </si>
  <si>
    <t>D:\CBP_2026.07.21\i#3\rreq\rreq#43_101_result\d#120\v#10\26\ping_collision_summary.csv</t>
  </si>
  <si>
    <t>D:\CBP_2026.07.21\i#3\rreq\rreq#43_101_result\d#120\v#10\27\ping_collision_summary.csv</t>
  </si>
  <si>
    <t>D:\CBP_2026.07.21\i#3\rreq\rreq#43_101_result\d#120\v#10\28\ping_collision_summary.csv</t>
  </si>
  <si>
    <t>D:\CBP_2026.07.21\i#3\rreq\rreq#43_101_result\d#120\v#10\29\ping_collision_summary.csv</t>
  </si>
  <si>
    <t>D:\CBP_2026.07.21\i#3\rreq\rreq#43_101_result\d#120\v#10\2\ping_collision_summary.csv</t>
  </si>
  <si>
    <t>D:\CBP_2026.07.21\i#3\rreq\rreq#43_101_result\d#120\v#10\30\ping_collision_summary.csv</t>
  </si>
  <si>
    <t>D:\CBP_2026.07.21\i#3\rreq\rreq#43_101_result\d#120\v#10\3\ping_collision_summary.csv</t>
  </si>
  <si>
    <t>D:\CBP_2026.07.21\i#3\rreq\rreq#43_101_result\d#120\v#10\4\ping_collision_summary.csv</t>
  </si>
  <si>
    <t>D:\CBP_2026.07.21\i#3\rreq\rreq#43_101_result\d#120\v#10\5\ping_collision_summary.csv</t>
  </si>
  <si>
    <t>D:\CBP_2026.07.21\i#3\rreq\rreq#43_101_result\d#120\v#10\6\ping_collision_summary.csv</t>
  </si>
  <si>
    <t>D:\CBP_2026.07.21\i#3\rreq\rreq#43_101_result\d#120\v#10\7\ping_collision_summary.csv</t>
  </si>
  <si>
    <t>D:\CBP_2026.07.21\i#3\rreq\rreq#43_101_result\d#120\v#10\8\ping_collision_summary.csv</t>
  </si>
  <si>
    <t>D:\CBP_2026.07.21\i#3\rreq\rreq#43_101_result\d#120\v#10\9\ping_collision_summary.csv</t>
  </si>
  <si>
    <t>D:\CBP_2026.07.21\i#3\rreq\rreq#43_101_result\d#120\v#20\0\ping_collision_summary.csv</t>
  </si>
  <si>
    <t>D:\CBP_2026.07.21\i#3\rreq\rreq#43_101_result\d#120\v#20\10\ping_collision_summary.csv</t>
  </si>
  <si>
    <t>D:\CBP_2026.07.21\i#3\rreq\rreq#43_101_result\d#120\v#20\11\ping_collision_summary.csv</t>
  </si>
  <si>
    <t>D:\CBP_2026.07.21\i#3\rreq\rreq#43_101_result\d#120\v#20\12\ping_collision_summary.csv</t>
  </si>
  <si>
    <t>D:\CBP_2026.07.21\i#3\rreq\rreq#43_101_result\d#120\v#20\13\ping_collision_summary.csv</t>
  </si>
  <si>
    <t>D:\CBP_2026.07.21\i#3\rreq\rreq#43_101_result\d#120\v#20\14\ping_collision_summary.csv</t>
  </si>
  <si>
    <t>D:\CBP_2026.07.21\i#3\rreq\rreq#43_101_result\d#120\v#20\15\ping_collision_summary.csv</t>
  </si>
  <si>
    <t>D:\CBP_2026.07.21\i#3\rreq\rreq#43_101_result\d#120\v#20\16\ping_collision_summary.csv</t>
  </si>
  <si>
    <t>D:\CBP_2026.07.21\i#3\rreq\rreq#43_101_result\d#120\v#20\17\ping_collision_summary.csv</t>
  </si>
  <si>
    <t>D:\CBP_2026.07.21\i#3\rreq\rreq#43_101_result\d#120\v#20\18\ping_collision_summary.csv</t>
  </si>
  <si>
    <t>D:\CBP_2026.07.21\i#3\rreq\rreq#43_101_result\d#120\v#20\19\ping_collision_summary.csv</t>
  </si>
  <si>
    <t>D:\CBP_2026.07.21\i#3\rreq\rreq#43_101_result\d#120\v#20\1\ping_collision_summary.csv</t>
  </si>
  <si>
    <t>D:\CBP_2026.07.21\i#3\rreq\rreq#43_101_result\d#120\v#20\20\ping_collision_summary.csv</t>
  </si>
  <si>
    <t>D:\CBP_2026.07.21\i#3\rreq\rreq#43_101_result\d#120\v#20\21\ping_collision_summary.csv</t>
  </si>
  <si>
    <t>D:\CBP_2026.07.21\i#3\rreq\rreq#43_101_result\d#120\v#20\22\ping_collision_summary.csv</t>
  </si>
  <si>
    <t>D:\CBP_2026.07.21\i#3\rreq\rreq#43_101_result\d#120\v#20\23\ping_collision_summary.csv</t>
  </si>
  <si>
    <t>D:\CBP_2026.07.21\i#3\rreq\rreq#43_101_result\d#120\v#20\24\ping_collision_summary.csv</t>
  </si>
  <si>
    <t>D:\CBP_2026.07.21\i#3\rreq\rreq#43_101_result\d#120\v#20\25\ping_collision_summary.csv</t>
  </si>
  <si>
    <t>D:\CBP_2026.07.21\i#3\rreq\rreq#43_101_result\d#120\v#20\26\ping_collision_summary.csv</t>
  </si>
  <si>
    <t>D:\CBP_2026.07.21\i#3\rreq\rreq#43_101_result\d#120\v#20\27\ping_collision_summary.csv</t>
  </si>
  <si>
    <t>D:\CBP_2026.07.21\i#3\rreq\rreq#43_101_result\d#120\v#20\28\ping_collision_summary.csv</t>
  </si>
  <si>
    <t>D:\CBP_2026.07.21\i#3\rreq\rreq#43_101_result\d#120\v#20\29\ping_collision_summary.csv</t>
  </si>
  <si>
    <t>D:\CBP_2026.07.21\i#3\rreq\rreq#43_101_result\d#120\v#20\2\ping_collision_summary.csv</t>
  </si>
  <si>
    <t>D:\CBP_2026.07.21\i#3\rreq\rreq#43_101_result\d#120\v#20\30\ping_collision_summary.csv</t>
  </si>
  <si>
    <t>D:\CBP_2026.07.21\i#3\rreq\rreq#43_101_result\d#120\v#20\3\ping_collision_summary.csv</t>
  </si>
  <si>
    <t>D:\CBP_2026.07.21\i#3\rreq\rreq#43_101_result\d#120\v#20\4\ping_collision_summary.csv</t>
  </si>
  <si>
    <t>D:\CBP_2026.07.21\i#3\rreq\rreq#43_101_result\d#120\v#20\5\ping_collision_summary.csv</t>
  </si>
  <si>
    <t>D:\CBP_2026.07.21\i#3\rreq\rreq#43_101_result\d#120\v#20\6\ping_collision_summary.csv</t>
  </si>
  <si>
    <t>D:\CBP_2026.07.21\i#3\rreq\rreq#43_101_result\d#120\v#20\7\ping_collision_summary.csv</t>
  </si>
  <si>
    <t>D:\CBP_2026.07.21\i#3\rreq\rreq#43_101_result\d#120\v#20\8\ping_collision_summary.csv</t>
  </si>
  <si>
    <t>D:\CBP_2026.07.21\i#3\rreq\rreq#43_101_result\d#120\v#20\9\ping_collision_summary.csv</t>
  </si>
  <si>
    <t>D:\CBP_2026.07.21\i#3\rreq\rreq#43_101_result\d#120\v#30\0\ping_collision_summary.csv</t>
  </si>
  <si>
    <t>D:\CBP_2026.07.21\i#3\rreq\rreq#43_101_result\d#120\v#30\10\ping_collision_summary.csv</t>
  </si>
  <si>
    <t>D:\CBP_2026.07.21\i#3\rreq\rreq#43_101_result\d#120\v#30\11\ping_collision_summary.csv</t>
  </si>
  <si>
    <t>D:\CBP_2026.07.21\i#3\rreq\rreq#43_101_result\d#120\v#30\12\ping_collision_summary.csv</t>
  </si>
  <si>
    <t>D:\CBP_2026.07.21\i#3\rreq\rreq#43_101_result\d#120\v#30\13\ping_collision_summary.csv</t>
  </si>
  <si>
    <t>D:\CBP_2026.07.21\i#3\rreq\rreq#43_101_result\d#120\v#30\14\ping_collision_summary.csv</t>
  </si>
  <si>
    <t>D:\CBP_2026.07.21\i#3\rreq\rreq#43_101_result\d#120\v#30\15\ping_collision_summary.csv</t>
  </si>
  <si>
    <t>D:\CBP_2026.07.21\i#3\rreq\rreq#43_101_result\d#120\v#30\16\ping_collision_summary.csv</t>
  </si>
  <si>
    <t>D:\CBP_2026.07.21\i#3\rreq\rreq#43_101_result\d#120\v#30\17\ping_collision_summary.csv</t>
  </si>
  <si>
    <t>D:\CBP_2026.07.21\i#3\rreq\rreq#43_101_result\d#120\v#30\18\ping_collision_summary.csv</t>
  </si>
  <si>
    <t>D:\CBP_2026.07.21\i#3\rreq\rreq#43_101_result\d#120\v#30\19\ping_collision_summary.csv</t>
  </si>
  <si>
    <t>D:\CBP_2026.07.21\i#3\rreq\rreq#43_101_result\d#120\v#30\1\ping_collision_summary.csv</t>
  </si>
  <si>
    <t>D:\CBP_2026.07.21\i#3\rreq\rreq#43_101_result\d#120\v#30\20\ping_collision_summary.csv</t>
  </si>
  <si>
    <t>D:\CBP_2026.07.21\i#3\rreq\rreq#43_101_result\d#120\v#30\21\ping_collision_summary.csv</t>
  </si>
  <si>
    <t>D:\CBP_2026.07.21\i#3\rreq\rreq#43_101_result\d#120\v#30\22\ping_collision_summary.csv</t>
  </si>
  <si>
    <t>D:\CBP_2026.07.21\i#3\rreq\rreq#43_101_result\d#120\v#30\23\ping_collision_summary.csv</t>
  </si>
  <si>
    <t>D:\CBP_2026.07.21\i#3\rreq\rreq#43_101_result\d#120\v#30\24\ping_collision_summary.csv</t>
  </si>
  <si>
    <t>D:\CBP_2026.07.21\i#3\rreq\rreq#43_101_result\d#120\v#30\25\ping_collision_summary.csv</t>
  </si>
  <si>
    <t>D:\CBP_2026.07.21\i#3\rreq\rreq#43_101_result\d#120\v#30\26\ping_collision_summary.csv</t>
  </si>
  <si>
    <t>D:\CBP_2026.07.21\i#3\rreq\rreq#43_101_result\d#120\v#30\27\ping_collision_summary.csv</t>
  </si>
  <si>
    <t>D:\CBP_2026.07.21\i#3\rreq\rreq#43_101_result\d#120\v#30\28\ping_collision_summary.csv</t>
  </si>
  <si>
    <t>D:\CBP_2026.07.21\i#3\rreq\rreq#43_101_result\d#120\v#30\29\ping_collision_summary.csv</t>
  </si>
  <si>
    <t>D:\CBP_2026.07.21\i#3\rreq\rreq#43_101_result\d#120\v#30\2\ping_collision_summary.csv</t>
  </si>
  <si>
    <t>D:\CBP_2026.07.21\i#3\rreq\rreq#43_101_result\d#120\v#30\30\ping_collision_summary.csv</t>
  </si>
  <si>
    <t>D:\CBP_2026.07.21\i#3\rreq\rreq#43_101_result\d#120\v#30\3\ping_collision_summary.csv</t>
  </si>
  <si>
    <t>D:\CBP_2026.07.21\i#3\rreq\rreq#43_101_result\d#120\v#30\4\ping_collision_summary.csv</t>
  </si>
  <si>
    <t>D:\CBP_2026.07.21\i#3\rreq\rreq#43_101_result\d#120\v#30\5\ping_collision_summary.csv</t>
  </si>
  <si>
    <t>D:\CBP_2026.07.21\i#3\rreq\rreq#43_101_result\d#120\v#30\6\ping_collision_summary.csv</t>
  </si>
  <si>
    <t>D:\CBP_2026.07.21\i#3\rreq\rreq#43_101_result\d#120\v#30\7\ping_collision_summary.csv</t>
  </si>
  <si>
    <t>D:\CBP_2026.07.21\i#3\rreq\rreq#43_101_result\d#120\v#30\8\ping_collision_summary.csv</t>
  </si>
  <si>
    <t>D:\CBP_2026.07.21\i#3\rreq\rreq#43_101_result\d#120\v#30\9\ping_collision_summary.csv</t>
  </si>
  <si>
    <t>D:\CBP_2026.07.21\i#3\rreq\rreq#43_101_result\d#70\v#10\0\ping_collision_summary.csv</t>
  </si>
  <si>
    <t>D:\CBP_2026.07.21\i#3\rreq\rreq#43_101_result\d#70\v#10\10\ping_collision_summary.csv</t>
  </si>
  <si>
    <t>D:\CBP_2026.07.21\i#3\rreq\rreq#43_101_result\d#70\v#10\11\ping_collision_summary.csv</t>
  </si>
  <si>
    <t>D:\CBP_2026.07.21\i#3\rreq\rreq#43_101_result\d#70\v#10\12\ping_collision_summary.csv</t>
  </si>
  <si>
    <t>D:\CBP_2026.07.21\i#3\rreq\rreq#43_101_result\d#70\v#10\13\ping_collision_summary.csv</t>
  </si>
  <si>
    <t>D:\CBP_2026.07.21\i#3\rreq\rreq#43_101_result\d#70\v#10\14\ping_collision_summary.csv</t>
  </si>
  <si>
    <t>D:\CBP_2026.07.21\i#3\rreq\rreq#43_101_result\d#70\v#10\15\ping_collision_summary.csv</t>
  </si>
  <si>
    <t>D:\CBP_2026.07.21\i#3\rreq\rreq#43_101_result\d#70\v#10\16\ping_collision_summary.csv</t>
  </si>
  <si>
    <t>D:\CBP_2026.07.21\i#3\rreq\rreq#43_101_result\d#70\v#10\17\ping_collision_summary.csv</t>
  </si>
  <si>
    <t>D:\CBP_2026.07.21\i#3\rreq\rreq#43_101_result\d#70\v#10\18\ping_collision_summary.csv</t>
  </si>
  <si>
    <t>D:\CBP_2026.07.21\i#3\rreq\rreq#43_101_result\d#70\v#10\19\ping_collision_summary.csv</t>
  </si>
  <si>
    <t>D:\CBP_2026.07.21\i#3\rreq\rreq#43_101_result\d#70\v#10\1\ping_collision_summary.csv</t>
  </si>
  <si>
    <t>D:\CBP_2026.07.21\i#3\rreq\rreq#43_101_result\d#70\v#10\20\ping_collision_summary.csv</t>
  </si>
  <si>
    <t>D:\CBP_2026.07.21\i#3\rreq\rreq#43_101_result\d#70\v#10\21\ping_collision_summary.csv</t>
  </si>
  <si>
    <t>D:\CBP_2026.07.21\i#3\rreq\rreq#43_101_result\d#70\v#10\22\ping_collision_summary.csv</t>
  </si>
  <si>
    <t>D:\CBP_2026.07.21\i#3\rreq\rreq#43_101_result\d#70\v#10\23\ping_collision_summary.csv</t>
  </si>
  <si>
    <t>D:\CBP_2026.07.21\i#3\rreq\rreq#43_101_result\d#70\v#10\24\ping_collision_summary.csv</t>
  </si>
  <si>
    <t>D:\CBP_2026.07.21\i#3\rreq\rreq#43_101_result\d#70\v#10\25\ping_collision_summary.csv</t>
  </si>
  <si>
    <t>D:\CBP_2026.07.21\i#3\rreq\rreq#43_101_result\d#70\v#10\26\ping_collision_summary.csv</t>
  </si>
  <si>
    <t>D:\CBP_2026.07.21\i#3\rreq\rreq#43_101_result\d#70\v#10\27\ping_collision_summary.csv</t>
  </si>
  <si>
    <t>D:\CBP_2026.07.21\i#3\rreq\rreq#43_101_result\d#70\v#10\28\ping_collision_summary.csv</t>
  </si>
  <si>
    <t>D:\CBP_2026.07.21\i#3\rreq\rreq#43_101_result\d#70\v#10\29\ping_collision_summary.csv</t>
  </si>
  <si>
    <t>D:\CBP_2026.07.21\i#3\rreq\rreq#43_101_result\d#70\v#10\2\ping_collision_summary.csv</t>
  </si>
  <si>
    <t>D:\CBP_2026.07.21\i#3\rreq\rreq#43_101_result\d#70\v#10\30\ping_collision_summary.csv</t>
  </si>
  <si>
    <t>D:\CBP_2026.07.21\i#3\rreq\rreq#43_101_result\d#70\v#10\3\ping_collision_summary.csv</t>
  </si>
  <si>
    <t>D:\CBP_2026.07.21\i#3\rreq\rreq#43_101_result\d#70\v#10\4\ping_collision_summary.csv</t>
  </si>
  <si>
    <t>D:\CBP_2026.07.21\i#3\rreq\rreq#43_101_result\d#70\v#10\5\ping_collision_summary.csv</t>
  </si>
  <si>
    <t>D:\CBP_2026.07.21\i#3\rreq\rreq#43_101_result\d#70\v#10\6\ping_collision_summary.csv</t>
  </si>
  <si>
    <t>D:\CBP_2026.07.21\i#3\rreq\rreq#43_101_result\d#70\v#10\7\ping_collision_summary.csv</t>
  </si>
  <si>
    <t>D:\CBP_2026.07.21\i#3\rreq\rreq#43_101_result\d#70\v#10\8\ping_collision_summary.csv</t>
  </si>
  <si>
    <t>D:\CBP_2026.07.21\i#3\rreq\rreq#43_101_result\d#70\v#10\9\ping_collision_summary.csv</t>
  </si>
  <si>
    <t>D:\CBP_2026.07.21\i#3\rreq\rreq#43_101_result\d#70\v#20\0\ping_collision_summary.csv</t>
  </si>
  <si>
    <t>D:\CBP_2026.07.21\i#3\rreq\rreq#43_101_result\d#70\v#20\10\ping_collision_summary.csv</t>
  </si>
  <si>
    <t>D:\CBP_2026.07.21\i#3\rreq\rreq#43_101_result\d#70\v#20\11\ping_collision_summary.csv</t>
  </si>
  <si>
    <t>D:\CBP_2026.07.21\i#3\rreq\rreq#43_101_result\d#70\v#20\12\ping_collision_summary.csv</t>
  </si>
  <si>
    <t>D:\CBP_2026.07.21\i#3\rreq\rreq#43_101_result\d#70\v#20\13\ping_collision_summary.csv</t>
  </si>
  <si>
    <t>D:\CBP_2026.07.21\i#3\rreq\rreq#43_101_result\d#70\v#20\14\ping_collision_summary.csv</t>
  </si>
  <si>
    <t>D:\CBP_2026.07.21\i#3\rreq\rreq#43_101_result\d#70\v#20\15\ping_collision_summary.csv</t>
  </si>
  <si>
    <t>D:\CBP_2026.07.21\i#3\rreq\rreq#43_101_result\d#70\v#20\16\ping_collision_summary.csv</t>
  </si>
  <si>
    <t>D:\CBP_2026.07.21\i#3\rreq\rreq#43_101_result\d#70\v#20\17\ping_collision_summary.csv</t>
  </si>
  <si>
    <t>D:\CBP_2026.07.21\i#3\rreq\rreq#43_101_result\d#70\v#20\18\ping_collision_summary.csv</t>
  </si>
  <si>
    <t>D:\CBP_2026.07.21\i#3\rreq\rreq#43_101_result\d#70\v#20\19\ping_collision_summary.csv</t>
  </si>
  <si>
    <t>D:\CBP_2026.07.21\i#3\rreq\rreq#43_101_result\d#70\v#20\1\ping_collision_summary.csv</t>
  </si>
  <si>
    <t>D:\CBP_2026.07.21\i#3\rreq\rreq#43_101_result\d#70\v#20\20\ping_collision_summary.csv</t>
  </si>
  <si>
    <t>D:\CBP_2026.07.21\i#3\rreq\rreq#43_101_result\d#70\v#20\21\ping_collision_summary.csv</t>
  </si>
  <si>
    <t>D:\CBP_2026.07.21\i#3\rreq\rreq#43_101_result\d#70\v#20\22\ping_collision_summary.csv</t>
  </si>
  <si>
    <t>D:\CBP_2026.07.21\i#3\rreq\rreq#43_101_result\d#70\v#20\23\ping_collision_summary.csv</t>
  </si>
  <si>
    <t>D:\CBP_2026.07.21\i#3\rreq\rreq#43_101_result\d#70\v#20\24\ping_collision_summary.csv</t>
  </si>
  <si>
    <t>D:\CBP_2026.07.21\i#3\rreq\rreq#43_101_result\d#70\v#20\25\ping_collision_summary.csv</t>
  </si>
  <si>
    <t>D:\CBP_2026.07.21\i#3\rreq\rreq#43_101_result\d#70\v#20\26\ping_collision_summary.csv</t>
  </si>
  <si>
    <t>D:\CBP_2026.07.21\i#3\rreq\rreq#43_101_result\d#70\v#20\27\ping_collision_summary.csv</t>
  </si>
  <si>
    <t>D:\CBP_2026.07.21\i#3\rreq\rreq#43_101_result\d#70\v#20\28\ping_collision_summary.csv</t>
  </si>
  <si>
    <t>D:\CBP_2026.07.21\i#3\rreq\rreq#43_101_result\d#70\v#20\29\ping_collision_summary.csv</t>
  </si>
  <si>
    <t>D:\CBP_2026.07.21\i#3\rreq\rreq#43_101_result\d#70\v#20\2\ping_collision_summary.csv</t>
  </si>
  <si>
    <t>D:\CBP_2026.07.21\i#3\rreq\rreq#43_101_result\d#70\v#20\30\ping_collision_summary.csv</t>
  </si>
  <si>
    <t>D:\CBP_2026.07.21\i#3\rreq\rreq#43_101_result\d#70\v#20\3\ping_collision_summary.csv</t>
  </si>
  <si>
    <t>D:\CBP_2026.07.21\i#3\rreq\rreq#43_101_result\d#70\v#20\4\ping_collision_summary.csv</t>
  </si>
  <si>
    <t>D:\CBP_2026.07.21\i#3\rreq\rreq#43_101_result\d#70\v#20\5\ping_collision_summary.csv</t>
  </si>
  <si>
    <t>D:\CBP_2026.07.21\i#3\rreq\rreq#43_101_result\d#70\v#20\6\ping_collision_summary.csv</t>
  </si>
  <si>
    <t>D:\CBP_2026.07.21\i#3\rreq\rreq#43_101_result\d#70\v#20\7\ping_collision_summary.csv</t>
  </si>
  <si>
    <t>D:\CBP_2026.07.21\i#3\rreq\rreq#43_101_result\d#70\v#20\8\ping_collision_summary.csv</t>
  </si>
  <si>
    <t>D:\CBP_2026.07.21\i#3\rreq\rreq#43_101_result\d#70\v#20\9\ping_collision_summary.csv</t>
  </si>
  <si>
    <t>D:\CBP_2026.07.21\i#3\rreq\rreq#43_101_result\d#70\v#30\0\ping_collision_summary.csv</t>
  </si>
  <si>
    <t>D:\CBP_2026.07.21\i#3\rreq\rreq#43_101_result\d#70\v#30\10\ping_collision_summary.csv</t>
  </si>
  <si>
    <t>D:\CBP_2026.07.21\i#3\rreq\rreq#43_101_result\d#70\v#30\11\ping_collision_summary.csv</t>
  </si>
  <si>
    <t>D:\CBP_2026.07.21\i#3\rreq\rreq#43_101_result\d#70\v#30\12\ping_collision_summary.csv</t>
  </si>
  <si>
    <t>D:\CBP_2026.07.21\i#3\rreq\rreq#43_101_result\d#70\v#30\13\ping_collision_summary.csv</t>
  </si>
  <si>
    <t>D:\CBP_2026.07.21\i#3\rreq\rreq#43_101_result\d#70\v#30\14\ping_collision_summary.csv</t>
  </si>
  <si>
    <t>D:\CBP_2026.07.21\i#3\rreq\rreq#43_101_result\d#70\v#30\15\ping_collision_summary.csv</t>
  </si>
  <si>
    <t>D:\CBP_2026.07.21\i#3\rreq\rreq#43_101_result\d#70\v#30\16\ping_collision_summary.csv</t>
  </si>
  <si>
    <t>D:\CBP_2026.07.21\i#3\rreq\rreq#43_101_result\d#70\v#30\17\ping_collision_summary.csv</t>
  </si>
  <si>
    <t>D:\CBP_2026.07.21\i#3\rreq\rreq#43_101_result\d#70\v#30\18\ping_collision_summary.csv</t>
  </si>
  <si>
    <t>D:\CBP_2026.07.21\i#3\rreq\rreq#43_101_result\d#70\v#30\19\ping_collision_summary.csv</t>
  </si>
  <si>
    <t>D:\CBP_2026.07.21\i#3\rreq\rreq#43_101_result\d#70\v#30\1\ping_collision_summary.csv</t>
  </si>
  <si>
    <t>D:\CBP_2026.07.21\i#3\rreq\rreq#43_101_result\d#70\v#30\20\ping_collision_summary.csv</t>
  </si>
  <si>
    <t>D:\CBP_2026.07.21\i#3\rreq\rreq#43_101_result\d#70\v#30\21\ping_collision_summary.csv</t>
  </si>
  <si>
    <t>D:\CBP_2026.07.21\i#3\rreq\rreq#43_101_result\d#70\v#30\22\ping_collision_summary.csv</t>
  </si>
  <si>
    <t>D:\CBP_2026.07.21\i#3\rreq\rreq#43_101_result\d#70\v#30\23\ping_collision_summary.csv</t>
  </si>
  <si>
    <t>D:\CBP_2026.07.21\i#3\rreq\rreq#43_101_result\d#70\v#30\24\ping_collision_summary.csv</t>
  </si>
  <si>
    <t>D:\CBP_2026.07.21\i#3\rreq\rreq#43_101_result\d#70\v#30\25\ping_collision_summary.csv</t>
  </si>
  <si>
    <t>D:\CBP_2026.07.21\i#3\rreq\rreq#43_101_result\d#70\v#30\26\ping_collision_summary.csv</t>
  </si>
  <si>
    <t>D:\CBP_2026.07.21\i#3\rreq\rreq#43_101_result\d#70\v#30\27\ping_collision_summary.csv</t>
  </si>
  <si>
    <t>D:\CBP_2026.07.21\i#3\rreq\rreq#43_101_result\d#70\v#30\28\ping_collision_summary.csv</t>
  </si>
  <si>
    <t>D:\CBP_2026.07.21\i#3\rreq\rreq#43_101_result\d#70\v#30\29\ping_collision_summary.csv</t>
  </si>
  <si>
    <t>D:\CBP_2026.07.21\i#3\rreq\rreq#43_101_result\d#70\v#30\2\ping_collision_summary.csv</t>
  </si>
  <si>
    <t>D:\CBP_2026.07.21\i#3\rreq\rreq#43_101_result\d#70\v#30\30\ping_collision_summary.csv</t>
  </si>
  <si>
    <t>D:\CBP_2026.07.21\i#3\rreq\rreq#43_101_result\d#70\v#30\3\ping_collision_summary.csv</t>
  </si>
  <si>
    <t>D:\CBP_2026.07.21\i#3\rreq\rreq#43_101_result\d#70\v#30\4\ping_collision_summary.csv</t>
  </si>
  <si>
    <t>D:\CBP_2026.07.21\i#3\rreq\rreq#43_101_result\d#70\v#30\5\ping_collision_summary.csv</t>
  </si>
  <si>
    <t>D:\CBP_2026.07.21\i#3\rreq\rreq#43_101_result\d#70\v#30\6\ping_collision_summary.csv</t>
  </si>
  <si>
    <t>D:\CBP_2026.07.21\i#3\rreq\rreq#43_101_result\d#70\v#30\7\ping_collision_summary.csv</t>
  </si>
  <si>
    <t>D:\CBP_2026.07.21\i#3\rreq\rreq#43_101_result\d#70\v#30\8\ping_collision_summary.csv</t>
  </si>
  <si>
    <t>D:\CBP_2026.07.21\i#3\rreq\rreq#43_101_result\d#70\v#30\9\ping_collision_summary.csv</t>
  </si>
  <si>
    <t>Fs 실험안: 목적지별 request+reply 통합 비율</t>
  </si>
  <si>
    <t>원자료: D:\CBP_2026.07.21\i#3; Ping combined</t>
  </si>
  <si>
    <t>각 목적지 폴더에서 request와 reply의 실패 횟수를 더하고, 두 유형의 수신 시도 횟수 합계로 나누어 계산.</t>
  </si>
  <si>
    <t>Legacy와 Proposed는 각자 숫자가 있는 행으로 평균. Delta는 두 값이 모두 존재하는 행으로 평균.</t>
  </si>
  <si>
    <t>AVG: 평균, N: 해당 평균에 포함한 값의 개수. 숫자는 백분율 단위이고 Delta는 %p.</t>
  </si>
  <si>
    <t>노란 빈칸은 수신 시도 0회 또는 원자료 없음. 셀 메모에 사유·원자료 경로 기록.</t>
  </si>
  <si>
    <t>0/0을 0%로 채우지 않음. 존재하는 실제 실패 0회/양수 시도는 0%로 포함.</t>
  </si>
  <si>
    <t>수식에는 원자료 건수를 사용하며 계산된 캐시도 저장. Raw Counts에서 원자료 건수 확인 가능.</t>
  </si>
  <si>
    <t>차량대수 70/100/120, 최고 속력 10/20/30, nodeId 0~30은 기존 내보내기 설정.</t>
  </si>
</sst>
</file>

<file path=xl/styles.xml><?xml version="1.0" encoding="utf-8"?>
<styleSheet xmlns="http://schemas.openxmlformats.org/spreadsheetml/2006/main">
  <numFmts count="1">
    <numFmt numFmtId="164" formatCode="0.00000"/>
  </numFmts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Relationship Id="rId2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Relationship Id="rId2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IF(1025565&gt;0,100*254231/1025565,"")</f>
        <v>24.789360011310837</v>
      </c>
      <c r="D3" s="1">
        <f>IF(966950&gt;0,100*148998/966950,"")</f>
        <v>15.409069755416516</v>
      </c>
      <c r="E3" s="1">
        <f>IF(COUNT(C3:D3)=2,D3-C3,"")</f>
        <v>-9.380290255894321</v>
      </c>
      <c r="H3" s="1">
        <v>1</v>
      </c>
      <c r="I3" s="1">
        <v>0</v>
      </c>
      <c r="J3" s="1">
        <f>IF(1360559&gt;0,100*350066/1360559,"")</f>
        <v>25.729571448206215</v>
      </c>
      <c r="K3" s="1">
        <f>IF(1476226&gt;0,100*351077/1476226,"")</f>
        <v>23.78206318002799</v>
      </c>
      <c r="L3" s="1">
        <f>IF(COUNT(J3:K3)=2,K3-J3,"")</f>
        <v>-1.9475082681782254</v>
      </c>
      <c r="O3" s="1">
        <v>1</v>
      </c>
      <c r="P3" s="1">
        <v>0</v>
      </c>
      <c r="Q3" s="1">
        <f>IF(1611169&gt;0,100*528552/1611169,"")</f>
        <v>32.80549712662049</v>
      </c>
      <c r="R3" s="1">
        <f>IF(1191000&gt;0,100*210851/1191000,"")</f>
        <v>17.70369437447523</v>
      </c>
      <c r="S3" s="1">
        <f>IF(COUNT(Q3:R3)=2,R3-Q3,"")</f>
        <v>-15.101802752145257</v>
      </c>
    </row>
    <row r="4" spans="1:19">
      <c r="A4" s="1">
        <v>2</v>
      </c>
      <c r="B4" s="1">
        <v>1</v>
      </c>
      <c r="C4" s="1">
        <f>IF(1608611&gt;0,100*585743/1608611,"")</f>
        <v>36.41296746074719</v>
      </c>
      <c r="D4" s="1">
        <f>IF(1474407&gt;0,100*440294/1474407,"")</f>
        <v>29.86244639370269</v>
      </c>
      <c r="E4" s="1">
        <f>IF(COUNT(C4:D4)=2,D4-C4,"")</f>
        <v>-6.5505210670444995</v>
      </c>
      <c r="H4" s="1">
        <v>2</v>
      </c>
      <c r="I4" s="1">
        <v>1</v>
      </c>
      <c r="J4" s="1">
        <f>IF(1080061&gt;0,100*195305/1080061,"")</f>
        <v>18.082774954377577</v>
      </c>
      <c r="K4" s="1">
        <f>IF(1265332&gt;0,100*269174/1265332,"")</f>
        <v>21.272993965220195</v>
      </c>
      <c r="L4" s="1">
        <f>IF(COUNT(J4:K4)=2,K4-J4,"")</f>
        <v>3.1902190108426183</v>
      </c>
      <c r="O4" s="1">
        <v>2</v>
      </c>
      <c r="P4" s="1">
        <v>1</v>
      </c>
      <c r="Q4" s="1">
        <f>IF(1467133&gt;0,100*488009/1467133,"")</f>
        <v>33.26276486180871</v>
      </c>
      <c r="R4" s="1">
        <f>IF(1897758&gt;0,100*499261/1897758,"")</f>
        <v>26.307938103804595</v>
      </c>
      <c r="S4" s="1">
        <f>IF(COUNT(Q4:R4)=2,R4-Q4,"")</f>
        <v>-6.954826758004117</v>
      </c>
    </row>
    <row r="5" spans="1:19">
      <c r="A5" s="1">
        <v>3</v>
      </c>
      <c r="B5" s="1">
        <v>2</v>
      </c>
      <c r="C5" s="1">
        <f>IF(1615726&gt;0,100*621491/1615726,"")</f>
        <v>38.46512341820333</v>
      </c>
      <c r="D5" s="1">
        <f>IF(1697987&gt;0,100*481245/1697987,"")</f>
        <v>28.342089780428235</v>
      </c>
      <c r="E5" s="1">
        <f>IF(COUNT(C5:D5)=2,D5-C5,"")</f>
        <v>-10.123033637775098</v>
      </c>
      <c r="H5" s="1">
        <v>3</v>
      </c>
      <c r="I5" s="1">
        <v>2</v>
      </c>
      <c r="J5" s="1">
        <f>IF(1770666&gt;0,100*210556/1770666,"")</f>
        <v>11.891344838608749</v>
      </c>
      <c r="K5" s="1">
        <f>IF(1247249&gt;0,100*156300/1247249,"")</f>
        <v>12.53157950016396</v>
      </c>
      <c r="L5" s="1">
        <f>IF(COUNT(J5:K5)=2,K5-J5,"")</f>
        <v>0.6402346615552119</v>
      </c>
      <c r="O5" s="1">
        <v>3</v>
      </c>
      <c r="P5" s="1">
        <v>2</v>
      </c>
      <c r="Q5" s="1">
        <f>IF(1770413&gt;0,100*588287/1770413,"")</f>
        <v>33.228800285583084</v>
      </c>
      <c r="R5" s="1">
        <f>IF(1373247&gt;0,100*222769/1373247,"")</f>
        <v>16.222063474378608</v>
      </c>
      <c r="S5" s="1">
        <f>IF(COUNT(Q5:R5)=2,R5-Q5,"")</f>
        <v>-17.006736811204476</v>
      </c>
    </row>
    <row r="6" spans="1:19">
      <c r="A6" s="1">
        <v>4</v>
      </c>
      <c r="B6" s="1">
        <v>3</v>
      </c>
      <c r="C6" s="1">
        <f>IF(1681360&gt;0,100*632235/1681360,"")</f>
        <v>37.60259551791407</v>
      </c>
      <c r="D6" s="1">
        <f>IF(1695337&gt;0,100*437402/1695337,"")</f>
        <v>25.800298111820837</v>
      </c>
      <c r="E6" s="1">
        <f>IF(COUNT(C6:D6)=2,D6-C6,"")</f>
        <v>-11.802297406093231</v>
      </c>
      <c r="H6" s="1">
        <v>4</v>
      </c>
      <c r="I6" s="1">
        <v>3</v>
      </c>
      <c r="J6" s="1">
        <f>IF(1249184&gt;0,100*192969/1249184,"")</f>
        <v>15.447604196019162</v>
      </c>
      <c r="K6" s="1">
        <f>IF(862501&gt;0,100*53497/862501,"")</f>
        <v>6.20254353328286</v>
      </c>
      <c r="L6" s="1">
        <f>IF(COUNT(J6:K6)=2,K6-J6,"")</f>
        <v>-9.245060662736302</v>
      </c>
      <c r="O6" s="1">
        <v>4</v>
      </c>
      <c r="P6" s="1">
        <v>3</v>
      </c>
      <c r="Q6" s="1">
        <f>IF(851878&gt;0,100*27960/851878,"")</f>
        <v>3.2821601215197482</v>
      </c>
      <c r="R6" s="1">
        <f>IF(1040818&gt;0,100*64250/1040818,"")</f>
        <v>6.173029290423494</v>
      </c>
      <c r="S6" s="1">
        <f>IF(COUNT(Q6:R6)=2,R6-Q6,"")</f>
        <v>2.8908691689037456</v>
      </c>
    </row>
    <row r="7" spans="1:19">
      <c r="A7" s="1">
        <v>5</v>
      </c>
      <c r="B7" s="1">
        <v>4</v>
      </c>
      <c r="C7" s="1">
        <f>IF(1534810&gt;0,100*544323/1534810,"")</f>
        <v>35.46517158475642</v>
      </c>
      <c r="D7" s="1">
        <f>IF(1356989&gt;0,100*241679/1356989,"")</f>
        <v>17.809945401178638</v>
      </c>
      <c r="E7" s="1">
        <f>IF(COUNT(C7:D7)=2,D7-C7,"")</f>
        <v>-17.65522618357778</v>
      </c>
      <c r="H7" s="1">
        <v>5</v>
      </c>
      <c r="I7" s="1">
        <v>4</v>
      </c>
      <c r="J7" s="1">
        <f>IF(1559950&gt;0,100*448934/1559950,"")</f>
        <v>28.77874290842655</v>
      </c>
      <c r="K7" s="1">
        <f>IF(1263495&gt;0,100*251932/1263495,"")</f>
        <v>19.93929536721554</v>
      </c>
      <c r="L7" s="1">
        <f>IF(COUNT(J7:K7)=2,K7-J7,"")</f>
        <v>-8.839447541211012</v>
      </c>
      <c r="O7" s="1">
        <v>5</v>
      </c>
      <c r="P7" s="1">
        <v>4</v>
      </c>
      <c r="Q7" s="1">
        <f>IF(1545033&gt;0,100*593590/1545033,"")</f>
        <v>38.419244119704885</v>
      </c>
      <c r="R7" s="1">
        <f>IF(1725837&gt;0,100*434251/1725837,"")</f>
        <v>25.161762089930857</v>
      </c>
      <c r="S7" s="1">
        <f>IF(COUNT(Q7:R7)=2,R7-Q7,"")</f>
        <v>-13.257482029774028</v>
      </c>
    </row>
    <row r="8" spans="1:19">
      <c r="A8" s="1">
        <v>6</v>
      </c>
      <c r="B8" s="1">
        <v>5</v>
      </c>
      <c r="C8" s="1">
        <f>IF(1481795&gt;0,100*384291/1481795,"")</f>
        <v>25.93415418462068</v>
      </c>
      <c r="D8" s="1">
        <f>IF(1273763&gt;0,100*260026/1273763,"")</f>
        <v>20.4140016627897</v>
      </c>
      <c r="E8" s="1">
        <f>IF(COUNT(C8:D8)=2,D8-C8,"")</f>
        <v>-5.52015252183098</v>
      </c>
      <c r="H8" s="1">
        <v>6</v>
      </c>
      <c r="I8" s="1">
        <v>5</v>
      </c>
      <c r="J8" s="1">
        <f>IF(1363284&gt;0,100*338111/1363284,"")</f>
        <v>24.801215300700367</v>
      </c>
      <c r="K8" s="1">
        <f>IF(1396697&gt;0,100*316484/1396697,"")</f>
        <v>22.65946014060315</v>
      </c>
      <c r="L8" s="1">
        <f>IF(COUNT(J8:K8)=2,K8-J8,"")</f>
        <v>-2.1417551600972153</v>
      </c>
      <c r="O8" s="1">
        <v>6</v>
      </c>
      <c r="P8" s="1">
        <v>5</v>
      </c>
      <c r="Q8" s="1">
        <f>IF(1496153&gt;0,100*372992/1496153,"")</f>
        <v>24.930070654538675</v>
      </c>
      <c r="R8" s="1">
        <f>IF(1559647&gt;0,100*320368/1559647,"")</f>
        <v>20.541058329224498</v>
      </c>
      <c r="S8" s="1">
        <f>IF(COUNT(Q8:R8)=2,R8-Q8,"")</f>
        <v>-4.389012325314177</v>
      </c>
    </row>
    <row r="9" spans="1:19">
      <c r="A9" s="1">
        <v>7</v>
      </c>
      <c r="B9" s="1">
        <v>6</v>
      </c>
      <c r="C9" s="1">
        <f>IF(1693230&gt;0,100*659152/1693230,"")</f>
        <v>38.92867478133508</v>
      </c>
      <c r="D9" s="1">
        <f>IF(1431197&gt;0,100*261292/1431197,"")</f>
        <v>18.256885669827422</v>
      </c>
      <c r="E9" s="1">
        <f>IF(COUNT(C9:D9)=2,D9-C9,"")</f>
        <v>-20.67178911150766</v>
      </c>
      <c r="H9" s="1">
        <v>7</v>
      </c>
      <c r="I9" s="1">
        <v>6</v>
      </c>
      <c r="J9" s="1">
        <f>IF(681918&gt;0,100*6217/681918,"")</f>
        <v>0.9116931947829504</v>
      </c>
      <c r="K9" s="1">
        <f>IF(663115&gt;0,100*5025/663115,"")</f>
        <v>0.7577871108329626</v>
      </c>
      <c r="L9" s="1">
        <f>IF(COUNT(J9:K9)=2,K9-J9,"")</f>
        <v>-0.15390608394998784</v>
      </c>
      <c r="O9" s="1">
        <v>7</v>
      </c>
      <c r="P9" s="1">
        <v>6</v>
      </c>
      <c r="Q9" s="1">
        <f>IF(1286739&gt;0,100*333741/1286739,"")</f>
        <v>25.93696157495809</v>
      </c>
      <c r="R9" s="1">
        <f>IF(703461&gt;0,100*49850/703461,"")</f>
        <v>7.08639142752761</v>
      </c>
      <c r="S9" s="1">
        <f>IF(COUNT(Q9:R9)=2,R9-Q9,"")</f>
        <v>-18.85057014743048</v>
      </c>
    </row>
    <row r="10" spans="1:19">
      <c r="A10" s="1">
        <v>8</v>
      </c>
      <c r="B10" s="1">
        <v>7</v>
      </c>
      <c r="C10" s="1">
        <f>IF(1832737&gt;0,100*772049/1832737,"")</f>
        <v>42.12546590154506</v>
      </c>
      <c r="D10" s="1">
        <f>IF(1557128&gt;0,100*417493/1557128,"")</f>
        <v>26.81173288258897</v>
      </c>
      <c r="E10" s="1">
        <f>IF(COUNT(C10:D10)=2,D10-C10,"")</f>
        <v>-15.313733018956093</v>
      </c>
      <c r="H10" s="1">
        <v>8</v>
      </c>
      <c r="I10" s="1">
        <v>7</v>
      </c>
      <c r="J10" s="1">
        <f>IF(655547&gt;0,100*1454/655547,"")</f>
        <v>0.2217995048409954</v>
      </c>
      <c r="K10" s="1">
        <f>IF(655547&gt;0,100*1454/655547,"")</f>
        <v>0.2217995048409954</v>
      </c>
      <c r="L10" s="1">
        <f>IF(COUNT(J10:K10)=2,K10-J10,"")</f>
        <v>0.0</v>
      </c>
      <c r="O10" s="1">
        <v>8</v>
      </c>
      <c r="P10" s="1">
        <v>7</v>
      </c>
      <c r="Q10" s="1">
        <f>IF(589319&gt;0,100*4560/589319,"")</f>
        <v>0.773774475284184</v>
      </c>
      <c r="R10" s="1">
        <f>IF(589319&gt;0,100*4560/589319,"")</f>
        <v>0.773774475284184</v>
      </c>
      <c r="S10" s="1">
        <f>IF(COUNT(Q10:R10)=2,R10-Q10,"")</f>
        <v>0.0</v>
      </c>
    </row>
    <row r="11" spans="1:19">
      <c r="A11" s="1">
        <v>9</v>
      </c>
      <c r="B11" s="1">
        <v>8</v>
      </c>
      <c r="C11" s="1">
        <f>IF(1595971&gt;0,100*597472/1595971,"")</f>
        <v>37.43626920539283</v>
      </c>
      <c r="D11" s="1">
        <f>IF(1533470&gt;0,100*451771/1533470,"")</f>
        <v>29.46070024193496</v>
      </c>
      <c r="E11" s="1">
        <f>IF(COUNT(C11:D11)=2,D11-C11,"")</f>
        <v>-7.975568963457874</v>
      </c>
      <c r="H11" s="1">
        <v>9</v>
      </c>
      <c r="I11" s="1">
        <v>8</v>
      </c>
      <c r="J11" s="1">
        <f>IF(1710121&gt;0,100*526664/1710121,"")</f>
        <v>30.79688513268944</v>
      </c>
      <c r="K11" s="1">
        <f>IF(1755210&gt;0,100*442294/1755210,"")</f>
        <v>25.198922066305457</v>
      </c>
      <c r="L11" s="1">
        <f>IF(COUNT(J11:K11)=2,K11-J11,"")</f>
        <v>-5.597963066383983</v>
      </c>
      <c r="O11" s="1">
        <v>9</v>
      </c>
      <c r="P11" s="1">
        <v>8</v>
      </c>
      <c r="Q11" s="1">
        <f>IF(1425170&gt;0,100*455531/1425170,"")</f>
        <v>31.96327455671955</v>
      </c>
      <c r="R11" s="1">
        <f>IF(962680&gt;0,100*176170/962680,"")</f>
        <v>18.299954294261852</v>
      </c>
      <c r="S11" s="1">
        <f>IF(COUNT(Q11:R11)=2,R11-Q11,"")</f>
        <v>-13.663320262457699</v>
      </c>
    </row>
    <row r="12" spans="1:19">
      <c r="A12" s="1">
        <v>10</v>
      </c>
      <c r="B12" s="1">
        <v>9</v>
      </c>
      <c r="C12" s="1">
        <f>IF(1793318&gt;0,100*560859/1793318,"")</f>
        <v>31.27493283399821</v>
      </c>
      <c r="D12" s="1">
        <f>IF(800886&gt;0,100*14110/800886,"")</f>
        <v>1.761798807820339</v>
      </c>
      <c r="E12" s="1">
        <f>IF(COUNT(C12:D12)=2,D12-C12,"")</f>
        <v>-29.513134026177873</v>
      </c>
      <c r="H12" s="1">
        <v>10</v>
      </c>
      <c r="I12" s="1">
        <v>9</v>
      </c>
      <c r="J12" s="1">
        <f>IF(1173418&gt;0,100*250711/1173418,"")</f>
        <v>21.365873030752894</v>
      </c>
      <c r="K12" s="1">
        <f>IF(1022771&gt;0,100*105311/1022771,"")</f>
        <v>10.296635317192216</v>
      </c>
      <c r="L12" s="1">
        <f>IF(COUNT(J12:K12)=2,K12-J12,"")</f>
        <v>-11.069237713560678</v>
      </c>
      <c r="O12" s="1">
        <v>10</v>
      </c>
      <c r="P12" s="1">
        <v>9</v>
      </c>
      <c r="Q12" s="1">
        <f>IF(1151234&gt;0,100*222783/1151234,"")</f>
        <v>19.351669599751222</v>
      </c>
      <c r="R12" s="1">
        <f>IF(741983&gt;0,100*57316/741983,"")</f>
        <v>7.724705283005136</v>
      </c>
      <c r="S12" s="1">
        <f>IF(COUNT(Q12:R12)=2,R12-Q12,"")</f>
        <v>-11.626964316746086</v>
      </c>
    </row>
    <row r="13" spans="1:19">
      <c r="A13" s="1">
        <v>11</v>
      </c>
      <c r="B13" s="1">
        <v>10</v>
      </c>
      <c r="C13" s="1">
        <f>IF(1514166&gt;0,100*450931/1514166,"")</f>
        <v>29.78081663437166</v>
      </c>
      <c r="D13" s="1">
        <f>IF(1690927&gt;0,100*450255/1690927,"")</f>
        <v>26.62770184638367</v>
      </c>
      <c r="E13" s="1">
        <f>IF(COUNT(C13:D13)=2,D13-C13,"")</f>
        <v>-3.1531147879879917</v>
      </c>
      <c r="H13" s="1">
        <v>11</v>
      </c>
      <c r="I13" s="1">
        <v>10</v>
      </c>
      <c r="J13" s="1">
        <f>IF(1146506&gt;0,100*57993/1146506,"")</f>
        <v>5.058237811228201</v>
      </c>
      <c r="K13" s="1">
        <f>IF(1179433&gt;0,100*43658/1179433,"")</f>
        <v>3.7016091630469896</v>
      </c>
      <c r="L13" s="1">
        <f>IF(COUNT(J13:K13)=2,K13-J13,"")</f>
        <v>-1.3566286481812115</v>
      </c>
      <c r="O13" s="1">
        <v>11</v>
      </c>
      <c r="P13" s="1">
        <v>10</v>
      </c>
      <c r="Q13" s="1">
        <f>IF(1057778&gt;0,100*7899/1057778,"")</f>
        <v>0.7467540447995704</v>
      </c>
      <c r="R13" s="1">
        <f>IF(1060018&gt;0,100*8853/1060018,"")</f>
        <v>0.8351744970368428</v>
      </c>
      <c r="S13" s="1">
        <f>IF(COUNT(Q13:R13)=2,R13-Q13,"")</f>
        <v>0.08842045223727235</v>
      </c>
    </row>
    <row r="14" spans="1:19">
      <c r="A14" s="1">
        <v>12</v>
      </c>
      <c r="B14" s="1">
        <v>11</v>
      </c>
      <c r="C14" s="1">
        <f>IF(1480420&gt;0,100*530595/1480420,"")</f>
        <v>35.84084246362519</v>
      </c>
      <c r="D14" s="1">
        <f>IF(1480044&gt;0,100*412175/1480044,"")</f>
        <v>27.848834223847398</v>
      </c>
      <c r="E14" s="1">
        <f>IF(COUNT(C14:D14)=2,D14-C14,"")</f>
        <v>-7.992008239777789</v>
      </c>
      <c r="H14" s="1">
        <v>12</v>
      </c>
      <c r="I14" s="1">
        <v>11</v>
      </c>
      <c r="J14" s="1">
        <f>IF(979595&gt;0,100*35929/979595,"")</f>
        <v>3.6677402395888095</v>
      </c>
      <c r="K14" s="1">
        <f>IF(988732&gt;0,100*57862/988732,"")</f>
        <v>5.852141935327268</v>
      </c>
      <c r="L14" s="1">
        <f>IF(COUNT(J14:K14)=2,K14-J14,"")</f>
        <v>2.184401695738458</v>
      </c>
      <c r="O14" s="1">
        <v>12</v>
      </c>
      <c r="P14" s="1">
        <v>11</v>
      </c>
      <c r="Q14" s="1">
        <f>IF(1932101&gt;0,100*714622/1932101,"")</f>
        <v>36.98678278205953</v>
      </c>
      <c r="R14" s="1">
        <f>IF(1587147&gt;0,100*279400/1587147,"")</f>
        <v>17.603914445227822</v>
      </c>
      <c r="S14" s="1">
        <f>IF(COUNT(Q14:R14)=2,R14-Q14,"")</f>
        <v>-19.382868336831706</v>
      </c>
    </row>
    <row r="15" spans="1:19">
      <c r="A15" s="1">
        <v>13</v>
      </c>
      <c r="B15" s="1">
        <v>12</v>
      </c>
      <c r="C15" s="1">
        <f>IF(1625411&gt;0,100*523021/1625411,"")</f>
        <v>32.177769191915154</v>
      </c>
      <c r="D15" s="1">
        <f>IF(1137321&gt;0,100*77834/1137321,"")</f>
        <v>6.843626381645991</v>
      </c>
      <c r="E15" s="1">
        <f>IF(COUNT(C15:D15)=2,D15-C15,"")</f>
        <v>-25.334142810269164</v>
      </c>
      <c r="H15" s="1">
        <v>13</v>
      </c>
      <c r="I15" s="1">
        <v>12</v>
      </c>
      <c r="J15" s="1">
        <f>IF(1997433&gt;0,100*770522/1997433,"")</f>
        <v>38.575611797742404</v>
      </c>
      <c r="K15" s="1">
        <f>IF(1801718&gt;0,100*414827/1801718,"")</f>
        <v>23.023969344814226</v>
      </c>
      <c r="L15" s="1">
        <f>IF(COUNT(J15:K15)=2,K15-J15,"")</f>
        <v>-15.551642452928178</v>
      </c>
      <c r="O15" s="1">
        <v>13</v>
      </c>
      <c r="P15" s="1">
        <v>12</v>
      </c>
      <c r="Q15" s="1">
        <f>IF(931018&gt;0,100*79093/931018,"")</f>
        <v>8.495324472781407</v>
      </c>
      <c r="R15" s="1">
        <f>IF(836476&gt;0,100*39472/836476,"")</f>
        <v>4.71884429439697</v>
      </c>
      <c r="S15" s="1">
        <f>IF(COUNT(Q15:R15)=2,R15-Q15,"")</f>
        <v>-3.7764801783844373</v>
      </c>
    </row>
    <row r="16" spans="1:19">
      <c r="A16" s="1">
        <v>14</v>
      </c>
      <c r="B16" s="1">
        <v>13</v>
      </c>
      <c r="C16" s="1">
        <f>IF(929730&gt;0,100*189375/929730,"")</f>
        <v>20.368816753250943</v>
      </c>
      <c r="D16" s="1">
        <f>IF(669227&gt;0,100*22155/669227,"")</f>
        <v>3.3105358869262598</v>
      </c>
      <c r="E16" s="1">
        <f>IF(COUNT(C16:D16)=2,D16-C16,"")</f>
        <v>-17.058280866324683</v>
      </c>
      <c r="H16" s="1">
        <v>14</v>
      </c>
      <c r="I16" s="1">
        <v>13</v>
      </c>
      <c r="J16" s="1">
        <f>IF(1084239&gt;0,100*226536/1084239,"")</f>
        <v>20.893548378171232</v>
      </c>
      <c r="K16" s="1">
        <f>IF(1311521&gt;0,100*257642/1311521,"")</f>
        <v>19.64451960738715</v>
      </c>
      <c r="L16" s="1">
        <f>IF(COUNT(J16:K16)=2,K16-J16,"")</f>
        <v>-1.2490287707840828</v>
      </c>
      <c r="O16" s="1">
        <v>14</v>
      </c>
      <c r="P16" s="1">
        <v>13</v>
      </c>
      <c r="Q16" s="1">
        <f>IF(670550&gt;0,100*11588/670550,"")</f>
        <v>1.7281336216538663</v>
      </c>
      <c r="R16" s="1">
        <f>IF(651919&gt;0,100*10634/651919,"")</f>
        <v>1.63118424221414</v>
      </c>
      <c r="S16" s="1">
        <f>IF(COUNT(Q16:R16)=2,R16-Q16,"")</f>
        <v>-0.09694937943972626</v>
      </c>
    </row>
    <row r="17" spans="1:19">
      <c r="A17" s="1">
        <v>15</v>
      </c>
      <c r="B17" s="1">
        <v>14</v>
      </c>
      <c r="C17" s="1">
        <f>IF(1540895&gt;0,100*542667/1540895,"")</f>
        <v>35.217649482930376</v>
      </c>
      <c r="D17" s="1">
        <f>IF(1187007&gt;0,100*217800/1187007,"")</f>
        <v>18.34867022688156</v>
      </c>
      <c r="E17" s="1">
        <f>IF(COUNT(C17:D17)=2,D17-C17,"")</f>
        <v>-16.868979256048817</v>
      </c>
      <c r="H17" s="1">
        <v>15</v>
      </c>
      <c r="I17" s="1">
        <v>14</v>
      </c>
      <c r="J17" s="1">
        <f>IF(1976548&gt;0,100*795333/1976548,"")</f>
        <v>40.238486492612374</v>
      </c>
      <c r="K17" s="1">
        <f>IF(1744101&gt;0,100*407308/1744101,"")</f>
        <v>23.353464048240326</v>
      </c>
      <c r="L17" s="1">
        <f>IF(COUNT(J17:K17)=2,K17-J17,"")</f>
        <v>-16.885022444372048</v>
      </c>
      <c r="O17" s="1">
        <v>15</v>
      </c>
      <c r="P17" s="1">
        <v>14</v>
      </c>
      <c r="Q17" s="1">
        <f>IF(1789842&gt;0,100*586809/1789842,"")</f>
        <v>32.78551961569792</v>
      </c>
      <c r="R17" s="1">
        <f>IF(1373807&gt;0,100*278648/1373807,"")</f>
        <v>20.282907278824464</v>
      </c>
      <c r="S17" s="1">
        <f>IF(COUNT(Q17:R17)=2,R17-Q17,"")</f>
        <v>-12.502612336873458</v>
      </c>
    </row>
    <row r="18" spans="1:19">
      <c r="A18" s="1">
        <v>16</v>
      </c>
      <c r="B18" s="1">
        <v>15</v>
      </c>
      <c r="C18" s="1">
        <f>IF(1507412&gt;0,100*534395/1507412,"")</f>
        <v>35.45115734782528</v>
      </c>
      <c r="D18" s="1">
        <f>IF(1529720&gt;0,100*381421/1529720,"")</f>
        <v>24.934040216510212</v>
      </c>
      <c r="E18" s="1">
        <f>IF(COUNT(C18:D18)=2,D18-C18,"")</f>
        <v>-10.517117131315068</v>
      </c>
      <c r="H18" s="1">
        <v>16</v>
      </c>
      <c r="I18" s="1">
        <v>15</v>
      </c>
      <c r="J18" s="1">
        <f>IF(1507965&gt;0,100*427666/1507965,"")</f>
        <v>28.36047255738694</v>
      </c>
      <c r="K18" s="1">
        <f>IF(1152015&gt;0,100*183706/1152015,"")</f>
        <v>15.94649375225149</v>
      </c>
      <c r="L18" s="1">
        <f>IF(COUNT(J18:K18)=2,K18-J18,"")</f>
        <v>-12.413978805135452</v>
      </c>
      <c r="O18" s="1">
        <v>16</v>
      </c>
      <c r="P18" s="1">
        <v>15</v>
      </c>
      <c r="Q18" s="1">
        <f>IF(1644242&gt;0,100*542962/1644242,"")</f>
        <v>33.02202473845091</v>
      </c>
      <c r="R18" s="1">
        <f>IF(1203031&gt;0,100*156394/1203031,"")</f>
        <v>12.999997506298675</v>
      </c>
      <c r="S18" s="1">
        <f>IF(COUNT(Q18:R18)=2,R18-Q18,"")</f>
        <v>-20.022027232152233</v>
      </c>
    </row>
    <row r="19" spans="1:19">
      <c r="A19" s="1">
        <v>17</v>
      </c>
      <c r="B19" s="1">
        <v>16</v>
      </c>
      <c r="C19" s="1">
        <f>IF(642367&gt;0,100*51947/642367,"")</f>
        <v>8.08681018794552</v>
      </c>
      <c r="D19" s="1">
        <f>IF(602283&gt;0,100*6701/602283,"")</f>
        <v>1.1125998907490333</v>
      </c>
      <c r="E19" s="1">
        <f>IF(COUNT(C19:D19)=2,D19-C19,"")</f>
        <v>-6.974210297196487</v>
      </c>
      <c r="H19" s="1">
        <v>17</v>
      </c>
      <c r="I19" s="1">
        <v>16</v>
      </c>
      <c r="J19" s="1">
        <f>IF(1858121&gt;0,100*695653/1858121,"")</f>
        <v>37.4385198811057</v>
      </c>
      <c r="K19" s="1">
        <f>IF(1215832&gt;0,100*208234/1215832,"")</f>
        <v>17.126872791635687</v>
      </c>
      <c r="L19" s="1">
        <f>IF(COUNT(J19:K19)=2,K19-J19,"")</f>
        <v>-20.31164708947001</v>
      </c>
      <c r="O19" s="1">
        <v>17</v>
      </c>
      <c r="P19" s="1">
        <v>16</v>
      </c>
      <c r="Q19" s="1">
        <f>IF(1134999&gt;0,100*244255/1134999,"")</f>
        <v>21.520283277782625</v>
      </c>
      <c r="R19" s="1">
        <f>IF(1545994&gt;0,100*252827/1545994,"")</f>
        <v>16.353685719349492</v>
      </c>
      <c r="S19" s="1">
        <f>IF(COUNT(Q19:R19)=2,R19-Q19,"")</f>
        <v>-5.166597558433132</v>
      </c>
    </row>
    <row r="20" spans="1:19">
      <c r="A20" s="1">
        <v>18</v>
      </c>
      <c r="B20" s="1">
        <v>17</v>
      </c>
      <c r="C20" s="1">
        <f>IF(594640&gt;0,100*3581/594640,"")</f>
        <v>0.6022131037266245</v>
      </c>
      <c r="D20" s="1">
        <f>IF(594640&gt;0,100*3581/594640,"")</f>
        <v>0.6022131037266245</v>
      </c>
      <c r="E20" s="1">
        <f>IF(COUNT(C20:D20)=2,D20-C20,"")</f>
        <v>0.0</v>
      </c>
      <c r="H20" s="1">
        <v>18</v>
      </c>
      <c r="I20" s="1">
        <v>17</v>
      </c>
      <c r="J20" s="1">
        <f>IF(1593567&gt;0,100*381148/1593567,"")</f>
        <v>23.917914966863645</v>
      </c>
      <c r="K20" s="1">
        <f>IF(1185132&gt;0,100*145179/1185132,"")</f>
        <v>12.250027844999545</v>
      </c>
      <c r="L20" s="1">
        <f>IF(COUNT(J20:K20)=2,K20-J20,"")</f>
        <v>-11.6678871218641</v>
      </c>
      <c r="O20" s="1">
        <v>18</v>
      </c>
      <c r="P20" s="1">
        <v>17</v>
      </c>
      <c r="Q20" s="1">
        <f>IF(1362366&gt;0,100*418939/1362366,"")</f>
        <v>30.750840816638114</v>
      </c>
      <c r="R20" s="1">
        <f>IF(853972&gt;0,100*26046/853972,"")</f>
        <v>3.049982903420721</v>
      </c>
      <c r="S20" s="1">
        <f>IF(COUNT(Q20:R20)=2,R20-Q20,"")</f>
        <v>-27.700857913217394</v>
      </c>
    </row>
    <row r="21" spans="1:19">
      <c r="A21" s="1">
        <v>19</v>
      </c>
      <c r="B21" s="1">
        <v>18</v>
      </c>
      <c r="C21" s="1">
        <f>IF(1610751&gt;0,100*584870/1610751,"")</f>
        <v>36.31039186069107</v>
      </c>
      <c r="D21" s="1">
        <f>IF(1451195&gt;0,100*406349/1451195,"")</f>
        <v>28.00099228566802</v>
      </c>
      <c r="E21" s="1">
        <f>IF(COUNT(C21:D21)=2,D21-C21,"")</f>
        <v>-8.30939957502305</v>
      </c>
      <c r="H21" s="1">
        <v>19</v>
      </c>
      <c r="I21" s="1">
        <v>18</v>
      </c>
      <c r="J21" s="1">
        <f>IF(959902&gt;0,100*142934/959902,"")</f>
        <v>14.89047840300364</v>
      </c>
      <c r="K21" s="1">
        <f>IF(1128883&gt;0,100*181748/1128883,"")</f>
        <v>16.099808394669775</v>
      </c>
      <c r="L21" s="1">
        <f>IF(COUNT(J21:K21)=2,K21-J21,"")</f>
        <v>1.2093299916661362</v>
      </c>
      <c r="O21" s="1">
        <v>19</v>
      </c>
      <c r="P21" s="1">
        <v>18</v>
      </c>
      <c r="Q21" s="1">
        <f>IF(1024717&gt;0,100*193814/1024717,"")</f>
        <v>18.91390500987102</v>
      </c>
      <c r="R21" s="1">
        <f>IF(754495&gt;0,100*61691/754495,"")</f>
        <v>8.17646240200399</v>
      </c>
      <c r="S21" s="1">
        <f>IF(COUNT(Q21:R21)=2,R21-Q21,"")</f>
        <v>-10.73744260786703</v>
      </c>
    </row>
    <row r="22" spans="1:19">
      <c r="A22" s="1">
        <v>20</v>
      </c>
      <c r="B22" s="1">
        <v>19</v>
      </c>
      <c r="C22" s="1">
        <f>IF(1151574&gt;0,100*385861/1151574,"")</f>
        <v>33.50726918113816</v>
      </c>
      <c r="D22" s="1">
        <f>IF(504782&gt;0,100*21539/504782,"")</f>
        <v>4.266990502830925</v>
      </c>
      <c r="E22" s="1">
        <f>IF(COUNT(C22:D22)=2,D22-C22,"")</f>
        <v>-29.240278678307238</v>
      </c>
      <c r="H22" s="1">
        <v>20</v>
      </c>
      <c r="I22" s="1">
        <v>19</v>
      </c>
      <c r="J22" s="1">
        <f>IF(795490&gt;0,100*93263/795490,"")</f>
        <v>11.723968874530163</v>
      </c>
      <c r="K22" s="1">
        <f>IF(934651&gt;0,100*75460/934651,"")</f>
        <v>8.073601804309844</v>
      </c>
      <c r="L22" s="1">
        <f>IF(COUNT(J22:K22)=2,K22-J22,"")</f>
        <v>-3.6503670702203195</v>
      </c>
      <c r="O22" s="1">
        <v>20</v>
      </c>
      <c r="P22" s="1">
        <v>19</v>
      </c>
      <c r="Q22" s="1">
        <f>IF(1318480&gt;0,100*350952/1318480,"")</f>
        <v>26.617923669680238</v>
      </c>
      <c r="R22" s="1">
        <f>IF(1196981&gt;0,100*214446/1196981,"")</f>
        <v>17.91557259471955</v>
      </c>
      <c r="S22" s="1">
        <f>IF(COUNT(Q22:R22)=2,R22-Q22,"")</f>
        <v>-8.702351074960688</v>
      </c>
    </row>
    <row r="23" spans="1:19">
      <c r="A23" s="1">
        <v>21</v>
      </c>
      <c r="B23" s="1">
        <v>20</v>
      </c>
      <c r="C23" s="1">
        <f>IF(1068079&gt;0,100*233010/1068079,"")</f>
        <v>21.815802014644984</v>
      </c>
      <c r="D23" s="1">
        <f>IF(1122836&gt;0,100*188849/1122836,"")</f>
        <v>16.81892992387134</v>
      </c>
      <c r="E23" s="1">
        <f>IF(COUNT(C23:D23)=2,D23-C23,"")</f>
        <v>-4.996872090773643</v>
      </c>
      <c r="H23" s="1">
        <v>21</v>
      </c>
      <c r="I23" s="1">
        <v>20</v>
      </c>
      <c r="J23" s="1">
        <f>IF(2064525&gt;0,100*814911/2064525,"")</f>
        <v>39.47208195589785</v>
      </c>
      <c r="K23" s="1">
        <f>IF(1072075&gt;0,100*189361/1072075,"")</f>
        <v>17.663036634563813</v>
      </c>
      <c r="L23" s="1">
        <f>IF(COUNT(J23:K23)=2,K23-J23,"")</f>
        <v>-21.809045321334036</v>
      </c>
      <c r="O23" s="1">
        <v>21</v>
      </c>
      <c r="P23" s="1">
        <v>20</v>
      </c>
      <c r="Q23" s="1">
        <f>IF(988289&gt;0,100*243580/988289,"")</f>
        <v>24.646636763133053</v>
      </c>
      <c r="R23" s="1">
        <f>IF(642580&gt;0,100*81675/642580,"")</f>
        <v>12.71047962899561</v>
      </c>
      <c r="S23" s="1">
        <f>IF(COUNT(Q23:R23)=2,R23-Q23,"")</f>
        <v>-11.936157134137442</v>
      </c>
    </row>
    <row r="24" spans="1:19">
      <c r="A24" s="1">
        <v>22</v>
      </c>
      <c r="B24" s="1">
        <v>21</v>
      </c>
      <c r="C24" s="1">
        <f>IF(1338290&gt;0,100*468761/1338290,"")</f>
        <v>35.0268626381427</v>
      </c>
      <c r="D24" s="1">
        <f>IF(1430224&gt;0,100*375094/1430224,"")</f>
        <v>26.22624148385148</v>
      </c>
      <c r="E24" s="1">
        <f>IF(COUNT(C24:D24)=2,D24-C24,"")</f>
        <v>-8.800621154291221</v>
      </c>
      <c r="H24" s="1">
        <v>22</v>
      </c>
      <c r="I24" s="1">
        <v>21</v>
      </c>
      <c r="J24" s="1">
        <f>IF(1478082&gt;0,100*446963/1478082,"")</f>
        <v>30.23939131929081</v>
      </c>
      <c r="K24" s="1">
        <f>IF(1633159&gt;0,100*438056/1633159,"")</f>
        <v>26.822618005962678</v>
      </c>
      <c r="L24" s="1">
        <f>IF(COUNT(J24:K24)=2,K24-J24,"")</f>
        <v>-3.4167733133281324</v>
      </c>
      <c r="O24" s="1">
        <v>22</v>
      </c>
      <c r="P24" s="1">
        <v>21</v>
      </c>
      <c r="Q24" s="1">
        <f>IF(1372655&gt;0,100*332190/1372655,"")</f>
        <v>24.20054565786742</v>
      </c>
      <c r="R24" s="1">
        <f>IF(1544179&gt;0,100*382630/1544179,"")</f>
        <v>24.77886307222155</v>
      </c>
      <c r="S24" s="1">
        <f>IF(COUNT(Q24:R24)=2,R24-Q24,"")</f>
        <v>0.5783174143541316</v>
      </c>
    </row>
    <row r="25" spans="1:19">
      <c r="A25" s="1">
        <v>23</v>
      </c>
      <c r="B25" s="1">
        <v>22</v>
      </c>
      <c r="C25" s="1">
        <f>IF(509320&gt;0,100*1248/509320,"")</f>
        <v>0.24503259247624284</v>
      </c>
      <c r="D25" s="1">
        <f>IF(509320&gt;0,100*1248/509320,"")</f>
        <v>0.24503259247624284</v>
      </c>
      <c r="E25" s="1">
        <f>IF(COUNT(C25:D25)=2,D25-C25,"")</f>
        <v>0.0</v>
      </c>
      <c r="H25" s="1">
        <v>23</v>
      </c>
      <c r="I25" s="1">
        <v>22</v>
      </c>
      <c r="J25" s="1">
        <f>IF(1340391&gt;0,100*238132/1340391,"")</f>
        <v>17.765860857018588</v>
      </c>
      <c r="K25" s="1">
        <f>IF(1172636&gt;0,100*112531/1172636,"")</f>
        <v>9.596413550325932</v>
      </c>
      <c r="L25" s="1">
        <f>IF(COUNT(J25:K25)=2,K25-J25,"")</f>
        <v>-8.169447306692655</v>
      </c>
      <c r="O25" s="1">
        <v>23</v>
      </c>
      <c r="P25" s="1">
        <v>22</v>
      </c>
      <c r="Q25" s="1">
        <f>IF(1673110&gt;0,100*548899/1673110,"")</f>
        <v>32.80710772154849</v>
      </c>
      <c r="R25" s="1">
        <f>IF(1468240&gt;0,100*319199/1468240,"")</f>
        <v>21.74024682613197</v>
      </c>
      <c r="S25" s="1">
        <f>IF(COUNT(Q25:R25)=2,R25-Q25,"")</f>
        <v>-11.066860895416522</v>
      </c>
    </row>
    <row r="26" spans="1:19">
      <c r="A26" s="1">
        <v>24</v>
      </c>
      <c r="B26" s="1">
        <v>23</v>
      </c>
      <c r="C26" s="1">
        <f>IF(914755&gt;0,100*175077/914755,"")</f>
        <v>19.139223070658264</v>
      </c>
      <c r="D26" s="1">
        <f>IF(1129689&gt;0,100*87024/1129689,"")</f>
        <v>7.703359066079249</v>
      </c>
      <c r="E26" s="1">
        <f>IF(COUNT(C26:D26)=2,D26-C26,"")</f>
        <v>-11.435864004579017</v>
      </c>
      <c r="H26" s="1">
        <v>24</v>
      </c>
      <c r="I26" s="1">
        <v>23</v>
      </c>
      <c r="J26" s="1">
        <f>IF(1715105&gt;0,100*545055/1715105,"")</f>
        <v>31.77968695794135</v>
      </c>
      <c r="K26" s="1">
        <f>IF(1314980&gt;0,100*140134/1314980,"")</f>
        <v>10.65674002646428</v>
      </c>
      <c r="L26" s="1">
        <f>IF(COUNT(J26:K26)=2,K26-J26,"")</f>
        <v>-21.12294693147707</v>
      </c>
      <c r="O26" s="1">
        <v>24</v>
      </c>
      <c r="P26" s="1">
        <v>23</v>
      </c>
      <c r="Q26" s="1">
        <f>IF(1476074&gt;0,100*377502/1476074,"")</f>
        <v>25.57473405804858</v>
      </c>
      <c r="R26" s="1">
        <f>IF(1118222&gt;0,100*122269/1118222,"")</f>
        <v>10.934233095038373</v>
      </c>
      <c r="S26" s="1">
        <f>IF(COUNT(Q26:R26)=2,R26-Q26,"")</f>
        <v>-14.640500963010208</v>
      </c>
    </row>
    <row r="27" spans="1:19">
      <c r="A27" s="1">
        <v>25</v>
      </c>
      <c r="B27" s="1">
        <v>24</v>
      </c>
      <c r="C27" s="1">
        <f>IF(1691255&gt;0,100*656381/1691255,"")</f>
        <v>38.81029176558236</v>
      </c>
      <c r="D27" s="1">
        <f>IF(1407554&gt;0,100*363606/1407554,"")</f>
        <v>25.832472501943087</v>
      </c>
      <c r="E27" s="1">
        <f>IF(COUNT(C27:D27)=2,D27-C27,"")</f>
        <v>-12.977819263639276</v>
      </c>
      <c r="H27" s="1">
        <v>25</v>
      </c>
      <c r="I27" s="1">
        <v>24</v>
      </c>
      <c r="J27" s="1">
        <f>IF(1222508&gt;0,100*246917/1222508,"")</f>
        <v>20.197577439166043</v>
      </c>
      <c r="K27" s="1">
        <f>IF(305022&gt;0,100*4628/305022,"")</f>
        <v>1.5172676069267135</v>
      </c>
      <c r="L27" s="1">
        <f>IF(COUNT(J27:K27)=2,K27-J27,"")</f>
        <v>-18.68030983223933</v>
      </c>
      <c r="O27" s="1">
        <v>25</v>
      </c>
      <c r="P27" s="1">
        <v>24</v>
      </c>
      <c r="Q27" s="1">
        <f>IF(1190475&gt;0,100*83215/1190475,"")</f>
        <v>6.99006699006699</v>
      </c>
      <c r="R27" s="1">
        <f>IF(931505&gt;0,100*102339/931505,"")</f>
        <v>10.986414458322821</v>
      </c>
      <c r="S27" s="1">
        <f>IF(COUNT(Q27:R27)=2,R27-Q27,"")</f>
        <v>3.9963474682558315</v>
      </c>
    </row>
    <row r="28" spans="1:19">
      <c r="A28" s="1">
        <v>26</v>
      </c>
      <c r="B28" s="1">
        <v>25</v>
      </c>
      <c r="C28" s="1">
        <f>IF(1683042&gt;0,100*681416/1683042,"")</f>
        <v>40.48716550151452</v>
      </c>
      <c r="D28" s="1">
        <f>IF(1753890&gt;0,100*487750/1753890,"")</f>
        <v>27.80961177724943</v>
      </c>
      <c r="E28" s="1">
        <f>IF(COUNT(C28:D28)=2,D28-C28,"")</f>
        <v>-12.677553724265088</v>
      </c>
      <c r="H28" s="1">
        <v>26</v>
      </c>
      <c r="I28" s="1">
        <v>25</v>
      </c>
      <c r="J28" s="1">
        <f>IF(1827352&gt;0,100*581318/1827352,"")</f>
        <v>31.8120427810296</v>
      </c>
      <c r="K28" s="1">
        <f>IF(1590623&gt;0,100*310737/1590623,"")</f>
        <v>19.535553050597155</v>
      </c>
      <c r="L28" s="1">
        <f>IF(COUNT(J28:K28)=2,K28-J28,"")</f>
        <v>-12.276489730432445</v>
      </c>
      <c r="O28" s="1">
        <v>26</v>
      </c>
      <c r="P28" s="1">
        <v>25</v>
      </c>
      <c r="Q28" s="1">
        <f>IF(1679034&gt;0,100*488863/1679034,"")</f>
        <v>29.11572963978097</v>
      </c>
      <c r="R28" s="1">
        <f>IF(1544489&gt;0,100*359584/1544489,"")</f>
        <v>23.281745612950303</v>
      </c>
      <c r="S28" s="1">
        <f>IF(COUNT(Q28:R28)=2,R28-Q28,"")</f>
        <v>-5.833984026830667</v>
      </c>
    </row>
    <row r="29" spans="1:19">
      <c r="A29" s="1">
        <v>27</v>
      </c>
      <c r="B29" s="1">
        <v>26</v>
      </c>
      <c r="C29" s="1">
        <f>IF(1557766&gt;0,100*464581/1557766,"")</f>
        <v>29.823542175140553</v>
      </c>
      <c r="D29" s="1">
        <f>IF(1302180&gt;0,100*275256/1302180,"")</f>
        <v>21.13809150808644</v>
      </c>
      <c r="E29" s="1">
        <f>IF(COUNT(C29:D29)=2,D29-C29,"")</f>
        <v>-8.685450667054113</v>
      </c>
      <c r="H29" s="1">
        <v>27</v>
      </c>
      <c r="I29" s="1">
        <v>26</v>
      </c>
      <c r="J29" s="1">
        <f>IF(1255658&gt;0,100*171678/1255658,"")</f>
        <v>13.672353459301815</v>
      </c>
      <c r="K29" s="1">
        <f>IF(1288643&gt;0,100*119302/1288643,"")</f>
        <v>9.257955849680632</v>
      </c>
      <c r="L29" s="1">
        <f>IF(COUNT(J29:K29)=2,K29-J29,"")</f>
        <v>-4.414397609621183</v>
      </c>
      <c r="O29" s="1">
        <v>27</v>
      </c>
      <c r="P29" s="1">
        <v>26</v>
      </c>
      <c r="Q29" s="1">
        <f>IF(2118549&gt;0,100*871261/2118549,"")</f>
        <v>41.12536457735931</v>
      </c>
      <c r="R29" s="1">
        <f>IF(1332854&gt;0,100*270351/1332854,"")</f>
        <v>20.283616960297227</v>
      </c>
      <c r="S29" s="1">
        <f>IF(COUNT(Q29:R29)=2,R29-Q29,"")</f>
        <v>-20.841747617062087</v>
      </c>
    </row>
    <row r="30" spans="1:19">
      <c r="A30" s="1">
        <v>28</v>
      </c>
      <c r="B30" s="1">
        <v>27</v>
      </c>
      <c r="C30" s="1">
        <f>IF(506350&gt;0,100*449/506350,"")</f>
        <v>0.08867384220400909</v>
      </c>
      <c r="D30" s="1">
        <f>IF(506350&gt;0,100*449/506350,"")</f>
        <v>0.08867384220400909</v>
      </c>
      <c r="E30" s="1">
        <f>IF(COUNT(C30:D30)=2,D30-C30,"")</f>
        <v>0.0</v>
      </c>
      <c r="H30" s="1">
        <v>28</v>
      </c>
      <c r="I30" s="1">
        <v>27</v>
      </c>
      <c r="J30" s="1">
        <f>IF(1718872&gt;0,100*583484/1718872,"")</f>
        <v>33.94575046891217</v>
      </c>
      <c r="K30" s="1">
        <f>IF(1399761&gt;0,100*318188/1399761,"")</f>
        <v>22.73159489369971</v>
      </c>
      <c r="L30" s="1">
        <f>IF(COUNT(J30:K30)=2,K30-J30,"")</f>
        <v>-11.214155575212462</v>
      </c>
      <c r="O30" s="1">
        <v>28</v>
      </c>
      <c r="P30" s="1">
        <v>27</v>
      </c>
      <c r="Q30" s="1">
        <f>IF(1202604&gt;0,100*322949/1202604,"")</f>
        <v>26.8541431759748</v>
      </c>
      <c r="R30" s="1">
        <f>IF(1225773&gt;0,100*262185/1225773,"")</f>
        <v>21.389360020166865</v>
      </c>
      <c r="S30" s="1">
        <f>IF(COUNT(Q30:R30)=2,R30-Q30,"")</f>
        <v>-5.464783155807936</v>
      </c>
    </row>
    <row r="31" spans="1:19">
      <c r="A31" s="1">
        <v>29</v>
      </c>
      <c r="B31" s="1">
        <v>28</v>
      </c>
      <c r="C31" s="1">
        <f>IF(1614535&gt;0,100*599059/1614535,"")</f>
        <v>37.104119762036746</v>
      </c>
      <c r="D31" s="1">
        <f>IF(1682957&gt;0,100*481277/1682957,"")</f>
        <v>28.59710616492281</v>
      </c>
      <c r="E31" s="1">
        <f>IF(COUNT(C31:D31)=2,D31-C31,"")</f>
        <v>-8.507013597113936</v>
      </c>
      <c r="H31" s="1">
        <v>29</v>
      </c>
      <c r="I31" s="1">
        <v>28</v>
      </c>
      <c r="J31" s="1">
        <f>IF(1707787&gt;0,100*644845/1707787,"")</f>
        <v>37.75909993459371</v>
      </c>
      <c r="K31" s="1">
        <f>IF(1366764&gt;0,100*312439/1366764,"")</f>
        <v>22.859762182790885</v>
      </c>
      <c r="L31" s="1">
        <f>IF(COUNT(J31:K31)=2,K31-J31,"")</f>
        <v>-14.899337751802829</v>
      </c>
      <c r="O31" s="1">
        <v>29</v>
      </c>
      <c r="P31" s="1">
        <v>28</v>
      </c>
      <c r="Q31" s="1">
        <f>IF(1781585&gt;0,100*685393/1781585,"")</f>
        <v>38.47096826702066</v>
      </c>
      <c r="R31" s="1">
        <f>IF(1464216&gt;0,100*287789/1464216,"")</f>
        <v>19.654818687953142</v>
      </c>
      <c r="S31" s="1">
        <f>IF(COUNT(Q31:R31)=2,R31-Q31,"")</f>
        <v>-18.816149579067517</v>
      </c>
    </row>
    <row r="32" spans="1:19">
      <c r="A32" s="1">
        <v>30</v>
      </c>
      <c r="B32" s="1">
        <v>29</v>
      </c>
      <c r="C32" s="1">
        <f>IF(1722125&gt;0,100*685666/1722125,"")</f>
        <v>39.81511214342745</v>
      </c>
      <c r="D32" s="1">
        <f>IF(1660218&gt;0,100*452935/1660218,"")</f>
        <v>27.281658191876005</v>
      </c>
      <c r="E32" s="1">
        <f>IF(COUNT(C32:D32)=2,D32-C32,"")</f>
        <v>-12.533453951551444</v>
      </c>
      <c r="H32" s="1">
        <v>30</v>
      </c>
      <c r="I32" s="1">
        <v>29</v>
      </c>
      <c r="J32" s="1">
        <f>IF(1183903&gt;0,100*336267/1183903,"")</f>
        <v>28.403256009994063</v>
      </c>
      <c r="K32" s="1">
        <f>IF(1129411&gt;0,100*202680/1129411,"")</f>
        <v>17.94563715069182</v>
      </c>
      <c r="L32" s="1">
        <f>IF(COUNT(J32:K32)=2,K32-J32,"")</f>
        <v>-10.457618859302244</v>
      </c>
      <c r="O32" s="1">
        <v>30</v>
      </c>
      <c r="P32" s="1">
        <v>29</v>
      </c>
      <c r="Q32" s="1">
        <f>IF(1267752&gt;0,100*304833/1267752,"")</f>
        <v>24.045160252162884</v>
      </c>
      <c r="R32" s="1">
        <f>IF(1409896&gt;0,100*243689/1409896,"")</f>
        <v>17.284182663118415</v>
      </c>
      <c r="S32" s="1">
        <f>IF(COUNT(Q32:R32)=2,R32-Q32,"")</f>
        <v>-6.760977589044469</v>
      </c>
    </row>
    <row r="33" spans="1:19">
      <c r="A33" s="1">
        <v>31</v>
      </c>
      <c r="B33" s="1">
        <v>30</v>
      </c>
      <c r="C33" s="1">
        <f>IF(758539&gt;0,100*11909/758539,"")</f>
        <v>1.569991786842865</v>
      </c>
      <c r="D33" s="1">
        <f>IF(972543&gt;0,100*10869/972543,"")</f>
        <v>1.1175855463460227</v>
      </c>
      <c r="E33" s="1">
        <f>IF(COUNT(C33:D33)=2,D33-C33,"")</f>
        <v>-0.4524062404968423</v>
      </c>
      <c r="H33" s="1">
        <v>31</v>
      </c>
      <c r="I33" s="1">
        <v>30</v>
      </c>
      <c r="J33" s="1">
        <f>IF(1372764&gt;0,100*366154/1372764,"")</f>
        <v>26.67275656995667</v>
      </c>
      <c r="K33" s="1">
        <f>IF(1560306&gt;0,100*403346/1560306,"")</f>
        <v>25.850442156858975</v>
      </c>
      <c r="L33" s="1">
        <f>IF(COUNT(J33:K33)=2,K33-J33,"")</f>
        <v>-0.8223144130976969</v>
      </c>
      <c r="O33" s="1">
        <v>31</v>
      </c>
      <c r="P33" s="1">
        <v>30</v>
      </c>
      <c r="Q33" s="1">
        <f>IF(1698653&gt;0,100*588007/1698653,"")</f>
        <v>34.616075207826434</v>
      </c>
      <c r="R33" s="1">
        <f>IF(1620370&gt;0,100*345920/1620370,"")</f>
        <v>21.348210593876708</v>
      </c>
      <c r="S33" s="1">
        <f>IF(COUNT(Q33:R33)=2,R33-Q33,"")</f>
        <v>-13.267864613949726</v>
      </c>
    </row>
    <row r="34" spans="1:19">
      <c r="A34" s="2" t="s">
        <v>6</v>
      </c>
      <c r="B34" s="1"/>
      <c r="C34" s="1">
        <f>IF(COUNT(C3:C33)&gt;0,AVERAGE(C3:C33),"")</f>
        <v>28.37755704515853</v>
      </c>
      <c r="D34" s="1">
        <f>IF(COUNT(D3:D33)&gt;0,AVERAGE(D3:D33),"")</f>
        <v>17.376901157147877</v>
      </c>
      <c r="E34" s="1">
        <f>IF(COUNT(E3:E33)&gt;0,AVERAGE(E3:E33),"")</f>
        <v>-11.000655888010655</v>
      </c>
      <c r="H34" s="2" t="s">
        <v>6</v>
      </c>
      <c r="I34" s="1"/>
      <c r="J34" s="1">
        <f>IF(COUNT(J3:J33)&gt;0,AVERAGE(J3:J33),"")</f>
        <v>23.048785214991636</v>
      </c>
      <c r="K34" s="1">
        <f>IF(COUNT(K3:K33)&gt;0,AVERAGE(K3:K33),"")</f>
        <v>15.237826112288072</v>
      </c>
      <c r="L34" s="1">
        <f>IF(COUNT(L3:L33)&gt;0,AVERAGE(L3:L33),"")</f>
        <v>-7.8109591027035625</v>
      </c>
      <c r="O34" s="2" t="s">
        <v>6</v>
      </c>
      <c r="P34" s="1"/>
      <c r="Q34" s="1">
        <f>IF(COUNT(Q3:Q33)&gt;0,AVERAGE(Q3:Q33),"")</f>
        <v>24.644136830215917</v>
      </c>
      <c r="R34" s="1">
        <f>IF(COUNT(R3:R33)&gt;0,AVERAGE(R3:R33),"")</f>
        <v>14.643686085318766</v>
      </c>
      <c r="S34" s="1">
        <f>IF(COUNT(S3:S33)&gt;0,AVERAGE(S3:S33),"")</f>
        <v>-10.000450744897151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IF(1093423&gt;0,100*121600/1093423,"")</f>
        <v>11.121039158678755</v>
      </c>
      <c r="D39" s="1">
        <f>IF(1029227&gt;0,100*67366/1029227,"")</f>
        <v>6.54530050222157</v>
      </c>
      <c r="E39" s="1">
        <f>IF(COUNT(C39:D39)=2,D39-C39,"")</f>
        <v>-4.575738656457185</v>
      </c>
      <c r="H39" s="1">
        <v>1</v>
      </c>
      <c r="I39" s="1">
        <v>0</v>
      </c>
      <c r="J39" s="1">
        <f>IF(2001661&gt;0,100*613984/2001661,"")</f>
        <v>30.673725470996338</v>
      </c>
      <c r="K39" s="1">
        <f>IF(1611872&gt;0,100*116266/1611872,"")</f>
        <v>7.213103770026404</v>
      </c>
      <c r="L39" s="1">
        <f>IF(COUNT(J39:K39)=2,K39-J39,"")</f>
        <v>-23.460621700969934</v>
      </c>
      <c r="O39" s="1">
        <v>1</v>
      </c>
      <c r="P39" s="1">
        <v>0</v>
      </c>
      <c r="Q39" s="1">
        <f>IF(1572820&gt;0,100*273004/1572820,"")</f>
        <v>17.35761244134739</v>
      </c>
      <c r="R39" s="1">
        <f>IF(1405101&gt;0,100*206359/1405101,"")</f>
        <v>14.686417560018818</v>
      </c>
      <c r="S39" s="1">
        <f>IF(COUNT(Q39:R39)=2,R39-Q39,"")</f>
        <v>-2.671194881328571</v>
      </c>
    </row>
    <row r="40" spans="1:19">
      <c r="A40" s="1">
        <v>2</v>
      </c>
      <c r="B40" s="1">
        <v>1</v>
      </c>
      <c r="C40" s="1">
        <f>IF(1205676&gt;0,100*374828/1205676,"")</f>
        <v>31.08861750586393</v>
      </c>
      <c r="D40" s="1">
        <f>IF(1132065&gt;0,100*302643/1132065,"")</f>
        <v>26.733712286838653</v>
      </c>
      <c r="E40" s="1">
        <f>IF(COUNT(C40:D40)=2,D40-C40,"")</f>
        <v>-4.354905219025277</v>
      </c>
      <c r="H40" s="1">
        <v>2</v>
      </c>
      <c r="I40" s="1">
        <v>1</v>
      </c>
      <c r="J40" s="1">
        <f>IF(2100504&gt;0,100*794890/2100504,"")</f>
        <v>37.84282248450848</v>
      </c>
      <c r="K40" s="1">
        <f>IF(2376218&gt;0,100*559032/2376218,"")</f>
        <v>23.5261242865764</v>
      </c>
      <c r="L40" s="1">
        <f>IF(COUNT(J40:K40)=2,K40-J40,"")</f>
        <v>-14.31669819793208</v>
      </c>
      <c r="O40" s="1">
        <v>2</v>
      </c>
      <c r="P40" s="1">
        <v>1</v>
      </c>
      <c r="Q40" s="1">
        <f>IF(2271111&gt;0,100*972080/2271111,"")</f>
        <v>42.801959041191736</v>
      </c>
      <c r="R40" s="1">
        <f>IF(1876722&gt;0,100*400463/1876722,"")</f>
        <v>21.33842945305698</v>
      </c>
      <c r="S40" s="1">
        <f>IF(COUNT(Q40:R40)=2,R40-Q40,"")</f>
        <v>-21.463529588134758</v>
      </c>
    </row>
    <row r="41" spans="1:19">
      <c r="A41" s="1">
        <v>3</v>
      </c>
      <c r="B41" s="1">
        <v>2</v>
      </c>
      <c r="C41" s="1">
        <f>IF(1607803&gt;0,100*670978/1607803,"")</f>
        <v>41.732600324791036</v>
      </c>
      <c r="D41" s="1">
        <f>IF(1313997&gt;0,100*249117/1313997,"")</f>
        <v>18.958719083833525</v>
      </c>
      <c r="E41" s="1">
        <f>IF(COUNT(C41:D41)=2,D41-C41,"")</f>
        <v>-22.77388124095751</v>
      </c>
      <c r="H41" s="1">
        <v>3</v>
      </c>
      <c r="I41" s="1">
        <v>2</v>
      </c>
      <c r="J41" s="1">
        <f>IF(2703819&gt;0,100*975381/2703819,"")</f>
        <v>36.0741972742998</v>
      </c>
      <c r="K41" s="1">
        <f>IF(1907812&gt;0,100*101865/1907812,"")</f>
        <v>5.3393625787027235</v>
      </c>
      <c r="L41" s="1">
        <f>IF(COUNT(J41:K41)=2,K41-J41,"")</f>
        <v>-30.734834695597076</v>
      </c>
      <c r="O41" s="1">
        <v>3</v>
      </c>
      <c r="P41" s="1">
        <v>2</v>
      </c>
      <c r="Q41" s="1">
        <f>IF(2333406&gt;0,100*950771/2333406,"")</f>
        <v>40.746059622714604</v>
      </c>
      <c r="R41" s="1">
        <f>IF(2373737&gt;0,100*640881/2373737,"")</f>
        <v>26.998820846622856</v>
      </c>
      <c r="S41" s="1">
        <f>IF(COUNT(Q41:R41)=2,R41-Q41,"")</f>
        <v>-13.747238776091748</v>
      </c>
    </row>
    <row r="42" spans="1:19">
      <c r="A42" s="1">
        <v>4</v>
      </c>
      <c r="B42" s="1">
        <v>3</v>
      </c>
      <c r="C42" s="1">
        <f>IF(2016766&gt;0,100*855389/2016766,"")</f>
        <v>42.41389432388289</v>
      </c>
      <c r="D42" s="1">
        <f>IF(2141349&gt;0,100*676694/2141349,"")</f>
        <v>31.60129432427876</v>
      </c>
      <c r="E42" s="1">
        <f>IF(COUNT(C42:D42)=2,D42-C42,"")</f>
        <v>-10.812599999604132</v>
      </c>
      <c r="H42" s="1">
        <v>4</v>
      </c>
      <c r="I42" s="1">
        <v>3</v>
      </c>
      <c r="J42" s="1">
        <f>IF(1363146&gt;0,100*83089/1363146,"")</f>
        <v>6.09538523386343</v>
      </c>
      <c r="K42" s="1">
        <f>IF(1505561&gt;0,100*39021/1505561,"")</f>
        <v>2.591791365477719</v>
      </c>
      <c r="L42" s="1">
        <f>IF(COUNT(J42:K42)=2,K42-J42,"")</f>
        <v>-3.5035938683857113</v>
      </c>
      <c r="O42" s="1">
        <v>4</v>
      </c>
      <c r="P42" s="1">
        <v>3</v>
      </c>
      <c r="Q42" s="1">
        <f>IF(1406270&gt;0,100*83129/1406270,"")</f>
        <v>5.911311483570011</v>
      </c>
      <c r="R42" s="1">
        <f>IF(1004621&gt;0,100*15615/1004621,"")</f>
        <v>1.5543174988378703</v>
      </c>
      <c r="S42" s="1">
        <f>IF(COUNT(Q42:R42)=2,R42-Q42,"")</f>
        <v>-4.35699398473214</v>
      </c>
    </row>
    <row r="43" spans="1:19">
      <c r="A43" s="1">
        <v>5</v>
      </c>
      <c r="B43" s="1">
        <v>4</v>
      </c>
      <c r="C43" s="1">
        <f>IF(1270456&gt;0,100*222216/1270456,"")</f>
        <v>17.49104258628398</v>
      </c>
      <c r="D43" s="1">
        <f>IF(1066764&gt;0,100*13529/1066764,"")</f>
        <v>1.2682280241927923</v>
      </c>
      <c r="E43" s="1">
        <f>IF(COUNT(C43:D43)=2,D43-C43,"")</f>
        <v>-16.222814562091187</v>
      </c>
      <c r="H43" s="1">
        <v>5</v>
      </c>
      <c r="I43" s="1">
        <v>4</v>
      </c>
      <c r="J43" s="1">
        <f>IF(2437241&gt;0,100*1028598/2437241,"")</f>
        <v>42.20337668699977</v>
      </c>
      <c r="K43" s="1">
        <f>IF(1974925&gt;0,100*427295/1974925,"")</f>
        <v>21.636011494107372</v>
      </c>
      <c r="L43" s="1">
        <f>IF(COUNT(J43:K43)=2,K43-J43,"")</f>
        <v>-20.567365192892396</v>
      </c>
      <c r="O43" s="1">
        <v>5</v>
      </c>
      <c r="P43" s="1">
        <v>4</v>
      </c>
      <c r="Q43" s="1">
        <f>IF(2401097&gt;0,100*1112784/2401097,"")</f>
        <v>46.344816556765515</v>
      </c>
      <c r="R43" s="1">
        <f>IF(2316363&gt;0,100*664235/2316363,"")</f>
        <v>28.675773184082114</v>
      </c>
      <c r="S43" s="1">
        <f>IF(COUNT(Q43:R43)=2,R43-Q43,"")</f>
        <v>-17.6690433726834</v>
      </c>
    </row>
    <row r="44" spans="1:19">
      <c r="A44" s="1">
        <v>6</v>
      </c>
      <c r="B44" s="1">
        <v>5</v>
      </c>
      <c r="C44" s="1">
        <f>IF(2068143&gt;0,100*935980/2068143,"")</f>
        <v>45.25702526372693</v>
      </c>
      <c r="D44" s="1">
        <f>IF(1345267&gt;0,100*131527/1345267,"")</f>
        <v>9.777018242475286</v>
      </c>
      <c r="E44" s="1">
        <f>IF(COUNT(C44:D44)=2,D44-C44,"")</f>
        <v>-35.480007021251645</v>
      </c>
      <c r="H44" s="1">
        <v>6</v>
      </c>
      <c r="I44" s="1">
        <v>5</v>
      </c>
      <c r="J44" s="1">
        <f>IF(2170385&gt;0,100*855280/2170385,"")</f>
        <v>39.40683334984346</v>
      </c>
      <c r="K44" s="1">
        <f>IF(2279767&gt;0,100*542097/2279767,"")</f>
        <v>23.77861421803193</v>
      </c>
      <c r="L44" s="1">
        <f>IF(COUNT(J44:K44)=2,K44-J44,"")</f>
        <v>-15.62821913181153</v>
      </c>
      <c r="O44" s="1">
        <v>6</v>
      </c>
      <c r="P44" s="1">
        <v>5</v>
      </c>
      <c r="Q44" s="1">
        <f>IF(1758860&gt;0,100*252810/1758860,"")</f>
        <v>14.373514662906656</v>
      </c>
      <c r="R44" s="1">
        <f>IF(1721422&gt;0,100*124916/1721422,"")</f>
        <v>7.256558821718324</v>
      </c>
      <c r="S44" s="1">
        <f>IF(COUNT(Q44:R44)=2,R44-Q44,"")</f>
        <v>-7.116955841188332</v>
      </c>
    </row>
    <row r="45" spans="1:19">
      <c r="A45" s="1">
        <v>7</v>
      </c>
      <c r="B45" s="1">
        <v>6</v>
      </c>
      <c r="C45" s="1">
        <f>IF(1955799&gt;0,100*927153/1955799,"")</f>
        <v>47.405331529466984</v>
      </c>
      <c r="D45" s="1">
        <f>IF(1800228&gt;0,100*458639/1800228,"")</f>
        <v>25.476717393574592</v>
      </c>
      <c r="E45" s="1">
        <f>IF(COUNT(C45:D45)=2,D45-C45,"")</f>
        <v>-21.928614135892392</v>
      </c>
      <c r="H45" s="1">
        <v>7</v>
      </c>
      <c r="I45" s="1">
        <v>6</v>
      </c>
      <c r="J45" s="1">
        <f>IF(1062155&gt;0,100*3098/1062155,"")</f>
        <v>0.29167117793542374</v>
      </c>
      <c r="K45" s="1">
        <f>IF(1062155&gt;0,100*3098/1062155,"")</f>
        <v>0.29167117793542374</v>
      </c>
      <c r="L45" s="1">
        <f>IF(COUNT(J45:K45)=2,K45-J45,"")</f>
        <v>0.0</v>
      </c>
      <c r="O45" s="1">
        <v>7</v>
      </c>
      <c r="P45" s="1">
        <v>6</v>
      </c>
      <c r="Q45" s="1">
        <f>IF(1340065&gt;0,100*31783/1340065,"")</f>
        <v>2.3717506240368937</v>
      </c>
      <c r="R45" s="1">
        <f>IF(1294739&gt;0,100*127183/1294739,"")</f>
        <v>9.823060864004251</v>
      </c>
      <c r="S45" s="1">
        <f>IF(COUNT(Q45:R45)=2,R45-Q45,"")</f>
        <v>7.451310239967357</v>
      </c>
    </row>
    <row r="46" spans="1:19">
      <c r="A46" s="1">
        <v>8</v>
      </c>
      <c r="B46" s="1">
        <v>7</v>
      </c>
      <c r="C46" s="1">
        <f>IF(2103376&gt;0,100*877826/2103376,"")</f>
        <v>41.73414548801546</v>
      </c>
      <c r="D46" s="1">
        <f>IF(1745329&gt;0,100*496325/1745329,"")</f>
        <v>28.43733187267272</v>
      </c>
      <c r="E46" s="1">
        <f>IF(COUNT(C46:D46)=2,D46-C46,"")</f>
        <v>-13.296813615342739</v>
      </c>
      <c r="H46" s="1">
        <v>8</v>
      </c>
      <c r="I46" s="1">
        <v>7</v>
      </c>
      <c r="J46" s="1">
        <f>IF(875780&gt;0,100*4451/875780,"")</f>
        <v>0.5082326611706136</v>
      </c>
      <c r="K46" s="1">
        <f>IF(875780&gt;0,100*4451/875780,"")</f>
        <v>0.5082326611706136</v>
      </c>
      <c r="L46" s="1">
        <f>IF(COUNT(J46:K46)=2,K46-J46,"")</f>
        <v>0.0</v>
      </c>
      <c r="O46" s="1">
        <v>8</v>
      </c>
      <c r="P46" s="1">
        <v>7</v>
      </c>
      <c r="Q46" s="1">
        <f>IF(953770&gt;0,100*30543/953770,"")</f>
        <v>3.202344380720719</v>
      </c>
      <c r="R46" s="1">
        <f>IF(947820&gt;0,100*17951/947820,"")</f>
        <v>1.8939250068578422</v>
      </c>
      <c r="S46" s="1">
        <f>IF(COUNT(Q46:R46)=2,R46-Q46,"")</f>
        <v>-1.3084193738628769</v>
      </c>
    </row>
    <row r="47" spans="1:19">
      <c r="A47" s="1">
        <v>9</v>
      </c>
      <c r="B47" s="1">
        <v>8</v>
      </c>
      <c r="C47" s="1">
        <f>IF(1775689&gt;0,100*854041/1775689,"")</f>
        <v>48.096316415768754</v>
      </c>
      <c r="D47" s="1">
        <f>IF(1657062&gt;0,100*474599/1657062,"")</f>
        <v>28.640992310486872</v>
      </c>
      <c r="E47" s="1">
        <f>IF(COUNT(C47:D47)=2,D47-C47,"")</f>
        <v>-19.455324105281882</v>
      </c>
      <c r="H47" s="1">
        <v>9</v>
      </c>
      <c r="I47" s="1">
        <v>8</v>
      </c>
      <c r="J47" s="1">
        <f>IF(2261107&gt;0,100*975052/2261107,"")</f>
        <v>43.122771279731566</v>
      </c>
      <c r="K47" s="1">
        <f>IF(2539934&gt;0,100*696816/2539934,"")</f>
        <v>27.43441365011847</v>
      </c>
      <c r="L47" s="1">
        <f>IF(COUNT(J47:K47)=2,K47-J47,"")</f>
        <v>-15.688357629613098</v>
      </c>
      <c r="O47" s="1">
        <v>9</v>
      </c>
      <c r="P47" s="1">
        <v>8</v>
      </c>
      <c r="Q47" s="1">
        <f>IF(2405152&gt;0,100*1125762/2405152,"")</f>
        <v>46.80627253495829</v>
      </c>
      <c r="R47" s="1">
        <f>IF(2239578&gt;0,100*624972/2239578,"")</f>
        <v>27.905792966353484</v>
      </c>
      <c r="S47" s="1">
        <f>IF(COUNT(Q47:R47)=2,R47-Q47,"")</f>
        <v>-18.900479568604805</v>
      </c>
    </row>
    <row r="48" spans="1:19">
      <c r="A48" s="1">
        <v>10</v>
      </c>
      <c r="B48" s="1">
        <v>9</v>
      </c>
      <c r="C48" s="1">
        <f>IF(1746180&gt;0,100*461985/1746180,"")</f>
        <v>26.456894478232485</v>
      </c>
      <c r="D48" s="1">
        <f>IF(1000939&gt;0,100*16306/1000939,"")</f>
        <v>1.6290703029854967</v>
      </c>
      <c r="E48" s="1">
        <f>IF(COUNT(C48:D48)=2,D48-C48,"")</f>
        <v>-24.827824175246988</v>
      </c>
      <c r="H48" s="1">
        <v>10</v>
      </c>
      <c r="I48" s="1">
        <v>9</v>
      </c>
      <c r="J48" s="1">
        <f>IF(2706863&gt;0,100*1192100/2706863,"")</f>
        <v>44.03990892778837</v>
      </c>
      <c r="K48" s="1">
        <f>IF(2091118&gt;0,100*374784/2091118,"")</f>
        <v>17.92266146625872</v>
      </c>
      <c r="L48" s="1">
        <f>IF(COUNT(J48:K48)=2,K48-J48,"")</f>
        <v>-26.117247461529647</v>
      </c>
      <c r="O48" s="1">
        <v>10</v>
      </c>
      <c r="P48" s="1">
        <v>9</v>
      </c>
      <c r="Q48" s="1">
        <f>IF(1922653&gt;0,100*523894/1922653,"")</f>
        <v>27.248494658162446</v>
      </c>
      <c r="R48" s="1">
        <f>IF(1704431&gt;0,100*211517/1704431,"")</f>
        <v>12.409830612092833</v>
      </c>
      <c r="S48" s="1">
        <f>IF(COUNT(Q48:R48)=2,R48-Q48,"")</f>
        <v>-14.838664046069614</v>
      </c>
    </row>
    <row r="49" spans="1:19">
      <c r="A49" s="1">
        <v>11</v>
      </c>
      <c r="B49" s="1">
        <v>10</v>
      </c>
      <c r="C49" s="1">
        <f>IF(1971439&gt;0,100*862784/1971439,"")</f>
        <v>43.76417429096208</v>
      </c>
      <c r="D49" s="1">
        <f>IF(1941871&gt;0,100*517424/1941871,"")</f>
        <v>26.645642269749125</v>
      </c>
      <c r="E49" s="1">
        <f>IF(COUNT(C49:D49)=2,D49-C49,"")</f>
        <v>-17.118532021212957</v>
      </c>
      <c r="H49" s="1">
        <v>11</v>
      </c>
      <c r="I49" s="1">
        <v>10</v>
      </c>
      <c r="J49" s="1">
        <f>IF(2596797&gt;0,100*880971/2596797,"")</f>
        <v>33.92529335177143</v>
      </c>
      <c r="K49" s="1">
        <f>IF(1583508&gt;0,100*33372/1583508,"")</f>
        <v>2.1074727756348564</v>
      </c>
      <c r="L49" s="1">
        <f>IF(COUNT(J49:K49)=2,K49-J49,"")</f>
        <v>-31.817820576136572</v>
      </c>
      <c r="O49" s="1">
        <v>11</v>
      </c>
      <c r="P49" s="1">
        <v>10</v>
      </c>
      <c r="Q49" s="1">
        <f>IF(2537267&gt;0,100*1086404/2537267,"")</f>
        <v>42.817882390777164</v>
      </c>
      <c r="R49" s="1">
        <f>IF(1947502&gt;0,100*164665/1947502,"")</f>
        <v>8.455190289920113</v>
      </c>
      <c r="S49" s="1">
        <f>IF(COUNT(Q49:R49)=2,R49-Q49,"")</f>
        <v>-34.36269210085705</v>
      </c>
    </row>
    <row r="50" spans="1:19">
      <c r="A50" s="1">
        <v>12</v>
      </c>
      <c r="B50" s="1">
        <v>11</v>
      </c>
      <c r="C50" s="1">
        <f>IF(1769042&gt;0,100*718057/1769042,"")</f>
        <v>40.59016122850673</v>
      </c>
      <c r="D50" s="1">
        <f>IF(1896887&gt;0,100*541173/1896887,"")</f>
        <v>28.529532860945327</v>
      </c>
      <c r="E50" s="1">
        <f>IF(COUNT(C50:D50)=2,D50-C50,"")</f>
        <v>-12.060628367561403</v>
      </c>
      <c r="H50" s="1">
        <v>12</v>
      </c>
      <c r="I50" s="1">
        <v>11</v>
      </c>
      <c r="J50" s="1">
        <f>IF(16409&gt;0,100*2109/16409,"")</f>
        <v>12.85270278505698</v>
      </c>
      <c r="K50" s="1">
        <f>IF(16409&gt;0,100*2109/16409,"")</f>
        <v>12.85270278505698</v>
      </c>
      <c r="L50" s="1">
        <f>IF(COUNT(J50:K50)=2,K50-J50,"")</f>
        <v>0.0</v>
      </c>
      <c r="O50" s="1">
        <v>12</v>
      </c>
      <c r="P50" s="1">
        <v>11</v>
      </c>
      <c r="Q50" s="1">
        <f>IF(2609889&gt;0,100*1051883/2609889,"")</f>
        <v>40.30374471864512</v>
      </c>
      <c r="R50" s="1">
        <f>IF(1934409&gt;0,100*127517/1934409,"")</f>
        <v>6.592039222315446</v>
      </c>
      <c r="S50" s="1">
        <f>IF(COUNT(Q50:R50)=2,R50-Q50,"")</f>
        <v>-33.71170549632967</v>
      </c>
    </row>
    <row r="51" spans="1:19">
      <c r="A51" s="1">
        <v>13</v>
      </c>
      <c r="B51" s="1">
        <v>12</v>
      </c>
      <c r="C51" s="1">
        <f>IF(2168985&gt;0,100*980233/2168985,"")</f>
        <v>45.193166388886965</v>
      </c>
      <c r="D51" s="1">
        <f>IF(1547260&gt;0,100*235691/1547260,"")</f>
        <v>15.232798624665538</v>
      </c>
      <c r="E51" s="1">
        <f>IF(COUNT(C51:D51)=2,D51-C51,"")</f>
        <v>-29.960367764221427</v>
      </c>
      <c r="H51" s="1">
        <v>13</v>
      </c>
      <c r="I51" s="1">
        <v>12</v>
      </c>
      <c r="J51" s="1">
        <f>IF(1392134&gt;0,100*142847/1392134,"")</f>
        <v>10.261009356857889</v>
      </c>
      <c r="K51" s="1">
        <f>IF(1381443&gt;0,100*115152/1381443,"")</f>
        <v>8.335631654726253</v>
      </c>
      <c r="L51" s="1">
        <f>IF(COUNT(J51:K51)=2,K51-J51,"")</f>
        <v>-1.9253777021316356</v>
      </c>
      <c r="O51" s="1">
        <v>13</v>
      </c>
      <c r="P51" s="1">
        <v>12</v>
      </c>
      <c r="Q51" s="1">
        <f>IF(1129838&gt;0,100*24638/1129838,"")</f>
        <v>2.1806666088412676</v>
      </c>
      <c r="R51" s="1">
        <f>IF(1719875&gt;0,100*40623/1719875,"")</f>
        <v>2.3619739806671998</v>
      </c>
      <c r="S51" s="1">
        <f>IF(COUNT(Q51:R51)=2,R51-Q51,"")</f>
        <v>0.18130737182593215</v>
      </c>
    </row>
    <row r="52" spans="1:19">
      <c r="A52" s="1">
        <v>14</v>
      </c>
      <c r="B52" s="1">
        <v>13</v>
      </c>
      <c r="C52" s="1">
        <f>IF(1030639&gt;0,100*3971/1030639,"")</f>
        <v>0.38529494808560516</v>
      </c>
      <c r="D52" s="1">
        <f>IF(1030639&gt;0,100*3971/1030639,"")</f>
        <v>0.38529494808560516</v>
      </c>
      <c r="E52" s="1">
        <f>IF(COUNT(C52:D52)=2,D52-C52,"")</f>
        <v>0.0</v>
      </c>
      <c r="H52" s="1">
        <v>14</v>
      </c>
      <c r="I52" s="1">
        <v>13</v>
      </c>
      <c r="J52" s="1">
        <f>IF(1631278&gt;0,100*497437/1631278,"")</f>
        <v>30.49369880547644</v>
      </c>
      <c r="K52" s="1">
        <f>IF(1406880&gt;0,100*257729/1406880,"")</f>
        <v>18.319188559081088</v>
      </c>
      <c r="L52" s="1">
        <f>IF(COUNT(J52:K52)=2,K52-J52,"")</f>
        <v>-12.174510246395354</v>
      </c>
      <c r="O52" s="1">
        <v>14</v>
      </c>
      <c r="P52" s="1">
        <v>13</v>
      </c>
      <c r="Q52" s="1">
        <f>IF(1227769&gt;0,100*230841/1227769,"")</f>
        <v>18.801663830899788</v>
      </c>
      <c r="R52" s="1">
        <f>IF(1265316&gt;0,100*132628/1265316,"")</f>
        <v>10.4818084968498</v>
      </c>
      <c r="S52" s="1">
        <f>IF(COUNT(Q52:R52)=2,R52-Q52,"")</f>
        <v>-8.319855334049988</v>
      </c>
    </row>
    <row r="53" spans="1:19">
      <c r="A53" s="1">
        <v>15</v>
      </c>
      <c r="B53" s="1">
        <v>14</v>
      </c>
      <c r="C53" s="1">
        <f>IF(1555406&gt;0,100*520362/1555406,"")</f>
        <v>33.45505932213197</v>
      </c>
      <c r="D53" s="1">
        <f>IF(2061563&gt;0,100*677124/2061563,"")</f>
        <v>32.84517620853692</v>
      </c>
      <c r="E53" s="1">
        <f>IF(COUNT(C53:D53)=2,D53-C53,"")</f>
        <v>-0.6098831135950533</v>
      </c>
      <c r="H53" s="1">
        <v>15</v>
      </c>
      <c r="I53" s="1">
        <v>14</v>
      </c>
      <c r="J53" s="1">
        <f>IF(1857255&gt;0,100*556621/1857255,"")</f>
        <v>29.970090267626148</v>
      </c>
      <c r="K53" s="1">
        <f>IF(2314630&gt;0,100*506123/2314630,"")</f>
        <v>21.866259402150668</v>
      </c>
      <c r="L53" s="1">
        <f>IF(COUNT(J53:K53)=2,K53-J53,"")</f>
        <v>-8.10383086547548</v>
      </c>
      <c r="O53" s="1">
        <v>15</v>
      </c>
      <c r="P53" s="1">
        <v>14</v>
      </c>
      <c r="Q53" s="1">
        <f>IF(2240147&gt;0,100*1104566/2240147,"")</f>
        <v>49.30774632200476</v>
      </c>
      <c r="R53" s="1">
        <f>IF(2117493&gt;0,100*440292/2117493,"")</f>
        <v>20.793079363190337</v>
      </c>
      <c r="S53" s="1">
        <f>IF(COUNT(Q53:R53)=2,R53-Q53,"")</f>
        <v>-28.514666958814423</v>
      </c>
    </row>
    <row r="54" spans="1:19">
      <c r="A54" s="1">
        <v>16</v>
      </c>
      <c r="B54" s="1">
        <v>15</v>
      </c>
      <c r="C54" s="1">
        <f>IF(1761441&gt;0,100*757460/1761441,"")</f>
        <v>43.00229187352855</v>
      </c>
      <c r="D54" s="1">
        <f>IF(2654440&gt;0,100*896560/2654440,"")</f>
        <v>33.77586232877744</v>
      </c>
      <c r="E54" s="1">
        <f>IF(COUNT(C54:D54)=2,D54-C54,"")</f>
        <v>-9.226429544751106</v>
      </c>
      <c r="H54" s="1">
        <v>16</v>
      </c>
      <c r="I54" s="1">
        <v>15</v>
      </c>
      <c r="J54" s="1">
        <f>IF(1920903&gt;0,100*863441/1920903,"")</f>
        <v>44.949744989726184</v>
      </c>
      <c r="K54" s="1">
        <f>IF(2029541&gt;0,100*392897/2029541,"")</f>
        <v>19.358909231200553</v>
      </c>
      <c r="L54" s="1">
        <f>IF(COUNT(J54:K54)=2,K54-J54,"")</f>
        <v>-25.590835758525632</v>
      </c>
      <c r="O54" s="1">
        <v>16</v>
      </c>
      <c r="P54" s="1">
        <v>15</v>
      </c>
      <c r="Q54" s="1">
        <f>IF(2594091&gt;0,100*1215002/2594091,"")</f>
        <v>46.837292909153916</v>
      </c>
      <c r="R54" s="1">
        <f>IF(1715997&gt;0,100*140785/1715997,"")</f>
        <v>8.204268422380691</v>
      </c>
      <c r="S54" s="1">
        <f>IF(COUNT(Q54:R54)=2,R54-Q54,"")</f>
        <v>-38.63302448677322</v>
      </c>
    </row>
    <row r="55" spans="1:19">
      <c r="A55" s="1">
        <v>17</v>
      </c>
      <c r="B55" s="1">
        <v>16</v>
      </c>
      <c r="C55" s="1">
        <f>IF(844646&gt;0,100*17331/844646,"")</f>
        <v>2.0518655152572793</v>
      </c>
      <c r="D55" s="1">
        <f>IF(826118&gt;0,100*10110/826118,"")</f>
        <v>1.223796116293314</v>
      </c>
      <c r="E55" s="1">
        <f>IF(COUNT(C55:D55)=2,D55-C55,"")</f>
        <v>-0.8280693989639654</v>
      </c>
      <c r="H55" s="1">
        <v>17</v>
      </c>
      <c r="I55" s="1">
        <v>16</v>
      </c>
      <c r="J55" s="1">
        <f>IF(2198372&gt;0,100*828948/2198372,"")</f>
        <v>37.70735799036742</v>
      </c>
      <c r="K55" s="1">
        <f>IF(1841520&gt;0,100*341868/1841520,"")</f>
        <v>18.56444676137104</v>
      </c>
      <c r="L55" s="1">
        <f>IF(COUNT(J55:K55)=2,K55-J55,"")</f>
        <v>-19.14291122899638</v>
      </c>
      <c r="O55" s="1">
        <v>17</v>
      </c>
      <c r="P55" s="1">
        <v>16</v>
      </c>
      <c r="Q55" s="1">
        <f>IF(2139602&gt;0,100*724511/2139602,"")</f>
        <v>33.8619518957264</v>
      </c>
      <c r="R55" s="1">
        <f>IF(1643265&gt;0,100*268103/1643265,"")</f>
        <v>16.315262602197453</v>
      </c>
      <c r="S55" s="1">
        <f>IF(COUNT(Q55:R55)=2,R55-Q55,"")</f>
        <v>-17.546689293528946</v>
      </c>
    </row>
    <row r="56" spans="1:19">
      <c r="A56" s="1">
        <v>18</v>
      </c>
      <c r="B56" s="1">
        <v>17</v>
      </c>
      <c r="C56" s="1">
        <f>IF(913631&gt;0,100*114254/913631,"")</f>
        <v>12.505486350616387</v>
      </c>
      <c r="D56" s="1">
        <f>IF(922301&gt;0,100*28610/922301,"")</f>
        <v>3.1020241764890204</v>
      </c>
      <c r="E56" s="1">
        <f>IF(COUNT(C56:D56)=2,D56-C56,"")</f>
        <v>-9.403462174127366</v>
      </c>
      <c r="H56" s="1">
        <v>18</v>
      </c>
      <c r="I56" s="1">
        <v>17</v>
      </c>
      <c r="J56" s="1">
        <f>IF(2215&gt;0,100*355/2215,"")</f>
        <v>16.02708803611738</v>
      </c>
      <c r="K56" s="1">
        <f>IF(2215&gt;0,100*355/2215,"")</f>
        <v>16.02708803611738</v>
      </c>
      <c r="L56" s="1">
        <f>IF(COUNT(J56:K56)=2,K56-J56,"")</f>
        <v>0.0</v>
      </c>
      <c r="O56" s="1">
        <v>18</v>
      </c>
      <c r="P56" s="1">
        <v>17</v>
      </c>
      <c r="Q56" s="1">
        <f>IF(2597163&gt;0,100*1238582/2597163,"")</f>
        <v>47.68980614616795</v>
      </c>
      <c r="R56" s="1">
        <f>IF(1642230&gt;0,100*241157/1642230,"")</f>
        <v>14.684727474227119</v>
      </c>
      <c r="S56" s="1">
        <f>IF(COUNT(Q56:R56)=2,R56-Q56,"")</f>
        <v>-33.005078671940836</v>
      </c>
    </row>
    <row r="57" spans="1:19">
      <c r="A57" s="1">
        <v>19</v>
      </c>
      <c r="B57" s="1">
        <v>18</v>
      </c>
      <c r="C57" s="1">
        <f>IF(2015196&gt;0,100*813734/2015196,"")</f>
        <v>40.37989356866528</v>
      </c>
      <c r="D57" s="1">
        <f>IF(870293&gt;0,100*221908/870293,"")</f>
        <v>25.49807938246085</v>
      </c>
      <c r="E57" s="1">
        <f>IF(COUNT(C57:D57)=2,D57-C57,"")</f>
        <v>-14.88181418620443</v>
      </c>
      <c r="H57" s="1">
        <v>19</v>
      </c>
      <c r="I57" s="1">
        <v>18</v>
      </c>
      <c r="J57" s="1">
        <f>IF(1892358&gt;0,100*622212/1892358,"")</f>
        <v>32.880247817801916</v>
      </c>
      <c r="K57" s="1">
        <f>IF(2076050&gt;0,100*369350/2076050,"")</f>
        <v>17.790997326653983</v>
      </c>
      <c r="L57" s="1">
        <f>IF(COUNT(J57:K57)=2,K57-J57,"")</f>
        <v>-15.089250491147933</v>
      </c>
      <c r="O57" s="1">
        <v>19</v>
      </c>
      <c r="P57" s="1">
        <v>18</v>
      </c>
      <c r="Q57" s="1">
        <f>IF(1995148&gt;0,100*689134/1995148,"")</f>
        <v>34.54049524145577</v>
      </c>
      <c r="R57" s="1">
        <f>IF(1276699&gt;0,100*97072/1276699,"")</f>
        <v>7.60335834836559</v>
      </c>
      <c r="S57" s="1">
        <f>IF(COUNT(Q57:R57)=2,R57-Q57,"")</f>
        <v>-26.937136893090184</v>
      </c>
    </row>
    <row r="58" spans="1:19">
      <c r="A58" s="1">
        <v>20</v>
      </c>
      <c r="B58" s="1">
        <v>19</v>
      </c>
      <c r="C58" s="1">
        <f>IF(2178136&gt;0,100*944455/2178136,"")</f>
        <v>43.36069924008418</v>
      </c>
      <c r="D58" s="1">
        <f>IF(1821781&gt;0,100*422730/1821781,"")</f>
        <v>23.20421609403106</v>
      </c>
      <c r="E58" s="1">
        <f>IF(COUNT(C58:D58)=2,D58-C58,"")</f>
        <v>-20.15648314605312</v>
      </c>
      <c r="H58" s="1">
        <v>20</v>
      </c>
      <c r="I58" s="1">
        <v>19</v>
      </c>
      <c r="J58" s="1">
        <f>IF(2533784&gt;0,100*1139277/2533784,"")</f>
        <v>44.96346176311793</v>
      </c>
      <c r="K58" s="1">
        <f>IF(1707267&gt;0,100*336977/1707267,"")</f>
        <v>19.73780316728432</v>
      </c>
      <c r="L58" s="1">
        <f>IF(COUNT(J58:K58)=2,K58-J58,"")</f>
        <v>-25.225658595833607</v>
      </c>
      <c r="O58" s="1">
        <v>20</v>
      </c>
      <c r="P58" s="1">
        <v>19</v>
      </c>
      <c r="Q58" s="1">
        <f>IF(2139229&gt;0,100*899475/2139229,"")</f>
        <v>42.0466906535018</v>
      </c>
      <c r="R58" s="1">
        <f>IF(1612571&gt;0,100*141797/1612571,"")</f>
        <v>8.793225228532574</v>
      </c>
      <c r="S58" s="1">
        <f>IF(COUNT(Q58:R58)=2,R58-Q58,"")</f>
        <v>-33.25346542496922</v>
      </c>
    </row>
    <row r="59" spans="1:19">
      <c r="A59" s="1">
        <v>21</v>
      </c>
      <c r="B59" s="1">
        <v>20</v>
      </c>
      <c r="C59" s="1">
        <f>IF(1558100&gt;0,100*473205/1558100,"")</f>
        <v>30.37064373275143</v>
      </c>
      <c r="D59" s="1">
        <f>IF(1965083&gt;0,100*597125/1965083,"")</f>
        <v>30.386757200586437</v>
      </c>
      <c r="E59" s="1">
        <f>IF(COUNT(C59:D59)=2,D59-C59,"")</f>
        <v>0.016113467835008777</v>
      </c>
      <c r="H59" s="1">
        <v>21</v>
      </c>
      <c r="I59" s="1">
        <v>20</v>
      </c>
      <c r="J59" s="1">
        <f>IF(2773746&gt;0,100*1088927/2773746,"")</f>
        <v>39.25835314408745</v>
      </c>
      <c r="K59" s="1">
        <f>IF(1984039&gt;0,100*260495/1984039,"")</f>
        <v>13.129530215887893</v>
      </c>
      <c r="L59" s="1">
        <f>IF(COUNT(J59:K59)=2,K59-J59,"")</f>
        <v>-26.128822928199558</v>
      </c>
      <c r="O59" s="1">
        <v>21</v>
      </c>
      <c r="P59" s="1">
        <v>20</v>
      </c>
      <c r="Q59" s="1">
        <f>IF(2422246&gt;0,100*1045754/2422246,"")</f>
        <v>43.172906467798896</v>
      </c>
      <c r="R59" s="1">
        <f>IF(373658&gt;0,100*44150/373658,"")</f>
        <v>11.81561748979013</v>
      </c>
      <c r="S59" s="1">
        <f>IF(COUNT(Q59:R59)=2,R59-Q59,"")</f>
        <v>-31.357288978008768</v>
      </c>
    </row>
    <row r="60" spans="1:19">
      <c r="A60" s="1">
        <v>22</v>
      </c>
      <c r="B60" s="1">
        <v>21</v>
      </c>
      <c r="C60" s="1">
        <f>IF(1857644&gt;0,100*847880/1857644,"")</f>
        <v>45.64276039973213</v>
      </c>
      <c r="D60" s="1">
        <f>IF(1738279&gt;0,100*517796/1738279,"")</f>
        <v>29.78785338832259</v>
      </c>
      <c r="E60" s="1">
        <f>IF(COUNT(C60:D60)=2,D60-C60,"")</f>
        <v>-15.854907011409544</v>
      </c>
      <c r="H60" s="1">
        <v>22</v>
      </c>
      <c r="I60" s="1">
        <v>21</v>
      </c>
      <c r="J60" s="1">
        <f>IF(2183759&gt;0,100*997955/2183759,"")</f>
        <v>45.69895304381115</v>
      </c>
      <c r="K60" s="1">
        <f>IF(1896459&gt;0,100*510876/1896459,"")</f>
        <v>26.93841522542802</v>
      </c>
      <c r="L60" s="1">
        <f>IF(COUNT(J60:K60)=2,K60-J60,"")</f>
        <v>-18.76053781838313</v>
      </c>
      <c r="O60" s="1">
        <v>22</v>
      </c>
      <c r="P60" s="1">
        <v>21</v>
      </c>
      <c r="Q60" s="1">
        <f>IF(2052914&gt;0,100*716282/2052914,"")</f>
        <v>34.890989101345696</v>
      </c>
      <c r="R60" s="1">
        <f>IF(1833250&gt;0,100*512403/1833250,"")</f>
        <v>27.95052502386472</v>
      </c>
      <c r="S60" s="1">
        <f>IF(COUNT(Q60:R60)=2,R60-Q60,"")</f>
        <v>-6.940464077480975</v>
      </c>
    </row>
    <row r="61" spans="1:19">
      <c r="A61" s="1">
        <v>23</v>
      </c>
      <c r="B61" s="1">
        <v>22</v>
      </c>
      <c r="C61" s="1">
        <f>IF(696517&gt;0,100*2264/696517,"")</f>
        <v>0.325045906991502</v>
      </c>
      <c r="D61" s="1">
        <f>IF(696517&gt;0,100*2264/696517,"")</f>
        <v>0.325045906991502</v>
      </c>
      <c r="E61" s="1">
        <f>IF(COUNT(C61:D61)=2,D61-C61,"")</f>
        <v>0.0</v>
      </c>
      <c r="H61" s="1">
        <v>23</v>
      </c>
      <c r="I61" s="1">
        <v>22</v>
      </c>
      <c r="J61" s="1">
        <f>IF(2492569&gt;0,100*1249101/2492569,"")</f>
        <v>50.11299586892078</v>
      </c>
      <c r="K61" s="1">
        <f>IF(1469345&gt;0,100*341492/1469345,"")</f>
        <v>23.24110402934641</v>
      </c>
      <c r="L61" s="1">
        <f>IF(COUNT(J61:K61)=2,K61-J61,"")</f>
        <v>-26.871891839574367</v>
      </c>
      <c r="O61" s="1">
        <v>23</v>
      </c>
      <c r="P61" s="1">
        <v>22</v>
      </c>
      <c r="Q61" s="1">
        <f>IF(2322764&gt;0,100*881160/2322764,"")</f>
        <v>37.935838509637655</v>
      </c>
      <c r="R61" s="1">
        <f>IF(2247417&gt;0,100*486019/2247417,"")</f>
        <v>21.625670714424604</v>
      </c>
      <c r="S61" s="1">
        <f>IF(COUNT(Q61:R61)=2,R61-Q61,"")</f>
        <v>-16.31016779521305</v>
      </c>
    </row>
    <row r="62" spans="1:19">
      <c r="A62" s="1">
        <v>24</v>
      </c>
      <c r="B62" s="1">
        <v>23</v>
      </c>
      <c r="C62" s="1">
        <f>IF(1622857&gt;0,100*324323/1622857,"")</f>
        <v>19.98469366062444</v>
      </c>
      <c r="D62" s="1">
        <f>IF(1236728&gt;0,100*40946/1236728,"")</f>
        <v>3.310833101538899</v>
      </c>
      <c r="E62" s="1">
        <f>IF(COUNT(C62:D62)=2,D62-C62,"")</f>
        <v>-16.67386055908554</v>
      </c>
      <c r="H62" s="1">
        <v>24</v>
      </c>
      <c r="I62" s="1">
        <v>23</v>
      </c>
      <c r="J62" s="1">
        <f>IF(2618354&gt;0,100*1195641/2618354,"")</f>
        <v>45.663840718252764</v>
      </c>
      <c r="K62" s="1">
        <f>IF(1812006&gt;0,100*207441/1812006,"")</f>
        <v>11.448140900195694</v>
      </c>
      <c r="L62" s="1">
        <f>IF(COUNT(J62:K62)=2,K62-J62,"")</f>
        <v>-34.21569981805707</v>
      </c>
      <c r="O62" s="1">
        <v>24</v>
      </c>
      <c r="P62" s="1">
        <v>23</v>
      </c>
      <c r="Q62" s="1">
        <f>IF(1862901&gt;0,100*489468/1862901,"")</f>
        <v>26.27450412018674</v>
      </c>
      <c r="R62" s="1">
        <f>IF(1741211&gt;0,100*267147/1741211,"")</f>
        <v>15.34259776672672</v>
      </c>
      <c r="S62" s="1">
        <f>IF(COUNT(Q62:R62)=2,R62-Q62,"")</f>
        <v>-10.93190635346002</v>
      </c>
    </row>
    <row r="63" spans="1:19">
      <c r="A63" s="1">
        <v>25</v>
      </c>
      <c r="B63" s="1">
        <v>24</v>
      </c>
      <c r="C63" s="1">
        <f>IF(1310506&gt;0,100*408672/1310506,"")</f>
        <v>31.184290648039763</v>
      </c>
      <c r="D63" s="1">
        <f>IF(1927014&gt;0,100*564557/1927014,"")</f>
        <v>29.296984868817766</v>
      </c>
      <c r="E63" s="1">
        <f>IF(COUNT(C63:D63)=2,D63-C63,"")</f>
        <v>-1.8873057792219967</v>
      </c>
      <c r="H63" s="1">
        <v>25</v>
      </c>
      <c r="I63" s="1">
        <v>24</v>
      </c>
      <c r="J63" s="1">
        <f>IF(2421034&gt;0,100*1042416/2421034,"")</f>
        <v>43.05664439243728</v>
      </c>
      <c r="K63" s="1">
        <f>IF(1365162&gt;0,100*33421/1365162,"")</f>
        <v>2.4481343606106822</v>
      </c>
      <c r="L63" s="1">
        <f>IF(COUNT(J63:K63)=2,K63-J63,"")</f>
        <v>-40.6085100318266</v>
      </c>
      <c r="O63" s="1">
        <v>25</v>
      </c>
      <c r="P63" s="1">
        <v>24</v>
      </c>
      <c r="Q63" s="1">
        <f>IF(2310152&gt;0,100*1014877/2310152,"")</f>
        <v>43.931178554484724</v>
      </c>
      <c r="R63" s="1">
        <f>IF(2575625&gt;0,100*699830/2575625,"")</f>
        <v>27.171269109439457</v>
      </c>
      <c r="S63" s="1">
        <f>IF(COUNT(Q63:R63)=2,R63-Q63,"")</f>
        <v>-16.759909445045267</v>
      </c>
    </row>
    <row r="64" spans="1:19">
      <c r="A64" s="1">
        <v>26</v>
      </c>
      <c r="B64" s="1">
        <v>25</v>
      </c>
      <c r="C64" s="1">
        <f>IF(2238694&gt;0,100*1062953/2238694,"")</f>
        <v>47.480942013513236</v>
      </c>
      <c r="D64" s="1">
        <f>IF(1903703&gt;0,100*369995/1903703,"")</f>
        <v>19.43554220379965</v>
      </c>
      <c r="E64" s="1">
        <f>IF(COUNT(C64:D64)=2,D64-C64,"")</f>
        <v>-28.045399809713587</v>
      </c>
      <c r="H64" s="1">
        <v>26</v>
      </c>
      <c r="I64" s="1">
        <v>25</v>
      </c>
      <c r="J64" s="1">
        <f>IF(1745904&gt;0,100*492009/1745904,"")</f>
        <v>28.18075907953702</v>
      </c>
      <c r="K64" s="1">
        <f>IF(2081552&gt;0,100*421619/2081552,"")</f>
        <v>20.25503086158789</v>
      </c>
      <c r="L64" s="1">
        <f>IF(COUNT(J64:K64)=2,K64-J64,"")</f>
        <v>-7.925728217949128</v>
      </c>
      <c r="O64" s="1">
        <v>26</v>
      </c>
      <c r="P64" s="1">
        <v>25</v>
      </c>
      <c r="Q64" s="1">
        <f>IF(2669118&gt;0,100*1197813/2669118,"")</f>
        <v>44.876734561754105</v>
      </c>
      <c r="R64" s="1">
        <f>IF(2360473&gt;0,100*576127/2360473,"")</f>
        <v>24.407269221041716</v>
      </c>
      <c r="S64" s="1">
        <f>IF(COUNT(Q64:R64)=2,R64-Q64,"")</f>
        <v>-20.46946534071239</v>
      </c>
    </row>
    <row r="65" spans="1:19">
      <c r="A65" s="1">
        <v>27</v>
      </c>
      <c r="B65" s="1">
        <v>26</v>
      </c>
      <c r="C65" s="1">
        <f>IF(1647328&gt;0,100*574346/1647328,"")</f>
        <v>34.86530915518949</v>
      </c>
      <c r="D65" s="1">
        <f>IF(1631960&gt;0,100*357374/1631960,"")</f>
        <v>21.898453393465527</v>
      </c>
      <c r="E65" s="1">
        <f>IF(COUNT(C65:D65)=2,D65-C65,"")</f>
        <v>-12.966855761723966</v>
      </c>
      <c r="H65" s="1">
        <v>27</v>
      </c>
      <c r="I65" s="1">
        <v>26</v>
      </c>
      <c r="J65" s="1">
        <f>IF(2195965&gt;0,100*781488/2195965,"")</f>
        <v>35.587452441181895</v>
      </c>
      <c r="K65" s="1">
        <f>IF(1334162&gt;0,100*196692/1334162,"")</f>
        <v>14.742737388712914</v>
      </c>
      <c r="L65" s="1">
        <f>IF(COUNT(J65:K65)=2,K65-J65,"")</f>
        <v>-20.84471505246898</v>
      </c>
      <c r="O65" s="1">
        <v>27</v>
      </c>
      <c r="P65" s="1">
        <v>26</v>
      </c>
      <c r="Q65" s="1">
        <f>IF(2415042&gt;0,100*766118/2415042,"")</f>
        <v>31.722760929209514</v>
      </c>
      <c r="R65" s="1">
        <f>IF(2052676&gt;0,100*261242/2052676,"")</f>
        <v>12.726898935828158</v>
      </c>
      <c r="S65" s="1">
        <f>IF(COUNT(Q65:R65)=2,R65-Q65,"")</f>
        <v>-18.995861993381354</v>
      </c>
    </row>
    <row r="66" spans="1:19">
      <c r="A66" s="1">
        <v>28</v>
      </c>
      <c r="B66" s="1">
        <v>27</v>
      </c>
      <c r="C66" s="1">
        <f>IF(665364&gt;0,100*675/665364,"")</f>
        <v>0.10144822984110953</v>
      </c>
      <c r="D66" s="1">
        <f>IF(665364&gt;0,100*675/665364,"")</f>
        <v>0.10144822984110953</v>
      </c>
      <c r="E66" s="1">
        <f>IF(COUNT(C66:D66)=2,D66-C66,"")</f>
        <v>0.0</v>
      </c>
      <c r="H66" s="1">
        <v>28</v>
      </c>
      <c r="I66" s="1">
        <v>27</v>
      </c>
      <c r="J66" s="1">
        <f>IF(1703605&gt;0,100*670593/1703605,"")</f>
        <v>39.36317397518791</v>
      </c>
      <c r="K66" s="1">
        <f>IF(2511124&gt;0,100*750367/2511124,"")</f>
        <v>29.881718306224624</v>
      </c>
      <c r="L66" s="1">
        <f>IF(COUNT(J66:K66)=2,K66-J66,"")</f>
        <v>-9.481455668963289</v>
      </c>
      <c r="O66" s="1">
        <v>28</v>
      </c>
      <c r="P66" s="1">
        <v>27</v>
      </c>
      <c r="Q66" s="1">
        <f>IF(1500981&gt;0,100*448455/1500981,"")</f>
        <v>29.877460141067743</v>
      </c>
      <c r="R66" s="1">
        <f>IF(1627064&gt;0,100*379483/1627064,"")</f>
        <v>23.323175978326606</v>
      </c>
      <c r="S66" s="1">
        <f>IF(COUNT(Q66:R66)=2,R66-Q66,"")</f>
        <v>-6.554284162741137</v>
      </c>
    </row>
    <row r="67" spans="1:19">
      <c r="A67" s="1">
        <v>29</v>
      </c>
      <c r="B67" s="1">
        <v>28</v>
      </c>
      <c r="C67" s="1">
        <f>IF(1808091&gt;0,100*652193/1808091,"")</f>
        <v>36.070806170707115</v>
      </c>
      <c r="D67" s="1">
        <f>IF(2098879&gt;0,100*649740/2098879,"")</f>
        <v>30.95652488780916</v>
      </c>
      <c r="E67" s="1">
        <f>IF(COUNT(C67:D67)=2,D67-C67,"")</f>
        <v>-5.114281282897956</v>
      </c>
      <c r="H67" s="1">
        <v>29</v>
      </c>
      <c r="I67" s="1">
        <v>28</v>
      </c>
      <c r="J67" s="1">
        <f>IF(2391442&gt;0,100*1116314/2391442,"")</f>
        <v>46.67953477441644</v>
      </c>
      <c r="K67" s="1">
        <f>IF(2296061&gt;0,100*522333/2296061,"")</f>
        <v>22.74909072537707</v>
      </c>
      <c r="L67" s="1">
        <f>IF(COUNT(J67:K67)=2,K67-J67,"")</f>
        <v>-23.93044404903937</v>
      </c>
      <c r="O67" s="1">
        <v>29</v>
      </c>
      <c r="P67" s="1">
        <v>28</v>
      </c>
      <c r="Q67" s="1">
        <f>IF(2050506&gt;0,100*857322/2050506,"")</f>
        <v>41.810265368645595</v>
      </c>
      <c r="R67" s="1">
        <f>IF(2139454&gt;0,100*466233/2139454,"")</f>
        <v>21.792148837974548</v>
      </c>
      <c r="S67" s="1">
        <f>IF(COUNT(Q67:R67)=2,R67-Q67,"")</f>
        <v>-20.018116530671048</v>
      </c>
    </row>
    <row r="68" spans="1:19">
      <c r="A68" s="1">
        <v>30</v>
      </c>
      <c r="B68" s="1">
        <v>29</v>
      </c>
      <c r="C68" s="1">
        <f>IF(1942903&gt;0,100*844208/1942903,"")</f>
        <v>43.45085678492441</v>
      </c>
      <c r="D68" s="1">
        <f>IF(1257280&gt;0,100*194560/1257280,"")</f>
        <v>15.47467548994655</v>
      </c>
      <c r="E68" s="1">
        <f>IF(COUNT(C68:D68)=2,D68-C68,"")</f>
        <v>-27.976181294977863</v>
      </c>
      <c r="H68" s="1">
        <v>30</v>
      </c>
      <c r="I68" s="1">
        <v>29</v>
      </c>
      <c r="J68" s="1">
        <f>IF(1886067&gt;0,100*615825/1886067,"")</f>
        <v>32.65127909029743</v>
      </c>
      <c r="K68" s="1">
        <f>IF(1951544&gt;0,100*434559/1951544,"")</f>
        <v>22.26744567378445</v>
      </c>
      <c r="L68" s="1">
        <f>IF(COUNT(J68:K68)=2,K68-J68,"")</f>
        <v>-10.383833416512978</v>
      </c>
      <c r="O68" s="1">
        <v>30</v>
      </c>
      <c r="P68" s="1">
        <v>29</v>
      </c>
      <c r="Q68" s="1">
        <f>IF(1124834&gt;0,100*57569/1124834,"")</f>
        <v>5.1179996337237315</v>
      </c>
      <c r="R68" s="1">
        <f>IF(1410349&gt;0,100*70238/1410349,"")</f>
        <v>4.980185755440675</v>
      </c>
      <c r="S68" s="1">
        <f>IF(COUNT(Q68:R68)=2,R68-Q68,"")</f>
        <v>-0.13781387828305647</v>
      </c>
    </row>
    <row r="69" spans="1:19">
      <c r="A69" s="1">
        <v>31</v>
      </c>
      <c r="B69" s="1">
        <v>30</v>
      </c>
      <c r="C69" s="1">
        <f>IF(1247391&gt;0,100*5792/1247391,"")</f>
        <v>0.4643291477972825</v>
      </c>
      <c r="D69" s="1">
        <f>IF(1247391&gt;0,100*5792/1247391,"")</f>
        <v>0.4643291477972825</v>
      </c>
      <c r="E69" s="1">
        <f>IF(COUNT(C69:D69)=2,D69-C69,"")</f>
        <v>0.0</v>
      </c>
      <c r="H69" s="1">
        <v>31</v>
      </c>
      <c r="I69" s="1">
        <v>30</v>
      </c>
      <c r="J69" s="1">
        <f>IF(2131633&gt;0,100*739570/2131633,"")</f>
        <v>34.69499674662571</v>
      </c>
      <c r="K69" s="1">
        <f>IF(2316894&gt;0,100*582509/2316894,"")</f>
        <v>25.1418062285111</v>
      </c>
      <c r="L69" s="1">
        <f>IF(COUNT(J69:K69)=2,K69-J69,"")</f>
        <v>-9.553190518114612</v>
      </c>
      <c r="O69" s="1">
        <v>31</v>
      </c>
      <c r="P69" s="1">
        <v>30</v>
      </c>
      <c r="Q69" s="1">
        <f>IF(1670334&gt;0,100*513883/1670334,"")</f>
        <v>30.765284068934715</v>
      </c>
      <c r="R69" s="1">
        <f>IF(1863988&gt;0,100*459524/1863988,"")</f>
        <v>24.652733815882936</v>
      </c>
      <c r="S69" s="1">
        <f>IF(COUNT(Q69:R69)=2,R69-Q69,"")</f>
        <v>-6.112550253051779</v>
      </c>
    </row>
    <row r="70" spans="1:19">
      <c r="A70" s="2" t="s">
        <v>6</v>
      </c>
      <c r="B70" s="1"/>
      <c r="C70" s="1">
        <f>IF(COUNT(C39:C69)&gt;0,AVERAGE(C39:C69),"")</f>
        <v>30.562133085533812</v>
      </c>
      <c r="D70" s="1">
        <f>IF(COUNT(D39:D69)&gt;0,AVERAGE(D39:D69),"")</f>
        <v>17.772556618468094</v>
      </c>
      <c r="E70" s="1">
        <f>IF(COUNT(E39:E69)&gt;0,AVERAGE(E39:E69),"")</f>
        <v>-12.789576467065716</v>
      </c>
      <c r="H70" s="2" t="s">
        <v>6</v>
      </c>
      <c r="I70" s="1"/>
      <c r="J70" s="1">
        <f>IF(COUNT(J39:J69)&gt;0,AVERAGE(J39:J69),"")</f>
        <v>32.74960009631654</v>
      </c>
      <c r="K70" s="1">
        <f>IF(COUNT(K39:K69)&gt;0,AVERAGE(K39:K69),"")</f>
        <v>16.046633557527407</v>
      </c>
      <c r="L70" s="1">
        <f>IF(COUNT(L39:L69)&gt;0,AVERAGE(L39:L69),"")</f>
        <v>-16.702966538789134</v>
      </c>
      <c r="O70" s="2" t="s">
        <v>6</v>
      </c>
      <c r="P70" s="1"/>
      <c r="Q70" s="1">
        <f>IF(COUNT(Q39:Q69)&gt;0,AVERAGE(Q39:Q69),"")</f>
        <v>31.481548328397977</v>
      </c>
      <c r="R70" s="1">
        <f>IF(COUNT(R39:R69)&gt;0,AVERAGE(R39:R69),"")</f>
        <v>15.245675899710708</v>
      </c>
      <c r="S70" s="1">
        <f>IF(COUNT(S39:S69)&gt;0,AVERAGE(S39:S69),"")</f>
        <v>-16.23587242868727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IF(1227574&gt;0,100*38510/1227574,"")</f>
        <v>3.1370817563747684</v>
      </c>
      <c r="D75" s="1">
        <f>IF(1236030&gt;0,100*16283/1236030,"")</f>
        <v>1.3173628471800847</v>
      </c>
      <c r="E75" s="1">
        <f>IF(COUNT(C75:D75)=2,D75-C75,"")</f>
        <v>-1.8197189091946837</v>
      </c>
      <c r="H75" s="1">
        <v>1</v>
      </c>
      <c r="I75" s="1">
        <v>0</v>
      </c>
      <c r="J75" s="1">
        <f>IF(2974908&gt;0,100*1593753/2974908,"")</f>
        <v>53.573186128781124</v>
      </c>
      <c r="K75" s="1">
        <f>IF(1412849&gt;0,100*78883/1412849,"")</f>
        <v>5.5832576588156275</v>
      </c>
      <c r="L75" s="1">
        <f>IF(COUNT(J75:K75)=2,K75-J75,"")</f>
        <v>-47.9899284699655</v>
      </c>
      <c r="O75" s="1">
        <v>1</v>
      </c>
      <c r="P75" s="1">
        <v>0</v>
      </c>
      <c r="Q75" s="1">
        <f>IF(2673895&gt;0,100*1212503/2673895,"")</f>
        <v>45.34594664337979</v>
      </c>
      <c r="R75" s="1">
        <f>IF(1887050&gt;0,100*352160/1887050,"")</f>
        <v>18.661932646193794</v>
      </c>
      <c r="S75" s="1">
        <f>IF(COUNT(Q75:R75)=2,R75-Q75,"")</f>
        <v>-26.684013997185996</v>
      </c>
    </row>
    <row r="76" spans="1:19">
      <c r="A76" s="1">
        <v>2</v>
      </c>
      <c r="B76" s="1">
        <v>1</v>
      </c>
      <c r="C76" s="1">
        <f>IF(1624357&gt;0,100*617829/1624357,"")</f>
        <v>38.03529642806353</v>
      </c>
      <c r="D76" s="1">
        <f>IF(818838&gt;0,100*210564/818838,"")</f>
        <v>25.7149765887758</v>
      </c>
      <c r="E76" s="1">
        <f>IF(COUNT(C76:D76)=2,D76-C76,"")</f>
        <v>-12.32031983928773</v>
      </c>
      <c r="H76" s="1">
        <v>2</v>
      </c>
      <c r="I76" s="1">
        <v>1</v>
      </c>
      <c r="J76" s="1">
        <f>IF(2706515&gt;0,100*1225890/2706515,"")</f>
        <v>45.29404049118516</v>
      </c>
      <c r="K76" s="1">
        <f>IF(2868454&gt;0,100*724227/2868454,"")</f>
        <v>25.24799072950098</v>
      </c>
      <c r="L76" s="1">
        <f>IF(COUNT(J76:K76)=2,K76-J76,"")</f>
        <v>-20.046049761684177</v>
      </c>
      <c r="O76" s="1">
        <v>2</v>
      </c>
      <c r="P76" s="1">
        <v>1</v>
      </c>
      <c r="Q76" s="1">
        <f>IF(2467592&gt;0,100*1063705/2467592,"")</f>
        <v>43.1070047236334</v>
      </c>
      <c r="R76" s="1">
        <f>IF(2588799&gt;0,100*701656/2588799,"")</f>
        <v>27.103533337273383</v>
      </c>
      <c r="S76" s="1">
        <f>IF(COUNT(Q76:R76)=2,R76-Q76,"")</f>
        <v>-16.00347138636002</v>
      </c>
    </row>
    <row r="77" spans="1:19">
      <c r="A77" s="1">
        <v>3</v>
      </c>
      <c r="B77" s="1">
        <v>2</v>
      </c>
      <c r="C77" s="1">
        <f>IF(1673401&gt;0,100*672518/1673401,"")</f>
        <v>40.18869356478214</v>
      </c>
      <c r="D77" s="1">
        <f>IF(1866537&gt;0,100*549081/1866537,"")</f>
        <v>29.417097009060093</v>
      </c>
      <c r="E77" s="1">
        <f>IF(COUNT(C77:D77)=2,D77-C77,"")</f>
        <v>-10.771596555722049</v>
      </c>
      <c r="H77" s="1">
        <v>3</v>
      </c>
      <c r="I77" s="1">
        <v>2</v>
      </c>
      <c r="J77" s="1">
        <f>IF(2238301&gt;0,100*947036/2238301,"")</f>
        <v>42.31048460417075</v>
      </c>
      <c r="K77" s="1">
        <f>IF(3049425&gt;0,100*838959/3049425,"")</f>
        <v>27.51203915492265</v>
      </c>
      <c r="L77" s="1">
        <f>IF(COUNT(J77:K77)=2,K77-J77,"")</f>
        <v>-14.798445449248103</v>
      </c>
      <c r="O77" s="1">
        <v>3</v>
      </c>
      <c r="P77" s="1">
        <v>2</v>
      </c>
      <c r="Q77" s="1">
        <f>IF(2033898&gt;0,100*82955/2033898,"")</f>
        <v>4.07862144512655</v>
      </c>
      <c r="R77" s="1">
        <f>IF(1965145&gt;0,100*33918/1965145,"")</f>
        <v>1.7259795078734648</v>
      </c>
      <c r="S77" s="1">
        <f>IF(COUNT(Q77:R77)=2,R77-Q77,"")</f>
        <v>-2.352641937253085</v>
      </c>
    </row>
    <row r="78" spans="1:19">
      <c r="A78" s="1">
        <v>4</v>
      </c>
      <c r="B78" s="1">
        <v>3</v>
      </c>
      <c r="C78" s="1">
        <f>IF(1853726&gt;0,100*857824/1853726,"")</f>
        <v>46.2756631778375</v>
      </c>
      <c r="D78" s="1">
        <f>IF(2167351&gt;0,100*612202/2167351,"")</f>
        <v>28.246555357207946</v>
      </c>
      <c r="E78" s="1">
        <f>IF(COUNT(C78:D78)=2,D78-C78,"")</f>
        <v>-18.029107820629555</v>
      </c>
      <c r="H78" s="1">
        <v>4</v>
      </c>
      <c r="I78" s="1">
        <v>3</v>
      </c>
      <c r="J78" s="1">
        <f>IF(2473338&gt;0,100*1144203/2473338,"")</f>
        <v>46.2614895335777</v>
      </c>
      <c r="K78" s="1">
        <f>IF(1824807&gt;0,100*306786/1824807,"")</f>
        <v>16.811969704193373</v>
      </c>
      <c r="L78" s="1">
        <f>IF(COUNT(J78:K78)=2,K78-J78,"")</f>
        <v>-29.44951982938433</v>
      </c>
      <c r="O78" s="1">
        <v>4</v>
      </c>
      <c r="P78" s="1">
        <v>3</v>
      </c>
      <c r="Q78" s="1">
        <f>IF(2535025&gt;0,100*1351101/2535025,"")</f>
        <v>53.29734420765081</v>
      </c>
      <c r="R78" s="1">
        <f>IF(1881708&gt;0,100*310519/1881708,"")</f>
        <v>16.501975864480567</v>
      </c>
      <c r="S78" s="1">
        <f>IF(COUNT(Q78:R78)=2,R78-Q78,"")</f>
        <v>-36.79536834317024</v>
      </c>
    </row>
    <row r="79" spans="1:19">
      <c r="A79" s="1">
        <v>5</v>
      </c>
      <c r="B79" s="1">
        <v>4</v>
      </c>
      <c r="C79" s="1">
        <f>IF(2574341&gt;0,100*1256270/2574341,"")</f>
        <v>48.79967339214191</v>
      </c>
      <c r="D79" s="1">
        <f>IF(1542415&gt;0,100*76639/1542415,"")</f>
        <v>4.968766512255132</v>
      </c>
      <c r="E79" s="1">
        <f>IF(COUNT(C79:D79)=2,D79-C79,"")</f>
        <v>-43.83090687988678</v>
      </c>
      <c r="H79" s="1">
        <v>5</v>
      </c>
      <c r="I79" s="1">
        <v>4</v>
      </c>
      <c r="J79" s="1">
        <f>IF(2594432&gt;0,100*1209716/2594432,"")</f>
        <v>46.627392816616506</v>
      </c>
      <c r="K79" s="1">
        <f>IF(3284163&gt;0,100*929197/3284163,"")</f>
        <v>28.293266808011662</v>
      </c>
      <c r="L79" s="1">
        <f>IF(COUNT(J79:K79)=2,K79-J79,"")</f>
        <v>-18.334126008604844</v>
      </c>
      <c r="O79" s="1">
        <v>5</v>
      </c>
      <c r="P79" s="1">
        <v>4</v>
      </c>
      <c r="Q79" s="1">
        <f>IF(2505160&gt;0,100*1184605/2505160,"")</f>
        <v>47.28660045665746</v>
      </c>
      <c r="R79" s="1">
        <f>IF(3144915&gt;0,100*1005836/3144915,"")</f>
        <v>31.98293117620031</v>
      </c>
      <c r="S79" s="1">
        <f>IF(COUNT(Q79:R79)=2,R79-Q79,"")</f>
        <v>-15.30366928045715</v>
      </c>
    </row>
    <row r="80" spans="1:19">
      <c r="A80" s="1">
        <v>6</v>
      </c>
      <c r="B80" s="1">
        <v>5</v>
      </c>
      <c r="C80" s="1">
        <f>IF(2161281&gt;0,100*837619/2161281,"")</f>
        <v>38.75567314014235</v>
      </c>
      <c r="D80" s="1">
        <f>IF(1276200&gt;0,100*298952/1276200,"")</f>
        <v>23.42516846889202</v>
      </c>
      <c r="E80" s="1">
        <f>IF(COUNT(C80:D80)=2,D80-C80,"")</f>
        <v>-15.330504671250328</v>
      </c>
      <c r="H80" s="1">
        <v>6</v>
      </c>
      <c r="I80" s="1">
        <v>5</v>
      </c>
      <c r="J80" s="1">
        <f>IF(2014532&gt;0,100*751916/2014532,"")</f>
        <v>37.3245994603213</v>
      </c>
      <c r="K80" s="1">
        <f>IF(2338704&gt;0,100*557470/2338704,"")</f>
        <v>23.836706141521116</v>
      </c>
      <c r="L80" s="1">
        <f>IF(COUNT(J80:K80)=2,K80-J80,"")</f>
        <v>-13.487893318800186</v>
      </c>
      <c r="O80" s="1">
        <v>6</v>
      </c>
      <c r="P80" s="1">
        <v>5</v>
      </c>
      <c r="Q80" s="1">
        <f>IF(2374865&gt;0,100*978839/2374865,"")</f>
        <v>41.21661652346555</v>
      </c>
      <c r="R80" s="1">
        <f>IF(1877394&gt;0,100*216401/1877394,"")</f>
        <v>11.526669415157393</v>
      </c>
      <c r="S80" s="1">
        <f>IF(COUNT(Q80:R80)=2,R80-Q80,"")</f>
        <v>-29.689947108308154</v>
      </c>
    </row>
    <row r="81" spans="1:19">
      <c r="A81" s="1">
        <v>7</v>
      </c>
      <c r="B81" s="1">
        <v>6</v>
      </c>
      <c r="C81" s="1">
        <f>IF(2322649&gt;0,100*1026425/2322649,"")</f>
        <v>44.19199801605839</v>
      </c>
      <c r="D81" s="1">
        <f>IF(2103984&gt;0,100*580995/2103984,"")</f>
        <v>27.614040791184724</v>
      </c>
      <c r="E81" s="1">
        <f>IF(COUNT(C81:D81)=2,D81-C81,"")</f>
        <v>-16.577957224873668</v>
      </c>
      <c r="H81" s="1">
        <v>7</v>
      </c>
      <c r="I81" s="1">
        <v>6</v>
      </c>
      <c r="J81" s="1">
        <f>IF(1377831&gt;0,100*8479/1377831,"")</f>
        <v>0.6153875184982773</v>
      </c>
      <c r="K81" s="1">
        <f>IF(1333552&gt;0,100*9336/1333552,"")</f>
        <v>0.7000851860294912</v>
      </c>
      <c r="L81" s="1">
        <f>IF(COUNT(J81:K81)=2,K81-J81,"")</f>
        <v>0.08469766753121388</v>
      </c>
      <c r="O81" s="1">
        <v>7</v>
      </c>
      <c r="P81" s="1">
        <v>6</v>
      </c>
      <c r="Q81" s="1">
        <f>IF(985046&gt;0,100*15738/985046,"")</f>
        <v>1.5976918844399144</v>
      </c>
      <c r="R81" s="1">
        <f>IF(1459201&gt;0,100*99871/1459201,"")</f>
        <v>6.844225024516842</v>
      </c>
      <c r="S81" s="1">
        <f>IF(COUNT(Q81:R81)=2,R81-Q81,"")</f>
        <v>5.246533140076927</v>
      </c>
    </row>
    <row r="82" spans="1:19">
      <c r="A82" s="1">
        <v>8</v>
      </c>
      <c r="B82" s="1">
        <v>7</v>
      </c>
      <c r="C82" s="1">
        <f>IF(2162199&gt;0,100*1011109/2162199,"")</f>
        <v>46.76299452548077</v>
      </c>
      <c r="D82" s="1">
        <f>IF(2458746&gt;0,100*838378/2458746,"")</f>
        <v>34.09778805944168</v>
      </c>
      <c r="E82" s="1">
        <f>IF(COUNT(C82:D82)=2,D82-C82,"")</f>
        <v>-12.665206466039088</v>
      </c>
      <c r="H82" s="1">
        <v>8</v>
      </c>
      <c r="I82" s="1">
        <v>7</v>
      </c>
      <c r="J82" s="1">
        <f>IF(1201041&gt;0,100*14947/1201041,"")</f>
        <v>1.2445037263507241</v>
      </c>
      <c r="K82" s="1">
        <f>IF(1047645&gt;0,100*10288/1047645,"")</f>
        <v>0.9820120365200043</v>
      </c>
      <c r="L82" s="1">
        <f>IF(COUNT(J82:K82)=2,K82-J82,"")</f>
        <v>-0.2624916898307198</v>
      </c>
      <c r="O82" s="1">
        <v>8</v>
      </c>
      <c r="P82" s="1">
        <v>7</v>
      </c>
      <c r="Q82" s="1">
        <f>IF(1244696&gt;0,100*14076/1244696,"")</f>
        <v>1.13087854383721</v>
      </c>
      <c r="R82" s="1">
        <f>IF(1278472&gt;0,100*45730/1278472,"")</f>
        <v>3.5769262056580042</v>
      </c>
      <c r="S82" s="1">
        <f>IF(COUNT(Q82:R82)=2,R82-Q82,"")</f>
        <v>2.4460476618207943</v>
      </c>
    </row>
    <row r="83" spans="1:19">
      <c r="A83" s="1">
        <v>9</v>
      </c>
      <c r="B83" s="1">
        <v>8</v>
      </c>
      <c r="C83" s="1">
        <f>IF(1440745&gt;0,100*484807/1440745,"")</f>
        <v>33.64974370898389</v>
      </c>
      <c r="D83" s="1">
        <f>IF(2173075&gt;0,100*644208/2173075,"")</f>
        <v>29.64499614601429</v>
      </c>
      <c r="E83" s="1">
        <f>IF(COUNT(C83:D83)=2,D83-C83,"")</f>
        <v>-4.004747562969602</v>
      </c>
      <c r="H83" s="1">
        <v>9</v>
      </c>
      <c r="I83" s="1">
        <v>8</v>
      </c>
      <c r="J83" s="1">
        <f>IF(2605328&gt;0,100*1210537/2605328,"")</f>
        <v>46.46390013080887</v>
      </c>
      <c r="K83" s="1">
        <f>IF(3135861&gt;0,100*961768/3135861,"")</f>
        <v>30.669981864629843</v>
      </c>
      <c r="L83" s="1">
        <f>IF(COUNT(J83:K83)=2,K83-J83,"")</f>
        <v>-15.793918266179023</v>
      </c>
      <c r="O83" s="1">
        <v>9</v>
      </c>
      <c r="P83" s="1">
        <v>8</v>
      </c>
      <c r="Q83" s="1">
        <f>IF(2369232&gt;0,100*974673/2369232,"")</f>
        <v>41.138774083753724</v>
      </c>
      <c r="R83" s="1">
        <f>IF(2691011&gt;0,100*802941/2691011,"")</f>
        <v>29.837893639230757</v>
      </c>
      <c r="S83" s="1">
        <f>IF(COUNT(Q83:R83)=2,R83-Q83,"")</f>
        <v>-11.300880444522967</v>
      </c>
    </row>
    <row r="84" spans="1:19">
      <c r="A84" s="1">
        <v>10</v>
      </c>
      <c r="B84" s="1">
        <v>9</v>
      </c>
      <c r="C84" s="1">
        <f>IF(1168622&gt;0,100*16823/1168622,"")</f>
        <v>1.4395587281430609</v>
      </c>
      <c r="D84" s="1">
        <f>IF(1168622&gt;0,100*16823/1168622,"")</f>
        <v>1.4395587281430609</v>
      </c>
      <c r="E84" s="1">
        <f>IF(COUNT(C84:D84)=2,D84-C84,"")</f>
        <v>0.0</v>
      </c>
      <c r="H84" s="1">
        <v>10</v>
      </c>
      <c r="I84" s="1">
        <v>9</v>
      </c>
      <c r="J84" s="1">
        <f>IF(3065832&gt;0,100*1566994/3065832,"")</f>
        <v>51.11154166307873</v>
      </c>
      <c r="K84" s="1">
        <f>IF(2043652&gt;0,100*340938/2043652,"")</f>
        <v>16.68278160861047</v>
      </c>
      <c r="L84" s="1">
        <f>IF(COUNT(J84:K84)=2,K84-J84,"")</f>
        <v>-34.42876005446826</v>
      </c>
      <c r="O84" s="1">
        <v>10</v>
      </c>
      <c r="P84" s="1">
        <v>9</v>
      </c>
      <c r="Q84" s="1">
        <f>IF(2063235&gt;0,100*325107/2063235,"")</f>
        <v>15.757148361674748</v>
      </c>
      <c r="R84" s="1">
        <f>IF(1972249&gt;0,100*199252/1972249,"")</f>
        <v>10.102781139703962</v>
      </c>
      <c r="S84" s="1">
        <f>IF(COUNT(Q84:R84)=2,R84-Q84,"")</f>
        <v>-5.6543672219707855</v>
      </c>
    </row>
    <row r="85" spans="1:19">
      <c r="A85" s="1">
        <v>11</v>
      </c>
      <c r="B85" s="1">
        <v>10</v>
      </c>
      <c r="C85" s="1">
        <f>IF(2209395&gt;0,100*1084873/2209395,"")</f>
        <v>49.1027181649275</v>
      </c>
      <c r="D85" s="1">
        <f>IF(2261359&gt;0,100*731873/2261359,"")</f>
        <v>32.3642995207749</v>
      </c>
      <c r="E85" s="1">
        <f>IF(COUNT(C85:D85)=2,D85-C85,"")</f>
        <v>-16.738418644152603</v>
      </c>
      <c r="H85" s="1">
        <v>11</v>
      </c>
      <c r="I85" s="1">
        <v>10</v>
      </c>
      <c r="J85" s="1">
        <f>IF(2870543&gt;0,100*1618419/2870543,"")</f>
        <v>56.380238860731225</v>
      </c>
      <c r="K85" s="1">
        <f>IF(1884101&gt;0,100*191580/1884101,"")</f>
        <v>10.16824469601152</v>
      </c>
      <c r="L85" s="1">
        <f>IF(COUNT(J85:K85)=2,K85-J85,"")</f>
        <v>-46.211994164719705</v>
      </c>
      <c r="O85" s="1">
        <v>11</v>
      </c>
      <c r="P85" s="1">
        <v>10</v>
      </c>
      <c r="Q85" s="1">
        <f>IF(2712419&gt;0,100*1335644/2712419,"")</f>
        <v>49.241802243679906</v>
      </c>
      <c r="R85" s="1">
        <f>IF(1857497&gt;0,100*173847/1857497,"")</f>
        <v>9.359207578800936</v>
      </c>
      <c r="S85" s="1">
        <f>IF(COUNT(Q85:R85)=2,R85-Q85,"")</f>
        <v>-39.88259466487897</v>
      </c>
    </row>
    <row r="86" spans="1:19">
      <c r="A86" s="1">
        <v>12</v>
      </c>
      <c r="B86" s="1">
        <v>11</v>
      </c>
      <c r="C86" s="1">
        <f>IF(2101751&gt;0,100*916475/2101751,"")</f>
        <v>43.605308145446344</v>
      </c>
      <c r="D86" s="1">
        <f>IF(1759701&gt;0,100*503245/1759701,"")</f>
        <v>28.598324374424973</v>
      </c>
      <c r="E86" s="1">
        <f>IF(COUNT(C86:D86)=2,D86-C86,"")</f>
        <v>-15.006983771021371</v>
      </c>
      <c r="H86" s="1">
        <v>12</v>
      </c>
      <c r="I86" s="1">
        <v>11</v>
      </c>
      <c r="J86" s="1">
        <f>IF(2321486&gt;0,100*1150766/2321486,"")</f>
        <v>49.57023217025647</v>
      </c>
      <c r="K86" s="1">
        <f>IF(2239446&gt;0,100*329824/2239446,"")</f>
        <v>14.727928246539546</v>
      </c>
      <c r="L86" s="1">
        <f>IF(COUNT(J86:K86)=2,K86-J86,"")</f>
        <v>-34.84230392371692</v>
      </c>
      <c r="O86" s="1">
        <v>12</v>
      </c>
      <c r="P86" s="1">
        <v>11</v>
      </c>
      <c r="Q86" s="1">
        <f>IF(2923066&gt;0,100*1456418/2923066,"")</f>
        <v>49.825012503994095</v>
      </c>
      <c r="R86" s="1">
        <f>IF(1952114&gt;0,100*169769/1952114,"")</f>
        <v>8.69667447700288</v>
      </c>
      <c r="S86" s="1">
        <f>IF(COUNT(Q86:R86)=2,R86-Q86,"")</f>
        <v>-41.128338026991216</v>
      </c>
    </row>
    <row r="87" spans="1:19">
      <c r="A87" s="1">
        <v>13</v>
      </c>
      <c r="B87" s="1">
        <v>12</v>
      </c>
      <c r="C87" s="1">
        <f>IF(2087661&gt;0,100*558523/2087661,"")</f>
        <v>26.753529428388998</v>
      </c>
      <c r="D87" s="1">
        <f>IF(1381112&gt;0,100*67268/1381112,"")</f>
        <v>4.87056806399481</v>
      </c>
      <c r="E87" s="1">
        <f>IF(COUNT(C87:D87)=2,D87-C87,"")</f>
        <v>-21.882961364394188</v>
      </c>
      <c r="H87" s="1">
        <v>13</v>
      </c>
      <c r="I87" s="1">
        <v>12</v>
      </c>
      <c r="J87" s="1">
        <f>IF(2390190&gt;0,100*1069032/2390190,"")</f>
        <v>44.72581677607219</v>
      </c>
      <c r="K87" s="1">
        <f>IF(2181318&gt;0,100*230510/2181318,"")</f>
        <v>10.567464257847778</v>
      </c>
      <c r="L87" s="1">
        <f>IF(COUNT(J87:K87)=2,K87-J87,"")</f>
        <v>-34.15835251822442</v>
      </c>
      <c r="O87" s="1">
        <v>13</v>
      </c>
      <c r="P87" s="1">
        <v>12</v>
      </c>
      <c r="Q87" s="1">
        <f>IF(1557676&gt;0,100*18730/1557676,"")</f>
        <v>1.2024323415138964</v>
      </c>
      <c r="R87" s="1">
        <f>IF(1557676&gt;0,100*18730/1557676,"")</f>
        <v>1.2024323415138964</v>
      </c>
      <c r="S87" s="1">
        <f>IF(COUNT(Q87:R87)=2,R87-Q87,"")</f>
        <v>0.0</v>
      </c>
    </row>
    <row r="88" spans="1:19">
      <c r="A88" s="1">
        <v>14</v>
      </c>
      <c r="B88" s="1">
        <v>13</v>
      </c>
      <c r="C88" s="1">
        <f>IF(1496156&gt;0,100*261177/1496156,"")</f>
        <v>17.456535281080313</v>
      </c>
      <c r="D88" s="1">
        <f>IF(989623&gt;0,100*87724/989623,"")</f>
        <v>8.864385730727761</v>
      </c>
      <c r="E88" s="1">
        <f>IF(COUNT(C88:D88)=2,D88-C88,"")</f>
        <v>-8.592149550352552</v>
      </c>
      <c r="H88" s="1">
        <v>14</v>
      </c>
      <c r="I88" s="1">
        <v>13</v>
      </c>
      <c r="J88" s="1">
        <f>IF(1799691&gt;0,100*550790/1799691,"")</f>
        <v>30.604698250977528</v>
      </c>
      <c r="K88" s="1">
        <f>IF(1988278&gt;0,100*400979/1988278,"")</f>
        <v>20.167149664181768</v>
      </c>
      <c r="L88" s="1">
        <f>IF(COUNT(J88:K88)=2,K88-J88,"")</f>
        <v>-10.43754858679576</v>
      </c>
      <c r="O88" s="1">
        <v>14</v>
      </c>
      <c r="P88" s="1">
        <v>13</v>
      </c>
      <c r="Q88" s="1">
        <f>IF(1217487&gt;0,100*119562/1217487,"")</f>
        <v>9.820392332731274</v>
      </c>
      <c r="R88" s="1">
        <f>IF(1424765&gt;0,100*190296/1424765,"")</f>
        <v>13.356307882352528</v>
      </c>
      <c r="S88" s="1">
        <f>IF(COUNT(Q88:R88)=2,R88-Q88,"")</f>
        <v>3.5359155496212544</v>
      </c>
    </row>
    <row r="89" spans="1:19">
      <c r="A89" s="1">
        <v>15</v>
      </c>
      <c r="B89" s="1">
        <v>14</v>
      </c>
      <c r="C89" s="1">
        <f>IF(1933985&gt;0,100*847555/1933985,"")</f>
        <v>43.82427991944095</v>
      </c>
      <c r="D89" s="1">
        <f>IF(2744106&gt;0,100*1005383/2744106,"")</f>
        <v>36.637906844706436</v>
      </c>
      <c r="E89" s="1">
        <f>IF(COUNT(C89:D89)=2,D89-C89,"")</f>
        <v>-7.186373074734512</v>
      </c>
      <c r="H89" s="1">
        <v>15</v>
      </c>
      <c r="I89" s="1">
        <v>14</v>
      </c>
      <c r="J89" s="1">
        <f>IF(2456423&gt;0,100*458635/2456423,"")</f>
        <v>18.670847814077625</v>
      </c>
      <c r="K89" s="1">
        <f>IF(2253359&gt;0,100*440756/2253359,"")</f>
        <v>19.559954716492136</v>
      </c>
      <c r="L89" s="1">
        <f>IF(COUNT(J89:K89)=2,K89-J89,"")</f>
        <v>0.8891069024145111</v>
      </c>
      <c r="O89" s="1">
        <v>15</v>
      </c>
      <c r="P89" s="1">
        <v>14</v>
      </c>
      <c r="Q89" s="1">
        <f>IF(2356524&gt;0,100*573959/2356524,"")</f>
        <v>24.35617035939375</v>
      </c>
      <c r="R89" s="1">
        <f>IF(2327319&gt;0,100*269049/2327319,"")</f>
        <v>11.560469364105222</v>
      </c>
      <c r="S89" s="1">
        <f>IF(COUNT(Q89:R89)=2,R89-Q89,"")</f>
        <v>-12.795700995288529</v>
      </c>
    </row>
    <row r="90" spans="1:19">
      <c r="A90" s="1">
        <v>16</v>
      </c>
      <c r="B90" s="1">
        <v>15</v>
      </c>
      <c r="C90" s="1">
        <f>IF(2016018&gt;0,100*829052/2016018,"")</f>
        <v>41.12324393929023</v>
      </c>
      <c r="D90" s="1">
        <f>IF(2370039&gt;0,100*766222/2370039,"")</f>
        <v>32.32951018949477</v>
      </c>
      <c r="E90" s="1">
        <f>IF(COUNT(C90:D90)=2,D90-C90,"")</f>
        <v>-8.793733749795457</v>
      </c>
      <c r="H90" s="1">
        <v>16</v>
      </c>
      <c r="I90" s="1">
        <v>15</v>
      </c>
      <c r="J90" s="1">
        <f>IF(2410914&gt;0,100*1100716/2410914,"")</f>
        <v>45.65554806185538</v>
      </c>
      <c r="K90" s="1">
        <f>IF(1938380&gt;0,100*182614/1938380,"")</f>
        <v>9.42095977053003</v>
      </c>
      <c r="L90" s="1">
        <f>IF(COUNT(J90:K90)=2,K90-J90,"")</f>
        <v>-36.234588291325345</v>
      </c>
      <c r="O90" s="1">
        <v>16</v>
      </c>
      <c r="P90" s="1">
        <v>15</v>
      </c>
      <c r="Q90" s="1">
        <f>IF(2715811&gt;0,100*1420140/2715811,"")</f>
        <v>52.29156226261695</v>
      </c>
      <c r="R90" s="1">
        <f>IF(2811726&gt;0,100*752400/2811726,"")</f>
        <v>26.759364177021517</v>
      </c>
      <c r="S90" s="1">
        <f>IF(COUNT(Q90:R90)=2,R90-Q90,"")</f>
        <v>-25.532198085595432</v>
      </c>
    </row>
    <row r="91" spans="1:19">
      <c r="A91" s="1">
        <v>17</v>
      </c>
      <c r="B91" s="1">
        <v>16</v>
      </c>
      <c r="C91" s="1">
        <f>IF(830136&gt;0,100*34541/830136,"")</f>
        <v>4.160884481578922</v>
      </c>
      <c r="D91" s="1">
        <f>IF(887913&gt;0,100*46545/887913,"")</f>
        <v>5.242067635004781</v>
      </c>
      <c r="E91" s="1">
        <f>IF(COUNT(C91:D91)=2,D91-C91,"")</f>
        <v>1.081183153425859</v>
      </c>
      <c r="H91" s="1">
        <v>17</v>
      </c>
      <c r="I91" s="1">
        <v>16</v>
      </c>
      <c r="J91" s="1">
        <f>IF(196031&gt;0,100*5823/196031,"")</f>
        <v>2.970448551504609</v>
      </c>
      <c r="K91" s="1">
        <f>IF(196031&gt;0,100*5823/196031,"")</f>
        <v>2.970448551504609</v>
      </c>
      <c r="L91" s="1">
        <f>IF(COUNT(J91:K91)=2,K91-J91,"")</f>
        <v>0.0</v>
      </c>
      <c r="O91" s="1">
        <v>17</v>
      </c>
      <c r="P91" s="1">
        <v>16</v>
      </c>
      <c r="Q91" s="1">
        <f>IF(2285076&gt;0,100*953900/2285076,"")</f>
        <v>41.74478223043785</v>
      </c>
      <c r="R91" s="1">
        <f>IF(2535933&gt;0,100*681698/2535933,"")</f>
        <v>26.8815461607227</v>
      </c>
      <c r="S91" s="1">
        <f>IF(COUNT(Q91:R91)=2,R91-Q91,"")</f>
        <v>-14.86323606971515</v>
      </c>
    </row>
    <row r="92" spans="1:19">
      <c r="A92" s="1">
        <v>18</v>
      </c>
      <c r="B92" s="1">
        <v>17</v>
      </c>
      <c r="C92" s="1">
        <f>IF(1194547&gt;0,100*244244/1194547,"")</f>
        <v>20.446579330909543</v>
      </c>
      <c r="D92" s="1">
        <f>IF(996863&gt;0,100*22195/996863,"")</f>
        <v>2.2264844818194676</v>
      </c>
      <c r="E92" s="1">
        <f>IF(COUNT(C92:D92)=2,D92-C92,"")</f>
        <v>-18.220094849090074</v>
      </c>
      <c r="H92" s="1">
        <v>18</v>
      </c>
      <c r="I92" s="1">
        <v>17</v>
      </c>
      <c r="J92" s="4"/>
      <c r="K92" s="1">
        <f>IF(2020859&gt;0,100*188066/2020859,"")</f>
        <v>9.306240564037372</v>
      </c>
      <c r="L92" s="1">
        <f>IF(COUNT(J92:K92)=2,K92-J92,"")</f>
        <v/>
      </c>
      <c r="O92" s="1">
        <v>18</v>
      </c>
      <c r="P92" s="1">
        <v>17</v>
      </c>
      <c r="Q92" s="1">
        <f>IF(2825816&gt;0,100*1323547/2825816,"")</f>
        <v>46.83769219227296</v>
      </c>
      <c r="R92" s="1">
        <f>IF(2058977&gt;0,100*130905/2058977,"")</f>
        <v>6.357768930881695</v>
      </c>
      <c r="S92" s="1">
        <f>IF(COUNT(Q92:R92)=2,R92-Q92,"")</f>
        <v>-40.479923261391264</v>
      </c>
    </row>
    <row r="93" spans="1:19">
      <c r="A93" s="1">
        <v>19</v>
      </c>
      <c r="B93" s="1">
        <v>18</v>
      </c>
      <c r="C93" s="1">
        <f>IF(1931560&gt;0,100*912771/1931560,"")</f>
        <v>47.25563792996335</v>
      </c>
      <c r="D93" s="1">
        <f>IF(2560168&gt;0,100*963869/2560168,"")</f>
        <v>37.64866211904844</v>
      </c>
      <c r="E93" s="1">
        <f>IF(COUNT(C93:D93)=2,D93-C93,"")</f>
        <v>-9.60697581091491</v>
      </c>
      <c r="H93" s="1">
        <v>19</v>
      </c>
      <c r="I93" s="1">
        <v>18</v>
      </c>
      <c r="J93" s="1">
        <f>IF(1855523&gt;0,100*552371/1855523,"")</f>
        <v>29.76901930075779</v>
      </c>
      <c r="K93" s="1">
        <f>IF(1818467&gt;0,100*316486/1818467,"")</f>
        <v>17.404000182571362</v>
      </c>
      <c r="L93" s="1">
        <f>IF(COUNT(J93:K93)=2,K93-J93,"")</f>
        <v>-12.365019118186428</v>
      </c>
      <c r="O93" s="1">
        <v>19</v>
      </c>
      <c r="P93" s="1">
        <v>18</v>
      </c>
      <c r="Q93" s="1">
        <f>IF(2510684&gt;0,100*1031580/2510684,"")</f>
        <v>41.08760799845779</v>
      </c>
      <c r="R93" s="1">
        <f>IF(1027384&gt;0,100*138605/1027384,"")</f>
        <v>13.491060791291279</v>
      </c>
      <c r="S93" s="1">
        <f>IF(COUNT(Q93:R93)=2,R93-Q93,"")</f>
        <v>-27.596547207166513</v>
      </c>
    </row>
    <row r="94" spans="1:19">
      <c r="A94" s="1">
        <v>20</v>
      </c>
      <c r="B94" s="1">
        <v>19</v>
      </c>
      <c r="C94" s="1">
        <f>IF(2025286&gt;0,100*867239/2025286,"")</f>
        <v>42.82056953931445</v>
      </c>
      <c r="D94" s="1">
        <f>IF(2609733&gt;0,100*719931/2609733,"")</f>
        <v>27.586385273895836</v>
      </c>
      <c r="E94" s="1">
        <f>IF(COUNT(C94:D94)=2,D94-C94,"")</f>
        <v>-15.234184265418612</v>
      </c>
      <c r="H94" s="1">
        <v>20</v>
      </c>
      <c r="I94" s="1">
        <v>19</v>
      </c>
      <c r="J94" s="1">
        <f>IF(2440076&gt;0,100*960305/2440076,"")</f>
        <v>39.355536466896936</v>
      </c>
      <c r="K94" s="1">
        <f>IF(2359060&gt;0,100*556383/2359060,"")</f>
        <v>23.584944850915196</v>
      </c>
      <c r="L94" s="1">
        <f>IF(COUNT(J94:K94)=2,K94-J94,"")</f>
        <v>-15.77059161598174</v>
      </c>
      <c r="O94" s="1">
        <v>20</v>
      </c>
      <c r="P94" s="1">
        <v>19</v>
      </c>
      <c r="Q94" s="1">
        <f>IF(3041216&gt;0,100*1439290/3041216,"")</f>
        <v>47.32613533533955</v>
      </c>
      <c r="R94" s="1">
        <f>IF(2440065&gt;0,100*544975/2440065,"")</f>
        <v>22.334446008610428</v>
      </c>
      <c r="S94" s="1">
        <f>IF(COUNT(Q94:R94)=2,R94-Q94,"")</f>
        <v>-24.991689326729123</v>
      </c>
    </row>
    <row r="95" spans="1:19">
      <c r="A95" s="1">
        <v>21</v>
      </c>
      <c r="B95" s="1">
        <v>20</v>
      </c>
      <c r="C95" s="1">
        <f>IF(2094148&gt;0,100*1039154/2094148,"")</f>
        <v>49.62180323453739</v>
      </c>
      <c r="D95" s="1">
        <f>IF(1204792&gt;0,100*83522/1204792,"")</f>
        <v>6.93248295141402</v>
      </c>
      <c r="E95" s="1">
        <f>IF(COUNT(C95:D95)=2,D95-C95,"")</f>
        <v>-42.689320283123365</v>
      </c>
      <c r="H95" s="1">
        <v>21</v>
      </c>
      <c r="I95" s="1">
        <v>20</v>
      </c>
      <c r="J95" s="1">
        <f>IF(2683747&gt;0,100*1388722/2683747,"")</f>
        <v>51.74563772218469</v>
      </c>
      <c r="K95" s="1">
        <f>IF(1766608&gt;0,100*291738/1766608,"")</f>
        <v>16.51402008821425</v>
      </c>
      <c r="L95" s="1">
        <f>IF(COUNT(J95:K95)=2,K95-J95,"")</f>
        <v>-35.231617633970444</v>
      </c>
      <c r="O95" s="1">
        <v>21</v>
      </c>
      <c r="P95" s="1">
        <v>20</v>
      </c>
      <c r="Q95" s="1">
        <f>IF(2268817&gt;0,100*1102753/2268817,"")</f>
        <v>48.60475745730044</v>
      </c>
      <c r="R95" s="1">
        <f>IF(2394285&gt;0,100*458220/2394285,"")</f>
        <v>19.138072535224502</v>
      </c>
      <c r="S95" s="1">
        <f>IF(COUNT(Q95:R95)=2,R95-Q95,"")</f>
        <v>-29.466684922075935</v>
      </c>
    </row>
    <row r="96" spans="1:19">
      <c r="A96" s="1">
        <v>22</v>
      </c>
      <c r="B96" s="1">
        <v>21</v>
      </c>
      <c r="C96" s="1">
        <f>IF(1002018&gt;0,100*273571/1002018,"")</f>
        <v>27.302004554808395</v>
      </c>
      <c r="D96" s="1">
        <f>IF(2241434&gt;0,100*649745/2241434,"")</f>
        <v>28.987915771778244</v>
      </c>
      <c r="E96" s="1">
        <f>IF(COUNT(C96:D96)=2,D96-C96,"")</f>
        <v>1.6859112169698491</v>
      </c>
      <c r="H96" s="1">
        <v>22</v>
      </c>
      <c r="I96" s="1">
        <v>21</v>
      </c>
      <c r="J96" s="1">
        <f>IF(2557965&gt;0,100*1179736/2557965,"")</f>
        <v>46.12009937587106</v>
      </c>
      <c r="K96" s="1">
        <f>IF(2526963&gt;0,100*704286/2526963,"")</f>
        <v>27.870847337297775</v>
      </c>
      <c r="L96" s="1">
        <f>IF(COUNT(J96:K96)=2,K96-J96,"")</f>
        <v>-18.24925203857328</v>
      </c>
      <c r="O96" s="1">
        <v>22</v>
      </c>
      <c r="P96" s="1">
        <v>21</v>
      </c>
      <c r="Q96" s="1">
        <f>IF(1946233&gt;0,100*656202/1946233,"")</f>
        <v>33.71651801197493</v>
      </c>
      <c r="R96" s="1">
        <f>IF(2451023&gt;0,100*664226/2451023,"")</f>
        <v>27.09994969447451</v>
      </c>
      <c r="S96" s="1">
        <f>IF(COUNT(Q96:R96)=2,R96-Q96,"")</f>
        <v>-6.616568317500416</v>
      </c>
    </row>
    <row r="97" spans="1:19">
      <c r="A97" s="1">
        <v>23</v>
      </c>
      <c r="B97" s="1">
        <v>22</v>
      </c>
      <c r="C97" s="1">
        <f>IF(795260&gt;0,100*1236/795260,"")</f>
        <v>0.15542086864673188</v>
      </c>
      <c r="D97" s="1">
        <f>IF(795260&gt;0,100*1236/795260,"")</f>
        <v>0.15542086864673188</v>
      </c>
      <c r="E97" s="1">
        <f>IF(COUNT(C97:D97)=2,D97-C97,"")</f>
        <v>0.0</v>
      </c>
      <c r="H97" s="1">
        <v>23</v>
      </c>
      <c r="I97" s="1">
        <v>22</v>
      </c>
      <c r="J97" s="1">
        <f>IF(2773812&gt;0,100*1410215/2773812,"")</f>
        <v>50.84032371335909</v>
      </c>
      <c r="K97" s="1">
        <f>IF(2661579&gt;0,100*462098/2661579,"")</f>
        <v>17.361799142539073</v>
      </c>
      <c r="L97" s="1">
        <f>IF(COUNT(J97:K97)=2,K97-J97,"")</f>
        <v>-33.478524570820014</v>
      </c>
      <c r="O97" s="1">
        <v>23</v>
      </c>
      <c r="P97" s="1">
        <v>22</v>
      </c>
      <c r="Q97" s="1">
        <f>IF(2188846&gt;0,100*938113/2188846,"")</f>
        <v>42.858794086016104</v>
      </c>
      <c r="R97" s="1">
        <f>IF(2772226&gt;0,100*805109/2772226,"")</f>
        <v>29.041968439802528</v>
      </c>
      <c r="S97" s="1">
        <f>IF(COUNT(Q97:R97)=2,R97-Q97,"")</f>
        <v>-13.816825646213577</v>
      </c>
    </row>
    <row r="98" spans="1:19">
      <c r="A98" s="1">
        <v>24</v>
      </c>
      <c r="B98" s="1">
        <v>23</v>
      </c>
      <c r="C98" s="1">
        <f>IF(1888679&gt;0,100*755365/1888679,"")</f>
        <v>39.99435584342284</v>
      </c>
      <c r="D98" s="1">
        <f>IF(1579887&gt;0,100*7151/1579887,"")</f>
        <v>0.4526273081555833</v>
      </c>
      <c r="E98" s="1">
        <f>IF(COUNT(C98:D98)=2,D98-C98,"")</f>
        <v>-39.541728535267254</v>
      </c>
      <c r="H98" s="1">
        <v>24</v>
      </c>
      <c r="I98" s="1">
        <v>23</v>
      </c>
      <c r="J98" s="1">
        <f>IF(2330232&gt;0,100*1039149/2330232,"")</f>
        <v>44.594229244126765</v>
      </c>
      <c r="K98" s="1">
        <f>IF(2159609&gt;0,100*265932/2159609,"")</f>
        <v>12.313895709825252</v>
      </c>
      <c r="L98" s="1">
        <f>IF(COUNT(J98:K98)=2,K98-J98,"")</f>
        <v>-32.28033353430151</v>
      </c>
      <c r="O98" s="1">
        <v>24</v>
      </c>
      <c r="P98" s="1">
        <v>23</v>
      </c>
      <c r="Q98" s="1">
        <f>IF(2075098&gt;0,100*737576/2075098,"")</f>
        <v>35.544152613515124</v>
      </c>
      <c r="R98" s="1">
        <f>IF(2613797&gt;0,100*559134/2613797,"")</f>
        <v>21.39163829478724</v>
      </c>
      <c r="S98" s="1">
        <f>IF(COUNT(Q98:R98)=2,R98-Q98,"")</f>
        <v>-14.152514318727885</v>
      </c>
    </row>
    <row r="99" spans="1:19">
      <c r="A99" s="1">
        <v>25</v>
      </c>
      <c r="B99" s="1">
        <v>24</v>
      </c>
      <c r="C99" s="1">
        <f>IF(2046231&gt;0,100*862149/2046231,"")</f>
        <v>42.1335127852134</v>
      </c>
      <c r="D99" s="1">
        <f>IF(2388875&gt;0,100*674210/2388875,"")</f>
        <v>28.222908272722517</v>
      </c>
      <c r="E99" s="1">
        <f>IF(COUNT(C99:D99)=2,D99-C99,"")</f>
        <v>-13.910604512490881</v>
      </c>
      <c r="H99" s="1">
        <v>25</v>
      </c>
      <c r="I99" s="1">
        <v>24</v>
      </c>
      <c r="J99" s="1">
        <f>IF(2687496&gt;0,100*1356682/2687496,"")</f>
        <v>50.481265832581705</v>
      </c>
      <c r="K99" s="1">
        <f>IF(1888643&gt;0,100*147808/1888643,"")</f>
        <v>7.826148192114656</v>
      </c>
      <c r="L99" s="1">
        <f>IF(COUNT(J99:K99)=2,K99-J99,"")</f>
        <v>-42.65511764046705</v>
      </c>
      <c r="O99" s="1">
        <v>25</v>
      </c>
      <c r="P99" s="1">
        <v>24</v>
      </c>
      <c r="Q99" s="1">
        <f>IF(2348758&gt;0,100*912656/2348758,"")</f>
        <v>38.856961849624355</v>
      </c>
      <c r="R99" s="1">
        <f>IF(1654433&gt;0,100*260822/1654433,"")</f>
        <v>15.765038535860926</v>
      </c>
      <c r="S99" s="1">
        <f>IF(COUNT(Q99:R99)=2,R99-Q99,"")</f>
        <v>-23.09192331376343</v>
      </c>
    </row>
    <row r="100" spans="1:19">
      <c r="A100" s="1">
        <v>26</v>
      </c>
      <c r="B100" s="1">
        <v>25</v>
      </c>
      <c r="C100" s="1">
        <f>IF(2173027&gt;0,100*1021557/2173027,"")</f>
        <v>47.01078265479444</v>
      </c>
      <c r="D100" s="1">
        <f>IF(2638942&gt;0,100*933158/2638942,"")</f>
        <v>35.36106515414132</v>
      </c>
      <c r="E100" s="1">
        <f>IF(COUNT(C100:D100)=2,D100-C100,"")</f>
        <v>-11.649717500653118</v>
      </c>
      <c r="H100" s="1">
        <v>26</v>
      </c>
      <c r="I100" s="1">
        <v>25</v>
      </c>
      <c r="J100" s="1">
        <f>IF(1369843&gt;0,100*81159/1369843,"")</f>
        <v>5.9246935597729085</v>
      </c>
      <c r="K100" s="1">
        <f>IF(1651443&gt;0,100*285530/1651443,"")</f>
        <v>17.289727831962715</v>
      </c>
      <c r="L100" s="1">
        <f>IF(COUNT(J100:K100)=2,K100-J100,"")</f>
        <v>11.365034272189806</v>
      </c>
      <c r="O100" s="1">
        <v>26</v>
      </c>
      <c r="P100" s="1">
        <v>25</v>
      </c>
      <c r="Q100" s="1">
        <f>IF(2790743&gt;0,100*1533326/2790743,"")</f>
        <v>54.94328929607635</v>
      </c>
      <c r="R100" s="1">
        <f>IF(2565297&gt;0,100*410447/2565297,"")</f>
        <v>15.999979729442634</v>
      </c>
      <c r="S100" s="1">
        <f>IF(COUNT(Q100:R100)=2,R100-Q100,"")</f>
        <v>-38.943309566633715</v>
      </c>
    </row>
    <row r="101" spans="1:19">
      <c r="A101" s="1">
        <v>27</v>
      </c>
      <c r="B101" s="1">
        <v>26</v>
      </c>
      <c r="C101" s="1">
        <f>IF(2068375&gt;0,100*1076315/2068375,"")</f>
        <v>52.03674382063214</v>
      </c>
      <c r="D101" s="1">
        <f>IF(2566326&gt;0,100*923757/2566326,"")</f>
        <v>35.99531002686331</v>
      </c>
      <c r="E101" s="1">
        <f>IF(COUNT(C101:D101)=2,D101-C101,"")</f>
        <v>-16.04143379376883</v>
      </c>
      <c r="H101" s="1">
        <v>27</v>
      </c>
      <c r="I101" s="1">
        <v>26</v>
      </c>
      <c r="J101" s="1">
        <f>IF(1770443&gt;0,100*418105/1770443,"")</f>
        <v>23.615840781092643</v>
      </c>
      <c r="K101" s="1">
        <f>IF(2241353&gt;0,100*365234/2241353,"")</f>
        <v>16.29524666574163</v>
      </c>
      <c r="L101" s="1">
        <f>IF(COUNT(J101:K101)=2,K101-J101,"")</f>
        <v>-7.320594115351014</v>
      </c>
      <c r="O101" s="1">
        <v>27</v>
      </c>
      <c r="P101" s="1">
        <v>26</v>
      </c>
      <c r="Q101" s="1">
        <f>IF(2101248&gt;0,100*444433/2101248,"")</f>
        <v>21.150906508893762</v>
      </c>
      <c r="R101" s="1">
        <f>IF(2539973&gt;0,100*400918/2539973,"")</f>
        <v>15.78434101464858</v>
      </c>
      <c r="S101" s="1">
        <f>IF(COUNT(Q101:R101)=2,R101-Q101,"")</f>
        <v>-5.366565494245181</v>
      </c>
    </row>
    <row r="102" spans="1:19">
      <c r="A102" s="1">
        <v>28</v>
      </c>
      <c r="B102" s="1">
        <v>27</v>
      </c>
      <c r="C102" s="1">
        <f>IF(1174000&gt;0,100*3059/1174000,"")</f>
        <v>0.2605621805792164</v>
      </c>
      <c r="D102" s="1">
        <f>IF(1174000&gt;0,100*3059/1174000,"")</f>
        <v>0.2605621805792164</v>
      </c>
      <c r="E102" s="1">
        <f>IF(COUNT(C102:D102)=2,D102-C102,"")</f>
        <v>0.0</v>
      </c>
      <c r="H102" s="1">
        <v>28</v>
      </c>
      <c r="I102" s="1">
        <v>27</v>
      </c>
      <c r="J102" s="1">
        <f>IF(2046482&gt;0,100*638275/2046482,"")</f>
        <v>31.18888903005255</v>
      </c>
      <c r="K102" s="1">
        <f>IF(2539842&gt;0,100*655971/2539842,"")</f>
        <v>25.82723649738842</v>
      </c>
      <c r="L102" s="1">
        <f>IF(COUNT(J102:K102)=2,K102-J102,"")</f>
        <v>-5.361652532664131</v>
      </c>
      <c r="O102" s="1">
        <v>28</v>
      </c>
      <c r="P102" s="1">
        <v>27</v>
      </c>
      <c r="Q102" s="1">
        <f>IF(2324907&gt;0,100*896618/2324907,"")</f>
        <v>38.5657576840708</v>
      </c>
      <c r="R102" s="1">
        <f>IF(2165996&gt;0,100*507292/2165996,"")</f>
        <v>23.42072653873784</v>
      </c>
      <c r="S102" s="1">
        <f>IF(COUNT(Q102:R102)=2,R102-Q102,"")</f>
        <v>-15.145031145332965</v>
      </c>
    </row>
    <row r="103" spans="1:19">
      <c r="A103" s="1">
        <v>29</v>
      </c>
      <c r="B103" s="1">
        <v>28</v>
      </c>
      <c r="C103" s="1">
        <f>IF(2083503&gt;0,100*1007639/2083503,"")</f>
        <v>48.362733338996875</v>
      </c>
      <c r="D103" s="1">
        <f>IF(2693750&gt;0,100*937068/2693750,"")</f>
        <v>34.78674709976798</v>
      </c>
      <c r="E103" s="1">
        <f>IF(COUNT(C103:D103)=2,D103-C103,"")</f>
        <v>-13.575986239228897</v>
      </c>
      <c r="H103" s="1">
        <v>29</v>
      </c>
      <c r="I103" s="1">
        <v>28</v>
      </c>
      <c r="J103" s="1">
        <f>IF(2576958&gt;0,100*1290348/2576958,"")</f>
        <v>50.072527375300645</v>
      </c>
      <c r="K103" s="1">
        <f>IF(2467832&gt;0,100*523253/2467832,"")</f>
        <v>21.202942501758628</v>
      </c>
      <c r="L103" s="1">
        <f>IF(COUNT(J103:K103)=2,K103-J103,"")</f>
        <v>-28.869584873542017</v>
      </c>
      <c r="O103" s="1">
        <v>29</v>
      </c>
      <c r="P103" s="1">
        <v>28</v>
      </c>
      <c r="Q103" s="1">
        <f>IF(2240165&gt;0,100*1016922/2240165,"")</f>
        <v>45.39495974626869</v>
      </c>
      <c r="R103" s="1">
        <f>IF(2606220&gt;0,100*601922/2606220,"")</f>
        <v>23.095594385738732</v>
      </c>
      <c r="S103" s="1">
        <f>IF(COUNT(Q103:R103)=2,R103-Q103,"")</f>
        <v>-22.299365360529958</v>
      </c>
    </row>
    <row r="104" spans="1:19">
      <c r="A104" s="1">
        <v>30</v>
      </c>
      <c r="B104" s="1">
        <v>29</v>
      </c>
      <c r="C104" s="1">
        <f>IF(2234870&gt;0,100*1080496/2234870,"")</f>
        <v>48.34715218334847</v>
      </c>
      <c r="D104" s="1">
        <f>IF(2280216&gt;0,100*593231/2280216,"")</f>
        <v>26.016438793517807</v>
      </c>
      <c r="E104" s="1">
        <f>IF(COUNT(C104:D104)=2,D104-C104,"")</f>
        <v>-22.330713389830663</v>
      </c>
      <c r="H104" s="1">
        <v>30</v>
      </c>
      <c r="I104" s="1">
        <v>29</v>
      </c>
      <c r="J104" s="1">
        <f>IF(1911633&gt;0,100*586958/1911633,"")</f>
        <v>30.704533767726335</v>
      </c>
      <c r="K104" s="1">
        <f>IF(2141760&gt;0,100*414798/2141760,"")</f>
        <v>19.36715598386374</v>
      </c>
      <c r="L104" s="1">
        <f>IF(COUNT(J104:K104)=2,K104-J104,"")</f>
        <v>-11.337377783862596</v>
      </c>
      <c r="O104" s="1">
        <v>30</v>
      </c>
      <c r="P104" s="1">
        <v>29</v>
      </c>
      <c r="Q104" s="1">
        <f>IF(1054742&gt;0,100*14563/1054742,"")</f>
        <v>1.3807168008859039</v>
      </c>
      <c r="R104" s="1">
        <f>IF(1049076&gt;0,100*12239/1049076,"")</f>
        <v>1.1666456958313793</v>
      </c>
      <c r="S104" s="1">
        <f>IF(COUNT(Q104:R104)=2,R104-Q104,"")</f>
        <v>-0.21407110505452454</v>
      </c>
    </row>
    <row r="105" spans="1:19">
      <c r="A105" s="1">
        <v>31</v>
      </c>
      <c r="B105" s="1">
        <v>30</v>
      </c>
      <c r="C105" s="1">
        <f>IF(1611966&gt;0,100*408242/1611966,"")</f>
        <v>25.32572026953422</v>
      </c>
      <c r="D105" s="1">
        <f>IF(1573298&gt;0,100*62571/1573298,"")</f>
        <v>3.977059654305796</v>
      </c>
      <c r="E105" s="1">
        <f>IF(COUNT(C105:D105)=2,D105-C105,"")</f>
        <v>-21.348660615228425</v>
      </c>
      <c r="H105" s="1">
        <v>31</v>
      </c>
      <c r="I105" s="1">
        <v>30</v>
      </c>
      <c r="J105" s="1">
        <f>IF(1813572&gt;0,100*419503/1813572,"")</f>
        <v>23.131312128771288</v>
      </c>
      <c r="K105" s="1">
        <f>IF(2398853&gt;0,100*499824/2398853,"")</f>
        <v>20.835957851523208</v>
      </c>
      <c r="L105" s="1">
        <f>IF(COUNT(J105:K105)=2,K105-J105,"")</f>
        <v>-2.29535427724808</v>
      </c>
      <c r="O105" s="1">
        <v>31</v>
      </c>
      <c r="P105" s="1">
        <v>30</v>
      </c>
      <c r="Q105" s="1">
        <f>IF(2344140&gt;0,100*1034103/2344140,"")</f>
        <v>44.11438736594231</v>
      </c>
      <c r="R105" s="1">
        <f>IF(2249121&gt;0,100*525810/2249121,"")</f>
        <v>23.37846652092084</v>
      </c>
      <c r="S105" s="1">
        <f>IF(COUNT(Q105:R105)=2,R105-Q105,"")</f>
        <v>-20.735920845021468</v>
      </c>
    </row>
    <row r="106" spans="1:19">
      <c r="A106" s="2" t="s">
        <v>6</v>
      </c>
      <c r="B106" s="1"/>
      <c r="C106" s="1">
        <f>IF(COUNT(C75:C105)&gt;0,AVERAGE(C75:C105),"")</f>
        <v>34.139885623640744</v>
      </c>
      <c r="D106" s="1">
        <f>IF(COUNT(D75:D105)&gt;0,AVERAGE(D75:D105),"")</f>
        <v>20.109788478191597</v>
      </c>
      <c r="E106" s="1">
        <f>IF(COUNT(E75:E105)&gt;0,AVERAGE(E75:E105),"")</f>
        <v>-14.030097145449144</v>
      </c>
      <c r="H106" s="2" t="s">
        <v>6</v>
      </c>
      <c r="I106" s="1"/>
      <c r="J106" s="1">
        <f>IF(COUNT(J75:J105)&gt;0,AVERAGE(J75:J105),"")</f>
        <v>36.56494216191195</v>
      </c>
      <c r="K106" s="1">
        <f>IF(COUNT(K75:K105)&gt;0,AVERAGE(K75:K105),"")</f>
        <v>16.674271103084383</v>
      </c>
      <c r="L106" s="1">
        <f>IF(COUNT(L75:L105)&gt;0,AVERAGE(L75:L105),"")</f>
        <v>-19.645070040859334</v>
      </c>
      <c r="O106" s="2" t="s">
        <v>6</v>
      </c>
      <c r="P106" s="1"/>
      <c r="Q106" s="1">
        <f>IF(COUNT(Q75:Q105)&gt;0,AVERAGE(Q75:Q105),"")</f>
        <v>34.28456187402019</v>
      </c>
      <c r="R106" s="1">
        <f>IF(COUNT(R75:R105)&gt;0,AVERAGE(R75:R105),"")</f>
        <v>16.553114421098748</v>
      </c>
      <c r="S106" s="1">
        <f>IF(COUNT(S75:S105)&gt;0,AVERAGE(S75:S105),"")</f>
        <v>-17.73144745292144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IF(1025565&gt;0,100*254231/1025565,"")</f>
        <v>24.789360011310837</v>
      </c>
      <c r="D3" s="1">
        <f>IF(955403&gt;0,100*142788/955403,"")</f>
        <v>14.945316269678868</v>
      </c>
      <c r="E3" s="1">
        <f>IF(COUNT(C3:D3)=2,D3-C3,"")</f>
        <v>-9.84404374163197</v>
      </c>
      <c r="H3" s="1">
        <v>1</v>
      </c>
      <c r="I3" s="1">
        <v>0</v>
      </c>
      <c r="J3" s="1">
        <f>IF(1360559&gt;0,100*350066/1360559,"")</f>
        <v>25.729571448206215</v>
      </c>
      <c r="K3" s="1">
        <f>IF(840827&gt;0,100*71161/840827,"")</f>
        <v>8.463215381998912</v>
      </c>
      <c r="L3" s="1">
        <f>IF(COUNT(J3:K3)=2,K3-J3,"")</f>
        <v>-17.2663560662073</v>
      </c>
      <c r="O3" s="1">
        <v>1</v>
      </c>
      <c r="P3" s="1">
        <v>0</v>
      </c>
      <c r="Q3" s="1">
        <f>IF(1611169&gt;0,100*528552/1611169,"")</f>
        <v>32.80549712662049</v>
      </c>
      <c r="R3" s="1">
        <f>IF(968640&gt;0,100*146431/968640,"")</f>
        <v>15.117174595308887</v>
      </c>
      <c r="S3" s="1">
        <f>IF(COUNT(Q3:R3)=2,R3-Q3,"")</f>
        <v>-17.6883225313116</v>
      </c>
    </row>
    <row r="4" spans="1:19">
      <c r="A4" s="1">
        <v>2</v>
      </c>
      <c r="B4" s="1">
        <v>1</v>
      </c>
      <c r="C4" s="1">
        <f>IF(1608611&gt;0,100*585743/1608611,"")</f>
        <v>36.41296746074719</v>
      </c>
      <c r="D4" s="1">
        <f>IF(636887&gt;0,100*162891/636887,"")</f>
        <v>25.57612260887724</v>
      </c>
      <c r="E4" s="1">
        <f>IF(COUNT(C4:D4)=2,D4-C4,"")</f>
        <v>-10.836844851869948</v>
      </c>
      <c r="H4" s="1">
        <v>2</v>
      </c>
      <c r="I4" s="1">
        <v>1</v>
      </c>
      <c r="J4" s="1">
        <f>IF(1080061&gt;0,100*195305/1080061,"")</f>
        <v>18.082774954377577</v>
      </c>
      <c r="K4" s="1">
        <f>IF(1096237&gt;0,100*160006/1096237,"")</f>
        <v>14.595931354260074</v>
      </c>
      <c r="L4" s="1">
        <f>IF(COUNT(J4:K4)=2,K4-J4,"")</f>
        <v>-3.4868436001175027</v>
      </c>
      <c r="O4" s="1">
        <v>2</v>
      </c>
      <c r="P4" s="1">
        <v>1</v>
      </c>
      <c r="Q4" s="1">
        <f>IF(1467133&gt;0,100*488009/1467133,"")</f>
        <v>33.26276486180871</v>
      </c>
      <c r="R4" s="1">
        <f>IF(1595226&gt;0,100*346818/1595226,"")</f>
        <v>21.740994692914985</v>
      </c>
      <c r="S4" s="1">
        <f>IF(COUNT(Q4:R4)=2,R4-Q4,"")</f>
        <v>-11.521770168893728</v>
      </c>
    </row>
    <row r="5" spans="1:19">
      <c r="A5" s="1">
        <v>3</v>
      </c>
      <c r="B5" s="1">
        <v>2</v>
      </c>
      <c r="C5" s="1">
        <f>IF(1615726&gt;0,100*621491/1615726,"")</f>
        <v>38.46512341820333</v>
      </c>
      <c r="D5" s="1">
        <f>IF(1393786&gt;0,100*327700/1393786,"")</f>
        <v>23.511500330753787</v>
      </c>
      <c r="E5" s="1">
        <f>IF(COUNT(C5:D5)=2,D5-C5,"")</f>
        <v>-14.953623087449547</v>
      </c>
      <c r="H5" s="1">
        <v>3</v>
      </c>
      <c r="I5" s="1">
        <v>2</v>
      </c>
      <c r="J5" s="1">
        <f>IF(1770666&gt;0,100*210556/1770666,"")</f>
        <v>11.891344838608749</v>
      </c>
      <c r="K5" s="1">
        <f>IF(1033606&gt;0,100*91664/1033606,"")</f>
        <v>8.868369572158056</v>
      </c>
      <c r="L5" s="1">
        <f>IF(COUNT(J5:K5)=2,K5-J5,"")</f>
        <v>-3.0229752664506933</v>
      </c>
      <c r="O5" s="1">
        <v>3</v>
      </c>
      <c r="P5" s="1">
        <v>2</v>
      </c>
      <c r="Q5" s="1">
        <f>IF(1770413&gt;0,100*588287/1770413,"")</f>
        <v>33.228800285583084</v>
      </c>
      <c r="R5" s="1">
        <f>IF(1222211&gt;0,100*137859/1222211,"")</f>
        <v>11.27947629337324</v>
      </c>
      <c r="S5" s="1">
        <f>IF(COUNT(Q5:R5)=2,R5-Q5,"")</f>
        <v>-21.949323992209845</v>
      </c>
    </row>
    <row r="6" spans="1:19">
      <c r="A6" s="1">
        <v>4</v>
      </c>
      <c r="B6" s="1">
        <v>3</v>
      </c>
      <c r="C6" s="1">
        <f>IF(1681360&gt;0,100*632235/1681360,"")</f>
        <v>37.60259551791407</v>
      </c>
      <c r="D6" s="1">
        <f>IF(1337614&gt;0,100*282202/1337614,"")</f>
        <v>21.097416743544848</v>
      </c>
      <c r="E6" s="1">
        <f>IF(COUNT(C6:D6)=2,D6-C6,"")</f>
        <v>-16.50517877436922</v>
      </c>
      <c r="H6" s="1">
        <v>4</v>
      </c>
      <c r="I6" s="1">
        <v>3</v>
      </c>
      <c r="J6" s="1">
        <f>IF(1249184&gt;0,100*192969/1249184,"")</f>
        <v>15.447604196019162</v>
      </c>
      <c r="K6" s="1">
        <f>IF(938906&gt;0,100*44893/938906,"")</f>
        <v>4.781415817983909</v>
      </c>
      <c r="L6" s="1">
        <f>IF(COUNT(J6:K6)=2,K6-J6,"")</f>
        <v>-10.666188378035253</v>
      </c>
      <c r="O6" s="1">
        <v>4</v>
      </c>
      <c r="P6" s="1">
        <v>3</v>
      </c>
      <c r="Q6" s="1">
        <f>IF(851878&gt;0,100*27960/851878,"")</f>
        <v>3.2821601215197482</v>
      </c>
      <c r="R6" s="1">
        <f>IF(821708&gt;0,100*36452/821708,"")</f>
        <v>4.436125728360926</v>
      </c>
      <c r="S6" s="1">
        <f>IF(COUNT(Q6:R6)=2,R6-Q6,"")</f>
        <v>1.1539656068411777</v>
      </c>
    </row>
    <row r="7" spans="1:19">
      <c r="A7" s="1">
        <v>5</v>
      </c>
      <c r="B7" s="1">
        <v>4</v>
      </c>
      <c r="C7" s="1">
        <f>IF(1534810&gt;0,100*544323/1534810,"")</f>
        <v>35.46517158475642</v>
      </c>
      <c r="D7" s="1">
        <f>IF(913562&gt;0,100*149935/913562,"")</f>
        <v>16.412131853119984</v>
      </c>
      <c r="E7" s="1">
        <f>IF(COUNT(C7:D7)=2,D7-C7,"")</f>
        <v>-19.053039731636435</v>
      </c>
      <c r="H7" s="1">
        <v>5</v>
      </c>
      <c r="I7" s="1">
        <v>4</v>
      </c>
      <c r="J7" s="1">
        <f>IF(1559950&gt;0,100*448934/1559950,"")</f>
        <v>28.77874290842655</v>
      </c>
      <c r="K7" s="1">
        <f>IF(1321466&gt;0,100*231605/1321466,"")</f>
        <v>17.526368442320877</v>
      </c>
      <c r="L7" s="1">
        <f>IF(COUNT(J7:K7)=2,K7-J7,"")</f>
        <v>-11.252374466105675</v>
      </c>
      <c r="O7" s="1">
        <v>5</v>
      </c>
      <c r="P7" s="1">
        <v>4</v>
      </c>
      <c r="Q7" s="1">
        <f>IF(1545033&gt;0,100*593590/1545033,"")</f>
        <v>38.419244119704885</v>
      </c>
      <c r="R7" s="1">
        <f>IF(1712336&gt;0,100*411850/1712336,"")</f>
        <v>24.05193840461218</v>
      </c>
      <c r="S7" s="1">
        <f>IF(COUNT(Q7:R7)=2,R7-Q7,"")</f>
        <v>-14.367305715092705</v>
      </c>
    </row>
    <row r="8" spans="1:19">
      <c r="A8" s="1">
        <v>6</v>
      </c>
      <c r="B8" s="1">
        <v>5</v>
      </c>
      <c r="C8" s="1">
        <f>IF(1481795&gt;0,100*384291/1481795,"")</f>
        <v>25.93415418462068</v>
      </c>
      <c r="D8" s="1">
        <f>IF(1034092&gt;0,100*141560/1034092,"")</f>
        <v>13.689304239854868</v>
      </c>
      <c r="E8" s="1">
        <f>IF(COUNT(C8:D8)=2,D8-C8,"")</f>
        <v>-12.244849944765813</v>
      </c>
      <c r="H8" s="1">
        <v>6</v>
      </c>
      <c r="I8" s="1">
        <v>5</v>
      </c>
      <c r="J8" s="1">
        <f>IF(1363284&gt;0,100*338111/1363284,"")</f>
        <v>24.801215300700367</v>
      </c>
      <c r="K8" s="1">
        <f>IF(1256472&gt;0,100*259690/1256472,"")</f>
        <v>20.66818838780331</v>
      </c>
      <c r="L8" s="1">
        <f>IF(COUNT(J8:K8)=2,K8-J8,"")</f>
        <v>-4.1330269128970585</v>
      </c>
      <c r="O8" s="1">
        <v>6</v>
      </c>
      <c r="P8" s="1">
        <v>5</v>
      </c>
      <c r="Q8" s="1">
        <f>IF(1496153&gt;0,100*372992/1496153,"")</f>
        <v>24.930070654538675</v>
      </c>
      <c r="R8" s="1">
        <f>IF(1283473&gt;0,100*211283/1283473,"")</f>
        <v>16.461818830625965</v>
      </c>
      <c r="S8" s="1">
        <f>IF(COUNT(Q8:R8)=2,R8-Q8,"")</f>
        <v>-8.46825182391271</v>
      </c>
    </row>
    <row r="9" spans="1:19">
      <c r="A9" s="1">
        <v>7</v>
      </c>
      <c r="B9" s="1">
        <v>6</v>
      </c>
      <c r="C9" s="1">
        <f>IF(1693230&gt;0,100*659152/1693230,"")</f>
        <v>38.92867478133508</v>
      </c>
      <c r="D9" s="1">
        <f>IF(1389466&gt;0,100*242848/1389466,"")</f>
        <v>17.47779362719203</v>
      </c>
      <c r="E9" s="1">
        <f>IF(COUNT(C9:D9)=2,D9-C9,"")</f>
        <v>-21.450881154143055</v>
      </c>
      <c r="H9" s="1">
        <v>7</v>
      </c>
      <c r="I9" s="1">
        <v>6</v>
      </c>
      <c r="J9" s="1">
        <f>IF(681918&gt;0,100*6217/681918,"")</f>
        <v>0.9116931947829504</v>
      </c>
      <c r="K9" s="1">
        <f>IF(784828&gt;0,100*37833/784828,"")</f>
        <v>4.820546667550087</v>
      </c>
      <c r="L9" s="1">
        <f>IF(COUNT(J9:K9)=2,K9-J9,"")</f>
        <v>3.908853472767137</v>
      </c>
      <c r="O9" s="1">
        <v>7</v>
      </c>
      <c r="P9" s="1">
        <v>6</v>
      </c>
      <c r="Q9" s="1">
        <f>IF(1286739&gt;0,100*333741/1286739,"")</f>
        <v>25.93696157495809</v>
      </c>
      <c r="R9" s="1">
        <f>IF(899903&gt;0,100*56823/899903,"")</f>
        <v>6.314347212977399</v>
      </c>
      <c r="S9" s="1">
        <f>IF(COUNT(Q9:R9)=2,R9-Q9,"")</f>
        <v>-19.62261436198069</v>
      </c>
    </row>
    <row r="10" spans="1:19">
      <c r="A10" s="1">
        <v>8</v>
      </c>
      <c r="B10" s="1">
        <v>7</v>
      </c>
      <c r="C10" s="1">
        <f>IF(1832737&gt;0,100*772049/1832737,"")</f>
        <v>42.12546590154506</v>
      </c>
      <c r="D10" s="1">
        <f>IF(1205065&gt;0,100*265142/1205065,"")</f>
        <v>22.00229863119417</v>
      </c>
      <c r="E10" s="1">
        <f>IF(COUNT(C10:D10)=2,D10-C10,"")</f>
        <v>-20.123167270350894</v>
      </c>
      <c r="H10" s="1">
        <v>8</v>
      </c>
      <c r="I10" s="1">
        <v>7</v>
      </c>
      <c r="J10" s="1">
        <f>IF(655547&gt;0,100*1454/655547,"")</f>
        <v>0.2217995048409954</v>
      </c>
      <c r="K10" s="1">
        <f>IF(952841&gt;0,100*85834/952841,"")</f>
        <v>9.008218580014924</v>
      </c>
      <c r="L10" s="1">
        <f>IF(COUNT(J10:K10)=2,K10-J10,"")</f>
        <v>8.78641907517393</v>
      </c>
      <c r="O10" s="1">
        <v>8</v>
      </c>
      <c r="P10" s="1">
        <v>7</v>
      </c>
      <c r="Q10" s="1">
        <f>IF(589319&gt;0,100*4560/589319,"")</f>
        <v>0.773774475284184</v>
      </c>
      <c r="R10" s="1">
        <f>IF(690783&gt;0,100*31227/690783,"")</f>
        <v>4.520522363752438</v>
      </c>
      <c r="S10" s="1">
        <f>IF(COUNT(Q10:R10)=2,R10-Q10,"")</f>
        <v>3.7467478884682537</v>
      </c>
    </row>
    <row r="11" spans="1:19">
      <c r="A11" s="1">
        <v>9</v>
      </c>
      <c r="B11" s="1">
        <v>8</v>
      </c>
      <c r="C11" s="1">
        <f>IF(1595971&gt;0,100*597472/1595971,"")</f>
        <v>37.43626920539283</v>
      </c>
      <c r="D11" s="1">
        <f>IF(1266310&gt;0,100*289534/1266310,"")</f>
        <v>22.86438549802181</v>
      </c>
      <c r="E11" s="1">
        <f>IF(COUNT(C11:D11)=2,D11-C11,"")</f>
        <v>-14.571883707371022</v>
      </c>
      <c r="H11" s="1">
        <v>9</v>
      </c>
      <c r="I11" s="1">
        <v>8</v>
      </c>
      <c r="J11" s="1">
        <f>IF(1710121&gt;0,100*526664/1710121,"")</f>
        <v>30.79688513268944</v>
      </c>
      <c r="K11" s="1">
        <f>IF(1747086&gt;0,100*424141/1747086,"")</f>
        <v>24.277053333379126</v>
      </c>
      <c r="L11" s="1">
        <f>IF(COUNT(J11:K11)=2,K11-J11,"")</f>
        <v>-6.519831799310314</v>
      </c>
      <c r="O11" s="1">
        <v>9</v>
      </c>
      <c r="P11" s="1">
        <v>8</v>
      </c>
      <c r="Q11" s="1">
        <f>IF(1425170&gt;0,100*455531/1425170,"")</f>
        <v>31.96327455671955</v>
      </c>
      <c r="R11" s="1">
        <f>IF(1710197&gt;0,100*388146/1710197,"")</f>
        <v>22.695981807943763</v>
      </c>
      <c r="S11" s="1">
        <f>IF(COUNT(Q11:R11)=2,R11-Q11,"")</f>
        <v>-9.267292748775787</v>
      </c>
    </row>
    <row r="12" spans="1:19">
      <c r="A12" s="1">
        <v>10</v>
      </c>
      <c r="B12" s="1">
        <v>9</v>
      </c>
      <c r="C12" s="1">
        <f>IF(1793318&gt;0,100*560859/1793318,"")</f>
        <v>31.27493283399821</v>
      </c>
      <c r="D12" s="1">
        <f>IF(796362&gt;0,100*10091/796362,"")</f>
        <v>1.267137306903142</v>
      </c>
      <c r="E12" s="1">
        <f>IF(COUNT(C12:D12)=2,D12-C12,"")</f>
        <v>-30.00779552709507</v>
      </c>
      <c r="H12" s="1">
        <v>10</v>
      </c>
      <c r="I12" s="1">
        <v>9</v>
      </c>
      <c r="J12" s="1">
        <f>IF(1173418&gt;0,100*250711/1173418,"")</f>
        <v>21.365873030752894</v>
      </c>
      <c r="K12" s="1">
        <f>IF(1190231&gt;0,100*129008/1190231,"")</f>
        <v>10.838904380746259</v>
      </c>
      <c r="L12" s="1">
        <f>IF(COUNT(J12:K12)=2,K12-J12,"")</f>
        <v>-10.526968650006635</v>
      </c>
      <c r="O12" s="1">
        <v>10</v>
      </c>
      <c r="P12" s="1">
        <v>9</v>
      </c>
      <c r="Q12" s="1">
        <f>IF(1151234&gt;0,100*222783/1151234,"")</f>
        <v>19.351669599751222</v>
      </c>
      <c r="R12" s="1">
        <f>IF(775575&gt;0,100*21492/775575,"")</f>
        <v>2.7711053089643167</v>
      </c>
      <c r="S12" s="1">
        <f>IF(COUNT(Q12:R12)=2,R12-Q12,"")</f>
        <v>-16.580564290786906</v>
      </c>
    </row>
    <row r="13" spans="1:19">
      <c r="A13" s="1">
        <v>11</v>
      </c>
      <c r="B13" s="1">
        <v>10</v>
      </c>
      <c r="C13" s="1">
        <f>IF(1514166&gt;0,100*450931/1514166,"")</f>
        <v>29.78081663437166</v>
      </c>
      <c r="D13" s="1">
        <f>IF(1439511&gt;0,100*323084/1439511,"")</f>
        <v>22.444010500788114</v>
      </c>
      <c r="E13" s="1">
        <f>IF(COUNT(C13:D13)=2,D13-C13,"")</f>
        <v>-7.336806133583547</v>
      </c>
      <c r="H13" s="1">
        <v>11</v>
      </c>
      <c r="I13" s="1">
        <v>10</v>
      </c>
      <c r="J13" s="1">
        <f>IF(1146506&gt;0,100*57993/1146506,"")</f>
        <v>5.058237811228201</v>
      </c>
      <c r="K13" s="1">
        <f>IF(1244276&gt;0,100*75016/1244276,"")</f>
        <v>6.0288874815555396</v>
      </c>
      <c r="L13" s="1">
        <f>IF(COUNT(J13:K13)=2,K13-J13,"")</f>
        <v>0.9706496703273384</v>
      </c>
      <c r="O13" s="1">
        <v>11</v>
      </c>
      <c r="P13" s="1">
        <v>10</v>
      </c>
      <c r="Q13" s="1">
        <f>IF(1057778&gt;0,100*7899/1057778,"")</f>
        <v>0.7467540447995704</v>
      </c>
      <c r="R13" s="1">
        <f>IF(1088301&gt;0,100*28212/1088301,"")</f>
        <v>2.5922975353325963</v>
      </c>
      <c r="S13" s="1">
        <f>IF(COUNT(Q13:R13)=2,R13-Q13,"")</f>
        <v>1.845543490533026</v>
      </c>
    </row>
    <row r="14" spans="1:19">
      <c r="A14" s="1">
        <v>12</v>
      </c>
      <c r="B14" s="1">
        <v>11</v>
      </c>
      <c r="C14" s="1">
        <f>IF(1480420&gt;0,100*530595/1480420,"")</f>
        <v>35.84084246362519</v>
      </c>
      <c r="D14" s="1">
        <f>IF(1420059&gt;0,100*383879/1420059,"")</f>
        <v>27.032609208490634</v>
      </c>
      <c r="E14" s="1">
        <f>IF(COUNT(C14:D14)=2,D14-C14,"")</f>
        <v>-8.808233255134553</v>
      </c>
      <c r="H14" s="1">
        <v>12</v>
      </c>
      <c r="I14" s="1">
        <v>11</v>
      </c>
      <c r="J14" s="1">
        <f>IF(979595&gt;0,100*35929/979595,"")</f>
        <v>3.6677402395888095</v>
      </c>
      <c r="K14" s="1">
        <f>IF(1309689&gt;0,100*161169/1309689,"")</f>
        <v>12.305898575921459</v>
      </c>
      <c r="L14" s="1">
        <f>IF(COUNT(J14:K14)=2,K14-J14,"")</f>
        <v>8.63815833633265</v>
      </c>
      <c r="O14" s="1">
        <v>12</v>
      </c>
      <c r="P14" s="1">
        <v>11</v>
      </c>
      <c r="Q14" s="1">
        <f>IF(1932101&gt;0,100*714622/1932101,"")</f>
        <v>36.98678278205953</v>
      </c>
      <c r="R14" s="1">
        <f>IF(1093139&gt;0,100*60042/1093139,"")</f>
        <v>5.49262262164281</v>
      </c>
      <c r="S14" s="1">
        <f>IF(COUNT(Q14:R14)=2,R14-Q14,"")</f>
        <v>-31.49416016041672</v>
      </c>
    </row>
    <row r="15" spans="1:19">
      <c r="A15" s="1">
        <v>13</v>
      </c>
      <c r="B15" s="1">
        <v>12</v>
      </c>
      <c r="C15" s="1">
        <f>IF(1625411&gt;0,100*523021/1625411,"")</f>
        <v>32.177769191915154</v>
      </c>
      <c r="D15" s="1">
        <f>IF(1089541&gt;0,100*101232/1089541,"")</f>
        <v>9.291252004284374</v>
      </c>
      <c r="E15" s="1">
        <f>IF(COUNT(C15:D15)=2,D15-C15,"")</f>
        <v>-22.88651718763078</v>
      </c>
      <c r="H15" s="1">
        <v>13</v>
      </c>
      <c r="I15" s="1">
        <v>12</v>
      </c>
      <c r="J15" s="1">
        <f>IF(1997433&gt;0,100*770522/1997433,"")</f>
        <v>38.575611797742404</v>
      </c>
      <c r="K15" s="1">
        <f>IF(845542&gt;0,100*60101/845542,"")</f>
        <v>7.107985174006732</v>
      </c>
      <c r="L15" s="1">
        <f>IF(COUNT(J15:K15)=2,K15-J15,"")</f>
        <v>-31.467626623735672</v>
      </c>
      <c r="O15" s="1">
        <v>13</v>
      </c>
      <c r="P15" s="1">
        <v>12</v>
      </c>
      <c r="Q15" s="1">
        <f>IF(931018&gt;0,100*79093/931018,"")</f>
        <v>8.495324472781407</v>
      </c>
      <c r="R15" s="1">
        <f>IF(907180&gt;0,100*83467/907180,"")</f>
        <v>9.200709892193391</v>
      </c>
      <c r="S15" s="1">
        <f>IF(COUNT(Q15:R15)=2,R15-Q15,"")</f>
        <v>0.705385419411984</v>
      </c>
    </row>
    <row r="16" spans="1:19">
      <c r="A16" s="1">
        <v>14</v>
      </c>
      <c r="B16" s="1">
        <v>13</v>
      </c>
      <c r="C16" s="1">
        <f>IF(929730&gt;0,100*189375/929730,"")</f>
        <v>20.368816753250943</v>
      </c>
      <c r="D16" s="1">
        <f>IF(993273&gt;0,100*34597/993273,"")</f>
        <v>3.4831310223876013</v>
      </c>
      <c r="E16" s="1">
        <f>IF(COUNT(C16:D16)=2,D16-C16,"")</f>
        <v>-16.885685730863344</v>
      </c>
      <c r="H16" s="1">
        <v>14</v>
      </c>
      <c r="I16" s="1">
        <v>13</v>
      </c>
      <c r="J16" s="1">
        <f>IF(1084239&gt;0,100*226536/1084239,"")</f>
        <v>20.893548378171232</v>
      </c>
      <c r="K16" s="1">
        <f>IF(1127384&gt;0,100*233454/1127384,"")</f>
        <v>20.70758499322325</v>
      </c>
      <c r="L16" s="1">
        <f>IF(COUNT(J16:K16)=2,K16-J16,"")</f>
        <v>-0.18596338494798204</v>
      </c>
      <c r="O16" s="1">
        <v>14</v>
      </c>
      <c r="P16" s="1">
        <v>13</v>
      </c>
      <c r="Q16" s="1">
        <f>IF(670550&gt;0,100*11588/670550,"")</f>
        <v>1.7281336216538663</v>
      </c>
      <c r="R16" s="1">
        <f>IF(819678&gt;0,100*67353/819678,"")</f>
        <v>8.21700716622869</v>
      </c>
      <c r="S16" s="1">
        <f>IF(COUNT(Q16:R16)=2,R16-Q16,"")</f>
        <v>6.488873544574824</v>
      </c>
    </row>
    <row r="17" spans="1:19">
      <c r="A17" s="1">
        <v>15</v>
      </c>
      <c r="B17" s="1">
        <v>14</v>
      </c>
      <c r="C17" s="1">
        <f>IF(1540895&gt;0,100*542667/1540895,"")</f>
        <v>35.217649482930376</v>
      </c>
      <c r="D17" s="1">
        <f>IF(1307849&gt;0,100*288515/1307849,"")</f>
        <v>22.06026842548337</v>
      </c>
      <c r="E17" s="1">
        <f>IF(COUNT(C17:D17)=2,D17-C17,"")</f>
        <v>-13.157381057447008</v>
      </c>
      <c r="H17" s="1">
        <v>15</v>
      </c>
      <c r="I17" s="1">
        <v>14</v>
      </c>
      <c r="J17" s="1">
        <f>IF(1976548&gt;0,100*795333/1976548,"")</f>
        <v>40.238486492612374</v>
      </c>
      <c r="K17" s="1">
        <f>IF(4911&gt;0,100*674/4911,"")</f>
        <v>13.724292404805539</v>
      </c>
      <c r="L17" s="1">
        <f>IF(COUNT(J17:K17)=2,K17-J17,"")</f>
        <v>-26.514194087806835</v>
      </c>
      <c r="O17" s="1">
        <v>15</v>
      </c>
      <c r="P17" s="1">
        <v>14</v>
      </c>
      <c r="Q17" s="1">
        <f>IF(1789842&gt;0,100*586809/1789842,"")</f>
        <v>32.78551961569792</v>
      </c>
      <c r="R17" s="1">
        <f>IF(1361994&gt;0,100*233169/1361994,"")</f>
        <v>17.119678941316923</v>
      </c>
      <c r="S17" s="1">
        <f>IF(COUNT(Q17:R17)=2,R17-Q17,"")</f>
        <v>-15.665840674380998</v>
      </c>
    </row>
    <row r="18" spans="1:19">
      <c r="A18" s="1">
        <v>16</v>
      </c>
      <c r="B18" s="1">
        <v>15</v>
      </c>
      <c r="C18" s="1">
        <f>IF(1507412&gt;0,100*534395/1507412,"")</f>
        <v>35.45115734782528</v>
      </c>
      <c r="D18" s="1">
        <f>IF(1561425&gt;0,100*429007/1561425,"")</f>
        <v>27.475351041516564</v>
      </c>
      <c r="E18" s="1">
        <f>IF(COUNT(C18:D18)=2,D18-C18,"")</f>
        <v>-7.975806306308716</v>
      </c>
      <c r="H18" s="1">
        <v>16</v>
      </c>
      <c r="I18" s="1">
        <v>15</v>
      </c>
      <c r="J18" s="1">
        <f>IF(1507965&gt;0,100*427666/1507965,"")</f>
        <v>28.36047255738694</v>
      </c>
      <c r="K18" s="1">
        <f>IF(906031&gt;0,100*68188/906031,"")</f>
        <v>7.526011803128149</v>
      </c>
      <c r="L18" s="1">
        <f>IF(COUNT(J18:K18)=2,K18-J18,"")</f>
        <v>-20.834460754258792</v>
      </c>
      <c r="O18" s="1">
        <v>16</v>
      </c>
      <c r="P18" s="1">
        <v>15</v>
      </c>
      <c r="Q18" s="1">
        <f>IF(1644242&gt;0,100*542962/1644242,"")</f>
        <v>33.02202473845091</v>
      </c>
      <c r="R18" s="1">
        <f>IF(930586&gt;0,100*44146/930586,"")</f>
        <v>4.743892558022579</v>
      </c>
      <c r="S18" s="1">
        <f>IF(COUNT(Q18:R18)=2,R18-Q18,"")</f>
        <v>-28.27813218042833</v>
      </c>
    </row>
    <row r="19" spans="1:19">
      <c r="A19" s="1">
        <v>17</v>
      </c>
      <c r="B19" s="1">
        <v>16</v>
      </c>
      <c r="C19" s="1">
        <f>IF(642367&gt;0,100*51947/642367,"")</f>
        <v>8.08681018794552</v>
      </c>
      <c r="D19" s="1">
        <f>IF(598385&gt;0,100*6642/598385,"")</f>
        <v>1.1099877169380916</v>
      </c>
      <c r="E19" s="1">
        <f>IF(COUNT(C19:D19)=2,D19-C19,"")</f>
        <v>-6.976822471007429</v>
      </c>
      <c r="H19" s="1">
        <v>17</v>
      </c>
      <c r="I19" s="1">
        <v>16</v>
      </c>
      <c r="J19" s="1">
        <f>IF(1858121&gt;0,100*695653/1858121,"")</f>
        <v>37.4385198811057</v>
      </c>
      <c r="K19" s="1">
        <f>IF(1490391&gt;0,100*285793/1490391,"")</f>
        <v>19.175706240845525</v>
      </c>
      <c r="L19" s="1">
        <f>IF(COUNT(J19:K19)=2,K19-J19,"")</f>
        <v>-18.262813640260173</v>
      </c>
      <c r="O19" s="1">
        <v>17</v>
      </c>
      <c r="P19" s="1">
        <v>16</v>
      </c>
      <c r="Q19" s="1">
        <f>IF(1134999&gt;0,100*244255/1134999,"")</f>
        <v>21.520283277782625</v>
      </c>
      <c r="R19" s="1">
        <f>IF(1024733&gt;0,100*209788/1024733,"")</f>
        <v>20.472454776024584</v>
      </c>
      <c r="S19" s="1">
        <f>IF(COUNT(Q19:R19)=2,R19-Q19,"")</f>
        <v>-1.0478285017580404</v>
      </c>
    </row>
    <row r="20" spans="1:19">
      <c r="A20" s="1">
        <v>18</v>
      </c>
      <c r="B20" s="1">
        <v>17</v>
      </c>
      <c r="C20" s="1">
        <f>IF(594640&gt;0,100*3581/594640,"")</f>
        <v>0.6022131037266245</v>
      </c>
      <c r="D20" s="1">
        <f>IF(628769&gt;0,100*4754/628769,"")</f>
        <v>0.756080531960068</v>
      </c>
      <c r="E20" s="1">
        <f>IF(COUNT(C20:D20)=2,D20-C20,"")</f>
        <v>0.15386742823344346</v>
      </c>
      <c r="H20" s="1">
        <v>18</v>
      </c>
      <c r="I20" s="1">
        <v>17</v>
      </c>
      <c r="J20" s="1">
        <f>IF(1593567&gt;0,100*381148/1593567,"")</f>
        <v>23.917914966863645</v>
      </c>
      <c r="K20" s="1">
        <f>IF(966548&gt;0,100*45242/966548,"")</f>
        <v>4.680781502832762</v>
      </c>
      <c r="L20" s="1">
        <f>IF(COUNT(J20:K20)=2,K20-J20,"")</f>
        <v>-19.237133464030883</v>
      </c>
      <c r="O20" s="1">
        <v>18</v>
      </c>
      <c r="P20" s="1">
        <v>17</v>
      </c>
      <c r="Q20" s="1">
        <f>IF(1362366&gt;0,100*418939/1362366,"")</f>
        <v>30.750840816638114</v>
      </c>
      <c r="R20" s="1">
        <f>IF(1277471&gt;0,100*171291/1277471,"")</f>
        <v>13.408601839102413</v>
      </c>
      <c r="S20" s="1">
        <f>IF(COUNT(Q20:R20)=2,R20-Q20,"")</f>
        <v>-17.3422389775357</v>
      </c>
    </row>
    <row r="21" spans="1:19">
      <c r="A21" s="1">
        <v>19</v>
      </c>
      <c r="B21" s="1">
        <v>18</v>
      </c>
      <c r="C21" s="1">
        <f>IF(1610751&gt;0,100*584870/1610751,"")</f>
        <v>36.31039186069107</v>
      </c>
      <c r="D21" s="1">
        <f>IF(1768859&gt;0,100*527567/1768859,"")</f>
        <v>29.82527154510337</v>
      </c>
      <c r="E21" s="1">
        <f>IF(COUNT(C21:D21)=2,D21-C21,"")</f>
        <v>-6.4851203155877</v>
      </c>
      <c r="H21" s="1">
        <v>19</v>
      </c>
      <c r="I21" s="1">
        <v>18</v>
      </c>
      <c r="J21" s="1">
        <f>IF(959902&gt;0,100*142934/959902,"")</f>
        <v>14.89047840300364</v>
      </c>
      <c r="K21" s="1">
        <f>IF(1022954&gt;0,100*125974/1022954,"")</f>
        <v>12.314727739468246</v>
      </c>
      <c r="L21" s="1">
        <f>IF(COUNT(J21:K21)=2,K21-J21,"")</f>
        <v>-2.575750663535393</v>
      </c>
      <c r="O21" s="1">
        <v>19</v>
      </c>
      <c r="P21" s="1">
        <v>18</v>
      </c>
      <c r="Q21" s="1">
        <f>IF(1024717&gt;0,100*193814/1024717,"")</f>
        <v>18.91390500987102</v>
      </c>
      <c r="R21" s="1">
        <f>IF(1111759&gt;0,100*153387/1111759,"")</f>
        <v>13.796785094611332</v>
      </c>
      <c r="S21" s="1">
        <f>IF(COUNT(Q21:R21)=2,R21-Q21,"")</f>
        <v>-5.117119915259687</v>
      </c>
    </row>
    <row r="22" spans="1:19">
      <c r="A22" s="1">
        <v>20</v>
      </c>
      <c r="B22" s="1">
        <v>19</v>
      </c>
      <c r="C22" s="1">
        <f>IF(1151574&gt;0,100*385861/1151574,"")</f>
        <v>33.50726918113816</v>
      </c>
      <c r="D22" s="1">
        <f>IF(1016346&gt;0,100*38568/1016346,"")</f>
        <v>3.794770678489412</v>
      </c>
      <c r="E22" s="1">
        <f>IF(COUNT(C22:D22)=2,D22-C22,"")</f>
        <v>-29.71249850264875</v>
      </c>
      <c r="H22" s="1">
        <v>20</v>
      </c>
      <c r="I22" s="1">
        <v>19</v>
      </c>
      <c r="J22" s="1">
        <f>IF(795490&gt;0,100*93263/795490,"")</f>
        <v>11.723968874530163</v>
      </c>
      <c r="K22" s="1">
        <f>IF(1106383&gt;0,100*116555/1106383,"")</f>
        <v>10.53477864356195</v>
      </c>
      <c r="L22" s="1">
        <f>IF(COUNT(J22:K22)=2,K22-J22,"")</f>
        <v>-1.1891902309682134</v>
      </c>
      <c r="O22" s="1">
        <v>20</v>
      </c>
      <c r="P22" s="1">
        <v>19</v>
      </c>
      <c r="Q22" s="1">
        <f>IF(1318480&gt;0,100*350952/1318480,"")</f>
        <v>26.617923669680238</v>
      </c>
      <c r="R22" s="1">
        <f>IF(1128559&gt;0,100*197490/1128559,"")</f>
        <v>17.49930663793386</v>
      </c>
      <c r="S22" s="1">
        <f>IF(COUNT(Q22:R22)=2,R22-Q22,"")</f>
        <v>-9.118617031746378</v>
      </c>
    </row>
    <row r="23" spans="1:19">
      <c r="A23" s="1">
        <v>21</v>
      </c>
      <c r="B23" s="1">
        <v>20</v>
      </c>
      <c r="C23" s="1">
        <f>IF(1068079&gt;0,100*233010/1068079,"")</f>
        <v>21.815802014644984</v>
      </c>
      <c r="D23" s="1">
        <f>IF(1293654&gt;0,100*275417/1293654,"")</f>
        <v>21.289850300002936</v>
      </c>
      <c r="E23" s="1">
        <f>IF(COUNT(C23:D23)=2,D23-C23,"")</f>
        <v>-0.5259517146420478</v>
      </c>
      <c r="H23" s="1">
        <v>21</v>
      </c>
      <c r="I23" s="1">
        <v>20</v>
      </c>
      <c r="J23" s="1">
        <f>IF(2064525&gt;0,100*814911/2064525,"")</f>
        <v>39.47208195589785</v>
      </c>
      <c r="K23" s="1">
        <f>IF(991055&gt;0,100*105337/991055,"")</f>
        <v>10.628774386890738</v>
      </c>
      <c r="L23" s="1">
        <f>IF(COUNT(J23:K23)=2,K23-J23,"")</f>
        <v>-28.84330756900711</v>
      </c>
      <c r="O23" s="1">
        <v>21</v>
      </c>
      <c r="P23" s="1">
        <v>20</v>
      </c>
      <c r="Q23" s="1">
        <f>IF(988289&gt;0,100*243580/988289,"")</f>
        <v>24.646636763133053</v>
      </c>
      <c r="R23" s="1">
        <f>IF(1465602&gt;0,100*240816/1465602,"")</f>
        <v>16.43120028493411</v>
      </c>
      <c r="S23" s="1">
        <f>IF(COUNT(Q23:R23)=2,R23-Q23,"")</f>
        <v>-8.215436478198942</v>
      </c>
    </row>
    <row r="24" spans="1:19">
      <c r="A24" s="1">
        <v>22</v>
      </c>
      <c r="B24" s="1">
        <v>21</v>
      </c>
      <c r="C24" s="1">
        <f>IF(1338290&gt;0,100*468761/1338290,"")</f>
        <v>35.0268626381427</v>
      </c>
      <c r="D24" s="1">
        <f>IF(1312219&gt;0,100*282360/1312219,"")</f>
        <v>21.517749704889198</v>
      </c>
      <c r="E24" s="1">
        <f>IF(COUNT(C24:D24)=2,D24-C24,"")</f>
        <v>-13.509112933253505</v>
      </c>
      <c r="H24" s="1">
        <v>22</v>
      </c>
      <c r="I24" s="1">
        <v>21</v>
      </c>
      <c r="J24" s="1">
        <f>IF(1478082&gt;0,100*446963/1478082,"")</f>
        <v>30.23939131929081</v>
      </c>
      <c r="K24" s="1">
        <f>IF(1294268&gt;0,100*228683/1294268,"")</f>
        <v>17.668906285251587</v>
      </c>
      <c r="L24" s="1">
        <f>IF(COUNT(J24:K24)=2,K24-J24,"")</f>
        <v>-12.570485034039223</v>
      </c>
      <c r="O24" s="1">
        <v>22</v>
      </c>
      <c r="P24" s="1">
        <v>21</v>
      </c>
      <c r="Q24" s="1">
        <f>IF(1372655&gt;0,100*332190/1372655,"")</f>
        <v>24.20054565786742</v>
      </c>
      <c r="R24" s="1">
        <f>IF(1227538&gt;0,100*283805/1227538,"")</f>
        <v>23.119854538107987</v>
      </c>
      <c r="S24" s="1">
        <f>IF(COUNT(Q24:R24)=2,R24-Q24,"")</f>
        <v>-1.0806911197594324</v>
      </c>
    </row>
    <row r="25" spans="1:19">
      <c r="A25" s="1">
        <v>23</v>
      </c>
      <c r="B25" s="1">
        <v>22</v>
      </c>
      <c r="C25" s="1">
        <f>IF(509320&gt;0,100*1248/509320,"")</f>
        <v>0.24503259247624284</v>
      </c>
      <c r="D25" s="1">
        <f>IF(537126&gt;0,100*6616/537126,"")</f>
        <v>1.2317407833543712</v>
      </c>
      <c r="E25" s="1">
        <f>IF(COUNT(C25:D25)=2,D25-C25,"")</f>
        <v>0.9867081908781283</v>
      </c>
      <c r="H25" s="1">
        <v>23</v>
      </c>
      <c r="I25" s="1">
        <v>22</v>
      </c>
      <c r="J25" s="1">
        <f>IF(1340391&gt;0,100*238132/1340391,"")</f>
        <v>17.765860857018588</v>
      </c>
      <c r="K25" s="1">
        <f>IF(1186714&gt;0,100*171500/1186714,"")</f>
        <v>14.451670747964547</v>
      </c>
      <c r="L25" s="1">
        <f>IF(COUNT(J25:K25)=2,K25-J25,"")</f>
        <v>-3.3141901090540404</v>
      </c>
      <c r="O25" s="1">
        <v>23</v>
      </c>
      <c r="P25" s="1">
        <v>22</v>
      </c>
      <c r="Q25" s="1">
        <f>IF(1673110&gt;0,100*548899/1673110,"")</f>
        <v>32.80710772154849</v>
      </c>
      <c r="R25" s="1">
        <f>IF(1020138&gt;0,100*85332/1020138,"")</f>
        <v>8.36475065138246</v>
      </c>
      <c r="S25" s="1">
        <f>IF(COUNT(Q25:R25)=2,R25-Q25,"")</f>
        <v>-24.442357070166032</v>
      </c>
    </row>
    <row r="26" spans="1:19">
      <c r="A26" s="1">
        <v>24</v>
      </c>
      <c r="B26" s="1">
        <v>23</v>
      </c>
      <c r="C26" s="1">
        <f>IF(914755&gt;0,100*175077/914755,"")</f>
        <v>19.139223070658264</v>
      </c>
      <c r="D26" s="1">
        <f>IF(640838&gt;0,100*64635/640838,"")</f>
        <v>10.086012377543154</v>
      </c>
      <c r="E26" s="1">
        <f>IF(COUNT(C26:D26)=2,D26-C26,"")</f>
        <v>-9.05321069311511</v>
      </c>
      <c r="H26" s="1">
        <v>24</v>
      </c>
      <c r="I26" s="1">
        <v>23</v>
      </c>
      <c r="J26" s="1">
        <f>IF(1715105&gt;0,100*545055/1715105,"")</f>
        <v>31.77968695794135</v>
      </c>
      <c r="K26" s="1">
        <f>IF(924925&gt;0,100*36624/924925,"")</f>
        <v>3.959672405870746</v>
      </c>
      <c r="L26" s="1">
        <f>IF(COUNT(J26:K26)=2,K26-J26,"")</f>
        <v>-27.820014552070603</v>
      </c>
      <c r="O26" s="1">
        <v>24</v>
      </c>
      <c r="P26" s="1">
        <v>23</v>
      </c>
      <c r="Q26" s="1">
        <f>IF(1476074&gt;0,100*377502/1476074,"")</f>
        <v>25.57473405804858</v>
      </c>
      <c r="R26" s="1">
        <f>IF(930030&gt;0,100*20707/930030,"")</f>
        <v>2.2264873176134103</v>
      </c>
      <c r="S26" s="1">
        <f>IF(COUNT(Q26:R26)=2,R26-Q26,"")</f>
        <v>-23.34824674043517</v>
      </c>
    </row>
    <row r="27" spans="1:19">
      <c r="A27" s="1">
        <v>25</v>
      </c>
      <c r="B27" s="1">
        <v>24</v>
      </c>
      <c r="C27" s="1">
        <f>IF(1691255&gt;0,100*656381/1691255,"")</f>
        <v>38.81029176558236</v>
      </c>
      <c r="D27" s="1">
        <f>IF(1658742&gt;0,100*446270/1658742,"")</f>
        <v>26.904123727499513</v>
      </c>
      <c r="E27" s="1">
        <f>IF(COUNT(C27:D27)=2,D27-C27,"")</f>
        <v>-11.90616803808285</v>
      </c>
      <c r="H27" s="1">
        <v>25</v>
      </c>
      <c r="I27" s="1">
        <v>24</v>
      </c>
      <c r="J27" s="1">
        <f>IF(1222508&gt;0,100*246917/1222508,"")</f>
        <v>20.197577439166043</v>
      </c>
      <c r="K27" s="1">
        <f>IF(702550&gt;0,100*6110/702550,"")</f>
        <v>0.8696889901074657</v>
      </c>
      <c r="L27" s="1">
        <f>IF(COUNT(J27:K27)=2,K27-J27,"")</f>
        <v>-19.327888449058577</v>
      </c>
      <c r="O27" s="1">
        <v>25</v>
      </c>
      <c r="P27" s="1">
        <v>24</v>
      </c>
      <c r="Q27" s="1">
        <f>IF(1190475&gt;0,100*83215/1190475,"")</f>
        <v>6.99006699006699</v>
      </c>
      <c r="R27" s="1">
        <f>IF(1132489&gt;0,100*96831/1132489,"")</f>
        <v>8.550281724590702</v>
      </c>
      <c r="S27" s="1">
        <f>IF(COUNT(Q27:R27)=2,R27-Q27,"")</f>
        <v>1.5602147345237123</v>
      </c>
    </row>
    <row r="28" spans="1:19">
      <c r="A28" s="1">
        <v>26</v>
      </c>
      <c r="B28" s="1">
        <v>25</v>
      </c>
      <c r="C28" s="1">
        <f>IF(1683042&gt;0,100*681416/1683042,"")</f>
        <v>40.48716550151452</v>
      </c>
      <c r="D28" s="1">
        <f>IF(1406303&gt;0,100*290351/1406303,"")</f>
        <v>20.646404082192813</v>
      </c>
      <c r="E28" s="1">
        <f>IF(COUNT(C28:D28)=2,D28-C28,"")</f>
        <v>-19.840761419321705</v>
      </c>
      <c r="H28" s="1">
        <v>26</v>
      </c>
      <c r="I28" s="1">
        <v>25</v>
      </c>
      <c r="J28" s="1">
        <f>IF(1827352&gt;0,100*581318/1827352,"")</f>
        <v>31.8120427810296</v>
      </c>
      <c r="K28" s="1">
        <f>IF(1501865&gt;0,100*233177/1501865,"")</f>
        <v>15.525829551923774</v>
      </c>
      <c r="L28" s="1">
        <f>IF(COUNT(J28:K28)=2,K28-J28,"")</f>
        <v>-16.286213229105826</v>
      </c>
      <c r="O28" s="1">
        <v>26</v>
      </c>
      <c r="P28" s="1">
        <v>25</v>
      </c>
      <c r="Q28" s="1">
        <f>IF(1679034&gt;0,100*488863/1679034,"")</f>
        <v>29.11572963978097</v>
      </c>
      <c r="R28" s="1">
        <f>IF(1535583&gt;0,100*249210/1535583,"")</f>
        <v>16.229015299075336</v>
      </c>
      <c r="S28" s="1">
        <f>IF(COUNT(Q28:R28)=2,R28-Q28,"")</f>
        <v>-12.886714340705634</v>
      </c>
    </row>
    <row r="29" spans="1:19">
      <c r="A29" s="1">
        <v>27</v>
      </c>
      <c r="B29" s="1">
        <v>26</v>
      </c>
      <c r="C29" s="1">
        <f>IF(1557766&gt;0,100*464581/1557766,"")</f>
        <v>29.823542175140553</v>
      </c>
      <c r="D29" s="1">
        <f>IF(1478997&gt;0,100*356304/1478997,"")</f>
        <v>24.09092107691902</v>
      </c>
      <c r="E29" s="1">
        <f>IF(COUNT(C29:D29)=2,D29-C29,"")</f>
        <v>-5.732621098221532</v>
      </c>
      <c r="H29" s="1">
        <v>27</v>
      </c>
      <c r="I29" s="1">
        <v>26</v>
      </c>
      <c r="J29" s="1">
        <f>IF(1255658&gt;0,100*171678/1255658,"")</f>
        <v>13.672353459301815</v>
      </c>
      <c r="K29" s="1">
        <f>IF(1436882&gt;0,100*297827/1436882,"")</f>
        <v>20.727310941329907</v>
      </c>
      <c r="L29" s="1">
        <f>IF(COUNT(J29:K29)=2,K29-J29,"")</f>
        <v>7.054957482028092</v>
      </c>
      <c r="O29" s="1">
        <v>27</v>
      </c>
      <c r="P29" s="1">
        <v>26</v>
      </c>
      <c r="Q29" s="1">
        <f>IF(2118549&gt;0,100*871261/2118549,"")</f>
        <v>41.12536457735931</v>
      </c>
      <c r="R29" s="1">
        <f>IF(1183714&gt;0,100*126793/1183714,"")</f>
        <v>10.71145563877761</v>
      </c>
      <c r="S29" s="1">
        <f>IF(COUNT(Q29:R29)=2,R29-Q29,"")</f>
        <v>-30.413908938581706</v>
      </c>
    </row>
    <row r="30" spans="1:19">
      <c r="A30" s="1">
        <v>28</v>
      </c>
      <c r="B30" s="1">
        <v>27</v>
      </c>
      <c r="C30" s="1">
        <f>IF(506350&gt;0,100*449/506350,"")</f>
        <v>0.08867384220400909</v>
      </c>
      <c r="D30" s="1">
        <f>IF(503398&gt;0,100*590/503398,"")</f>
        <v>0.1172034851151574</v>
      </c>
      <c r="E30" s="1">
        <f>IF(COUNT(C30:D30)=2,D30-C30,"")</f>
        <v>0.028529642911148304</v>
      </c>
      <c r="H30" s="1">
        <v>28</v>
      </c>
      <c r="I30" s="1">
        <v>27</v>
      </c>
      <c r="J30" s="1">
        <f>IF(1718872&gt;0,100*583484/1718872,"")</f>
        <v>33.94575046891217</v>
      </c>
      <c r="K30" s="1">
        <f>IF(1379304&gt;0,100*270118/1379304,"")</f>
        <v>19.58364508476739</v>
      </c>
      <c r="L30" s="1">
        <f>IF(COUNT(J30:K30)=2,K30-J30,"")</f>
        <v>-14.362105384144783</v>
      </c>
      <c r="O30" s="1">
        <v>28</v>
      </c>
      <c r="P30" s="1">
        <v>27</v>
      </c>
      <c r="Q30" s="1">
        <f>IF(1202604&gt;0,100*322949/1202604,"")</f>
        <v>26.8541431759748</v>
      </c>
      <c r="R30" s="1">
        <f>IF(1383353&gt;0,100*244573/1383353,"")</f>
        <v>17.67972455331358</v>
      </c>
      <c r="S30" s="1">
        <f>IF(COUNT(Q30:R30)=2,R30-Q30,"")</f>
        <v>-9.174418622661221</v>
      </c>
    </row>
    <row r="31" spans="1:19">
      <c r="A31" s="1">
        <v>29</v>
      </c>
      <c r="B31" s="1">
        <v>28</v>
      </c>
      <c r="C31" s="1">
        <f>IF(1614535&gt;0,100*599059/1614535,"")</f>
        <v>37.104119762036746</v>
      </c>
      <c r="D31" s="1">
        <f>IF(1617040&gt;0,100*432684/1617040,"")</f>
        <v>26.757779646761986</v>
      </c>
      <c r="E31" s="1">
        <f>IF(COUNT(C31:D31)=2,D31-C31,"")</f>
        <v>-10.34634011527476</v>
      </c>
      <c r="H31" s="1">
        <v>29</v>
      </c>
      <c r="I31" s="1">
        <v>28</v>
      </c>
      <c r="J31" s="1">
        <f>IF(1707787&gt;0,100*644845/1707787,"")</f>
        <v>37.75909993459371</v>
      </c>
      <c r="K31" s="1">
        <f>IF(1446688&gt;0,100*291251/1446688,"")</f>
        <v>20.132260722422526</v>
      </c>
      <c r="L31" s="1">
        <f>IF(COUNT(J31:K31)=2,K31-J31,"")</f>
        <v>-17.626839212171188</v>
      </c>
      <c r="O31" s="1">
        <v>29</v>
      </c>
      <c r="P31" s="1">
        <v>28</v>
      </c>
      <c r="Q31" s="1">
        <f>IF(1781585&gt;0,100*685393/1781585,"")</f>
        <v>38.47096826702066</v>
      </c>
      <c r="R31" s="1">
        <f>IF(1400850&gt;0,100*268493/1400850,"")</f>
        <v>19.16643466466788</v>
      </c>
      <c r="S31" s="1">
        <f>IF(COUNT(Q31:R31)=2,R31-Q31,"")</f>
        <v>-19.30453360235278</v>
      </c>
    </row>
    <row r="32" spans="1:19">
      <c r="A32" s="1">
        <v>30</v>
      </c>
      <c r="B32" s="1">
        <v>29</v>
      </c>
      <c r="C32" s="1">
        <f>IF(1722125&gt;0,100*685666/1722125,"")</f>
        <v>39.81511214342745</v>
      </c>
      <c r="D32" s="1">
        <f>IF(1233617&gt;0,100*227436/1233617,"")</f>
        <v>18.436516357994417</v>
      </c>
      <c r="E32" s="1">
        <f>IF(COUNT(C32:D32)=2,D32-C32,"")</f>
        <v>-21.37859578543303</v>
      </c>
      <c r="H32" s="1">
        <v>30</v>
      </c>
      <c r="I32" s="1">
        <v>29</v>
      </c>
      <c r="J32" s="1">
        <f>IF(1183903&gt;0,100*336267/1183903,"")</f>
        <v>28.403256009994063</v>
      </c>
      <c r="K32" s="1">
        <f>IF(1265664&gt;0,100*191634/1265664,"")</f>
        <v>15.140985285194175</v>
      </c>
      <c r="L32" s="1">
        <f>IF(COUNT(J32:K32)=2,K32-J32,"")</f>
        <v>-13.262270724799889</v>
      </c>
      <c r="O32" s="1">
        <v>30</v>
      </c>
      <c r="P32" s="1">
        <v>29</v>
      </c>
      <c r="Q32" s="1">
        <f>IF(1267752&gt;0,100*304833/1267752,"")</f>
        <v>24.045160252162884</v>
      </c>
      <c r="R32" s="1">
        <f>IF(888107&gt;0,100*31863/888107,"")</f>
        <v>3.587743368760746</v>
      </c>
      <c r="S32" s="1">
        <f>IF(COUNT(Q32:R32)=2,R32-Q32,"")</f>
        <v>-20.45741688340214</v>
      </c>
    </row>
    <row r="33" spans="1:19">
      <c r="A33" s="1">
        <v>31</v>
      </c>
      <c r="B33" s="1">
        <v>30</v>
      </c>
      <c r="C33" s="1">
        <f>IF(758539&gt;0,100*11909/758539,"")</f>
        <v>1.569991786842865</v>
      </c>
      <c r="D33" s="1">
        <f>IF(681235&gt;0,100*39009/681235,"")</f>
        <v>5.726217824979632</v>
      </c>
      <c r="E33" s="1">
        <f>IF(COUNT(C33:D33)=2,D33-C33,"")</f>
        <v>4.156226038136767</v>
      </c>
      <c r="H33" s="1">
        <v>31</v>
      </c>
      <c r="I33" s="1">
        <v>30</v>
      </c>
      <c r="J33" s="1">
        <f>IF(1372764&gt;0,100*366154/1372764,"")</f>
        <v>26.67275656995667</v>
      </c>
      <c r="K33" s="1">
        <f>IF(1239908&gt;0,100*259554/1239908,"")</f>
        <v>20.933327311381166</v>
      </c>
      <c r="L33" s="1">
        <f>IF(COUNT(J33:K33)=2,K33-J33,"")</f>
        <v>-5.739429258575505</v>
      </c>
      <c r="O33" s="1">
        <v>31</v>
      </c>
      <c r="P33" s="1">
        <v>30</v>
      </c>
      <c r="Q33" s="1">
        <f>IF(1698653&gt;0,100*588007/1698653,"")</f>
        <v>34.616075207826434</v>
      </c>
      <c r="R33" s="1">
        <f>IF(1179658&gt;0,100*250330/1179658,"")</f>
        <v>21.22055714452833</v>
      </c>
      <c r="S33" s="1">
        <f>IF(COUNT(Q33:R33)=2,R33-Q33,"")</f>
        <v>-13.395518063298105</v>
      </c>
    </row>
    <row r="34" spans="1:19">
      <c r="A34" s="2" t="s">
        <v>6</v>
      </c>
      <c r="B34" s="1"/>
      <c r="C34" s="1">
        <f>IF(COUNT(C3:C33)&gt;0,AVERAGE(C3:C33),"")</f>
        <v>28.37755704515853</v>
      </c>
      <c r="D34" s="1">
        <f>IF(COUNT(D3:D33)&gt;0,AVERAGE(D3:D33),"")</f>
        <v>16.22324706941402</v>
      </c>
      <c r="E34" s="1">
        <f>IF(COUNT(E3:E33)&gt;0,AVERAGE(E3:E33),"")</f>
        <v>-12.154309975744512</v>
      </c>
      <c r="H34" s="2" t="s">
        <v>6</v>
      </c>
      <c r="I34" s="1"/>
      <c r="J34" s="1">
        <f>IF(COUNT(J3:J33)&gt;0,AVERAGE(J3:J33),"")</f>
        <v>23.048785214991636</v>
      </c>
      <c r="K34" s="1">
        <f>IF(COUNT(K3:K33)&gt;0,AVERAGE(K3:K33),"")</f>
        <v>12.825062522279636</v>
      </c>
      <c r="L34" s="1">
        <f>IF(COUNT(L3:L33)&gt;0,AVERAGE(L3:L33),"")</f>
        <v>-10.223722692711998</v>
      </c>
      <c r="O34" s="2" t="s">
        <v>6</v>
      </c>
      <c r="P34" s="1"/>
      <c r="Q34" s="1">
        <f>IF(COUNT(Q3:Q33)&gt;0,AVERAGE(Q3:Q33),"")</f>
        <v>24.644136830215917</v>
      </c>
      <c r="R34" s="1">
        <f>IF(COUNT(R3:R33)&gt;0,AVERAGE(R3:R33),"")</f>
        <v>12.55549508022566</v>
      </c>
      <c r="S34" s="1">
        <f>IF(COUNT(S3:S33)&gt;0,AVERAGE(S3:S33),"")</f>
        <v>-12.088641749990257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IF(1093423&gt;0,100*121600/1093423,"")</f>
        <v>11.121039158678755</v>
      </c>
      <c r="D39" s="1">
        <f>IF(921281&gt;0,100*18550/921281,"")</f>
        <v>2.0135007668670037</v>
      </c>
      <c r="E39" s="1">
        <f>IF(COUNT(C39:D39)=2,D39-C39,"")</f>
        <v>-9.107538391811751</v>
      </c>
      <c r="H39" s="1">
        <v>1</v>
      </c>
      <c r="I39" s="1">
        <v>0</v>
      </c>
      <c r="J39" s="1">
        <f>IF(2001661&gt;0,100*613984/2001661,"")</f>
        <v>30.673725470996338</v>
      </c>
      <c r="K39" s="1">
        <f>IF(1113607&gt;0,100*315158/1113607,"")</f>
        <v>28.30064825382743</v>
      </c>
      <c r="L39" s="1">
        <f>IF(COUNT(J39:K39)=2,K39-J39,"")</f>
        <v>-2.373077217168909</v>
      </c>
      <c r="O39" s="1">
        <v>1</v>
      </c>
      <c r="P39" s="1">
        <v>0</v>
      </c>
      <c r="Q39" s="1">
        <f>IF(1572820&gt;0,100*273004/1572820,"")</f>
        <v>17.35761244134739</v>
      </c>
      <c r="R39" s="1">
        <f>IF(1406206&gt;0,100*112785/1406206,"")</f>
        <v>8.020517619751303</v>
      </c>
      <c r="S39" s="1">
        <f>IF(COUNT(Q39:R39)=2,R39-Q39,"")</f>
        <v>-9.337094821596086</v>
      </c>
    </row>
    <row r="40" spans="1:19">
      <c r="A40" s="1">
        <v>2</v>
      </c>
      <c r="B40" s="1">
        <v>1</v>
      </c>
      <c r="C40" s="1">
        <f>IF(1205676&gt;0,100*374828/1205676,"")</f>
        <v>31.08861750586393</v>
      </c>
      <c r="D40" s="1">
        <f>IF(1107139&gt;0,100*230519/1107139,"")</f>
        <v>20.82114350591931</v>
      </c>
      <c r="E40" s="1">
        <f>IF(COUNT(C40:D40)=2,D40-C40,"")</f>
        <v>-10.26747399994462</v>
      </c>
      <c r="H40" s="1">
        <v>2</v>
      </c>
      <c r="I40" s="1">
        <v>1</v>
      </c>
      <c r="J40" s="1">
        <f>IF(2100504&gt;0,100*794890/2100504,"")</f>
        <v>37.84282248450848</v>
      </c>
      <c r="K40" s="1">
        <f>IF(1751556&gt;0,100*209301/1751556,"")</f>
        <v>11.949432390400307</v>
      </c>
      <c r="L40" s="1">
        <f>IF(COUNT(J40:K40)=2,K40-J40,"")</f>
        <v>-25.893390094108174</v>
      </c>
      <c r="O40" s="1">
        <v>2</v>
      </c>
      <c r="P40" s="1">
        <v>1</v>
      </c>
      <c r="Q40" s="1">
        <f>IF(2271111&gt;0,100*972080/2271111,"")</f>
        <v>42.801959041191736</v>
      </c>
      <c r="R40" s="1">
        <f>IF(2305756&gt;0,100*622386/2305756,"")</f>
        <v>26.992708682098193</v>
      </c>
      <c r="S40" s="1">
        <f>IF(COUNT(Q40:R40)=2,R40-Q40,"")</f>
        <v>-15.809250359093543</v>
      </c>
    </row>
    <row r="41" spans="1:19">
      <c r="A41" s="1">
        <v>3</v>
      </c>
      <c r="B41" s="1">
        <v>2</v>
      </c>
      <c r="C41" s="1">
        <f>IF(1607803&gt;0,100*670978/1607803,"")</f>
        <v>41.732600324791036</v>
      </c>
      <c r="D41" s="1">
        <f>IF(650326&gt;0,100*124672/650326,"")</f>
        <v>19.17069285250782</v>
      </c>
      <c r="E41" s="1">
        <f>IF(COUNT(C41:D41)=2,D41-C41,"")</f>
        <v>-22.561907472283217</v>
      </c>
      <c r="H41" s="1">
        <v>3</v>
      </c>
      <c r="I41" s="1">
        <v>2</v>
      </c>
      <c r="J41" s="1">
        <f>IF(2703819&gt;0,100*975381/2703819,"")</f>
        <v>36.0741972742998</v>
      </c>
      <c r="K41" s="1">
        <f>IF(733459&gt;0,100*22666/733459,"")</f>
        <v>3.0902886187230645</v>
      </c>
      <c r="L41" s="1">
        <f>IF(COUNT(J41:K41)=2,K41-J41,"")</f>
        <v>-32.983908655576734</v>
      </c>
      <c r="O41" s="1">
        <v>3</v>
      </c>
      <c r="P41" s="1">
        <v>2</v>
      </c>
      <c r="Q41" s="1">
        <f>IF(2333406&gt;0,100*950771/2333406,"")</f>
        <v>40.746059622714604</v>
      </c>
      <c r="R41" s="1">
        <f>IF(2422769&gt;0,100*510485/2422769,"")</f>
        <v>21.070312522572312</v>
      </c>
      <c r="S41" s="1">
        <f>IF(COUNT(Q41:R41)=2,R41-Q41,"")</f>
        <v>-19.675747100142292</v>
      </c>
    </row>
    <row r="42" spans="1:19">
      <c r="A42" s="1">
        <v>4</v>
      </c>
      <c r="B42" s="1">
        <v>3</v>
      </c>
      <c r="C42" s="1">
        <f>IF(2016766&gt;0,100*855389/2016766,"")</f>
        <v>42.41389432388289</v>
      </c>
      <c r="D42" s="1">
        <f>IF(2334&gt;0,100*792/2334,"")</f>
        <v>33.933161953727506</v>
      </c>
      <c r="E42" s="1">
        <f>IF(COUNT(C42:D42)=2,D42-C42,"")</f>
        <v>-8.480732370155387</v>
      </c>
      <c r="H42" s="1">
        <v>4</v>
      </c>
      <c r="I42" s="1">
        <v>3</v>
      </c>
      <c r="J42" s="1">
        <f>IF(1363146&gt;0,100*83089/1363146,"")</f>
        <v>6.09538523386343</v>
      </c>
      <c r="K42" s="1">
        <f>IF(1136667&gt;0,100*66931/1136667,"")</f>
        <v>5.888356044470368</v>
      </c>
      <c r="L42" s="1">
        <f>IF(COUNT(J42:K42)=2,K42-J42,"")</f>
        <v>-0.20702918939306247</v>
      </c>
      <c r="O42" s="1">
        <v>4</v>
      </c>
      <c r="P42" s="1">
        <v>3</v>
      </c>
      <c r="Q42" s="1">
        <f>IF(1406270&gt;0,100*83129/1406270,"")</f>
        <v>5.911311483570011</v>
      </c>
      <c r="R42" s="1">
        <f>IF(2499545&gt;0,100*252499/2499545,"")</f>
        <v>10.101798527331974</v>
      </c>
      <c r="S42" s="1">
        <f>IF(COUNT(Q42:R42)=2,R42-Q42,"")</f>
        <v>4.190487043761963</v>
      </c>
    </row>
    <row r="43" spans="1:19">
      <c r="A43" s="1">
        <v>5</v>
      </c>
      <c r="B43" s="1">
        <v>4</v>
      </c>
      <c r="C43" s="1">
        <f>IF(1270456&gt;0,100*222216/1270456,"")</f>
        <v>17.49104258628398</v>
      </c>
      <c r="D43" s="1">
        <f>IF(1287509&gt;0,100*135901/1287509,"")</f>
        <v>10.555343690801385</v>
      </c>
      <c r="E43" s="1">
        <f>IF(COUNT(C43:D43)=2,D43-C43,"")</f>
        <v>-6.935698895482597</v>
      </c>
      <c r="H43" s="1">
        <v>5</v>
      </c>
      <c r="I43" s="1">
        <v>4</v>
      </c>
      <c r="J43" s="1">
        <f>IF(2437241&gt;0,100*1028598/2437241,"")</f>
        <v>42.20337668699977</v>
      </c>
      <c r="K43" s="1">
        <f>IF(2358452&gt;0,100*620826/2358452,"")</f>
        <v>26.323452841100856</v>
      </c>
      <c r="L43" s="1">
        <f>IF(COUNT(J43:K43)=2,K43-J43,"")</f>
        <v>-15.879923845898912</v>
      </c>
      <c r="O43" s="1">
        <v>5</v>
      </c>
      <c r="P43" s="1">
        <v>4</v>
      </c>
      <c r="Q43" s="1">
        <f>IF(2401097&gt;0,100*1112784/2401097,"")</f>
        <v>46.344816556765515</v>
      </c>
      <c r="R43" s="1">
        <f>IF(2556181&gt;0,100*701333/2556181,"")</f>
        <v>27.43675037096356</v>
      </c>
      <c r="S43" s="1">
        <f>IF(COUNT(Q43:R43)=2,R43-Q43,"")</f>
        <v>-18.908066185801957</v>
      </c>
    </row>
    <row r="44" spans="1:19">
      <c r="A44" s="1">
        <v>6</v>
      </c>
      <c r="B44" s="1">
        <v>5</v>
      </c>
      <c r="C44" s="1">
        <f>IF(2068143&gt;0,100*935980/2068143,"")</f>
        <v>45.25702526372693</v>
      </c>
      <c r="D44" s="1">
        <f>IF(1732542&gt;0,100*278544/1732542,"")</f>
        <v>16.077186007611935</v>
      </c>
      <c r="E44" s="1">
        <f>IF(COUNT(C44:D44)=2,D44-C44,"")</f>
        <v>-29.179839256114995</v>
      </c>
      <c r="H44" s="1">
        <v>6</v>
      </c>
      <c r="I44" s="1">
        <v>5</v>
      </c>
      <c r="J44" s="1">
        <f>IF(2170385&gt;0,100*855280/2170385,"")</f>
        <v>39.40683334984346</v>
      </c>
      <c r="K44" s="1">
        <f>IF(2518675&gt;0,100*695515/2518675,"")</f>
        <v>27.614321021965914</v>
      </c>
      <c r="L44" s="1">
        <f>IF(COUNT(J44:K44)=2,K44-J44,"")</f>
        <v>-11.792512327877546</v>
      </c>
      <c r="O44" s="1">
        <v>6</v>
      </c>
      <c r="P44" s="1">
        <v>5</v>
      </c>
      <c r="Q44" s="1">
        <f>IF(1758860&gt;0,100*252810/1758860,"")</f>
        <v>14.373514662906656</v>
      </c>
      <c r="R44" s="1">
        <f>IF(2116162&gt;0,100*466193/2116162,"")</f>
        <v>22.030118677114512</v>
      </c>
      <c r="S44" s="1">
        <f>IF(COUNT(Q44:R44)=2,R44-Q44,"")</f>
        <v>7.656604014207856</v>
      </c>
    </row>
    <row r="45" spans="1:19">
      <c r="A45" s="1">
        <v>7</v>
      </c>
      <c r="B45" s="1">
        <v>6</v>
      </c>
      <c r="C45" s="1">
        <f>IF(1955799&gt;0,100*927153/1955799,"")</f>
        <v>47.405331529466984</v>
      </c>
      <c r="D45" s="1">
        <f>IF(1868878&gt;0,100*469914/1868878,"")</f>
        <v>25.144177415540234</v>
      </c>
      <c r="E45" s="1">
        <f>IF(COUNT(C45:D45)=2,D45-C45,"")</f>
        <v>-22.26115411392675</v>
      </c>
      <c r="H45" s="1">
        <v>7</v>
      </c>
      <c r="I45" s="1">
        <v>6</v>
      </c>
      <c r="J45" s="1">
        <f>IF(1062155&gt;0,100*3098/1062155,"")</f>
        <v>0.29167117793542374</v>
      </c>
      <c r="K45" s="1">
        <f>IF(1075339&gt;0,100*30490/1075339,"")</f>
        <v>2.83538493442533</v>
      </c>
      <c r="L45" s="1">
        <f>IF(COUNT(J45:K45)=2,K45-J45,"")</f>
        <v>2.543713756489906</v>
      </c>
      <c r="O45" s="1">
        <v>7</v>
      </c>
      <c r="P45" s="1">
        <v>6</v>
      </c>
      <c r="Q45" s="1">
        <f>IF(1340065&gt;0,100*31783/1340065,"")</f>
        <v>2.3717506240368937</v>
      </c>
      <c r="R45" s="1">
        <f>IF(969457&gt;0,100*21361/969457,"")</f>
        <v>2.2033983972471187</v>
      </c>
      <c r="S45" s="1">
        <f>IF(COUNT(Q45:R45)=2,R45-Q45,"")</f>
        <v>-0.16835222678977502</v>
      </c>
    </row>
    <row r="46" spans="1:19">
      <c r="A46" s="1">
        <v>8</v>
      </c>
      <c r="B46" s="1">
        <v>7</v>
      </c>
      <c r="C46" s="1">
        <f>IF(2103376&gt;0,100*877826/2103376,"")</f>
        <v>41.73414548801546</v>
      </c>
      <c r="D46" s="1">
        <f>IF(1756931&gt;0,100*443349/1756931,"")</f>
        <v>25.234286377780347</v>
      </c>
      <c r="E46" s="1">
        <f>IF(COUNT(C46:D46)=2,D46-C46,"")</f>
        <v>-16.49985911023511</v>
      </c>
      <c r="H46" s="1">
        <v>8</v>
      </c>
      <c r="I46" s="1">
        <v>7</v>
      </c>
      <c r="J46" s="1">
        <f>IF(875780&gt;0,100*4451/875780,"")</f>
        <v>0.5082326611706136</v>
      </c>
      <c r="K46" s="1">
        <f>IF(1161223&gt;0,100*288/1161223,"")</f>
        <v>0.02480143779446325</v>
      </c>
      <c r="L46" s="1">
        <f>IF(COUNT(J46:K46)=2,K46-J46,"")</f>
        <v>-0.48343122337615035</v>
      </c>
      <c r="O46" s="1">
        <v>8</v>
      </c>
      <c r="P46" s="1">
        <v>7</v>
      </c>
      <c r="Q46" s="1">
        <f>IF(953770&gt;0,100*30543/953770,"")</f>
        <v>3.202344380720719</v>
      </c>
      <c r="R46" s="1">
        <f>IF(1223561&gt;0,100*17255/1223561,"")</f>
        <v>1.410228014786349</v>
      </c>
      <c r="S46" s="1">
        <f>IF(COUNT(Q46:R46)=2,R46-Q46,"")</f>
        <v>-1.79211636593437</v>
      </c>
    </row>
    <row r="47" spans="1:19">
      <c r="A47" s="1">
        <v>9</v>
      </c>
      <c r="B47" s="1">
        <v>8</v>
      </c>
      <c r="C47" s="1">
        <f>IF(1775689&gt;0,100*854041/1775689,"")</f>
        <v>48.096316415768754</v>
      </c>
      <c r="D47" s="1">
        <f>IF(1809675&gt;0,100*607742/1809675,"")</f>
        <v>33.582936162570626</v>
      </c>
      <c r="E47" s="1">
        <f>IF(COUNT(C47:D47)=2,D47-C47,"")</f>
        <v>-14.513380253198129</v>
      </c>
      <c r="H47" s="1">
        <v>9</v>
      </c>
      <c r="I47" s="1">
        <v>8</v>
      </c>
      <c r="J47" s="1">
        <f>IF(2261107&gt;0,100*975052/2261107,"")</f>
        <v>43.122771279731566</v>
      </c>
      <c r="K47" s="1">
        <f>IF(1976754&gt;0,100*461794/1976754,"")</f>
        <v>23.36122754778794</v>
      </c>
      <c r="L47" s="1">
        <f>IF(COUNT(J47:K47)=2,K47-J47,"")</f>
        <v>-19.761543731943625</v>
      </c>
      <c r="O47" s="1">
        <v>9</v>
      </c>
      <c r="P47" s="1">
        <v>8</v>
      </c>
      <c r="Q47" s="1">
        <f>IF(2405152&gt;0,100*1125762/2405152,"")</f>
        <v>46.80627253495829</v>
      </c>
      <c r="R47" s="1">
        <f>IF(2229035&gt;0,100*532145/2229035,"")</f>
        <v>23.873335322235857</v>
      </c>
      <c r="S47" s="1">
        <f>IF(COUNT(Q47:R47)=2,R47-Q47,"")</f>
        <v>-22.932937212722432</v>
      </c>
    </row>
    <row r="48" spans="1:19">
      <c r="A48" s="1">
        <v>10</v>
      </c>
      <c r="B48" s="1">
        <v>9</v>
      </c>
      <c r="C48" s="1">
        <f>IF(1746180&gt;0,100*461985/1746180,"")</f>
        <v>26.456894478232485</v>
      </c>
      <c r="D48" s="1">
        <f>IF(943136&gt;0,100*4991/943136,"")</f>
        <v>0.529191972313643</v>
      </c>
      <c r="E48" s="1">
        <f>IF(COUNT(C48:D48)=2,D48-C48,"")</f>
        <v>-25.92770250591884</v>
      </c>
      <c r="H48" s="1">
        <v>10</v>
      </c>
      <c r="I48" s="1">
        <v>9</v>
      </c>
      <c r="J48" s="1">
        <f>IF(2706863&gt;0,100*1192100/2706863,"")</f>
        <v>44.03990892778837</v>
      </c>
      <c r="K48" s="1">
        <f>IF(1965770&gt;0,100*360601/1965770,"")</f>
        <v>18.34400769164246</v>
      </c>
      <c r="L48" s="1">
        <f>IF(COUNT(J48:K48)=2,K48-J48,"")</f>
        <v>-25.695901236145907</v>
      </c>
      <c r="O48" s="1">
        <v>10</v>
      </c>
      <c r="P48" s="1">
        <v>9</v>
      </c>
      <c r="Q48" s="1">
        <f>IF(1922653&gt;0,100*523894/1922653,"")</f>
        <v>27.248494658162446</v>
      </c>
      <c r="R48" s="1">
        <f>IF(1440341&gt;0,100*29079/1440341,"")</f>
        <v>2.018896913994672</v>
      </c>
      <c r="S48" s="1">
        <f>IF(COUNT(Q48:R48)=2,R48-Q48,"")</f>
        <v>-25.229597744167773</v>
      </c>
    </row>
    <row r="49" spans="1:19">
      <c r="A49" s="1">
        <v>11</v>
      </c>
      <c r="B49" s="1">
        <v>10</v>
      </c>
      <c r="C49" s="1">
        <f>IF(1971439&gt;0,100*862784/1971439,"")</f>
        <v>43.76417429096208</v>
      </c>
      <c r="D49" s="1">
        <f>IF(2411870&gt;0,100*718038/2411870,"")</f>
        <v>29.771007558450496</v>
      </c>
      <c r="E49" s="1">
        <f>IF(COUNT(C49:D49)=2,D49-C49,"")</f>
        <v>-13.993166732511586</v>
      </c>
      <c r="H49" s="1">
        <v>11</v>
      </c>
      <c r="I49" s="1">
        <v>10</v>
      </c>
      <c r="J49" s="1">
        <f>IF(2596797&gt;0,100*880971/2596797,"")</f>
        <v>33.92529335177143</v>
      </c>
      <c r="K49" s="1">
        <f>IF(1709079&gt;0,100*55521/1709079,"")</f>
        <v>3.248591785400207</v>
      </c>
      <c r="L49" s="1">
        <f>IF(COUNT(J49:K49)=2,K49-J49,"")</f>
        <v>-30.67670156637122</v>
      </c>
      <c r="O49" s="1">
        <v>11</v>
      </c>
      <c r="P49" s="1">
        <v>10</v>
      </c>
      <c r="Q49" s="1">
        <f>IF(2537267&gt;0,100*1086404/2537267,"")</f>
        <v>42.817882390777164</v>
      </c>
      <c r="R49" s="1">
        <f>IF(2045451&gt;0,100*275043/2045451,"")</f>
        <v>13.446569974054622</v>
      </c>
      <c r="S49" s="1">
        <f>IF(COUNT(Q49:R49)=2,R49-Q49,"")</f>
        <v>-29.371312416722542</v>
      </c>
    </row>
    <row r="50" spans="1:19">
      <c r="A50" s="1">
        <v>12</v>
      </c>
      <c r="B50" s="1">
        <v>11</v>
      </c>
      <c r="C50" s="1">
        <f>IF(1769042&gt;0,100*718057/1769042,"")</f>
        <v>40.59016122850673</v>
      </c>
      <c r="D50" s="1">
        <f>IF(1640725&gt;0,100*463770/1640725,"")</f>
        <v>28.26616282436118</v>
      </c>
      <c r="E50" s="1">
        <f>IF(COUNT(C50:D50)=2,D50-C50,"")</f>
        <v>-12.323998404145549</v>
      </c>
      <c r="H50" s="1">
        <v>12</v>
      </c>
      <c r="I50" s="1">
        <v>11</v>
      </c>
      <c r="J50" s="1">
        <f>IF(16409&gt;0,100*2109/16409,"")</f>
        <v>12.85270278505698</v>
      </c>
      <c r="K50" s="1">
        <f>IF(1735977&gt;0,100*33184/1735977,"")</f>
        <v>1.9115460631102832</v>
      </c>
      <c r="L50" s="1">
        <f>IF(COUNT(J50:K50)=2,K50-J50,"")</f>
        <v>-10.941156721946697</v>
      </c>
      <c r="O50" s="1">
        <v>12</v>
      </c>
      <c r="P50" s="1">
        <v>11</v>
      </c>
      <c r="Q50" s="1">
        <f>IF(2609889&gt;0,100*1051883/2609889,"")</f>
        <v>40.30374471864512</v>
      </c>
      <c r="R50" s="1">
        <f>IF(1658179&gt;0,100*108120/1658179,"")</f>
        <v>6.52040581867217</v>
      </c>
      <c r="S50" s="1">
        <f>IF(COUNT(Q50:R50)=2,R50-Q50,"")</f>
        <v>-33.78333889997295</v>
      </c>
    </row>
    <row r="51" spans="1:19">
      <c r="A51" s="1">
        <v>13</v>
      </c>
      <c r="B51" s="1">
        <v>12</v>
      </c>
      <c r="C51" s="1">
        <f>IF(2168985&gt;0,100*980233/2168985,"")</f>
        <v>45.193166388886965</v>
      </c>
      <c r="D51" s="1">
        <f>IF(1593648&gt;0,100*268702/1593648,"")</f>
        <v>16.860812425328554</v>
      </c>
      <c r="E51" s="1">
        <f>IF(COUNT(C51:D51)=2,D51-C51,"")</f>
        <v>-28.33235396355841</v>
      </c>
      <c r="H51" s="1">
        <v>13</v>
      </c>
      <c r="I51" s="1">
        <v>12</v>
      </c>
      <c r="J51" s="1">
        <f>IF(1392134&gt;0,100*142847/1392134,"")</f>
        <v>10.261009356857889</v>
      </c>
      <c r="K51" s="1">
        <f>IF(1334362&gt;0,100*90259/1334362,"")</f>
        <v>6.76420641475102</v>
      </c>
      <c r="L51" s="1">
        <f>IF(COUNT(J51:K51)=2,K51-J51,"")</f>
        <v>-3.4968029421068687</v>
      </c>
      <c r="O51" s="1">
        <v>13</v>
      </c>
      <c r="P51" s="1">
        <v>12</v>
      </c>
      <c r="Q51" s="1">
        <f>IF(1129838&gt;0,100*24638/1129838,"")</f>
        <v>2.1806666088412676</v>
      </c>
      <c r="R51" s="1">
        <f>IF(1166723&gt;0,100*26444/1166723,"")</f>
        <v>2.266519130933392</v>
      </c>
      <c r="S51" s="1">
        <f>IF(COUNT(Q51:R51)=2,R51-Q51,"")</f>
        <v>0.08585252209212424</v>
      </c>
    </row>
    <row r="52" spans="1:19">
      <c r="A52" s="1">
        <v>14</v>
      </c>
      <c r="B52" s="1">
        <v>13</v>
      </c>
      <c r="C52" s="1">
        <f>IF(1030639&gt;0,100*3971/1030639,"")</f>
        <v>0.38529494808560516</v>
      </c>
      <c r="D52" s="1">
        <f>IF(708449&gt;0,100*16051/708449,"")</f>
        <v>2.2656535615125435</v>
      </c>
      <c r="E52" s="1">
        <f>IF(COUNT(C52:D52)=2,D52-C52,"")</f>
        <v>1.8803586134269383</v>
      </c>
      <c r="H52" s="1">
        <v>14</v>
      </c>
      <c r="I52" s="1">
        <v>13</v>
      </c>
      <c r="J52" s="1">
        <f>IF(1631278&gt;0,100*497437/1631278,"")</f>
        <v>30.49369880547644</v>
      </c>
      <c r="K52" s="1">
        <f>IF(1568707&gt;0,100*304794/1568707,"")</f>
        <v>19.429632174778337</v>
      </c>
      <c r="L52" s="1">
        <f>IF(COUNT(J52:K52)=2,K52-J52,"")</f>
        <v>-11.064066630698104</v>
      </c>
      <c r="O52" s="1">
        <v>14</v>
      </c>
      <c r="P52" s="1">
        <v>13</v>
      </c>
      <c r="Q52" s="1">
        <f>IF(1227769&gt;0,100*230841/1227769,"")</f>
        <v>18.801663830899788</v>
      </c>
      <c r="R52" s="1">
        <f>IF(837770&gt;0,100*8532/837770,"")</f>
        <v>1.0184179428721487</v>
      </c>
      <c r="S52" s="1">
        <f>IF(COUNT(Q52:R52)=2,R52-Q52,"")</f>
        <v>-17.78324588802764</v>
      </c>
    </row>
    <row r="53" spans="1:19">
      <c r="A53" s="1">
        <v>15</v>
      </c>
      <c r="B53" s="1">
        <v>14</v>
      </c>
      <c r="C53" s="1">
        <f>IF(1555406&gt;0,100*520362/1555406,"")</f>
        <v>33.45505932213197</v>
      </c>
      <c r="D53" s="1">
        <f>IF(1599437&gt;0,100*454947/1599437,"")</f>
        <v>28.444196301573616</v>
      </c>
      <c r="E53" s="1">
        <f>IF(COUNT(C53:D53)=2,D53-C53,"")</f>
        <v>-5.010863020558357</v>
      </c>
      <c r="H53" s="1">
        <v>15</v>
      </c>
      <c r="I53" s="1">
        <v>14</v>
      </c>
      <c r="J53" s="1">
        <f>IF(1857255&gt;0,100*556621/1857255,"")</f>
        <v>29.970090267626148</v>
      </c>
      <c r="K53" s="1">
        <f>IF(1573054&gt;0,100*110414/1573054,"")</f>
        <v>7.019085168087046</v>
      </c>
      <c r="L53" s="1">
        <f>IF(COUNT(J53:K53)=2,K53-J53,"")</f>
        <v>-22.951005099539103</v>
      </c>
      <c r="O53" s="1">
        <v>15</v>
      </c>
      <c r="P53" s="1">
        <v>14</v>
      </c>
      <c r="Q53" s="1">
        <f>IF(2240147&gt;0,100*1104566/2240147,"")</f>
        <v>49.30774632200476</v>
      </c>
      <c r="R53" s="1">
        <f>IF(2168336&gt;0,100*481031/2168336,"")</f>
        <v>22.18433858959128</v>
      </c>
      <c r="S53" s="1">
        <f>IF(COUNT(Q53:R53)=2,R53-Q53,"")</f>
        <v>-27.12340773241348</v>
      </c>
    </row>
    <row r="54" spans="1:19">
      <c r="A54" s="1">
        <v>16</v>
      </c>
      <c r="B54" s="1">
        <v>15</v>
      </c>
      <c r="C54" s="1">
        <f>IF(1761441&gt;0,100*757460/1761441,"")</f>
        <v>43.00229187352855</v>
      </c>
      <c r="D54" s="1">
        <f>IF(1879548&gt;0,100*489013/1879548,"")</f>
        <v>26.017585078965794</v>
      </c>
      <c r="E54" s="1">
        <f>IF(COUNT(C54:D54)=2,D54-C54,"")</f>
        <v>-16.984706794562754</v>
      </c>
      <c r="H54" s="1">
        <v>16</v>
      </c>
      <c r="I54" s="1">
        <v>15</v>
      </c>
      <c r="J54" s="1">
        <f>IF(1920903&gt;0,100*863441/1920903,"")</f>
        <v>44.949744989726184</v>
      </c>
      <c r="K54" s="1">
        <f>IF(1620012&gt;0,100*208033/1620012,"")</f>
        <v>12.841448088038854</v>
      </c>
      <c r="L54" s="1">
        <f>IF(COUNT(J54:K54)=2,K54-J54,"")</f>
        <v>-32.10829690168733</v>
      </c>
      <c r="O54" s="1">
        <v>16</v>
      </c>
      <c r="P54" s="1">
        <v>15</v>
      </c>
      <c r="Q54" s="1">
        <f>IF(2594091&gt;0,100*1215002/2594091,"")</f>
        <v>46.837292909153916</v>
      </c>
      <c r="R54" s="1">
        <f>IF(1532684&gt;0,100*100506/1532684,"")</f>
        <v>6.557516095946719</v>
      </c>
      <c r="S54" s="1">
        <f>IF(COUNT(Q54:R54)=2,R54-Q54,"")</f>
        <v>-40.2797768132072</v>
      </c>
    </row>
    <row r="55" spans="1:19">
      <c r="A55" s="1">
        <v>17</v>
      </c>
      <c r="B55" s="1">
        <v>16</v>
      </c>
      <c r="C55" s="1">
        <f>IF(844646&gt;0,100*17331/844646,"")</f>
        <v>2.0518655152572793</v>
      </c>
      <c r="D55" s="1">
        <f>IF(797265&gt;0,100*21653/797265,"")</f>
        <v>2.71591001737189</v>
      </c>
      <c r="E55" s="1">
        <f>IF(COUNT(C55:D55)=2,D55-C55,"")</f>
        <v>0.6640445021146109</v>
      </c>
      <c r="H55" s="1">
        <v>17</v>
      </c>
      <c r="I55" s="1">
        <v>16</v>
      </c>
      <c r="J55" s="1">
        <f>IF(2198372&gt;0,100*828948/2198372,"")</f>
        <v>37.70735799036742</v>
      </c>
      <c r="K55" s="1">
        <f>IF(2334371&gt;0,100*527775/2334371,"")</f>
        <v>22.60887408214033</v>
      </c>
      <c r="L55" s="1">
        <f>IF(COUNT(J55:K55)=2,K55-J55,"")</f>
        <v>-15.098483908227092</v>
      </c>
      <c r="O55" s="1">
        <v>17</v>
      </c>
      <c r="P55" s="1">
        <v>16</v>
      </c>
      <c r="Q55" s="1">
        <f>IF(2139602&gt;0,100*724511/2139602,"")</f>
        <v>33.8619518957264</v>
      </c>
      <c r="R55" s="1">
        <f>IF(1751277&gt;0,100*363051/1751277,"")</f>
        <v>20.730643981506066</v>
      </c>
      <c r="S55" s="1">
        <f>IF(COUNT(Q55:R55)=2,R55-Q55,"")</f>
        <v>-13.131307914220333</v>
      </c>
    </row>
    <row r="56" spans="1:19">
      <c r="A56" s="1">
        <v>18</v>
      </c>
      <c r="B56" s="1">
        <v>17</v>
      </c>
      <c r="C56" s="1">
        <f>IF(913631&gt;0,100*114254/913631,"")</f>
        <v>12.505486350616387</v>
      </c>
      <c r="D56" s="1">
        <f>IF(810494&gt;0,100*8321/810494,"")</f>
        <v>1.0266578160973432</v>
      </c>
      <c r="E56" s="1">
        <f>IF(COUNT(C56:D56)=2,D56-C56,"")</f>
        <v>-11.478828534519044</v>
      </c>
      <c r="H56" s="1">
        <v>18</v>
      </c>
      <c r="I56" s="1">
        <v>17</v>
      </c>
      <c r="J56" s="1">
        <f>IF(2215&gt;0,100*355/2215,"")</f>
        <v>16.02708803611738</v>
      </c>
      <c r="K56" s="1">
        <f>IF(1460212&gt;0,100*82345/1460212,"")</f>
        <v>5.6392496432024934</v>
      </c>
      <c r="L56" s="1">
        <f>IF(COUNT(J56:K56)=2,K56-J56,"")</f>
        <v>-10.387838392914887</v>
      </c>
      <c r="O56" s="1">
        <v>18</v>
      </c>
      <c r="P56" s="1">
        <v>17</v>
      </c>
      <c r="Q56" s="1">
        <f>IF(2597163&gt;0,100*1238582/2597163,"")</f>
        <v>47.68980614616795</v>
      </c>
      <c r="R56" s="1">
        <f>IF(1607076&gt;0,100*72245/1607076,"")</f>
        <v>4.495431454392947</v>
      </c>
      <c r="S56" s="1">
        <f>IF(COUNT(Q56:R56)=2,R56-Q56,"")</f>
        <v>-43.194374691775</v>
      </c>
    </row>
    <row r="57" spans="1:19">
      <c r="A57" s="1">
        <v>19</v>
      </c>
      <c r="B57" s="1">
        <v>18</v>
      </c>
      <c r="C57" s="1">
        <f>IF(2015196&gt;0,100*813734/2015196,"")</f>
        <v>40.37989356866528</v>
      </c>
      <c r="D57" s="1">
        <f>IF(1545484&gt;0,100*360101/1545484,"")</f>
        <v>23.300208866607484</v>
      </c>
      <c r="E57" s="1">
        <f>IF(COUNT(C57:D57)=2,D57-C57,"")</f>
        <v>-17.079684702057797</v>
      </c>
      <c r="H57" s="1">
        <v>19</v>
      </c>
      <c r="I57" s="1">
        <v>18</v>
      </c>
      <c r="J57" s="1">
        <f>IF(1892358&gt;0,100*622212/1892358,"")</f>
        <v>32.880247817801916</v>
      </c>
      <c r="K57" s="1">
        <f>IF(1792545&gt;0,100*336149/1792545,"")</f>
        <v>18.752611510450226</v>
      </c>
      <c r="L57" s="1">
        <f>IF(COUNT(J57:K57)=2,K57-J57,"")</f>
        <v>-14.12763630735169</v>
      </c>
      <c r="O57" s="1">
        <v>19</v>
      </c>
      <c r="P57" s="1">
        <v>18</v>
      </c>
      <c r="Q57" s="1">
        <f>IF(1995148&gt;0,100*689134/1995148,"")</f>
        <v>34.54049524145577</v>
      </c>
      <c r="R57" s="1">
        <f>IF(1636363&gt;0,100*147319/1636363,"")</f>
        <v>9.00283127887883</v>
      </c>
      <c r="S57" s="1">
        <f>IF(COUNT(Q57:R57)=2,R57-Q57,"")</f>
        <v>-25.537663962576943</v>
      </c>
    </row>
    <row r="58" spans="1:19">
      <c r="A58" s="1">
        <v>20</v>
      </c>
      <c r="B58" s="1">
        <v>19</v>
      </c>
      <c r="C58" s="1">
        <f>IF(2178136&gt;0,100*944455/2178136,"")</f>
        <v>43.36069924008418</v>
      </c>
      <c r="D58" s="1">
        <f>IF(1082096&gt;0,100*100639/1082096,"")</f>
        <v>9.300376306723248</v>
      </c>
      <c r="E58" s="1">
        <f>IF(COUNT(C58:D58)=2,D58-C58,"")</f>
        <v>-34.060322933360936</v>
      </c>
      <c r="H58" s="1">
        <v>20</v>
      </c>
      <c r="I58" s="1">
        <v>19</v>
      </c>
      <c r="J58" s="1">
        <f>IF(2533784&gt;0,100*1139277/2533784,"")</f>
        <v>44.96346176311793</v>
      </c>
      <c r="K58" s="1">
        <f>IF(1675364&gt;0,100*173678/1675364,"")</f>
        <v>10.366583023151984</v>
      </c>
      <c r="L58" s="1">
        <f>IF(COUNT(J58:K58)=2,K58-J58,"")</f>
        <v>-34.596878739965945</v>
      </c>
      <c r="O58" s="1">
        <v>20</v>
      </c>
      <c r="P58" s="1">
        <v>19</v>
      </c>
      <c r="Q58" s="1">
        <f>IF(2139229&gt;0,100*899475/2139229,"")</f>
        <v>42.0466906535018</v>
      </c>
      <c r="R58" s="1">
        <f>IF(1793522&gt;0,100*241542/1793522,"")</f>
        <v>13.467467920661134</v>
      </c>
      <c r="S58" s="1">
        <f>IF(COUNT(Q58:R58)=2,R58-Q58,"")</f>
        <v>-28.579222732840663</v>
      </c>
    </row>
    <row r="59" spans="1:19">
      <c r="A59" s="1">
        <v>21</v>
      </c>
      <c r="B59" s="1">
        <v>20</v>
      </c>
      <c r="C59" s="1">
        <f>IF(1558100&gt;0,100*473205/1558100,"")</f>
        <v>30.37064373275143</v>
      </c>
      <c r="D59" s="1">
        <f>IF(915082&gt;0,100*109468/915082,"")</f>
        <v>11.962643784928563</v>
      </c>
      <c r="E59" s="1">
        <f>IF(COUNT(C59:D59)=2,D59-C59,"")</f>
        <v>-18.407999947822866</v>
      </c>
      <c r="H59" s="1">
        <v>21</v>
      </c>
      <c r="I59" s="1">
        <v>20</v>
      </c>
      <c r="J59" s="1">
        <f>IF(2773746&gt;0,100*1088927/2773746,"")</f>
        <v>39.25835314408745</v>
      </c>
      <c r="K59" s="1">
        <f>IF(2064866&gt;0,100*258107/2064866,"")</f>
        <v>12.499939463384065</v>
      </c>
      <c r="L59" s="1">
        <f>IF(COUNT(J59:K59)=2,K59-J59,"")</f>
        <v>-26.758413680703384</v>
      </c>
      <c r="O59" s="1">
        <v>21</v>
      </c>
      <c r="P59" s="1">
        <v>20</v>
      </c>
      <c r="Q59" s="1">
        <f>IF(2422246&gt;0,100*1045754/2422246,"")</f>
        <v>43.172906467798896</v>
      </c>
      <c r="R59" s="1">
        <f>IF(1914500&gt;0,100*276232/1914500,"")</f>
        <v>14.428414729694437</v>
      </c>
      <c r="S59" s="1">
        <f>IF(COUNT(Q59:R59)=2,R59-Q59,"")</f>
        <v>-28.744491738104458</v>
      </c>
    </row>
    <row r="60" spans="1:19">
      <c r="A60" s="1">
        <v>22</v>
      </c>
      <c r="B60" s="1">
        <v>21</v>
      </c>
      <c r="C60" s="1">
        <f>IF(1857644&gt;0,100*847880/1857644,"")</f>
        <v>45.64276039973213</v>
      </c>
      <c r="D60" s="1">
        <f>IF(1173915&gt;0,100*284392/1173915,"")</f>
        <v>24.225944808610503</v>
      </c>
      <c r="E60" s="1">
        <f>IF(COUNT(C60:D60)=2,D60-C60,"")</f>
        <v>-21.41681559112163</v>
      </c>
      <c r="H60" s="1">
        <v>22</v>
      </c>
      <c r="I60" s="1">
        <v>21</v>
      </c>
      <c r="J60" s="1">
        <f>IF(2183759&gt;0,100*997955/2183759,"")</f>
        <v>45.69895304381115</v>
      </c>
      <c r="K60" s="1">
        <f>IF(1652936&gt;0,100*410477/1652936,"")</f>
        <v>24.833205883349386</v>
      </c>
      <c r="L60" s="1">
        <f>IF(COUNT(J60:K60)=2,K60-J60,"")</f>
        <v>-20.865747160461765</v>
      </c>
      <c r="O60" s="1">
        <v>22</v>
      </c>
      <c r="P60" s="1">
        <v>21</v>
      </c>
      <c r="Q60" s="1">
        <f>IF(2052914&gt;0,100*716282/2052914,"")</f>
        <v>34.890989101345696</v>
      </c>
      <c r="R60" s="1">
        <f>IF(2020&gt;0,100*615/2020,"")</f>
        <v>30.445544554455445</v>
      </c>
      <c r="S60" s="1">
        <f>IF(COUNT(Q60:R60)=2,R60-Q60,"")</f>
        <v>-4.445444546890251</v>
      </c>
    </row>
    <row r="61" spans="1:19">
      <c r="A61" s="1">
        <v>23</v>
      </c>
      <c r="B61" s="1">
        <v>22</v>
      </c>
      <c r="C61" s="1">
        <f>IF(696517&gt;0,100*2264/696517,"")</f>
        <v>0.325045906991502</v>
      </c>
      <c r="D61" s="1">
        <f>IF(964144&gt;0,100*5421/964144,"")</f>
        <v>0.5622604092334755</v>
      </c>
      <c r="E61" s="1">
        <f>IF(COUNT(C61:D61)=2,D61-C61,"")</f>
        <v>0.23721450224197355</v>
      </c>
      <c r="H61" s="1">
        <v>23</v>
      </c>
      <c r="I61" s="1">
        <v>22</v>
      </c>
      <c r="J61" s="1">
        <f>IF(2492569&gt;0,100*1249101/2492569,"")</f>
        <v>50.11299586892078</v>
      </c>
      <c r="K61" s="1">
        <f>IF(1876871&gt;0,100*141348/1876871,"")</f>
        <v>7.53104502120817</v>
      </c>
      <c r="L61" s="1">
        <f>IF(COUNT(J61:K61)=2,K61-J61,"")</f>
        <v>-42.581950847712605</v>
      </c>
      <c r="O61" s="1">
        <v>23</v>
      </c>
      <c r="P61" s="1">
        <v>22</v>
      </c>
      <c r="Q61" s="1">
        <f>IF(2322764&gt;0,100*881160/2322764,"")</f>
        <v>37.935838509637655</v>
      </c>
      <c r="R61" s="1">
        <f>IF(2402509&gt;0,100*533907/2402509,"")</f>
        <v>22.222892817467073</v>
      </c>
      <c r="S61" s="1">
        <f>IF(COUNT(Q61:R61)=2,R61-Q61,"")</f>
        <v>-15.712945692170582</v>
      </c>
    </row>
    <row r="62" spans="1:19">
      <c r="A62" s="1">
        <v>24</v>
      </c>
      <c r="B62" s="1">
        <v>23</v>
      </c>
      <c r="C62" s="1">
        <f>IF(1622857&gt;0,100*324323/1622857,"")</f>
        <v>19.98469366062444</v>
      </c>
      <c r="D62" s="1">
        <f>IF(1490695&gt;0,100*103585/1490695,"")</f>
        <v>6.948772216986037</v>
      </c>
      <c r="E62" s="1">
        <f>IF(COUNT(C62:D62)=2,D62-C62,"")</f>
        <v>-13.035921443638404</v>
      </c>
      <c r="H62" s="1">
        <v>24</v>
      </c>
      <c r="I62" s="1">
        <v>23</v>
      </c>
      <c r="J62" s="1">
        <f>IF(2618354&gt;0,100*1195641/2618354,"")</f>
        <v>45.663840718252764</v>
      </c>
      <c r="K62" s="1">
        <f>IF(263501&gt;0,100*7160/263501,"")</f>
        <v>2.717257240010474</v>
      </c>
      <c r="L62" s="1">
        <f>IF(COUNT(J62:K62)=2,K62-J62,"")</f>
        <v>-42.94658347824229</v>
      </c>
      <c r="O62" s="1">
        <v>24</v>
      </c>
      <c r="P62" s="1">
        <v>23</v>
      </c>
      <c r="Q62" s="1">
        <f>IF(1862901&gt;0,100*489468/1862901,"")</f>
        <v>26.27450412018674</v>
      </c>
      <c r="R62" s="1">
        <f>IF(1752220&gt;0,100*128414/1752220,"")</f>
        <v>7.328645946285284</v>
      </c>
      <c r="S62" s="1">
        <f>IF(COUNT(Q62:R62)=2,R62-Q62,"")</f>
        <v>-18.945858173901456</v>
      </c>
    </row>
    <row r="63" spans="1:19">
      <c r="A63" s="1">
        <v>25</v>
      </c>
      <c r="B63" s="1">
        <v>24</v>
      </c>
      <c r="C63" s="1">
        <f>IF(1310506&gt;0,100*408672/1310506,"")</f>
        <v>31.184290648039763</v>
      </c>
      <c r="D63" s="1">
        <f>IF(2084453&gt;0,100*657700/2084453,"")</f>
        <v>31.552642347896548</v>
      </c>
      <c r="E63" s="1">
        <f>IF(COUNT(C63:D63)=2,D63-C63,"")</f>
        <v>0.3683516998567846</v>
      </c>
      <c r="H63" s="1">
        <v>25</v>
      </c>
      <c r="I63" s="1">
        <v>24</v>
      </c>
      <c r="J63" s="1">
        <f>IF(2421034&gt;0,100*1042416/2421034,"")</f>
        <v>43.05664439243728</v>
      </c>
      <c r="K63" s="1">
        <f>IF(1643062&gt;0,100*89729/1643062,"")</f>
        <v>5.461084243929931</v>
      </c>
      <c r="L63" s="1">
        <f>IF(COUNT(J63:K63)=2,K63-J63,"")</f>
        <v>-37.595560148507346</v>
      </c>
      <c r="O63" s="1">
        <v>25</v>
      </c>
      <c r="P63" s="1">
        <v>24</v>
      </c>
      <c r="Q63" s="1">
        <f>IF(2310152&gt;0,100*1014877/2310152,"")</f>
        <v>43.931178554484724</v>
      </c>
      <c r="R63" s="1">
        <f>IF(1303613&gt;0,100*101500/1303613,"")</f>
        <v>7.786053069430881</v>
      </c>
      <c r="S63" s="1">
        <f>IF(COUNT(Q63:R63)=2,R63-Q63,"")</f>
        <v>-36.14512548505384</v>
      </c>
    </row>
    <row r="64" spans="1:19">
      <c r="A64" s="1">
        <v>26</v>
      </c>
      <c r="B64" s="1">
        <v>25</v>
      </c>
      <c r="C64" s="1">
        <f>IF(2238694&gt;0,100*1062953/2238694,"")</f>
        <v>47.480942013513236</v>
      </c>
      <c r="D64" s="1">
        <f>IF(2142399&gt;0,100*675804/2142399,"")</f>
        <v>31.544264163678193</v>
      </c>
      <c r="E64" s="1">
        <f>IF(COUNT(C64:D64)=2,D64-C64,"")</f>
        <v>-15.936677849835043</v>
      </c>
      <c r="H64" s="1">
        <v>26</v>
      </c>
      <c r="I64" s="1">
        <v>25</v>
      </c>
      <c r="J64" s="1">
        <f>IF(1745904&gt;0,100*492009/1745904,"")</f>
        <v>28.18075907953702</v>
      </c>
      <c r="K64" s="1">
        <f>IF(1802328&gt;0,100*241463/1802328,"")</f>
        <v>13.39728395719314</v>
      </c>
      <c r="L64" s="1">
        <f>IF(COUNT(J64:K64)=2,K64-J64,"")</f>
        <v>-14.783475122343878</v>
      </c>
      <c r="O64" s="1">
        <v>26</v>
      </c>
      <c r="P64" s="1">
        <v>25</v>
      </c>
      <c r="Q64" s="1">
        <f>IF(2669118&gt;0,100*1197813/2669118,"")</f>
        <v>44.876734561754105</v>
      </c>
      <c r="R64" s="1">
        <f>IF(2186634&gt;0,100*518716/2186634,"")</f>
        <v>23.7221226780522</v>
      </c>
      <c r="S64" s="1">
        <f>IF(COUNT(Q64:R64)=2,R64-Q64,"")</f>
        <v>-21.154611883701904</v>
      </c>
    </row>
    <row r="65" spans="1:19">
      <c r="A65" s="1">
        <v>27</v>
      </c>
      <c r="B65" s="1">
        <v>26</v>
      </c>
      <c r="C65" s="1">
        <f>IF(1647328&gt;0,100*574346/1647328,"")</f>
        <v>34.86530915518949</v>
      </c>
      <c r="D65" s="1">
        <f>IF(2089541&gt;0,100*562059/2089541,"")</f>
        <v>26.8986825336282</v>
      </c>
      <c r="E65" s="1">
        <f>IF(COUNT(C65:D65)=2,D65-C65,"")</f>
        <v>-7.966626621561293</v>
      </c>
      <c r="H65" s="1">
        <v>27</v>
      </c>
      <c r="I65" s="1">
        <v>26</v>
      </c>
      <c r="J65" s="1">
        <f>IF(2195965&gt;0,100*781488/2195965,"")</f>
        <v>35.587452441181895</v>
      </c>
      <c r="K65" s="1">
        <f>IF(2404009&gt;0,100*457439/2404009,"")</f>
        <v>19.02817335542421</v>
      </c>
      <c r="L65" s="1">
        <f>IF(COUNT(J65:K65)=2,K65-J65,"")</f>
        <v>-16.559279085757684</v>
      </c>
      <c r="O65" s="1">
        <v>27</v>
      </c>
      <c r="P65" s="1">
        <v>26</v>
      </c>
      <c r="Q65" s="1">
        <f>IF(2415042&gt;0,100*766118/2415042,"")</f>
        <v>31.722760929209514</v>
      </c>
      <c r="R65" s="1">
        <f>IF(1894390&gt;0,100*237286/1894390,"")</f>
        <v>12.525720680535686</v>
      </c>
      <c r="S65" s="1">
        <f>IF(COUNT(Q65:R65)=2,R65-Q65,"")</f>
        <v>-19.19704024867383</v>
      </c>
    </row>
    <row r="66" spans="1:19">
      <c r="A66" s="1">
        <v>28</v>
      </c>
      <c r="B66" s="1">
        <v>27</v>
      </c>
      <c r="C66" s="1">
        <f>IF(665364&gt;0,100*675/665364,"")</f>
        <v>0.10144822984110953</v>
      </c>
      <c r="D66" s="1">
        <f>IF(679424&gt;0,100*3777/679424,"")</f>
        <v>0.5559120666917859</v>
      </c>
      <c r="E66" s="1">
        <f>IF(COUNT(C66:D66)=2,D66-C66,"")</f>
        <v>0.45446383685067643</v>
      </c>
      <c r="H66" s="1">
        <v>28</v>
      </c>
      <c r="I66" s="1">
        <v>27</v>
      </c>
      <c r="J66" s="1">
        <f>IF(1703605&gt;0,100*670593/1703605,"")</f>
        <v>39.36317397518791</v>
      </c>
      <c r="K66" s="1">
        <f>IF(1548364&gt;0,100*227711/1548364,"")</f>
        <v>14.706554789442276</v>
      </c>
      <c r="L66" s="1">
        <f>IF(COUNT(J66:K66)=2,K66-J66,"")</f>
        <v>-24.656619185745637</v>
      </c>
      <c r="O66" s="1">
        <v>28</v>
      </c>
      <c r="P66" s="1">
        <v>27</v>
      </c>
      <c r="Q66" s="1">
        <f>IF(1500981&gt;0,100*448455/1500981,"")</f>
        <v>29.877460141067743</v>
      </c>
      <c r="R66" s="1">
        <f>IF(1777891&gt;0,100*277802/1777891,"")</f>
        <v>15.625367359416297</v>
      </c>
      <c r="S66" s="1">
        <f>IF(COUNT(Q66:R66)=2,R66-Q66,"")</f>
        <v>-14.252092781651447</v>
      </c>
    </row>
    <row r="67" spans="1:19">
      <c r="A67" s="1">
        <v>29</v>
      </c>
      <c r="B67" s="1">
        <v>28</v>
      </c>
      <c r="C67" s="1">
        <f>IF(1808091&gt;0,100*652193/1808091,"")</f>
        <v>36.070806170707115</v>
      </c>
      <c r="D67" s="1">
        <f>IF(2517074&gt;0,100*819921/2517074,"")</f>
        <v>32.57437008208738</v>
      </c>
      <c r="E67" s="1">
        <f>IF(COUNT(C67:D67)=2,D67-C67,"")</f>
        <v>-3.4964360886197383</v>
      </c>
      <c r="H67" s="1">
        <v>29</v>
      </c>
      <c r="I67" s="1">
        <v>28</v>
      </c>
      <c r="J67" s="1">
        <f>IF(2391442&gt;0,100*1116314/2391442,"")</f>
        <v>46.67953477441644</v>
      </c>
      <c r="K67" s="1">
        <f>IF(2105948&gt;0,100*434884/2105948,"")</f>
        <v>20.65027246636669</v>
      </c>
      <c r="L67" s="1">
        <f>IF(COUNT(J67:K67)=2,K67-J67,"")</f>
        <v>-26.02926230804975</v>
      </c>
      <c r="O67" s="1">
        <v>29</v>
      </c>
      <c r="P67" s="1">
        <v>28</v>
      </c>
      <c r="Q67" s="1">
        <f>IF(2050506&gt;0,100*857322/2050506,"")</f>
        <v>41.810265368645595</v>
      </c>
      <c r="R67" s="1">
        <f>IF(2022225&gt;0,100*369414/2022225,"")</f>
        <v>18.26770018173052</v>
      </c>
      <c r="S67" s="1">
        <f>IF(COUNT(Q67:R67)=2,R67-Q67,"")</f>
        <v>-23.542565186915077</v>
      </c>
    </row>
    <row r="68" spans="1:19">
      <c r="A68" s="1">
        <v>30</v>
      </c>
      <c r="B68" s="1">
        <v>29</v>
      </c>
      <c r="C68" s="1">
        <f>IF(1942903&gt;0,100*844208/1942903,"")</f>
        <v>43.45085678492441</v>
      </c>
      <c r="D68" s="1">
        <f>IF(1973564&gt;0,100*461572/1973564,"")</f>
        <v>23.387739135898304</v>
      </c>
      <c r="E68" s="1">
        <f>IF(COUNT(C68:D68)=2,D68-C68,"")</f>
        <v>-20.063117649026108</v>
      </c>
      <c r="H68" s="1">
        <v>30</v>
      </c>
      <c r="I68" s="1">
        <v>29</v>
      </c>
      <c r="J68" s="1">
        <f>IF(1886067&gt;0,100*615825/1886067,"")</f>
        <v>32.65127909029743</v>
      </c>
      <c r="K68" s="1">
        <f>IF(1322553&gt;0,100*131403/1322553,"")</f>
        <v>9.935556457850838</v>
      </c>
      <c r="L68" s="1">
        <f>IF(COUNT(J68:K68)=2,K68-J68,"")</f>
        <v>-22.715722632446592</v>
      </c>
      <c r="O68" s="1">
        <v>30</v>
      </c>
      <c r="P68" s="1">
        <v>29</v>
      </c>
      <c r="Q68" s="1">
        <f>IF(1124834&gt;0,100*57569/1124834,"")</f>
        <v>5.1179996337237315</v>
      </c>
      <c r="R68" s="1">
        <f>IF(1516582&gt;0,100*320901/1516582,"")</f>
        <v>21.15948890333658</v>
      </c>
      <c r="S68" s="1">
        <f>IF(COUNT(Q68:R68)=2,R68-Q68,"")</f>
        <v>16.04148926961285</v>
      </c>
    </row>
    <row r="69" spans="1:19">
      <c r="A69" s="1">
        <v>31</v>
      </c>
      <c r="B69" s="1">
        <v>30</v>
      </c>
      <c r="C69" s="1">
        <f>IF(1247391&gt;0,100*5792/1247391,"")</f>
        <v>0.4643291477972825</v>
      </c>
      <c r="D69" s="1">
        <f>IF(1137767&gt;0,100*21557/1137767,"")</f>
        <v>1.8946761507408811</v>
      </c>
      <c r="E69" s="1">
        <f>IF(COUNT(C69:D69)=2,D69-C69,"")</f>
        <v>1.4303470029435985</v>
      </c>
      <c r="H69" s="1">
        <v>31</v>
      </c>
      <c r="I69" s="1">
        <v>30</v>
      </c>
      <c r="J69" s="1">
        <f>IF(2131633&gt;0,100*739570/2131633,"")</f>
        <v>34.69499674662571</v>
      </c>
      <c r="K69" s="1">
        <f>IF(1999158&gt;0,100*334256/1999158,"")</f>
        <v>16.719839052240992</v>
      </c>
      <c r="L69" s="1">
        <f>IF(COUNT(J69:K69)=2,K69-J69,"")</f>
        <v>-17.97515769438472</v>
      </c>
      <c r="O69" s="1">
        <v>31</v>
      </c>
      <c r="P69" s="1">
        <v>30</v>
      </c>
      <c r="Q69" s="1">
        <f>IF(1670334&gt;0,100*513883/1670334,"")</f>
        <v>30.765284068934715</v>
      </c>
      <c r="R69" s="1">
        <f>IF(1895337&gt;0,100*326037/1895337,"")</f>
        <v>17.202059580961063</v>
      </c>
      <c r="S69" s="1">
        <f>IF(COUNT(Q69:R69)=2,R69-Q69,"")</f>
        <v>-13.563224487973653</v>
      </c>
    </row>
    <row r="70" spans="1:19">
      <c r="A70" s="2" t="s">
        <v>6</v>
      </c>
      <c r="B70" s="1"/>
      <c r="C70" s="1">
        <f>IF(COUNT(C39:C69)&gt;0,AVERAGE(C39:C69),"")</f>
        <v>30.562133085533812</v>
      </c>
      <c r="D70" s="1">
        <f>IF(COUNT(D39:D69)&gt;0,AVERAGE(D39:D69),"")</f>
        <v>17.64961610203264</v>
      </c>
      <c r="E70" s="1">
        <f>IF(COUNT(E39:E69)&gt;0,AVERAGE(E39:E69),"")</f>
        <v>-12.912516983501172</v>
      </c>
      <c r="H70" s="2" t="s">
        <v>6</v>
      </c>
      <c r="I70" s="1"/>
      <c r="J70" s="1">
        <f>IF(COUNT(J39:J69)&gt;0,AVERAGE(J39:J69),"")</f>
        <v>32.74960009631654</v>
      </c>
      <c r="K70" s="1">
        <f>IF(COUNT(K39:K69)&gt;0,AVERAGE(K39:K69),"")</f>
        <v>13.025611634375776</v>
      </c>
      <c r="L70" s="1">
        <f>IF(COUNT(L39:L69)&gt;0,AVERAGE(L39:L69),"")</f>
        <v>-19.723988461940763</v>
      </c>
      <c r="O70" s="2" t="s">
        <v>6</v>
      </c>
      <c r="P70" s="1"/>
      <c r="Q70" s="1">
        <f>IF(COUNT(Q39:Q69)&gt;0,AVERAGE(Q39:Q69),"")</f>
        <v>31.481548328397977</v>
      </c>
      <c r="R70" s="1">
        <f>IF(COUNT(R39:R69)&gt;0,AVERAGE(R39:R69),"")</f>
        <v>14.05039412054744</v>
      </c>
      <c r="S70" s="1">
        <f>IF(COUNT(S39:S69)&gt;0,AVERAGE(S39:S69),"")</f>
        <v>-17.43115420785054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IF(1227574&gt;0,100*38510/1227574,"")</f>
        <v>3.1370817563747684</v>
      </c>
      <c r="D75" s="1">
        <f>IF(1491494&gt;0,100*259816/1491494,"")</f>
        <v>17.41984882272406</v>
      </c>
      <c r="E75" s="1">
        <f>IF(COUNT(C75:D75)=2,D75-C75,"")</f>
        <v>14.28276706634929</v>
      </c>
      <c r="H75" s="1">
        <v>1</v>
      </c>
      <c r="I75" s="1">
        <v>0</v>
      </c>
      <c r="J75" s="1">
        <f>IF(2974908&gt;0,100*1593753/2974908,"")</f>
        <v>53.573186128781124</v>
      </c>
      <c r="K75" s="1">
        <f>IF(1968216&gt;0,100*345690/1968216,"")</f>
        <v>17.563621065980563</v>
      </c>
      <c r="L75" s="1">
        <f>IF(COUNT(J75:K75)=2,K75-J75,"")</f>
        <v>-36.00956506280056</v>
      </c>
      <c r="O75" s="1">
        <v>1</v>
      </c>
      <c r="P75" s="1">
        <v>0</v>
      </c>
      <c r="Q75" s="1">
        <f>IF(2673895&gt;0,100*1212503/2673895,"")</f>
        <v>45.34594664337979</v>
      </c>
      <c r="R75" s="1">
        <f>IF(1609882&gt;0,100*364704/1609882,"")</f>
        <v>22.654082721590775</v>
      </c>
      <c r="S75" s="1">
        <f>IF(COUNT(Q75:R75)=2,R75-Q75,"")</f>
        <v>-22.691863921789015</v>
      </c>
    </row>
    <row r="76" spans="1:19">
      <c r="A76" s="1">
        <v>2</v>
      </c>
      <c r="B76" s="1">
        <v>1</v>
      </c>
      <c r="C76" s="1">
        <f>IF(1624357&gt;0,100*617829/1624357,"")</f>
        <v>38.03529642806353</v>
      </c>
      <c r="D76" s="1">
        <f>IF(1752986&gt;0,100*390495/1752986,"")</f>
        <v>22.275990795134703</v>
      </c>
      <c r="E76" s="1">
        <f>IF(COUNT(C76:D76)=2,D76-C76,"")</f>
        <v>-15.759305632928829</v>
      </c>
      <c r="H76" s="1">
        <v>2</v>
      </c>
      <c r="I76" s="1">
        <v>1</v>
      </c>
      <c r="J76" s="1">
        <f>IF(2706515&gt;0,100*1225890/2706515,"")</f>
        <v>45.29404049118516</v>
      </c>
      <c r="K76" s="1">
        <f>IF(3432801&gt;0,100*1130406/3432801,"")</f>
        <v>32.92955228106727</v>
      </c>
      <c r="L76" s="1">
        <f>IF(COUNT(J76:K76)=2,K76-J76,"")</f>
        <v>-12.36448821011789</v>
      </c>
      <c r="O76" s="1">
        <v>2</v>
      </c>
      <c r="P76" s="1">
        <v>1</v>
      </c>
      <c r="Q76" s="1">
        <f>IF(2467592&gt;0,100*1063705/2467592,"")</f>
        <v>43.1070047236334</v>
      </c>
      <c r="R76" s="1">
        <f>IF(2300031&gt;0,100*530028/2300031,"")</f>
        <v>23.044385053940577</v>
      </c>
      <c r="S76" s="1">
        <f>IF(COUNT(Q76:R76)=2,R76-Q76,"")</f>
        <v>-20.062619669692825</v>
      </c>
    </row>
    <row r="77" spans="1:19">
      <c r="A77" s="1">
        <v>3</v>
      </c>
      <c r="B77" s="1">
        <v>2</v>
      </c>
      <c r="C77" s="1">
        <f>IF(1673401&gt;0,100*672518/1673401,"")</f>
        <v>40.18869356478214</v>
      </c>
      <c r="D77" s="1">
        <f>IF(1733001&gt;0,100*389839/1733001,"")</f>
        <v>22.49502452681793</v>
      </c>
      <c r="E77" s="1">
        <f>IF(COUNT(C77:D77)=2,D77-C77,"")</f>
        <v>-17.693669037964213</v>
      </c>
      <c r="H77" s="1">
        <v>3</v>
      </c>
      <c r="I77" s="1">
        <v>2</v>
      </c>
      <c r="J77" s="1">
        <f>IF(2238301&gt;0,100*947036/2238301,"")</f>
        <v>42.31048460417075</v>
      </c>
      <c r="K77" s="1">
        <f>IF(3172635&gt;0,100*855866/3172635,"")</f>
        <v>26.976503757917314</v>
      </c>
      <c r="L77" s="1">
        <f>IF(COUNT(J77:K77)=2,K77-J77,"")</f>
        <v>-15.33398084625344</v>
      </c>
      <c r="O77" s="1">
        <v>3</v>
      </c>
      <c r="P77" s="1">
        <v>2</v>
      </c>
      <c r="Q77" s="1">
        <f>IF(2033898&gt;0,100*82955/2033898,"")</f>
        <v>4.07862144512655</v>
      </c>
      <c r="R77" s="1">
        <f>IF(2793804&gt;0,100*605698/2793804,"")</f>
        <v>21.680046273825937</v>
      </c>
      <c r="S77" s="1">
        <f>IF(COUNT(Q77:R77)=2,R77-Q77,"")</f>
        <v>17.601424828699386</v>
      </c>
    </row>
    <row r="78" spans="1:19">
      <c r="A78" s="1">
        <v>4</v>
      </c>
      <c r="B78" s="1">
        <v>3</v>
      </c>
      <c r="C78" s="1">
        <f>IF(1853726&gt;0,100*857824/1853726,"")</f>
        <v>46.2756631778375</v>
      </c>
      <c r="D78" s="1">
        <f>IF(2405791&gt;0,100*608724/2405791,"")</f>
        <v>25.302447303194665</v>
      </c>
      <c r="E78" s="1">
        <f>IF(COUNT(C78:D78)=2,D78-C78,"")</f>
        <v>-20.973215874642836</v>
      </c>
      <c r="H78" s="1">
        <v>4</v>
      </c>
      <c r="I78" s="1">
        <v>3</v>
      </c>
      <c r="J78" s="1">
        <f>IF(2473338&gt;0,100*1144203/2473338,"")</f>
        <v>46.2614895335777</v>
      </c>
      <c r="K78" s="1">
        <f>IF(1986227&gt;0,100*234082/1986227,"")</f>
        <v>11.785259187393988</v>
      </c>
      <c r="L78" s="1">
        <f>IF(COUNT(J78:K78)=2,K78-J78,"")</f>
        <v>-34.47623034618371</v>
      </c>
      <c r="O78" s="1">
        <v>4</v>
      </c>
      <c r="P78" s="1">
        <v>3</v>
      </c>
      <c r="Q78" s="1">
        <f>IF(2535025&gt;0,100*1351101/2535025,"")</f>
        <v>53.29734420765081</v>
      </c>
      <c r="R78" s="1">
        <f>IF(1858071&gt;0,100*204319/1858071,"")</f>
        <v>10.996296696950763</v>
      </c>
      <c r="S78" s="1">
        <f>IF(COUNT(Q78:R78)=2,R78-Q78,"")</f>
        <v>-42.301047510700045</v>
      </c>
    </row>
    <row r="79" spans="1:19">
      <c r="A79" s="1">
        <v>5</v>
      </c>
      <c r="B79" s="1">
        <v>4</v>
      </c>
      <c r="C79" s="1">
        <f>IF(2574341&gt;0,100*1256270/2574341,"")</f>
        <v>48.79967339214191</v>
      </c>
      <c r="D79" s="1">
        <f>IF(1070460&gt;0,100*104571/1070460,"")</f>
        <v>9.768790987052295</v>
      </c>
      <c r="E79" s="1">
        <f>IF(COUNT(C79:D79)=2,D79-C79,"")</f>
        <v>-39.03088240508961</v>
      </c>
      <c r="H79" s="1">
        <v>5</v>
      </c>
      <c r="I79" s="1">
        <v>4</v>
      </c>
      <c r="J79" s="1">
        <f>IF(2594432&gt;0,100*1209716/2594432,"")</f>
        <v>46.627392816616506</v>
      </c>
      <c r="K79" s="1">
        <f>IF(1956080&gt;0,100*279122/1956080,"")</f>
        <v>14.26945728191076</v>
      </c>
      <c r="L79" s="1">
        <f>IF(COUNT(J79:K79)=2,K79-J79,"")</f>
        <v>-32.357935534705746</v>
      </c>
      <c r="O79" s="1">
        <v>5</v>
      </c>
      <c r="P79" s="1">
        <v>4</v>
      </c>
      <c r="Q79" s="1">
        <f>IF(2505160&gt;0,100*1184605/2505160,"")</f>
        <v>47.28660045665746</v>
      </c>
      <c r="R79" s="1">
        <f>IF(2415579&gt;0,100*495194/2415579,"")</f>
        <v>20.500012626372392</v>
      </c>
      <c r="S79" s="1">
        <f>IF(COUNT(Q79:R79)=2,R79-Q79,"")</f>
        <v>-26.786587830285068</v>
      </c>
    </row>
    <row r="80" spans="1:19">
      <c r="A80" s="1">
        <v>6</v>
      </c>
      <c r="B80" s="1">
        <v>5</v>
      </c>
      <c r="C80" s="1">
        <f>IF(2161281&gt;0,100*837619/2161281,"")</f>
        <v>38.75567314014235</v>
      </c>
      <c r="D80" s="1">
        <f>IF(2044782&gt;0,100*293806/2044782,"")</f>
        <v>14.368573275781966</v>
      </c>
      <c r="E80" s="1">
        <f>IF(COUNT(C80:D80)=2,D80-C80,"")</f>
        <v>-24.387099864360383</v>
      </c>
      <c r="H80" s="1">
        <v>6</v>
      </c>
      <c r="I80" s="1">
        <v>5</v>
      </c>
      <c r="J80" s="1">
        <f>IF(2014532&gt;0,100*751916/2014532,"")</f>
        <v>37.3245994603213</v>
      </c>
      <c r="K80" s="1">
        <f>IF(2442407&gt;0,100*423704/2442407,"")</f>
        <v>17.347804849887837</v>
      </c>
      <c r="L80" s="1">
        <f>IF(COUNT(J80:K80)=2,K80-J80,"")</f>
        <v>-19.976794610433465</v>
      </c>
      <c r="O80" s="1">
        <v>6</v>
      </c>
      <c r="P80" s="1">
        <v>5</v>
      </c>
      <c r="Q80" s="1">
        <f>IF(2374865&gt;0,100*978839/2374865,"")</f>
        <v>41.21661652346555</v>
      </c>
      <c r="R80" s="1">
        <f>IF(2338481&gt;0,100*447639/2338481,"")</f>
        <v>19.142297927586327</v>
      </c>
      <c r="S80" s="1">
        <f>IF(COUNT(Q80:R80)=2,R80-Q80,"")</f>
        <v>-22.07431859587922</v>
      </c>
    </row>
    <row r="81" spans="1:19">
      <c r="A81" s="1">
        <v>7</v>
      </c>
      <c r="B81" s="1">
        <v>6</v>
      </c>
      <c r="C81" s="1">
        <f>IF(2322649&gt;0,100*1026425/2322649,"")</f>
        <v>44.19199801605839</v>
      </c>
      <c r="D81" s="1">
        <f>IF(2390972&gt;0,100*618814/2390972,"")</f>
        <v>25.881273390068976</v>
      </c>
      <c r="E81" s="1">
        <f>IF(COUNT(C81:D81)=2,D81-C81,"")</f>
        <v>-18.310724625989415</v>
      </c>
      <c r="H81" s="1">
        <v>7</v>
      </c>
      <c r="I81" s="1">
        <v>6</v>
      </c>
      <c r="J81" s="1">
        <f>IF(1377831&gt;0,100*8479/1377831,"")</f>
        <v>0.6153875184982773</v>
      </c>
      <c r="K81" s="1">
        <f>IF(1999668&gt;0,100*37596/1999668,"")</f>
        <v>1.880112098608369</v>
      </c>
      <c r="L81" s="1">
        <f>IF(COUNT(J81:K81)=2,K81-J81,"")</f>
        <v>1.2647245801100917</v>
      </c>
      <c r="O81" s="1">
        <v>7</v>
      </c>
      <c r="P81" s="1">
        <v>6</v>
      </c>
      <c r="Q81" s="1">
        <f>IF(985046&gt;0,100*15738/985046,"")</f>
        <v>1.5976918844399144</v>
      </c>
      <c r="R81" s="1">
        <f>IF(253539&gt;0,100*46716/253539,"")</f>
        <v>18.425567664146346</v>
      </c>
      <c r="S81" s="1">
        <f>IF(COUNT(Q81:R81)=2,R81-Q81,"")</f>
        <v>16.82787577970643</v>
      </c>
    </row>
    <row r="82" spans="1:19">
      <c r="A82" s="1">
        <v>8</v>
      </c>
      <c r="B82" s="1">
        <v>7</v>
      </c>
      <c r="C82" s="1">
        <f>IF(2162199&gt;0,100*1011109/2162199,"")</f>
        <v>46.76299452548077</v>
      </c>
      <c r="D82" s="1">
        <f>IF(2302092&gt;0,100*661453/2302092,"")</f>
        <v>28.732691829866052</v>
      </c>
      <c r="E82" s="1">
        <f>IF(COUNT(C82:D82)=2,D82-C82,"")</f>
        <v>-18.03030269561472</v>
      </c>
      <c r="H82" s="1">
        <v>8</v>
      </c>
      <c r="I82" s="1">
        <v>7</v>
      </c>
      <c r="J82" s="1">
        <f>IF(1201041&gt;0,100*14947/1201041,"")</f>
        <v>1.2445037263507241</v>
      </c>
      <c r="K82" s="1">
        <f>IF(941232&gt;0,100*2791/941232,"")</f>
        <v>0.2965262549509579</v>
      </c>
      <c r="L82" s="1">
        <f>IF(COUNT(J82:K82)=2,K82-J82,"")</f>
        <v>-0.9479774713997662</v>
      </c>
      <c r="O82" s="1">
        <v>8</v>
      </c>
      <c r="P82" s="1">
        <v>7</v>
      </c>
      <c r="Q82" s="1">
        <f>IF(1244696&gt;0,100*14076/1244696,"")</f>
        <v>1.13087854383721</v>
      </c>
      <c r="R82" s="1">
        <f>IF(965515&gt;0,100*3879/965515,"")</f>
        <v>0.4017545040729559</v>
      </c>
      <c r="S82" s="1">
        <f>IF(COUNT(Q82:R82)=2,R82-Q82,"")</f>
        <v>-0.7291240397642541</v>
      </c>
    </row>
    <row r="83" spans="1:19">
      <c r="A83" s="1">
        <v>9</v>
      </c>
      <c r="B83" s="1">
        <v>8</v>
      </c>
      <c r="C83" s="1">
        <f>IF(1440745&gt;0,100*484807/1440745,"")</f>
        <v>33.64974370898389</v>
      </c>
      <c r="D83" s="1">
        <f>IF(1154770&gt;0,100*275774/1154770,"")</f>
        <v>23.881292378568894</v>
      </c>
      <c r="E83" s="1">
        <f>IF(COUNT(C83:D83)=2,D83-C83,"")</f>
        <v>-9.768451330414997</v>
      </c>
      <c r="H83" s="1">
        <v>9</v>
      </c>
      <c r="I83" s="1">
        <v>8</v>
      </c>
      <c r="J83" s="1">
        <f>IF(2605328&gt;0,100*1210537/2605328,"")</f>
        <v>46.46390013080887</v>
      </c>
      <c r="K83" s="1">
        <f>IF(2913721&gt;0,100*653623/2913721,"")</f>
        <v>22.43258705963955</v>
      </c>
      <c r="L83" s="1">
        <f>IF(COUNT(J83:K83)=2,K83-J83,"")</f>
        <v>-24.03131307116932</v>
      </c>
      <c r="O83" s="1">
        <v>9</v>
      </c>
      <c r="P83" s="1">
        <v>8</v>
      </c>
      <c r="Q83" s="1">
        <f>IF(2369232&gt;0,100*974673/2369232,"")</f>
        <v>41.138774083753724</v>
      </c>
      <c r="R83" s="1">
        <f>IF(2599620&gt;0,100*643542/2599620,"")</f>
        <v>24.75523345719759</v>
      </c>
      <c r="S83" s="1">
        <f>IF(COUNT(Q83:R83)=2,R83-Q83,"")</f>
        <v>-16.383540626556133</v>
      </c>
    </row>
    <row r="84" spans="1:19">
      <c r="A84" s="1">
        <v>10</v>
      </c>
      <c r="B84" s="1">
        <v>9</v>
      </c>
      <c r="C84" s="1">
        <f>IF(1168622&gt;0,100*16823/1168622,"")</f>
        <v>1.4395587281430609</v>
      </c>
      <c r="D84" s="1">
        <f>IF(160767&gt;0,100*12268/160767,"")</f>
        <v>7.630919280698153</v>
      </c>
      <c r="E84" s="1">
        <f>IF(COUNT(C84:D84)=2,D84-C84,"")</f>
        <v>6.191360552555093</v>
      </c>
      <c r="H84" s="1">
        <v>10</v>
      </c>
      <c r="I84" s="1">
        <v>9</v>
      </c>
      <c r="J84" s="1">
        <f>IF(3065832&gt;0,100*1566994/3065832,"")</f>
        <v>51.11154166307873</v>
      </c>
      <c r="K84" s="1">
        <f>IF(1211727&gt;0,100*83492/1211727,"")</f>
        <v>6.890330907869512</v>
      </c>
      <c r="L84" s="1">
        <f>IF(COUNT(J84:K84)=2,K84-J84,"")</f>
        <v>-44.22121075520922</v>
      </c>
      <c r="O84" s="1">
        <v>10</v>
      </c>
      <c r="P84" s="1">
        <v>9</v>
      </c>
      <c r="Q84" s="1">
        <f>IF(2063235&gt;0,100*325107/2063235,"")</f>
        <v>15.757148361674748</v>
      </c>
      <c r="R84" s="1">
        <f>IF(1632382&gt;0,100*107272/1632382,"")</f>
        <v>6.57150103345908</v>
      </c>
      <c r="S84" s="1">
        <f>IF(COUNT(Q84:R84)=2,R84-Q84,"")</f>
        <v>-9.185647328215667</v>
      </c>
    </row>
    <row r="85" spans="1:19">
      <c r="A85" s="1">
        <v>11</v>
      </c>
      <c r="B85" s="1">
        <v>10</v>
      </c>
      <c r="C85" s="1">
        <f>IF(2209395&gt;0,100*1084873/2209395,"")</f>
        <v>49.1027181649275</v>
      </c>
      <c r="D85" s="1">
        <f>IF(45642&gt;0,100*11434/45642,"")</f>
        <v>25.051487664870077</v>
      </c>
      <c r="E85" s="1">
        <f>IF(COUNT(C85:D85)=2,D85-C85,"")</f>
        <v>-24.051230500057425</v>
      </c>
      <c r="H85" s="1">
        <v>11</v>
      </c>
      <c r="I85" s="1">
        <v>10</v>
      </c>
      <c r="J85" s="1">
        <f>IF(2870543&gt;0,100*1618419/2870543,"")</f>
        <v>56.380238860731225</v>
      </c>
      <c r="K85" s="1">
        <f>IF(2060096&gt;0,100*81890/2060096,"")</f>
        <v>3.9750574730498</v>
      </c>
      <c r="L85" s="1">
        <f>IF(COUNT(J85:K85)=2,K85-J85,"")</f>
        <v>-52.405181387681424</v>
      </c>
      <c r="O85" s="1">
        <v>11</v>
      </c>
      <c r="P85" s="1">
        <v>10</v>
      </c>
      <c r="Q85" s="1">
        <f>IF(2712419&gt;0,100*1335644/2712419,"")</f>
        <v>49.241802243679906</v>
      </c>
      <c r="R85" s="1">
        <f>IF(2448248&gt;0,100*429874/2448248,"")</f>
        <v>17.558433622737567</v>
      </c>
      <c r="S85" s="1">
        <f>IF(COUNT(Q85:R85)=2,R85-Q85,"")</f>
        <v>-31.68336862094234</v>
      </c>
    </row>
    <row r="86" spans="1:19">
      <c r="A86" s="1">
        <v>12</v>
      </c>
      <c r="B86" s="1">
        <v>11</v>
      </c>
      <c r="C86" s="1">
        <f>IF(2101751&gt;0,100*916475/2101751,"")</f>
        <v>43.605308145446344</v>
      </c>
      <c r="D86" s="1">
        <f>IF(2009940&gt;0,100*455226/2009940,"")</f>
        <v>22.648735783157708</v>
      </c>
      <c r="E86" s="1">
        <f>IF(COUNT(C86:D86)=2,D86-C86,"")</f>
        <v>-20.956572362288636</v>
      </c>
      <c r="H86" s="1">
        <v>12</v>
      </c>
      <c r="I86" s="1">
        <v>11</v>
      </c>
      <c r="J86" s="1">
        <f>IF(2321486&gt;0,100*1150766/2321486,"")</f>
        <v>49.57023217025647</v>
      </c>
      <c r="K86" s="1">
        <f>IF(1860620&gt;0,100*57757/1860620,"")</f>
        <v>3.104180326987778</v>
      </c>
      <c r="L86" s="1">
        <f>IF(COUNT(J86:K86)=2,K86-J86,"")</f>
        <v>-46.46605184326869</v>
      </c>
      <c r="O86" s="1">
        <v>12</v>
      </c>
      <c r="P86" s="1">
        <v>11</v>
      </c>
      <c r="Q86" s="1">
        <f>IF(2923066&gt;0,100*1456418/2923066,"")</f>
        <v>49.825012503994095</v>
      </c>
      <c r="R86" s="1">
        <f>IF(1694927&gt;0,100*140960/1694927,"")</f>
        <v>8.316582366084203</v>
      </c>
      <c r="S86" s="1">
        <f>IF(COUNT(Q86:R86)=2,R86-Q86,"")</f>
        <v>-41.50843013790989</v>
      </c>
    </row>
    <row r="87" spans="1:19">
      <c r="A87" s="1">
        <v>13</v>
      </c>
      <c r="B87" s="1">
        <v>12</v>
      </c>
      <c r="C87" s="1">
        <f>IF(2087661&gt;0,100*558523/2087661,"")</f>
        <v>26.753529428388998</v>
      </c>
      <c r="D87" s="1">
        <f>IF(1889352&gt;0,100*198390/1889352,"")</f>
        <v>10.50042554272576</v>
      </c>
      <c r="E87" s="1">
        <f>IF(COUNT(C87:D87)=2,D87-C87,"")</f>
        <v>-16.253103885663236</v>
      </c>
      <c r="H87" s="1">
        <v>13</v>
      </c>
      <c r="I87" s="1">
        <v>12</v>
      </c>
      <c r="J87" s="1">
        <f>IF(2390190&gt;0,100*1069032/2390190,"")</f>
        <v>44.72581677607219</v>
      </c>
      <c r="K87" s="1">
        <f>IF(2500812&gt;0,100*556069/2500812,"")</f>
        <v>22.23553789729096</v>
      </c>
      <c r="L87" s="1">
        <f>IF(COUNT(J87:K87)=2,K87-J87,"")</f>
        <v>-22.490278878781233</v>
      </c>
      <c r="O87" s="1">
        <v>13</v>
      </c>
      <c r="P87" s="1">
        <v>12</v>
      </c>
      <c r="Q87" s="1">
        <f>IF(1557676&gt;0,100*18730/1557676,"")</f>
        <v>1.2024323415138964</v>
      </c>
      <c r="R87" s="1">
        <f>IF(1505710&gt;0,100*115518/1505710,"")</f>
        <v>7.671995271333789</v>
      </c>
      <c r="S87" s="1">
        <f>IF(COUNT(Q87:R87)=2,R87-Q87,"")</f>
        <v>6.469562929819893</v>
      </c>
    </row>
    <row r="88" spans="1:19">
      <c r="A88" s="1">
        <v>14</v>
      </c>
      <c r="B88" s="1">
        <v>13</v>
      </c>
      <c r="C88" s="1">
        <f>IF(1496156&gt;0,100*261177/1496156,"")</f>
        <v>17.456535281080313</v>
      </c>
      <c r="D88" s="1">
        <f>IF(949431&gt;0,100*5035/949431,"")</f>
        <v>0.5303176323503235</v>
      </c>
      <c r="E88" s="1">
        <f>IF(COUNT(C88:D88)=2,D88-C88,"")</f>
        <v>-16.92621764872999</v>
      </c>
      <c r="H88" s="1">
        <v>14</v>
      </c>
      <c r="I88" s="1">
        <v>13</v>
      </c>
      <c r="J88" s="1">
        <f>IF(1799691&gt;0,100*550790/1799691,"")</f>
        <v>30.604698250977528</v>
      </c>
      <c r="K88" s="1">
        <f>IF(1035266&gt;0,100*4357/1035266,"")</f>
        <v>0.42085802103034387</v>
      </c>
      <c r="L88" s="1">
        <f>IF(COUNT(J88:K88)=2,K88-J88,"")</f>
        <v>-30.183840229947183</v>
      </c>
      <c r="O88" s="1">
        <v>14</v>
      </c>
      <c r="P88" s="1">
        <v>13</v>
      </c>
      <c r="Q88" s="1">
        <f>IF(1217487&gt;0,100*119562/1217487,"")</f>
        <v>9.820392332731274</v>
      </c>
      <c r="R88" s="1">
        <f>IF(957251&gt;0,100*20176/957251,"")</f>
        <v>2.1077021596216667</v>
      </c>
      <c r="S88" s="1">
        <f>IF(COUNT(Q88:R88)=2,R88-Q88,"")</f>
        <v>-7.712690173109607</v>
      </c>
    </row>
    <row r="89" spans="1:19">
      <c r="A89" s="1">
        <v>15</v>
      </c>
      <c r="B89" s="1">
        <v>14</v>
      </c>
      <c r="C89" s="1">
        <f>IF(1933985&gt;0,100*847555/1933985,"")</f>
        <v>43.82427991944095</v>
      </c>
      <c r="D89" s="1">
        <f>IF(2405927&gt;0,100*697768/2405927,"")</f>
        <v>29.002043702905368</v>
      </c>
      <c r="E89" s="1">
        <f>IF(COUNT(C89:D89)=2,D89-C89,"")</f>
        <v>-14.822236216535579</v>
      </c>
      <c r="H89" s="1">
        <v>15</v>
      </c>
      <c r="I89" s="1">
        <v>14</v>
      </c>
      <c r="J89" s="1">
        <f>IF(2456423&gt;0,100*458635/2456423,"")</f>
        <v>18.670847814077625</v>
      </c>
      <c r="K89" s="1">
        <f>IF(2277615&gt;0,100*389199/2277615,"")</f>
        <v>17.08800653314981</v>
      </c>
      <c r="L89" s="1">
        <f>IF(COUNT(J89:K89)=2,K89-J89,"")</f>
        <v>-1.5828412809278163</v>
      </c>
      <c r="O89" s="1">
        <v>15</v>
      </c>
      <c r="P89" s="1">
        <v>14</v>
      </c>
      <c r="Q89" s="1">
        <f>IF(2356524&gt;0,100*573959/2356524,"")</f>
        <v>24.35617035939375</v>
      </c>
      <c r="R89" s="1">
        <f>IF(3328747&gt;0,100*734399/3328747,"")</f>
        <v>22.062325553729377</v>
      </c>
      <c r="S89" s="1">
        <f>IF(COUNT(Q89:R89)=2,R89-Q89,"")</f>
        <v>-2.2938448056643743</v>
      </c>
    </row>
    <row r="90" spans="1:19">
      <c r="A90" s="1">
        <v>16</v>
      </c>
      <c r="B90" s="1">
        <v>15</v>
      </c>
      <c r="C90" s="1">
        <f>IF(2016018&gt;0,100*829052/2016018,"")</f>
        <v>41.12324393929023</v>
      </c>
      <c r="D90" s="1">
        <f>IF(2372912&gt;0,100*739239/2372912,"")</f>
        <v>31.153241249570147</v>
      </c>
      <c r="E90" s="1">
        <f>IF(COUNT(C90:D90)=2,D90-C90,"")</f>
        <v>-9.97000268972008</v>
      </c>
      <c r="H90" s="1">
        <v>16</v>
      </c>
      <c r="I90" s="1">
        <v>15</v>
      </c>
      <c r="J90" s="1">
        <f>IF(2410914&gt;0,100*1100716/2410914,"")</f>
        <v>45.65554806185538</v>
      </c>
      <c r="K90" s="1">
        <f>IF(1996874&gt;0,100*120928/1996874,"")</f>
        <v>6.0558653174912385</v>
      </c>
      <c r="L90" s="1">
        <f>IF(COUNT(J90:K90)=2,K90-J90,"")</f>
        <v>-39.59968274436414</v>
      </c>
      <c r="O90" s="1">
        <v>16</v>
      </c>
      <c r="P90" s="1">
        <v>15</v>
      </c>
      <c r="Q90" s="1">
        <f>IF(2715811&gt;0,100*1420140/2715811,"")</f>
        <v>52.29156226261695</v>
      </c>
      <c r="R90" s="1">
        <f>IF(2076129&gt;0,100*337806/2076129,"")</f>
        <v>16.270954261512653</v>
      </c>
      <c r="S90" s="1">
        <f>IF(COUNT(Q90:R90)=2,R90-Q90,"")</f>
        <v>-36.02060800110429</v>
      </c>
    </row>
    <row r="91" spans="1:19">
      <c r="A91" s="1">
        <v>17</v>
      </c>
      <c r="B91" s="1">
        <v>16</v>
      </c>
      <c r="C91" s="1">
        <f>IF(830136&gt;0,100*34541/830136,"")</f>
        <v>4.160884481578922</v>
      </c>
      <c r="D91" s="1">
        <f>IF(930535&gt;0,100*41310/930535,"")</f>
        <v>4.439381646042331</v>
      </c>
      <c r="E91" s="1">
        <f>IF(COUNT(C91:D91)=2,D91-C91,"")</f>
        <v>0.2784971644634089</v>
      </c>
      <c r="H91" s="1">
        <v>17</v>
      </c>
      <c r="I91" s="1">
        <v>16</v>
      </c>
      <c r="J91" s="1">
        <f>IF(196031&gt;0,100*5823/196031,"")</f>
        <v>2.970448551504609</v>
      </c>
      <c r="K91" s="1">
        <f>IF(2803464&gt;0,100*606569/2803464,"")</f>
        <v>21.636411239809036</v>
      </c>
      <c r="L91" s="1">
        <f>IF(COUNT(J91:K91)=2,K91-J91,"")</f>
        <v>18.665962688304425</v>
      </c>
      <c r="O91" s="1">
        <v>17</v>
      </c>
      <c r="P91" s="1">
        <v>16</v>
      </c>
      <c r="Q91" s="1">
        <f>IF(2285076&gt;0,100*953900/2285076,"")</f>
        <v>41.74478223043785</v>
      </c>
      <c r="R91" s="1">
        <f>IF(1626612&gt;0,100*225652/1626612,"")</f>
        <v>13.872515387812212</v>
      </c>
      <c r="S91" s="1">
        <f>IF(COUNT(Q91:R91)=2,R91-Q91,"")</f>
        <v>-27.872266842625635</v>
      </c>
    </row>
    <row r="92" spans="1:19">
      <c r="A92" s="1">
        <v>18</v>
      </c>
      <c r="B92" s="1">
        <v>17</v>
      </c>
      <c r="C92" s="1">
        <f>IF(1194547&gt;0,100*244244/1194547,"")</f>
        <v>20.446579330909543</v>
      </c>
      <c r="D92" s="1">
        <f>IF(1573556&gt;0,100*137053/1573556,"")</f>
        <v>8.709763109797173</v>
      </c>
      <c r="E92" s="1">
        <f>IF(COUNT(C92:D92)=2,D92-C92,"")</f>
        <v>-11.73681622111237</v>
      </c>
      <c r="H92" s="1">
        <v>18</v>
      </c>
      <c r="I92" s="1">
        <v>17</v>
      </c>
      <c r="J92" s="4"/>
      <c r="K92" s="1">
        <f>IF(2068222&gt;0,100*300781/2068222,"")</f>
        <v>14.542974593636467</v>
      </c>
      <c r="L92" s="1">
        <f>IF(COUNT(J92:K92)=2,K92-J92,"")</f>
        <v/>
      </c>
      <c r="O92" s="1">
        <v>18</v>
      </c>
      <c r="P92" s="1">
        <v>17</v>
      </c>
      <c r="Q92" s="1">
        <f>IF(2825816&gt;0,100*1323547/2825816,"")</f>
        <v>46.83769219227296</v>
      </c>
      <c r="R92" s="1">
        <f>IF(1779241&gt;0,100*178610/1779241,"")</f>
        <v>10.038550145820606</v>
      </c>
      <c r="S92" s="1">
        <f>IF(COUNT(Q92:R92)=2,R92-Q92,"")</f>
        <v>-36.79914204645235</v>
      </c>
    </row>
    <row r="93" spans="1:19">
      <c r="A93" s="1">
        <v>19</v>
      </c>
      <c r="B93" s="1">
        <v>18</v>
      </c>
      <c r="C93" s="1">
        <f>IF(1931560&gt;0,100*912771/1931560,"")</f>
        <v>47.25563792996335</v>
      </c>
      <c r="D93" s="1">
        <f>IF(1906980&gt;0,100*428813/1906980,"")</f>
        <v>22.486496974273457</v>
      </c>
      <c r="E93" s="1">
        <f>IF(COUNT(C93:D93)=2,D93-C93,"")</f>
        <v>-24.769140955689892</v>
      </c>
      <c r="H93" s="1">
        <v>19</v>
      </c>
      <c r="I93" s="1">
        <v>18</v>
      </c>
      <c r="J93" s="1">
        <f>IF(1855523&gt;0,100*552371/1855523,"")</f>
        <v>29.76901930075779</v>
      </c>
      <c r="K93" s="1">
        <f>IF(1953037&gt;0,100*81114/1953037,"")</f>
        <v>4.153223927657285</v>
      </c>
      <c r="L93" s="1">
        <f>IF(COUNT(J93:K93)=2,K93-J93,"")</f>
        <v>-25.615795373100504</v>
      </c>
      <c r="O93" s="1">
        <v>19</v>
      </c>
      <c r="P93" s="1">
        <v>18</v>
      </c>
      <c r="Q93" s="1">
        <f>IF(2510684&gt;0,100*1031580/2510684,"")</f>
        <v>41.08760799845779</v>
      </c>
      <c r="R93" s="1">
        <f>IF(2333404&gt;0,100*312904/2333404,"")</f>
        <v>13.409765304250785</v>
      </c>
      <c r="S93" s="1">
        <f>IF(COUNT(Q93:R93)=2,R93-Q93,"")</f>
        <v>-27.67784269420701</v>
      </c>
    </row>
    <row r="94" spans="1:19">
      <c r="A94" s="1">
        <v>20</v>
      </c>
      <c r="B94" s="1">
        <v>19</v>
      </c>
      <c r="C94" s="1">
        <f>IF(2025286&gt;0,100*867239/2025286,"")</f>
        <v>42.82056953931445</v>
      </c>
      <c r="D94" s="1">
        <f>IF(2480971&gt;0,100*625567/2480971,"")</f>
        <v>25.214603475816524</v>
      </c>
      <c r="E94" s="1">
        <f>IF(COUNT(C94:D94)=2,D94-C94,"")</f>
        <v>-17.605966063497924</v>
      </c>
      <c r="H94" s="1">
        <v>20</v>
      </c>
      <c r="I94" s="1">
        <v>19</v>
      </c>
      <c r="J94" s="1">
        <f>IF(2440076&gt;0,100*960305/2440076,"")</f>
        <v>39.355536466896936</v>
      </c>
      <c r="K94" s="1">
        <f>IF(2114983&gt;0,100*420261/2114983,"")</f>
        <v>19.87065617075882</v>
      </c>
      <c r="L94" s="1">
        <f>IF(COUNT(J94:K94)=2,K94-J94,"")</f>
        <v>-19.484880296138115</v>
      </c>
      <c r="O94" s="1">
        <v>20</v>
      </c>
      <c r="P94" s="1">
        <v>19</v>
      </c>
      <c r="Q94" s="1">
        <f>IF(3041216&gt;0,100*1439290/3041216,"")</f>
        <v>47.32613533533955</v>
      </c>
      <c r="R94" s="1">
        <f>IF(1972384&gt;0,100*257568/1972384,"")</f>
        <v>13.05871473303373</v>
      </c>
      <c r="S94" s="1">
        <f>IF(COUNT(Q94:R94)=2,R94-Q94,"")</f>
        <v>-34.26742060230582</v>
      </c>
    </row>
    <row r="95" spans="1:19">
      <c r="A95" s="1">
        <v>21</v>
      </c>
      <c r="B95" s="1">
        <v>20</v>
      </c>
      <c r="C95" s="1">
        <f>IF(2094148&gt;0,100*1039154/2094148,"")</f>
        <v>49.62180323453739</v>
      </c>
      <c r="D95" s="1">
        <f>IF(2094977&gt;0,100*551746/2094977,"")</f>
        <v>26.336613719386897</v>
      </c>
      <c r="E95" s="1">
        <f>IF(COUNT(C95:D95)=2,D95-C95,"")</f>
        <v>-23.285189515150492</v>
      </c>
      <c r="H95" s="1">
        <v>21</v>
      </c>
      <c r="I95" s="1">
        <v>20</v>
      </c>
      <c r="J95" s="1">
        <f>IF(2683747&gt;0,100*1388722/2683747,"")</f>
        <v>51.74563772218469</v>
      </c>
      <c r="K95" s="1">
        <f>IF(2486878&gt;0,100*543386/2486878,"")</f>
        <v>21.85012694631582</v>
      </c>
      <c r="L95" s="1">
        <f>IF(COUNT(J95:K95)=2,K95-J95,"")</f>
        <v>-29.895510775868868</v>
      </c>
      <c r="O95" s="1">
        <v>21</v>
      </c>
      <c r="P95" s="1">
        <v>20</v>
      </c>
      <c r="Q95" s="1">
        <f>IF(2268817&gt;0,100*1102753/2268817,"")</f>
        <v>48.60475745730044</v>
      </c>
      <c r="R95" s="1">
        <f>IF(464465&gt;0,100*69644/464465,"")</f>
        <v>14.99445598699579</v>
      </c>
      <c r="S95" s="1">
        <f>IF(COUNT(Q95:R95)=2,R95-Q95,"")</f>
        <v>-33.61030147030465</v>
      </c>
    </row>
    <row r="96" spans="1:19">
      <c r="A96" s="1">
        <v>22</v>
      </c>
      <c r="B96" s="1">
        <v>21</v>
      </c>
      <c r="C96" s="1">
        <f>IF(1002018&gt;0,100*273571/1002018,"")</f>
        <v>27.302004554808395</v>
      </c>
      <c r="D96" s="1">
        <f>IF(1782983&gt;0,100*429086/1782983,"")</f>
        <v>24.065624854527496</v>
      </c>
      <c r="E96" s="1">
        <f>IF(COUNT(C96:D96)=2,D96-C96,"")</f>
        <v>-3.2363797002808994</v>
      </c>
      <c r="H96" s="1">
        <v>22</v>
      </c>
      <c r="I96" s="1">
        <v>21</v>
      </c>
      <c r="J96" s="1">
        <f>IF(2557965&gt;0,100*1179736/2557965,"")</f>
        <v>46.12009937587106</v>
      </c>
      <c r="K96" s="1">
        <f>IF(1506020&gt;0,100*254349/1506020,"")</f>
        <v>16.888819537589143</v>
      </c>
      <c r="L96" s="1">
        <f>IF(COUNT(J96:K96)=2,K96-J96,"")</f>
        <v>-29.231279838281914</v>
      </c>
      <c r="O96" s="1">
        <v>22</v>
      </c>
      <c r="P96" s="1">
        <v>21</v>
      </c>
      <c r="Q96" s="1">
        <f>IF(1946233&gt;0,100*656202/1946233,"")</f>
        <v>33.71651801197493</v>
      </c>
      <c r="R96" s="1">
        <f>IF(1102247&gt;0,100*170060/1102247,"")</f>
        <v>15.428483815333587</v>
      </c>
      <c r="S96" s="1">
        <f>IF(COUNT(Q96:R96)=2,R96-Q96,"")</f>
        <v>-18.28803419664134</v>
      </c>
    </row>
    <row r="97" spans="1:19">
      <c r="A97" s="1">
        <v>23</v>
      </c>
      <c r="B97" s="1">
        <v>22</v>
      </c>
      <c r="C97" s="1">
        <f>IF(795260&gt;0,100*1236/795260,"")</f>
        <v>0.15542086864673188</v>
      </c>
      <c r="D97" s="1">
        <f>IF(1081577&gt;0,100*6995/1081577,"")</f>
        <v>0.6467408238155952</v>
      </c>
      <c r="E97" s="1">
        <f>IF(COUNT(C97:D97)=2,D97-C97,"")</f>
        <v>0.4913199551688633</v>
      </c>
      <c r="H97" s="1">
        <v>23</v>
      </c>
      <c r="I97" s="1">
        <v>22</v>
      </c>
      <c r="J97" s="1">
        <f>IF(2773812&gt;0,100*1410215/2773812,"")</f>
        <v>50.84032371335909</v>
      </c>
      <c r="K97" s="1">
        <f>IF(3064637&gt;0,100*723256/3064637,"")</f>
        <v>23.600054427326956</v>
      </c>
      <c r="L97" s="1">
        <f>IF(COUNT(J97:K97)=2,K97-J97,"")</f>
        <v>-27.240269286032134</v>
      </c>
      <c r="O97" s="1">
        <v>23</v>
      </c>
      <c r="P97" s="1">
        <v>22</v>
      </c>
      <c r="Q97" s="1">
        <f>IF(2188846&gt;0,100*938113/2188846,"")</f>
        <v>42.858794086016104</v>
      </c>
      <c r="R97" s="1">
        <f>IF(2700355&gt;0,100*649531/2700355,"")</f>
        <v>24.053541108483884</v>
      </c>
      <c r="S97" s="1">
        <f>IF(COUNT(Q97:R97)=2,R97-Q97,"")</f>
        <v>-18.80525297753222</v>
      </c>
    </row>
    <row r="98" spans="1:19">
      <c r="A98" s="1">
        <v>24</v>
      </c>
      <c r="B98" s="1">
        <v>23</v>
      </c>
      <c r="C98" s="1">
        <f>IF(1888679&gt;0,100*755365/1888679,"")</f>
        <v>39.99435584342284</v>
      </c>
      <c r="D98" s="1">
        <f>IF(1953898&gt;0,100*302380/1953898,"")</f>
        <v>15.475731077057247</v>
      </c>
      <c r="E98" s="1">
        <f>IF(COUNT(C98:D98)=2,D98-C98,"")</f>
        <v>-24.51862476636559</v>
      </c>
      <c r="H98" s="1">
        <v>24</v>
      </c>
      <c r="I98" s="1">
        <v>23</v>
      </c>
      <c r="J98" s="1">
        <f>IF(2330232&gt;0,100*1039149/2330232,"")</f>
        <v>44.594229244126765</v>
      </c>
      <c r="K98" s="1">
        <f>IF(1529343&gt;0,100*18766/1529343,"")</f>
        <v>1.2270628629417992</v>
      </c>
      <c r="L98" s="1">
        <f>IF(COUNT(J98:K98)=2,K98-J98,"")</f>
        <v>-43.367166381184965</v>
      </c>
      <c r="O98" s="1">
        <v>24</v>
      </c>
      <c r="P98" s="1">
        <v>23</v>
      </c>
      <c r="Q98" s="1">
        <f>IF(2075098&gt;0,100*737576/2075098,"")</f>
        <v>35.544152613515124</v>
      </c>
      <c r="R98" s="1">
        <f>IF(2236606&gt;0,100*435924/2236606,"")</f>
        <v>19.490424330436383</v>
      </c>
      <c r="S98" s="1">
        <f>IF(COUNT(Q98:R98)=2,R98-Q98,"")</f>
        <v>-16.05372828307874</v>
      </c>
    </row>
    <row r="99" spans="1:19">
      <c r="A99" s="1">
        <v>25</v>
      </c>
      <c r="B99" s="1">
        <v>24</v>
      </c>
      <c r="C99" s="1">
        <f>IF(2046231&gt;0,100*862149/2046231,"")</f>
        <v>42.1335127852134</v>
      </c>
      <c r="D99" s="1">
        <f>IF(1820501&gt;0,100*508342/1820501,"")</f>
        <v>27.92319257171515</v>
      </c>
      <c r="E99" s="1">
        <f>IF(COUNT(C99:D99)=2,D99-C99,"")</f>
        <v>-14.21032021349825</v>
      </c>
      <c r="H99" s="1">
        <v>25</v>
      </c>
      <c r="I99" s="1">
        <v>24</v>
      </c>
      <c r="J99" s="1">
        <f>IF(2687496&gt;0,100*1356682/2687496,"")</f>
        <v>50.481265832581705</v>
      </c>
      <c r="K99" s="1">
        <f>IF(2279881&gt;0,100*353289/2279881,"")</f>
        <v>15.49594035829063</v>
      </c>
      <c r="L99" s="1">
        <f>IF(COUNT(J99:K99)=2,K99-J99,"")</f>
        <v>-34.98532547429107</v>
      </c>
      <c r="O99" s="1">
        <v>25</v>
      </c>
      <c r="P99" s="1">
        <v>24</v>
      </c>
      <c r="Q99" s="1">
        <f>IF(2348758&gt;0,100*912656/2348758,"")</f>
        <v>38.856961849624355</v>
      </c>
      <c r="R99" s="1">
        <f>IF(1890534&gt;0,100*305857/1890534,"")</f>
        <v>16.17833903013646</v>
      </c>
      <c r="S99" s="1">
        <f>IF(COUNT(Q99:R99)=2,R99-Q99,"")</f>
        <v>-22.678622819487895</v>
      </c>
    </row>
    <row r="100" spans="1:19">
      <c r="A100" s="1">
        <v>26</v>
      </c>
      <c r="B100" s="1">
        <v>25</v>
      </c>
      <c r="C100" s="1">
        <f>IF(2173027&gt;0,100*1021557/2173027,"")</f>
        <v>47.01078265479444</v>
      </c>
      <c r="D100" s="1">
        <f>IF(1744927&gt;0,100*469943/1744927,"")</f>
        <v>26.93195761198033</v>
      </c>
      <c r="E100" s="1">
        <f>IF(COUNT(C100:D100)=2,D100-C100,"")</f>
        <v>-20.07882504281411</v>
      </c>
      <c r="H100" s="1">
        <v>26</v>
      </c>
      <c r="I100" s="1">
        <v>25</v>
      </c>
      <c r="J100" s="1">
        <f>IF(1369843&gt;0,100*81159/1369843,"")</f>
        <v>5.9246935597729085</v>
      </c>
      <c r="K100" s="1">
        <f>IF(352390&gt;0,100*12917/352390,"")</f>
        <v>3.6655410198927325</v>
      </c>
      <c r="L100" s="1">
        <f>IF(COUNT(J100:K100)=2,K100-J100,"")</f>
        <v>-2.259152539880176</v>
      </c>
      <c r="O100" s="1">
        <v>26</v>
      </c>
      <c r="P100" s="1">
        <v>25</v>
      </c>
      <c r="Q100" s="1">
        <f>IF(2790743&gt;0,100*1533326/2790743,"")</f>
        <v>54.94328929607635</v>
      </c>
      <c r="R100" s="1">
        <f>IF(2388727&gt;0,100*417989/2388727,"")</f>
        <v>17.498399775277793</v>
      </c>
      <c r="S100" s="1">
        <f>IF(COUNT(Q100:R100)=2,R100-Q100,"")</f>
        <v>-37.444889520798554</v>
      </c>
    </row>
    <row r="101" spans="1:19">
      <c r="A101" s="1">
        <v>27</v>
      </c>
      <c r="B101" s="1">
        <v>26</v>
      </c>
      <c r="C101" s="1">
        <f>IF(2068375&gt;0,100*1076315/2068375,"")</f>
        <v>52.03674382063214</v>
      </c>
      <c r="D101" s="1">
        <f>IF(2125675&gt;0,100*528309/2125675,"")</f>
        <v>24.853705293612617</v>
      </c>
      <c r="E101" s="1">
        <f>IF(COUNT(C101:D101)=2,D101-C101,"")</f>
        <v>-27.183038527019523</v>
      </c>
      <c r="H101" s="1">
        <v>27</v>
      </c>
      <c r="I101" s="1">
        <v>26</v>
      </c>
      <c r="J101" s="1">
        <f>IF(1770443&gt;0,100*418105/1770443,"")</f>
        <v>23.615840781092643</v>
      </c>
      <c r="K101" s="1">
        <f>IF(1687042&gt;0,100*295374/1687042,"")</f>
        <v>17.50839635290645</v>
      </c>
      <c r="L101" s="1">
        <f>IF(COUNT(J101:K101)=2,K101-J101,"")</f>
        <v>-6.107444428186195</v>
      </c>
      <c r="O101" s="1">
        <v>27</v>
      </c>
      <c r="P101" s="1">
        <v>26</v>
      </c>
      <c r="Q101" s="1">
        <f>IF(2101248&gt;0,100*444433/2101248,"")</f>
        <v>21.150906508893762</v>
      </c>
      <c r="R101" s="1">
        <f>IF(1478709&gt;0,100*110885/1478709,"")</f>
        <v>7.49877088730778</v>
      </c>
      <c r="S101" s="1">
        <f>IF(COUNT(Q101:R101)=2,R101-Q101,"")</f>
        <v>-13.652135621585982</v>
      </c>
    </row>
    <row r="102" spans="1:19">
      <c r="A102" s="1">
        <v>28</v>
      </c>
      <c r="B102" s="1">
        <v>27</v>
      </c>
      <c r="C102" s="1">
        <f>IF(1174000&gt;0,100*3059/1174000,"")</f>
        <v>0.2605621805792164</v>
      </c>
      <c r="D102" s="1">
        <f>IF(783578&gt;0,100*1013/783578,"")</f>
        <v>0.12927876995015175</v>
      </c>
      <c r="E102" s="1">
        <f>IF(COUNT(C102:D102)=2,D102-C102,"")</f>
        <v>-0.13128341062906462</v>
      </c>
      <c r="H102" s="1">
        <v>28</v>
      </c>
      <c r="I102" s="1">
        <v>27</v>
      </c>
      <c r="J102" s="1">
        <f>IF(2046482&gt;0,100*638275/2046482,"")</f>
        <v>31.18888903005255</v>
      </c>
      <c r="K102" s="1">
        <f>IF(2737860&gt;0,100*671087/2737860,"")</f>
        <v>24.511370194239298</v>
      </c>
      <c r="L102" s="1">
        <f>IF(COUNT(J102:K102)=2,K102-J102,"")</f>
        <v>-6.6775188358132525</v>
      </c>
      <c r="O102" s="1">
        <v>28</v>
      </c>
      <c r="P102" s="1">
        <v>27</v>
      </c>
      <c r="Q102" s="1">
        <f>IF(2324907&gt;0,100*896618/2324907,"")</f>
        <v>38.5657576840708</v>
      </c>
      <c r="R102" s="1">
        <f>IF(2336571&gt;0,100*468012/2336571,"")</f>
        <v>20.029864275470338</v>
      </c>
      <c r="S102" s="1">
        <f>IF(COUNT(Q102:R102)=2,R102-Q102,"")</f>
        <v>-18.535893408600465</v>
      </c>
    </row>
    <row r="103" spans="1:19">
      <c r="A103" s="1">
        <v>29</v>
      </c>
      <c r="B103" s="1">
        <v>28</v>
      </c>
      <c r="C103" s="1">
        <f>IF(2083503&gt;0,100*1007639/2083503,"")</f>
        <v>48.362733338996875</v>
      </c>
      <c r="D103" s="1">
        <f>IF(2475237&gt;0,100*767219/2475237,"")</f>
        <v>30.995779394053983</v>
      </c>
      <c r="E103" s="1">
        <f>IF(COUNT(C103:D103)=2,D103-C103,"")</f>
        <v>-17.366953944942892</v>
      </c>
      <c r="H103" s="1">
        <v>29</v>
      </c>
      <c r="I103" s="1">
        <v>28</v>
      </c>
      <c r="J103" s="1">
        <f>IF(2576958&gt;0,100*1290348/2576958,"")</f>
        <v>50.072527375300645</v>
      </c>
      <c r="K103" s="1">
        <f>IF(2981326&gt;0,100*769310/2981326,"")</f>
        <v>25.804289769049074</v>
      </c>
      <c r="L103" s="1">
        <f>IF(COUNT(J103:K103)=2,K103-J103,"")</f>
        <v>-24.26823760625157</v>
      </c>
      <c r="O103" s="1">
        <v>29</v>
      </c>
      <c r="P103" s="1">
        <v>28</v>
      </c>
      <c r="Q103" s="1">
        <f>IF(2240165&gt;0,100*1016922/2240165,"")</f>
        <v>45.39495974626869</v>
      </c>
      <c r="R103" s="1">
        <f>IF(2396427&gt;0,100*527485/2396427,"")</f>
        <v>22.01131100592674</v>
      </c>
      <c r="S103" s="1">
        <f>IF(COUNT(Q103:R103)=2,R103-Q103,"")</f>
        <v>-23.38364874034195</v>
      </c>
    </row>
    <row r="104" spans="1:19">
      <c r="A104" s="1">
        <v>30</v>
      </c>
      <c r="B104" s="1">
        <v>29</v>
      </c>
      <c r="C104" s="1">
        <f>IF(2234870&gt;0,100*1080496/2234870,"")</f>
        <v>48.34715218334847</v>
      </c>
      <c r="D104" s="1">
        <f>IF(1903074&gt;0,100*377630/1903074,"")</f>
        <v>19.84315901536146</v>
      </c>
      <c r="E104" s="1">
        <f>IF(COUNT(C104:D104)=2,D104-C104,"")</f>
        <v>-28.50399316798701</v>
      </c>
      <c r="H104" s="1">
        <v>30</v>
      </c>
      <c r="I104" s="1">
        <v>29</v>
      </c>
      <c r="J104" s="1">
        <f>IF(1911633&gt;0,100*586958/1911633,"")</f>
        <v>30.704533767726335</v>
      </c>
      <c r="K104" s="1">
        <f>IF(1570179&gt;0,100*41043/1570179,"")</f>
        <v>2.6139058030963347</v>
      </c>
      <c r="L104" s="1">
        <f>IF(COUNT(J104:K104)=2,K104-J104,"")</f>
        <v>-28.090627964630002</v>
      </c>
      <c r="O104" s="1">
        <v>30</v>
      </c>
      <c r="P104" s="1">
        <v>29</v>
      </c>
      <c r="Q104" s="1">
        <f>IF(1054742&gt;0,100*14563/1054742,"")</f>
        <v>1.3807168008859039</v>
      </c>
      <c r="R104" s="1">
        <f>IF(971972&gt;0,100*6864/971972,"")</f>
        <v>0.706193182519661</v>
      </c>
      <c r="S104" s="1">
        <f>IF(COUNT(Q104:R104)=2,R104-Q104,"")</f>
        <v>-0.6745236183662429</v>
      </c>
    </row>
    <row r="105" spans="1:19">
      <c r="A105" s="1">
        <v>31</v>
      </c>
      <c r="B105" s="1">
        <v>30</v>
      </c>
      <c r="C105" s="1">
        <f>IF(1611966&gt;0,100*408242/1611966,"")</f>
        <v>25.32572026953422</v>
      </c>
      <c r="D105" s="1">
        <f>IF(1626785&gt;0,100*27008/1626785,"")</f>
        <v>1.6602070955903823</v>
      </c>
      <c r="E105" s="1">
        <f>IF(COUNT(C105:D105)=2,D105-C105,"")</f>
        <v>-23.665513173943836</v>
      </c>
      <c r="H105" s="1">
        <v>31</v>
      </c>
      <c r="I105" s="1">
        <v>30</v>
      </c>
      <c r="J105" s="1">
        <f>IF(1813572&gt;0,100*419503/1813572,"")</f>
        <v>23.131312128771288</v>
      </c>
      <c r="K105" s="1">
        <f>IF(2371916&gt;0,100*546293/2371916,"")</f>
        <v>23.0317178180003</v>
      </c>
      <c r="L105" s="1">
        <f>IF(COUNT(J105:K105)=2,K105-J105,"")</f>
        <v>-0.09959431077098913</v>
      </c>
      <c r="O105" s="1">
        <v>31</v>
      </c>
      <c r="P105" s="1">
        <v>30</v>
      </c>
      <c r="Q105" s="1">
        <f>IF(2344140&gt;0,100*1034103/2344140,"")</f>
        <v>44.11438736594231</v>
      </c>
      <c r="R105" s="1">
        <f>IF(1732287&gt;0,100*225406/1732287,"")</f>
        <v>13.01204707995846</v>
      </c>
      <c r="S105" s="1">
        <f>IF(COUNT(Q105:R105)=2,R105-Q105,"")</f>
        <v>-31.102340285983846</v>
      </c>
    </row>
    <row r="106" spans="1:19">
      <c r="A106" s="2" t="s">
        <v>6</v>
      </c>
      <c r="B106" s="1"/>
      <c r="C106" s="1">
        <f>IF(COUNT(C75:C105)&gt;0,AVERAGE(C75:C105),"")</f>
        <v>34.139885623640744</v>
      </c>
      <c r="D106" s="1">
        <f>IF(COUNT(D75:D105)&gt;0,AVERAGE(D75:D105),"")</f>
        <v>18.592107728982832</v>
      </c>
      <c r="E106" s="1">
        <f>IF(COUNT(E75:E105)&gt;0,AVERAGE(E75:E105),"")</f>
        <v>-15.547777894657907</v>
      </c>
      <c r="H106" s="2" t="s">
        <v>6</v>
      </c>
      <c r="I106" s="1"/>
      <c r="J106" s="1">
        <f>IF(COUNT(J75:J105)&gt;0,AVERAGE(J75:J105),"")</f>
        <v>36.56494216191195</v>
      </c>
      <c r="K106" s="1">
        <f>IF(COUNT(K75:K105)&gt;0,AVERAGE(K75:K105),"")</f>
        <v>14.246830688249554</v>
      </c>
      <c r="L106" s="1">
        <f>IF(COUNT(L75:L105)&gt;0,AVERAGE(L75:L105),"")</f>
        <v>-22.327982937175296</v>
      </c>
      <c r="O106" s="2" t="s">
        <v>6</v>
      </c>
      <c r="P106" s="1"/>
      <c r="Q106" s="1">
        <f>IF(COUNT(Q75:Q105)&gt;0,AVERAGE(Q75:Q105),"")</f>
        <v>34.28456187402019</v>
      </c>
      <c r="R106" s="1">
        <f>IF(COUNT(R75:R105)&gt;0,AVERAGE(R75:R105),"")</f>
        <v>14.949695072352458</v>
      </c>
      <c r="S106" s="1">
        <f>IF(COUNT(S75:S105)&gt;0,AVERAGE(S75:S105),"")</f>
        <v>-19.334866801667733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IF(1025565&gt;0,100*254231/1025565,"")</f>
        <v>24.789360011310837</v>
      </c>
      <c r="D3" s="1">
        <f>IF(862994&gt;0,100*86021/862994,"")</f>
        <v>9.967740216038582</v>
      </c>
      <c r="E3" s="1">
        <f>IF(COUNT(C3:D3)=2,D3-C3,"")</f>
        <v>-14.821619795272255</v>
      </c>
      <c r="H3" s="1">
        <v>1</v>
      </c>
      <c r="I3" s="1">
        <v>0</v>
      </c>
      <c r="J3" s="1">
        <f>IF(1360559&gt;0,100*350066/1360559,"")</f>
        <v>25.729571448206215</v>
      </c>
      <c r="K3" s="1">
        <f>IF(1339143&gt;0,100*170779/1339143,"")</f>
        <v>12.752857611173713</v>
      </c>
      <c r="L3" s="1">
        <f>IF(COUNT(J3:K3)=2,K3-J3,"")</f>
        <v>-12.976713837032502</v>
      </c>
      <c r="O3" s="1">
        <v>1</v>
      </c>
      <c r="P3" s="1">
        <v>0</v>
      </c>
      <c r="Q3" s="1">
        <f>IF(1611169&gt;0,100*528552/1611169,"")</f>
        <v>32.80549712662049</v>
      </c>
      <c r="R3" s="1">
        <f>IF(1248195&gt;0,100*222997/1248195,"")</f>
        <v>17.865557865557864</v>
      </c>
      <c r="S3" s="1">
        <f>IF(COUNT(Q3:R3)=2,R3-Q3,"")</f>
        <v>-14.939939261062623</v>
      </c>
    </row>
    <row r="4" spans="1:19">
      <c r="A4" s="1">
        <v>2</v>
      </c>
      <c r="B4" s="1">
        <v>1</v>
      </c>
      <c r="C4" s="1">
        <f>IF(1608611&gt;0,100*585743/1608611,"")</f>
        <v>36.41296746074719</v>
      </c>
      <c r="D4" s="1">
        <f>IF(1117074&gt;0,100*244815/1117074,"")</f>
        <v>21.915737005784756</v>
      </c>
      <c r="E4" s="1">
        <f>IF(COUNT(C4:D4)=2,D4-C4,"")</f>
        <v>-14.497230454962434</v>
      </c>
      <c r="H4" s="1">
        <v>2</v>
      </c>
      <c r="I4" s="1">
        <v>1</v>
      </c>
      <c r="J4" s="1">
        <f>IF(1080061&gt;0,100*195305/1080061,"")</f>
        <v>18.082774954377577</v>
      </c>
      <c r="K4" s="1">
        <f>IF(1155740&gt;0,100*181662/1155740,"")</f>
        <v>15.718241126897054</v>
      </c>
      <c r="L4" s="1">
        <f>IF(COUNT(J4:K4)=2,K4-J4,"")</f>
        <v>-2.364533827480523</v>
      </c>
      <c r="O4" s="1">
        <v>2</v>
      </c>
      <c r="P4" s="1">
        <v>1</v>
      </c>
      <c r="Q4" s="1">
        <f>IF(1467133&gt;0,100*488009/1467133,"")</f>
        <v>33.26276486180871</v>
      </c>
      <c r="R4" s="1">
        <f>IF(1518173&gt;0,100*279935/1518173,"")</f>
        <v>18.438939435756005</v>
      </c>
      <c r="S4" s="1">
        <f>IF(COUNT(Q4:R4)=2,R4-Q4,"")</f>
        <v>-14.823825426052707</v>
      </c>
    </row>
    <row r="5" spans="1:19">
      <c r="A5" s="1">
        <v>3</v>
      </c>
      <c r="B5" s="1">
        <v>2</v>
      </c>
      <c r="C5" s="1">
        <f>IF(1615726&gt;0,100*621491/1615726,"")</f>
        <v>38.46512341820333</v>
      </c>
      <c r="D5" s="1">
        <f>IF(907134&gt;0,100*110455/907134,"")</f>
        <v>12.176260618607614</v>
      </c>
      <c r="E5" s="1">
        <f>IF(COUNT(C5:D5)=2,D5-C5,"")</f>
        <v>-26.28886279959572</v>
      </c>
      <c r="H5" s="1">
        <v>3</v>
      </c>
      <c r="I5" s="1">
        <v>2</v>
      </c>
      <c r="J5" s="1">
        <f>IF(1770666&gt;0,100*210556/1770666,"")</f>
        <v>11.891344838608749</v>
      </c>
      <c r="K5" s="1">
        <f>IF(1195566&gt;0,100*128109/1195566,"")</f>
        <v>10.7153431930985</v>
      </c>
      <c r="L5" s="1">
        <f>IF(COUNT(J5:K5)=2,K5-J5,"")</f>
        <v>-1.176001645510249</v>
      </c>
      <c r="O5" s="1">
        <v>3</v>
      </c>
      <c r="P5" s="1">
        <v>2</v>
      </c>
      <c r="Q5" s="1">
        <f>IF(1770413&gt;0,100*588287/1770413,"")</f>
        <v>33.228800285583084</v>
      </c>
      <c r="R5" s="1">
        <f>IF(1128793&gt;0,100*141534/1128793,"")</f>
        <v>12.538525664138598</v>
      </c>
      <c r="S5" s="1">
        <f>IF(COUNT(Q5:R5)=2,R5-Q5,"")</f>
        <v>-20.690274621444487</v>
      </c>
    </row>
    <row r="6" spans="1:19">
      <c r="A6" s="1">
        <v>4</v>
      </c>
      <c r="B6" s="1">
        <v>3</v>
      </c>
      <c r="C6" s="1">
        <f>IF(1681360&gt;0,100*632235/1681360,"")</f>
        <v>37.60259551791407</v>
      </c>
      <c r="D6" s="1">
        <f>IF(1275899&gt;0,100*184375/1275899,"")</f>
        <v>14.450595227365175</v>
      </c>
      <c r="E6" s="1">
        <f>IF(COUNT(C6:D6)=2,D6-C6,"")</f>
        <v>-23.15200029054889</v>
      </c>
      <c r="H6" s="1">
        <v>4</v>
      </c>
      <c r="I6" s="1">
        <v>3</v>
      </c>
      <c r="J6" s="1">
        <f>IF(1249184&gt;0,100*192969/1249184,"")</f>
        <v>15.447604196019162</v>
      </c>
      <c r="K6" s="1">
        <f>IF(959950&gt;0,100*63975/959950,"")</f>
        <v>6.6644096046669095</v>
      </c>
      <c r="L6" s="1">
        <f>IF(COUNT(J6:K6)=2,K6-J6,"")</f>
        <v>-8.783194591352252</v>
      </c>
      <c r="O6" s="1">
        <v>4</v>
      </c>
      <c r="P6" s="1">
        <v>3</v>
      </c>
      <c r="Q6" s="1">
        <f>IF(851878&gt;0,100*27960/851878,"")</f>
        <v>3.2821601215197482</v>
      </c>
      <c r="R6" s="1">
        <f>IF(914039&gt;0,100*71912/914039,"")</f>
        <v>7.867497995162132</v>
      </c>
      <c r="S6" s="1">
        <f>IF(COUNT(Q6:R6)=2,R6-Q6,"")</f>
        <v>4.585337873642384</v>
      </c>
    </row>
    <row r="7" spans="1:19">
      <c r="A7" s="1">
        <v>5</v>
      </c>
      <c r="B7" s="1">
        <v>4</v>
      </c>
      <c r="C7" s="1">
        <f>IF(1534810&gt;0,100*544323/1534810,"")</f>
        <v>35.46517158475642</v>
      </c>
      <c r="D7" s="1">
        <f>IF(830530&gt;0,100*20331/830530,"")</f>
        <v>2.4479549203520645</v>
      </c>
      <c r="E7" s="1">
        <f>IF(COUNT(C7:D7)=2,D7-C7,"")</f>
        <v>-33.01721666440435</v>
      </c>
      <c r="H7" s="1">
        <v>5</v>
      </c>
      <c r="I7" s="1">
        <v>4</v>
      </c>
      <c r="J7" s="1">
        <f>IF(1559950&gt;0,100*448934/1559950,"")</f>
        <v>28.77874290842655</v>
      </c>
      <c r="K7" s="1">
        <f>IF(1434581&gt;0,100*219240/1434581,"")</f>
        <v>15.282511060720866</v>
      </c>
      <c r="L7" s="1">
        <f>IF(COUNT(J7:K7)=2,K7-J7,"")</f>
        <v>-13.496231847705685</v>
      </c>
      <c r="O7" s="1">
        <v>5</v>
      </c>
      <c r="P7" s="1">
        <v>4</v>
      </c>
      <c r="Q7" s="1">
        <f>IF(1545033&gt;0,100*593590/1545033,"")</f>
        <v>38.419244119704885</v>
      </c>
      <c r="R7" s="1">
        <f>IF(1425886&gt;0,100*232732/1425886,"")</f>
        <v>16.321921948879503</v>
      </c>
      <c r="S7" s="1">
        <f>IF(COUNT(Q7:R7)=2,R7-Q7,"")</f>
        <v>-22.097322170825382</v>
      </c>
    </row>
    <row r="8" spans="1:19">
      <c r="A8" s="1">
        <v>6</v>
      </c>
      <c r="B8" s="1">
        <v>5</v>
      </c>
      <c r="C8" s="1">
        <f>IF(1481795&gt;0,100*384291/1481795,"")</f>
        <v>25.93415418462068</v>
      </c>
      <c r="D8" s="1">
        <f>IF(1195670&gt;0,100*165820/1195670,"")</f>
        <v>13.868375053317386</v>
      </c>
      <c r="E8" s="1">
        <f>IF(COUNT(C8:D8)=2,D8-C8,"")</f>
        <v>-12.065779131303294</v>
      </c>
      <c r="H8" s="1">
        <v>6</v>
      </c>
      <c r="I8" s="1">
        <v>5</v>
      </c>
      <c r="J8" s="1">
        <f>IF(1363284&gt;0,100*338111/1363284,"")</f>
        <v>24.801215300700367</v>
      </c>
      <c r="K8" s="1">
        <f>IF(908259&gt;0,100*110213/908259,"")</f>
        <v>12.134534312349231</v>
      </c>
      <c r="L8" s="1">
        <f>IF(COUNT(J8:K8)=2,K8-J8,"")</f>
        <v>-12.666680988351136</v>
      </c>
      <c r="O8" s="1">
        <v>6</v>
      </c>
      <c r="P8" s="1">
        <v>5</v>
      </c>
      <c r="Q8" s="1">
        <f>IF(1496153&gt;0,100*372992/1496153,"")</f>
        <v>24.930070654538675</v>
      </c>
      <c r="R8" s="1">
        <f>IF(1160692&gt;0,100*117782/1160692,"")</f>
        <v>10.147567140981414</v>
      </c>
      <c r="S8" s="1">
        <f>IF(COUNT(Q8:R8)=2,R8-Q8,"")</f>
        <v>-14.78250351355726</v>
      </c>
    </row>
    <row r="9" spans="1:19">
      <c r="A9" s="1">
        <v>7</v>
      </c>
      <c r="B9" s="1">
        <v>6</v>
      </c>
      <c r="C9" s="1">
        <f>IF(1693230&gt;0,100*659152/1693230,"")</f>
        <v>38.92867478133508</v>
      </c>
      <c r="D9" s="1">
        <f>IF(1214067&gt;0,100*192591/1214067,"")</f>
        <v>15.863292553046907</v>
      </c>
      <c r="E9" s="1">
        <f>IF(COUNT(C9:D9)=2,D9-C9,"")</f>
        <v>-23.065382228288176</v>
      </c>
      <c r="H9" s="1">
        <v>7</v>
      </c>
      <c r="I9" s="1">
        <v>6</v>
      </c>
      <c r="J9" s="1">
        <f>IF(681918&gt;0,100*6217/681918,"")</f>
        <v>0.9116931947829504</v>
      </c>
      <c r="K9" s="1">
        <f>IF(619882&gt;0,100*5835/619882,"")</f>
        <v>0.9413081844609136</v>
      </c>
      <c r="L9" s="1">
        <f>IF(COUNT(J9:K9)=2,K9-J9,"")</f>
        <v>0.029614989677963166</v>
      </c>
      <c r="O9" s="1">
        <v>7</v>
      </c>
      <c r="P9" s="1">
        <v>6</v>
      </c>
      <c r="Q9" s="1">
        <f>IF(1286739&gt;0,100*333741/1286739,"")</f>
        <v>25.93696157495809</v>
      </c>
      <c r="R9" s="1">
        <f>IF(830669&gt;0,100*18147/830669,"")</f>
        <v>2.184624682033397</v>
      </c>
      <c r="S9" s="1">
        <f>IF(COUNT(Q9:R9)=2,R9-Q9,"")</f>
        <v>-23.752336892924692</v>
      </c>
    </row>
    <row r="10" spans="1:19">
      <c r="A10" s="1">
        <v>8</v>
      </c>
      <c r="B10" s="1">
        <v>7</v>
      </c>
      <c r="C10" s="1">
        <f>IF(1832737&gt;0,100*772049/1832737,"")</f>
        <v>42.12546590154506</v>
      </c>
      <c r="D10" s="1">
        <f>IF(1193281&gt;0,100*224972/1193281,"")</f>
        <v>18.853229038256707</v>
      </c>
      <c r="E10" s="1">
        <f>IF(COUNT(C10:D10)=2,D10-C10,"")</f>
        <v>-23.272236863288356</v>
      </c>
      <c r="H10" s="1">
        <v>8</v>
      </c>
      <c r="I10" s="1">
        <v>7</v>
      </c>
      <c r="J10" s="1">
        <f>IF(655547&gt;0,100*1454/655547,"")</f>
        <v>0.2217995048409954</v>
      </c>
      <c r="K10" s="1">
        <f>IF(1148796&gt;0,100*22407/1148796,"")</f>
        <v>1.9504768470642306</v>
      </c>
      <c r="L10" s="1">
        <f>IF(COUNT(J10:K10)=2,K10-J10,"")</f>
        <v>1.7286773422232353</v>
      </c>
      <c r="O10" s="1">
        <v>8</v>
      </c>
      <c r="P10" s="1">
        <v>7</v>
      </c>
      <c r="Q10" s="1">
        <f>IF(589319&gt;0,100*4560/589319,"")</f>
        <v>0.773774475284184</v>
      </c>
      <c r="R10" s="1">
        <f>IF(603365&gt;0,100*4950/603365,"")</f>
        <v>0.8203989293379629</v>
      </c>
      <c r="S10" s="1">
        <f>IF(COUNT(Q10:R10)=2,R10-Q10,"")</f>
        <v>0.04662445405377891</v>
      </c>
    </row>
    <row r="11" spans="1:19">
      <c r="A11" s="1">
        <v>9</v>
      </c>
      <c r="B11" s="1">
        <v>8</v>
      </c>
      <c r="C11" s="1">
        <f>IF(1595971&gt;0,100*597472/1595971,"")</f>
        <v>37.43626920539283</v>
      </c>
      <c r="D11" s="1">
        <f>IF(1352841&gt;0,100*332340/1352841,"")</f>
        <v>24.566079827562884</v>
      </c>
      <c r="E11" s="1">
        <f>IF(COUNT(C11:D11)=2,D11-C11,"")</f>
        <v>-12.870189377829949</v>
      </c>
      <c r="H11" s="1">
        <v>9</v>
      </c>
      <c r="I11" s="1">
        <v>8</v>
      </c>
      <c r="J11" s="1">
        <f>IF(1710121&gt;0,100*526664/1710121,"")</f>
        <v>30.79688513268944</v>
      </c>
      <c r="K11" s="1">
        <f>IF(1839001&gt;0,100*459509/1839001,"")</f>
        <v>24.986881464447272</v>
      </c>
      <c r="L11" s="1">
        <f>IF(COUNT(J11:K11)=2,K11-J11,"")</f>
        <v>-5.810003668242167</v>
      </c>
      <c r="O11" s="1">
        <v>9</v>
      </c>
      <c r="P11" s="1">
        <v>8</v>
      </c>
      <c r="Q11" s="1">
        <f>IF(1425170&gt;0,100*455531/1425170,"")</f>
        <v>31.96327455671955</v>
      </c>
      <c r="R11" s="1">
        <f>IF(1591982&gt;0,100*322344/1591982,"")</f>
        <v>20.247967627774685</v>
      </c>
      <c r="S11" s="1">
        <f>IF(COUNT(Q11:R11)=2,R11-Q11,"")</f>
        <v>-11.715306928944866</v>
      </c>
    </row>
    <row r="12" spans="1:19">
      <c r="A12" s="1">
        <v>10</v>
      </c>
      <c r="B12" s="1">
        <v>9</v>
      </c>
      <c r="C12" s="1">
        <f>IF(1793318&gt;0,100*560859/1793318,"")</f>
        <v>31.27493283399821</v>
      </c>
      <c r="D12" s="1">
        <f>IF(1047916&gt;0,100*28358/1047916,"")</f>
        <v>2.706132934319163</v>
      </c>
      <c r="E12" s="1">
        <f>IF(COUNT(C12:D12)=2,D12-C12,"")</f>
        <v>-28.568799899679046</v>
      </c>
      <c r="H12" s="1">
        <v>10</v>
      </c>
      <c r="I12" s="1">
        <v>9</v>
      </c>
      <c r="J12" s="1">
        <f>IF(1173418&gt;0,100*250711/1173418,"")</f>
        <v>21.365873030752894</v>
      </c>
      <c r="K12" s="1">
        <f>IF(837245&gt;0,100*68326/837245,"")</f>
        <v>8.160813143106258</v>
      </c>
      <c r="L12" s="1">
        <f>IF(COUNT(J12:K12)=2,K12-J12,"")</f>
        <v>-13.205059887646636</v>
      </c>
      <c r="O12" s="1">
        <v>10</v>
      </c>
      <c r="P12" s="1">
        <v>9</v>
      </c>
      <c r="Q12" s="1">
        <f>IF(1151234&gt;0,100*222783/1151234,"")</f>
        <v>19.351669599751222</v>
      </c>
      <c r="R12" s="1">
        <f>IF(953761&gt;0,100*67423/953761,"")</f>
        <v>7.069171417157968</v>
      </c>
      <c r="S12" s="1">
        <f>IF(COUNT(Q12:R12)=2,R12-Q12,"")</f>
        <v>-12.282498182593255</v>
      </c>
    </row>
    <row r="13" spans="1:19">
      <c r="A13" s="1">
        <v>11</v>
      </c>
      <c r="B13" s="1">
        <v>10</v>
      </c>
      <c r="C13" s="1">
        <f>IF(1514166&gt;0,100*450931/1514166,"")</f>
        <v>29.78081663437166</v>
      </c>
      <c r="D13" s="1">
        <f>IF(1104492&gt;0,100*126110/1104492,"")</f>
        <v>11.417918826030428</v>
      </c>
      <c r="E13" s="1">
        <f>IF(COUNT(C13:D13)=2,D13-C13,"")</f>
        <v>-18.36289780834123</v>
      </c>
      <c r="H13" s="1">
        <v>11</v>
      </c>
      <c r="I13" s="1">
        <v>10</v>
      </c>
      <c r="J13" s="1">
        <f>IF(1146506&gt;0,100*57993/1146506,"")</f>
        <v>5.058237811228201</v>
      </c>
      <c r="K13" s="1">
        <f>IF(1343226&gt;0,100*113993/1343226,"")</f>
        <v>8.486509343922766</v>
      </c>
      <c r="L13" s="1">
        <f>IF(COUNT(J13:K13)=2,K13-J13,"")</f>
        <v>3.4282715326945645</v>
      </c>
      <c r="O13" s="1">
        <v>11</v>
      </c>
      <c r="P13" s="1">
        <v>10</v>
      </c>
      <c r="Q13" s="1">
        <f>IF(1057778&gt;0,100*7899/1057778,"")</f>
        <v>0.7467540447995704</v>
      </c>
      <c r="R13" s="1">
        <f>IF(1473730&gt;0,100*182338/1473730,"")</f>
        <v>12.372551281442327</v>
      </c>
      <c r="S13" s="1">
        <f>IF(COUNT(Q13:R13)=2,R13-Q13,"")</f>
        <v>11.625797236642757</v>
      </c>
    </row>
    <row r="14" spans="1:19">
      <c r="A14" s="1">
        <v>12</v>
      </c>
      <c r="B14" s="1">
        <v>11</v>
      </c>
      <c r="C14" s="1">
        <f>IF(1480420&gt;0,100*530595/1480420,"")</f>
        <v>35.84084246362519</v>
      </c>
      <c r="D14" s="1">
        <f>IF(1398314&gt;0,100*303898/1398314,"")</f>
        <v>21.733172949709434</v>
      </c>
      <c r="E14" s="1">
        <f>IF(COUNT(C14:D14)=2,D14-C14,"")</f>
        <v>-14.107669513915752</v>
      </c>
      <c r="H14" s="1">
        <v>12</v>
      </c>
      <c r="I14" s="1">
        <v>11</v>
      </c>
      <c r="J14" s="1">
        <f>IF(979595&gt;0,100*35929/979595,"")</f>
        <v>3.6677402395888095</v>
      </c>
      <c r="K14" s="1">
        <f>IF(1110338&gt;0,100*18466/1110338,"")</f>
        <v>1.6630971830199452</v>
      </c>
      <c r="L14" s="1">
        <f>IF(COUNT(J14:K14)=2,K14-J14,"")</f>
        <v>-2.004643056568864</v>
      </c>
      <c r="O14" s="1">
        <v>12</v>
      </c>
      <c r="P14" s="1">
        <v>11</v>
      </c>
      <c r="Q14" s="1">
        <f>IF(1932101&gt;0,100*714622/1932101,"")</f>
        <v>36.98678278205953</v>
      </c>
      <c r="R14" s="1">
        <f>IF(1164621&gt;0,100*102638/1164621,"")</f>
        <v>8.812995815806172</v>
      </c>
      <c r="S14" s="1">
        <f>IF(COUNT(Q14:R14)=2,R14-Q14,"")</f>
        <v>-28.173786966253356</v>
      </c>
    </row>
    <row r="15" spans="1:19">
      <c r="A15" s="1">
        <v>13</v>
      </c>
      <c r="B15" s="1">
        <v>12</v>
      </c>
      <c r="C15" s="1">
        <f>IF(1625411&gt;0,100*523021/1625411,"")</f>
        <v>32.177769191915154</v>
      </c>
      <c r="D15" s="1">
        <f>IF(1055490&gt;0,100*61604/1055490,"")</f>
        <v>5.836530900340127</v>
      </c>
      <c r="E15" s="1">
        <f>IF(COUNT(C15:D15)=2,D15-C15,"")</f>
        <v>-26.341238291575028</v>
      </c>
      <c r="H15" s="1">
        <v>13</v>
      </c>
      <c r="I15" s="1">
        <v>12</v>
      </c>
      <c r="J15" s="1">
        <f>IF(1997433&gt;0,100*770522/1997433,"")</f>
        <v>38.575611797742404</v>
      </c>
      <c r="K15" s="1">
        <f>IF(1303820&gt;0,100*176513/1303820,"")</f>
        <v>13.538141768035466</v>
      </c>
      <c r="L15" s="1">
        <f>IF(COUNT(J15:K15)=2,K15-J15,"")</f>
        <v>-25.037470029706938</v>
      </c>
      <c r="O15" s="1">
        <v>13</v>
      </c>
      <c r="P15" s="1">
        <v>12</v>
      </c>
      <c r="Q15" s="1">
        <f>IF(931018&gt;0,100*79093/931018,"")</f>
        <v>8.495324472781407</v>
      </c>
      <c r="R15" s="1">
        <f>IF(911797&gt;0,100*73607/911797,"")</f>
        <v>8.072739875213452</v>
      </c>
      <c r="S15" s="1">
        <f>IF(COUNT(Q15:R15)=2,R15-Q15,"")</f>
        <v>-0.42258459756795475</v>
      </c>
    </row>
    <row r="16" spans="1:19">
      <c r="A16" s="1">
        <v>14</v>
      </c>
      <c r="B16" s="1">
        <v>13</v>
      </c>
      <c r="C16" s="1">
        <f>IF(929730&gt;0,100*189375/929730,"")</f>
        <v>20.368816753250943</v>
      </c>
      <c r="D16" s="1">
        <f>IF(904060&gt;0,100*3017/904060,"")</f>
        <v>0.333716788708714</v>
      </c>
      <c r="E16" s="1">
        <f>IF(COUNT(C16:D16)=2,D16-C16,"")</f>
        <v>-20.03509996454223</v>
      </c>
      <c r="H16" s="1">
        <v>14</v>
      </c>
      <c r="I16" s="1">
        <v>13</v>
      </c>
      <c r="J16" s="1">
        <f>IF(1084239&gt;0,100*226536/1084239,"")</f>
        <v>20.893548378171232</v>
      </c>
      <c r="K16" s="1">
        <f>IF(219040&gt;0,100*754/219040,"")</f>
        <v>0.34422936449963476</v>
      </c>
      <c r="L16" s="1">
        <f>IF(COUNT(J16:K16)=2,K16-J16,"")</f>
        <v>-20.549319013671596</v>
      </c>
      <c r="O16" s="1">
        <v>14</v>
      </c>
      <c r="P16" s="1">
        <v>13</v>
      </c>
      <c r="Q16" s="1">
        <f>IF(670550&gt;0,100*11588/670550,"")</f>
        <v>1.7281336216538663</v>
      </c>
      <c r="R16" s="1">
        <f>IF(683129&gt;0,100*49564/683129,"")</f>
        <v>7.255437845560648</v>
      </c>
      <c r="S16" s="1">
        <f>IF(COUNT(Q16:R16)=2,R16-Q16,"")</f>
        <v>5.527304223906782</v>
      </c>
    </row>
    <row r="17" spans="1:19">
      <c r="A17" s="1">
        <v>15</v>
      </c>
      <c r="B17" s="1">
        <v>14</v>
      </c>
      <c r="C17" s="1">
        <f>IF(1540895&gt;0,100*542667/1540895,"")</f>
        <v>35.217649482930376</v>
      </c>
      <c r="D17" s="1">
        <f>IF(1490435&gt;0,100*326028/1490435,"")</f>
        <v>21.874687591206595</v>
      </c>
      <c r="E17" s="1">
        <f>IF(COUNT(C17:D17)=2,D17-C17,"")</f>
        <v>-13.342961891723782</v>
      </c>
      <c r="H17" s="1">
        <v>15</v>
      </c>
      <c r="I17" s="1">
        <v>14</v>
      </c>
      <c r="J17" s="1">
        <f>IF(1976548&gt;0,100*795333/1976548,"")</f>
        <v>40.238486492612374</v>
      </c>
      <c r="K17" s="1">
        <f>IF(1170509&gt;0,100*134631/1170509,"")</f>
        <v>11.501919250514092</v>
      </c>
      <c r="L17" s="1">
        <f>IF(COUNT(J17:K17)=2,K17-J17,"")</f>
        <v>-28.736567242098282</v>
      </c>
      <c r="O17" s="1">
        <v>15</v>
      </c>
      <c r="P17" s="1">
        <v>14</v>
      </c>
      <c r="Q17" s="1">
        <f>IF(1789842&gt;0,100*586809/1789842,"")</f>
        <v>32.78551961569792</v>
      </c>
      <c r="R17" s="1">
        <f>IF(1329719&gt;0,100*243366/1329719,"")</f>
        <v>18.30206231542153</v>
      </c>
      <c r="S17" s="1">
        <f>IF(COUNT(Q17:R17)=2,R17-Q17,"")</f>
        <v>-14.483457300276392</v>
      </c>
    </row>
    <row r="18" spans="1:19">
      <c r="A18" s="1">
        <v>16</v>
      </c>
      <c r="B18" s="1">
        <v>15</v>
      </c>
      <c r="C18" s="1">
        <f>IF(1507412&gt;0,100*534395/1507412,"")</f>
        <v>35.45115734782528</v>
      </c>
      <c r="D18" s="1">
        <f>IF(1528166&gt;0,100*358015/1528166,"")</f>
        <v>23.427755885159073</v>
      </c>
      <c r="E18" s="1">
        <f>IF(COUNT(C18:D18)=2,D18-C18,"")</f>
        <v>-12.023401462666207</v>
      </c>
      <c r="H18" s="1">
        <v>16</v>
      </c>
      <c r="I18" s="1">
        <v>15</v>
      </c>
      <c r="J18" s="1">
        <f>IF(1507965&gt;0,100*427666/1507965,"")</f>
        <v>28.36047255738694</v>
      </c>
      <c r="K18" s="1">
        <f>IF(1164104&gt;0,100*69151/1164104,"")</f>
        <v>5.940276813755472</v>
      </c>
      <c r="L18" s="1">
        <f>IF(COUNT(J18:K18)=2,K18-J18,"")</f>
        <v>-22.42019574363147</v>
      </c>
      <c r="O18" s="1">
        <v>16</v>
      </c>
      <c r="P18" s="1">
        <v>15</v>
      </c>
      <c r="Q18" s="1">
        <f>IF(1644242&gt;0,100*542962/1644242,"")</f>
        <v>33.02202473845091</v>
      </c>
      <c r="R18" s="1">
        <f>IF(1076397&gt;0,100*152333/1076397,"")</f>
        <v>14.152120453698775</v>
      </c>
      <c r="S18" s="1">
        <f>IF(COUNT(Q18:R18)=2,R18-Q18,"")</f>
        <v>-18.869904284752135</v>
      </c>
    </row>
    <row r="19" spans="1:19">
      <c r="A19" s="1">
        <v>17</v>
      </c>
      <c r="B19" s="1">
        <v>16</v>
      </c>
      <c r="C19" s="1">
        <f>IF(642367&gt;0,100*51947/642367,"")</f>
        <v>8.08681018794552</v>
      </c>
      <c r="D19" s="1">
        <f>IF(626748&gt;0,100*29295/626748,"")</f>
        <v>4.67412740048632</v>
      </c>
      <c r="E19" s="1">
        <f>IF(COUNT(C19:D19)=2,D19-C19,"")</f>
        <v>-3.4126827874592003</v>
      </c>
      <c r="H19" s="1">
        <v>17</v>
      </c>
      <c r="I19" s="1">
        <v>16</v>
      </c>
      <c r="J19" s="1">
        <f>IF(1858121&gt;0,100*695653/1858121,"")</f>
        <v>37.4385198811057</v>
      </c>
      <c r="K19" s="1">
        <f>IF(1466207&gt;0,100*275708/1466207,"")</f>
        <v>18.80416612388292</v>
      </c>
      <c r="L19" s="1">
        <f>IF(COUNT(J19:K19)=2,K19-J19,"")</f>
        <v>-18.63435375722278</v>
      </c>
      <c r="O19" s="1">
        <v>17</v>
      </c>
      <c r="P19" s="1">
        <v>16</v>
      </c>
      <c r="Q19" s="1">
        <f>IF(1134999&gt;0,100*244255/1134999,"")</f>
        <v>21.520283277782625</v>
      </c>
      <c r="R19" s="1">
        <f>IF(1134871&gt;0,100*169157/1134871,"")</f>
        <v>14.905394533828074</v>
      </c>
      <c r="S19" s="1">
        <f>IF(COUNT(Q19:R19)=2,R19-Q19,"")</f>
        <v>-6.61488874395455</v>
      </c>
    </row>
    <row r="20" spans="1:19">
      <c r="A20" s="1">
        <v>18</v>
      </c>
      <c r="B20" s="1">
        <v>17</v>
      </c>
      <c r="C20" s="1">
        <f>IF(594640&gt;0,100*3581/594640,"")</f>
        <v>0.6022131037266245</v>
      </c>
      <c r="D20" s="1">
        <f>IF(610980&gt;0,100*8893/610980,"")</f>
        <v>1.455530459262169</v>
      </c>
      <c r="E20" s="1">
        <f>IF(COUNT(C20:D20)=2,D20-C20,"")</f>
        <v>0.8533173555355444</v>
      </c>
      <c r="H20" s="1">
        <v>18</v>
      </c>
      <c r="I20" s="1">
        <v>17</v>
      </c>
      <c r="J20" s="1">
        <f>IF(1593567&gt;0,100*381148/1593567,"")</f>
        <v>23.917914966863645</v>
      </c>
      <c r="K20" s="1">
        <f>IF(960581&gt;0,100*51144/960581,"")</f>
        <v>5.324277702765306</v>
      </c>
      <c r="L20" s="1">
        <f>IF(COUNT(J20:K20)=2,K20-J20,"")</f>
        <v>-18.59363726409834</v>
      </c>
      <c r="O20" s="1">
        <v>18</v>
      </c>
      <c r="P20" s="1">
        <v>17</v>
      </c>
      <c r="Q20" s="1">
        <f>IF(1362366&gt;0,100*418939/1362366,"")</f>
        <v>30.750840816638114</v>
      </c>
      <c r="R20" s="1">
        <f>IF(911391&gt;0,100*53688/911391,"")</f>
        <v>5.890775748279278</v>
      </c>
      <c r="S20" s="1">
        <f>IF(COUNT(Q20:R20)=2,R20-Q20,"")</f>
        <v>-24.860065068358836</v>
      </c>
    </row>
    <row r="21" spans="1:19">
      <c r="A21" s="1">
        <v>19</v>
      </c>
      <c r="B21" s="1">
        <v>18</v>
      </c>
      <c r="C21" s="1">
        <f>IF(1610751&gt;0,100*584870/1610751,"")</f>
        <v>36.31039186069107</v>
      </c>
      <c r="D21" s="1">
        <f>IF(1179320&gt;0,100*218670/1179320,"")</f>
        <v>18.54204117627107</v>
      </c>
      <c r="E21" s="1">
        <f>IF(COUNT(C21:D21)=2,D21-C21,"")</f>
        <v>-17.76835068442</v>
      </c>
      <c r="H21" s="1">
        <v>19</v>
      </c>
      <c r="I21" s="1">
        <v>18</v>
      </c>
      <c r="J21" s="1">
        <f>IF(959902&gt;0,100*142934/959902,"")</f>
        <v>14.89047840300364</v>
      </c>
      <c r="K21" s="1">
        <f>IF(1094090&gt;0,100*119275/1094090,"")</f>
        <v>10.901753969051907</v>
      </c>
      <c r="L21" s="1">
        <f>IF(COUNT(J21:K21)=2,K21-J21,"")</f>
        <v>-3.9887244339517327</v>
      </c>
      <c r="O21" s="1">
        <v>19</v>
      </c>
      <c r="P21" s="1">
        <v>18</v>
      </c>
      <c r="Q21" s="1">
        <f>IF(1024717&gt;0,100*193814/1024717,"")</f>
        <v>18.91390500987102</v>
      </c>
      <c r="R21" s="1">
        <f>IF(942965&gt;0,100*88591/942965,"")</f>
        <v>9.394940427269304</v>
      </c>
      <c r="S21" s="1">
        <f>IF(COUNT(Q21:R21)=2,R21-Q21,"")</f>
        <v>-9.518964582601715</v>
      </c>
    </row>
    <row r="22" spans="1:19">
      <c r="A22" s="1">
        <v>20</v>
      </c>
      <c r="B22" s="1">
        <v>19</v>
      </c>
      <c r="C22" s="1">
        <f>IF(1151574&gt;0,100*385861/1151574,"")</f>
        <v>33.50726918113816</v>
      </c>
      <c r="D22" s="1">
        <f>IF(1397971&gt;0,100*297180/1397971,"")</f>
        <v>21.25795170286079</v>
      </c>
      <c r="E22" s="1">
        <f>IF(COUNT(C22:D22)=2,D22-C22,"")</f>
        <v>-12.249317478277373</v>
      </c>
      <c r="H22" s="1">
        <v>20</v>
      </c>
      <c r="I22" s="1">
        <v>19</v>
      </c>
      <c r="J22" s="1">
        <f>IF(795490&gt;0,100*93263/795490,"")</f>
        <v>11.723968874530163</v>
      </c>
      <c r="K22" s="1">
        <f>IF(871780&gt;0,100*102673/871780,"")</f>
        <v>11.777397967377091</v>
      </c>
      <c r="L22" s="1">
        <f>IF(COUNT(J22:K22)=2,K22-J22,"")</f>
        <v>0.05342909284692787</v>
      </c>
      <c r="O22" s="1">
        <v>20</v>
      </c>
      <c r="P22" s="1">
        <v>19</v>
      </c>
      <c r="Q22" s="1">
        <f>IF(1318480&gt;0,100*350952/1318480,"")</f>
        <v>26.617923669680238</v>
      </c>
      <c r="R22" s="1">
        <f>IF(836191&gt;0,100*28540/836191,"")</f>
        <v>3.413095811842031</v>
      </c>
      <c r="S22" s="1">
        <f>IF(COUNT(Q22:R22)=2,R22-Q22,"")</f>
        <v>-23.204827857838207</v>
      </c>
    </row>
    <row r="23" spans="1:19">
      <c r="A23" s="1">
        <v>21</v>
      </c>
      <c r="B23" s="1">
        <v>20</v>
      </c>
      <c r="C23" s="1">
        <f>IF(1068079&gt;0,100*233010/1068079,"")</f>
        <v>21.815802014644984</v>
      </c>
      <c r="D23" s="1">
        <f>IF(967589&gt;0,100*84261/967589,"")</f>
        <v>8.708346208979226</v>
      </c>
      <c r="E23" s="1">
        <f>IF(COUNT(C23:D23)=2,D23-C23,"")</f>
        <v>-13.107455805665758</v>
      </c>
      <c r="H23" s="1">
        <v>21</v>
      </c>
      <c r="I23" s="1">
        <v>20</v>
      </c>
      <c r="J23" s="1">
        <f>IF(2064525&gt;0,100*814911/2064525,"")</f>
        <v>39.47208195589785</v>
      </c>
      <c r="K23" s="1">
        <f>IF(968402&gt;0,100*102010/968402,"")</f>
        <v>10.53384854636814</v>
      </c>
      <c r="L23" s="1">
        <f>IF(COUNT(J23:K23)=2,K23-J23,"")</f>
        <v>-28.93823340952971</v>
      </c>
      <c r="O23" s="1">
        <v>21</v>
      </c>
      <c r="P23" s="1">
        <v>20</v>
      </c>
      <c r="Q23" s="1">
        <f>IF(988289&gt;0,100*243580/988289,"")</f>
        <v>24.646636763133053</v>
      </c>
      <c r="R23" s="1">
        <f>IF(1691075&gt;0,100*340715/1691075,"")</f>
        <v>20.147834957053945</v>
      </c>
      <c r="S23" s="1">
        <f>IF(COUNT(Q23:R23)=2,R23-Q23,"")</f>
        <v>-4.498801806079108</v>
      </c>
    </row>
    <row r="24" spans="1:19">
      <c r="A24" s="1">
        <v>22</v>
      </c>
      <c r="B24" s="1">
        <v>21</v>
      </c>
      <c r="C24" s="1">
        <f>IF(1338290&gt;0,100*468761/1338290,"")</f>
        <v>35.0268626381427</v>
      </c>
      <c r="D24" s="1">
        <f>IF(1061799&gt;0,100*240481/1061799,"")</f>
        <v>22.64844852933559</v>
      </c>
      <c r="E24" s="1">
        <f>IF(COUNT(C24:D24)=2,D24-C24,"")</f>
        <v>-12.378414108807114</v>
      </c>
      <c r="H24" s="1">
        <v>22</v>
      </c>
      <c r="I24" s="1">
        <v>21</v>
      </c>
      <c r="J24" s="1">
        <f>IF(1478082&gt;0,100*446963/1478082,"")</f>
        <v>30.23939131929081</v>
      </c>
      <c r="K24" s="1">
        <f>IF(1240901&gt;0,100*204251/1240901,"")</f>
        <v>16.459894866713782</v>
      </c>
      <c r="L24" s="1">
        <f>IF(COUNT(J24:K24)=2,K24-J24,"")</f>
        <v>-13.779496452577028</v>
      </c>
      <c r="O24" s="1">
        <v>22</v>
      </c>
      <c r="P24" s="1">
        <v>21</v>
      </c>
      <c r="Q24" s="1">
        <f>IF(1372655&gt;0,100*332190/1372655,"")</f>
        <v>24.20054565786742</v>
      </c>
      <c r="R24" s="1">
        <f>IF(939782&gt;0,100*185344/939782,"")</f>
        <v>19.722020638829004</v>
      </c>
      <c r="S24" s="1">
        <f>IF(COUNT(Q24:R24)=2,R24-Q24,"")</f>
        <v>-4.478525019038415</v>
      </c>
    </row>
    <row r="25" spans="1:19">
      <c r="A25" s="1">
        <v>23</v>
      </c>
      <c r="B25" s="1">
        <v>22</v>
      </c>
      <c r="C25" s="1">
        <f>IF(509320&gt;0,100*1248/509320,"")</f>
        <v>0.24503259247624284</v>
      </c>
      <c r="D25" s="1">
        <f>IF(519169&gt;0,100*1139/519169,"")</f>
        <v>0.2193890621358363</v>
      </c>
      <c r="E25" s="1">
        <f>IF(COUNT(C25:D25)=2,D25-C25,"")</f>
        <v>-0.025643530340406534</v>
      </c>
      <c r="H25" s="1">
        <v>23</v>
      </c>
      <c r="I25" s="1">
        <v>22</v>
      </c>
      <c r="J25" s="1">
        <f>IF(1340391&gt;0,100*238132/1340391,"")</f>
        <v>17.765860857018588</v>
      </c>
      <c r="K25" s="1">
        <f>IF(912413&gt;0,100*46924/912413,"")</f>
        <v>5.142846496049486</v>
      </c>
      <c r="L25" s="1">
        <f>IF(COUNT(J25:K25)=2,K25-J25,"")</f>
        <v>-12.623014360969101</v>
      </c>
      <c r="O25" s="1">
        <v>23</v>
      </c>
      <c r="P25" s="1">
        <v>22</v>
      </c>
      <c r="Q25" s="1">
        <f>IF(1673110&gt;0,100*548899/1673110,"")</f>
        <v>32.80710772154849</v>
      </c>
      <c r="R25" s="1">
        <f>IF(1267895&gt;0,100*147691/1267895,"")</f>
        <v>11.648519790676673</v>
      </c>
      <c r="S25" s="1">
        <f>IF(COUNT(Q25:R25)=2,R25-Q25,"")</f>
        <v>-21.158587930871818</v>
      </c>
    </row>
    <row r="26" spans="1:19">
      <c r="A26" s="1">
        <v>24</v>
      </c>
      <c r="B26" s="1">
        <v>23</v>
      </c>
      <c r="C26" s="1">
        <f>IF(914755&gt;0,100*175077/914755,"")</f>
        <v>19.139223070658264</v>
      </c>
      <c r="D26" s="1">
        <f>IF(778074&gt;0,100*30813/778074,"")</f>
        <v>3.960163172140439</v>
      </c>
      <c r="E26" s="1">
        <f>IF(COUNT(C26:D26)=2,D26-C26,"")</f>
        <v>-15.179059898517826</v>
      </c>
      <c r="H26" s="1">
        <v>24</v>
      </c>
      <c r="I26" s="1">
        <v>23</v>
      </c>
      <c r="J26" s="1">
        <f>IF(1715105&gt;0,100*545055/1715105,"")</f>
        <v>31.77968695794135</v>
      </c>
      <c r="K26" s="1">
        <f>IF(1311565&gt;0,100*130172/1311565,"")</f>
        <v>9.924937002741</v>
      </c>
      <c r="L26" s="1">
        <f>IF(COUNT(J26:K26)=2,K26-J26,"")</f>
        <v>-21.85474995520035</v>
      </c>
      <c r="O26" s="1">
        <v>24</v>
      </c>
      <c r="P26" s="1">
        <v>23</v>
      </c>
      <c r="Q26" s="1">
        <f>IF(1476074&gt;0,100*377502/1476074,"")</f>
        <v>25.57473405804858</v>
      </c>
      <c r="R26" s="1">
        <f>IF(1168064&gt;0,100*79130/1168064,"")</f>
        <v>6.774457563969097</v>
      </c>
      <c r="S26" s="1">
        <f>IF(COUNT(Q26:R26)=2,R26-Q26,"")</f>
        <v>-18.800276494079483</v>
      </c>
    </row>
    <row r="27" spans="1:19">
      <c r="A27" s="1">
        <v>25</v>
      </c>
      <c r="B27" s="1">
        <v>24</v>
      </c>
      <c r="C27" s="1">
        <f>IF(1691255&gt;0,100*656381/1691255,"")</f>
        <v>38.81029176558236</v>
      </c>
      <c r="D27" s="1">
        <f>IF(975032&gt;0,100*158156/975032,"")</f>
        <v>16.220595836854585</v>
      </c>
      <c r="E27" s="1">
        <f>IF(COUNT(C27:D27)=2,D27-C27,"")</f>
        <v>-22.589695928727778</v>
      </c>
      <c r="H27" s="1">
        <v>25</v>
      </c>
      <c r="I27" s="1">
        <v>24</v>
      </c>
      <c r="J27" s="1">
        <f>IF(1222508&gt;0,100*246917/1222508,"")</f>
        <v>20.197577439166043</v>
      </c>
      <c r="K27" s="1">
        <f>IF(1174253&gt;0,100*179152/1174253,"")</f>
        <v>15.256678075338108</v>
      </c>
      <c r="L27" s="1">
        <f>IF(COUNT(J27:K27)=2,K27-J27,"")</f>
        <v>-4.940899363827935</v>
      </c>
      <c r="O27" s="1">
        <v>25</v>
      </c>
      <c r="P27" s="1">
        <v>24</v>
      </c>
      <c r="Q27" s="1">
        <f>IF(1190475&gt;0,100*83215/1190475,"")</f>
        <v>6.99006699006699</v>
      </c>
      <c r="R27" s="1">
        <f>IF(1011437&gt;0,100*93227/1011437,"")</f>
        <v>9.217281946379261</v>
      </c>
      <c r="S27" s="1">
        <f>IF(COUNT(Q27:R27)=2,R27-Q27,"")</f>
        <v>2.227214956312271</v>
      </c>
    </row>
    <row r="28" spans="1:19">
      <c r="A28" s="1">
        <v>26</v>
      </c>
      <c r="B28" s="1">
        <v>25</v>
      </c>
      <c r="C28" s="1">
        <f>IF(1683042&gt;0,100*681416/1683042,"")</f>
        <v>40.48716550151452</v>
      </c>
      <c r="D28" s="1">
        <f>IF(1520102&gt;0,100*280486/1520102,"")</f>
        <v>18.45178810369304</v>
      </c>
      <c r="E28" s="1">
        <f>IF(COUNT(C28:D28)=2,D28-C28,"")</f>
        <v>-22.035377397821478</v>
      </c>
      <c r="H28" s="1">
        <v>26</v>
      </c>
      <c r="I28" s="1">
        <v>25</v>
      </c>
      <c r="J28" s="1">
        <f>IF(1827352&gt;0,100*581318/1827352,"")</f>
        <v>31.8120427810296</v>
      </c>
      <c r="K28" s="1">
        <f>IF(1107511&gt;0,100*101665/1107511,"")</f>
        <v>9.17959279862683</v>
      </c>
      <c r="L28" s="1">
        <f>IF(COUNT(J28:K28)=2,K28-J28,"")</f>
        <v>-22.63244998240277</v>
      </c>
      <c r="O28" s="1">
        <v>26</v>
      </c>
      <c r="P28" s="1">
        <v>25</v>
      </c>
      <c r="Q28" s="1">
        <f>IF(1679034&gt;0,100*488863/1679034,"")</f>
        <v>29.11572963978097</v>
      </c>
      <c r="R28" s="1">
        <f>IF(6003&gt;0,100*787/6003,"")</f>
        <v>13.110111610861235</v>
      </c>
      <c r="S28" s="1">
        <f>IF(COUNT(Q28:R28)=2,R28-Q28,"")</f>
        <v>-16.005618028919734</v>
      </c>
    </row>
    <row r="29" spans="1:19">
      <c r="A29" s="1">
        <v>27</v>
      </c>
      <c r="B29" s="1">
        <v>26</v>
      </c>
      <c r="C29" s="1">
        <f>IF(1557766&gt;0,100*464581/1557766,"")</f>
        <v>29.823542175140553</v>
      </c>
      <c r="D29" s="1">
        <f>IF(1424415&gt;0,100*275266/1424415,"")</f>
        <v>19.324845638384883</v>
      </c>
      <c r="E29" s="1">
        <f>IF(COUNT(C29:D29)=2,D29-C29,"")</f>
        <v>-10.49869653675567</v>
      </c>
      <c r="H29" s="1">
        <v>27</v>
      </c>
      <c r="I29" s="1">
        <v>26</v>
      </c>
      <c r="J29" s="1">
        <f>IF(1255658&gt;0,100*171678/1255658,"")</f>
        <v>13.672353459301815</v>
      </c>
      <c r="K29" s="1">
        <f>IF(1247496&gt;0,100*147883/1247496,"")</f>
        <v>11.854386707452369</v>
      </c>
      <c r="L29" s="1">
        <f>IF(COUNT(J29:K29)=2,K29-J29,"")</f>
        <v>-1.817966751849447</v>
      </c>
      <c r="O29" s="1">
        <v>27</v>
      </c>
      <c r="P29" s="1">
        <v>26</v>
      </c>
      <c r="Q29" s="1">
        <f>IF(2118549&gt;0,100*871261/2118549,"")</f>
        <v>41.12536457735931</v>
      </c>
      <c r="R29" s="1">
        <f>IF(1196177&gt;0,100*156108/1196177,"")</f>
        <v>13.050576963108302</v>
      </c>
      <c r="S29" s="1">
        <f>IF(COUNT(Q29:R29)=2,R29-Q29,"")</f>
        <v>-28.07478761425101</v>
      </c>
    </row>
    <row r="30" spans="1:19">
      <c r="A30" s="1">
        <v>28</v>
      </c>
      <c r="B30" s="1">
        <v>27</v>
      </c>
      <c r="C30" s="1">
        <f>IF(506350&gt;0,100*449/506350,"")</f>
        <v>0.08867384220400909</v>
      </c>
      <c r="D30" s="1">
        <f>IF(503108&gt;0,100*657/503108,"")</f>
        <v>0.1305882633549854</v>
      </c>
      <c r="E30" s="1">
        <f>IF(COUNT(C30:D30)=2,D30-C30,"")</f>
        <v>0.04191442115097632</v>
      </c>
      <c r="H30" s="1">
        <v>28</v>
      </c>
      <c r="I30" s="1">
        <v>27</v>
      </c>
      <c r="J30" s="1">
        <f>IF(1718872&gt;0,100*583484/1718872,"")</f>
        <v>33.94575046891217</v>
      </c>
      <c r="K30" s="1">
        <f>IF(1182627&gt;0,100*150641/1182627,"")</f>
        <v>12.737828579932641</v>
      </c>
      <c r="L30" s="1">
        <f>IF(COUNT(J30:K30)=2,K30-J30,"")</f>
        <v>-21.207921888979534</v>
      </c>
      <c r="O30" s="1">
        <v>28</v>
      </c>
      <c r="P30" s="1">
        <v>27</v>
      </c>
      <c r="Q30" s="1">
        <f>IF(1202604&gt;0,100*322949/1202604,"")</f>
        <v>26.8541431759748</v>
      </c>
      <c r="R30" s="1">
        <f>IF(958652&gt;0,100*142925/958652,"")</f>
        <v>14.908955491669552</v>
      </c>
      <c r="S30" s="1">
        <f>IF(COUNT(Q30:R30)=2,R30-Q30,"")</f>
        <v>-11.94518768430525</v>
      </c>
    </row>
    <row r="31" spans="1:19">
      <c r="A31" s="1">
        <v>29</v>
      </c>
      <c r="B31" s="1">
        <v>28</v>
      </c>
      <c r="C31" s="1">
        <f>IF(1614535&gt;0,100*599059/1614535,"")</f>
        <v>37.104119762036746</v>
      </c>
      <c r="D31" s="1">
        <f>IF(1337090&gt;0,100*281734/1337090,"")</f>
        <v>21.070683349662325</v>
      </c>
      <c r="E31" s="1">
        <f>IF(COUNT(C31:D31)=2,D31-C31,"")</f>
        <v>-16.03343641237442</v>
      </c>
      <c r="H31" s="1">
        <v>29</v>
      </c>
      <c r="I31" s="1">
        <v>28</v>
      </c>
      <c r="J31" s="1">
        <f>IF(1707787&gt;0,100*644845/1707787,"")</f>
        <v>37.75909993459371</v>
      </c>
      <c r="K31" s="1">
        <f>IF(1284492&gt;0,100*224518/1284492,"")</f>
        <v>17.4791279354017</v>
      </c>
      <c r="L31" s="1">
        <f>IF(COUNT(J31:K31)=2,K31-J31,"")</f>
        <v>-20.279971999192014</v>
      </c>
      <c r="O31" s="1">
        <v>29</v>
      </c>
      <c r="P31" s="1">
        <v>28</v>
      </c>
      <c r="Q31" s="1">
        <f>IF(1781585&gt;0,100*685393/1781585,"")</f>
        <v>38.47096826702066</v>
      </c>
      <c r="R31" s="1">
        <f>IF(1258217&gt;0,100*145411/1258217,"")</f>
        <v>11.556909499712688</v>
      </c>
      <c r="S31" s="1">
        <f>IF(COUNT(Q31:R31)=2,R31-Q31,"")</f>
        <v>-26.91405876730797</v>
      </c>
    </row>
    <row r="32" spans="1:19">
      <c r="A32" s="1">
        <v>30</v>
      </c>
      <c r="B32" s="1">
        <v>29</v>
      </c>
      <c r="C32" s="1">
        <f>IF(1722125&gt;0,100*685666/1722125,"")</f>
        <v>39.81511214342745</v>
      </c>
      <c r="D32" s="1">
        <f>IF(1285373&gt;0,100*229072/1285373,"")</f>
        <v>17.82144171380603</v>
      </c>
      <c r="E32" s="1">
        <f>IF(COUNT(C32:D32)=2,D32-C32,"")</f>
        <v>-21.993670429621417</v>
      </c>
      <c r="H32" s="1">
        <v>30</v>
      </c>
      <c r="I32" s="1">
        <v>29</v>
      </c>
      <c r="J32" s="1">
        <f>IF(1183903&gt;0,100*336267/1183903,"")</f>
        <v>28.403256009994063</v>
      </c>
      <c r="K32" s="1">
        <f>IF(1110923&gt;0,100*142801/1110923,"")</f>
        <v>12.854266227272277</v>
      </c>
      <c r="L32" s="1">
        <f>IF(COUNT(J32:K32)=2,K32-J32,"")</f>
        <v>-15.548989782721787</v>
      </c>
      <c r="O32" s="1">
        <v>30</v>
      </c>
      <c r="P32" s="1">
        <v>29</v>
      </c>
      <c r="Q32" s="1">
        <f>IF(1267752&gt;0,100*304833/1267752,"")</f>
        <v>24.045160252162884</v>
      </c>
      <c r="R32" s="1">
        <f>IF(703759&gt;0,100*66204/703759,"")</f>
        <v>9.407197634417464</v>
      </c>
      <c r="S32" s="1">
        <f>IF(COUNT(Q32:R32)=2,R32-Q32,"")</f>
        <v>-14.63796261774542</v>
      </c>
    </row>
    <row r="33" spans="1:19">
      <c r="A33" s="1">
        <v>31</v>
      </c>
      <c r="B33" s="1">
        <v>30</v>
      </c>
      <c r="C33" s="1">
        <f>IF(758539&gt;0,100*11909/758539,"")</f>
        <v>1.569991786842865</v>
      </c>
      <c r="D33" s="1">
        <f>IF(838724&gt;0,100*5506/838724,"")</f>
        <v>0.6564734048387789</v>
      </c>
      <c r="E33" s="1">
        <f>IF(COUNT(C33:D33)=2,D33-C33,"")</f>
        <v>-0.9135183820040861</v>
      </c>
      <c r="H33" s="1">
        <v>31</v>
      </c>
      <c r="I33" s="1">
        <v>30</v>
      </c>
      <c r="J33" s="1">
        <f>IF(1372764&gt;0,100*366154/1372764,"")</f>
        <v>26.67275656995667</v>
      </c>
      <c r="K33" s="1">
        <f>IF(1327486&gt;0,100*236591/1327486,"")</f>
        <v>17.822485510205006</v>
      </c>
      <c r="L33" s="1">
        <f>IF(COUNT(J33:K33)=2,K33-J33,"")</f>
        <v>-8.850271059751666</v>
      </c>
      <c r="O33" s="1">
        <v>31</v>
      </c>
      <c r="P33" s="1">
        <v>30</v>
      </c>
      <c r="Q33" s="1">
        <f>IF(1698653&gt;0,100*588007/1698653,"")</f>
        <v>34.616075207826434</v>
      </c>
      <c r="R33" s="1">
        <f>IF(1557667&gt;0,100*237113/1557667,"")</f>
        <v>15.222316451462348</v>
      </c>
      <c r="S33" s="1">
        <f>IF(COUNT(Q33:R33)=2,R33-Q33,"")</f>
        <v>-19.393758756364086</v>
      </c>
    </row>
    <row r="34" spans="1:19">
      <c r="A34" s="2" t="s">
        <v>6</v>
      </c>
      <c r="B34" s="1"/>
      <c r="C34" s="1">
        <f>IF(COUNT(C3:C33)&gt;0,AVERAGE(C3:C33),"")</f>
        <v>28.37755704515853</v>
      </c>
      <c r="D34" s="1">
        <f>IF(COUNT(D3:D33)&gt;0,AVERAGE(D3:D33),"")</f>
        <v>12.792954656705538</v>
      </c>
      <c r="E34" s="1">
        <f>IF(COUNT(E3:E33)&gt;0,AVERAGE(E3:E33),"")</f>
        <v>-15.584602388452991</v>
      </c>
      <c r="H34" s="2" t="s">
        <v>6</v>
      </c>
      <c r="I34" s="1"/>
      <c r="J34" s="1">
        <f>IF(COUNT(J3:J33)&gt;0,AVERAGE(J3:J33),"")</f>
        <v>23.048785214991636</v>
      </c>
      <c r="K34" s="1">
        <f>IF(COUNT(K3:K33)&gt;0,AVERAGE(K3:K33),"")</f>
        <v>10.865646412287449</v>
      </c>
      <c r="L34" s="1">
        <f>IF(COUNT(L3:L33)&gt;0,AVERAGE(L3:L33),"")</f>
        <v>-12.183138802704187</v>
      </c>
      <c r="O34" s="2" t="s">
        <v>6</v>
      </c>
      <c r="P34" s="1"/>
      <c r="Q34" s="1">
        <f>IF(COUNT(Q3:Q33)&gt;0,AVERAGE(Q3:Q33),"")</f>
        <v>24.644136830215917</v>
      </c>
      <c r="R34" s="1">
        <f>IF(COUNT(R3:R33)&gt;0,AVERAGE(R3:R33),"")</f>
        <v>11.640015140750991</v>
      </c>
      <c r="S34" s="1">
        <f>IF(COUNT(S3:S33)&gt;0,AVERAGE(S3:S33),"")</f>
        <v>-13.004121689464927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IF(1093423&gt;0,100*121600/1093423,"")</f>
        <v>11.121039158678755</v>
      </c>
      <c r="D39" s="1">
        <f>IF(990140&gt;0,100*24491/990140,"")</f>
        <v>2.4734885975720604</v>
      </c>
      <c r="E39" s="1">
        <f>IF(COUNT(C39:D39)=2,D39-C39,"")</f>
        <v>-8.647550561106694</v>
      </c>
      <c r="H39" s="1">
        <v>1</v>
      </c>
      <c r="I39" s="1">
        <v>0</v>
      </c>
      <c r="J39" s="1">
        <f>IF(2001661&gt;0,100*613984/2001661,"")</f>
        <v>30.673725470996338</v>
      </c>
      <c r="K39" s="1">
        <f>IF(1256092&gt;0,100*128538/1256092,"")</f>
        <v>10.233167634217876</v>
      </c>
      <c r="L39" s="1">
        <f>IF(COUNT(J39:K39)=2,K39-J39,"")</f>
        <v>-20.44055783677846</v>
      </c>
      <c r="O39" s="1">
        <v>1</v>
      </c>
      <c r="P39" s="1">
        <v>0</v>
      </c>
      <c r="Q39" s="1">
        <f>IF(1572820&gt;0,100*273004/1572820,"")</f>
        <v>17.35761244134739</v>
      </c>
      <c r="R39" s="1">
        <f>IF(24556&gt;0,100*5065/24556,"")</f>
        <v>20.626323505456917</v>
      </c>
      <c r="S39" s="1">
        <f>IF(COUNT(Q39:R39)=2,R39-Q39,"")</f>
        <v>3.268711064109528</v>
      </c>
    </row>
    <row r="40" spans="1:19">
      <c r="A40" s="1">
        <v>2</v>
      </c>
      <c r="B40" s="1">
        <v>1</v>
      </c>
      <c r="C40" s="1">
        <f>IF(1205676&gt;0,100*374828/1205676,"")</f>
        <v>31.08861750586393</v>
      </c>
      <c r="D40" s="1">
        <f>IF(1204085&gt;0,100*276655/1204085,"")</f>
        <v>22.97636794744557</v>
      </c>
      <c r="E40" s="1">
        <f>IF(COUNT(C40:D40)=2,D40-C40,"")</f>
        <v>-8.112249558418359</v>
      </c>
      <c r="H40" s="1">
        <v>2</v>
      </c>
      <c r="I40" s="1">
        <v>1</v>
      </c>
      <c r="J40" s="1">
        <f>IF(2100504&gt;0,100*794890/2100504,"")</f>
        <v>37.84282248450848</v>
      </c>
      <c r="K40" s="1">
        <f>IF(1758543&gt;0,100*259968/1758543,"")</f>
        <v>14.783147184913874</v>
      </c>
      <c r="L40" s="1">
        <f>IF(COUNT(J40:K40)=2,K40-J40,"")</f>
        <v>-23.05967529959461</v>
      </c>
      <c r="O40" s="1">
        <v>2</v>
      </c>
      <c r="P40" s="1">
        <v>1</v>
      </c>
      <c r="Q40" s="1">
        <f>IF(2271111&gt;0,100*972080/2271111,"")</f>
        <v>42.801959041191736</v>
      </c>
      <c r="R40" s="1">
        <f>IF(25899&gt;0,100*6912/25899,"")</f>
        <v>26.68828912313217</v>
      </c>
      <c r="S40" s="1">
        <f>IF(COUNT(Q40:R40)=2,R40-Q40,"")</f>
        <v>-16.113669918059568</v>
      </c>
    </row>
    <row r="41" spans="1:19">
      <c r="A41" s="1">
        <v>3</v>
      </c>
      <c r="B41" s="1">
        <v>2</v>
      </c>
      <c r="C41" s="1">
        <f>IF(1607803&gt;0,100*670978/1607803,"")</f>
        <v>41.732600324791036</v>
      </c>
      <c r="D41" s="1">
        <f>IF(1570109&gt;0,100*319072/1570109,"")</f>
        <v>20.321646458940112</v>
      </c>
      <c r="E41" s="1">
        <f>IF(COUNT(C41:D41)=2,D41-C41,"")</f>
        <v>-21.410953865850924</v>
      </c>
      <c r="H41" s="1">
        <v>3</v>
      </c>
      <c r="I41" s="1">
        <v>2</v>
      </c>
      <c r="J41" s="1">
        <f>IF(2703819&gt;0,100*975381/2703819,"")</f>
        <v>36.0741972742998</v>
      </c>
      <c r="K41" s="1">
        <f>IF(2257034&gt;0,100*379405/2257034,"")</f>
        <v>16.809892983446417</v>
      </c>
      <c r="L41" s="1">
        <f>IF(COUNT(J41:K41)=2,K41-J41,"")</f>
        <v>-19.26430429085338</v>
      </c>
      <c r="O41" s="1">
        <v>3</v>
      </c>
      <c r="P41" s="1">
        <v>2</v>
      </c>
      <c r="Q41" s="1">
        <f>IF(2333406&gt;0,100*950771/2333406,"")</f>
        <v>40.746059622714604</v>
      </c>
      <c r="R41" s="1">
        <f>IF(1645935&gt;0,100*129893/1645935,"")</f>
        <v>7.891745421295495</v>
      </c>
      <c r="S41" s="1">
        <f>IF(COUNT(Q41:R41)=2,R41-Q41,"")</f>
        <v>-32.85431420141911</v>
      </c>
    </row>
    <row r="42" spans="1:19">
      <c r="A42" s="1">
        <v>4</v>
      </c>
      <c r="B42" s="1">
        <v>3</v>
      </c>
      <c r="C42" s="1">
        <f>IF(2016766&gt;0,100*855389/2016766,"")</f>
        <v>42.41389432388289</v>
      </c>
      <c r="D42" s="1">
        <f>IF(1875151&gt;0,100*359467/1875151,"")</f>
        <v>19.17002950695704</v>
      </c>
      <c r="E42" s="1">
        <f>IF(COUNT(C42:D42)=2,D42-C42,"")</f>
        <v>-23.243864816925853</v>
      </c>
      <c r="H42" s="1">
        <v>4</v>
      </c>
      <c r="I42" s="1">
        <v>3</v>
      </c>
      <c r="J42" s="1">
        <f>IF(1363146&gt;0,100*83089/1363146,"")</f>
        <v>6.09538523386343</v>
      </c>
      <c r="K42" s="1">
        <f>IF(1375489&gt;0,100*175987/1375489,"")</f>
        <v>12.794504354451398</v>
      </c>
      <c r="L42" s="1">
        <f>IF(COUNT(J42:K42)=2,K42-J42,"")</f>
        <v>6.699119120587968</v>
      </c>
      <c r="O42" s="1">
        <v>4</v>
      </c>
      <c r="P42" s="1">
        <v>3</v>
      </c>
      <c r="Q42" s="1">
        <f>IF(1406270&gt;0,100*83129/1406270,"")</f>
        <v>5.911311483570011</v>
      </c>
      <c r="R42" s="1">
        <f>IF(1325339&gt;0,100*17675/1325339,"")</f>
        <v>1.333621058461269</v>
      </c>
      <c r="S42" s="1">
        <f>IF(COUNT(Q42:R42)=2,R42-Q42,"")</f>
        <v>-4.577690425108742</v>
      </c>
    </row>
    <row r="43" spans="1:19">
      <c r="A43" s="1">
        <v>5</v>
      </c>
      <c r="B43" s="1">
        <v>4</v>
      </c>
      <c r="C43" s="1">
        <f>IF(1270456&gt;0,100*222216/1270456,"")</f>
        <v>17.49104258628398</v>
      </c>
      <c r="D43" s="1">
        <f>IF(1305515&gt;0,100*47858/1305515,"")</f>
        <v>3.6658330237492485</v>
      </c>
      <c r="E43" s="1">
        <f>IF(COUNT(C43:D43)=2,D43-C43,"")</f>
        <v>-13.825209562534733</v>
      </c>
      <c r="H43" s="1">
        <v>5</v>
      </c>
      <c r="I43" s="1">
        <v>4</v>
      </c>
      <c r="J43" s="1">
        <f>IF(2437241&gt;0,100*1028598/2437241,"")</f>
        <v>42.20337668699977</v>
      </c>
      <c r="K43" s="1">
        <f>IF(2000548&gt;0,100*429671/2000548,"")</f>
        <v>21.477665119757187</v>
      </c>
      <c r="L43" s="1">
        <f>IF(COUNT(J43:K43)=2,K43-J43,"")</f>
        <v>-20.72571156724258</v>
      </c>
      <c r="O43" s="1">
        <v>5</v>
      </c>
      <c r="P43" s="1">
        <v>4</v>
      </c>
      <c r="Q43" s="1">
        <f>IF(2401097&gt;0,100*1112784/2401097,"")</f>
        <v>46.344816556765515</v>
      </c>
      <c r="R43" s="1">
        <f>IF(2328290&gt;0,100*489788/2328290,"")</f>
        <v>21.036382924807477</v>
      </c>
      <c r="S43" s="1">
        <f>IF(COUNT(Q43:R43)=2,R43-Q43,"")</f>
        <v>-25.30843363195804</v>
      </c>
    </row>
    <row r="44" spans="1:19">
      <c r="A44" s="1">
        <v>6</v>
      </c>
      <c r="B44" s="1">
        <v>5</v>
      </c>
      <c r="C44" s="1">
        <f>IF(2068143&gt;0,100*935980/2068143,"")</f>
        <v>45.25702526372693</v>
      </c>
      <c r="D44" s="1">
        <f>IF(342918&gt;0,100*74743/342918,"")</f>
        <v>21.796172845986504</v>
      </c>
      <c r="E44" s="1">
        <f>IF(COUNT(C44:D44)=2,D44-C44,"")</f>
        <v>-23.460852417740426</v>
      </c>
      <c r="H44" s="1">
        <v>6</v>
      </c>
      <c r="I44" s="1">
        <v>5</v>
      </c>
      <c r="J44" s="1">
        <f>IF(2170385&gt;0,100*855280/2170385,"")</f>
        <v>39.40683334984346</v>
      </c>
      <c r="K44" s="1">
        <f>IF(2313212&gt;0,100*523251/2313212,"")</f>
        <v>22.620105723124382</v>
      </c>
      <c r="L44" s="1">
        <f>IF(COUNT(J44:K44)=2,K44-J44,"")</f>
        <v>-16.786727626719077</v>
      </c>
      <c r="O44" s="1">
        <v>6</v>
      </c>
      <c r="P44" s="1">
        <v>5</v>
      </c>
      <c r="Q44" s="1">
        <f>IF(1758860&gt;0,100*252810/1758860,"")</f>
        <v>14.373514662906656</v>
      </c>
      <c r="R44" s="1">
        <f>IF(1661170&gt;0,100*158551/1661170,"")</f>
        <v>9.544537885947856</v>
      </c>
      <c r="S44" s="1">
        <f>IF(COUNT(Q44:R44)=2,R44-Q44,"")</f>
        <v>-4.8289767769588</v>
      </c>
    </row>
    <row r="45" spans="1:19">
      <c r="A45" s="1">
        <v>7</v>
      </c>
      <c r="B45" s="1">
        <v>6</v>
      </c>
      <c r="C45" s="1">
        <f>IF(1955799&gt;0,100*927153/1955799,"")</f>
        <v>47.405331529466984</v>
      </c>
      <c r="D45" s="1">
        <f>IF(1532926&gt;0,100*277353/1532926,"")</f>
        <v>18.093045587327765</v>
      </c>
      <c r="E45" s="1">
        <f>IF(COUNT(C45:D45)=2,D45-C45,"")</f>
        <v>-29.31228594213922</v>
      </c>
      <c r="H45" s="1">
        <v>7</v>
      </c>
      <c r="I45" s="1">
        <v>6</v>
      </c>
      <c r="J45" s="1">
        <f>IF(1062155&gt;0,100*3098/1062155,"")</f>
        <v>0.29167117793542374</v>
      </c>
      <c r="K45" s="1">
        <f>IF(943490&gt;0,100*37483/943490,"")</f>
        <v>3.972803103371525</v>
      </c>
      <c r="L45" s="1">
        <f>IF(COUNT(J45:K45)=2,K45-J45,"")</f>
        <v>3.6811319254361012</v>
      </c>
      <c r="O45" s="1">
        <v>7</v>
      </c>
      <c r="P45" s="1">
        <v>6</v>
      </c>
      <c r="Q45" s="1">
        <f>IF(1340065&gt;0,100*31783/1340065,"")</f>
        <v>2.3717506240368937</v>
      </c>
      <c r="R45" s="1">
        <f>IF(1328701&gt;0,100*42282/1328701,"")</f>
        <v>3.1822057784256956</v>
      </c>
      <c r="S45" s="1">
        <f>IF(COUNT(Q45:R45)=2,R45-Q45,"")</f>
        <v>0.8104551543888019</v>
      </c>
    </row>
    <row r="46" spans="1:19">
      <c r="A46" s="1">
        <v>8</v>
      </c>
      <c r="B46" s="1">
        <v>7</v>
      </c>
      <c r="C46" s="1">
        <f>IF(2103376&gt;0,100*877826/2103376,"")</f>
        <v>41.73414548801546</v>
      </c>
      <c r="D46" s="1">
        <f>IF(1384064&gt;0,100*214511/1384064,"")</f>
        <v>15.498633011190234</v>
      </c>
      <c r="E46" s="1">
        <f>IF(COUNT(C46:D46)=2,D46-C46,"")</f>
        <v>-26.23551247682522</v>
      </c>
      <c r="H46" s="1">
        <v>8</v>
      </c>
      <c r="I46" s="1">
        <v>7</v>
      </c>
      <c r="J46" s="1">
        <f>IF(875780&gt;0,100*4451/875780,"")</f>
        <v>0.5082326611706136</v>
      </c>
      <c r="K46" s="1">
        <f>IF(782077&gt;0,100*977/782077,"")</f>
        <v>0.12492376070386932</v>
      </c>
      <c r="L46" s="1">
        <f>IF(COUNT(J46:K46)=2,K46-J46,"")</f>
        <v>-0.38330890046674426</v>
      </c>
      <c r="O46" s="1">
        <v>8</v>
      </c>
      <c r="P46" s="1">
        <v>7</v>
      </c>
      <c r="Q46" s="1">
        <f>IF(953770&gt;0,100*30543/953770,"")</f>
        <v>3.202344380720719</v>
      </c>
      <c r="R46" s="1">
        <f>IF(1689210&gt;0,100*50524/1689210,"")</f>
        <v>2.9909839510777227</v>
      </c>
      <c r="S46" s="1">
        <f>IF(COUNT(Q46:R46)=2,R46-Q46,"")</f>
        <v>-0.21136042964299628</v>
      </c>
    </row>
    <row r="47" spans="1:19">
      <c r="A47" s="1">
        <v>9</v>
      </c>
      <c r="B47" s="1">
        <v>8</v>
      </c>
      <c r="C47" s="1">
        <f>IF(1775689&gt;0,100*854041/1775689,"")</f>
        <v>48.096316415768754</v>
      </c>
      <c r="D47" s="1">
        <f>IF(1654278&gt;0,100*377609/1654278,"")</f>
        <v>22.826211797533425</v>
      </c>
      <c r="E47" s="1">
        <f>IF(COUNT(C47:D47)=2,D47-C47,"")</f>
        <v>-25.27010461823533</v>
      </c>
      <c r="H47" s="1">
        <v>9</v>
      </c>
      <c r="I47" s="1">
        <v>8</v>
      </c>
      <c r="J47" s="1">
        <f>IF(2261107&gt;0,100*975052/2261107,"")</f>
        <v>43.122771279731566</v>
      </c>
      <c r="K47" s="1">
        <f>IF(1660707&gt;0,100*348256/1660707,"")</f>
        <v>20.970345762377107</v>
      </c>
      <c r="L47" s="1">
        <f>IF(COUNT(J47:K47)=2,K47-J47,"")</f>
        <v>-22.15242551735446</v>
      </c>
      <c r="O47" s="1">
        <v>9</v>
      </c>
      <c r="P47" s="1">
        <v>8</v>
      </c>
      <c r="Q47" s="1">
        <f>IF(2405152&gt;0,100*1125762/2405152,"")</f>
        <v>46.80627253495829</v>
      </c>
      <c r="R47" s="1">
        <f>IF(2043891&gt;0,100*426902/2043891,"")</f>
        <v>20.886730261055995</v>
      </c>
      <c r="S47" s="1">
        <f>IF(COUNT(Q47:R47)=2,R47-Q47,"")</f>
        <v>-25.919542273902294</v>
      </c>
    </row>
    <row r="48" spans="1:19">
      <c r="A48" s="1">
        <v>10</v>
      </c>
      <c r="B48" s="1">
        <v>9</v>
      </c>
      <c r="C48" s="1">
        <f>IF(1746180&gt;0,100*461985/1746180,"")</f>
        <v>26.456894478232485</v>
      </c>
      <c r="D48" s="1">
        <f>IF(948461&gt;0,100*15775/948461,"")</f>
        <v>1.6632207333775453</v>
      </c>
      <c r="E48" s="1">
        <f>IF(COUNT(C48:D48)=2,D48-C48,"")</f>
        <v>-24.79367374485494</v>
      </c>
      <c r="H48" s="1">
        <v>10</v>
      </c>
      <c r="I48" s="1">
        <v>9</v>
      </c>
      <c r="J48" s="1">
        <f>IF(2706863&gt;0,100*1192100/2706863,"")</f>
        <v>44.03990892778837</v>
      </c>
      <c r="K48" s="1">
        <f>IF(1359375&gt;0,100*91199/1359375,"")</f>
        <v>6.708891954022988</v>
      </c>
      <c r="L48" s="1">
        <f>IF(COUNT(J48:K48)=2,K48-J48,"")</f>
        <v>-37.33101697376538</v>
      </c>
      <c r="O48" s="1">
        <v>10</v>
      </c>
      <c r="P48" s="1">
        <v>9</v>
      </c>
      <c r="Q48" s="1">
        <f>IF(1922653&gt;0,100*523894/1922653,"")</f>
        <v>27.248494658162446</v>
      </c>
      <c r="R48" s="1">
        <f>IF(1434033&gt;0,100*35321/1434033,"")</f>
        <v>2.4630535001635248</v>
      </c>
      <c r="S48" s="1">
        <f>IF(COUNT(Q48:R48)=2,R48-Q48,"")</f>
        <v>-24.78544115799892</v>
      </c>
    </row>
    <row r="49" spans="1:19">
      <c r="A49" s="1">
        <v>11</v>
      </c>
      <c r="B49" s="1">
        <v>10</v>
      </c>
      <c r="C49" s="1">
        <f>IF(1971439&gt;0,100*862784/1971439,"")</f>
        <v>43.76417429096208</v>
      </c>
      <c r="D49" s="1">
        <f>IF(2255986&gt;0,100*629715/2255986,"")</f>
        <v>27.913072155589617</v>
      </c>
      <c r="E49" s="1">
        <f>IF(COUNT(C49:D49)=2,D49-C49,"")</f>
        <v>-15.851102135372464</v>
      </c>
      <c r="H49" s="1">
        <v>11</v>
      </c>
      <c r="I49" s="1">
        <v>10</v>
      </c>
      <c r="J49" s="1">
        <f>IF(2596797&gt;0,100*880971/2596797,"")</f>
        <v>33.92529335177143</v>
      </c>
      <c r="K49" s="1">
        <f>IF(1349370&gt;0,100*50528/1349370,"")</f>
        <v>3.7445622772108464</v>
      </c>
      <c r="L49" s="1">
        <f>IF(COUNT(J49:K49)=2,K49-J49,"")</f>
        <v>-30.180731074560583</v>
      </c>
      <c r="O49" s="1">
        <v>11</v>
      </c>
      <c r="P49" s="1">
        <v>10</v>
      </c>
      <c r="Q49" s="1">
        <f>IF(2537267&gt;0,100*1086404/2537267,"")</f>
        <v>42.817882390777164</v>
      </c>
      <c r="R49" s="1">
        <f>IF(1802271&gt;0,100*274692/1802271,"")</f>
        <v>15.241437053584061</v>
      </c>
      <c r="S49" s="1">
        <f>IF(COUNT(Q49:R49)=2,R49-Q49,"")</f>
        <v>-27.576445337193103</v>
      </c>
    </row>
    <row r="50" spans="1:19">
      <c r="A50" s="1">
        <v>12</v>
      </c>
      <c r="B50" s="1">
        <v>11</v>
      </c>
      <c r="C50" s="1">
        <f>IF(1769042&gt;0,100*718057/1769042,"")</f>
        <v>40.59016122850673</v>
      </c>
      <c r="D50" s="1">
        <f>IF(1754144&gt;0,100*409803/1754144,"")</f>
        <v>23.361993086086432</v>
      </c>
      <c r="E50" s="1">
        <f>IF(COUNT(C50:D50)=2,D50-C50,"")</f>
        <v>-17.228168142420298</v>
      </c>
      <c r="H50" s="1">
        <v>12</v>
      </c>
      <c r="I50" s="1">
        <v>11</v>
      </c>
      <c r="J50" s="1">
        <f>IF(16409&gt;0,100*2109/16409,"")</f>
        <v>12.85270278505698</v>
      </c>
      <c r="K50" s="1">
        <f>IF(28281&gt;0,100*4900/28281,"")</f>
        <v>17.32612000990064</v>
      </c>
      <c r="L50" s="1">
        <f>IF(COUNT(J50:K50)=2,K50-J50,"")</f>
        <v>4.473417224843661</v>
      </c>
      <c r="O50" s="1">
        <v>12</v>
      </c>
      <c r="P50" s="1">
        <v>11</v>
      </c>
      <c r="Q50" s="1">
        <f>IF(2609889&gt;0,100*1051883/2609889,"")</f>
        <v>40.30374471864512</v>
      </c>
      <c r="R50" s="1">
        <f>IF(1584156&gt;0,100*70660/1584156,"")</f>
        <v>4.460419302139436</v>
      </c>
      <c r="S50" s="1">
        <f>IF(COUNT(Q50:R50)=2,R50-Q50,"")</f>
        <v>-35.843325416505685</v>
      </c>
    </row>
    <row r="51" spans="1:19">
      <c r="A51" s="1">
        <v>13</v>
      </c>
      <c r="B51" s="1">
        <v>12</v>
      </c>
      <c r="C51" s="1">
        <f>IF(2168985&gt;0,100*980233/2168985,"")</f>
        <v>45.193166388886965</v>
      </c>
      <c r="D51" s="1">
        <f>IF(1383106&gt;0,100*32925/1383106,"")</f>
        <v>2.380511688908876</v>
      </c>
      <c r="E51" s="1">
        <f>IF(COUNT(C51:D51)=2,D51-C51,"")</f>
        <v>-42.81265469997809</v>
      </c>
      <c r="H51" s="1">
        <v>13</v>
      </c>
      <c r="I51" s="1">
        <v>12</v>
      </c>
      <c r="J51" s="1">
        <f>IF(1392134&gt;0,100*142847/1392134,"")</f>
        <v>10.261009356857889</v>
      </c>
      <c r="K51" s="1">
        <f>IF(1511362&gt;0,100*93445/1511362,"")</f>
        <v>6.182833761865125</v>
      </c>
      <c r="L51" s="1">
        <f>IF(COUNT(J51:K51)=2,K51-J51,"")</f>
        <v>-4.078175594992763</v>
      </c>
      <c r="O51" s="1">
        <v>13</v>
      </c>
      <c r="P51" s="1">
        <v>12</v>
      </c>
      <c r="Q51" s="1">
        <f>IF(1129838&gt;0,100*24638/1129838,"")</f>
        <v>2.1806666088412676</v>
      </c>
      <c r="R51" s="1">
        <f>IF(1388616&gt;0,100*32349/1388616,"")</f>
        <v>2.3295857170016765</v>
      </c>
      <c r="S51" s="1">
        <f>IF(COUNT(Q51:R51)=2,R51-Q51,"")</f>
        <v>0.14891910816040888</v>
      </c>
    </row>
    <row r="52" spans="1:19">
      <c r="A52" s="1">
        <v>14</v>
      </c>
      <c r="B52" s="1">
        <v>13</v>
      </c>
      <c r="C52" s="1">
        <f>IF(1030639&gt;0,100*3971/1030639,"")</f>
        <v>0.38529494808560516</v>
      </c>
      <c r="D52" s="1">
        <f>IF(979177&gt;0,100*6895/979177,"")</f>
        <v>0.7041627816012835</v>
      </c>
      <c r="E52" s="1">
        <f>IF(COUNT(C52:D52)=2,D52-C52,"")</f>
        <v>0.3188678335156784</v>
      </c>
      <c r="H52" s="1">
        <v>14</v>
      </c>
      <c r="I52" s="1">
        <v>13</v>
      </c>
      <c r="J52" s="1">
        <f>IF(1631278&gt;0,100*497437/1631278,"")</f>
        <v>30.49369880547644</v>
      </c>
      <c r="K52" s="1">
        <f>IF(1703158&gt;0,100*292150/1703158,"")</f>
        <v>17.15342910052972</v>
      </c>
      <c r="L52" s="1">
        <f>IF(COUNT(J52:K52)=2,K52-J52,"")</f>
        <v>-13.34026970494672</v>
      </c>
      <c r="O52" s="1">
        <v>14</v>
      </c>
      <c r="P52" s="1">
        <v>13</v>
      </c>
      <c r="Q52" s="1">
        <f>IF(1227769&gt;0,100*230841/1227769,"")</f>
        <v>18.801663830899788</v>
      </c>
      <c r="R52" s="1">
        <f>IF(853053&gt;0,100*5423/853053,"")</f>
        <v>0.6357166553543566</v>
      </c>
      <c r="S52" s="1">
        <f>IF(COUNT(Q52:R52)=2,R52-Q52,"")</f>
        <v>-18.16594717554543</v>
      </c>
    </row>
    <row r="53" spans="1:19">
      <c r="A53" s="1">
        <v>15</v>
      </c>
      <c r="B53" s="1">
        <v>14</v>
      </c>
      <c r="C53" s="1">
        <f>IF(1555406&gt;0,100*520362/1555406,"")</f>
        <v>33.45505932213197</v>
      </c>
      <c r="D53" s="1">
        <f>IF(1490821&gt;0,100*238048/1490821,"")</f>
        <v>15.96757759650555</v>
      </c>
      <c r="E53" s="1">
        <f>IF(COUNT(C53:D53)=2,D53-C53,"")</f>
        <v>-17.487481725626424</v>
      </c>
      <c r="H53" s="1">
        <v>15</v>
      </c>
      <c r="I53" s="1">
        <v>14</v>
      </c>
      <c r="J53" s="1">
        <f>IF(1857255&gt;0,100*556621/1857255,"")</f>
        <v>29.970090267626148</v>
      </c>
      <c r="K53" s="1">
        <f>IF(1809723&gt;0,100*283700/1809723,"")</f>
        <v>15.676432249576317</v>
      </c>
      <c r="L53" s="1">
        <f>IF(COUNT(J53:K53)=2,K53-J53,"")</f>
        <v>-14.29365801804983</v>
      </c>
      <c r="O53" s="1">
        <v>15</v>
      </c>
      <c r="P53" s="1">
        <v>14</v>
      </c>
      <c r="Q53" s="1">
        <f>IF(2240147&gt;0,100*1104566/2240147,"")</f>
        <v>49.30774632200476</v>
      </c>
      <c r="R53" s="1">
        <f>IF(1534735&gt;0,100*186800/1534735,"")</f>
        <v>12.171482373178431</v>
      </c>
      <c r="S53" s="1">
        <f>IF(COUNT(Q53:R53)=2,R53-Q53,"")</f>
        <v>-37.136263948826326</v>
      </c>
    </row>
    <row r="54" spans="1:19">
      <c r="A54" s="1">
        <v>16</v>
      </c>
      <c r="B54" s="1">
        <v>15</v>
      </c>
      <c r="C54" s="1">
        <f>IF(1761441&gt;0,100*757460/1761441,"")</f>
        <v>43.00229187352855</v>
      </c>
      <c r="D54" s="1">
        <f>IF(2149374&gt;0,100*553276/2149374,"")</f>
        <v>25.741262339639356</v>
      </c>
      <c r="E54" s="1">
        <f>IF(COUNT(C54:D54)=2,D54-C54,"")</f>
        <v>-17.261029533889193</v>
      </c>
      <c r="H54" s="1">
        <v>16</v>
      </c>
      <c r="I54" s="1">
        <v>15</v>
      </c>
      <c r="J54" s="1">
        <f>IF(1920903&gt;0,100*863441/1920903,"")</f>
        <v>44.949744989726184</v>
      </c>
      <c r="K54" s="1">
        <f>IF(1311051&gt;0,100*45854/1311051,"")</f>
        <v>3.497499334503387</v>
      </c>
      <c r="L54" s="1">
        <f>IF(COUNT(J54:K54)=2,K54-J54,"")</f>
        <v>-41.4522456552228</v>
      </c>
      <c r="O54" s="1">
        <v>16</v>
      </c>
      <c r="P54" s="1">
        <v>15</v>
      </c>
      <c r="Q54" s="1">
        <f>IF(2594091&gt;0,100*1215002/2594091,"")</f>
        <v>46.837292909153916</v>
      </c>
      <c r="R54" s="1">
        <f>IF(1634389&gt;0,100*197432/1634389,"")</f>
        <v>12.079865931549955</v>
      </c>
      <c r="S54" s="1">
        <f>IF(COUNT(Q54:R54)=2,R54-Q54,"")</f>
        <v>-34.75742697760396</v>
      </c>
    </row>
    <row r="55" spans="1:19">
      <c r="A55" s="1">
        <v>17</v>
      </c>
      <c r="B55" s="1">
        <v>16</v>
      </c>
      <c r="C55" s="1">
        <f>IF(844646&gt;0,100*17331/844646,"")</f>
        <v>2.0518655152572793</v>
      </c>
      <c r="D55" s="1">
        <f>IF(843198&gt;0,100*29560/843198,"")</f>
        <v>3.5057009148503675</v>
      </c>
      <c r="E55" s="1">
        <f>IF(COUNT(C55:D55)=2,D55-C55,"")</f>
        <v>1.4538353995930882</v>
      </c>
      <c r="H55" s="1">
        <v>17</v>
      </c>
      <c r="I55" s="1">
        <v>16</v>
      </c>
      <c r="J55" s="1">
        <f>IF(2198372&gt;0,100*828948/2198372,"")</f>
        <v>37.70735799036742</v>
      </c>
      <c r="K55" s="1">
        <f>IF(1295119&gt;0,100*152483/1295119,"")</f>
        <v>11.773667130201934</v>
      </c>
      <c r="L55" s="1">
        <f>IF(COUNT(J55:K55)=2,K55-J55,"")</f>
        <v>-25.933690860165484</v>
      </c>
      <c r="O55" s="1">
        <v>17</v>
      </c>
      <c r="P55" s="1">
        <v>16</v>
      </c>
      <c r="Q55" s="1">
        <f>IF(2139602&gt;0,100*724511/2139602,"")</f>
        <v>33.8619518957264</v>
      </c>
      <c r="R55" s="1">
        <f>IF(2330460&gt;0,100*463111/2330460,"")</f>
        <v>19.872085339375058</v>
      </c>
      <c r="S55" s="1">
        <f>IF(COUNT(Q55:R55)=2,R55-Q55,"")</f>
        <v>-13.989866556351341</v>
      </c>
    </row>
    <row r="56" spans="1:19">
      <c r="A56" s="1">
        <v>18</v>
      </c>
      <c r="B56" s="1">
        <v>17</v>
      </c>
      <c r="C56" s="1">
        <f>IF(913631&gt;0,100*114254/913631,"")</f>
        <v>12.505486350616387</v>
      </c>
      <c r="D56" s="1">
        <f>IF(764648&gt;0,100*13229/764648,"")</f>
        <v>1.7300771073748966</v>
      </c>
      <c r="E56" s="1">
        <f>IF(COUNT(C56:D56)=2,D56-C56,"")</f>
        <v>-10.77540924324149</v>
      </c>
      <c r="H56" s="1">
        <v>18</v>
      </c>
      <c r="I56" s="1">
        <v>17</v>
      </c>
      <c r="J56" s="1">
        <f>IF(2215&gt;0,100*355/2215,"")</f>
        <v>16.02708803611738</v>
      </c>
      <c r="K56" s="1">
        <f>IF(1530950&gt;0,100*17379/1530950,"")</f>
        <v>1.135177504164081</v>
      </c>
      <c r="L56" s="1">
        <f>IF(COUNT(J56:K56)=2,K56-J56,"")</f>
        <v>-14.891910531953299</v>
      </c>
      <c r="O56" s="1">
        <v>18</v>
      </c>
      <c r="P56" s="1">
        <v>17</v>
      </c>
      <c r="Q56" s="1">
        <f>IF(2597163&gt;0,100*1238582/2597163,"")</f>
        <v>47.68980614616795</v>
      </c>
      <c r="R56" s="1">
        <f>IF(1396275&gt;0,100*72754/1396275,"")</f>
        <v>5.210578145422643</v>
      </c>
      <c r="S56" s="1">
        <f>IF(COUNT(Q56:R56)=2,R56-Q56,"")</f>
        <v>-42.47922800074531</v>
      </c>
    </row>
    <row r="57" spans="1:19">
      <c r="A57" s="1">
        <v>19</v>
      </c>
      <c r="B57" s="1">
        <v>18</v>
      </c>
      <c r="C57" s="1">
        <f>IF(2015196&gt;0,100*813734/2015196,"")</f>
        <v>40.37989356866528</v>
      </c>
      <c r="D57" s="1">
        <f>IF(847776&gt;0,100*198216/847776,"")</f>
        <v>23.38070433699468</v>
      </c>
      <c r="E57" s="1">
        <f>IF(COUNT(C57:D57)=2,D57-C57,"")</f>
        <v>-16.999189231670602</v>
      </c>
      <c r="H57" s="1">
        <v>19</v>
      </c>
      <c r="I57" s="1">
        <v>18</v>
      </c>
      <c r="J57" s="1">
        <f>IF(1892358&gt;0,100*622212/1892358,"")</f>
        <v>32.880247817801916</v>
      </c>
      <c r="K57" s="1">
        <f>IF(176607&gt;0,100*24462/176607,"")</f>
        <v>13.851093105029811</v>
      </c>
      <c r="L57" s="1">
        <f>IF(COUNT(J57:K57)=2,K57-J57,"")</f>
        <v>-19.029154712772105</v>
      </c>
      <c r="O57" s="1">
        <v>19</v>
      </c>
      <c r="P57" s="1">
        <v>18</v>
      </c>
      <c r="Q57" s="1">
        <f>IF(1995148&gt;0,100*689134/1995148,"")</f>
        <v>34.54049524145577</v>
      </c>
      <c r="R57" s="1">
        <f>IF(1201576&gt;0,100*129297/1201576,"")</f>
        <v>10.760617722058363</v>
      </c>
      <c r="S57" s="1">
        <f>IF(COUNT(Q57:R57)=2,R57-Q57,"")</f>
        <v>-23.77987751939741</v>
      </c>
    </row>
    <row r="58" spans="1:19">
      <c r="A58" s="1">
        <v>20</v>
      </c>
      <c r="B58" s="1">
        <v>19</v>
      </c>
      <c r="C58" s="1">
        <f>IF(2178136&gt;0,100*944455/2178136,"")</f>
        <v>43.36069924008418</v>
      </c>
      <c r="D58" s="1">
        <f>IF(2219834&gt;0,100*605087/2219834,"")</f>
        <v>27.258209397639643</v>
      </c>
      <c r="E58" s="1">
        <f>IF(COUNT(C58:D58)=2,D58-C58,"")</f>
        <v>-16.102489842444538</v>
      </c>
      <c r="H58" s="1">
        <v>20</v>
      </c>
      <c r="I58" s="1">
        <v>19</v>
      </c>
      <c r="J58" s="1">
        <f>IF(2533784&gt;0,100*1139277/2533784,"")</f>
        <v>44.96346176311793</v>
      </c>
      <c r="K58" s="1">
        <f>IF(1539475&gt;0,100*240467/1539475,"")</f>
        <v>15.620065281995485</v>
      </c>
      <c r="L58" s="1">
        <f>IF(COUNT(J58:K58)=2,K58-J58,"")</f>
        <v>-29.34339648112244</v>
      </c>
      <c r="O58" s="1">
        <v>20</v>
      </c>
      <c r="P58" s="1">
        <v>19</v>
      </c>
      <c r="Q58" s="1">
        <f>IF(2139229&gt;0,100*899475/2139229,"")</f>
        <v>42.0466906535018</v>
      </c>
      <c r="R58" s="1">
        <f>IF(1818623&gt;0,100*153901/1818623,"")</f>
        <v>8.462501573993071</v>
      </c>
      <c r="S58" s="1">
        <f>IF(COUNT(Q58:R58)=2,R58-Q58,"")</f>
        <v>-33.584189079508725</v>
      </c>
    </row>
    <row r="59" spans="1:19">
      <c r="A59" s="1">
        <v>21</v>
      </c>
      <c r="B59" s="1">
        <v>20</v>
      </c>
      <c r="C59" s="1">
        <f>IF(1558100&gt;0,100*473205/1558100,"")</f>
        <v>30.37064373275143</v>
      </c>
      <c r="D59" s="1">
        <f>IF(1426401&gt;0,100*232340/1426401,"")</f>
        <v>16.28854718974538</v>
      </c>
      <c r="E59" s="1">
        <f>IF(COUNT(C59:D59)=2,D59-C59,"")</f>
        <v>-14.082096543006049</v>
      </c>
      <c r="H59" s="1">
        <v>21</v>
      </c>
      <c r="I59" s="1">
        <v>20</v>
      </c>
      <c r="J59" s="1">
        <f>IF(2773746&gt;0,100*1088927/2773746,"")</f>
        <v>39.25835314408745</v>
      </c>
      <c r="K59" s="1">
        <f>IF(1314992&gt;0,100*55349/1314992,"")</f>
        <v>4.209075036197939</v>
      </c>
      <c r="L59" s="1">
        <f>IF(COUNT(J59:K59)=2,K59-J59,"")</f>
        <v>-35.04927810788951</v>
      </c>
      <c r="O59" s="1">
        <v>21</v>
      </c>
      <c r="P59" s="1">
        <v>20</v>
      </c>
      <c r="Q59" s="1">
        <f>IF(2422246&gt;0,100*1045754/2422246,"")</f>
        <v>43.172906467798896</v>
      </c>
      <c r="R59" s="1">
        <f>IF(1647088&gt;0,100*258729/1647088,"")</f>
        <v>15.708268167821027</v>
      </c>
      <c r="S59" s="1">
        <f>IF(COUNT(Q59:R59)=2,R59-Q59,"")</f>
        <v>-27.46463829997787</v>
      </c>
    </row>
    <row r="60" spans="1:19">
      <c r="A60" s="1">
        <v>22</v>
      </c>
      <c r="B60" s="1">
        <v>21</v>
      </c>
      <c r="C60" s="1">
        <f>IF(1857644&gt;0,100*847880/1857644,"")</f>
        <v>45.64276039973213</v>
      </c>
      <c r="D60" s="1">
        <f>IF(1250415&gt;0,100*255265/1250415,"")</f>
        <v>20.414422411759297</v>
      </c>
      <c r="E60" s="1">
        <f>IF(COUNT(C60:D60)=2,D60-C60,"")</f>
        <v>-25.228337987972836</v>
      </c>
      <c r="H60" s="1">
        <v>22</v>
      </c>
      <c r="I60" s="1">
        <v>21</v>
      </c>
      <c r="J60" s="1">
        <f>IF(2183759&gt;0,100*997955/2183759,"")</f>
        <v>45.69895304381115</v>
      </c>
      <c r="K60" s="1">
        <f>IF(2159756&gt;0,100*594002/2159756,"")</f>
        <v>27.503199435491787</v>
      </c>
      <c r="L60" s="1">
        <f>IF(COUNT(J60:K60)=2,K60-J60,"")</f>
        <v>-18.195753608319365</v>
      </c>
      <c r="O60" s="1">
        <v>22</v>
      </c>
      <c r="P60" s="1">
        <v>21</v>
      </c>
      <c r="Q60" s="1">
        <f>IF(2052914&gt;0,100*716282/2052914,"")</f>
        <v>34.890989101345696</v>
      </c>
      <c r="R60" s="1">
        <f>IF(1484507&gt;0,100*320063/1484507,"")</f>
        <v>21.560221676287146</v>
      </c>
      <c r="S60" s="1">
        <f>IF(COUNT(Q60:R60)=2,R60-Q60,"")</f>
        <v>-13.33076742505855</v>
      </c>
    </row>
    <row r="61" spans="1:19">
      <c r="A61" s="1">
        <v>23</v>
      </c>
      <c r="B61" s="1">
        <v>22</v>
      </c>
      <c r="C61" s="1">
        <f>IF(696517&gt;0,100*2264/696517,"")</f>
        <v>0.325045906991502</v>
      </c>
      <c r="D61" s="1">
        <f>IF(680175&gt;0,100*1229/680175,"")</f>
        <v>0.18068879332524718</v>
      </c>
      <c r="E61" s="1">
        <f>IF(COUNT(C61:D61)=2,D61-C61,"")</f>
        <v>-0.1443571136662548</v>
      </c>
      <c r="H61" s="1">
        <v>23</v>
      </c>
      <c r="I61" s="1">
        <v>22</v>
      </c>
      <c r="J61" s="1">
        <f>IF(2492569&gt;0,100*1249101/2492569,"")</f>
        <v>50.11299586892078</v>
      </c>
      <c r="K61" s="1">
        <f>IF(1381698&gt;0,100*132458/1381698,"")</f>
        <v>9.586610098588837</v>
      </c>
      <c r="L61" s="1">
        <f>IF(COUNT(J61:K61)=2,K61-J61,"")</f>
        <v>-40.52638577033194</v>
      </c>
      <c r="O61" s="1">
        <v>23</v>
      </c>
      <c r="P61" s="1">
        <v>22</v>
      </c>
      <c r="Q61" s="1">
        <f>IF(2322764&gt;0,100*881160/2322764,"")</f>
        <v>37.935838509637655</v>
      </c>
      <c r="R61" s="1">
        <f>IF(2061121&gt;0,100*248351/2061121,"")</f>
        <v>12.04931685233424</v>
      </c>
      <c r="S61" s="1">
        <f>IF(COUNT(Q61:R61)=2,R61-Q61,"")</f>
        <v>-25.886521657303415</v>
      </c>
    </row>
    <row r="62" spans="1:19">
      <c r="A62" s="1">
        <v>24</v>
      </c>
      <c r="B62" s="1">
        <v>23</v>
      </c>
      <c r="C62" s="1">
        <f>IF(1622857&gt;0,100*324323/1622857,"")</f>
        <v>19.98469366062444</v>
      </c>
      <c r="D62" s="1">
        <f>IF(1347793&gt;0,100*61764/1347793,"")</f>
        <v>4.582602818088534</v>
      </c>
      <c r="E62" s="1">
        <f>IF(COUNT(C62:D62)=2,D62-C62,"")</f>
        <v>-15.402090842535905</v>
      </c>
      <c r="H62" s="1">
        <v>24</v>
      </c>
      <c r="I62" s="1">
        <v>23</v>
      </c>
      <c r="J62" s="1">
        <f>IF(2618354&gt;0,100*1195641/2618354,"")</f>
        <v>45.663840718252764</v>
      </c>
      <c r="K62" s="1">
        <f>IF(1784286&gt;0,100*168485/1784286,"")</f>
        <v>9.44271265929341</v>
      </c>
      <c r="L62" s="1">
        <f>IF(COUNT(J62:K62)=2,K62-J62,"")</f>
        <v>-36.22112805895935</v>
      </c>
      <c r="O62" s="1">
        <v>24</v>
      </c>
      <c r="P62" s="1">
        <v>23</v>
      </c>
      <c r="Q62" s="1">
        <f>IF(1862901&gt;0,100*489468/1862901,"")</f>
        <v>26.27450412018674</v>
      </c>
      <c r="R62" s="1">
        <f>IF(1185025&gt;0,100*20866/1185025,"")</f>
        <v>1.760806734035147</v>
      </c>
      <c r="S62" s="1">
        <f>IF(COUNT(Q62:R62)=2,R62-Q62,"")</f>
        <v>-24.513697386151595</v>
      </c>
    </row>
    <row r="63" spans="1:19">
      <c r="A63" s="1">
        <v>25</v>
      </c>
      <c r="B63" s="1">
        <v>24</v>
      </c>
      <c r="C63" s="1">
        <f>IF(1310506&gt;0,100*408672/1310506,"")</f>
        <v>31.184290648039763</v>
      </c>
      <c r="D63" s="1">
        <f>IF(1481922&gt;0,100*351231/1481922,"")</f>
        <v>23.701044994270955</v>
      </c>
      <c r="E63" s="1">
        <f>IF(COUNT(C63:D63)=2,D63-C63,"")</f>
        <v>-7.483245653768808</v>
      </c>
      <c r="H63" s="1">
        <v>25</v>
      </c>
      <c r="I63" s="1">
        <v>24</v>
      </c>
      <c r="J63" s="1">
        <f>IF(2421034&gt;0,100*1042416/2421034,"")</f>
        <v>43.05664439243728</v>
      </c>
      <c r="K63" s="1">
        <f>IF(1341914&gt;0,100*143229/1341914,"")</f>
        <v>10.67348578224834</v>
      </c>
      <c r="L63" s="1">
        <f>IF(COUNT(J63:K63)=2,K63-J63,"")</f>
        <v>-32.383158610188936</v>
      </c>
      <c r="O63" s="1">
        <v>25</v>
      </c>
      <c r="P63" s="1">
        <v>24</v>
      </c>
      <c r="Q63" s="1">
        <f>IF(2310152&gt;0,100*1014877/2310152,"")</f>
        <v>43.931178554484724</v>
      </c>
      <c r="R63" s="1">
        <f>IF(1624424&gt;0,100*121038/1624424,"")</f>
        <v>7.451133447917539</v>
      </c>
      <c r="S63" s="1">
        <f>IF(COUNT(Q63:R63)=2,R63-Q63,"")</f>
        <v>-36.48004510656718</v>
      </c>
    </row>
    <row r="64" spans="1:19">
      <c r="A64" s="1">
        <v>26</v>
      </c>
      <c r="B64" s="1">
        <v>25</v>
      </c>
      <c r="C64" s="1">
        <f>IF(2238694&gt;0,100*1062953/2238694,"")</f>
        <v>47.480942013513236</v>
      </c>
      <c r="D64" s="1">
        <f>IF(20369&gt;0,100*6282/20369,"")</f>
        <v>30.84098384800432</v>
      </c>
      <c r="E64" s="1">
        <f>IF(COUNT(C64:D64)=2,D64-C64,"")</f>
        <v>-16.639958165508915</v>
      </c>
      <c r="H64" s="1">
        <v>26</v>
      </c>
      <c r="I64" s="1">
        <v>25</v>
      </c>
      <c r="J64" s="1">
        <f>IF(1745904&gt;0,100*492009/1745904,"")</f>
        <v>28.18075907953702</v>
      </c>
      <c r="K64" s="1">
        <f>IF(2408252&gt;0,100*454502/2408252,"")</f>
        <v>18.87269272484773</v>
      </c>
      <c r="L64" s="1">
        <f>IF(COUNT(J64:K64)=2,K64-J64,"")</f>
        <v>-9.308066354689288</v>
      </c>
      <c r="O64" s="1">
        <v>26</v>
      </c>
      <c r="P64" s="1">
        <v>25</v>
      </c>
      <c r="Q64" s="1">
        <f>IF(2669118&gt;0,100*1197813/2669118,"")</f>
        <v>44.876734561754105</v>
      </c>
      <c r="R64" s="1">
        <f>IF(1333149&gt;0,100*114006/1333149,"")</f>
        <v>8.551632263160382</v>
      </c>
      <c r="S64" s="1">
        <f>IF(COUNT(Q64:R64)=2,R64-Q64,"")</f>
        <v>-36.32510229859372</v>
      </c>
    </row>
    <row r="65" spans="1:19">
      <c r="A65" s="1">
        <v>27</v>
      </c>
      <c r="B65" s="1">
        <v>26</v>
      </c>
      <c r="C65" s="1">
        <f>IF(1647328&gt;0,100*574346/1647328,"")</f>
        <v>34.86530915518949</v>
      </c>
      <c r="D65" s="1">
        <f>IF(2183946&gt;0,100*631085/2183946,"")</f>
        <v>28.896547808416507</v>
      </c>
      <c r="E65" s="1">
        <f>IF(COUNT(C65:D65)=2,D65-C65,"")</f>
        <v>-5.968761346772986</v>
      </c>
      <c r="H65" s="1">
        <v>27</v>
      </c>
      <c r="I65" s="1">
        <v>26</v>
      </c>
      <c r="J65" s="1">
        <f>IF(2195965&gt;0,100*781488/2195965,"")</f>
        <v>35.587452441181895</v>
      </c>
      <c r="K65" s="1">
        <f>IF(2463944&gt;0,100*547769/2463944,"")</f>
        <v>22.23138999912336</v>
      </c>
      <c r="L65" s="1">
        <f>IF(COUNT(J65:K65)=2,K65-J65,"")</f>
        <v>-13.356062442058537</v>
      </c>
      <c r="O65" s="1">
        <v>27</v>
      </c>
      <c r="P65" s="1">
        <v>26</v>
      </c>
      <c r="Q65" s="1">
        <f>IF(2415042&gt;0,100*766118/2415042,"")</f>
        <v>31.722760929209514</v>
      </c>
      <c r="R65" s="1">
        <f>IF(2029814&gt;0,100*292369/2029814,"")</f>
        <v>14.403733544058717</v>
      </c>
      <c r="S65" s="1">
        <f>IF(COUNT(Q65:R65)=2,R65-Q65,"")</f>
        <v>-17.319027385150797</v>
      </c>
    </row>
    <row r="66" spans="1:19">
      <c r="A66" s="1">
        <v>28</v>
      </c>
      <c r="B66" s="1">
        <v>27</v>
      </c>
      <c r="C66" s="1">
        <f>IF(665364&gt;0,100*675/665364,"")</f>
        <v>0.10144822984110953</v>
      </c>
      <c r="D66" s="1">
        <f>IF(710892&gt;0,100*9956/710892,"")</f>
        <v>1.4004940272221378</v>
      </c>
      <c r="E66" s="1">
        <f>IF(COUNT(C66:D66)=2,D66-C66,"")</f>
        <v>1.2990457973810283</v>
      </c>
      <c r="H66" s="1">
        <v>28</v>
      </c>
      <c r="I66" s="1">
        <v>27</v>
      </c>
      <c r="J66" s="1">
        <f>IF(1703605&gt;0,100*670593/1703605,"")</f>
        <v>39.36317397518791</v>
      </c>
      <c r="K66" s="1">
        <f>IF(1771918&gt;0,100*314742/1771918,"")</f>
        <v>17.7627858625512</v>
      </c>
      <c r="L66" s="1">
        <f>IF(COUNT(J66:K66)=2,K66-J66,"")</f>
        <v>-21.60038811263671</v>
      </c>
      <c r="O66" s="1">
        <v>28</v>
      </c>
      <c r="P66" s="1">
        <v>27</v>
      </c>
      <c r="Q66" s="1">
        <f>IF(1500981&gt;0,100*448455/1500981,"")</f>
        <v>29.877460141067743</v>
      </c>
      <c r="R66" s="1">
        <f>IF(1840780&gt;0,100*328695/1840780,"")</f>
        <v>17.856289181759905</v>
      </c>
      <c r="S66" s="1">
        <f>IF(COUNT(Q66:R66)=2,R66-Q66,"")</f>
        <v>-12.021170959307838</v>
      </c>
    </row>
    <row r="67" spans="1:19">
      <c r="A67" s="1">
        <v>29</v>
      </c>
      <c r="B67" s="1">
        <v>28</v>
      </c>
      <c r="C67" s="1">
        <f>IF(1808091&gt;0,100*652193/1808091,"")</f>
        <v>36.070806170707115</v>
      </c>
      <c r="D67" s="1">
        <f>IF(2047381&gt;0,100*434463/2047381,"")</f>
        <v>21.22042746318345</v>
      </c>
      <c r="E67" s="1">
        <f>IF(COUNT(C67:D67)=2,D67-C67,"")</f>
        <v>-14.850378707523664</v>
      </c>
      <c r="H67" s="1">
        <v>29</v>
      </c>
      <c r="I67" s="1">
        <v>28</v>
      </c>
      <c r="J67" s="1">
        <f>IF(2391442&gt;0,100*1116314/2391442,"")</f>
        <v>46.67953477441644</v>
      </c>
      <c r="K67" s="1">
        <f>IF(2051946&gt;0,100*379107/2051946,"")</f>
        <v>18.475486197005186</v>
      </c>
      <c r="L67" s="1">
        <f>IF(COUNT(J67:K67)=2,K67-J67,"")</f>
        <v>-28.204048577411253</v>
      </c>
      <c r="O67" s="1">
        <v>29</v>
      </c>
      <c r="P67" s="1">
        <v>28</v>
      </c>
      <c r="Q67" s="1">
        <f>IF(2050506&gt;0,100*857322/2050506,"")</f>
        <v>41.810265368645595</v>
      </c>
      <c r="R67" s="1">
        <f>IF(1784328&gt;0,100*213916/1784328,"")</f>
        <v>11.988602992274963</v>
      </c>
      <c r="S67" s="1">
        <f>IF(COUNT(Q67:R67)=2,R67-Q67,"")</f>
        <v>-29.821662376370632</v>
      </c>
    </row>
    <row r="68" spans="1:19">
      <c r="A68" s="1">
        <v>30</v>
      </c>
      <c r="B68" s="1">
        <v>29</v>
      </c>
      <c r="C68" s="1">
        <f>IF(1942903&gt;0,100*844208/1942903,"")</f>
        <v>43.45085678492441</v>
      </c>
      <c r="D68" s="1">
        <f>IF(1471333&gt;0,100*268023/1471333,"")</f>
        <v>18.216338517521187</v>
      </c>
      <c r="E68" s="1">
        <f>IF(COUNT(C68:D68)=2,D68-C68,"")</f>
        <v>-25.234518267403224</v>
      </c>
      <c r="H68" s="1">
        <v>30</v>
      </c>
      <c r="I68" s="1">
        <v>29</v>
      </c>
      <c r="J68" s="1">
        <f>IF(1886067&gt;0,100*615825/1886067,"")</f>
        <v>32.65127909029743</v>
      </c>
      <c r="K68" s="1">
        <f>IF(1581259&gt;0,100*192739/1581259,"")</f>
        <v>12.188958292095096</v>
      </c>
      <c r="L68" s="1">
        <f>IF(COUNT(J68:K68)=2,K68-J68,"")</f>
        <v>-20.462320798202335</v>
      </c>
      <c r="O68" s="1">
        <v>30</v>
      </c>
      <c r="P68" s="1">
        <v>29</v>
      </c>
      <c r="Q68" s="1">
        <f>IF(1124834&gt;0,100*57569/1124834,"")</f>
        <v>5.1179996337237315</v>
      </c>
      <c r="R68" s="1">
        <f>IF(922546&gt;0,100*19755/922546,"")</f>
        <v>2.1413566369590242</v>
      </c>
      <c r="S68" s="1">
        <f>IF(COUNT(Q68:R68)=2,R68-Q68,"")</f>
        <v>-2.9766429967647072</v>
      </c>
    </row>
    <row r="69" spans="1:19">
      <c r="A69" s="1">
        <v>31</v>
      </c>
      <c r="B69" s="1">
        <v>30</v>
      </c>
      <c r="C69" s="1">
        <f>IF(1247391&gt;0,100*5792/1247391,"")</f>
        <v>0.4643291477972825</v>
      </c>
      <c r="D69" s="1">
        <f>IF(2956708&gt;0,100*62054/2956708,"")</f>
        <v>2.0987530726740684</v>
      </c>
      <c r="E69" s="1">
        <f>IF(COUNT(C69:D69)=2,D69-C69,"")</f>
        <v>1.6344239248767858</v>
      </c>
      <c r="H69" s="1">
        <v>31</v>
      </c>
      <c r="I69" s="1">
        <v>30</v>
      </c>
      <c r="J69" s="1">
        <f>IF(2131633&gt;0,100*739570/2131633,"")</f>
        <v>34.69499674662571</v>
      </c>
      <c r="K69" s="1">
        <f>IF(1740706&gt;0,100*229646/1740706,"")</f>
        <v>13.192693079704442</v>
      </c>
      <c r="L69" s="1">
        <f>IF(COUNT(J69:K69)=2,K69-J69,"")</f>
        <v>-21.50230366692127</v>
      </c>
      <c r="O69" s="1">
        <v>31</v>
      </c>
      <c r="P69" s="1">
        <v>30</v>
      </c>
      <c r="Q69" s="1">
        <f>IF(1670334&gt;0,100*513883/1670334,"")</f>
        <v>30.765284068934715</v>
      </c>
      <c r="R69" s="1">
        <f>IF(1526961&gt;0,100*227696/1526961,"")</f>
        <v>14.91171025324157</v>
      </c>
      <c r="S69" s="1">
        <f>IF(COUNT(Q69:R69)=2,R69-Q69,"")</f>
        <v>-15.853573815693146</v>
      </c>
    </row>
    <row r="70" spans="1:19">
      <c r="A70" s="2" t="s">
        <v>6</v>
      </c>
      <c r="B70" s="1"/>
      <c r="C70" s="1">
        <f>IF(COUNT(C39:C69)&gt;0,AVERAGE(C39:C69),"")</f>
        <v>30.562133085533812</v>
      </c>
      <c r="D70" s="1">
        <f>IF(COUNT(D39:D69)&gt;0,AVERAGE(D39:D69),"")</f>
        <v>15.105444253531653</v>
      </c>
      <c r="E70" s="1">
        <f>IF(COUNT(E39:E69)&gt;0,AVERAGE(E39:E69),"")</f>
        <v>-15.456688832002158</v>
      </c>
      <c r="H70" s="2" t="s">
        <v>6</v>
      </c>
      <c r="I70" s="1"/>
      <c r="J70" s="1">
        <f>IF(COUNT(J39:J69)&gt;0,AVERAGE(J39:J69),"")</f>
        <v>32.74960009631654</v>
      </c>
      <c r="K70" s="1">
        <f>IF(COUNT(K39:K69)&gt;0,AVERAGE(K39:K69),"")</f>
        <v>12.92243279040359</v>
      </c>
      <c r="L70" s="1">
        <f>IF(COUNT(L39:L69)&gt;0,AVERAGE(L39:L69),"")</f>
        <v>-19.827167305912948</v>
      </c>
      <c r="O70" s="2" t="s">
        <v>6</v>
      </c>
      <c r="P70" s="1"/>
      <c r="Q70" s="1">
        <f>IF(COUNT(Q39:Q69)&gt;0,AVERAGE(Q39:Q69),"")</f>
        <v>31.481548328397977</v>
      </c>
      <c r="R70" s="1">
        <f>IF(COUNT(R39:R69)&gt;0,AVERAGE(R39:R69),"")</f>
        <v>10.846814031397768</v>
      </c>
      <c r="S70" s="1">
        <f>IF(COUNT(S39:S69)&gt;0,AVERAGE(S39:S69),"")</f>
        <v>-20.63473429700021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IF(1227574&gt;0,100*38510/1227574,"")</f>
        <v>3.1370817563747684</v>
      </c>
      <c r="D75" s="1">
        <f>IF(1493984&gt;0,100*198819/1493984,"")</f>
        <v>13.307973847109473</v>
      </c>
      <c r="E75" s="1">
        <f>IF(COUNT(C75:D75)=2,D75-C75,"")</f>
        <v>10.170892090734704</v>
      </c>
      <c r="H75" s="1">
        <v>1</v>
      </c>
      <c r="I75" s="1">
        <v>0</v>
      </c>
      <c r="J75" s="1">
        <f>IF(2974908&gt;0,100*1593753/2974908,"")</f>
        <v>53.573186128781124</v>
      </c>
      <c r="K75" s="1">
        <f>IF(1539953&gt;0,100*98534/1539953,"")</f>
        <v>6.398506967420435</v>
      </c>
      <c r="L75" s="1">
        <f>IF(COUNT(J75:K75)=2,K75-J75,"")</f>
        <v>-47.174679161360686</v>
      </c>
      <c r="O75" s="1">
        <v>1</v>
      </c>
      <c r="P75" s="1">
        <v>0</v>
      </c>
      <c r="Q75" s="1">
        <f>IF(2673895&gt;0,100*1212503/2673895,"")</f>
        <v>45.34594664337979</v>
      </c>
      <c r="R75" s="1">
        <f>IF(1549698&gt;0,100*74471/1549698,"")</f>
        <v>4.805516945882359</v>
      </c>
      <c r="S75" s="1">
        <f>IF(COUNT(Q75:R75)=2,R75-Q75,"")</f>
        <v>-40.54042969749743</v>
      </c>
    </row>
    <row r="76" spans="1:19">
      <c r="A76" s="1">
        <v>2</v>
      </c>
      <c r="B76" s="1">
        <v>1</v>
      </c>
      <c r="C76" s="1">
        <f>IF(1624357&gt;0,100*617829/1624357,"")</f>
        <v>38.03529642806353</v>
      </c>
      <c r="D76" s="1">
        <f>IF(1226137&gt;0,100*225845/1226137,"")</f>
        <v>18.419230477507814</v>
      </c>
      <c r="E76" s="1">
        <f>IF(COUNT(C76:D76)=2,D76-C76,"")</f>
        <v>-19.61606595055572</v>
      </c>
      <c r="H76" s="1">
        <v>2</v>
      </c>
      <c r="I76" s="1">
        <v>1</v>
      </c>
      <c r="J76" s="1">
        <f>IF(2706515&gt;0,100*1225890/2706515,"")</f>
        <v>45.29404049118516</v>
      </c>
      <c r="K76" s="1">
        <f>IF(2431365&gt;0,100*471127/2431365,"")</f>
        <v>19.377057743284123</v>
      </c>
      <c r="L76" s="1">
        <f>IF(COUNT(J76:K76)=2,K76-J76,"")</f>
        <v>-25.916982747901034</v>
      </c>
      <c r="O76" s="1">
        <v>2</v>
      </c>
      <c r="P76" s="1">
        <v>1</v>
      </c>
      <c r="Q76" s="1">
        <f>IF(2467592&gt;0,100*1063705/2467592,"")</f>
        <v>43.1070047236334</v>
      </c>
      <c r="R76" s="1">
        <f>IF(687110&gt;0,100*56099/687110,"")</f>
        <v>8.164486035714805</v>
      </c>
      <c r="S76" s="1">
        <f>IF(COUNT(Q76:R76)=2,R76-Q76,"")</f>
        <v>-34.94251868791859</v>
      </c>
    </row>
    <row r="77" spans="1:19">
      <c r="A77" s="1">
        <v>3</v>
      </c>
      <c r="B77" s="1">
        <v>2</v>
      </c>
      <c r="C77" s="1">
        <f>IF(1673401&gt;0,100*672518/1673401,"")</f>
        <v>40.18869356478214</v>
      </c>
      <c r="D77" s="1">
        <f>IF(1861061&gt;0,100*428622/1861061,"")</f>
        <v>23.031055940670402</v>
      </c>
      <c r="E77" s="1">
        <f>IF(COUNT(C77:D77)=2,D77-C77,"")</f>
        <v>-17.15763762411174</v>
      </c>
      <c r="H77" s="1">
        <v>3</v>
      </c>
      <c r="I77" s="1">
        <v>2</v>
      </c>
      <c r="J77" s="1">
        <f>IF(2238301&gt;0,100*947036/2238301,"")</f>
        <v>42.31048460417075</v>
      </c>
      <c r="K77" s="1">
        <f>IF(2447305&gt;0,100*319608/2447305,"")</f>
        <v>13.05959003883864</v>
      </c>
      <c r="L77" s="1">
        <f>IF(COUNT(J77:K77)=2,K77-J77,"")</f>
        <v>-29.25089456533211</v>
      </c>
      <c r="O77" s="1">
        <v>3</v>
      </c>
      <c r="P77" s="1">
        <v>2</v>
      </c>
      <c r="Q77" s="1">
        <f>IF(2033898&gt;0,100*82955/2033898,"")</f>
        <v>4.07862144512655</v>
      </c>
      <c r="R77" s="1">
        <f>IF(2861752&gt;0,100*690002/2861752,"")</f>
        <v>24.111173854338183</v>
      </c>
      <c r="S77" s="1">
        <f>IF(COUNT(Q77:R77)=2,R77-Q77,"")</f>
        <v>20.032552409211632</v>
      </c>
    </row>
    <row r="78" spans="1:19">
      <c r="A78" s="1">
        <v>4</v>
      </c>
      <c r="B78" s="1">
        <v>3</v>
      </c>
      <c r="C78" s="1">
        <f>IF(1853726&gt;0,100*857824/1853726,"")</f>
        <v>46.2756631778375</v>
      </c>
      <c r="D78" s="1">
        <f>IF(2644990&gt;0,100*709819/2644990,"")</f>
        <v>26.836358549559733</v>
      </c>
      <c r="E78" s="1">
        <f>IF(COUNT(C78:D78)=2,D78-C78,"")</f>
        <v>-19.439304628277768</v>
      </c>
      <c r="H78" s="1">
        <v>4</v>
      </c>
      <c r="I78" s="1">
        <v>3</v>
      </c>
      <c r="J78" s="1">
        <f>IF(2473338&gt;0,100*1144203/2473338,"")</f>
        <v>46.2614895335777</v>
      </c>
      <c r="K78" s="1">
        <f>IF(1505130&gt;0,100*83404/1505130,"")</f>
        <v>5.541315368107738</v>
      </c>
      <c r="L78" s="1">
        <f>IF(COUNT(J78:K78)=2,K78-J78,"")</f>
        <v>-40.72017416546996</v>
      </c>
      <c r="O78" s="1">
        <v>4</v>
      </c>
      <c r="P78" s="1">
        <v>3</v>
      </c>
      <c r="Q78" s="1">
        <f>IF(2535025&gt;0,100*1351101/2535025,"")</f>
        <v>53.29734420765081</v>
      </c>
      <c r="R78" s="1">
        <f>IF(1832442&gt;0,100*205289/1832442,"")</f>
        <v>11.203028526960198</v>
      </c>
      <c r="S78" s="1">
        <f>IF(COUNT(Q78:R78)=2,R78-Q78,"")</f>
        <v>-42.09431568069061</v>
      </c>
    </row>
    <row r="79" spans="1:19">
      <c r="A79" s="1">
        <v>5</v>
      </c>
      <c r="B79" s="1">
        <v>4</v>
      </c>
      <c r="C79" s="1">
        <f>IF(2574341&gt;0,100*1256270/2574341,"")</f>
        <v>48.79967339214191</v>
      </c>
      <c r="D79" s="1">
        <f>IF(1591945&gt;0,100*191377/1591945,"")</f>
        <v>12.021583660239518</v>
      </c>
      <c r="E79" s="1">
        <f>IF(COUNT(C79:D79)=2,D79-C79,"")</f>
        <v>-36.7780897319024</v>
      </c>
      <c r="H79" s="1">
        <v>5</v>
      </c>
      <c r="I79" s="1">
        <v>4</v>
      </c>
      <c r="J79" s="1">
        <f>IF(2594432&gt;0,100*1209716/2594432,"")</f>
        <v>46.627392816616506</v>
      </c>
      <c r="K79" s="1">
        <f>IF(2691380&gt;0,100*630422/2691380,"")</f>
        <v>23.423745439142746</v>
      </c>
      <c r="L79" s="1">
        <f>IF(COUNT(J79:K79)=2,K79-J79,"")</f>
        <v>-23.20364737747376</v>
      </c>
      <c r="O79" s="1">
        <v>5</v>
      </c>
      <c r="P79" s="1">
        <v>4</v>
      </c>
      <c r="Q79" s="1">
        <f>IF(2505160&gt;0,100*1184605/2505160,"")</f>
        <v>47.28660045665746</v>
      </c>
      <c r="R79" s="1">
        <f>IF(2746730&gt;0,100*667521/2746730,"")</f>
        <v>24.30238865851394</v>
      </c>
      <c r="S79" s="1">
        <f>IF(COUNT(Q79:R79)=2,R79-Q79,"")</f>
        <v>-22.98421179814352</v>
      </c>
    </row>
    <row r="80" spans="1:19">
      <c r="A80" s="1">
        <v>6</v>
      </c>
      <c r="B80" s="1">
        <v>5</v>
      </c>
      <c r="C80" s="1">
        <f>IF(2161281&gt;0,100*837619/2161281,"")</f>
        <v>38.75567314014235</v>
      </c>
      <c r="D80" s="1">
        <f>IF(1882985&gt;0,100*381645/1882985,"")</f>
        <v>20.268084982089608</v>
      </c>
      <c r="E80" s="1">
        <f>IF(COUNT(C80:D80)=2,D80-C80,"")</f>
        <v>-18.48758815805274</v>
      </c>
      <c r="H80" s="1">
        <v>6</v>
      </c>
      <c r="I80" s="1">
        <v>5</v>
      </c>
      <c r="J80" s="1">
        <f>IF(2014532&gt;0,100*751916/2014532,"")</f>
        <v>37.3245994603213</v>
      </c>
      <c r="K80" s="1">
        <f>IF(2829049&gt;0,100*713762/2829049,"")</f>
        <v>25.229750350736236</v>
      </c>
      <c r="L80" s="1">
        <f>IF(COUNT(J80:K80)=2,K80-J80,"")</f>
        <v>-12.094849109585066</v>
      </c>
      <c r="O80" s="1">
        <v>6</v>
      </c>
      <c r="P80" s="1">
        <v>5</v>
      </c>
      <c r="Q80" s="1">
        <f>IF(2374865&gt;0,100*978839/2374865,"")</f>
        <v>41.21661652346555</v>
      </c>
      <c r="R80" s="1">
        <f>IF(2363733&gt;0,100*416829/2363733,"")</f>
        <v>17.63435210321978</v>
      </c>
      <c r="S80" s="1">
        <f>IF(COUNT(Q80:R80)=2,R80-Q80,"")</f>
        <v>-23.582264420245767</v>
      </c>
    </row>
    <row r="81" spans="1:19">
      <c r="A81" s="1">
        <v>7</v>
      </c>
      <c r="B81" s="1">
        <v>6</v>
      </c>
      <c r="C81" s="1">
        <f>IF(2322649&gt;0,100*1026425/2322649,"")</f>
        <v>44.19199801605839</v>
      </c>
      <c r="D81" s="1">
        <f>IF(2409937&gt;0,100*593748/2409937,"")</f>
        <v>24.6374905236112</v>
      </c>
      <c r="E81" s="1">
        <f>IF(COUNT(C81:D81)=2,D81-C81,"")</f>
        <v>-19.554507492447193</v>
      </c>
      <c r="H81" s="1">
        <v>7</v>
      </c>
      <c r="I81" s="1">
        <v>6</v>
      </c>
      <c r="J81" s="1">
        <f>IF(1377831&gt;0,100*8479/1377831,"")</f>
        <v>0.6153875184982773</v>
      </c>
      <c r="K81" s="1">
        <f>IF(1313156&gt;0,100*50049/1313156,"")</f>
        <v>3.8113521927326226</v>
      </c>
      <c r="L81" s="1">
        <f>IF(COUNT(J81:K81)=2,K81-J81,"")</f>
        <v>3.1959646742343453</v>
      </c>
      <c r="O81" s="1">
        <v>7</v>
      </c>
      <c r="P81" s="1">
        <v>6</v>
      </c>
      <c r="Q81" s="1">
        <f>IF(985046&gt;0,100*15738/985046,"")</f>
        <v>1.5976918844399144</v>
      </c>
      <c r="R81" s="1">
        <f>IF(1278695&gt;0,100*88353/1278695,"")</f>
        <v>6.909622701269654</v>
      </c>
      <c r="S81" s="1">
        <f>IF(COUNT(Q81:R81)=2,R81-Q81,"")</f>
        <v>5.311930816829739</v>
      </c>
    </row>
    <row r="82" spans="1:19">
      <c r="A82" s="1">
        <v>8</v>
      </c>
      <c r="B82" s="1">
        <v>7</v>
      </c>
      <c r="C82" s="1">
        <f>IF(2162199&gt;0,100*1011109/2162199,"")</f>
        <v>46.76299452548077</v>
      </c>
      <c r="D82" s="1">
        <f>IF(3710237&gt;0,100*369211/3710237,"")</f>
        <v>9.951143282760643</v>
      </c>
      <c r="E82" s="1">
        <f>IF(COUNT(C82:D82)=2,D82-C82,"")</f>
        <v>-36.811851242720124</v>
      </c>
      <c r="H82" s="1">
        <v>8</v>
      </c>
      <c r="I82" s="1">
        <v>7</v>
      </c>
      <c r="J82" s="1">
        <f>IF(1201041&gt;0,100*14947/1201041,"")</f>
        <v>1.2445037263507241</v>
      </c>
      <c r="K82" s="1">
        <f>IF(1443448&gt;0,100*5165/1443448,"")</f>
        <v>0.35782376642594677</v>
      </c>
      <c r="L82" s="1">
        <f>IF(COUNT(J82:K82)=2,K82-J82,"")</f>
        <v>-0.8866799599247774</v>
      </c>
      <c r="O82" s="1">
        <v>8</v>
      </c>
      <c r="P82" s="1">
        <v>7</v>
      </c>
      <c r="Q82" s="1">
        <f>IF(1244696&gt;0,100*14076/1244696,"")</f>
        <v>1.13087854383721</v>
      </c>
      <c r="R82" s="1">
        <f>IF(998463&gt;0,100*21770/998463,"")</f>
        <v>2.1803511997940834</v>
      </c>
      <c r="S82" s="1">
        <f>IF(COUNT(Q82:R82)=2,R82-Q82,"")</f>
        <v>1.0494726559568734</v>
      </c>
    </row>
    <row r="83" spans="1:19">
      <c r="A83" s="1">
        <v>9</v>
      </c>
      <c r="B83" s="1">
        <v>8</v>
      </c>
      <c r="C83" s="1">
        <f>IF(1440745&gt;0,100*484807/1440745,"")</f>
        <v>33.64974370898389</v>
      </c>
      <c r="D83" s="1">
        <f>IF(548664&gt;0,100*64384/548664,"")</f>
        <v>11.734686438330199</v>
      </c>
      <c r="E83" s="1">
        <f>IF(COUNT(C83:D83)=2,D83-C83,"")</f>
        <v>-21.91505727065369</v>
      </c>
      <c r="H83" s="1">
        <v>9</v>
      </c>
      <c r="I83" s="1">
        <v>8</v>
      </c>
      <c r="J83" s="1">
        <f>IF(2605328&gt;0,100*1210537/2605328,"")</f>
        <v>46.46390013080887</v>
      </c>
      <c r="K83" s="1">
        <f>IF(1751923&gt;0,100*298573/1751923,"")</f>
        <v>17.042586917347396</v>
      </c>
      <c r="L83" s="1">
        <f>IF(COUNT(J83:K83)=2,K83-J83,"")</f>
        <v>-29.42131321346147</v>
      </c>
      <c r="O83" s="1">
        <v>9</v>
      </c>
      <c r="P83" s="1">
        <v>8</v>
      </c>
      <c r="Q83" s="1">
        <f>IF(2369232&gt;0,100*974673/2369232,"")</f>
        <v>41.138774083753724</v>
      </c>
      <c r="R83" s="1">
        <f>IF(2225584&gt;0,100*483226/2225584,"")</f>
        <v>21.712323596862667</v>
      </c>
      <c r="S83" s="1">
        <f>IF(COUNT(Q83:R83)=2,R83-Q83,"")</f>
        <v>-19.426450486891056</v>
      </c>
    </row>
    <row r="84" spans="1:19">
      <c r="A84" s="1">
        <v>10</v>
      </c>
      <c r="B84" s="1">
        <v>9</v>
      </c>
      <c r="C84" s="1">
        <f>IF(1168622&gt;0,100*16823/1168622,"")</f>
        <v>1.4395587281430609</v>
      </c>
      <c r="D84" s="1">
        <f>IF(1178061&gt;0,100*14818/1178061,"")</f>
        <v>1.2578296030511154</v>
      </c>
      <c r="E84" s="1">
        <f>IF(COUNT(C84:D84)=2,D84-C84,"")</f>
        <v>-0.1817291250919455</v>
      </c>
      <c r="H84" s="1">
        <v>10</v>
      </c>
      <c r="I84" s="1">
        <v>9</v>
      </c>
      <c r="J84" s="1">
        <f>IF(3065832&gt;0,100*1566994/3065832,"")</f>
        <v>51.11154166307873</v>
      </c>
      <c r="K84" s="1">
        <f>IF(1819461&gt;0,100*97434/1819461,"")</f>
        <v>5.355102417694031</v>
      </c>
      <c r="L84" s="1">
        <f>IF(COUNT(J84:K84)=2,K84-J84,"")</f>
        <v>-45.7564392453847</v>
      </c>
      <c r="O84" s="1">
        <v>10</v>
      </c>
      <c r="P84" s="1">
        <v>9</v>
      </c>
      <c r="Q84" s="1">
        <f>IF(2063235&gt;0,100*325107/2063235,"")</f>
        <v>15.757148361674748</v>
      </c>
      <c r="R84" s="1">
        <f>IF(2419255&gt;0,100*332943/2419255,"")</f>
        <v>13.762211920611923</v>
      </c>
      <c r="S84" s="1">
        <f>IF(COUNT(Q84:R84)=2,R84-Q84,"")</f>
        <v>-1.9949364410628245</v>
      </c>
    </row>
    <row r="85" spans="1:19">
      <c r="A85" s="1">
        <v>11</v>
      </c>
      <c r="B85" s="1">
        <v>10</v>
      </c>
      <c r="C85" s="1">
        <f>IF(2209395&gt;0,100*1084873/2209395,"")</f>
        <v>49.1027181649275</v>
      </c>
      <c r="D85" s="1">
        <f>IF(1951481&gt;0,100*432431/1951481,"")</f>
        <v>22.15911915104477</v>
      </c>
      <c r="E85" s="1">
        <f>IF(COUNT(C85:D85)=2,D85-C85,"")</f>
        <v>-26.943599013882732</v>
      </c>
      <c r="H85" s="1">
        <v>11</v>
      </c>
      <c r="I85" s="1">
        <v>10</v>
      </c>
      <c r="J85" s="1">
        <f>IF(2870543&gt;0,100*1618419/2870543,"")</f>
        <v>56.380238860731225</v>
      </c>
      <c r="K85" s="1">
        <f>IF(1656309&gt;0,100*101549/1656309,"")</f>
        <v>6.131041973448191</v>
      </c>
      <c r="L85" s="1">
        <f>IF(COUNT(J85:K85)=2,K85-J85,"")</f>
        <v>-50.249196887283034</v>
      </c>
      <c r="O85" s="1">
        <v>11</v>
      </c>
      <c r="P85" s="1">
        <v>10</v>
      </c>
      <c r="Q85" s="1">
        <f>IF(2712419&gt;0,100*1335644/2712419,"")</f>
        <v>49.241802243679906</v>
      </c>
      <c r="R85" s="1">
        <f>IF(1566887&gt;0,100*64767/1566887,"")</f>
        <v>4.1334825038436085</v>
      </c>
      <c r="S85" s="1">
        <f>IF(COUNT(Q85:R85)=2,R85-Q85,"")</f>
        <v>-45.1083197398363</v>
      </c>
    </row>
    <row r="86" spans="1:19">
      <c r="A86" s="1">
        <v>12</v>
      </c>
      <c r="B86" s="1">
        <v>11</v>
      </c>
      <c r="C86" s="1">
        <f>IF(2101751&gt;0,100*916475/2101751,"")</f>
        <v>43.605308145446344</v>
      </c>
      <c r="D86" s="1">
        <f>IF(1260288&gt;0,100*177745/1260288,"")</f>
        <v>14.103522369490149</v>
      </c>
      <c r="E86" s="1">
        <f>IF(COUNT(C86:D86)=2,D86-C86,"")</f>
        <v>-29.501785775956193</v>
      </c>
      <c r="H86" s="1">
        <v>12</v>
      </c>
      <c r="I86" s="1">
        <v>11</v>
      </c>
      <c r="J86" s="1">
        <f>IF(2321486&gt;0,100*1150766/2321486,"")</f>
        <v>49.57023217025647</v>
      </c>
      <c r="K86" s="1">
        <f>IF(1488714&gt;0,100*41982/1488714,"")</f>
        <v>2.8200178140327825</v>
      </c>
      <c r="L86" s="1">
        <f>IF(COUNT(J86:K86)=2,K86-J86,"")</f>
        <v>-46.75021435622369</v>
      </c>
      <c r="O86" s="1">
        <v>12</v>
      </c>
      <c r="P86" s="1">
        <v>11</v>
      </c>
      <c r="Q86" s="1">
        <f>IF(2923066&gt;0,100*1456418/2923066,"")</f>
        <v>49.825012503994095</v>
      </c>
      <c r="R86" s="1">
        <f>IF(2095187&gt;0,100*210832/2095187,"")</f>
        <v>10.062681755852818</v>
      </c>
      <c r="S86" s="1">
        <f>IF(COUNT(Q86:R86)=2,R86-Q86,"")</f>
        <v>-39.76233074814128</v>
      </c>
    </row>
    <row r="87" spans="1:19">
      <c r="A87" s="1">
        <v>13</v>
      </c>
      <c r="B87" s="1">
        <v>12</v>
      </c>
      <c r="C87" s="1">
        <f>IF(2087661&gt;0,100*558523/2087661,"")</f>
        <v>26.753529428388998</v>
      </c>
      <c r="D87" s="1">
        <f>IF(1750177&gt;0,100*133356/1750177,"")</f>
        <v>7.619572191841168</v>
      </c>
      <c r="E87" s="1">
        <f>IF(COUNT(C87:D87)=2,D87-C87,"")</f>
        <v>-19.13395723654783</v>
      </c>
      <c r="H87" s="1">
        <v>13</v>
      </c>
      <c r="I87" s="1">
        <v>12</v>
      </c>
      <c r="J87" s="1">
        <f>IF(2390190&gt;0,100*1069032/2390190,"")</f>
        <v>44.72581677607219</v>
      </c>
      <c r="K87" s="1">
        <f>IF(1697204&gt;0,100*32544/1697204,"")</f>
        <v>1.9175066756854213</v>
      </c>
      <c r="L87" s="1">
        <f>IF(COUNT(J87:K87)=2,K87-J87,"")</f>
        <v>-42.80831010038677</v>
      </c>
      <c r="O87" s="1">
        <v>13</v>
      </c>
      <c r="P87" s="1">
        <v>12</v>
      </c>
      <c r="Q87" s="1">
        <f>IF(1557676&gt;0,100*18730/1557676,"")</f>
        <v>1.2024323415138964</v>
      </c>
      <c r="R87" s="1">
        <f>IF(1454748&gt;0,100*24501/1454748,"")</f>
        <v>1.6842092238655768</v>
      </c>
      <c r="S87" s="1">
        <f>IF(COUNT(Q87:R87)=2,R87-Q87,"")</f>
        <v>0.48177688235168037</v>
      </c>
    </row>
    <row r="88" spans="1:19">
      <c r="A88" s="1">
        <v>14</v>
      </c>
      <c r="B88" s="1">
        <v>13</v>
      </c>
      <c r="C88" s="1">
        <f>IF(1496156&gt;0,100*261177/1496156,"")</f>
        <v>17.456535281080313</v>
      </c>
      <c r="D88" s="1">
        <f>IF(1090643&gt;0,100*27654/1090643,"")</f>
        <v>2.5355684674086754</v>
      </c>
      <c r="E88" s="1">
        <f>IF(COUNT(C88:D88)=2,D88-C88,"")</f>
        <v>-14.920966813671638</v>
      </c>
      <c r="H88" s="1">
        <v>14</v>
      </c>
      <c r="I88" s="1">
        <v>13</v>
      </c>
      <c r="J88" s="1">
        <f>IF(1799691&gt;0,100*550790/1799691,"")</f>
        <v>30.604698250977528</v>
      </c>
      <c r="K88" s="1">
        <f>IF(1964785&gt;0,100*394195/1964785,"")</f>
        <v>20.063009438691765</v>
      </c>
      <c r="L88" s="1">
        <f>IF(COUNT(J88:K88)=2,K88-J88,"")</f>
        <v>-10.541688812285763</v>
      </c>
      <c r="O88" s="1">
        <v>14</v>
      </c>
      <c r="P88" s="1">
        <v>13</v>
      </c>
      <c r="Q88" s="1">
        <f>IF(1217487&gt;0,100*119562/1217487,"")</f>
        <v>9.820392332731274</v>
      </c>
      <c r="R88" s="1">
        <f>IF(1589005&gt;0,100*186197/1589005,"")</f>
        <v>11.717836004291994</v>
      </c>
      <c r="S88" s="1">
        <f>IF(COUNT(Q88:R88)=2,R88-Q88,"")</f>
        <v>1.8974436715607208</v>
      </c>
    </row>
    <row r="89" spans="1:19">
      <c r="A89" s="1">
        <v>15</v>
      </c>
      <c r="B89" s="1">
        <v>14</v>
      </c>
      <c r="C89" s="1">
        <f>IF(1933985&gt;0,100*847555/1933985,"")</f>
        <v>43.82427991944095</v>
      </c>
      <c r="D89" s="1">
        <f>IF(955924&gt;0,100*188623/955924,"")</f>
        <v>19.732007983898303</v>
      </c>
      <c r="E89" s="1">
        <f>IF(COUNT(C89:D89)=2,D89-C89,"")</f>
        <v>-24.092271935542644</v>
      </c>
      <c r="H89" s="1">
        <v>15</v>
      </c>
      <c r="I89" s="1">
        <v>14</v>
      </c>
      <c r="J89" s="1">
        <f>IF(2456423&gt;0,100*458635/2456423,"")</f>
        <v>18.670847814077625</v>
      </c>
      <c r="K89" s="1">
        <f>IF(2328612&gt;0,100*312515/2328612,"")</f>
        <v>13.420655738268119</v>
      </c>
      <c r="L89" s="1">
        <f>IF(COUNT(J89:K89)=2,K89-J89,"")</f>
        <v>-5.250192075809506</v>
      </c>
      <c r="O89" s="1">
        <v>15</v>
      </c>
      <c r="P89" s="1">
        <v>14</v>
      </c>
      <c r="Q89" s="1">
        <f>IF(2356524&gt;0,100*573959/2356524,"")</f>
        <v>24.35617035939375</v>
      </c>
      <c r="R89" s="1">
        <f>IF(2168012&gt;0,100*317125/2168012,"")</f>
        <v>14.627455936590756</v>
      </c>
      <c r="S89" s="1">
        <f>IF(COUNT(Q89:R89)=2,R89-Q89,"")</f>
        <v>-9.728714422802994</v>
      </c>
    </row>
    <row r="90" spans="1:19">
      <c r="A90" s="1">
        <v>16</v>
      </c>
      <c r="B90" s="1">
        <v>15</v>
      </c>
      <c r="C90" s="1">
        <f>IF(2016018&gt;0,100*829052/2016018,"")</f>
        <v>41.12324393929023</v>
      </c>
      <c r="D90" s="1">
        <f>IF(1251916&gt;0,100*85032/1251916,"")</f>
        <v>6.7921489940219635</v>
      </c>
      <c r="E90" s="1">
        <f>IF(COUNT(C90:D90)=2,D90-C90,"")</f>
        <v>-34.33109494526826</v>
      </c>
      <c r="H90" s="1">
        <v>16</v>
      </c>
      <c r="I90" s="1">
        <v>15</v>
      </c>
      <c r="J90" s="1">
        <f>IF(2410914&gt;0,100*1100716/2410914,"")</f>
        <v>45.65554806185538</v>
      </c>
      <c r="K90" s="1">
        <f>IF(1925967&gt;0,100*183846/1925967,"")</f>
        <v>9.545646420733066</v>
      </c>
      <c r="L90" s="1">
        <f>IF(COUNT(J90:K90)=2,K90-J90,"")</f>
        <v>-36.10990164112231</v>
      </c>
      <c r="O90" s="1">
        <v>16</v>
      </c>
      <c r="P90" s="1">
        <v>15</v>
      </c>
      <c r="Q90" s="1">
        <f>IF(2715811&gt;0,100*1420140/2715811,"")</f>
        <v>52.29156226261695</v>
      </c>
      <c r="R90" s="1">
        <f>IF(1751805&gt;0,100*58461/1751805,"")</f>
        <v>3.337186501922303</v>
      </c>
      <c r="S90" s="1">
        <f>IF(COUNT(Q90:R90)=2,R90-Q90,"")</f>
        <v>-48.954375760694646</v>
      </c>
    </row>
    <row r="91" spans="1:19">
      <c r="A91" s="1">
        <v>17</v>
      </c>
      <c r="B91" s="1">
        <v>16</v>
      </c>
      <c r="C91" s="1">
        <f>IF(830136&gt;0,100*34541/830136,"")</f>
        <v>4.160884481578922</v>
      </c>
      <c r="D91" s="1">
        <f>IF(855236&gt;0,100*7079/855236,"")</f>
        <v>0.8277247449826715</v>
      </c>
      <c r="E91" s="1">
        <f>IF(COUNT(C91:D91)=2,D91-C91,"")</f>
        <v>-3.3331597365962504</v>
      </c>
      <c r="H91" s="1">
        <v>17</v>
      </c>
      <c r="I91" s="1">
        <v>16</v>
      </c>
      <c r="J91" s="1">
        <f>IF(196031&gt;0,100*5823/196031,"")</f>
        <v>2.970448551504609</v>
      </c>
      <c r="K91" s="1">
        <f>IF(2231196&gt;0,100*470413/2231196,"")</f>
        <v>21.08344582905312</v>
      </c>
      <c r="L91" s="1">
        <f>IF(COUNT(J91:K91)=2,K91-J91,"")</f>
        <v>18.11299727754851</v>
      </c>
      <c r="O91" s="1">
        <v>17</v>
      </c>
      <c r="P91" s="1">
        <v>16</v>
      </c>
      <c r="Q91" s="1">
        <f>IF(2285076&gt;0,100*953900/2285076,"")</f>
        <v>41.74478223043785</v>
      </c>
      <c r="R91" s="1">
        <f>IF(2101063&gt;0,100*416050/2101063,"")</f>
        <v>19.801881238211326</v>
      </c>
      <c r="S91" s="1">
        <f>IF(COUNT(Q91:R91)=2,R91-Q91,"")</f>
        <v>-21.942900992226523</v>
      </c>
    </row>
    <row r="92" spans="1:19">
      <c r="A92" s="1">
        <v>18</v>
      </c>
      <c r="B92" s="1">
        <v>17</v>
      </c>
      <c r="C92" s="1">
        <f>IF(1194547&gt;0,100*244244/1194547,"")</f>
        <v>20.446579330909543</v>
      </c>
      <c r="D92" s="1">
        <f>IF(1019440&gt;0,100*14580/1019440,"")</f>
        <v>1.4301969708859765</v>
      </c>
      <c r="E92" s="1">
        <f>IF(COUNT(C92:D92)=2,D92-C92,"")</f>
        <v>-19.016382360023567</v>
      </c>
      <c r="H92" s="1">
        <v>18</v>
      </c>
      <c r="I92" s="1">
        <v>17</v>
      </c>
      <c r="J92" s="4"/>
      <c r="K92" s="1">
        <f>IF(1645013&gt;0,100*115129/1645013,"")</f>
        <v>6.998668095632071</v>
      </c>
      <c r="L92" s="1">
        <f>IF(COUNT(J92:K92)=2,K92-J92,"")</f>
        <v/>
      </c>
      <c r="O92" s="1">
        <v>18</v>
      </c>
      <c r="P92" s="1">
        <v>17</v>
      </c>
      <c r="Q92" s="1">
        <f>IF(2825816&gt;0,100*1323547/2825816,"")</f>
        <v>46.83769219227296</v>
      </c>
      <c r="R92" s="1">
        <f>IF(2092864&gt;0,100*132534/2092864,"")</f>
        <v>6.332661845203511</v>
      </c>
      <c r="S92" s="1">
        <f>IF(COUNT(Q92:R92)=2,R92-Q92,"")</f>
        <v>-40.50503034706945</v>
      </c>
    </row>
    <row r="93" spans="1:19">
      <c r="A93" s="1">
        <v>19</v>
      </c>
      <c r="B93" s="1">
        <v>18</v>
      </c>
      <c r="C93" s="1">
        <f>IF(1931560&gt;0,100*912771/1931560,"")</f>
        <v>47.25563792996335</v>
      </c>
      <c r="D93" s="1">
        <f>IF(1962604&gt;0,100*421243/1962604,"")</f>
        <v>21.46347403755419</v>
      </c>
      <c r="E93" s="1">
        <f>IF(COUNT(C93:D93)=2,D93-C93,"")</f>
        <v>-25.79216389240916</v>
      </c>
      <c r="H93" s="1">
        <v>19</v>
      </c>
      <c r="I93" s="1">
        <v>18</v>
      </c>
      <c r="J93" s="1">
        <f>IF(1855523&gt;0,100*552371/1855523,"")</f>
        <v>29.76901930075779</v>
      </c>
      <c r="K93" s="1">
        <f>IF(1777663&gt;0,100*60358/1777663,"")</f>
        <v>3.395356712717765</v>
      </c>
      <c r="L93" s="1">
        <f>IF(COUNT(J93:K93)=2,K93-J93,"")</f>
        <v>-26.373662588040027</v>
      </c>
      <c r="O93" s="1">
        <v>19</v>
      </c>
      <c r="P93" s="1">
        <v>18</v>
      </c>
      <c r="Q93" s="1">
        <f>IF(2510684&gt;0,100*1031580/2510684,"")</f>
        <v>41.08760799845779</v>
      </c>
      <c r="R93" s="1">
        <f>IF(1483275&gt;0,100*45268/1483275,"")</f>
        <v>3.0518952992533412</v>
      </c>
      <c r="S93" s="1">
        <f>IF(COUNT(Q93:R93)=2,R93-Q93,"")</f>
        <v>-38.03571269920445</v>
      </c>
    </row>
    <row r="94" spans="1:19">
      <c r="A94" s="1">
        <v>20</v>
      </c>
      <c r="B94" s="1">
        <v>19</v>
      </c>
      <c r="C94" s="1">
        <f>IF(2025286&gt;0,100*867239/2025286,"")</f>
        <v>42.82056953931445</v>
      </c>
      <c r="D94" s="1">
        <f>IF(1955285&gt;0,100*263118/1955285,"")</f>
        <v>13.45675950053317</v>
      </c>
      <c r="E94" s="1">
        <f>IF(COUNT(C94:D94)=2,D94-C94,"")</f>
        <v>-29.363810038781278</v>
      </c>
      <c r="H94" s="1">
        <v>20</v>
      </c>
      <c r="I94" s="1">
        <v>19</v>
      </c>
      <c r="J94" s="1">
        <f>IF(2440076&gt;0,100*960305/2440076,"")</f>
        <v>39.355536466896936</v>
      </c>
      <c r="K94" s="1">
        <f>IF(2116559&gt;0,100*302469/2116559,"")</f>
        <v>14.290600923480044</v>
      </c>
      <c r="L94" s="1">
        <f>IF(COUNT(J94:K94)=2,K94-J94,"")</f>
        <v>-25.064935543416894</v>
      </c>
      <c r="O94" s="1">
        <v>20</v>
      </c>
      <c r="P94" s="1">
        <v>19</v>
      </c>
      <c r="Q94" s="1">
        <f>IF(3041216&gt;0,100*1439290/3041216,"")</f>
        <v>47.32613533533955</v>
      </c>
      <c r="R94" s="1">
        <f>IF(2502460&gt;0,100*308954/2502460,"")</f>
        <v>12.346011524659735</v>
      </c>
      <c r="S94" s="1">
        <f>IF(COUNT(Q94:R94)=2,R94-Q94,"")</f>
        <v>-34.980123810679814</v>
      </c>
    </row>
    <row r="95" spans="1:19">
      <c r="A95" s="1">
        <v>21</v>
      </c>
      <c r="B95" s="1">
        <v>20</v>
      </c>
      <c r="C95" s="1">
        <f>IF(2094148&gt;0,100*1039154/2094148,"")</f>
        <v>49.62180323453739</v>
      </c>
      <c r="D95" s="1">
        <f>IF(1124851&gt;0,100*31055/1124851,"")</f>
        <v>2.760810098404144</v>
      </c>
      <c r="E95" s="1">
        <f>IF(COUNT(C95:D95)=2,D95-C95,"")</f>
        <v>-46.860993136133246</v>
      </c>
      <c r="H95" s="1">
        <v>21</v>
      </c>
      <c r="I95" s="1">
        <v>20</v>
      </c>
      <c r="J95" s="1">
        <f>IF(2683747&gt;0,100*1388722/2683747,"")</f>
        <v>51.74563772218469</v>
      </c>
      <c r="K95" s="1">
        <f>IF(1430725&gt;0,100*112254/1430725,"")</f>
        <v>7.84595222701777</v>
      </c>
      <c r="L95" s="1">
        <f>IF(COUNT(J95:K95)=2,K95-J95,"")</f>
        <v>-43.89968549516692</v>
      </c>
      <c r="O95" s="1">
        <v>21</v>
      </c>
      <c r="P95" s="1">
        <v>20</v>
      </c>
      <c r="Q95" s="1">
        <f>IF(2268817&gt;0,100*1102753/2268817,"")</f>
        <v>48.60475745730044</v>
      </c>
      <c r="R95" s="1">
        <f>IF(3218461&gt;0,100*773896/3218461,"")</f>
        <v>24.045529835533195</v>
      </c>
      <c r="S95" s="1">
        <f>IF(COUNT(Q95:R95)=2,R95-Q95,"")</f>
        <v>-24.559227621767242</v>
      </c>
    </row>
    <row r="96" spans="1:19">
      <c r="A96" s="1">
        <v>22</v>
      </c>
      <c r="B96" s="1">
        <v>21</v>
      </c>
      <c r="C96" s="1">
        <f>IF(1002018&gt;0,100*273571/1002018,"")</f>
        <v>27.302004554808395</v>
      </c>
      <c r="D96" s="1">
        <f>IF(1854568&gt;0,100*425154/1854568,"")</f>
        <v>22.92469189590244</v>
      </c>
      <c r="E96" s="1">
        <f>IF(COUNT(C96:D96)=2,D96-C96,"")</f>
        <v>-4.377312658905954</v>
      </c>
      <c r="H96" s="1">
        <v>22</v>
      </c>
      <c r="I96" s="1">
        <v>21</v>
      </c>
      <c r="J96" s="1">
        <f>IF(2557965&gt;0,100*1179736/2557965,"")</f>
        <v>46.12009937587106</v>
      </c>
      <c r="K96" s="1">
        <f>IF(1916858&gt;0,100*446010/1916858,"")</f>
        <v>23.267764226666763</v>
      </c>
      <c r="L96" s="1">
        <f>IF(COUNT(J96:K96)=2,K96-J96,"")</f>
        <v>-22.852335149204293</v>
      </c>
      <c r="O96" s="1">
        <v>22</v>
      </c>
      <c r="P96" s="1">
        <v>21</v>
      </c>
      <c r="Q96" s="1">
        <f>IF(1946233&gt;0,100*656202/1946233,"")</f>
        <v>33.71651801197493</v>
      </c>
      <c r="R96" s="1">
        <f>IF(2407767&gt;0,100*516051/2407767,"")</f>
        <v>21.43276322002918</v>
      </c>
      <c r="S96" s="1">
        <f>IF(COUNT(Q96:R96)=2,R96-Q96,"")</f>
        <v>-12.283754791945746</v>
      </c>
    </row>
    <row r="97" spans="1:19">
      <c r="A97" s="1">
        <v>23</v>
      </c>
      <c r="B97" s="1">
        <v>22</v>
      </c>
      <c r="C97" s="1">
        <f>IF(795260&gt;0,100*1236/795260,"")</f>
        <v>0.15542086864673188</v>
      </c>
      <c r="D97" s="1">
        <f>IF(837521&gt;0,100*8124/837521,"")</f>
        <v>0.970005528219591</v>
      </c>
      <c r="E97" s="1">
        <f>IF(COUNT(C97:D97)=2,D97-C97,"")</f>
        <v>0.8145846595728591</v>
      </c>
      <c r="H97" s="1">
        <v>23</v>
      </c>
      <c r="I97" s="1">
        <v>22</v>
      </c>
      <c r="J97" s="1">
        <f>IF(2773812&gt;0,100*1410215/2773812,"")</f>
        <v>50.84032371335909</v>
      </c>
      <c r="K97" s="1">
        <f>IF(1867966&gt;0,100*206121/1867966,"")</f>
        <v>11.034515617521947</v>
      </c>
      <c r="L97" s="1">
        <f>IF(COUNT(J97:K97)=2,K97-J97,"")</f>
        <v>-39.80580809583714</v>
      </c>
      <c r="O97" s="1">
        <v>23</v>
      </c>
      <c r="P97" s="1">
        <v>22</v>
      </c>
      <c r="Q97" s="1">
        <f>IF(2188846&gt;0,100*938113/2188846,"")</f>
        <v>42.858794086016104</v>
      </c>
      <c r="R97" s="1">
        <f>IF(2138667&gt;0,100*474605/2138667,"")</f>
        <v>22.191626840457165</v>
      </c>
      <c r="S97" s="1">
        <f>IF(COUNT(Q97:R97)=2,R97-Q97,"")</f>
        <v>-20.66716724555894</v>
      </c>
    </row>
    <row r="98" spans="1:19">
      <c r="A98" s="1">
        <v>24</v>
      </c>
      <c r="B98" s="1">
        <v>23</v>
      </c>
      <c r="C98" s="1">
        <f>IF(1888679&gt;0,100*755365/1888679,"")</f>
        <v>39.99435584342284</v>
      </c>
      <c r="D98" s="1">
        <f>IF(1651810&gt;0,100*82071/1651810,"")</f>
        <v>4.968549651594311</v>
      </c>
      <c r="E98" s="1">
        <f>IF(COUNT(C98:D98)=2,D98-C98,"")</f>
        <v>-35.02580619182853</v>
      </c>
      <c r="H98" s="1">
        <v>24</v>
      </c>
      <c r="I98" s="1">
        <v>23</v>
      </c>
      <c r="J98" s="1">
        <f>IF(2330232&gt;0,100*1039149/2330232,"")</f>
        <v>44.594229244126765</v>
      </c>
      <c r="K98" s="1">
        <f>IF(1024746&gt;0,100*64361/1024746,"")</f>
        <v>6.28067833394812</v>
      </c>
      <c r="L98" s="1">
        <f>IF(COUNT(J98:K98)=2,K98-J98,"")</f>
        <v>-38.31355091017865</v>
      </c>
      <c r="O98" s="1">
        <v>24</v>
      </c>
      <c r="P98" s="1">
        <v>23</v>
      </c>
      <c r="Q98" s="1">
        <f>IF(2075098&gt;0,100*737576/2075098,"")</f>
        <v>35.544152613515124</v>
      </c>
      <c r="R98" s="1">
        <f>IF(1752580&gt;0,100*100916/1752580,"")</f>
        <v>5.758139428727932</v>
      </c>
      <c r="S98" s="1">
        <f>IF(COUNT(Q98:R98)=2,R98-Q98,"")</f>
        <v>-29.78601318478719</v>
      </c>
    </row>
    <row r="99" spans="1:19">
      <c r="A99" s="1">
        <v>25</v>
      </c>
      <c r="B99" s="1">
        <v>24</v>
      </c>
      <c r="C99" s="1">
        <f>IF(2046231&gt;0,100*862149/2046231,"")</f>
        <v>42.1335127852134</v>
      </c>
      <c r="D99" s="1">
        <f>IF(2374670&gt;0,100*708413/2374670,"")</f>
        <v>29.832060875826958</v>
      </c>
      <c r="E99" s="1">
        <f>IF(COUNT(C99:D99)=2,D99-C99,"")</f>
        <v>-12.30145190938644</v>
      </c>
      <c r="H99" s="1">
        <v>25</v>
      </c>
      <c r="I99" s="1">
        <v>24</v>
      </c>
      <c r="J99" s="1">
        <f>IF(2687496&gt;0,100*1356682/2687496,"")</f>
        <v>50.481265832581705</v>
      </c>
      <c r="K99" s="1">
        <f>IF(1749914&gt;0,100*77004/1749914,"")</f>
        <v>4.400444821859817</v>
      </c>
      <c r="L99" s="1">
        <f>IF(COUNT(J99:K99)=2,K99-J99,"")</f>
        <v>-46.08082101072189</v>
      </c>
      <c r="O99" s="1">
        <v>25</v>
      </c>
      <c r="P99" s="1">
        <v>24</v>
      </c>
      <c r="Q99" s="1">
        <f>IF(2348758&gt;0,100*912656/2348758,"")</f>
        <v>38.856961849624355</v>
      </c>
      <c r="R99" s="1">
        <f>IF(1775692&gt;0,100*75412/1775692,"")</f>
        <v>4.24690768444077</v>
      </c>
      <c r="S99" s="1">
        <f>IF(COUNT(Q99:R99)=2,R99-Q99,"")</f>
        <v>-34.610054165183584</v>
      </c>
    </row>
    <row r="100" spans="1:19">
      <c r="A100" s="1">
        <v>26</v>
      </c>
      <c r="B100" s="1">
        <v>25</v>
      </c>
      <c r="C100" s="1">
        <f>IF(2173027&gt;0,100*1021557/2173027,"")</f>
        <v>47.01078265479444</v>
      </c>
      <c r="D100" s="1">
        <f>IF(2353321&gt;0,100*657244/2353321,"")</f>
        <v>27.928361664218354</v>
      </c>
      <c r="E100" s="1">
        <f>IF(COUNT(C100:D100)=2,D100-C100,"")</f>
        <v>-19.082420990576086</v>
      </c>
      <c r="H100" s="1">
        <v>26</v>
      </c>
      <c r="I100" s="1">
        <v>25</v>
      </c>
      <c r="J100" s="1">
        <f>IF(1369843&gt;0,100*81159/1369843,"")</f>
        <v>5.9246935597729085</v>
      </c>
      <c r="K100" s="1">
        <f>IF(1804496&gt;0,100*127039/1804496,"")</f>
        <v>7.040137523164363</v>
      </c>
      <c r="L100" s="1">
        <f>IF(COUNT(J100:K100)=2,K100-J100,"")</f>
        <v>1.1154439633914546</v>
      </c>
      <c r="O100" s="1">
        <v>26</v>
      </c>
      <c r="P100" s="1">
        <v>25</v>
      </c>
      <c r="Q100" s="1">
        <f>IF(2790743&gt;0,100*1533326/2790743,"")</f>
        <v>54.94328929607635</v>
      </c>
      <c r="R100" s="1">
        <f>IF(2178349&gt;0,100*394597/2178349,"")</f>
        <v>18.11449864094321</v>
      </c>
      <c r="S100" s="1">
        <f>IF(COUNT(Q100:R100)=2,R100-Q100,"")</f>
        <v>-36.82879065513314</v>
      </c>
    </row>
    <row r="101" spans="1:19">
      <c r="A101" s="1">
        <v>27</v>
      </c>
      <c r="B101" s="1">
        <v>26</v>
      </c>
      <c r="C101" s="1">
        <f>IF(2068375&gt;0,100*1076315/2068375,"")</f>
        <v>52.03674382063214</v>
      </c>
      <c r="D101" s="1">
        <f>IF(2012478&gt;0,100*475347/2012478,"")</f>
        <v>23.6199849141208</v>
      </c>
      <c r="E101" s="1">
        <f>IF(COUNT(C101:D101)=2,D101-C101,"")</f>
        <v>-28.41675890651134</v>
      </c>
      <c r="H101" s="1">
        <v>27</v>
      </c>
      <c r="I101" s="1">
        <v>26</v>
      </c>
      <c r="J101" s="1">
        <f>IF(1770443&gt;0,100*418105/1770443,"")</f>
        <v>23.615840781092643</v>
      </c>
      <c r="K101" s="1">
        <f>IF(2520398&gt;0,100*352141/2520398,"")</f>
        <v>13.971642573910946</v>
      </c>
      <c r="L101" s="1">
        <f>IF(COUNT(J101:K101)=2,K101-J101,"")</f>
        <v>-9.644198207181697</v>
      </c>
      <c r="O101" s="1">
        <v>27</v>
      </c>
      <c r="P101" s="1">
        <v>26</v>
      </c>
      <c r="Q101" s="1">
        <f>IF(2101248&gt;0,100*444433/2101248,"")</f>
        <v>21.150906508893762</v>
      </c>
      <c r="R101" s="1">
        <f>IF(2405197&gt;0,100*330026/2405197,"")</f>
        <v>13.721370848209107</v>
      </c>
      <c r="S101" s="1">
        <f>IF(COUNT(Q101:R101)=2,R101-Q101,"")</f>
        <v>-7.429535660684655</v>
      </c>
    </row>
    <row r="102" spans="1:19">
      <c r="A102" s="1">
        <v>28</v>
      </c>
      <c r="B102" s="1">
        <v>27</v>
      </c>
      <c r="C102" s="1">
        <f>IF(1174000&gt;0,100*3059/1174000,"")</f>
        <v>0.2605621805792164</v>
      </c>
      <c r="D102" s="1">
        <f>IF(1168463&gt;0,100*4570/1168463,"")</f>
        <v>0.39111208484992677</v>
      </c>
      <c r="E102" s="1">
        <f>IF(COUNT(C102:D102)=2,D102-C102,"")</f>
        <v>0.1305499042707104</v>
      </c>
      <c r="H102" s="1">
        <v>28</v>
      </c>
      <c r="I102" s="1">
        <v>27</v>
      </c>
      <c r="J102" s="1">
        <f>IF(2046482&gt;0,100*638275/2046482,"")</f>
        <v>31.18888903005255</v>
      </c>
      <c r="K102" s="1">
        <f>IF(1933089&gt;0,100*271909/1933089,"")</f>
        <v>14.066036276653584</v>
      </c>
      <c r="L102" s="1">
        <f>IF(COUNT(J102:K102)=2,K102-J102,"")</f>
        <v>-17.122852753398966</v>
      </c>
      <c r="O102" s="1">
        <v>28</v>
      </c>
      <c r="P102" s="1">
        <v>27</v>
      </c>
      <c r="Q102" s="1">
        <f>IF(2324907&gt;0,100*896618/2324907,"")</f>
        <v>38.5657576840708</v>
      </c>
      <c r="R102" s="1">
        <f>IF(1574712&gt;0,100*211684/1574712,"")</f>
        <v>13.442712064174275</v>
      </c>
      <c r="S102" s="1">
        <f>IF(COUNT(Q102:R102)=2,R102-Q102,"")</f>
        <v>-25.12304561989653</v>
      </c>
    </row>
    <row r="103" spans="1:19">
      <c r="A103" s="1">
        <v>29</v>
      </c>
      <c r="B103" s="1">
        <v>28</v>
      </c>
      <c r="C103" s="1">
        <f>IF(2083503&gt;0,100*1007639/2083503,"")</f>
        <v>48.362733338996875</v>
      </c>
      <c r="D103" s="1">
        <f>IF(2569951&gt;0,100*644217/2569951,"")</f>
        <v>25.067287275127036</v>
      </c>
      <c r="E103" s="1">
        <f>IF(COUNT(C103:D103)=2,D103-C103,"")</f>
        <v>-23.29544606386984</v>
      </c>
      <c r="H103" s="1">
        <v>29</v>
      </c>
      <c r="I103" s="1">
        <v>28</v>
      </c>
      <c r="J103" s="1">
        <f>IF(2576958&gt;0,100*1290348/2576958,"")</f>
        <v>50.072527375300645</v>
      </c>
      <c r="K103" s="1">
        <f>IF(3021382&gt;0,100*918008/3021382,"")</f>
        <v>30.38371182458888</v>
      </c>
      <c r="L103" s="1">
        <f>IF(COUNT(J103:K103)=2,K103-J103,"")</f>
        <v>-19.688815550711766</v>
      </c>
      <c r="O103" s="1">
        <v>29</v>
      </c>
      <c r="P103" s="1">
        <v>28</v>
      </c>
      <c r="Q103" s="1">
        <f>IF(2240165&gt;0,100*1016922/2240165,"")</f>
        <v>45.39495974626869</v>
      </c>
      <c r="R103" s="1">
        <f>IF(3187508&gt;0,100*981815/3187508,"")</f>
        <v>30.801961908801484</v>
      </c>
      <c r="S103" s="1">
        <f>IF(COUNT(Q103:R103)=2,R103-Q103,"")</f>
        <v>-14.592997837467205</v>
      </c>
    </row>
    <row r="104" spans="1:19">
      <c r="A104" s="1">
        <v>30</v>
      </c>
      <c r="B104" s="1">
        <v>29</v>
      </c>
      <c r="C104" s="1">
        <f>IF(2234870&gt;0,100*1080496/2234870,"")</f>
        <v>48.34715218334847</v>
      </c>
      <c r="D104" s="1">
        <f>IF(2130406&gt;0,100*329695/2130406,"")</f>
        <v>15.47568867154899</v>
      </c>
      <c r="E104" s="1">
        <f>IF(COUNT(C104:D104)=2,D104-C104,"")</f>
        <v>-32.871463511799476</v>
      </c>
      <c r="H104" s="1">
        <v>30</v>
      </c>
      <c r="I104" s="1">
        <v>29</v>
      </c>
      <c r="J104" s="1">
        <f>IF(1911633&gt;0,100*586958/1911633,"")</f>
        <v>30.704533767726335</v>
      </c>
      <c r="K104" s="1">
        <f>IF(1315899&gt;0,100*43474/1315899,"")</f>
        <v>3.3037489959335784</v>
      </c>
      <c r="L104" s="1">
        <f>IF(COUNT(J104:K104)=2,K104-J104,"")</f>
        <v>-27.400784771792758</v>
      </c>
      <c r="O104" s="1">
        <v>30</v>
      </c>
      <c r="P104" s="1">
        <v>29</v>
      </c>
      <c r="Q104" s="1">
        <f>IF(1054742&gt;0,100*14563/1054742,"")</f>
        <v>1.3807168008859039</v>
      </c>
      <c r="R104" s="1">
        <f>IF(1184469&gt;0,100*15053/1184469,"")</f>
        <v>1.2708648347909486</v>
      </c>
      <c r="S104" s="1">
        <f>IF(COUNT(Q104:R104)=2,R104-Q104,"")</f>
        <v>-0.10985196609495529</v>
      </c>
    </row>
    <row r="105" spans="1:19">
      <c r="A105" s="1">
        <v>31</v>
      </c>
      <c r="B105" s="1">
        <v>30</v>
      </c>
      <c r="C105" s="1">
        <f>IF(1611966&gt;0,100*408242/1611966,"")</f>
        <v>25.32572026953422</v>
      </c>
      <c r="D105" s="1">
        <f>IF(1104268&gt;0,100*41281/1104268,"")</f>
        <v>3.738313525339863</v>
      </c>
      <c r="E105" s="1">
        <f>IF(COUNT(C105:D105)=2,D105-C105,"")</f>
        <v>-21.587406744194357</v>
      </c>
      <c r="H105" s="1">
        <v>31</v>
      </c>
      <c r="I105" s="1">
        <v>30</v>
      </c>
      <c r="J105" s="1">
        <f>IF(1813572&gt;0,100*419503/1813572,"")</f>
        <v>23.131312128771288</v>
      </c>
      <c r="K105" s="1">
        <f>IF(2041805&gt;0,100*405543/2041805,"")</f>
        <v>19.86198486143388</v>
      </c>
      <c r="L105" s="1">
        <f>IF(COUNT(J105:K105)=2,K105-J105,"")</f>
        <v>-3.2693272673374096</v>
      </c>
      <c r="O105" s="1">
        <v>31</v>
      </c>
      <c r="P105" s="1">
        <v>30</v>
      </c>
      <c r="Q105" s="1">
        <f>IF(2344140&gt;0,100*1034103/2344140,"")</f>
        <v>44.11438736594231</v>
      </c>
      <c r="R105" s="1">
        <f>IF(2014924&gt;0,100*349420/2014924,"")</f>
        <v>17.341597003162402</v>
      </c>
      <c r="S105" s="1">
        <f>IF(COUNT(Q105:R105)=2,R105-Q105,"")</f>
        <v>-26.772790362779904</v>
      </c>
    </row>
    <row r="106" spans="1:19">
      <c r="A106" s="2" t="s">
        <v>6</v>
      </c>
      <c r="B106" s="1"/>
      <c r="C106" s="1">
        <f>IF(COUNT(C75:C105)&gt;0,AVERAGE(C75:C105),"")</f>
        <v>34.139885623640744</v>
      </c>
      <c r="D106" s="1">
        <f>IF(COUNT(D75:D105)&gt;0,AVERAGE(D75:D105),"")</f>
        <v>13.847174125862683</v>
      </c>
      <c r="E106" s="1">
        <f>IF(COUNT(E75:E105)&gt;0,AVERAGE(E75:E105),"")</f>
        <v>-20.29271149777806</v>
      </c>
      <c r="H106" s="2" t="s">
        <v>6</v>
      </c>
      <c r="I106" s="1"/>
      <c r="J106" s="1">
        <f>IF(COUNT(J75:J105)&gt;0,AVERAGE(J75:J105),"")</f>
        <v>36.56494216191195</v>
      </c>
      <c r="K106" s="1">
        <f>IF(COUNT(K75:K105)&gt;0,AVERAGE(K75:K105),"")</f>
        <v>11.636109616328126</v>
      </c>
      <c r="L106" s="1">
        <f>IF(COUNT(L75:L105)&gt;0,AVERAGE(L75:L105),"")</f>
        <v>-24.774251161560628</v>
      </c>
      <c r="O106" s="2" t="s">
        <v>6</v>
      </c>
      <c r="P106" s="1"/>
      <c r="Q106" s="1">
        <f>IF(COUNT(Q75:Q105)&gt;0,AVERAGE(Q75:Q105),"")</f>
        <v>34.28456187402019</v>
      </c>
      <c r="R106" s="1">
        <f>IF(COUNT(R75:R105)&gt;0,AVERAGE(R75:R105),"")</f>
        <v>12.717700957617168</v>
      </c>
      <c r="S106" s="1">
        <f>IF(COUNT(S75:S105)&gt;0,AVERAGE(S75:S105),"")</f>
        <v>-21.566860916403023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IF(1025565&gt;0,100*254231/1025565,"")</f>
        <v>24.789360011310837</v>
      </c>
      <c r="D3" s="1">
        <f>IF(743279&gt;0,100*27386/743279,"")</f>
        <v>3.684484560979121</v>
      </c>
      <c r="E3" s="1">
        <f>IF(COUNT(C3:D3)=2,D3-C3,"")</f>
        <v>-21.104875450331715</v>
      </c>
      <c r="H3" s="1">
        <v>1</v>
      </c>
      <c r="I3" s="1">
        <v>0</v>
      </c>
      <c r="J3" s="1">
        <f>IF(1360559&gt;0,100*350066/1360559,"")</f>
        <v>25.729571448206215</v>
      </c>
      <c r="K3" s="1">
        <f>IF(1213991&gt;0,100*180341/1213991,"")</f>
        <v>14.855217213307183</v>
      </c>
      <c r="L3" s="1">
        <f>IF(COUNT(J3:K3)=2,K3-J3,"")</f>
        <v>-10.874354234899032</v>
      </c>
      <c r="O3" s="1">
        <v>1</v>
      </c>
      <c r="P3" s="1">
        <v>0</v>
      </c>
      <c r="Q3" s="1">
        <f>IF(1611169&gt;0,100*528552/1611169,"")</f>
        <v>32.80549712662049</v>
      </c>
      <c r="R3" s="1">
        <f>IF(1158163&gt;0,100*162612/1158163,"")</f>
        <v>14.040510705315228</v>
      </c>
      <c r="S3" s="1">
        <f>IF(COUNT(Q3:R3)=2,R3-Q3,"")</f>
        <v>-18.76498642130526</v>
      </c>
    </row>
    <row r="4" spans="1:19">
      <c r="A4" s="1">
        <v>2</v>
      </c>
      <c r="B4" s="1">
        <v>1</v>
      </c>
      <c r="C4" s="1">
        <f>IF(1608611&gt;0,100*585743/1608611,"")</f>
        <v>36.41296746074719</v>
      </c>
      <c r="D4" s="1">
        <f>IF(877356&gt;0,100*157158/877356,"")</f>
        <v>17.9126831069714</v>
      </c>
      <c r="E4" s="1">
        <f>IF(COUNT(C4:D4)=2,D4-C4,"")</f>
        <v>-18.50028435377579</v>
      </c>
      <c r="H4" s="1">
        <v>2</v>
      </c>
      <c r="I4" s="1">
        <v>1</v>
      </c>
      <c r="J4" s="1">
        <f>IF(1080061&gt;0,100*195305/1080061,"")</f>
        <v>18.082774954377577</v>
      </c>
      <c r="K4" s="1">
        <f>IF(1291554&gt;0,100*181523/1291554,"")</f>
        <v>14.05461947390508</v>
      </c>
      <c r="L4" s="1">
        <f>IF(COUNT(J4:K4)=2,K4-J4,"")</f>
        <v>-4.028155480472497</v>
      </c>
      <c r="O4" s="1">
        <v>2</v>
      </c>
      <c r="P4" s="1">
        <v>1</v>
      </c>
      <c r="Q4" s="1">
        <f>IF(1467133&gt;0,100*488009/1467133,"")</f>
        <v>33.26276486180871</v>
      </c>
      <c r="R4" s="1">
        <f>IF(1374370&gt;0,100*187090/1374370,"")</f>
        <v>13.612782584020314</v>
      </c>
      <c r="S4" s="1">
        <f>IF(COUNT(Q4:R4)=2,R4-Q4,"")</f>
        <v>-19.649982277788396</v>
      </c>
    </row>
    <row r="5" spans="1:19">
      <c r="A5" s="1">
        <v>3</v>
      </c>
      <c r="B5" s="1">
        <v>2</v>
      </c>
      <c r="C5" s="1">
        <f>IF(1615726&gt;0,100*621491/1615726,"")</f>
        <v>38.46512341820333</v>
      </c>
      <c r="D5" s="1">
        <f>IF(866160&gt;0,100*132949/866160,"")</f>
        <v>15.349242634155353</v>
      </c>
      <c r="E5" s="1">
        <f>IF(COUNT(C5:D5)=2,D5-C5,"")</f>
        <v>-23.11588078404798</v>
      </c>
      <c r="H5" s="1">
        <v>3</v>
      </c>
      <c r="I5" s="1">
        <v>2</v>
      </c>
      <c r="J5" s="1">
        <f>IF(1770666&gt;0,100*210556/1770666,"")</f>
        <v>11.891344838608749</v>
      </c>
      <c r="K5" s="1">
        <f>IF(1355303&gt;0,100*150547/1355303,"")</f>
        <v>11.10799577659018</v>
      </c>
      <c r="L5" s="1">
        <f>IF(COUNT(J5:K5)=2,K5-J5,"")</f>
        <v>-0.7833490620185692</v>
      </c>
      <c r="O5" s="1">
        <v>3</v>
      </c>
      <c r="P5" s="1">
        <v>2</v>
      </c>
      <c r="Q5" s="1">
        <f>IF(1770413&gt;0,100*588287/1770413,"")</f>
        <v>33.228800285583084</v>
      </c>
      <c r="R5" s="1">
        <f>IF(1143015&gt;0,100*111131/1143015,"")</f>
        <v>9.722619563172836</v>
      </c>
      <c r="S5" s="1">
        <f>IF(COUNT(Q5:R5)=2,R5-Q5,"")</f>
        <v>-23.50618072241025</v>
      </c>
    </row>
    <row r="6" spans="1:19">
      <c r="A6" s="1">
        <v>4</v>
      </c>
      <c r="B6" s="1">
        <v>3</v>
      </c>
      <c r="C6" s="1">
        <f>IF(1681360&gt;0,100*632235/1681360,"")</f>
        <v>37.60259551791407</v>
      </c>
      <c r="D6" s="1">
        <f>IF(1519234&gt;0,100*294037/1519234,"")</f>
        <v>19.354293018718643</v>
      </c>
      <c r="E6" s="1">
        <f>IF(COUNT(C6:D6)=2,D6-C6,"")</f>
        <v>-18.248302499195425</v>
      </c>
      <c r="H6" s="1">
        <v>4</v>
      </c>
      <c r="I6" s="1">
        <v>3</v>
      </c>
      <c r="J6" s="1">
        <f>IF(1249184&gt;0,100*192969/1249184,"")</f>
        <v>15.447604196019162</v>
      </c>
      <c r="K6" s="1">
        <f>IF(842181&gt;0,100*34983/842181,"")</f>
        <v>4.153857662426486</v>
      </c>
      <c r="L6" s="1">
        <f>IF(COUNT(J6:K6)=2,K6-J6,"")</f>
        <v>-11.293746533592676</v>
      </c>
      <c r="O6" s="1">
        <v>4</v>
      </c>
      <c r="P6" s="1">
        <v>3</v>
      </c>
      <c r="Q6" s="1">
        <f>IF(851878&gt;0,100*27960/851878,"")</f>
        <v>3.2821601215197482</v>
      </c>
      <c r="R6" s="1">
        <f>IF(939868&gt;0,100*88223/939868,"")</f>
        <v>9.386743670387757</v>
      </c>
      <c r="S6" s="1">
        <f>IF(COUNT(Q6:R6)=2,R6-Q6,"")</f>
        <v>6.104583548868009</v>
      </c>
    </row>
    <row r="7" spans="1:19">
      <c r="A7" s="1">
        <v>5</v>
      </c>
      <c r="B7" s="1">
        <v>4</v>
      </c>
      <c r="C7" s="1">
        <f>IF(1534810&gt;0,100*544323/1534810,"")</f>
        <v>35.46517158475642</v>
      </c>
      <c r="D7" s="1">
        <f>IF(954534&gt;0,100*57491/954534,"")</f>
        <v>6.02293894193397</v>
      </c>
      <c r="E7" s="1">
        <f>IF(COUNT(C7:D7)=2,D7-C7,"")</f>
        <v>-29.44223264282245</v>
      </c>
      <c r="H7" s="1">
        <v>5</v>
      </c>
      <c r="I7" s="1">
        <v>4</v>
      </c>
      <c r="J7" s="1">
        <f>IF(1559950&gt;0,100*448934/1559950,"")</f>
        <v>28.77874290842655</v>
      </c>
      <c r="K7" s="1">
        <f>IF(1712443&gt;0,100*335104/1712443,"")</f>
        <v>19.568768128340622</v>
      </c>
      <c r="L7" s="1">
        <f>IF(COUNT(J7:K7)=2,K7-J7,"")</f>
        <v>-9.209974780085929</v>
      </c>
      <c r="O7" s="1">
        <v>5</v>
      </c>
      <c r="P7" s="1">
        <v>4</v>
      </c>
      <c r="Q7" s="1">
        <f>IF(1545033&gt;0,100*593590/1545033,"")</f>
        <v>38.419244119704885</v>
      </c>
      <c r="R7" s="1">
        <f>IF(1684670&gt;0,100*400808/1684670,"")</f>
        <v>23.791484385666035</v>
      </c>
      <c r="S7" s="1">
        <f>IF(COUNT(Q7:R7)=2,R7-Q7,"")</f>
        <v>-14.62775973403885</v>
      </c>
    </row>
    <row r="8" spans="1:19">
      <c r="A8" s="1">
        <v>6</v>
      </c>
      <c r="B8" s="1">
        <v>5</v>
      </c>
      <c r="C8" s="1">
        <f>IF(1481795&gt;0,100*384291/1481795,"")</f>
        <v>25.93415418462068</v>
      </c>
      <c r="D8" s="1">
        <f>IF(1195939&gt;0,100*162029/1195939,"")</f>
        <v>13.548266257727192</v>
      </c>
      <c r="E8" s="1">
        <f>IF(COUNT(C8:D8)=2,D8-C8,"")</f>
        <v>-12.385887926893488</v>
      </c>
      <c r="H8" s="1">
        <v>6</v>
      </c>
      <c r="I8" s="1">
        <v>5</v>
      </c>
      <c r="J8" s="1">
        <f>IF(1363284&gt;0,100*338111/1363284,"")</f>
        <v>24.801215300700367</v>
      </c>
      <c r="K8" s="1">
        <f>IF(989228&gt;0,100*143432/989228,"")</f>
        <v>14.499387401084482</v>
      </c>
      <c r="L8" s="1">
        <f>IF(COUNT(J8:K8)=2,K8-J8,"")</f>
        <v>-10.301827899615885</v>
      </c>
      <c r="O8" s="1">
        <v>6</v>
      </c>
      <c r="P8" s="1">
        <v>5</v>
      </c>
      <c r="Q8" s="1">
        <f>IF(1496153&gt;0,100*372992/1496153,"")</f>
        <v>24.930070654538675</v>
      </c>
      <c r="R8" s="1">
        <f>IF(1008308&gt;0,100*113082/1008308,"")</f>
        <v>11.215025567584508</v>
      </c>
      <c r="S8" s="1">
        <f>IF(COUNT(Q8:R8)=2,R8-Q8,"")</f>
        <v>-13.715045086954166</v>
      </c>
    </row>
    <row r="9" spans="1:19">
      <c r="A9" s="1">
        <v>7</v>
      </c>
      <c r="B9" s="1">
        <v>6</v>
      </c>
      <c r="C9" s="1">
        <f>IF(1693230&gt;0,100*659152/1693230,"")</f>
        <v>38.92867478133508</v>
      </c>
      <c r="D9" s="1">
        <f>IF(1315506&gt;0,100*214171/1315506,"")</f>
        <v>16.280503471667934</v>
      </c>
      <c r="E9" s="1">
        <f>IF(COUNT(C9:D9)=2,D9-C9,"")</f>
        <v>-22.64817130966715</v>
      </c>
      <c r="H9" s="1">
        <v>7</v>
      </c>
      <c r="I9" s="1">
        <v>6</v>
      </c>
      <c r="J9" s="1">
        <f>IF(681918&gt;0,100*6217/681918,"")</f>
        <v>0.9116931947829504</v>
      </c>
      <c r="K9" s="1">
        <f>IF(1052949&gt;0,100*29090/1052949,"")</f>
        <v>2.7627169027179854</v>
      </c>
      <c r="L9" s="1">
        <f>IF(COUNT(J9:K9)=2,K9-J9,"")</f>
        <v>1.8510237079350351</v>
      </c>
      <c r="O9" s="1">
        <v>7</v>
      </c>
      <c r="P9" s="1">
        <v>6</v>
      </c>
      <c r="Q9" s="1">
        <f>IF(1286739&gt;0,100*333741/1286739,"")</f>
        <v>25.93696157495809</v>
      </c>
      <c r="R9" s="1">
        <f>IF(1027094&gt;0,100*100038/1027094,"")</f>
        <v>9.739906960803976</v>
      </c>
      <c r="S9" s="1">
        <f>IF(COUNT(Q9:R9)=2,R9-Q9,"")</f>
        <v>-16.197054614154112</v>
      </c>
    </row>
    <row r="10" spans="1:19">
      <c r="A10" s="1">
        <v>8</v>
      </c>
      <c r="B10" s="1">
        <v>7</v>
      </c>
      <c r="C10" s="1">
        <f>IF(1832737&gt;0,100*772049/1832737,"")</f>
        <v>42.12546590154506</v>
      </c>
      <c r="D10" s="1">
        <f>IF(188087&gt;0,100*26386/188087,"")</f>
        <v>14.02861441779602</v>
      </c>
      <c r="E10" s="1">
        <f>IF(COUNT(C10:D10)=2,D10-C10,"")</f>
        <v>-28.09685148374904</v>
      </c>
      <c r="H10" s="1">
        <v>8</v>
      </c>
      <c r="I10" s="1">
        <v>7</v>
      </c>
      <c r="J10" s="1">
        <f>IF(655547&gt;0,100*1454/655547,"")</f>
        <v>0.2217995048409954</v>
      </c>
      <c r="K10" s="1">
        <f>IF(558223&gt;0,100*592/558223,"")</f>
        <v>0.10605080765213902</v>
      </c>
      <c r="L10" s="1">
        <f>IF(COUNT(J10:K10)=2,K10-J10,"")</f>
        <v>-0.11574869718885637</v>
      </c>
      <c r="O10" s="1">
        <v>8</v>
      </c>
      <c r="P10" s="1">
        <v>7</v>
      </c>
      <c r="Q10" s="1">
        <f>IF(589319&gt;0,100*4560/589319,"")</f>
        <v>0.773774475284184</v>
      </c>
      <c r="R10" s="1">
        <f>IF(783484&gt;0,100*25370/783484,"")</f>
        <v>3.2381005866105754</v>
      </c>
      <c r="S10" s="1">
        <f>IF(COUNT(Q10:R10)=2,R10-Q10,"")</f>
        <v>2.4643261113263915</v>
      </c>
    </row>
    <row r="11" spans="1:19">
      <c r="A11" s="1">
        <v>9</v>
      </c>
      <c r="B11" s="1">
        <v>8</v>
      </c>
      <c r="C11" s="1">
        <f>IF(1595971&gt;0,100*597472/1595971,"")</f>
        <v>37.43626920539283</v>
      </c>
      <c r="D11" s="1">
        <f>IF(943389&gt;0,100*167735/943389,"")</f>
        <v>17.780046195153854</v>
      </c>
      <c r="E11" s="1">
        <f>IF(COUNT(C11:D11)=2,D11-C11,"")</f>
        <v>-19.65622301023898</v>
      </c>
      <c r="H11" s="1">
        <v>9</v>
      </c>
      <c r="I11" s="1">
        <v>8</v>
      </c>
      <c r="J11" s="1">
        <f>IF(1710121&gt;0,100*526664/1710121,"")</f>
        <v>30.79688513268944</v>
      </c>
      <c r="K11" s="1">
        <f>IF(1508009&gt;0,100*268493/1508009,"")</f>
        <v>17.804469336721464</v>
      </c>
      <c r="L11" s="1">
        <f>IF(COUNT(J11:K11)=2,K11-J11,"")</f>
        <v>-12.992415795967975</v>
      </c>
      <c r="O11" s="1">
        <v>9</v>
      </c>
      <c r="P11" s="1">
        <v>8</v>
      </c>
      <c r="Q11" s="1">
        <f>IF(1425170&gt;0,100*455531/1425170,"")</f>
        <v>31.96327455671955</v>
      </c>
      <c r="R11" s="1">
        <f>IF(1694905&gt;0,100*347926/1694905,"")</f>
        <v>20.527758192937068</v>
      </c>
      <c r="S11" s="1">
        <f>IF(COUNT(Q11:R11)=2,R11-Q11,"")</f>
        <v>-11.435516363782483</v>
      </c>
    </row>
    <row r="12" spans="1:19">
      <c r="A12" s="1">
        <v>10</v>
      </c>
      <c r="B12" s="1">
        <v>9</v>
      </c>
      <c r="C12" s="1">
        <f>IF(1793318&gt;0,100*560859/1793318,"")</f>
        <v>31.27493283399821</v>
      </c>
      <c r="D12" s="1">
        <f>IF(959622&gt;0,100*13815/959622,"")</f>
        <v>1.4396293540581604</v>
      </c>
      <c r="E12" s="1">
        <f>IF(COUNT(C12:D12)=2,D12-C12,"")</f>
        <v>-29.835303479940052</v>
      </c>
      <c r="H12" s="1">
        <v>10</v>
      </c>
      <c r="I12" s="1">
        <v>9</v>
      </c>
      <c r="J12" s="1">
        <f>IF(1173418&gt;0,100*250711/1173418,"")</f>
        <v>21.365873030752894</v>
      </c>
      <c r="K12" s="1">
        <f>IF(1254088&gt;0,100*120645/1254088,"")</f>
        <v>9.620138299704646</v>
      </c>
      <c r="L12" s="1">
        <f>IF(COUNT(J12:K12)=2,K12-J12,"")</f>
        <v>-11.745734731048248</v>
      </c>
      <c r="O12" s="1">
        <v>10</v>
      </c>
      <c r="P12" s="1">
        <v>9</v>
      </c>
      <c r="Q12" s="1">
        <f>IF(1151234&gt;0,100*222783/1151234,"")</f>
        <v>19.351669599751222</v>
      </c>
      <c r="R12" s="1">
        <f>IF(1039177&gt;0,100*23637/1039177,"")</f>
        <v>2.274588448358653</v>
      </c>
      <c r="S12" s="1">
        <f>IF(COUNT(Q12:R12)=2,R12-Q12,"")</f>
        <v>-17.07708115139257</v>
      </c>
    </row>
    <row r="13" spans="1:19">
      <c r="A13" s="1">
        <v>11</v>
      </c>
      <c r="B13" s="1">
        <v>10</v>
      </c>
      <c r="C13" s="1">
        <f>IF(1514166&gt;0,100*450931/1514166,"")</f>
        <v>29.78081663437166</v>
      </c>
      <c r="D13" s="1">
        <f>IF(1201133&gt;0,100*159062/1201133,"")</f>
        <v>13.24266338532036</v>
      </c>
      <c r="E13" s="1">
        <f>IF(COUNT(C13:D13)=2,D13-C13,"")</f>
        <v>-16.538153249051298</v>
      </c>
      <c r="H13" s="1">
        <v>11</v>
      </c>
      <c r="I13" s="1">
        <v>10</v>
      </c>
      <c r="J13" s="1">
        <f>IF(1146506&gt;0,100*57993/1146506,"")</f>
        <v>5.058237811228201</v>
      </c>
      <c r="K13" s="1">
        <f>IF(974678&gt;0,100*41724/974678,"")</f>
        <v>4.280798376489466</v>
      </c>
      <c r="L13" s="1">
        <f>IF(COUNT(J13:K13)=2,K13-J13,"")</f>
        <v>-0.777439434738735</v>
      </c>
      <c r="O13" s="1">
        <v>11</v>
      </c>
      <c r="P13" s="1">
        <v>10</v>
      </c>
      <c r="Q13" s="1">
        <f>IF(1057778&gt;0,100*7899/1057778,"")</f>
        <v>0.7467540447995704</v>
      </c>
      <c r="R13" s="1">
        <f>IF(1049064&gt;0,100*95306/1049064,"")</f>
        <v>9.084860408897837</v>
      </c>
      <c r="S13" s="1">
        <f>IF(COUNT(Q13:R13)=2,R13-Q13,"")</f>
        <v>8.338106364098266</v>
      </c>
    </row>
    <row r="14" spans="1:19">
      <c r="A14" s="1">
        <v>12</v>
      </c>
      <c r="B14" s="1">
        <v>11</v>
      </c>
      <c r="C14" s="1">
        <f>IF(1480420&gt;0,100*530595/1480420,"")</f>
        <v>35.84084246362519</v>
      </c>
      <c r="D14" s="1">
        <f>IF(1032886&gt;0,100*208863/1032886,"")</f>
        <v>20.22130225407257</v>
      </c>
      <c r="E14" s="1">
        <f>IF(COUNT(C14:D14)=2,D14-C14,"")</f>
        <v>-15.619540209552618</v>
      </c>
      <c r="H14" s="1">
        <v>12</v>
      </c>
      <c r="I14" s="1">
        <v>11</v>
      </c>
      <c r="J14" s="1">
        <f>IF(979595&gt;0,100*35929/979595,"")</f>
        <v>3.6677402395888095</v>
      </c>
      <c r="K14" s="1">
        <f>IF(1152040&gt;0,100*143514/1152040,"")</f>
        <v>12.457379952084997</v>
      </c>
      <c r="L14" s="1">
        <f>IF(COUNT(J14:K14)=2,K14-J14,"")</f>
        <v>8.789639712496188</v>
      </c>
      <c r="O14" s="1">
        <v>12</v>
      </c>
      <c r="P14" s="1">
        <v>11</v>
      </c>
      <c r="Q14" s="1">
        <f>IF(1932101&gt;0,100*714622/1932101,"")</f>
        <v>36.98678278205953</v>
      </c>
      <c r="R14" s="1">
        <f>IF(1121543&gt;0,100*14657/1121543,"")</f>
        <v>1.3068602808808936</v>
      </c>
      <c r="S14" s="1">
        <f>IF(COUNT(Q14:R14)=2,R14-Q14,"")</f>
        <v>-35.67992250117864</v>
      </c>
    </row>
    <row r="15" spans="1:19">
      <c r="A15" s="1">
        <v>13</v>
      </c>
      <c r="B15" s="1">
        <v>12</v>
      </c>
      <c r="C15" s="1">
        <f>IF(1625411&gt;0,100*523021/1625411,"")</f>
        <v>32.177769191915154</v>
      </c>
      <c r="D15" s="1">
        <f>IF(923241&gt;0,100*35699/923241,"")</f>
        <v>3.8667043599666826</v>
      </c>
      <c r="E15" s="1">
        <f>IF(COUNT(C15:D15)=2,D15-C15,"")</f>
        <v>-28.31106483194847</v>
      </c>
      <c r="H15" s="1">
        <v>13</v>
      </c>
      <c r="I15" s="1">
        <v>12</v>
      </c>
      <c r="J15" s="1">
        <f>IF(1997433&gt;0,100*770522/1997433,"")</f>
        <v>38.575611797742404</v>
      </c>
      <c r="K15" s="1">
        <f>IF(1221498&gt;0,100*180271/1221498,"")</f>
        <v>14.758190353156534</v>
      </c>
      <c r="L15" s="1">
        <f>IF(COUNT(J15:K15)=2,K15-J15,"")</f>
        <v>-23.817421444585868</v>
      </c>
      <c r="O15" s="1">
        <v>13</v>
      </c>
      <c r="P15" s="1">
        <v>12</v>
      </c>
      <c r="Q15" s="1">
        <f>IF(931018&gt;0,100*79093/931018,"")</f>
        <v>8.495324472781407</v>
      </c>
      <c r="R15" s="1">
        <f>IF(1181824&gt;0,100*154797/1181824,"")</f>
        <v>13.098143209141124</v>
      </c>
      <c r="S15" s="1">
        <f>IF(COUNT(Q15:R15)=2,R15-Q15,"")</f>
        <v>4.602818736359717</v>
      </c>
    </row>
    <row r="16" spans="1:19">
      <c r="A16" s="1">
        <v>14</v>
      </c>
      <c r="B16" s="1">
        <v>13</v>
      </c>
      <c r="C16" s="1">
        <f>IF(929730&gt;0,100*189375/929730,"")</f>
        <v>20.368816753250943</v>
      </c>
      <c r="D16" s="1">
        <f>IF(678075&gt;0,100*31123/678075,"")</f>
        <v>4.589905246469786</v>
      </c>
      <c r="E16" s="1">
        <f>IF(COUNT(C16:D16)=2,D16-C16,"")</f>
        <v>-15.778911506781157</v>
      </c>
      <c r="H16" s="1">
        <v>14</v>
      </c>
      <c r="I16" s="1">
        <v>13</v>
      </c>
      <c r="J16" s="1">
        <f>IF(1084239&gt;0,100*226536/1084239,"")</f>
        <v>20.893548378171232</v>
      </c>
      <c r="K16" s="1">
        <f>IF(905096&gt;0,100*121186/905096,"")</f>
        <v>13.389297930827228</v>
      </c>
      <c r="L16" s="1">
        <f>IF(COUNT(J16:K16)=2,K16-J16,"")</f>
        <v>-7.504250447344004</v>
      </c>
      <c r="O16" s="1">
        <v>14</v>
      </c>
      <c r="P16" s="1">
        <v>13</v>
      </c>
      <c r="Q16" s="1">
        <f>IF(670550&gt;0,100*11588/670550,"")</f>
        <v>1.7281336216538663</v>
      </c>
      <c r="R16" s="1">
        <f>IF(581093&gt;0,100*30631/581093,"")</f>
        <v>5.271273272952866</v>
      </c>
      <c r="S16" s="1">
        <f>IF(COUNT(Q16:R16)=2,R16-Q16,"")</f>
        <v>3.543139651299</v>
      </c>
    </row>
    <row r="17" spans="1:19">
      <c r="A17" s="1">
        <v>15</v>
      </c>
      <c r="B17" s="1">
        <v>14</v>
      </c>
      <c r="C17" s="1">
        <f>IF(1540895&gt;0,100*542667/1540895,"")</f>
        <v>35.217649482930376</v>
      </c>
      <c r="D17" s="1">
        <f>IF(1214717&gt;0,100*249980/1214717,"")</f>
        <v>20.579278959625988</v>
      </c>
      <c r="E17" s="1">
        <f>IF(COUNT(C17:D17)=2,D17-C17,"")</f>
        <v>-14.638370523304388</v>
      </c>
      <c r="H17" s="1">
        <v>15</v>
      </c>
      <c r="I17" s="1">
        <v>14</v>
      </c>
      <c r="J17" s="1">
        <f>IF(1976548&gt;0,100*795333/1976548,"")</f>
        <v>40.238486492612374</v>
      </c>
      <c r="K17" s="1">
        <f>IF(1200116&gt;0,100*124130/1200116,"")</f>
        <v>10.343166827206703</v>
      </c>
      <c r="L17" s="1">
        <f>IF(COUNT(J17:K17)=2,K17-J17,"")</f>
        <v>-29.895319665405673</v>
      </c>
      <c r="O17" s="1">
        <v>15</v>
      </c>
      <c r="P17" s="1">
        <v>14</v>
      </c>
      <c r="Q17" s="1">
        <f>IF(1789842&gt;0,100*586809/1789842,"")</f>
        <v>32.78551961569792</v>
      </c>
      <c r="R17" s="1">
        <f>IF(1166546&gt;0,100*155598/1166546,"")</f>
        <v>13.33835099516007</v>
      </c>
      <c r="S17" s="1">
        <f>IF(COUNT(Q17:R17)=2,R17-Q17,"")</f>
        <v>-19.447168620537852</v>
      </c>
    </row>
    <row r="18" spans="1:19">
      <c r="A18" s="1">
        <v>16</v>
      </c>
      <c r="B18" s="1">
        <v>15</v>
      </c>
      <c r="C18" s="1">
        <f>IF(1507412&gt;0,100*534395/1507412,"")</f>
        <v>35.45115734782528</v>
      </c>
      <c r="D18" s="1">
        <f>IF(1289467&gt;0,100*239808/1289467,"")</f>
        <v>18.597451505156783</v>
      </c>
      <c r="E18" s="1">
        <f>IF(COUNT(C18:D18)=2,D18-C18,"")</f>
        <v>-16.853705842668496</v>
      </c>
      <c r="H18" s="1">
        <v>16</v>
      </c>
      <c r="I18" s="1">
        <v>15</v>
      </c>
      <c r="J18" s="1">
        <f>IF(1507965&gt;0,100*427666/1507965,"")</f>
        <v>28.36047255738694</v>
      </c>
      <c r="K18" s="1">
        <f>IF(717783&gt;0,100*34047/717783,"")</f>
        <v>4.743355582397466</v>
      </c>
      <c r="L18" s="1">
        <f>IF(COUNT(J18:K18)=2,K18-J18,"")</f>
        <v>-23.617116974989475</v>
      </c>
      <c r="O18" s="1">
        <v>16</v>
      </c>
      <c r="P18" s="1">
        <v>15</v>
      </c>
      <c r="Q18" s="1">
        <f>IF(1644242&gt;0,100*542962/1644242,"")</f>
        <v>33.02202473845091</v>
      </c>
      <c r="R18" s="1">
        <f>IF(1189161&gt;0,100*78697/1189161,"")</f>
        <v>6.617859146070212</v>
      </c>
      <c r="S18" s="1">
        <f>IF(COUNT(Q18:R18)=2,R18-Q18,"")</f>
        <v>-26.404165592380696</v>
      </c>
    </row>
    <row r="19" spans="1:19">
      <c r="A19" s="1">
        <v>17</v>
      </c>
      <c r="B19" s="1">
        <v>16</v>
      </c>
      <c r="C19" s="1">
        <f>IF(642367&gt;0,100*51947/642367,"")</f>
        <v>8.08681018794552</v>
      </c>
      <c r="D19" s="1">
        <f>IF(613603&gt;0,100*27863/613603,"")</f>
        <v>4.540883926577934</v>
      </c>
      <c r="E19" s="1">
        <f>IF(COUNT(C19:D19)=2,D19-C19,"")</f>
        <v>-3.545926261367586</v>
      </c>
      <c r="H19" s="1">
        <v>17</v>
      </c>
      <c r="I19" s="1">
        <v>16</v>
      </c>
      <c r="J19" s="1">
        <f>IF(1858121&gt;0,100*695653/1858121,"")</f>
        <v>37.4385198811057</v>
      </c>
      <c r="K19" s="1">
        <f>IF(1078376&gt;0,100*164732/1078376,"")</f>
        <v>15.275933440655207</v>
      </c>
      <c r="L19" s="1">
        <f>IF(COUNT(J19:K19)=2,K19-J19,"")</f>
        <v>-22.16258644045049</v>
      </c>
      <c r="O19" s="1">
        <v>17</v>
      </c>
      <c r="P19" s="1">
        <v>16</v>
      </c>
      <c r="Q19" s="1">
        <f>IF(1134999&gt;0,100*244255/1134999,"")</f>
        <v>21.520283277782625</v>
      </c>
      <c r="R19" s="1">
        <f>IF(1179814&gt;0,100*165049/1179814,"")</f>
        <v>13.989408499983895</v>
      </c>
      <c r="S19" s="1">
        <f>IF(COUNT(Q19:R19)=2,R19-Q19,"")</f>
        <v>-7.530874777798729</v>
      </c>
    </row>
    <row r="20" spans="1:19">
      <c r="A20" s="1">
        <v>18</v>
      </c>
      <c r="B20" s="1">
        <v>17</v>
      </c>
      <c r="C20" s="1">
        <f>IF(594640&gt;0,100*3581/594640,"")</f>
        <v>0.6022131037266245</v>
      </c>
      <c r="D20" s="1">
        <f>IF(626504&gt;0,100*15092/626504,"")</f>
        <v>2.408923167290233</v>
      </c>
      <c r="E20" s="1">
        <f>IF(COUNT(C20:D20)=2,D20-C20,"")</f>
        <v>1.8067100635636084</v>
      </c>
      <c r="H20" s="1">
        <v>18</v>
      </c>
      <c r="I20" s="1">
        <v>17</v>
      </c>
      <c r="J20" s="1">
        <f>IF(1593567&gt;0,100*381148/1593567,"")</f>
        <v>23.917914966863645</v>
      </c>
      <c r="K20" s="1">
        <f>IF(1182882&gt;0,100*121731/1182882,"")</f>
        <v>10.291051854707401</v>
      </c>
      <c r="L20" s="1">
        <f>IF(COUNT(J20:K20)=2,K20-J20,"")</f>
        <v>-13.626863112156244</v>
      </c>
      <c r="O20" s="1">
        <v>18</v>
      </c>
      <c r="P20" s="1">
        <v>17</v>
      </c>
      <c r="Q20" s="1">
        <f>IF(1362366&gt;0,100*418939/1362366,"")</f>
        <v>30.750840816638114</v>
      </c>
      <c r="R20" s="1">
        <f>IF(1016847&gt;0,100*68146/1016847,"")</f>
        <v>6.7016965187486415</v>
      </c>
      <c r="S20" s="1">
        <f>IF(COUNT(Q20:R20)=2,R20-Q20,"")</f>
        <v>-24.049144297889473</v>
      </c>
    </row>
    <row r="21" spans="1:19">
      <c r="A21" s="1">
        <v>19</v>
      </c>
      <c r="B21" s="1">
        <v>18</v>
      </c>
      <c r="C21" s="1">
        <f>IF(1610751&gt;0,100*584870/1610751,"")</f>
        <v>36.31039186069107</v>
      </c>
      <c r="D21" s="1">
        <f>IF(1354342&gt;0,100*271102/1354342,"")</f>
        <v>20.017248228290935</v>
      </c>
      <c r="E21" s="1">
        <f>IF(COUNT(C21:D21)=2,D21-C21,"")</f>
        <v>-16.293143632400135</v>
      </c>
      <c r="H21" s="1">
        <v>19</v>
      </c>
      <c r="I21" s="1">
        <v>18</v>
      </c>
      <c r="J21" s="1">
        <f>IF(959902&gt;0,100*142934/959902,"")</f>
        <v>14.89047840300364</v>
      </c>
      <c r="K21" s="1">
        <f>IF(950236&gt;0,100*35492/950236,"")</f>
        <v>3.7350721294499474</v>
      </c>
      <c r="L21" s="1">
        <f>IF(COUNT(J21:K21)=2,K21-J21,"")</f>
        <v>-11.155406273553691</v>
      </c>
      <c r="O21" s="1">
        <v>19</v>
      </c>
      <c r="P21" s="1">
        <v>18</v>
      </c>
      <c r="Q21" s="1">
        <f>IF(1024717&gt;0,100*193814/1024717,"")</f>
        <v>18.91390500987102</v>
      </c>
      <c r="R21" s="1">
        <f>IF(1047622&gt;0,100*120541/1047622,"")</f>
        <v>11.50615393720254</v>
      </c>
      <c r="S21" s="1">
        <f>IF(COUNT(Q21:R21)=2,R21-Q21,"")</f>
        <v>-7.4077510726684785</v>
      </c>
    </row>
    <row r="22" spans="1:19">
      <c r="A22" s="1">
        <v>20</v>
      </c>
      <c r="B22" s="1">
        <v>19</v>
      </c>
      <c r="C22" s="1">
        <f>IF(1151574&gt;0,100*385861/1151574,"")</f>
        <v>33.50726918113816</v>
      </c>
      <c r="D22" s="1">
        <f>IF(1065199&gt;0,100*63879/1065199,"")</f>
        <v>5.996907620078502</v>
      </c>
      <c r="E22" s="1">
        <f>IF(COUNT(C22:D22)=2,D22-C22,"")</f>
        <v>-27.51036156105966</v>
      </c>
      <c r="H22" s="1">
        <v>20</v>
      </c>
      <c r="I22" s="1">
        <v>19</v>
      </c>
      <c r="J22" s="1">
        <f>IF(795490&gt;0,100*93263/795490,"")</f>
        <v>11.723968874530163</v>
      </c>
      <c r="K22" s="1">
        <f>IF(826854&gt;0,100*116696/826854,"")</f>
        <v>14.113253367583637</v>
      </c>
      <c r="L22" s="1">
        <f>IF(COUNT(J22:K22)=2,K22-J22,"")</f>
        <v>2.3892844930534736</v>
      </c>
      <c r="O22" s="1">
        <v>20</v>
      </c>
      <c r="P22" s="1">
        <v>19</v>
      </c>
      <c r="Q22" s="1">
        <f>IF(1318480&gt;0,100*350952/1318480,"")</f>
        <v>26.617923669680238</v>
      </c>
      <c r="R22" s="1">
        <f>IF(1166772&gt;0,100*122608/1166772,"")</f>
        <v>10.50830839272797</v>
      </c>
      <c r="S22" s="1">
        <f>IF(COUNT(Q22:R22)=2,R22-Q22,"")</f>
        <v>-16.10961527695227</v>
      </c>
    </row>
    <row r="23" spans="1:19">
      <c r="A23" s="1">
        <v>21</v>
      </c>
      <c r="B23" s="1">
        <v>20</v>
      </c>
      <c r="C23" s="1">
        <f>IF(1068079&gt;0,100*233010/1068079,"")</f>
        <v>21.815802014644984</v>
      </c>
      <c r="D23" s="1">
        <f>IF(987861&gt;0,100*128908/987861,"")</f>
        <v>13.049204290887078</v>
      </c>
      <c r="E23" s="1">
        <f>IF(COUNT(C23:D23)=2,D23-C23,"")</f>
        <v>-8.766597723757906</v>
      </c>
      <c r="H23" s="1">
        <v>21</v>
      </c>
      <c r="I23" s="1">
        <v>20</v>
      </c>
      <c r="J23" s="1">
        <f>IF(2064525&gt;0,100*814911/2064525,"")</f>
        <v>39.47208195589785</v>
      </c>
      <c r="K23" s="1">
        <f>IF(906709&gt;0,100*103574/906709,"")</f>
        <v>11.42306958461866</v>
      </c>
      <c r="L23" s="1">
        <f>IF(COUNT(J23:K23)=2,K23-J23,"")</f>
        <v>-28.04901237127919</v>
      </c>
      <c r="O23" s="1">
        <v>21</v>
      </c>
      <c r="P23" s="1">
        <v>20</v>
      </c>
      <c r="Q23" s="1">
        <f>IF(988289&gt;0,100*243580/988289,"")</f>
        <v>24.646636763133053</v>
      </c>
      <c r="R23" s="1">
        <f>IF(877641&gt;0,100*77094/877641,"")</f>
        <v>8.784229542603411</v>
      </c>
      <c r="S23" s="1">
        <f>IF(COUNT(Q23:R23)=2,R23-Q23,"")</f>
        <v>-15.862407220529642</v>
      </c>
    </row>
    <row r="24" spans="1:19">
      <c r="A24" s="1">
        <v>22</v>
      </c>
      <c r="B24" s="1">
        <v>21</v>
      </c>
      <c r="C24" s="1">
        <f>IF(1338290&gt;0,100*468761/1338290,"")</f>
        <v>35.0268626381427</v>
      </c>
      <c r="D24" s="1">
        <f>IF(1154320&gt;0,100*209773/1154320,"")</f>
        <v>18.172863677316517</v>
      </c>
      <c r="E24" s="1">
        <f>IF(COUNT(C24:D24)=2,D24-C24,"")</f>
        <v>-16.853998960826186</v>
      </c>
      <c r="H24" s="1">
        <v>22</v>
      </c>
      <c r="I24" s="1">
        <v>21</v>
      </c>
      <c r="J24" s="1">
        <f>IF(1478082&gt;0,100*446963/1478082,"")</f>
        <v>30.23939131929081</v>
      </c>
      <c r="K24" s="1">
        <f>IF(1178153&gt;0,100*252848/1178153,"")</f>
        <v>21.461389140459687</v>
      </c>
      <c r="L24" s="1">
        <f>IF(COUNT(J24:K24)=2,K24-J24,"")</f>
        <v>-8.778002178831123</v>
      </c>
      <c r="O24" s="1">
        <v>22</v>
      </c>
      <c r="P24" s="1">
        <v>21</v>
      </c>
      <c r="Q24" s="1">
        <f>IF(1372655&gt;0,100*332190/1372655,"")</f>
        <v>24.20054565786742</v>
      </c>
      <c r="R24" s="1">
        <f>IF(1215233&gt;0,100*230762/1215233,"")</f>
        <v>18.989115667530424</v>
      </c>
      <c r="S24" s="1">
        <f>IF(COUNT(Q24:R24)=2,R24-Q24,"")</f>
        <v>-5.211429990336995</v>
      </c>
    </row>
    <row r="25" spans="1:19">
      <c r="A25" s="1">
        <v>23</v>
      </c>
      <c r="B25" s="1">
        <v>22</v>
      </c>
      <c r="C25" s="1">
        <f>IF(509320&gt;0,100*1248/509320,"")</f>
        <v>0.24503259247624284</v>
      </c>
      <c r="D25" s="1">
        <f>IF(512260&gt;0,100*1074/512260,"")</f>
        <v>0.2096591574591028</v>
      </c>
      <c r="E25" s="1">
        <f>IF(COUNT(C25:D25)=2,D25-C25,"")</f>
        <v>-0.03537343501714005</v>
      </c>
      <c r="H25" s="1">
        <v>23</v>
      </c>
      <c r="I25" s="1">
        <v>22</v>
      </c>
      <c r="J25" s="1">
        <f>IF(1340391&gt;0,100*238132/1340391,"")</f>
        <v>17.765860857018588</v>
      </c>
      <c r="K25" s="1">
        <f>IF(1130130&gt;0,100*102267/1130130,"")</f>
        <v>9.049135940113084</v>
      </c>
      <c r="L25" s="1">
        <f>IF(COUNT(J25:K25)=2,K25-J25,"")</f>
        <v>-8.716724916905504</v>
      </c>
      <c r="O25" s="1">
        <v>23</v>
      </c>
      <c r="P25" s="1">
        <v>22</v>
      </c>
      <c r="Q25" s="1">
        <f>IF(1673110&gt;0,100*548899/1673110,"")</f>
        <v>32.80710772154849</v>
      </c>
      <c r="R25" s="1">
        <f>IF(1082933&gt;0,100*105895/1082933,"")</f>
        <v>9.77853662230258</v>
      </c>
      <c r="S25" s="1">
        <f>IF(COUNT(Q25:R25)=2,R25-Q25,"")</f>
        <v>-23.02857109924591</v>
      </c>
    </row>
    <row r="26" spans="1:19">
      <c r="A26" s="1">
        <v>24</v>
      </c>
      <c r="B26" s="1">
        <v>23</v>
      </c>
      <c r="C26" s="1">
        <f>IF(914755&gt;0,100*175077/914755,"")</f>
        <v>19.139223070658264</v>
      </c>
      <c r="D26" s="1">
        <f>IF(862987&gt;0,100*7760/862987,"")</f>
        <v>0.899202421357448</v>
      </c>
      <c r="E26" s="1">
        <f>IF(COUNT(C26:D26)=2,D26-C26,"")</f>
        <v>-18.240020649300817</v>
      </c>
      <c r="H26" s="1">
        <v>24</v>
      </c>
      <c r="I26" s="1">
        <v>23</v>
      </c>
      <c r="J26" s="1">
        <f>IF(1715105&gt;0,100*545055/1715105,"")</f>
        <v>31.77968695794135</v>
      </c>
      <c r="K26" s="1">
        <f>IF(1201222&gt;0,100*114030/1201222,"")</f>
        <v>9.492833131594326</v>
      </c>
      <c r="L26" s="1">
        <f>IF(COUNT(J26:K26)=2,K26-J26,"")</f>
        <v>-22.286853826347027</v>
      </c>
      <c r="O26" s="1">
        <v>24</v>
      </c>
      <c r="P26" s="1">
        <v>23</v>
      </c>
      <c r="Q26" s="1">
        <f>IF(1476074&gt;0,100*377502/1476074,"")</f>
        <v>25.57473405804858</v>
      </c>
      <c r="R26" s="1">
        <f>IF(1056402&gt;0,100*46684/1056402,"")</f>
        <v>4.41915104287951</v>
      </c>
      <c r="S26" s="1">
        <f>IF(COUNT(Q26:R26)=2,R26-Q26,"")</f>
        <v>-21.15558301516907</v>
      </c>
    </row>
    <row r="27" spans="1:19">
      <c r="A27" s="1">
        <v>25</v>
      </c>
      <c r="B27" s="1">
        <v>24</v>
      </c>
      <c r="C27" s="1">
        <f>IF(1691255&gt;0,100*656381/1691255,"")</f>
        <v>38.81029176558236</v>
      </c>
      <c r="D27" s="1">
        <f>IF(1396395&gt;0,100*301626/1396395,"")</f>
        <v>21.600335148722245</v>
      </c>
      <c r="E27" s="1">
        <f>IF(COUNT(C27:D27)=2,D27-C27,"")</f>
        <v>-17.20995661686012</v>
      </c>
      <c r="H27" s="1">
        <v>25</v>
      </c>
      <c r="I27" s="1">
        <v>24</v>
      </c>
      <c r="J27" s="1">
        <f>IF(1222508&gt;0,100*246917/1222508,"")</f>
        <v>20.197577439166043</v>
      </c>
      <c r="K27" s="1">
        <f>IF(903583&gt;0,100*43039/903583,"")</f>
        <v>4.763148487742686</v>
      </c>
      <c r="L27" s="1">
        <f>IF(COUNT(J27:K27)=2,K27-J27,"")</f>
        <v>-15.434428951423357</v>
      </c>
      <c r="O27" s="1">
        <v>25</v>
      </c>
      <c r="P27" s="1">
        <v>24</v>
      </c>
      <c r="Q27" s="1">
        <f>IF(1190475&gt;0,100*83215/1190475,"")</f>
        <v>6.99006699006699</v>
      </c>
      <c r="R27" s="1">
        <f>IF(917111&gt;0,100*72755/917111,"")</f>
        <v>7.933063718568418</v>
      </c>
      <c r="S27" s="1">
        <f>IF(COUNT(Q27:R27)=2,R27-Q27,"")</f>
        <v>0.942996728501428</v>
      </c>
    </row>
    <row r="28" spans="1:19">
      <c r="A28" s="1">
        <v>26</v>
      </c>
      <c r="B28" s="1">
        <v>25</v>
      </c>
      <c r="C28" s="1">
        <f>IF(1683042&gt;0,100*681416/1683042,"")</f>
        <v>40.48716550151452</v>
      </c>
      <c r="D28" s="1">
        <f>IF(1743858&gt;0,100*390877/1743858,"")</f>
        <v>22.414497051938863</v>
      </c>
      <c r="E28" s="1">
        <f>IF(COUNT(C28:D28)=2,D28-C28,"")</f>
        <v>-18.072668449575655</v>
      </c>
      <c r="H28" s="1">
        <v>26</v>
      </c>
      <c r="I28" s="1">
        <v>25</v>
      </c>
      <c r="J28" s="1">
        <f>IF(1827352&gt;0,100*581318/1827352,"")</f>
        <v>31.8120427810296</v>
      </c>
      <c r="K28" s="1">
        <f>IF(1034151&gt;0,100*125559/1034151,"")</f>
        <v>12.141263703269638</v>
      </c>
      <c r="L28" s="1">
        <f>IF(COUNT(J28:K28)=2,K28-J28,"")</f>
        <v>-19.67077907775996</v>
      </c>
      <c r="O28" s="1">
        <v>26</v>
      </c>
      <c r="P28" s="1">
        <v>25</v>
      </c>
      <c r="Q28" s="1">
        <f>IF(1679034&gt;0,100*488863/1679034,"")</f>
        <v>29.11572963978097</v>
      </c>
      <c r="R28" s="1">
        <f>IF(1472812&gt;0,100*199817/1472812,"")</f>
        <v>13.56704046409182</v>
      </c>
      <c r="S28" s="1">
        <f>IF(COUNT(Q28:R28)=2,R28-Q28,"")</f>
        <v>-15.54868917568915</v>
      </c>
    </row>
    <row r="29" spans="1:19">
      <c r="A29" s="1">
        <v>27</v>
      </c>
      <c r="B29" s="1">
        <v>26</v>
      </c>
      <c r="C29" s="1">
        <f>IF(1557766&gt;0,100*464581/1557766,"")</f>
        <v>29.823542175140553</v>
      </c>
      <c r="D29" s="1">
        <f>IF(1206867&gt;0,100*192902/1206867,"")</f>
        <v>15.983699943738623</v>
      </c>
      <c r="E29" s="1">
        <f>IF(COUNT(C29:D29)=2,D29-C29,"")</f>
        <v>-13.83984223140193</v>
      </c>
      <c r="H29" s="1">
        <v>27</v>
      </c>
      <c r="I29" s="1">
        <v>26</v>
      </c>
      <c r="J29" s="1">
        <f>IF(1255658&gt;0,100*171678/1255658,"")</f>
        <v>13.672353459301815</v>
      </c>
      <c r="K29" s="1">
        <f>IF(1335523&gt;0,100*172770/1335523,"")</f>
        <v>12.936505024623312</v>
      </c>
      <c r="L29" s="1">
        <f>IF(COUNT(J29:K29)=2,K29-J29,"")</f>
        <v>-0.7358484346785037</v>
      </c>
      <c r="O29" s="1">
        <v>27</v>
      </c>
      <c r="P29" s="1">
        <v>26</v>
      </c>
      <c r="Q29" s="1">
        <f>IF(2118549&gt;0,100*871261/2118549,"")</f>
        <v>41.12536457735931</v>
      </c>
      <c r="R29" s="1">
        <f>IF(1075785&gt;0,100*129459/1075785,"")</f>
        <v>12.0339101214462</v>
      </c>
      <c r="S29" s="1">
        <f>IF(COUNT(Q29:R29)=2,R29-Q29,"")</f>
        <v>-29.091454455913116</v>
      </c>
    </row>
    <row r="30" spans="1:19">
      <c r="A30" s="1">
        <v>28</v>
      </c>
      <c r="B30" s="1">
        <v>27</v>
      </c>
      <c r="C30" s="1">
        <f>IF(506350&gt;0,100*449/506350,"")</f>
        <v>0.08867384220400909</v>
      </c>
      <c r="D30" s="1">
        <f>IF(507421&gt;0,100*599/507421,"")</f>
        <v>0.11804793258457967</v>
      </c>
      <c r="E30" s="1">
        <f>IF(COUNT(C30:D30)=2,D30-C30,"")</f>
        <v>0.02937409038057058</v>
      </c>
      <c r="H30" s="1">
        <v>28</v>
      </c>
      <c r="I30" s="1">
        <v>27</v>
      </c>
      <c r="J30" s="1">
        <f>IF(1718872&gt;0,100*583484/1718872,"")</f>
        <v>33.94575046891217</v>
      </c>
      <c r="K30" s="1">
        <f>IF(1638856&gt;0,100*266034/1638856,"")</f>
        <v>16.232908809559838</v>
      </c>
      <c r="L30" s="1">
        <f>IF(COUNT(J30:K30)=2,K30-J30,"")</f>
        <v>-17.712841659352335</v>
      </c>
      <c r="O30" s="1">
        <v>28</v>
      </c>
      <c r="P30" s="1">
        <v>27</v>
      </c>
      <c r="Q30" s="1">
        <f>IF(1202604&gt;0,100*322949/1202604,"")</f>
        <v>26.8541431759748</v>
      </c>
      <c r="R30" s="1">
        <f>IF(1198049&gt;0,100*148280/1198049,"")</f>
        <v>12.376789263210437</v>
      </c>
      <c r="S30" s="1">
        <f>IF(COUNT(Q30:R30)=2,R30-Q30,"")</f>
        <v>-14.477353912764364</v>
      </c>
    </row>
    <row r="31" spans="1:19">
      <c r="A31" s="1">
        <v>29</v>
      </c>
      <c r="B31" s="1">
        <v>28</v>
      </c>
      <c r="C31" s="1">
        <f>IF(1614535&gt;0,100*599059/1614535,"")</f>
        <v>37.104119762036746</v>
      </c>
      <c r="D31" s="1">
        <f>IF(1484923&gt;0,100*326014/1484923,"")</f>
        <v>21.954943118262698</v>
      </c>
      <c r="E31" s="1">
        <f>IF(COUNT(C31:D31)=2,D31-C31,"")</f>
        <v>-15.149176643774048</v>
      </c>
      <c r="H31" s="1">
        <v>29</v>
      </c>
      <c r="I31" s="1">
        <v>28</v>
      </c>
      <c r="J31" s="1">
        <f>IF(1707787&gt;0,100*644845/1707787,"")</f>
        <v>37.75909993459371</v>
      </c>
      <c r="K31" s="1">
        <f>IF(1261395&gt;0,100*129632/1261395,"")</f>
        <v>10.276875998398598</v>
      </c>
      <c r="L31" s="1">
        <f>IF(COUNT(J31:K31)=2,K31-J31,"")</f>
        <v>-27.482223936195115</v>
      </c>
      <c r="O31" s="1">
        <v>29</v>
      </c>
      <c r="P31" s="1">
        <v>28</v>
      </c>
      <c r="Q31" s="1">
        <f>IF(1781585&gt;0,100*685393/1781585,"")</f>
        <v>38.47096826702066</v>
      </c>
      <c r="R31" s="1">
        <f>IF(1179331&gt;0,100*130819/1179331,"")</f>
        <v>11.092644897827666</v>
      </c>
      <c r="S31" s="1">
        <f>IF(COUNT(Q31:R31)=2,R31-Q31,"")</f>
        <v>-27.37832336919299</v>
      </c>
    </row>
    <row r="32" spans="1:19">
      <c r="A32" s="1">
        <v>30</v>
      </c>
      <c r="B32" s="1">
        <v>29</v>
      </c>
      <c r="C32" s="1">
        <f>IF(1722125&gt;0,100*685666/1722125,"")</f>
        <v>39.81511214342745</v>
      </c>
      <c r="D32" s="1">
        <f>IF(1014133&gt;0,100*127948/1014133,"")</f>
        <v>12.616491130847729</v>
      </c>
      <c r="E32" s="1">
        <f>IF(COUNT(C32:D32)=2,D32-C32,"")</f>
        <v>-27.19862101257972</v>
      </c>
      <c r="H32" s="1">
        <v>30</v>
      </c>
      <c r="I32" s="1">
        <v>29</v>
      </c>
      <c r="J32" s="1">
        <f>IF(1183903&gt;0,100*336267/1183903,"")</f>
        <v>28.403256009994063</v>
      </c>
      <c r="K32" s="1">
        <f>IF(976039&gt;0,100*79763/976039,"")</f>
        <v>8.172111975033785</v>
      </c>
      <c r="L32" s="1">
        <f>IF(COUNT(J32:K32)=2,K32-J32,"")</f>
        <v>-20.23114403496028</v>
      </c>
      <c r="O32" s="1">
        <v>30</v>
      </c>
      <c r="P32" s="1">
        <v>29</v>
      </c>
      <c r="Q32" s="1">
        <f>IF(1267752&gt;0,100*304833/1267752,"")</f>
        <v>24.045160252162884</v>
      </c>
      <c r="R32" s="1">
        <f>IF(1183611&gt;0,100*177131/1183611,"")</f>
        <v>14.965305324130986</v>
      </c>
      <c r="S32" s="1">
        <f>IF(COUNT(Q32:R32)=2,R32-Q32,"")</f>
        <v>-9.079854928031898</v>
      </c>
    </row>
    <row r="33" spans="1:19">
      <c r="A33" s="1">
        <v>31</v>
      </c>
      <c r="B33" s="1">
        <v>30</v>
      </c>
      <c r="C33" s="1">
        <f>IF(758539&gt;0,100*11909/758539,"")</f>
        <v>1.569991786842865</v>
      </c>
      <c r="D33" s="1">
        <f>IF(953975&gt;0,100*2857/953975,"")</f>
        <v>0.2994837390916953</v>
      </c>
      <c r="E33" s="1">
        <f>IF(COUNT(C33:D33)=2,D33-C33,"")</f>
        <v>-1.2705080477511697</v>
      </c>
      <c r="H33" s="1">
        <v>31</v>
      </c>
      <c r="I33" s="1">
        <v>30</v>
      </c>
      <c r="J33" s="1">
        <f>IF(1372764&gt;0,100*366154/1372764,"")</f>
        <v>26.67275656995667</v>
      </c>
      <c r="K33" s="1">
        <f>IF(1071166&gt;0,100*172091/1071166,"")</f>
        <v>16.065763849860804</v>
      </c>
      <c r="L33" s="1">
        <f>IF(COUNT(J33:K33)=2,K33-J33,"")</f>
        <v>-10.606992720095867</v>
      </c>
      <c r="O33" s="1">
        <v>31</v>
      </c>
      <c r="P33" s="1">
        <v>30</v>
      </c>
      <c r="Q33" s="1">
        <f>IF(1698653&gt;0,100*588007/1698653,"")</f>
        <v>34.616075207826434</v>
      </c>
      <c r="R33" s="1">
        <f>IF(1009453&gt;0,100*114445/1009453,"")</f>
        <v>11.337328236183358</v>
      </c>
      <c r="S33" s="1">
        <f>IF(COUNT(Q33:R33)=2,R33-Q33,"")</f>
        <v>-23.278746971643073</v>
      </c>
    </row>
    <row r="34" spans="1:19">
      <c r="A34" s="2" t="s">
        <v>6</v>
      </c>
      <c r="B34" s="1"/>
      <c r="C34" s="1">
        <f>IF(COUNT(C3:C33)&gt;0,AVERAGE(C3:C33),"")</f>
        <v>28.37755704515853</v>
      </c>
      <c r="D34" s="1">
        <f>IF(COUNT(D3:D33)&gt;0,AVERAGE(D3:D33),"")</f>
        <v>11.831625749168323</v>
      </c>
      <c r="E34" s="1">
        <f>IF(COUNT(E3:E33)&gt;0,AVERAGE(E3:E33),"")</f>
        <v>-16.545931295990204</v>
      </c>
      <c r="H34" s="2" t="s">
        <v>6</v>
      </c>
      <c r="I34" s="1"/>
      <c r="J34" s="1">
        <f>IF(COUNT(J3:J33)&gt;0,AVERAGE(J3:J33),"")</f>
        <v>23.048785214991636</v>
      </c>
      <c r="K34" s="1">
        <f>IF(COUNT(K3:K33)&gt;0,AVERAGE(K3:K33),"")</f>
        <v>11.09470085362204</v>
      </c>
      <c r="L34" s="1">
        <f>IF(COUNT(L3:L33)&gt;0,AVERAGE(L3:L33),"")</f>
        <v>-11.954084361369594</v>
      </c>
      <c r="O34" s="2" t="s">
        <v>6</v>
      </c>
      <c r="P34" s="1"/>
      <c r="Q34" s="1">
        <f>IF(COUNT(Q3:Q33)&gt;0,AVERAGE(Q3:Q33),"")</f>
        <v>24.644136830215917</v>
      </c>
      <c r="R34" s="1">
        <f>IF(COUNT(R3:R33)&gt;0,AVERAGE(R3:R33),"")</f>
        <v>10.782243555722511</v>
      </c>
      <c r="S34" s="1">
        <f>IF(COUNT(S3:S33)&gt;0,AVERAGE(S3:S33),"")</f>
        <v>-13.861893274493408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IF(1093423&gt;0,100*121600/1093423,"")</f>
        <v>11.121039158678755</v>
      </c>
      <c r="D39" s="1">
        <f>IF(1104349&gt;0,100*116676/1104349,"")</f>
        <v>10.56513837564031</v>
      </c>
      <c r="E39" s="1">
        <f>IF(COUNT(C39:D39)=2,D39-C39,"")</f>
        <v>-0.5559007830384459</v>
      </c>
      <c r="H39" s="1">
        <v>1</v>
      </c>
      <c r="I39" s="1">
        <v>0</v>
      </c>
      <c r="J39" s="1">
        <f>IF(2001661&gt;0,100*613984/2001661,"")</f>
        <v>30.673725470996338</v>
      </c>
      <c r="K39" s="1">
        <f>IF(1862451&gt;0,100*393347/1862451,"")</f>
        <v>21.119857649946226</v>
      </c>
      <c r="L39" s="1">
        <f>IF(COUNT(J39:K39)=2,K39-J39,"")</f>
        <v>-9.553867821050112</v>
      </c>
      <c r="O39" s="1">
        <v>1</v>
      </c>
      <c r="P39" s="1">
        <v>0</v>
      </c>
      <c r="Q39" s="1">
        <f>IF(1572820&gt;0,100*273004/1572820,"")</f>
        <v>17.35761244134739</v>
      </c>
      <c r="R39" s="1">
        <f>IF(1987111&gt;0,100*321241/1987111,"")</f>
        <v>16.166233290440243</v>
      </c>
      <c r="S39" s="1">
        <f>IF(COUNT(Q39:R39)=2,R39-Q39,"")</f>
        <v>-1.1913791509071459</v>
      </c>
    </row>
    <row r="40" spans="1:19">
      <c r="A40" s="1">
        <v>2</v>
      </c>
      <c r="B40" s="1">
        <v>1</v>
      </c>
      <c r="C40" s="1">
        <f>IF(1205676&gt;0,100*374828/1205676,"")</f>
        <v>31.08861750586393</v>
      </c>
      <c r="D40" s="1">
        <f>IF(1341492&gt;0,100*272959/1341492,"")</f>
        <v>20.34741914226846</v>
      </c>
      <c r="E40" s="1">
        <f>IF(COUNT(C40:D40)=2,D40-C40,"")</f>
        <v>-10.741198363595469</v>
      </c>
      <c r="H40" s="1">
        <v>2</v>
      </c>
      <c r="I40" s="1">
        <v>1</v>
      </c>
      <c r="J40" s="1">
        <f>IF(2100504&gt;0,100*794890/2100504,"")</f>
        <v>37.84282248450848</v>
      </c>
      <c r="K40" s="1">
        <f>IF(2164480&gt;0,100*357820/2164480,"")</f>
        <v>16.531453282081607</v>
      </c>
      <c r="L40" s="1">
        <f>IF(COUNT(J40:K40)=2,K40-J40,"")</f>
        <v>-21.311369202426874</v>
      </c>
      <c r="O40" s="1">
        <v>2</v>
      </c>
      <c r="P40" s="1">
        <v>1</v>
      </c>
      <c r="Q40" s="1">
        <f>IF(2271111&gt;0,100*972080/2271111,"")</f>
        <v>42.801959041191736</v>
      </c>
      <c r="R40" s="1">
        <f>IF(1041979&gt;0,100*145315/1041979,"")</f>
        <v>13.946058413845194</v>
      </c>
      <c r="S40" s="1">
        <f>IF(COUNT(Q40:R40)=2,R40-Q40,"")</f>
        <v>-28.855900627346543</v>
      </c>
    </row>
    <row r="41" spans="1:19">
      <c r="A41" s="1">
        <v>3</v>
      </c>
      <c r="B41" s="1">
        <v>2</v>
      </c>
      <c r="C41" s="1">
        <f>IF(1607803&gt;0,100*670978/1607803,"")</f>
        <v>41.732600324791036</v>
      </c>
      <c r="D41" s="1">
        <f>IF(1655222&gt;0,100*306588/1655222,"")</f>
        <v>18.52247009766666</v>
      </c>
      <c r="E41" s="1">
        <f>IF(COUNT(C41:D41)=2,D41-C41,"")</f>
        <v>-23.210130227124377</v>
      </c>
      <c r="H41" s="1">
        <v>3</v>
      </c>
      <c r="I41" s="1">
        <v>2</v>
      </c>
      <c r="J41" s="1">
        <f>IF(2703819&gt;0,100*975381/2703819,"")</f>
        <v>36.0741972742998</v>
      </c>
      <c r="K41" s="1">
        <f>IF(1601986&gt;0,100*192121/1601986,"")</f>
        <v>11.992676590182436</v>
      </c>
      <c r="L41" s="1">
        <f>IF(COUNT(J41:K41)=2,K41-J41,"")</f>
        <v>-24.081520684117365</v>
      </c>
      <c r="O41" s="1">
        <v>3</v>
      </c>
      <c r="P41" s="1">
        <v>2</v>
      </c>
      <c r="Q41" s="1">
        <f>IF(2333406&gt;0,100*950771/2333406,"")</f>
        <v>40.746059622714604</v>
      </c>
      <c r="R41" s="1">
        <f>IF(1753568&gt;0,100*160510/1753568,"")</f>
        <v>9.153337652146938</v>
      </c>
      <c r="S41" s="1">
        <f>IF(COUNT(Q41:R41)=2,R41-Q41,"")</f>
        <v>-31.592721970567666</v>
      </c>
    </row>
    <row r="42" spans="1:19">
      <c r="A42" s="1">
        <v>4</v>
      </c>
      <c r="B42" s="1">
        <v>3</v>
      </c>
      <c r="C42" s="1">
        <f>IF(2016766&gt;0,100*855389/2016766,"")</f>
        <v>42.41389432388289</v>
      </c>
      <c r="D42" s="1">
        <f>IF(2046368&gt;0,100*419131/2046368,"")</f>
        <v>20.48170221582824</v>
      </c>
      <c r="E42" s="1">
        <f>IF(COUNT(C42:D42)=2,D42-C42,"")</f>
        <v>-21.932192108054654</v>
      </c>
      <c r="H42" s="1">
        <v>4</v>
      </c>
      <c r="I42" s="1">
        <v>3</v>
      </c>
      <c r="J42" s="1">
        <f>IF(1363146&gt;0,100*83089/1363146,"")</f>
        <v>6.09538523386343</v>
      </c>
      <c r="K42" s="1">
        <f>IF(1703747&gt;0,100*90262/1703747,"")</f>
        <v>5.297852321970339</v>
      </c>
      <c r="L42" s="1">
        <f>IF(COUNT(J42:K42)=2,K42-J42,"")</f>
        <v>-0.7975329118930912</v>
      </c>
      <c r="O42" s="1">
        <v>4</v>
      </c>
      <c r="P42" s="1">
        <v>3</v>
      </c>
      <c r="Q42" s="1">
        <f>IF(1406270&gt;0,100*83129/1406270,"")</f>
        <v>5.911311483570011</v>
      </c>
      <c r="R42" s="1">
        <f>IF(1283051&gt;0,100*64781/1283051,"")</f>
        <v>5.048980905669377</v>
      </c>
      <c r="S42" s="1">
        <f>IF(COUNT(Q42:R42)=2,R42-Q42,"")</f>
        <v>-0.862330577900634</v>
      </c>
    </row>
    <row r="43" spans="1:19">
      <c r="A43" s="1">
        <v>5</v>
      </c>
      <c r="B43" s="1">
        <v>4</v>
      </c>
      <c r="C43" s="1">
        <f>IF(1270456&gt;0,100*222216/1270456,"")</f>
        <v>17.49104258628398</v>
      </c>
      <c r="D43" s="1">
        <f>IF(1488844&gt;0,100*62371/1488844,"")</f>
        <v>4.189223316882091</v>
      </c>
      <c r="E43" s="1">
        <f>IF(COUNT(C43:D43)=2,D43-C43,"")</f>
        <v>-13.30181926940189</v>
      </c>
      <c r="H43" s="1">
        <v>5</v>
      </c>
      <c r="I43" s="1">
        <v>4</v>
      </c>
      <c r="J43" s="1">
        <f>IF(2437241&gt;0,100*1028598/2437241,"")</f>
        <v>42.20337668699977</v>
      </c>
      <c r="K43" s="1">
        <f>IF(2605855&gt;0,100*731514/2605855,"")</f>
        <v>28.07193800115509</v>
      </c>
      <c r="L43" s="1">
        <f>IF(COUNT(J43:K43)=2,K43-J43,"")</f>
        <v>-14.131438685844678</v>
      </c>
      <c r="O43" s="1">
        <v>5</v>
      </c>
      <c r="P43" s="1">
        <v>4</v>
      </c>
      <c r="Q43" s="1">
        <f>IF(2401097&gt;0,100*1112784/2401097,"")</f>
        <v>46.344816556765515</v>
      </c>
      <c r="R43" s="1">
        <f>IF(1961355&gt;0,100*323872/1961355,"")</f>
        <v>16.512665988564027</v>
      </c>
      <c r="S43" s="1">
        <f>IF(COUNT(Q43:R43)=2,R43-Q43,"")</f>
        <v>-29.832150568201488</v>
      </c>
    </row>
    <row r="44" spans="1:19">
      <c r="A44" s="1">
        <v>6</v>
      </c>
      <c r="B44" s="1">
        <v>5</v>
      </c>
      <c r="C44" s="1">
        <f>IF(2068143&gt;0,100*935980/2068143,"")</f>
        <v>45.25702526372693</v>
      </c>
      <c r="D44" s="1">
        <f>IF(1482988&gt;0,100*99216/1482988,"")</f>
        <v>6.690276657666819</v>
      </c>
      <c r="E44" s="1">
        <f>IF(COUNT(C44:D44)=2,D44-C44,"")</f>
        <v>-38.56674860606011</v>
      </c>
      <c r="H44" s="1">
        <v>6</v>
      </c>
      <c r="I44" s="1">
        <v>5</v>
      </c>
      <c r="J44" s="1">
        <f>IF(2170385&gt;0,100*855280/2170385,"")</f>
        <v>39.40683334984346</v>
      </c>
      <c r="K44" s="1">
        <f>IF(1863358&gt;0,100*347140/1863358,"")</f>
        <v>18.629807047277012</v>
      </c>
      <c r="L44" s="1">
        <f>IF(COUNT(J44:K44)=2,K44-J44,"")</f>
        <v>-20.777026302566448</v>
      </c>
      <c r="O44" s="1">
        <v>6</v>
      </c>
      <c r="P44" s="1">
        <v>5</v>
      </c>
      <c r="Q44" s="1">
        <f>IF(1758860&gt;0,100*252810/1758860,"")</f>
        <v>14.373514662906656</v>
      </c>
      <c r="R44" s="1">
        <f>IF(1632840&gt;0,100*193337/1632840,"")</f>
        <v>11.840535508684257</v>
      </c>
      <c r="S44" s="1">
        <f>IF(COUNT(Q44:R44)=2,R44-Q44,"")</f>
        <v>-2.5329791542223994</v>
      </c>
    </row>
    <row r="45" spans="1:19">
      <c r="A45" s="1">
        <v>7</v>
      </c>
      <c r="B45" s="1">
        <v>6</v>
      </c>
      <c r="C45" s="1">
        <f>IF(1955799&gt;0,100*927153/1955799,"")</f>
        <v>47.405331529466984</v>
      </c>
      <c r="D45" s="1">
        <f>IF(1271692&gt;0,100*115231/1271692,"")</f>
        <v>9.061234953117578</v>
      </c>
      <c r="E45" s="1">
        <f>IF(COUNT(C45:D45)=2,D45-C45,"")</f>
        <v>-38.34409657634941</v>
      </c>
      <c r="H45" s="1">
        <v>7</v>
      </c>
      <c r="I45" s="1">
        <v>6</v>
      </c>
      <c r="J45" s="1">
        <f>IF(1062155&gt;0,100*3098/1062155,"")</f>
        <v>0.29167117793542374</v>
      </c>
      <c r="K45" s="1">
        <f>IF(1265502&gt;0,100*10619/1265502,"")</f>
        <v>0.839113648180722</v>
      </c>
      <c r="L45" s="1">
        <f>IF(COUNT(J45:K45)=2,K45-J45,"")</f>
        <v>0.5474424702452982</v>
      </c>
      <c r="O45" s="1">
        <v>7</v>
      </c>
      <c r="P45" s="1">
        <v>6</v>
      </c>
      <c r="Q45" s="1">
        <f>IF(1340065&gt;0,100*31783/1340065,"")</f>
        <v>2.3717506240368937</v>
      </c>
      <c r="R45" s="1">
        <f>IF(1330766&gt;0,100*135978/1330766,"")</f>
        <v>10.218024806765428</v>
      </c>
      <c r="S45" s="1">
        <f>IF(COUNT(Q45:R45)=2,R45-Q45,"")</f>
        <v>7.846274182728534</v>
      </c>
    </row>
    <row r="46" spans="1:19">
      <c r="A46" s="1">
        <v>8</v>
      </c>
      <c r="B46" s="1">
        <v>7</v>
      </c>
      <c r="C46" s="1">
        <f>IF(2103376&gt;0,100*877826/2103376,"")</f>
        <v>41.73414548801546</v>
      </c>
      <c r="D46" s="1">
        <f>IF(1936860&gt;0,100*372292/1936860,"")</f>
        <v>19.221420236878245</v>
      </c>
      <c r="E46" s="1">
        <f>IF(COUNT(C46:D46)=2,D46-C46,"")</f>
        <v>-22.512725251137212</v>
      </c>
      <c r="H46" s="1">
        <v>8</v>
      </c>
      <c r="I46" s="1">
        <v>7</v>
      </c>
      <c r="J46" s="1">
        <f>IF(875780&gt;0,100*4451/875780,"")</f>
        <v>0.5082326611706136</v>
      </c>
      <c r="K46" s="1">
        <f>IF(892865&gt;0,100*6618/892865,"")</f>
        <v>0.7412094773565993</v>
      </c>
      <c r="L46" s="1">
        <f>IF(COUNT(J46:K46)=2,K46-J46,"")</f>
        <v>0.23297681618598565</v>
      </c>
      <c r="O46" s="1">
        <v>8</v>
      </c>
      <c r="P46" s="1">
        <v>7</v>
      </c>
      <c r="Q46" s="1">
        <f>IF(953770&gt;0,100*30543/953770,"")</f>
        <v>3.202344380720719</v>
      </c>
      <c r="R46" s="1">
        <f>IF(882568&gt;0,100*9797/882568,"")</f>
        <v>1.1100561089910352</v>
      </c>
      <c r="S46" s="1">
        <f>IF(COUNT(Q46:R46)=2,R46-Q46,"")</f>
        <v>-2.092288271729684</v>
      </c>
    </row>
    <row r="47" spans="1:19">
      <c r="A47" s="1">
        <v>9</v>
      </c>
      <c r="B47" s="1">
        <v>8</v>
      </c>
      <c r="C47" s="1">
        <f>IF(1775689&gt;0,100*854041/1775689,"")</f>
        <v>48.096316415768754</v>
      </c>
      <c r="D47" s="1">
        <f>IF(1613249&gt;0,100*345499/1613249,"")</f>
        <v>21.416346763580822</v>
      </c>
      <c r="E47" s="1">
        <f>IF(COUNT(C47:D47)=2,D47-C47,"")</f>
        <v>-26.679969652187932</v>
      </c>
      <c r="H47" s="1">
        <v>9</v>
      </c>
      <c r="I47" s="1">
        <v>8</v>
      </c>
      <c r="J47" s="1">
        <f>IF(2261107&gt;0,100*975052/2261107,"")</f>
        <v>43.122771279731566</v>
      </c>
      <c r="K47" s="1">
        <f>IF(1834942&gt;0,100*290814/1834942,"")</f>
        <v>15.848675325977606</v>
      </c>
      <c r="L47" s="1">
        <f>IF(COUNT(J47:K47)=2,K47-J47,"")</f>
        <v>-27.27409595375396</v>
      </c>
      <c r="O47" s="1">
        <v>9</v>
      </c>
      <c r="P47" s="1">
        <v>8</v>
      </c>
      <c r="Q47" s="1">
        <f>IF(2405152&gt;0,100*1125762/2405152,"")</f>
        <v>46.80627253495829</v>
      </c>
      <c r="R47" s="1">
        <f>IF(2145729&gt;0,100*632923/2145729,"")</f>
        <v>29.496874954852174</v>
      </c>
      <c r="S47" s="1">
        <f>IF(COUNT(Q47:R47)=2,R47-Q47,"")</f>
        <v>-17.309397580106115</v>
      </c>
    </row>
    <row r="48" spans="1:19">
      <c r="A48" s="1">
        <v>10</v>
      </c>
      <c r="B48" s="1">
        <v>9</v>
      </c>
      <c r="C48" s="1">
        <f>IF(1746180&gt;0,100*461985/1746180,"")</f>
        <v>26.456894478232485</v>
      </c>
      <c r="D48" s="1">
        <f>IF(1317834&gt;0,100*19923/1317834,"")</f>
        <v>1.5117989063872992</v>
      </c>
      <c r="E48" s="1">
        <f>IF(COUNT(C48:D48)=2,D48-C48,"")</f>
        <v>-24.945095571845187</v>
      </c>
      <c r="H48" s="1">
        <v>10</v>
      </c>
      <c r="I48" s="1">
        <v>9</v>
      </c>
      <c r="J48" s="1">
        <f>IF(2706863&gt;0,100*1192100/2706863,"")</f>
        <v>44.03990892778837</v>
      </c>
      <c r="K48" s="1">
        <f>IF(1707365&gt;0,100*107236/1707365,"")</f>
        <v>6.2807894035546</v>
      </c>
      <c r="L48" s="1">
        <f>IF(COUNT(J48:K48)=2,K48-J48,"")</f>
        <v>-37.75911952423377</v>
      </c>
      <c r="O48" s="1">
        <v>10</v>
      </c>
      <c r="P48" s="1">
        <v>9</v>
      </c>
      <c r="Q48" s="1">
        <f>IF(1922653&gt;0,100*523894/1922653,"")</f>
        <v>27.248494658162446</v>
      </c>
      <c r="R48" s="1">
        <f>IF(1096469&gt;0,100*19853/1096469,"")</f>
        <v>1.810630305097545</v>
      </c>
      <c r="S48" s="1">
        <f>IF(COUNT(Q48:R48)=2,R48-Q48,"")</f>
        <v>-25.437864353064903</v>
      </c>
    </row>
    <row r="49" spans="1:19">
      <c r="A49" s="1">
        <v>11</v>
      </c>
      <c r="B49" s="1">
        <v>10</v>
      </c>
      <c r="C49" s="1">
        <f>IF(1971439&gt;0,100*862784/1971439,"")</f>
        <v>43.76417429096208</v>
      </c>
      <c r="D49" s="1">
        <f>IF(1556613&gt;0,100*191753/1556613,"")</f>
        <v>12.31860456002873</v>
      </c>
      <c r="E49" s="1">
        <f>IF(COUNT(C49:D49)=2,D49-C49,"")</f>
        <v>-31.44556973093335</v>
      </c>
      <c r="H49" s="1">
        <v>11</v>
      </c>
      <c r="I49" s="1">
        <v>10</v>
      </c>
      <c r="J49" s="1">
        <f>IF(2596797&gt;0,100*880971/2596797,"")</f>
        <v>33.92529335177143</v>
      </c>
      <c r="K49" s="1">
        <f>IF(1838939&gt;0,100*76546/1838939,"")</f>
        <v>4.162508924983373</v>
      </c>
      <c r="L49" s="1">
        <f>IF(COUNT(J49:K49)=2,K49-J49,"")</f>
        <v>-29.762784426788055</v>
      </c>
      <c r="O49" s="1">
        <v>11</v>
      </c>
      <c r="P49" s="1">
        <v>10</v>
      </c>
      <c r="Q49" s="1">
        <f>IF(2537267&gt;0,100*1086404/2537267,"")</f>
        <v>42.817882390777164</v>
      </c>
      <c r="R49" s="1">
        <f>IF(1831095&gt;0,100*119614/1831095,"")</f>
        <v>6.532375436555722</v>
      </c>
      <c r="S49" s="1">
        <f>IF(COUNT(Q49:R49)=2,R49-Q49,"")</f>
        <v>-36.28550695422144</v>
      </c>
    </row>
    <row r="50" spans="1:19">
      <c r="A50" s="1">
        <v>12</v>
      </c>
      <c r="B50" s="1">
        <v>11</v>
      </c>
      <c r="C50" s="1">
        <f>IF(1769042&gt;0,100*718057/1769042,"")</f>
        <v>40.59016122850673</v>
      </c>
      <c r="D50" s="1">
        <f>IF(1436204&gt;0,100*279625/1436204,"")</f>
        <v>19.46972714182665</v>
      </c>
      <c r="E50" s="1">
        <f>IF(COUNT(C50:D50)=2,D50-C50,"")</f>
        <v>-21.12043408668008</v>
      </c>
      <c r="H50" s="1">
        <v>12</v>
      </c>
      <c r="I50" s="1">
        <v>11</v>
      </c>
      <c r="J50" s="1">
        <f>IF(16409&gt;0,100*2109/16409,"")</f>
        <v>12.85270278505698</v>
      </c>
      <c r="K50" s="1">
        <f>IF(2002272&gt;0,100*269349/2002272,"")</f>
        <v>13.45216833676943</v>
      </c>
      <c r="L50" s="1">
        <f>IF(COUNT(J50:K50)=2,K50-J50,"")</f>
        <v>0.5994655517124503</v>
      </c>
      <c r="O50" s="1">
        <v>12</v>
      </c>
      <c r="P50" s="1">
        <v>11</v>
      </c>
      <c r="Q50" s="1">
        <f>IF(2609889&gt;0,100*1051883/2609889,"")</f>
        <v>40.30374471864512</v>
      </c>
      <c r="R50" s="1">
        <f>IF(1559503&gt;0,100*172619/1559503,"")</f>
        <v>11.068846933927027</v>
      </c>
      <c r="S50" s="1">
        <f>IF(COUNT(Q50:R50)=2,R50-Q50,"")</f>
        <v>-29.234897784718093</v>
      </c>
    </row>
    <row r="51" spans="1:19">
      <c r="A51" s="1">
        <v>13</v>
      </c>
      <c r="B51" s="1">
        <v>12</v>
      </c>
      <c r="C51" s="1">
        <f>IF(2168985&gt;0,100*980233/2168985,"")</f>
        <v>45.193166388886965</v>
      </c>
      <c r="D51" s="1">
        <f>IF(1183943&gt;0,100*76708/1183943,"")</f>
        <v>6.479028128887962</v>
      </c>
      <c r="E51" s="1">
        <f>IF(COUNT(C51:D51)=2,D51-C51,"")</f>
        <v>-38.714138259999004</v>
      </c>
      <c r="H51" s="1">
        <v>13</v>
      </c>
      <c r="I51" s="1">
        <v>12</v>
      </c>
      <c r="J51" s="1">
        <f>IF(1392134&gt;0,100*142847/1392134,"")</f>
        <v>10.261009356857889</v>
      </c>
      <c r="K51" s="1">
        <f>IF(1442067&gt;0,100*33116/1442067,"")</f>
        <v>2.2964258942198943</v>
      </c>
      <c r="L51" s="1">
        <f>IF(COUNT(J51:K51)=2,K51-J51,"")</f>
        <v>-7.964583462637995</v>
      </c>
      <c r="O51" s="1">
        <v>13</v>
      </c>
      <c r="P51" s="1">
        <v>12</v>
      </c>
      <c r="Q51" s="1">
        <f>IF(1129838&gt;0,100*24638/1129838,"")</f>
        <v>2.1806666088412676</v>
      </c>
      <c r="R51" s="1">
        <f>IF(1342102&gt;0,100*31440/1342102,"")</f>
        <v>2.342593931012695</v>
      </c>
      <c r="S51" s="1">
        <f>IF(COUNT(Q51:R51)=2,R51-Q51,"")</f>
        <v>0.16192732217142725</v>
      </c>
    </row>
    <row r="52" spans="1:19">
      <c r="A52" s="1">
        <v>14</v>
      </c>
      <c r="B52" s="1">
        <v>13</v>
      </c>
      <c r="C52" s="1">
        <f>IF(1030639&gt;0,100*3971/1030639,"")</f>
        <v>0.38529494808560516</v>
      </c>
      <c r="D52" s="1">
        <f>IF(1280669&gt;0,100*19767/1280669,"")</f>
        <v>1.543490160220947</v>
      </c>
      <c r="E52" s="1">
        <f>IF(COUNT(C52:D52)=2,D52-C52,"")</f>
        <v>1.1581952121353418</v>
      </c>
      <c r="H52" s="1">
        <v>14</v>
      </c>
      <c r="I52" s="1">
        <v>13</v>
      </c>
      <c r="J52" s="1">
        <f>IF(1631278&gt;0,100*497437/1631278,"")</f>
        <v>30.49369880547644</v>
      </c>
      <c r="K52" s="1">
        <f>IF(952044&gt;0,100*71417/952044,"")</f>
        <v>7.501439009121428</v>
      </c>
      <c r="L52" s="1">
        <f>IF(COUNT(J52:K52)=2,K52-J52,"")</f>
        <v>-22.992259796355015</v>
      </c>
      <c r="O52" s="1">
        <v>14</v>
      </c>
      <c r="P52" s="1">
        <v>13</v>
      </c>
      <c r="Q52" s="1">
        <f>IF(1227769&gt;0,100*230841/1227769,"")</f>
        <v>18.801663830899788</v>
      </c>
      <c r="R52" s="1">
        <f>IF(1445265&gt;0,100*191905/1445265,"")</f>
        <v>13.278187737196985</v>
      </c>
      <c r="S52" s="1">
        <f>IF(COUNT(Q52:R52)=2,R52-Q52,"")</f>
        <v>-5.5234760937028025</v>
      </c>
    </row>
    <row r="53" spans="1:19">
      <c r="A53" s="1">
        <v>15</v>
      </c>
      <c r="B53" s="1">
        <v>14</v>
      </c>
      <c r="C53" s="1">
        <f>IF(1555406&gt;0,100*520362/1555406,"")</f>
        <v>33.45505932213197</v>
      </c>
      <c r="D53" s="1">
        <f>IF(1694657&gt;0,100*407813/1694657,"")</f>
        <v>24.064633728241173</v>
      </c>
      <c r="E53" s="1">
        <f>IF(COUNT(C53:D53)=2,D53-C53,"")</f>
        <v>-9.3904255938908</v>
      </c>
      <c r="H53" s="1">
        <v>15</v>
      </c>
      <c r="I53" s="1">
        <v>14</v>
      </c>
      <c r="J53" s="1">
        <f>IF(1857255&gt;0,100*556621/1857255,"")</f>
        <v>29.970090267626148</v>
      </c>
      <c r="K53" s="1">
        <f>IF(2290645&gt;0,100*448271/2290645,"")</f>
        <v>19.569640865345786</v>
      </c>
      <c r="L53" s="1">
        <f>IF(COUNT(J53:K53)=2,K53-J53,"")</f>
        <v>-10.400449402280362</v>
      </c>
      <c r="O53" s="1">
        <v>15</v>
      </c>
      <c r="P53" s="1">
        <v>14</v>
      </c>
      <c r="Q53" s="1">
        <f>IF(2240147&gt;0,100*1104566/2240147,"")</f>
        <v>49.30774632200476</v>
      </c>
      <c r="R53" s="1">
        <f>IF(1640252&gt;0,100*150408/1640252,"")</f>
        <v>9.169810492534074</v>
      </c>
      <c r="S53" s="1">
        <f>IF(COUNT(Q53:R53)=2,R53-Q53,"")</f>
        <v>-40.137935829470685</v>
      </c>
    </row>
    <row r="54" spans="1:19">
      <c r="A54" s="1">
        <v>16</v>
      </c>
      <c r="B54" s="1">
        <v>15</v>
      </c>
      <c r="C54" s="1">
        <f>IF(1761441&gt;0,100*757460/1761441,"")</f>
        <v>43.00229187352855</v>
      </c>
      <c r="D54" s="1">
        <f>IF(1728748&gt;0,100*311741/1728748,"")</f>
        <v>18.032761281574874</v>
      </c>
      <c r="E54" s="1">
        <f>IF(COUNT(C54:D54)=2,D54-C54,"")</f>
        <v>-24.969530591953674</v>
      </c>
      <c r="H54" s="1">
        <v>16</v>
      </c>
      <c r="I54" s="1">
        <v>15</v>
      </c>
      <c r="J54" s="1">
        <f>IF(1920903&gt;0,100*863441/1920903,"")</f>
        <v>44.949744989726184</v>
      </c>
      <c r="K54" s="1">
        <f>IF(738956&gt;0,100*8849/738956,"")</f>
        <v>1.1975002571195037</v>
      </c>
      <c r="L54" s="1">
        <f>IF(COUNT(J54:K54)=2,K54-J54,"")</f>
        <v>-43.752244732606684</v>
      </c>
      <c r="O54" s="1">
        <v>16</v>
      </c>
      <c r="P54" s="1">
        <v>15</v>
      </c>
      <c r="Q54" s="1">
        <f>IF(2594091&gt;0,100*1215002/2594091,"")</f>
        <v>46.837292909153916</v>
      </c>
      <c r="R54" s="1">
        <f>IF(1480683&gt;0,100*79473/1480683,"")</f>
        <v>5.367320351486442</v>
      </c>
      <c r="S54" s="1">
        <f>IF(COUNT(Q54:R54)=2,R54-Q54,"")</f>
        <v>-41.469972557667475</v>
      </c>
    </row>
    <row r="55" spans="1:19">
      <c r="A55" s="1">
        <v>17</v>
      </c>
      <c r="B55" s="1">
        <v>16</v>
      </c>
      <c r="C55" s="1">
        <f>IF(844646&gt;0,100*17331/844646,"")</f>
        <v>2.0518655152572793</v>
      </c>
      <c r="D55" s="1">
        <f>IF(710534&gt;0,100*7453/710534,"")</f>
        <v>1.048929396763561</v>
      </c>
      <c r="E55" s="1">
        <f>IF(COUNT(C55:D55)=2,D55-C55,"")</f>
        <v>-1.0029361184937184</v>
      </c>
      <c r="H55" s="1">
        <v>17</v>
      </c>
      <c r="I55" s="1">
        <v>16</v>
      </c>
      <c r="J55" s="1">
        <f>IF(2198372&gt;0,100*828948/2198372,"")</f>
        <v>37.70735799036742</v>
      </c>
      <c r="K55" s="1">
        <f>IF(2079303&gt;0,100*419346/2079303,"")</f>
        <v>20.167623477674972</v>
      </c>
      <c r="L55" s="1">
        <f>IF(COUNT(J55:K55)=2,K55-J55,"")</f>
        <v>-17.539734512692448</v>
      </c>
      <c r="O55" s="1">
        <v>17</v>
      </c>
      <c r="P55" s="1">
        <v>16</v>
      </c>
      <c r="Q55" s="1">
        <f>IF(2139602&gt;0,100*724511/2139602,"")</f>
        <v>33.8619518957264</v>
      </c>
      <c r="R55" s="1">
        <f>IF(1799375&gt;0,100*299084/1799375,"")</f>
        <v>16.62154914901007</v>
      </c>
      <c r="S55" s="1">
        <f>IF(COUNT(Q55:R55)=2,R55-Q55,"")</f>
        <v>-17.240402746716327</v>
      </c>
    </row>
    <row r="56" spans="1:19">
      <c r="A56" s="1">
        <v>18</v>
      </c>
      <c r="B56" s="1">
        <v>17</v>
      </c>
      <c r="C56" s="1">
        <f>IF(913631&gt;0,100*114254/913631,"")</f>
        <v>12.505486350616387</v>
      </c>
      <c r="D56" s="1">
        <f>IF(911706&gt;0,100*59787/911706,"")</f>
        <v>6.557706102625189</v>
      </c>
      <c r="E56" s="1">
        <f>IF(COUNT(C56:D56)=2,D56-C56,"")</f>
        <v>-5.947780247991198</v>
      </c>
      <c r="H56" s="1">
        <v>18</v>
      </c>
      <c r="I56" s="1">
        <v>17</v>
      </c>
      <c r="J56" s="1">
        <f>IF(2215&gt;0,100*355/2215,"")</f>
        <v>16.02708803611738</v>
      </c>
      <c r="K56" s="1">
        <f>IF(2124535&gt;0,100*314387/2124535,"")</f>
        <v>14.797920486129906</v>
      </c>
      <c r="L56" s="1">
        <f>IF(COUNT(J56:K56)=2,K56-J56,"")</f>
        <v>-1.2291675499874746</v>
      </c>
      <c r="O56" s="1">
        <v>18</v>
      </c>
      <c r="P56" s="1">
        <v>17</v>
      </c>
      <c r="Q56" s="1">
        <f>IF(2597163&gt;0,100*1238582/2597163,"")</f>
        <v>47.68980614616795</v>
      </c>
      <c r="R56" s="1">
        <f>IF(1289144&gt;0,100*89992/1289144,"")</f>
        <v>6.980756222733845</v>
      </c>
      <c r="S56" s="1">
        <f>IF(COUNT(Q56:R56)=2,R56-Q56,"")</f>
        <v>-40.70904992343411</v>
      </c>
    </row>
    <row r="57" spans="1:19">
      <c r="A57" s="1">
        <v>19</v>
      </c>
      <c r="B57" s="1">
        <v>18</v>
      </c>
      <c r="C57" s="1">
        <f>IF(2015196&gt;0,100*813734/2015196,"")</f>
        <v>40.37989356866528</v>
      </c>
      <c r="D57" s="1">
        <f>IF(1111630&gt;0,100*151563/1111630,"")</f>
        <v>13.634302780601459</v>
      </c>
      <c r="E57" s="1">
        <f>IF(COUNT(C57:D57)=2,D57-C57,"")</f>
        <v>-26.745590788063822</v>
      </c>
      <c r="H57" s="1">
        <v>19</v>
      </c>
      <c r="I57" s="1">
        <v>18</v>
      </c>
      <c r="J57" s="1">
        <f>IF(1892358&gt;0,100*622212/1892358,"")</f>
        <v>32.880247817801916</v>
      </c>
      <c r="K57" s="1">
        <f>IF(1779518&gt;0,100*220687/1779518,"")</f>
        <v>12.401504227549257</v>
      </c>
      <c r="L57" s="1">
        <f>IF(COUNT(J57:K57)=2,K57-J57,"")</f>
        <v>-20.47874359025266</v>
      </c>
      <c r="O57" s="1">
        <v>19</v>
      </c>
      <c r="P57" s="1">
        <v>18</v>
      </c>
      <c r="Q57" s="1">
        <f>IF(1995148&gt;0,100*689134/1995148,"")</f>
        <v>34.54049524145577</v>
      </c>
      <c r="R57" s="1">
        <f>IF(1333351&gt;0,100*149750/1333351,"")</f>
        <v>11.23110118790926</v>
      </c>
      <c r="S57" s="1">
        <f>IF(COUNT(Q57:R57)=2,R57-Q57,"")</f>
        <v>-23.309394053546512</v>
      </c>
    </row>
    <row r="58" spans="1:19">
      <c r="A58" s="1">
        <v>20</v>
      </c>
      <c r="B58" s="1">
        <v>19</v>
      </c>
      <c r="C58" s="1">
        <f>IF(2178136&gt;0,100*944455/2178136,"")</f>
        <v>43.36069924008418</v>
      </c>
      <c r="D58" s="1">
        <f>IF(1784045&gt;0,100*259131/1784045,"")</f>
        <v>14.524913889503908</v>
      </c>
      <c r="E58" s="1">
        <f>IF(COUNT(C58:D58)=2,D58-C58,"")</f>
        <v>-28.835785350580274</v>
      </c>
      <c r="H58" s="1">
        <v>20</v>
      </c>
      <c r="I58" s="1">
        <v>19</v>
      </c>
      <c r="J58" s="1">
        <f>IF(2533784&gt;0,100*1139277/2533784,"")</f>
        <v>44.96346176311793</v>
      </c>
      <c r="K58" s="1">
        <f>IF(1618738&gt;0,100*114937/1618738,"")</f>
        <v>7.100407848583279</v>
      </c>
      <c r="L58" s="1">
        <f>IF(COUNT(J58:K58)=2,K58-J58,"")</f>
        <v>-37.863053914534646</v>
      </c>
      <c r="O58" s="1">
        <v>20</v>
      </c>
      <c r="P58" s="1">
        <v>19</v>
      </c>
      <c r="Q58" s="1">
        <f>IF(2139229&gt;0,100*899475/2139229,"")</f>
        <v>42.0466906535018</v>
      </c>
      <c r="R58" s="1">
        <f>IF(1793015&gt;0,100*238501/1793015,"")</f>
        <v>13.301673438314793</v>
      </c>
      <c r="S58" s="1">
        <f>IF(COUNT(Q58:R58)=2,R58-Q58,"")</f>
        <v>-28.745017215187005</v>
      </c>
    </row>
    <row r="59" spans="1:19">
      <c r="A59" s="1">
        <v>21</v>
      </c>
      <c r="B59" s="1">
        <v>20</v>
      </c>
      <c r="C59" s="1">
        <f>IF(1558100&gt;0,100*473205/1558100,"")</f>
        <v>30.37064373275143</v>
      </c>
      <c r="D59" s="1">
        <f>IF(1360964&gt;0,100*158661/1360964,"")</f>
        <v>11.657986544831457</v>
      </c>
      <c r="E59" s="1">
        <f>IF(COUNT(C59:D59)=2,D59-C59,"")</f>
        <v>-18.712657187919973</v>
      </c>
      <c r="H59" s="1">
        <v>21</v>
      </c>
      <c r="I59" s="1">
        <v>20</v>
      </c>
      <c r="J59" s="1">
        <f>IF(2773746&gt;0,100*1088927/2773746,"")</f>
        <v>39.25835314408745</v>
      </c>
      <c r="K59" s="1">
        <f>IF(1402969&gt;0,100*49282/1402969,"")</f>
        <v>3.5126934379875823</v>
      </c>
      <c r="L59" s="1">
        <f>IF(COUNT(J59:K59)=2,K59-J59,"")</f>
        <v>-35.74565970609987</v>
      </c>
      <c r="O59" s="1">
        <v>21</v>
      </c>
      <c r="P59" s="1">
        <v>20</v>
      </c>
      <c r="Q59" s="1">
        <f>IF(2422246&gt;0,100*1045754/2422246,"")</f>
        <v>43.172906467798896</v>
      </c>
      <c r="R59" s="1">
        <f>IF(1592244&gt;0,100*135958/1592244,"")</f>
        <v>8.538766671439804</v>
      </c>
      <c r="S59" s="1">
        <f>IF(COUNT(Q59:R59)=2,R59-Q59,"")</f>
        <v>-34.634139796359094</v>
      </c>
    </row>
    <row r="60" spans="1:19">
      <c r="A60" s="1">
        <v>22</v>
      </c>
      <c r="B60" s="1">
        <v>21</v>
      </c>
      <c r="C60" s="1">
        <f>IF(1857644&gt;0,100*847880/1857644,"")</f>
        <v>45.64276039973213</v>
      </c>
      <c r="D60" s="1">
        <f>IF(1409214&gt;0,100*281375/1409214,"")</f>
        <v>19.966804190137196</v>
      </c>
      <c r="E60" s="1">
        <f>IF(COUNT(C60:D60)=2,D60-C60,"")</f>
        <v>-25.675956209594936</v>
      </c>
      <c r="H60" s="1">
        <v>22</v>
      </c>
      <c r="I60" s="1">
        <v>21</v>
      </c>
      <c r="J60" s="1">
        <f>IF(2183759&gt;0,100*997955/2183759,"")</f>
        <v>45.69895304381115</v>
      </c>
      <c r="K60" s="1">
        <f>IF(1524755&gt;0,100*240898/1524755,"")</f>
        <v>15.799128384560142</v>
      </c>
      <c r="L60" s="1">
        <f>IF(COUNT(J60:K60)=2,K60-J60,"")</f>
        <v>-29.89982465925101</v>
      </c>
      <c r="O60" s="1">
        <v>22</v>
      </c>
      <c r="P60" s="1">
        <v>21</v>
      </c>
      <c r="Q60" s="1">
        <f>IF(2052914&gt;0,100*716282/2052914,"")</f>
        <v>34.890989101345696</v>
      </c>
      <c r="R60" s="1">
        <f>IF(1300144&gt;0,100*217567/1300144,"")</f>
        <v>16.734069456921695</v>
      </c>
      <c r="S60" s="1">
        <f>IF(COUNT(Q60:R60)=2,R60-Q60,"")</f>
        <v>-18.156919644424</v>
      </c>
    </row>
    <row r="61" spans="1:19">
      <c r="A61" s="1">
        <v>23</v>
      </c>
      <c r="B61" s="1">
        <v>22</v>
      </c>
      <c r="C61" s="1">
        <f>IF(696517&gt;0,100*2264/696517,"")</f>
        <v>0.325045906991502</v>
      </c>
      <c r="D61" s="1">
        <f>IF(787735&gt;0,100*957/787735,"")</f>
        <v>0.12148755609437184</v>
      </c>
      <c r="E61" s="1">
        <f>IF(COUNT(C61:D61)=2,D61-C61,"")</f>
        <v>-0.20355835089713015</v>
      </c>
      <c r="H61" s="1">
        <v>23</v>
      </c>
      <c r="I61" s="1">
        <v>22</v>
      </c>
      <c r="J61" s="1">
        <f>IF(2492569&gt;0,100*1249101/2492569,"")</f>
        <v>50.11299586892078</v>
      </c>
      <c r="K61" s="1">
        <f>IF(1803238&gt;0,100*113690/1803238,"")</f>
        <v>6.304769531254332</v>
      </c>
      <c r="L61" s="1">
        <f>IF(COUNT(J61:K61)=2,K61-J61,"")</f>
        <v>-43.80822633766645</v>
      </c>
      <c r="O61" s="1">
        <v>23</v>
      </c>
      <c r="P61" s="1">
        <v>22</v>
      </c>
      <c r="Q61" s="1">
        <f>IF(2322764&gt;0,100*881160/2322764,"")</f>
        <v>37.935838509637655</v>
      </c>
      <c r="R61" s="1">
        <f>IF(1771512&gt;0,100*230194/1771512,"")</f>
        <v>12.994210595242933</v>
      </c>
      <c r="S61" s="1">
        <f>IF(COUNT(Q61:R61)=2,R61-Q61,"")</f>
        <v>-24.941627914394722</v>
      </c>
    </row>
    <row r="62" spans="1:19">
      <c r="A62" s="1">
        <v>24</v>
      </c>
      <c r="B62" s="1">
        <v>23</v>
      </c>
      <c r="C62" s="1">
        <f>IF(1622857&gt;0,100*324323/1622857,"")</f>
        <v>19.98469366062444</v>
      </c>
      <c r="D62" s="1">
        <f>IF(1366353&gt;0,100*33656/1366353,"")</f>
        <v>2.4631994806612934</v>
      </c>
      <c r="E62" s="1">
        <f>IF(COUNT(C62:D62)=2,D62-C62,"")</f>
        <v>-17.52149417996315</v>
      </c>
      <c r="H62" s="1">
        <v>24</v>
      </c>
      <c r="I62" s="1">
        <v>23</v>
      </c>
      <c r="J62" s="1">
        <f>IF(2618354&gt;0,100*1195641/2618354,"")</f>
        <v>45.663840718252764</v>
      </c>
      <c r="K62" s="1">
        <f>IF(1735729&gt;0,100*194482/1735729,"")</f>
        <v>11.204629294089111</v>
      </c>
      <c r="L62" s="1">
        <f>IF(COUNT(J62:K62)=2,K62-J62,"")</f>
        <v>-34.459211424163655</v>
      </c>
      <c r="O62" s="1">
        <v>24</v>
      </c>
      <c r="P62" s="1">
        <v>23</v>
      </c>
      <c r="Q62" s="1">
        <f>IF(1862901&gt;0,100*489468/1862901,"")</f>
        <v>26.27450412018674</v>
      </c>
      <c r="R62" s="1">
        <f>IF(1644112&gt;0,100*197158/1644112,"")</f>
        <v>11.991762118395828</v>
      </c>
      <c r="S62" s="1">
        <f>IF(COUNT(Q62:R62)=2,R62-Q62,"")</f>
        <v>-14.282742001790913</v>
      </c>
    </row>
    <row r="63" spans="1:19">
      <c r="A63" s="1">
        <v>25</v>
      </c>
      <c r="B63" s="1">
        <v>24</v>
      </c>
      <c r="C63" s="1">
        <f>IF(1310506&gt;0,100*408672/1310506,"")</f>
        <v>31.184290648039763</v>
      </c>
      <c r="D63" s="1">
        <f>IF(1473215&gt;0,100*341275/1473215,"")</f>
        <v>23.16532210166201</v>
      </c>
      <c r="E63" s="1">
        <f>IF(COUNT(C63:D63)=2,D63-C63,"")</f>
        <v>-8.018968546377753</v>
      </c>
      <c r="H63" s="1">
        <v>25</v>
      </c>
      <c r="I63" s="1">
        <v>24</v>
      </c>
      <c r="J63" s="1">
        <f>IF(2421034&gt;0,100*1042416/2421034,"")</f>
        <v>43.05664439243728</v>
      </c>
      <c r="K63" s="1">
        <f>IF(1150527&gt;0,100*22038/1150527,"")</f>
        <v>1.9154700411202865</v>
      </c>
      <c r="L63" s="1">
        <f>IF(COUNT(J63:K63)=2,K63-J63,"")</f>
        <v>-41.14117435131699</v>
      </c>
      <c r="O63" s="1">
        <v>25</v>
      </c>
      <c r="P63" s="1">
        <v>24</v>
      </c>
      <c r="Q63" s="1">
        <f>IF(2310152&gt;0,100*1014877/2310152,"")</f>
        <v>43.931178554484724</v>
      </c>
      <c r="R63" s="1">
        <f>IF(1180262&gt;0,100*70165/1180262,"")</f>
        <v>5.944866478798775</v>
      </c>
      <c r="S63" s="1">
        <f>IF(COUNT(Q63:R63)=2,R63-Q63,"")</f>
        <v>-37.98631207568595</v>
      </c>
    </row>
    <row r="64" spans="1:19">
      <c r="A64" s="1">
        <v>26</v>
      </c>
      <c r="B64" s="1">
        <v>25</v>
      </c>
      <c r="C64" s="1">
        <f>IF(2238694&gt;0,100*1062953/2238694,"")</f>
        <v>47.480942013513236</v>
      </c>
      <c r="D64" s="1">
        <f>IF(1763456&gt;0,100*413829/1763456,"")</f>
        <v>23.466930844886406</v>
      </c>
      <c r="E64" s="1">
        <f>IF(COUNT(C64:D64)=2,D64-C64,"")</f>
        <v>-24.01401116862683</v>
      </c>
      <c r="H64" s="1">
        <v>26</v>
      </c>
      <c r="I64" s="1">
        <v>25</v>
      </c>
      <c r="J64" s="1">
        <f>IF(1745904&gt;0,100*492009/1745904,"")</f>
        <v>28.18075907953702</v>
      </c>
      <c r="K64" s="1">
        <f>IF(1703821&gt;0,100*193680/1703821,"")</f>
        <v>11.367391292864685</v>
      </c>
      <c r="L64" s="1">
        <f>IF(COUNT(J64:K64)=2,K64-J64,"")</f>
        <v>-16.813367786672334</v>
      </c>
      <c r="O64" s="1">
        <v>26</v>
      </c>
      <c r="P64" s="1">
        <v>25</v>
      </c>
      <c r="Q64" s="1">
        <f>IF(2669118&gt;0,100*1197813/2669118,"")</f>
        <v>44.876734561754105</v>
      </c>
      <c r="R64" s="1">
        <f>IF(1966663&gt;0,100*392438/1966663,"")</f>
        <v>19.95451177959823</v>
      </c>
      <c r="S64" s="1">
        <f>IF(COUNT(Q64:R64)=2,R64-Q64,"")</f>
        <v>-24.922222782155874</v>
      </c>
    </row>
    <row r="65" spans="1:19">
      <c r="A65" s="1">
        <v>27</v>
      </c>
      <c r="B65" s="1">
        <v>26</v>
      </c>
      <c r="C65" s="1">
        <f>IF(1647328&gt;0,100*574346/1647328,"")</f>
        <v>34.86530915518949</v>
      </c>
      <c r="D65" s="1">
        <f>IF(1641408&gt;0,100*334482/1641408,"")</f>
        <v>20.377748859515734</v>
      </c>
      <c r="E65" s="1">
        <f>IF(COUNT(C65:D65)=2,D65-C65,"")</f>
        <v>-14.48756029567376</v>
      </c>
      <c r="H65" s="1">
        <v>27</v>
      </c>
      <c r="I65" s="1">
        <v>26</v>
      </c>
      <c r="J65" s="1">
        <f>IF(2195965&gt;0,100*781488/2195965,"")</f>
        <v>35.587452441181895</v>
      </c>
      <c r="K65" s="1">
        <f>IF(1809276&gt;0,100*205880/1809276,"")</f>
        <v>11.379137290275226</v>
      </c>
      <c r="L65" s="1">
        <f>IF(COUNT(J65:K65)=2,K65-J65,"")</f>
        <v>-24.20831515090667</v>
      </c>
      <c r="O65" s="1">
        <v>27</v>
      </c>
      <c r="P65" s="1">
        <v>26</v>
      </c>
      <c r="Q65" s="1">
        <f>IF(2415042&gt;0,100*766118/2415042,"")</f>
        <v>31.722760929209514</v>
      </c>
      <c r="R65" s="1">
        <f>IF(1841872&gt;0,100*226964/1841872,"")</f>
        <v>12.32246323305854</v>
      </c>
      <c r="S65" s="1">
        <f>IF(COUNT(Q65:R65)=2,R65-Q65,"")</f>
        <v>-19.40029769615097</v>
      </c>
    </row>
    <row r="66" spans="1:19">
      <c r="A66" s="1">
        <v>28</v>
      </c>
      <c r="B66" s="1">
        <v>27</v>
      </c>
      <c r="C66" s="1">
        <f>IF(665364&gt;0,100*675/665364,"")</f>
        <v>0.10144822984110953</v>
      </c>
      <c r="D66" s="1">
        <f>IF(762125&gt;0,100*4153/762125,"")</f>
        <v>0.5449237329834344</v>
      </c>
      <c r="E66" s="1">
        <f>IF(COUNT(C66:D66)=2,D66-C66,"")</f>
        <v>0.4434755031423249</v>
      </c>
      <c r="H66" s="1">
        <v>28</v>
      </c>
      <c r="I66" s="1">
        <v>27</v>
      </c>
      <c r="J66" s="1">
        <f>IF(1703605&gt;0,100*670593/1703605,"")</f>
        <v>39.36317397518791</v>
      </c>
      <c r="K66" s="1">
        <f>IF(2012765&gt;0,100*336109/2012765,"")</f>
        <v>16.698869465635582</v>
      </c>
      <c r="L66" s="1">
        <f>IF(COUNT(J66:K66)=2,K66-J66,"")</f>
        <v>-22.66430450955233</v>
      </c>
      <c r="O66" s="1">
        <v>28</v>
      </c>
      <c r="P66" s="1">
        <v>27</v>
      </c>
      <c r="Q66" s="1">
        <f>IF(1500981&gt;0,100*448455/1500981,"")</f>
        <v>29.877460141067743</v>
      </c>
      <c r="R66" s="1">
        <f>IF(1785522&gt;0,100*267063/1785522,"")</f>
        <v>14.957138584682799</v>
      </c>
      <c r="S66" s="1">
        <f>IF(COUNT(Q66:R66)=2,R66-Q66,"")</f>
        <v>-14.920321556384945</v>
      </c>
    </row>
    <row r="67" spans="1:19">
      <c r="A67" s="1">
        <v>29</v>
      </c>
      <c r="B67" s="1">
        <v>28</v>
      </c>
      <c r="C67" s="1">
        <f>IF(1808091&gt;0,100*652193/1808091,"")</f>
        <v>36.070806170707115</v>
      </c>
      <c r="D67" s="1">
        <f>IF(1996806&gt;0,100*458611/1996806,"")</f>
        <v>22.96722866417669</v>
      </c>
      <c r="E67" s="1">
        <f>IF(COUNT(C67:D67)=2,D67-C67,"")</f>
        <v>-13.103577506530424</v>
      </c>
      <c r="H67" s="1">
        <v>29</v>
      </c>
      <c r="I67" s="1">
        <v>28</v>
      </c>
      <c r="J67" s="1">
        <f>IF(2391442&gt;0,100*1116314/2391442,"")</f>
        <v>46.67953477441644</v>
      </c>
      <c r="K67" s="1">
        <f>IF(1441941&gt;0,100*152083/1441941,"")</f>
        <v>10.547102828756517</v>
      </c>
      <c r="L67" s="1">
        <f>IF(COUNT(J67:K67)=2,K67-J67,"")</f>
        <v>-36.132431945659924</v>
      </c>
      <c r="O67" s="1">
        <v>29</v>
      </c>
      <c r="P67" s="1">
        <v>28</v>
      </c>
      <c r="Q67" s="1">
        <f>IF(2050506&gt;0,100*857322/2050506,"")</f>
        <v>41.810265368645595</v>
      </c>
      <c r="R67" s="1">
        <f>IF(1839259&gt;0,100*229777/1839259,"")</f>
        <v>12.492911547530825</v>
      </c>
      <c r="S67" s="1">
        <f>IF(COUNT(Q67:R67)=2,R67-Q67,"")</f>
        <v>-29.31735382111477</v>
      </c>
    </row>
    <row r="68" spans="1:19">
      <c r="A68" s="1">
        <v>30</v>
      </c>
      <c r="B68" s="1">
        <v>29</v>
      </c>
      <c r="C68" s="1">
        <f>IF(1942903&gt;0,100*844208/1942903,"")</f>
        <v>43.45085678492441</v>
      </c>
      <c r="D68" s="1">
        <f>IF(1436446&gt;0,100*158773/1436446,"")</f>
        <v>11.053182646615326</v>
      </c>
      <c r="E68" s="1">
        <f>IF(COUNT(C68:D68)=2,D68-C68,"")</f>
        <v>-32.397674138309085</v>
      </c>
      <c r="H68" s="1">
        <v>30</v>
      </c>
      <c r="I68" s="1">
        <v>29</v>
      </c>
      <c r="J68" s="1">
        <f>IF(1886067&gt;0,100*615825/1886067,"")</f>
        <v>32.65127909029743</v>
      </c>
      <c r="K68" s="1">
        <f>IF(1429380&gt;0,100*145343/1429380,"")</f>
        <v>10.168254767801425</v>
      </c>
      <c r="L68" s="1">
        <f>IF(COUNT(J68:K68)=2,K68-J68,"")</f>
        <v>-22.483024322496004</v>
      </c>
      <c r="O68" s="1">
        <v>30</v>
      </c>
      <c r="P68" s="1">
        <v>29</v>
      </c>
      <c r="Q68" s="1">
        <f>IF(1124834&gt;0,100*57569/1124834,"")</f>
        <v>5.1179996337237315</v>
      </c>
      <c r="R68" s="1">
        <f>IF(1305764&gt;0,100*105949/1305764,"")</f>
        <v>8.113947083852825</v>
      </c>
      <c r="S68" s="1">
        <f>IF(COUNT(Q68:R68)=2,R68-Q68,"")</f>
        <v>2.9959474501290932</v>
      </c>
    </row>
    <row r="69" spans="1:19">
      <c r="A69" s="1">
        <v>31</v>
      </c>
      <c r="B69" s="1">
        <v>30</v>
      </c>
      <c r="C69" s="1">
        <f>IF(1247391&gt;0,100*5792/1247391,"")</f>
        <v>0.4643291477972825</v>
      </c>
      <c r="D69" s="1">
        <f>IF(92628&gt;0,100*11310/92628,"")</f>
        <v>12.210130845964503</v>
      </c>
      <c r="E69" s="1">
        <f>IF(COUNT(C69:D69)=2,D69-C69,"")</f>
        <v>11.74580169816722</v>
      </c>
      <c r="H69" s="1">
        <v>31</v>
      </c>
      <c r="I69" s="1">
        <v>30</v>
      </c>
      <c r="J69" s="1">
        <f>IF(2131633&gt;0,100*739570/2131633,"")</f>
        <v>34.69499674662571</v>
      </c>
      <c r="K69" s="1">
        <f>IF(864163&gt;0,100*40372/864163,"")</f>
        <v>4.671803814789571</v>
      </c>
      <c r="L69" s="1">
        <f>IF(COUNT(J69:K69)=2,K69-J69,"")</f>
        <v>-30.023192931836142</v>
      </c>
      <c r="O69" s="1">
        <v>31</v>
      </c>
      <c r="P69" s="1">
        <v>30</v>
      </c>
      <c r="Q69" s="1">
        <f>IF(1670334&gt;0,100*513883/1670334,"")</f>
        <v>30.765284068934715</v>
      </c>
      <c r="R69" s="1">
        <f>IF(1473407&gt;0,100*194182/1473407,"")</f>
        <v>13.179114799916112</v>
      </c>
      <c r="S69" s="1">
        <f>IF(COUNT(Q69:R69)=2,R69-Q69,"")</f>
        <v>-17.586169269018605</v>
      </c>
    </row>
    <row r="70" spans="1:19">
      <c r="A70" s="2" t="s">
        <v>6</v>
      </c>
      <c r="B70" s="1"/>
      <c r="C70" s="1">
        <f>IF(COUNT(C39:C69)&gt;0,AVERAGE(C39:C69),"")</f>
        <v>30.562133085533812</v>
      </c>
      <c r="D70" s="1">
        <f>IF(COUNT(D39:D69)&gt;0,AVERAGE(D39:D69),"")</f>
        <v>12.82826042915224</v>
      </c>
      <c r="E70" s="1">
        <f>IF(COUNT(E39:E69)&gt;0,AVERAGE(E39:E69),"")</f>
        <v>-17.73387265638157</v>
      </c>
      <c r="H70" s="2" t="s">
        <v>6</v>
      </c>
      <c r="I70" s="1"/>
      <c r="J70" s="1">
        <f>IF(COUNT(J39:J69)&gt;0,AVERAGE(J39:J69),"")</f>
        <v>32.74960009631654</v>
      </c>
      <c r="K70" s="1">
        <f>IF(COUNT(K39:K69)&gt;0,AVERAGE(K39:K69),"")</f>
        <v>10.695798781429469</v>
      </c>
      <c r="L70" s="1">
        <f>IF(COUNT(L39:L69)&gt;0,AVERAGE(L39:L69),"")</f>
        <v>-22.053801314887075</v>
      </c>
      <c r="O70" s="2" t="s">
        <v>6</v>
      </c>
      <c r="P70" s="1"/>
      <c r="Q70" s="1">
        <f>IF(COUNT(Q39:Q69)&gt;0,AVERAGE(Q39:Q69),"")</f>
        <v>31.481548328397977</v>
      </c>
      <c r="R70" s="1">
        <f>IF(COUNT(R39:R69)&gt;0,AVERAGE(R39:R69),"")</f>
        <v>11.23939919887663</v>
      </c>
      <c r="S70" s="1">
        <f>IF(COUNT(S39:S69)&gt;0,AVERAGE(S39:S69),"")</f>
        <v>-20.242149129521348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IF(1227574&gt;0,100*38510/1227574,"")</f>
        <v>3.1370817563747684</v>
      </c>
      <c r="D75" s="1">
        <f>IF(1028000&gt;0,100*61707/1028000,"")</f>
        <v>6.002626459143969</v>
      </c>
      <c r="E75" s="1">
        <f>IF(COUNT(C75:D75)=2,D75-C75,"")</f>
        <v>2.865544702769201</v>
      </c>
      <c r="H75" s="1">
        <v>1</v>
      </c>
      <c r="I75" s="1">
        <v>0</v>
      </c>
      <c r="J75" s="1">
        <f>IF(2974908&gt;0,100*1593753/2974908,"")</f>
        <v>53.573186128781124</v>
      </c>
      <c r="K75" s="1">
        <f>IF(2263121&gt;0,100*293715/2263121,"")</f>
        <v>12.978316227899436</v>
      </c>
      <c r="L75" s="1">
        <f>IF(COUNT(J75:K75)=2,K75-J75,"")</f>
        <v>-40.59486990088169</v>
      </c>
      <c r="O75" s="1">
        <v>1</v>
      </c>
      <c r="P75" s="1">
        <v>0</v>
      </c>
      <c r="Q75" s="1">
        <f>IF(2673895&gt;0,100*1212503/2673895,"")</f>
        <v>45.34594664337979</v>
      </c>
      <c r="R75" s="1">
        <f>IF(2067757&gt;0,100*272951/2067757,"")</f>
        <v>13.200342206555218</v>
      </c>
      <c r="S75" s="1">
        <f>IF(COUNT(Q75:R75)=2,R75-Q75,"")</f>
        <v>-32.14560443682457</v>
      </c>
    </row>
    <row r="76" spans="1:19">
      <c r="A76" s="1">
        <v>2</v>
      </c>
      <c r="B76" s="1">
        <v>1</v>
      </c>
      <c r="C76" s="1">
        <f>IF(1624357&gt;0,100*617829/1624357,"")</f>
        <v>38.03529642806353</v>
      </c>
      <c r="D76" s="1">
        <f>IF(1656285&gt;0,100*343904/1656285,"")</f>
        <v>20.76357631687783</v>
      </c>
      <c r="E76" s="1">
        <f>IF(COUNT(C76:D76)=2,D76-C76,"")</f>
        <v>-17.2717201111857</v>
      </c>
      <c r="H76" s="1">
        <v>2</v>
      </c>
      <c r="I76" s="1">
        <v>1</v>
      </c>
      <c r="J76" s="1">
        <f>IF(2706515&gt;0,100*1225890/2706515,"")</f>
        <v>45.29404049118516</v>
      </c>
      <c r="K76" s="1">
        <f>IF(3071872&gt;0,100*789180/3071872,"")</f>
        <v>25.69052356348181</v>
      </c>
      <c r="L76" s="1">
        <f>IF(COUNT(J76:K76)=2,K76-J76,"")</f>
        <v>-19.603516927703346</v>
      </c>
      <c r="O76" s="1">
        <v>2</v>
      </c>
      <c r="P76" s="1">
        <v>1</v>
      </c>
      <c r="Q76" s="1">
        <f>IF(2467592&gt;0,100*1063705/2467592,"")</f>
        <v>43.1070047236334</v>
      </c>
      <c r="R76" s="1">
        <f>IF(2694749&gt;0,100*571706/2694749,"")</f>
        <v>21.215556625125384</v>
      </c>
      <c r="S76" s="1">
        <f>IF(COUNT(Q76:R76)=2,R76-Q76,"")</f>
        <v>-21.891448098508018</v>
      </c>
    </row>
    <row r="77" spans="1:19">
      <c r="A77" s="1">
        <v>3</v>
      </c>
      <c r="B77" s="1">
        <v>2</v>
      </c>
      <c r="C77" s="1">
        <f>IF(1673401&gt;0,100*672518/1673401,"")</f>
        <v>40.18869356478214</v>
      </c>
      <c r="D77" s="1">
        <f>IF(1000276&gt;0,100*38949/1000276,"")</f>
        <v>3.8938253042160365</v>
      </c>
      <c r="E77" s="1">
        <f>IF(COUNT(C77:D77)=2,D77-C77,"")</f>
        <v>-36.294868260566105</v>
      </c>
      <c r="H77" s="1">
        <v>3</v>
      </c>
      <c r="I77" s="1">
        <v>2</v>
      </c>
      <c r="J77" s="1">
        <f>IF(2238301&gt;0,100*947036/2238301,"")</f>
        <v>42.31048460417075</v>
      </c>
      <c r="K77" s="1">
        <f>IF(2154743&gt;0,100*267019/2154743,"")</f>
        <v>12.392150711244915</v>
      </c>
      <c r="L77" s="1">
        <f>IF(COUNT(J77:K77)=2,K77-J77,"")</f>
        <v>-29.918333892925837</v>
      </c>
      <c r="O77" s="1">
        <v>3</v>
      </c>
      <c r="P77" s="1">
        <v>2</v>
      </c>
      <c r="Q77" s="1">
        <f>IF(2033898&gt;0,100*82955/2033898,"")</f>
        <v>4.07862144512655</v>
      </c>
      <c r="R77" s="1">
        <f>IF(2230487&gt;0,100*330706/2230487,"")</f>
        <v>14.826627548154281</v>
      </c>
      <c r="S77" s="1">
        <f>IF(COUNT(Q77:R77)=2,R77-Q77,"")</f>
        <v>10.74800610302773</v>
      </c>
    </row>
    <row r="78" spans="1:19">
      <c r="A78" s="1">
        <v>4</v>
      </c>
      <c r="B78" s="1">
        <v>3</v>
      </c>
      <c r="C78" s="1">
        <f>IF(1853726&gt;0,100*857824/1853726,"")</f>
        <v>46.2756631778375</v>
      </c>
      <c r="D78" s="1">
        <f>IF(2492452&gt;0,100*578946/2492452,"")</f>
        <v>23.22796988668187</v>
      </c>
      <c r="E78" s="1">
        <f>IF(COUNT(C78:D78)=2,D78-C78,"")</f>
        <v>-23.047693291155632</v>
      </c>
      <c r="H78" s="1">
        <v>4</v>
      </c>
      <c r="I78" s="1">
        <v>3</v>
      </c>
      <c r="J78" s="1">
        <f>IF(2473338&gt;0,100*1144203/2473338,"")</f>
        <v>46.2614895335777</v>
      </c>
      <c r="K78" s="1">
        <f>IF(1229275&gt;0,100*9920/1229275,"")</f>
        <v>0.8069797238209514</v>
      </c>
      <c r="L78" s="1">
        <f>IF(COUNT(J78:K78)=2,K78-J78,"")</f>
        <v>-45.45450980975675</v>
      </c>
      <c r="O78" s="1">
        <v>4</v>
      </c>
      <c r="P78" s="1">
        <v>3</v>
      </c>
      <c r="Q78" s="1">
        <f>IF(2535025&gt;0,100*1351101/2535025,"")</f>
        <v>53.29734420765081</v>
      </c>
      <c r="R78" s="1">
        <f>IF(1660415&gt;0,100*166850/1660415,"")</f>
        <v>10.04869264611558</v>
      </c>
      <c r="S78" s="1">
        <f>IF(COUNT(Q78:R78)=2,R78-Q78,"")</f>
        <v>-43.248651561535226</v>
      </c>
    </row>
    <row r="79" spans="1:19">
      <c r="A79" s="1">
        <v>5</v>
      </c>
      <c r="B79" s="1">
        <v>4</v>
      </c>
      <c r="C79" s="1">
        <f>IF(2574341&gt;0,100*1256270/2574341,"")</f>
        <v>48.79967339214191</v>
      </c>
      <c r="D79" s="1">
        <f>IF(1272770&gt;0,100*41636/1272770,"")</f>
        <v>3.271290178115449</v>
      </c>
      <c r="E79" s="1">
        <f>IF(COUNT(C79:D79)=2,D79-C79,"")</f>
        <v>-45.52838321402646</v>
      </c>
      <c r="H79" s="1">
        <v>5</v>
      </c>
      <c r="I79" s="1">
        <v>4</v>
      </c>
      <c r="J79" s="1">
        <f>IF(2594432&gt;0,100*1209716/2594432,"")</f>
        <v>46.627392816616506</v>
      </c>
      <c r="K79" s="1">
        <f>IF(29765&gt;0,100*7421/29765,"")</f>
        <v>24.931967075424154</v>
      </c>
      <c r="L79" s="1">
        <f>IF(COUNT(J79:K79)=2,K79-J79,"")</f>
        <v>-21.695425741192352</v>
      </c>
      <c r="O79" s="1">
        <v>5</v>
      </c>
      <c r="P79" s="1">
        <v>4</v>
      </c>
      <c r="Q79" s="1">
        <f>IF(2505160&gt;0,100*1184605/2505160,"")</f>
        <v>47.28660045665746</v>
      </c>
      <c r="R79" s="1">
        <f>IF(1899311&gt;0,100*322672/1899311,"")</f>
        <v>16.988897552849426</v>
      </c>
      <c r="S79" s="1">
        <f>IF(COUNT(Q79:R79)=2,R79-Q79,"")</f>
        <v>-30.297702903808034</v>
      </c>
    </row>
    <row r="80" spans="1:19">
      <c r="A80" s="1">
        <v>6</v>
      </c>
      <c r="B80" s="1">
        <v>5</v>
      </c>
      <c r="C80" s="1">
        <f>IF(2161281&gt;0,100*837619/2161281,"")</f>
        <v>38.75567314014235</v>
      </c>
      <c r="D80" s="1">
        <f>IF(1240241&gt;0,100*78072/1240241,"")</f>
        <v>6.294905586898031</v>
      </c>
      <c r="E80" s="1">
        <f>IF(COUNT(C80:D80)=2,D80-C80,"")</f>
        <v>-32.46076755324432</v>
      </c>
      <c r="H80" s="1">
        <v>6</v>
      </c>
      <c r="I80" s="1">
        <v>5</v>
      </c>
      <c r="J80" s="1">
        <f>IF(2014532&gt;0,100*751916/2014532,"")</f>
        <v>37.3245994603213</v>
      </c>
      <c r="K80" s="1">
        <f>IF(1773509&gt;0,100*184637/1773509,"")</f>
        <v>10.410829603909537</v>
      </c>
      <c r="L80" s="1">
        <f>IF(COUNT(J80:K80)=2,K80-J80,"")</f>
        <v>-26.913769856411765</v>
      </c>
      <c r="O80" s="1">
        <v>6</v>
      </c>
      <c r="P80" s="1">
        <v>5</v>
      </c>
      <c r="Q80" s="1">
        <f>IF(2374865&gt;0,100*978839/2374865,"")</f>
        <v>41.21661652346555</v>
      </c>
      <c r="R80" s="1">
        <f>IF(2088994&gt;0,100*190589/2088994,"")</f>
        <v>9.123482403491824</v>
      </c>
      <c r="S80" s="1">
        <f>IF(COUNT(Q80:R80)=2,R80-Q80,"")</f>
        <v>-32.093134119973726</v>
      </c>
    </row>
    <row r="81" spans="1:19">
      <c r="A81" s="1">
        <v>7</v>
      </c>
      <c r="B81" s="1">
        <v>6</v>
      </c>
      <c r="C81" s="1">
        <f>IF(2322649&gt;0,100*1026425/2322649,"")</f>
        <v>44.19199801605839</v>
      </c>
      <c r="D81" s="1">
        <f>IF(1606606&gt;0,100*196439/1606606,"")</f>
        <v>12.22695545765421</v>
      </c>
      <c r="E81" s="1">
        <f>IF(COUNT(C81:D81)=2,D81-C81,"")</f>
        <v>-31.965042558404182</v>
      </c>
      <c r="H81" s="1">
        <v>7</v>
      </c>
      <c r="I81" s="1">
        <v>6</v>
      </c>
      <c r="J81" s="1">
        <f>IF(1377831&gt;0,100*8479/1377831,"")</f>
        <v>0.6153875184982773</v>
      </c>
      <c r="K81" s="1">
        <f>IF(1523722&gt;0,100*63369/1523722,"")</f>
        <v>4.158829497769278</v>
      </c>
      <c r="L81" s="1">
        <f>IF(COUNT(J81:K81)=2,K81-J81,"")</f>
        <v>3.543441979271001</v>
      </c>
      <c r="O81" s="1">
        <v>7</v>
      </c>
      <c r="P81" s="1">
        <v>6</v>
      </c>
      <c r="Q81" s="1">
        <f>IF(985046&gt;0,100*15738/985046,"")</f>
        <v>1.5976918844399144</v>
      </c>
      <c r="R81" s="1">
        <f>IF(1466436&gt;0,100*104459/1466436,"")</f>
        <v>7.123324850180983</v>
      </c>
      <c r="S81" s="1">
        <f>IF(COUNT(Q81:R81)=2,R81-Q81,"")</f>
        <v>5.525632965741068</v>
      </c>
    </row>
    <row r="82" spans="1:19">
      <c r="A82" s="1">
        <v>8</v>
      </c>
      <c r="B82" s="1">
        <v>7</v>
      </c>
      <c r="C82" s="1">
        <f>IF(2162199&gt;0,100*1011109/2162199,"")</f>
        <v>46.76299452548077</v>
      </c>
      <c r="D82" s="1">
        <f>IF(1843156&gt;0,100*368284/1843156,"")</f>
        <v>19.981162744770383</v>
      </c>
      <c r="E82" s="1">
        <f>IF(COUNT(C82:D82)=2,D82-C82,"")</f>
        <v>-26.781831780710387</v>
      </c>
      <c r="H82" s="1">
        <v>8</v>
      </c>
      <c r="I82" s="1">
        <v>7</v>
      </c>
      <c r="J82" s="1">
        <f>IF(1201041&gt;0,100*14947/1201041,"")</f>
        <v>1.2445037263507241</v>
      </c>
      <c r="K82" s="1">
        <f>IF(957180&gt;0,100*3284/957180,"")</f>
        <v>0.3430911636264861</v>
      </c>
      <c r="L82" s="1">
        <f>IF(COUNT(J82:K82)=2,K82-J82,"")</f>
        <v>-0.901412562724238</v>
      </c>
      <c r="O82" s="1">
        <v>8</v>
      </c>
      <c r="P82" s="1">
        <v>7</v>
      </c>
      <c r="Q82" s="1">
        <f>IF(1244696&gt;0,100*14076/1244696,"")</f>
        <v>1.13087854383721</v>
      </c>
      <c r="R82" s="1">
        <f>IF(1042759&gt;0,100*22485/1042759,"")</f>
        <v>2.1562988188066465</v>
      </c>
      <c r="S82" s="1">
        <f>IF(COUNT(Q82:R82)=2,R82-Q82,"")</f>
        <v>1.0254202749694366</v>
      </c>
    </row>
    <row r="83" spans="1:19">
      <c r="A83" s="1">
        <v>9</v>
      </c>
      <c r="B83" s="1">
        <v>8</v>
      </c>
      <c r="C83" s="1">
        <f>IF(1440745&gt;0,100*484807/1440745,"")</f>
        <v>33.64974370898389</v>
      </c>
      <c r="D83" s="1">
        <f>IF(1173663&gt;0,100*239162/1173663,"")</f>
        <v>20.377399645383726</v>
      </c>
      <c r="E83" s="1">
        <f>IF(COUNT(C83:D83)=2,D83-C83,"")</f>
        <v>-13.272344063600165</v>
      </c>
      <c r="H83" s="1">
        <v>9</v>
      </c>
      <c r="I83" s="1">
        <v>8</v>
      </c>
      <c r="J83" s="1">
        <f>IF(2605328&gt;0,100*1210537/2605328,"")</f>
        <v>46.46390013080887</v>
      </c>
      <c r="K83" s="1">
        <f>IF(1959725&gt;0,100*351633/1959725,"")</f>
        <v>17.942976693158478</v>
      </c>
      <c r="L83" s="1">
        <f>IF(COUNT(J83:K83)=2,K83-J83,"")</f>
        <v>-28.52092343765039</v>
      </c>
      <c r="O83" s="1">
        <v>9</v>
      </c>
      <c r="P83" s="1">
        <v>8</v>
      </c>
      <c r="Q83" s="1">
        <f>IF(2369232&gt;0,100*974673/2369232,"")</f>
        <v>41.138774083753724</v>
      </c>
      <c r="R83" s="1">
        <f>IF(2328492&gt;0,100*525513/2328492,"")</f>
        <v>22.568812776681217</v>
      </c>
      <c r="S83" s="1">
        <f>IF(COUNT(Q83:R83)=2,R83-Q83,"")</f>
        <v>-18.569961307072507</v>
      </c>
    </row>
    <row r="84" spans="1:19">
      <c r="A84" s="1">
        <v>10</v>
      </c>
      <c r="B84" s="1">
        <v>9</v>
      </c>
      <c r="C84" s="1">
        <f>IF(1168622&gt;0,100*16823/1168622,"")</f>
        <v>1.4395587281430609</v>
      </c>
      <c r="D84" s="1">
        <f>IF(1556149&gt;0,100*93297/1556149,"")</f>
        <v>5.995377049369951</v>
      </c>
      <c r="E84" s="1">
        <f>IF(COUNT(C84:D84)=2,D84-C84,"")</f>
        <v>4.555818321226891</v>
      </c>
      <c r="H84" s="1">
        <v>10</v>
      </c>
      <c r="I84" s="1">
        <v>9</v>
      </c>
      <c r="J84" s="1">
        <f>IF(3065832&gt;0,100*1566994/3065832,"")</f>
        <v>51.11154166307873</v>
      </c>
      <c r="K84" s="1">
        <f>IF(1788969&gt;0,100*174557/1788969,"")</f>
        <v>9.75740775832337</v>
      </c>
      <c r="L84" s="1">
        <f>IF(COUNT(J84:K84)=2,K84-J84,"")</f>
        <v>-41.354133904755365</v>
      </c>
      <c r="O84" s="1">
        <v>10</v>
      </c>
      <c r="P84" s="1">
        <v>9</v>
      </c>
      <c r="Q84" s="1">
        <f>IF(2063235&gt;0,100*325107/2063235,"")</f>
        <v>15.757148361674748</v>
      </c>
      <c r="R84" s="1">
        <f>IF(1496342&gt;0,100*95628/1496342,"")</f>
        <v>6.390784994339529</v>
      </c>
      <c r="S84" s="1">
        <f>IF(COUNT(Q84:R84)=2,R84-Q84,"")</f>
        <v>-9.366363367335218</v>
      </c>
    </row>
    <row r="85" spans="1:19">
      <c r="A85" s="1">
        <v>11</v>
      </c>
      <c r="B85" s="1">
        <v>10</v>
      </c>
      <c r="C85" s="1">
        <f>IF(2209395&gt;0,100*1084873/2209395,"")</f>
        <v>49.1027181649275</v>
      </c>
      <c r="D85" s="1">
        <f>IF(3010059&gt;0,100*632333/3010059,"")</f>
        <v>21.007329092220452</v>
      </c>
      <c r="E85" s="1">
        <f>IF(COUNT(C85:D85)=2,D85-C85,"")</f>
        <v>-28.09538907270705</v>
      </c>
      <c r="H85" s="1">
        <v>11</v>
      </c>
      <c r="I85" s="1">
        <v>10</v>
      </c>
      <c r="J85" s="1">
        <f>IF(2870543&gt;0,100*1618419/2870543,"")</f>
        <v>56.380238860731225</v>
      </c>
      <c r="K85" s="1">
        <f>IF(2114650&gt;0,100*176559/2114650,"")</f>
        <v>8.349324947390821</v>
      </c>
      <c r="L85" s="1">
        <f>IF(COUNT(J85:K85)=2,K85-J85,"")</f>
        <v>-48.030913913340406</v>
      </c>
      <c r="O85" s="1">
        <v>11</v>
      </c>
      <c r="P85" s="1">
        <v>10</v>
      </c>
      <c r="Q85" s="1">
        <f>IF(2712419&gt;0,100*1335644/2712419,"")</f>
        <v>49.241802243679906</v>
      </c>
      <c r="R85" s="1">
        <f>IF(1822005&gt;0,100*103448/1822005,"")</f>
        <v>5.677701213772739</v>
      </c>
      <c r="S85" s="1">
        <f>IF(COUNT(Q85:R85)=2,R85-Q85,"")</f>
        <v>-43.564101029907164</v>
      </c>
    </row>
    <row r="86" spans="1:19">
      <c r="A86" s="1">
        <v>12</v>
      </c>
      <c r="B86" s="1">
        <v>11</v>
      </c>
      <c r="C86" s="1">
        <f>IF(2101751&gt;0,100*916475/2101751,"")</f>
        <v>43.605308145446344</v>
      </c>
      <c r="D86" s="1">
        <f>IF(1804343&gt;0,100*371910/1804343,"")</f>
        <v>20.61193464878906</v>
      </c>
      <c r="E86" s="1">
        <f>IF(COUNT(C86:D86)=2,D86-C86,"")</f>
        <v>-22.993373496657284</v>
      </c>
      <c r="H86" s="1">
        <v>12</v>
      </c>
      <c r="I86" s="1">
        <v>11</v>
      </c>
      <c r="J86" s="1">
        <f>IF(2321486&gt;0,100*1150766/2321486,"")</f>
        <v>49.57023217025647</v>
      </c>
      <c r="K86" s="1">
        <f>IF(2031396&gt;0,100*76783/2031396,"")</f>
        <v>3.7798144724120752</v>
      </c>
      <c r="L86" s="1">
        <f>IF(COUNT(J86:K86)=2,K86-J86,"")</f>
        <v>-45.79041769784439</v>
      </c>
      <c r="O86" s="1">
        <v>12</v>
      </c>
      <c r="P86" s="1">
        <v>11</v>
      </c>
      <c r="Q86" s="1">
        <f>IF(2923066&gt;0,100*1456418/2923066,"")</f>
        <v>49.825012503994095</v>
      </c>
      <c r="R86" s="1">
        <f>IF(2146587&gt;0,100*94976/2146587,"")</f>
        <v>4.424512027697922</v>
      </c>
      <c r="S86" s="1">
        <f>IF(COUNT(Q86:R86)=2,R86-Q86,"")</f>
        <v>-45.40050047629617</v>
      </c>
    </row>
    <row r="87" spans="1:19">
      <c r="A87" s="1">
        <v>13</v>
      </c>
      <c r="B87" s="1">
        <v>12</v>
      </c>
      <c r="C87" s="1">
        <f>IF(2087661&gt;0,100*558523/2087661,"")</f>
        <v>26.753529428388998</v>
      </c>
      <c r="D87" s="1">
        <f>IF(777297&gt;0,100*65854/777297,"")</f>
        <v>8.472179874616781</v>
      </c>
      <c r="E87" s="1">
        <f>IF(COUNT(C87:D87)=2,D87-C87,"")</f>
        <v>-18.281349553772216</v>
      </c>
      <c r="H87" s="1">
        <v>13</v>
      </c>
      <c r="I87" s="1">
        <v>12</v>
      </c>
      <c r="J87" s="1">
        <f>IF(2390190&gt;0,100*1069032/2390190,"")</f>
        <v>44.72581677607219</v>
      </c>
      <c r="K87" s="1">
        <f>IF(1547015&gt;0,100*41930/1547015,"")</f>
        <v>2.7103809594606387</v>
      </c>
      <c r="L87" s="1">
        <f>IF(COUNT(J87:K87)=2,K87-J87,"")</f>
        <v>-42.01543581661156</v>
      </c>
      <c r="O87" s="1">
        <v>13</v>
      </c>
      <c r="P87" s="1">
        <v>12</v>
      </c>
      <c r="Q87" s="1">
        <f>IF(1557676&gt;0,100*18730/1557676,"")</f>
        <v>1.2024323415138964</v>
      </c>
      <c r="R87" s="1">
        <f>IF(1359764&gt;0,100*18486/1359764,"")</f>
        <v>1.359500619225101</v>
      </c>
      <c r="S87" s="1">
        <f>IF(COUNT(Q87:R87)=2,R87-Q87,"")</f>
        <v>0.15706827771120446</v>
      </c>
    </row>
    <row r="88" spans="1:19">
      <c r="A88" s="1">
        <v>14</v>
      </c>
      <c r="B88" s="1">
        <v>13</v>
      </c>
      <c r="C88" s="1">
        <f>IF(1496156&gt;0,100*261177/1496156,"")</f>
        <v>17.456535281080313</v>
      </c>
      <c r="D88" s="1">
        <f>IF(957014&gt;0,100*13893/957014,"")</f>
        <v>1.4517029008980016</v>
      </c>
      <c r="E88" s="1">
        <f>IF(COUNT(C88:D88)=2,D88-C88,"")</f>
        <v>-16.00483238018231</v>
      </c>
      <c r="H88" s="1">
        <v>14</v>
      </c>
      <c r="I88" s="1">
        <v>13</v>
      </c>
      <c r="J88" s="1">
        <f>IF(1799691&gt;0,100*550790/1799691,"")</f>
        <v>30.604698250977528</v>
      </c>
      <c r="K88" s="1">
        <f>IF(1028124&gt;0,100*5157/1028124,"")</f>
        <v>0.501593193038972</v>
      </c>
      <c r="L88" s="1">
        <f>IF(COUNT(J88:K88)=2,K88-J88,"")</f>
        <v>-30.103105057938556</v>
      </c>
      <c r="O88" s="1">
        <v>14</v>
      </c>
      <c r="P88" s="1">
        <v>13</v>
      </c>
      <c r="Q88" s="1">
        <f>IF(1217487&gt;0,100*119562/1217487,"")</f>
        <v>9.820392332731274</v>
      </c>
      <c r="R88" s="1">
        <f>IF(1010896&gt;0,100*4231/1010896,"")</f>
        <v>0.41853959259904083</v>
      </c>
      <c r="S88" s="1">
        <f>IF(COUNT(Q88:R88)=2,R88-Q88,"")</f>
        <v>-9.401852740132233</v>
      </c>
    </row>
    <row r="89" spans="1:19">
      <c r="A89" s="1">
        <v>15</v>
      </c>
      <c r="B89" s="1">
        <v>14</v>
      </c>
      <c r="C89" s="1">
        <f>IF(1933985&gt;0,100*847555/1933985,"")</f>
        <v>43.82427991944095</v>
      </c>
      <c r="D89" s="1">
        <f>IF(2142642&gt;0,100*512108/2142642,"")</f>
        <v>23.900772970939617</v>
      </c>
      <c r="E89" s="1">
        <f>IF(COUNT(C89:D89)=2,D89-C89,"")</f>
        <v>-19.92350694850133</v>
      </c>
      <c r="H89" s="1">
        <v>15</v>
      </c>
      <c r="I89" s="1">
        <v>14</v>
      </c>
      <c r="J89" s="1">
        <f>IF(2456423&gt;0,100*458635/2456423,"")</f>
        <v>18.670847814077625</v>
      </c>
      <c r="K89" s="1">
        <f>IF(2336773&gt;0,100*428826/2336773,"")</f>
        <v>18.351204845314456</v>
      </c>
      <c r="L89" s="1">
        <f>IF(COUNT(J89:K89)=2,K89-J89,"")</f>
        <v>-0.3196429687631692</v>
      </c>
      <c r="O89" s="1">
        <v>15</v>
      </c>
      <c r="P89" s="1">
        <v>14</v>
      </c>
      <c r="Q89" s="1">
        <f>IF(2356524&gt;0,100*573959/2356524,"")</f>
        <v>24.35617035939375</v>
      </c>
      <c r="R89" s="1">
        <f>IF(2446102&gt;0,100*356474/2446102,"")</f>
        <v>14.573145355344954</v>
      </c>
      <c r="S89" s="1">
        <f>IF(COUNT(Q89:R89)=2,R89-Q89,"")</f>
        <v>-9.783025004048797</v>
      </c>
    </row>
    <row r="90" spans="1:19">
      <c r="A90" s="1">
        <v>16</v>
      </c>
      <c r="B90" s="1">
        <v>15</v>
      </c>
      <c r="C90" s="1">
        <f>IF(2016018&gt;0,100*829052/2016018,"")</f>
        <v>41.12324393929023</v>
      </c>
      <c r="D90" s="1">
        <f>IF(1828007&gt;0,100*280270/1828007,"")</f>
        <v>15.331998181626219</v>
      </c>
      <c r="E90" s="1">
        <f>IF(COUNT(C90:D90)=2,D90-C90,"")</f>
        <v>-25.791245757664008</v>
      </c>
      <c r="H90" s="1">
        <v>16</v>
      </c>
      <c r="I90" s="1">
        <v>15</v>
      </c>
      <c r="J90" s="1">
        <f>IF(2410914&gt;0,100*1100716/2410914,"")</f>
        <v>45.65554806185538</v>
      </c>
      <c r="K90" s="1">
        <f>IF(2438645&gt;0,100*173273/2438645,"")</f>
        <v>7.105298229139542</v>
      </c>
      <c r="L90" s="1">
        <f>IF(COUNT(J90:K90)=2,K90-J90,"")</f>
        <v>-38.550249832715835</v>
      </c>
      <c r="O90" s="1">
        <v>16</v>
      </c>
      <c r="P90" s="1">
        <v>15</v>
      </c>
      <c r="Q90" s="1">
        <f>IF(2715811&gt;0,100*1420140/2715811,"")</f>
        <v>52.29156226261695</v>
      </c>
      <c r="R90" s="1">
        <f>IF(2212407&gt;0,100*276442/2212407,"")</f>
        <v>12.495078889191726</v>
      </c>
      <c r="S90" s="1">
        <f>IF(COUNT(Q90:R90)=2,R90-Q90,"")</f>
        <v>-39.796483373425225</v>
      </c>
    </row>
    <row r="91" spans="1:19">
      <c r="A91" s="1">
        <v>17</v>
      </c>
      <c r="B91" s="1">
        <v>16</v>
      </c>
      <c r="C91" s="1">
        <f>IF(830136&gt;0,100*34541/830136,"")</f>
        <v>4.160884481578922</v>
      </c>
      <c r="D91" s="1">
        <f>IF(857596&gt;0,100*17532/857596,"")</f>
        <v>2.0443192365636036</v>
      </c>
      <c r="E91" s="1">
        <f>IF(COUNT(C91:D91)=2,D91-C91,"")</f>
        <v>-2.1165652450153183</v>
      </c>
      <c r="H91" s="1">
        <v>17</v>
      </c>
      <c r="I91" s="1">
        <v>16</v>
      </c>
      <c r="J91" s="1">
        <f>IF(196031&gt;0,100*5823/196031,"")</f>
        <v>2.970448551504609</v>
      </c>
      <c r="K91" s="1">
        <f>IF(2998616&gt;0,100*770391/2998616,"")</f>
        <v>25.691552369493127</v>
      </c>
      <c r="L91" s="1">
        <f>IF(COUNT(J91:K91)=2,K91-J91,"")</f>
        <v>22.721103817988517</v>
      </c>
      <c r="O91" s="1">
        <v>17</v>
      </c>
      <c r="P91" s="1">
        <v>16</v>
      </c>
      <c r="Q91" s="1">
        <f>IF(2285076&gt;0,100*953900/2285076,"")</f>
        <v>41.74478223043785</v>
      </c>
      <c r="R91" s="1">
        <f>IF(1680838&gt;0,100*286918/1680838,"")</f>
        <v>17.069937733440106</v>
      </c>
      <c r="S91" s="1">
        <f>IF(COUNT(Q91:R91)=2,R91-Q91,"")</f>
        <v>-24.674844496997743</v>
      </c>
    </row>
    <row r="92" spans="1:19">
      <c r="A92" s="1">
        <v>18</v>
      </c>
      <c r="B92" s="1">
        <v>17</v>
      </c>
      <c r="C92" s="1">
        <f>IF(1194547&gt;0,100*244244/1194547,"")</f>
        <v>20.446579330909543</v>
      </c>
      <c r="D92" s="1">
        <f>IF(936848&gt;0,100*5298/936848,"")</f>
        <v>0.5655132956466791</v>
      </c>
      <c r="E92" s="1">
        <f>IF(COUNT(C92:D92)=2,D92-C92,"")</f>
        <v>-19.881066035262865</v>
      </c>
      <c r="H92" s="1">
        <v>18</v>
      </c>
      <c r="I92" s="1">
        <v>17</v>
      </c>
      <c r="J92" s="4"/>
      <c r="K92" s="1">
        <f>IF(32072&gt;0,100*569/32072,"")</f>
        <v>1.7741332002993264</v>
      </c>
      <c r="L92" s="1">
        <f>IF(COUNT(J92:K92)=2,K92-J92,"")</f>
        <v/>
      </c>
      <c r="O92" s="1">
        <v>18</v>
      </c>
      <c r="P92" s="1">
        <v>17</v>
      </c>
      <c r="Q92" s="1">
        <f>IF(2825816&gt;0,100*1323547/2825816,"")</f>
        <v>46.83769219227296</v>
      </c>
      <c r="R92" s="1">
        <f>IF(1766220&gt;0,100*86689/1766220,"")</f>
        <v>4.908165460701385</v>
      </c>
      <c r="S92" s="1">
        <f>IF(COUNT(Q92:R92)=2,R92-Q92,"")</f>
        <v>-41.92952673157158</v>
      </c>
    </row>
    <row r="93" spans="1:19">
      <c r="A93" s="1">
        <v>19</v>
      </c>
      <c r="B93" s="1">
        <v>18</v>
      </c>
      <c r="C93" s="1">
        <f>IF(1931560&gt;0,100*912771/1931560,"")</f>
        <v>47.25563792996335</v>
      </c>
      <c r="D93" s="1">
        <f>IF(2334411&gt;0,100*504496/2334411,"")</f>
        <v>21.61127582075307</v>
      </c>
      <c r="E93" s="1">
        <f>IF(COUNT(C93:D93)=2,D93-C93,"")</f>
        <v>-25.644362109210277</v>
      </c>
      <c r="H93" s="1">
        <v>19</v>
      </c>
      <c r="I93" s="1">
        <v>18</v>
      </c>
      <c r="J93" s="1">
        <f>IF(1855523&gt;0,100*552371/1855523,"")</f>
        <v>29.76901930075779</v>
      </c>
      <c r="K93" s="1">
        <f>IF(1417921&gt;0,100*144655/1417921,"")</f>
        <v>10.20190828685096</v>
      </c>
      <c r="L93" s="1">
        <f>IF(COUNT(J93:K93)=2,K93-J93,"")</f>
        <v>-19.567111013906832</v>
      </c>
      <c r="O93" s="1">
        <v>19</v>
      </c>
      <c r="P93" s="1">
        <v>18</v>
      </c>
      <c r="Q93" s="1">
        <f>IF(2510684&gt;0,100*1031580/2510684,"")</f>
        <v>41.08760799845779</v>
      </c>
      <c r="R93" s="1">
        <f>IF(1047147&gt;0,100*27013/1047147,"")</f>
        <v>2.579676014924361</v>
      </c>
      <c r="S93" s="1">
        <f>IF(COUNT(Q93:R93)=2,R93-Q93,"")</f>
        <v>-38.50793198353343</v>
      </c>
    </row>
    <row r="94" spans="1:19">
      <c r="A94" s="1">
        <v>20</v>
      </c>
      <c r="B94" s="1">
        <v>19</v>
      </c>
      <c r="C94" s="1">
        <f>IF(2025286&gt;0,100*867239/2025286,"")</f>
        <v>42.82056953931445</v>
      </c>
      <c r="D94" s="1">
        <f>IF(180359&gt;0,100*30237/180359,"")</f>
        <v>16.76489667829163</v>
      </c>
      <c r="E94" s="1">
        <f>IF(COUNT(C94:D94)=2,D94-C94,"")</f>
        <v>-26.055672861022817</v>
      </c>
      <c r="H94" s="1">
        <v>20</v>
      </c>
      <c r="I94" s="1">
        <v>19</v>
      </c>
      <c r="J94" s="1">
        <f>IF(2440076&gt;0,100*960305/2440076,"")</f>
        <v>39.355536466896936</v>
      </c>
      <c r="K94" s="1">
        <f>IF(1441176&gt;0,100*181587/1441176,"")</f>
        <v>12.599918399973355</v>
      </c>
      <c r="L94" s="1">
        <f>IF(COUNT(J94:K94)=2,K94-J94,"")</f>
        <v>-26.75561806692358</v>
      </c>
      <c r="O94" s="1">
        <v>20</v>
      </c>
      <c r="P94" s="1">
        <v>19</v>
      </c>
      <c r="Q94" s="1">
        <f>IF(3041216&gt;0,100*1439290/3041216,"")</f>
        <v>47.32613533533955</v>
      </c>
      <c r="R94" s="1">
        <f>IF(1539277&gt;0,100*184470/1539277,"")</f>
        <v>11.984197775968848</v>
      </c>
      <c r="S94" s="1">
        <f>IF(COUNT(Q94:R94)=2,R94-Q94,"")</f>
        <v>-35.341937559370706</v>
      </c>
    </row>
    <row r="95" spans="1:19">
      <c r="A95" s="1">
        <v>21</v>
      </c>
      <c r="B95" s="1">
        <v>20</v>
      </c>
      <c r="C95" s="1">
        <f>IF(2094148&gt;0,100*1039154/2094148,"")</f>
        <v>49.62180323453739</v>
      </c>
      <c r="D95" s="1">
        <f>IF(1935342&gt;0,100*391985/1935342,"")</f>
        <v>20.25404295468191</v>
      </c>
      <c r="E95" s="1">
        <f>IF(COUNT(C95:D95)=2,D95-C95,"")</f>
        <v>-29.367760279855478</v>
      </c>
      <c r="H95" s="1">
        <v>21</v>
      </c>
      <c r="I95" s="1">
        <v>20</v>
      </c>
      <c r="J95" s="1">
        <f>IF(2683747&gt;0,100*1388722/2683747,"")</f>
        <v>51.74563772218469</v>
      </c>
      <c r="K95" s="1">
        <f>IF(1503353&gt;0,100*101609/1503353,"")</f>
        <v>6.758825106279097</v>
      </c>
      <c r="L95" s="1">
        <f>IF(COUNT(J95:K95)=2,K95-J95,"")</f>
        <v>-44.98681261590559</v>
      </c>
      <c r="O95" s="1">
        <v>21</v>
      </c>
      <c r="P95" s="1">
        <v>20</v>
      </c>
      <c r="Q95" s="1">
        <f>IF(2268817&gt;0,100*1102753/2268817,"")</f>
        <v>48.60475745730044</v>
      </c>
      <c r="R95" s="1">
        <f>IF(1397335&gt;0,100*143258/1397335,"")</f>
        <v>10.252230138084283</v>
      </c>
      <c r="S95" s="1">
        <f>IF(COUNT(Q95:R95)=2,R95-Q95,"")</f>
        <v>-38.35252731921615</v>
      </c>
    </row>
    <row r="96" spans="1:19">
      <c r="A96" s="1">
        <v>22</v>
      </c>
      <c r="B96" s="1">
        <v>21</v>
      </c>
      <c r="C96" s="1">
        <f>IF(1002018&gt;0,100*273571/1002018,"")</f>
        <v>27.302004554808395</v>
      </c>
      <c r="D96" s="1">
        <f>IF(1686811&gt;0,100*350087/1686811,"")</f>
        <v>20.754370228792673</v>
      </c>
      <c r="E96" s="1">
        <f>IF(COUNT(C96:D96)=2,D96-C96,"")</f>
        <v>-6.5476343260157215</v>
      </c>
      <c r="H96" s="1">
        <v>22</v>
      </c>
      <c r="I96" s="1">
        <v>21</v>
      </c>
      <c r="J96" s="1">
        <f>IF(2557965&gt;0,100*1179736/2557965,"")</f>
        <v>46.12009937587106</v>
      </c>
      <c r="K96" s="1">
        <f>IF(2103836&gt;0,100*459636/2103836,"")</f>
        <v>21.84752043410228</v>
      </c>
      <c r="L96" s="1">
        <f>IF(COUNT(J96:K96)=2,K96-J96,"")</f>
        <v>-24.272578941768778</v>
      </c>
      <c r="O96" s="1">
        <v>22</v>
      </c>
      <c r="P96" s="1">
        <v>21</v>
      </c>
      <c r="Q96" s="1">
        <f>IF(1946233&gt;0,100*656202/1946233,"")</f>
        <v>33.71651801197493</v>
      </c>
      <c r="R96" s="1">
        <f>IF(1867361&gt;0,100*350857/1867361,"")</f>
        <v>18.78892190636947</v>
      </c>
      <c r="S96" s="1">
        <f>IF(COUNT(Q96:R96)=2,R96-Q96,"")</f>
        <v>-14.927596105605456</v>
      </c>
    </row>
    <row r="97" spans="1:19">
      <c r="A97" s="1">
        <v>23</v>
      </c>
      <c r="B97" s="1">
        <v>22</v>
      </c>
      <c r="C97" s="1">
        <f>IF(795260&gt;0,100*1236/795260,"")</f>
        <v>0.15542086864673188</v>
      </c>
      <c r="D97" s="1">
        <f>IF(1166253&gt;0,100*4869/1166253,"")</f>
        <v>0.41749088748324764</v>
      </c>
      <c r="E97" s="1">
        <f>IF(COUNT(C97:D97)=2,D97-C97,"")</f>
        <v>0.26207001883651576</v>
      </c>
      <c r="H97" s="1">
        <v>23</v>
      </c>
      <c r="I97" s="1">
        <v>22</v>
      </c>
      <c r="J97" s="1">
        <f>IF(2773812&gt;0,100*1410215/2773812,"")</f>
        <v>50.84032371335909</v>
      </c>
      <c r="K97" s="1">
        <f>IF(2805476&gt;0,100*586912/2805476,"")</f>
        <v>20.920228866687864</v>
      </c>
      <c r="L97" s="1">
        <f>IF(COUNT(J97:K97)=2,K97-J97,"")</f>
        <v>-29.920094846671226</v>
      </c>
      <c r="O97" s="1">
        <v>23</v>
      </c>
      <c r="P97" s="1">
        <v>22</v>
      </c>
      <c r="Q97" s="1">
        <f>IF(2188846&gt;0,100*938113/2188846,"")</f>
        <v>42.858794086016104</v>
      </c>
      <c r="R97" s="1">
        <f>IF(2544497&gt;0,100*445811/2544497,"")</f>
        <v>17.52059444361695</v>
      </c>
      <c r="S97" s="1">
        <f>IF(COUNT(Q97:R97)=2,R97-Q97,"")</f>
        <v>-25.338199642399154</v>
      </c>
    </row>
    <row r="98" spans="1:19">
      <c r="A98" s="1">
        <v>24</v>
      </c>
      <c r="B98" s="1">
        <v>23</v>
      </c>
      <c r="C98" s="1">
        <f>IF(1888679&gt;0,100*755365/1888679,"")</f>
        <v>39.99435584342284</v>
      </c>
      <c r="D98" s="1">
        <f>IF(1575709&gt;0,100*91803/1575709,"")</f>
        <v>5.826139217330104</v>
      </c>
      <c r="E98" s="1">
        <f>IF(COUNT(C98:D98)=2,D98-C98,"")</f>
        <v>-34.168216626092736</v>
      </c>
      <c r="H98" s="1">
        <v>24</v>
      </c>
      <c r="I98" s="1">
        <v>23</v>
      </c>
      <c r="J98" s="1">
        <f>IF(2330232&gt;0,100*1039149/2330232,"")</f>
        <v>44.594229244126765</v>
      </c>
      <c r="K98" s="1">
        <f>IF(1869823&gt;0,100*177471/1869823,"")</f>
        <v>9.49132618435007</v>
      </c>
      <c r="L98" s="1">
        <f>IF(COUNT(J98:K98)=2,K98-J98,"")</f>
        <v>-35.10290305977669</v>
      </c>
      <c r="O98" s="1">
        <v>24</v>
      </c>
      <c r="P98" s="1">
        <v>23</v>
      </c>
      <c r="Q98" s="1">
        <f>IF(2075098&gt;0,100*737576/2075098,"")</f>
        <v>35.544152613515124</v>
      </c>
      <c r="R98" s="1">
        <f>IF(2462594&gt;0,100*487578/2462594,"")</f>
        <v>19.799366034352396</v>
      </c>
      <c r="S98" s="1">
        <f>IF(COUNT(Q98:R98)=2,R98-Q98,"")</f>
        <v>-15.744786579162728</v>
      </c>
    </row>
    <row r="99" spans="1:19">
      <c r="A99" s="1">
        <v>25</v>
      </c>
      <c r="B99" s="1">
        <v>24</v>
      </c>
      <c r="C99" s="1">
        <f>IF(2046231&gt;0,100*862149/2046231,"")</f>
        <v>42.1335127852134</v>
      </c>
      <c r="D99" s="1">
        <f>IF(2123821&gt;0,100*501668/2123821,"")</f>
        <v>23.621011375252433</v>
      </c>
      <c r="E99" s="1">
        <f>IF(COUNT(C99:D99)=2,D99-C99,"")</f>
        <v>-18.512501409960965</v>
      </c>
      <c r="H99" s="1">
        <v>25</v>
      </c>
      <c r="I99" s="1">
        <v>24</v>
      </c>
      <c r="J99" s="1">
        <f>IF(2687496&gt;0,100*1356682/2687496,"")</f>
        <v>50.481265832581705</v>
      </c>
      <c r="K99" s="1">
        <f>IF(1965423&gt;0,100*328981/1965423,"")</f>
        <v>16.738432388345917</v>
      </c>
      <c r="L99" s="1">
        <f>IF(COUNT(J99:K99)=2,K99-J99,"")</f>
        <v>-33.742833444235785</v>
      </c>
      <c r="O99" s="1">
        <v>25</v>
      </c>
      <c r="P99" s="1">
        <v>24</v>
      </c>
      <c r="Q99" s="1">
        <f>IF(2348758&gt;0,100*912656/2348758,"")</f>
        <v>38.856961849624355</v>
      </c>
      <c r="R99" s="1">
        <f>IF(2319228&gt;0,100*312112/2319228,"")</f>
        <v>13.45758157455843</v>
      </c>
      <c r="S99" s="1">
        <f>IF(COUNT(Q99:R99)=2,R99-Q99,"")</f>
        <v>-25.399380275065923</v>
      </c>
    </row>
    <row r="100" spans="1:19">
      <c r="A100" s="1">
        <v>26</v>
      </c>
      <c r="B100" s="1">
        <v>25</v>
      </c>
      <c r="C100" s="1">
        <f>IF(2173027&gt;0,100*1021557/2173027,"")</f>
        <v>47.01078265479444</v>
      </c>
      <c r="D100" s="1">
        <f>IF(28176&gt;0,100*7828/28176,"")</f>
        <v>27.78250993753549</v>
      </c>
      <c r="E100" s="1">
        <f>IF(COUNT(C100:D100)=2,D100-C100,"")</f>
        <v>-19.22827271725895</v>
      </c>
      <c r="H100" s="1">
        <v>26</v>
      </c>
      <c r="I100" s="1">
        <v>25</v>
      </c>
      <c r="J100" s="1">
        <f>IF(1369843&gt;0,100*81159/1369843,"")</f>
        <v>5.9246935597729085</v>
      </c>
      <c r="K100" s="1">
        <f>IF(1180033&gt;0,100*107387/1180033,"")</f>
        <v>9.1003387193409</v>
      </c>
      <c r="L100" s="1">
        <f>IF(COUNT(J100:K100)=2,K100-J100,"")</f>
        <v>3.175645159567992</v>
      </c>
      <c r="O100" s="1">
        <v>26</v>
      </c>
      <c r="P100" s="1">
        <v>25</v>
      </c>
      <c r="Q100" s="1">
        <f>IF(2790743&gt;0,100*1533326/2790743,"")</f>
        <v>54.94328929607635</v>
      </c>
      <c r="R100" s="1">
        <f>IF(1815338&gt;0,100*241293/1815338,"")</f>
        <v>13.291904868404671</v>
      </c>
      <c r="S100" s="1">
        <f>IF(COUNT(Q100:R100)=2,R100-Q100,"")</f>
        <v>-41.65138442767168</v>
      </c>
    </row>
    <row r="101" spans="1:19">
      <c r="A101" s="1">
        <v>27</v>
      </c>
      <c r="B101" s="1">
        <v>26</v>
      </c>
      <c r="C101" s="1">
        <f>IF(2068375&gt;0,100*1076315/2068375,"")</f>
        <v>52.03674382063214</v>
      </c>
      <c r="D101" s="1">
        <f>IF(2123260&gt;0,100*442152/2123260,"")</f>
        <v>20.824204289630096</v>
      </c>
      <c r="E101" s="1">
        <f>IF(COUNT(C101:D101)=2,D101-C101,"")</f>
        <v>-31.212539531002044</v>
      </c>
      <c r="H101" s="1">
        <v>27</v>
      </c>
      <c r="I101" s="1">
        <v>26</v>
      </c>
      <c r="J101" s="1">
        <f>IF(1770443&gt;0,100*418105/1770443,"")</f>
        <v>23.615840781092643</v>
      </c>
      <c r="K101" s="1">
        <f>IF(2001652&gt;0,100*259259/2001652,"")</f>
        <v>12.952251440310304</v>
      </c>
      <c r="L101" s="1">
        <f>IF(COUNT(J101:K101)=2,K101-J101,"")</f>
        <v>-10.66358934078234</v>
      </c>
      <c r="O101" s="1">
        <v>27</v>
      </c>
      <c r="P101" s="1">
        <v>26</v>
      </c>
      <c r="Q101" s="1">
        <f>IF(2101248&gt;0,100*444433/2101248,"")</f>
        <v>21.150906508893762</v>
      </c>
      <c r="R101" s="1">
        <f>IF(2338450&gt;0,100*411892/2338450,"")</f>
        <v>17.613889542218136</v>
      </c>
      <c r="S101" s="1">
        <f>IF(COUNT(Q101:R101)=2,R101-Q101,"")</f>
        <v>-3.537016966675626</v>
      </c>
    </row>
    <row r="102" spans="1:19">
      <c r="A102" s="1">
        <v>28</v>
      </c>
      <c r="B102" s="1">
        <v>27</v>
      </c>
      <c r="C102" s="1">
        <f>IF(1174000&gt;0,100*3059/1174000,"")</f>
        <v>0.2605621805792164</v>
      </c>
      <c r="D102" s="1">
        <f>IF(1509586&gt;0,100*7720/1509586,"")</f>
        <v>0.5113984893871565</v>
      </c>
      <c r="E102" s="1">
        <f>IF(COUNT(C102:D102)=2,D102-C102,"")</f>
        <v>0.2508363088079401</v>
      </c>
      <c r="H102" s="1">
        <v>28</v>
      </c>
      <c r="I102" s="1">
        <v>27</v>
      </c>
      <c r="J102" s="1">
        <f>IF(2046482&gt;0,100*638275/2046482,"")</f>
        <v>31.18888903005255</v>
      </c>
      <c r="K102" s="1">
        <f>IF(2208353&gt;0,100*323515/2208353,"")</f>
        <v>14.649605384646385</v>
      </c>
      <c r="L102" s="1">
        <f>IF(COUNT(J102:K102)=2,K102-J102,"")</f>
        <v>-16.539283645406165</v>
      </c>
      <c r="O102" s="1">
        <v>28</v>
      </c>
      <c r="P102" s="1">
        <v>27</v>
      </c>
      <c r="Q102" s="1">
        <f>IF(2324907&gt;0,100*896618/2324907,"")</f>
        <v>38.5657576840708</v>
      </c>
      <c r="R102" s="1">
        <f>IF(2420839&gt;0,100*472372/2420839,"")</f>
        <v>19.512739178441855</v>
      </c>
      <c r="S102" s="1">
        <f>IF(COUNT(Q102:R102)=2,R102-Q102,"")</f>
        <v>-19.05301850562895</v>
      </c>
    </row>
    <row r="103" spans="1:19">
      <c r="A103" s="1">
        <v>29</v>
      </c>
      <c r="B103" s="1">
        <v>28</v>
      </c>
      <c r="C103" s="1">
        <f>IF(2083503&gt;0,100*1007639/2083503,"")</f>
        <v>48.362733338996875</v>
      </c>
      <c r="D103" s="1">
        <f>IF(2314191&gt;0,100*506497/2314191,"")</f>
        <v>21.886568567590142</v>
      </c>
      <c r="E103" s="1">
        <f>IF(COUNT(C103:D103)=2,D103-C103,"")</f>
        <v>-26.476164771406733</v>
      </c>
      <c r="H103" s="1">
        <v>29</v>
      </c>
      <c r="I103" s="1">
        <v>28</v>
      </c>
      <c r="J103" s="1">
        <f>IF(2576958&gt;0,100*1290348/2576958,"")</f>
        <v>50.072527375300645</v>
      </c>
      <c r="K103" s="1">
        <f>IF(1652196&gt;0,100*185721/1652196,"")</f>
        <v>11.240857622219156</v>
      </c>
      <c r="L103" s="1">
        <f>IF(COUNT(J103:K103)=2,K103-J103,"")</f>
        <v>-38.831669753081485</v>
      </c>
      <c r="O103" s="1">
        <v>29</v>
      </c>
      <c r="P103" s="1">
        <v>28</v>
      </c>
      <c r="Q103" s="1">
        <f>IF(2240165&gt;0,100*1016922/2240165,"")</f>
        <v>45.39495974626869</v>
      </c>
      <c r="R103" s="1">
        <f>IF(2336039&gt;0,100*361657/2336039,"")</f>
        <v>15.481633654232656</v>
      </c>
      <c r="S103" s="1">
        <f>IF(COUNT(Q103:R103)=2,R103-Q103,"")</f>
        <v>-29.913326092036034</v>
      </c>
    </row>
    <row r="104" spans="1:19">
      <c r="A104" s="1">
        <v>30</v>
      </c>
      <c r="B104" s="1">
        <v>29</v>
      </c>
      <c r="C104" s="1">
        <f>IF(2234870&gt;0,100*1080496/2234870,"")</f>
        <v>48.34715218334847</v>
      </c>
      <c r="D104" s="1">
        <f>IF(1674375&gt;0,100*251018/1674375,"")</f>
        <v>14.991743187756626</v>
      </c>
      <c r="E104" s="1">
        <f>IF(COUNT(C104:D104)=2,D104-C104,"")</f>
        <v>-33.355408995591844</v>
      </c>
      <c r="H104" s="1">
        <v>30</v>
      </c>
      <c r="I104" s="1">
        <v>29</v>
      </c>
      <c r="J104" s="1">
        <f>IF(1911633&gt;0,100*586958/1911633,"")</f>
        <v>30.704533767726335</v>
      </c>
      <c r="K104" s="1">
        <f>IF(1367855&gt;0,100*52730/1367855,"")</f>
        <v>3.8549407649202583</v>
      </c>
      <c r="L104" s="1">
        <f>IF(COUNT(J104:K104)=2,K104-J104,"")</f>
        <v>-26.849593002806078</v>
      </c>
      <c r="O104" s="1">
        <v>30</v>
      </c>
      <c r="P104" s="1">
        <v>29</v>
      </c>
      <c r="Q104" s="1">
        <f>IF(1054742&gt;0,100*14563/1054742,"")</f>
        <v>1.3807168008859039</v>
      </c>
      <c r="R104" s="1">
        <f>IF(1712628&gt;0,100*50143/1712628,"")</f>
        <v>2.9278395541822277</v>
      </c>
      <c r="S104" s="1">
        <f>IF(COUNT(Q104:R104)=2,R104-Q104,"")</f>
        <v>1.5471227532963239</v>
      </c>
    </row>
    <row r="105" spans="1:19">
      <c r="A105" s="1">
        <v>31</v>
      </c>
      <c r="B105" s="1">
        <v>30</v>
      </c>
      <c r="C105" s="1">
        <f>IF(1611966&gt;0,100*408242/1611966,"")</f>
        <v>25.32572026953422</v>
      </c>
      <c r="D105" s="1">
        <f>IF(843328&gt;0,100*5082/843328,"")</f>
        <v>0.6026125066403581</v>
      </c>
      <c r="E105" s="1">
        <f>IF(COUNT(C105:D105)=2,D105-C105,"")</f>
        <v>-24.72310776289386</v>
      </c>
      <c r="H105" s="1">
        <v>31</v>
      </c>
      <c r="I105" s="1">
        <v>30</v>
      </c>
      <c r="J105" s="1">
        <f>IF(1813572&gt;0,100*419503/1813572,"")</f>
        <v>23.131312128771288</v>
      </c>
      <c r="K105" s="1">
        <f>IF(1644310&gt;0,100*251534/1644310,"")</f>
        <v>15.29723713898231</v>
      </c>
      <c r="L105" s="1">
        <f>IF(COUNT(J105:K105)=2,K105-J105,"")</f>
        <v>-7.834074989788979</v>
      </c>
      <c r="O105" s="1">
        <v>31</v>
      </c>
      <c r="P105" s="1">
        <v>30</v>
      </c>
      <c r="Q105" s="1">
        <f>IF(2344140&gt;0,100*1034103/2344140,"")</f>
        <v>44.11438736594231</v>
      </c>
      <c r="R105" s="1">
        <f>IF(1858608&gt;0,100*228687/1858608,"")</f>
        <v>12.304208310735776</v>
      </c>
      <c r="S105" s="1">
        <f>IF(COUNT(Q105:R105)=2,R105-Q105,"")</f>
        <v>-31.810179055206532</v>
      </c>
    </row>
    <row r="106" spans="1:19">
      <c r="A106" s="2" t="s">
        <v>6</v>
      </c>
      <c r="B106" s="1"/>
      <c r="C106" s="1">
        <f>IF(COUNT(C75:C105)&gt;0,AVERAGE(C75:C105),"")</f>
        <v>34.139885623640744</v>
      </c>
      <c r="D106" s="1">
        <f>IF(COUNT(D75:D105)&gt;0,AVERAGE(D75:D105),"")</f>
        <v>13.266745257146349</v>
      </c>
      <c r="E106" s="1">
        <f>IF(COUNT(E75:E105)&gt;0,AVERAGE(E75:E105),"")</f>
        <v>-20.873140366494393</v>
      </c>
      <c r="H106" s="2" t="s">
        <v>6</v>
      </c>
      <c r="I106" s="1"/>
      <c r="J106" s="1">
        <f>IF(COUNT(J75:J105)&gt;0,AVERAGE(J75:J105),"")</f>
        <v>36.56494216191195</v>
      </c>
      <c r="K106" s="1">
        <f>IF(COUNT(K75:K105)&gt;0,AVERAGE(K75:K105),"")</f>
        <v>11.39773435394246</v>
      </c>
      <c r="L106" s="1">
        <f>IF(COUNT(L75:L105)&gt;0,AVERAGE(L75:L105),"")</f>
        <v>-24.846421102848055</v>
      </c>
      <c r="O106" s="2" t="s">
        <v>6</v>
      </c>
      <c r="P106" s="1"/>
      <c r="Q106" s="1">
        <f>IF(COUNT(Q75:Q105)&gt;0,AVERAGE(Q75:Q105),"")</f>
        <v>34.28456187402019</v>
      </c>
      <c r="R106" s="1">
        <f>IF(COUNT(R75:R105)&gt;0,AVERAGE(R75:R105),"")</f>
        <v>11.615618848721391</v>
      </c>
      <c r="S106" s="1">
        <f>IF(COUNT(S75:S105)&gt;0,AVERAGE(S75:S105),"")</f>
        <v>-22.6689430252988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IF(1025565&gt;0,100*254231/1025565,"")</f>
        <v>24.789360011310837</v>
      </c>
      <c r="D3" s="1">
        <f>IF(873901&gt;0,100*89988/873901,"")</f>
        <v>10.297276236095392</v>
      </c>
      <c r="E3" s="1">
        <f>IF(COUNT(C3:D3)=2,D3-C3,"")</f>
        <v>-14.492083775215445</v>
      </c>
      <c r="H3" s="1">
        <v>1</v>
      </c>
      <c r="I3" s="1">
        <v>0</v>
      </c>
      <c r="J3" s="1">
        <f>IF(1360559&gt;0,100*350066/1360559,"")</f>
        <v>25.729571448206215</v>
      </c>
      <c r="K3" s="1">
        <f>IF(1220330&gt;0,100*244397/1220330,"")</f>
        <v>20.027123810772498</v>
      </c>
      <c r="L3" s="1">
        <f>IF(COUNT(J3:K3)=2,K3-J3,"")</f>
        <v>-5.702447637433718</v>
      </c>
      <c r="O3" s="1">
        <v>1</v>
      </c>
      <c r="P3" s="1">
        <v>0</v>
      </c>
      <c r="Q3" s="1">
        <f>IF(1611169&gt;0,100*528552/1611169,"")</f>
        <v>32.80549712662049</v>
      </c>
      <c r="R3" s="1">
        <f>IF(1071519&gt;0,100*241150/1071519,"")</f>
        <v>22.505433874714306</v>
      </c>
      <c r="S3" s="1">
        <f>IF(COUNT(Q3:R3)=2,R3-Q3,"")</f>
        <v>-10.300063251906181</v>
      </c>
    </row>
    <row r="4" spans="1:19">
      <c r="A4" s="1">
        <v>2</v>
      </c>
      <c r="B4" s="1">
        <v>1</v>
      </c>
      <c r="C4" s="1">
        <f>IF(1608611&gt;0,100*585743/1608611,"")</f>
        <v>36.41296746074719</v>
      </c>
      <c r="D4" s="1">
        <f>IF(1694204&gt;0,100*419730/1694204,"")</f>
        <v>24.774466357062078</v>
      </c>
      <c r="E4" s="1">
        <f>IF(COUNT(C4:D4)=2,D4-C4,"")</f>
        <v>-11.638501103685112</v>
      </c>
      <c r="H4" s="1">
        <v>2</v>
      </c>
      <c r="I4" s="1">
        <v>1</v>
      </c>
      <c r="J4" s="1">
        <f>IF(1080061&gt;0,100*195305/1080061,"")</f>
        <v>18.082774954377577</v>
      </c>
      <c r="K4" s="1">
        <f>IF(1285507&gt;0,100*284793/1285507,"")</f>
        <v>22.154138406091917</v>
      </c>
      <c r="L4" s="1">
        <f>IF(COUNT(J4:K4)=2,K4-J4,"")</f>
        <v>4.07136345171434</v>
      </c>
      <c r="O4" s="1">
        <v>2</v>
      </c>
      <c r="P4" s="1">
        <v>1</v>
      </c>
      <c r="Q4" s="1">
        <f>IF(1467133&gt;0,100*488009/1467133,"")</f>
        <v>33.26276486180871</v>
      </c>
      <c r="R4" s="1">
        <f>IF(1488634&gt;0,100*367543/1488634,"")</f>
        <v>24.689950652746074</v>
      </c>
      <c r="S4" s="1">
        <f>IF(COUNT(Q4:R4)=2,R4-Q4,"")</f>
        <v>-8.572814209062638</v>
      </c>
    </row>
    <row r="5" spans="1:19">
      <c r="A5" s="1">
        <v>3</v>
      </c>
      <c r="B5" s="1">
        <v>2</v>
      </c>
      <c r="C5" s="1">
        <f>IF(1615726&gt;0,100*621491/1615726,"")</f>
        <v>38.46512341820333</v>
      </c>
      <c r="D5" s="1">
        <f>IF(1487657&gt;0,100*469292/1487657,"")</f>
        <v>31.54571248614432</v>
      </c>
      <c r="E5" s="1">
        <f>IF(COUNT(C5:D5)=2,D5-C5,"")</f>
        <v>-6.919410932059012</v>
      </c>
      <c r="H5" s="1">
        <v>3</v>
      </c>
      <c r="I5" s="1">
        <v>2</v>
      </c>
      <c r="J5" s="1">
        <f>IF(1770666&gt;0,100*210556/1770666,"")</f>
        <v>11.891344838608749</v>
      </c>
      <c r="K5" s="1">
        <f>IF(1367383&gt;0,100*365777/1367383,"")</f>
        <v>26.750149738588238</v>
      </c>
      <c r="L5" s="1">
        <f>IF(COUNT(J5:K5)=2,K5-J5,"")</f>
        <v>14.85880489997949</v>
      </c>
      <c r="O5" s="1">
        <v>3</v>
      </c>
      <c r="P5" s="1">
        <v>2</v>
      </c>
      <c r="Q5" s="1">
        <f>IF(1770413&gt;0,100*588287/1770413,"")</f>
        <v>33.228800285583084</v>
      </c>
      <c r="R5" s="1">
        <f>IF(1513313&gt;0,100*367112/1513313,"")</f>
        <v>24.258828147250437</v>
      </c>
      <c r="S5" s="1">
        <f>IF(COUNT(Q5:R5)=2,R5-Q5,"")</f>
        <v>-8.969972138332647</v>
      </c>
    </row>
    <row r="6" spans="1:19">
      <c r="A6" s="1">
        <v>4</v>
      </c>
      <c r="B6" s="1">
        <v>3</v>
      </c>
      <c r="C6" s="1">
        <f>IF(1681360&gt;0,100*632235/1681360,"")</f>
        <v>37.60259551791407</v>
      </c>
      <c r="D6" s="1">
        <f>IF(1453548&gt;0,100*365620/1453548,"")</f>
        <v>25.153624097725015</v>
      </c>
      <c r="E6" s="1">
        <f>IF(COUNT(C6:D6)=2,D6-C6,"")</f>
        <v>-12.448971420189054</v>
      </c>
      <c r="H6" s="1">
        <v>4</v>
      </c>
      <c r="I6" s="1">
        <v>3</v>
      </c>
      <c r="J6" s="1">
        <f>IF(1249184&gt;0,100*192969/1249184,"")</f>
        <v>15.447604196019162</v>
      </c>
      <c r="K6" s="1">
        <f>IF(1157373&gt;0,100*178611/1157373,"")</f>
        <v>15.432449175849099</v>
      </c>
      <c r="L6" s="1">
        <f>IF(COUNT(J6:K6)=2,K6-J6,"")</f>
        <v>-0.015155020170062983</v>
      </c>
      <c r="O6" s="1">
        <v>4</v>
      </c>
      <c r="P6" s="1">
        <v>3</v>
      </c>
      <c r="Q6" s="1">
        <f>IF(851878&gt;0,100*27960/851878,"")</f>
        <v>3.2821601215197482</v>
      </c>
      <c r="R6" s="1">
        <f>IF(1255336&gt;0,100*120515/1255336,"")</f>
        <v>9.600218586896258</v>
      </c>
      <c r="S6" s="1">
        <f>IF(COUNT(Q6:R6)=2,R6-Q6,"")</f>
        <v>6.3180584653765095</v>
      </c>
    </row>
    <row r="7" spans="1:19">
      <c r="A7" s="1">
        <v>5</v>
      </c>
      <c r="B7" s="1">
        <v>4</v>
      </c>
      <c r="C7" s="1">
        <f>IF(1534810&gt;0,100*544323/1534810,"")</f>
        <v>35.46517158475642</v>
      </c>
      <c r="D7" s="1">
        <f>IF(1302039&gt;0,100*239344/1302039,"")</f>
        <v>18.382245078680437</v>
      </c>
      <c r="E7" s="1">
        <f>IF(COUNT(C7:D7)=2,D7-C7,"")</f>
        <v>-17.08292650607598</v>
      </c>
      <c r="H7" s="1">
        <v>5</v>
      </c>
      <c r="I7" s="1">
        <v>4</v>
      </c>
      <c r="J7" s="1">
        <f>IF(1559950&gt;0,100*448934/1559950,"")</f>
        <v>28.77874290842655</v>
      </c>
      <c r="K7" s="1">
        <f>IF(1512696&gt;0,100*410383/1512696,"")</f>
        <v>27.129244739194128</v>
      </c>
      <c r="L7" s="1">
        <f>IF(COUNT(J7:K7)=2,K7-J7,"")</f>
        <v>-1.649498169232423</v>
      </c>
      <c r="O7" s="1">
        <v>5</v>
      </c>
      <c r="P7" s="1">
        <v>4</v>
      </c>
      <c r="Q7" s="1">
        <f>IF(1545033&gt;0,100*593590/1545033,"")</f>
        <v>38.419244119704885</v>
      </c>
      <c r="R7" s="1">
        <f>IF(1654088&gt;0,100*500084/1654088,"")</f>
        <v>30.23321612876703</v>
      </c>
      <c r="S7" s="1">
        <f>IF(COUNT(Q7:R7)=2,R7-Q7,"")</f>
        <v>-8.186027990937855</v>
      </c>
    </row>
    <row r="8" spans="1:19">
      <c r="A8" s="1">
        <v>6</v>
      </c>
      <c r="B8" s="1">
        <v>5</v>
      </c>
      <c r="C8" s="1">
        <f>IF(1481795&gt;0,100*384291/1481795,"")</f>
        <v>25.93415418462068</v>
      </c>
      <c r="D8" s="1">
        <f>IF(1238236&gt;0,100*157910/1238236,"")</f>
        <v>12.752819333309644</v>
      </c>
      <c r="E8" s="1">
        <f>IF(COUNT(C8:D8)=2,D8-C8,"")</f>
        <v>-13.181334851311037</v>
      </c>
      <c r="H8" s="1">
        <v>6</v>
      </c>
      <c r="I8" s="1">
        <v>5</v>
      </c>
      <c r="J8" s="1">
        <f>IF(1363284&gt;0,100*338111/1363284,"")</f>
        <v>24.801215300700367</v>
      </c>
      <c r="K8" s="1">
        <f>IF(1570297&gt;0,100*429613/1570297,"")</f>
        <v>27.358709849155925</v>
      </c>
      <c r="L8" s="1">
        <f>IF(COUNT(J8:K8)=2,K8-J8,"")</f>
        <v>2.5574945484555585</v>
      </c>
      <c r="O8" s="1">
        <v>6</v>
      </c>
      <c r="P8" s="1">
        <v>5</v>
      </c>
      <c r="Q8" s="1">
        <f>IF(1496153&gt;0,100*372992/1496153,"")</f>
        <v>24.930070654538675</v>
      </c>
      <c r="R8" s="1">
        <f>IF(1503295&gt;0,100*362036/1503295,"")</f>
        <v>24.082831380401053</v>
      </c>
      <c r="S8" s="1">
        <f>IF(COUNT(Q8:R8)=2,R8-Q8,"")</f>
        <v>-0.8472392741376211</v>
      </c>
    </row>
    <row r="9" spans="1:19">
      <c r="A9" s="1">
        <v>7</v>
      </c>
      <c r="B9" s="1">
        <v>6</v>
      </c>
      <c r="C9" s="1">
        <f>IF(1693230&gt;0,100*659152/1693230,"")</f>
        <v>38.92867478133508</v>
      </c>
      <c r="D9" s="1">
        <f>IF(1470772&gt;0,100*419634/1470772,"")</f>
        <v>28.53154669792463</v>
      </c>
      <c r="E9" s="1">
        <f>IF(COUNT(C9:D9)=2,D9-C9,"")</f>
        <v>-10.397128083410454</v>
      </c>
      <c r="H9" s="1">
        <v>7</v>
      </c>
      <c r="I9" s="1">
        <v>6</v>
      </c>
      <c r="J9" s="1">
        <f>IF(681918&gt;0,100*6217/681918,"")</f>
        <v>0.9116931947829504</v>
      </c>
      <c r="K9" s="1">
        <f>IF(680918&gt;0,100*6092/680918,"")</f>
        <v>0.8946745423090593</v>
      </c>
      <c r="L9" s="1">
        <f>IF(COUNT(J9:K9)=2,K9-J9,"")</f>
        <v>-0.017018652473891116</v>
      </c>
      <c r="O9" s="1">
        <v>7</v>
      </c>
      <c r="P9" s="1">
        <v>6</v>
      </c>
      <c r="Q9" s="1">
        <f>IF(1286739&gt;0,100*333741/1286739,"")</f>
        <v>25.93696157495809</v>
      </c>
      <c r="R9" s="1">
        <f>IF(1216235&gt;0,100*75231/1216235,"")</f>
        <v>6.185564467393226</v>
      </c>
      <c r="S9" s="1">
        <f>IF(COUNT(Q9:R9)=2,R9-Q9,"")</f>
        <v>-19.751397107564863</v>
      </c>
    </row>
    <row r="10" spans="1:19">
      <c r="A10" s="1">
        <v>8</v>
      </c>
      <c r="B10" s="1">
        <v>7</v>
      </c>
      <c r="C10" s="1">
        <f>IF(1832737&gt;0,100*772049/1832737,"")</f>
        <v>42.12546590154506</v>
      </c>
      <c r="D10" s="1">
        <f>IF(1548472&gt;0,100*526713/1548472,"")</f>
        <v>34.01501609328422</v>
      </c>
      <c r="E10" s="1">
        <f>IF(COUNT(C10:D10)=2,D10-C10,"")</f>
        <v>-8.110449808260846</v>
      </c>
      <c r="H10" s="1">
        <v>8</v>
      </c>
      <c r="I10" s="1">
        <v>7</v>
      </c>
      <c r="J10" s="1">
        <f>IF(655547&gt;0,100*1454/655547,"")</f>
        <v>0.2217995048409954</v>
      </c>
      <c r="K10" s="1">
        <f>IF(655547&gt;0,100*1454/655547,"")</f>
        <v>0.2217995048409954</v>
      </c>
      <c r="L10" s="1">
        <f>IF(COUNT(J10:K10)=2,K10-J10,"")</f>
        <v>0.0</v>
      </c>
      <c r="O10" s="1">
        <v>8</v>
      </c>
      <c r="P10" s="1">
        <v>7</v>
      </c>
      <c r="Q10" s="1">
        <f>IF(589319&gt;0,100*4560/589319,"")</f>
        <v>0.773774475284184</v>
      </c>
      <c r="R10" s="1">
        <f>IF(589319&gt;0,100*4560/589319,"")</f>
        <v>0.773774475284184</v>
      </c>
      <c r="S10" s="1">
        <f>IF(COUNT(Q10:R10)=2,R10-Q10,"")</f>
        <v>0.0</v>
      </c>
    </row>
    <row r="11" spans="1:19">
      <c r="A11" s="1">
        <v>9</v>
      </c>
      <c r="B11" s="1">
        <v>8</v>
      </c>
      <c r="C11" s="1">
        <f>IF(1595971&gt;0,100*597472/1595971,"")</f>
        <v>37.43626920539283</v>
      </c>
      <c r="D11" s="1">
        <f>IF(1322144&gt;0,100*445779/1322144,"")</f>
        <v>33.71637280054215</v>
      </c>
      <c r="E11" s="1">
        <f>IF(COUNT(C11:D11)=2,D11-C11,"")</f>
        <v>-3.7198964048506795</v>
      </c>
      <c r="H11" s="1">
        <v>9</v>
      </c>
      <c r="I11" s="1">
        <v>8</v>
      </c>
      <c r="J11" s="1">
        <f>IF(1710121&gt;0,100*526664/1710121,"")</f>
        <v>30.79688513268944</v>
      </c>
      <c r="K11" s="1">
        <f>IF(1720887&gt;0,100*519086/1720887,"")</f>
        <v>30.16386317056262</v>
      </c>
      <c r="L11" s="1">
        <f>IF(COUNT(J11:K11)=2,K11-J11,"")</f>
        <v>-0.6330219621268185</v>
      </c>
      <c r="O11" s="1">
        <v>9</v>
      </c>
      <c r="P11" s="1">
        <v>8</v>
      </c>
      <c r="Q11" s="1">
        <f>IF(1425170&gt;0,100*455531/1425170,"")</f>
        <v>31.96327455671955</v>
      </c>
      <c r="R11" s="1">
        <f>IF(865088&gt;0,100*223339/865088,"")</f>
        <v>25.81691111193312</v>
      </c>
      <c r="S11" s="1">
        <f>IF(COUNT(Q11:R11)=2,R11-Q11,"")</f>
        <v>-6.146363444786431</v>
      </c>
    </row>
    <row r="12" spans="1:19">
      <c r="A12" s="1">
        <v>10</v>
      </c>
      <c r="B12" s="1">
        <v>9</v>
      </c>
      <c r="C12" s="1">
        <f>IF(1793318&gt;0,100*560859/1793318,"")</f>
        <v>31.27493283399821</v>
      </c>
      <c r="D12" s="1">
        <f>IF(746324&gt;0,100*14155/746324,"")</f>
        <v>1.896629345967703</v>
      </c>
      <c r="E12" s="1">
        <f>IF(COUNT(C12:D12)=2,D12-C12,"")</f>
        <v>-29.378303488030507</v>
      </c>
      <c r="H12" s="1">
        <v>10</v>
      </c>
      <c r="I12" s="1">
        <v>9</v>
      </c>
      <c r="J12" s="1">
        <f>IF(1173418&gt;0,100*250711/1173418,"")</f>
        <v>21.365873030752894</v>
      </c>
      <c r="K12" s="1">
        <f>IF(977246&gt;0,100*87219/977246,"")</f>
        <v>8.924978971517918</v>
      </c>
      <c r="L12" s="1">
        <f>IF(COUNT(J12:K12)=2,K12-J12,"")</f>
        <v>-12.440894059234976</v>
      </c>
      <c r="O12" s="1">
        <v>10</v>
      </c>
      <c r="P12" s="1">
        <v>9</v>
      </c>
      <c r="Q12" s="1">
        <f>IF(1151234&gt;0,100*222783/1151234,"")</f>
        <v>19.351669599751222</v>
      </c>
      <c r="R12" s="1">
        <f>IF(1365225&gt;0,100*350016/1365225,"")</f>
        <v>25.637971762896225</v>
      </c>
      <c r="S12" s="1">
        <f>IF(COUNT(Q12:R12)=2,R12-Q12,"")</f>
        <v>6.2863021631450025</v>
      </c>
    </row>
    <row r="13" spans="1:19">
      <c r="A13" s="1">
        <v>11</v>
      </c>
      <c r="B13" s="1">
        <v>10</v>
      </c>
      <c r="C13" s="1">
        <f>IF(1514166&gt;0,100*450931/1514166,"")</f>
        <v>29.78081663437166</v>
      </c>
      <c r="D13" s="1">
        <f>IF(1669374&gt;0,100*540874/1669374,"")</f>
        <v>32.399809749043655</v>
      </c>
      <c r="E13" s="1">
        <f>IF(COUNT(C13:D13)=2,D13-C13,"")</f>
        <v>2.6189931146719942</v>
      </c>
      <c r="H13" s="1">
        <v>11</v>
      </c>
      <c r="I13" s="1">
        <v>10</v>
      </c>
      <c r="J13" s="1">
        <f>IF(1146506&gt;0,100*57993/1146506,"")</f>
        <v>5.058237811228201</v>
      </c>
      <c r="K13" s="1">
        <f>IF(1543169&gt;0,100*268557/1543169,"")</f>
        <v>17.402954569460636</v>
      </c>
      <c r="L13" s="1">
        <f>IF(COUNT(J13:K13)=2,K13-J13,"")</f>
        <v>12.344716758232435</v>
      </c>
      <c r="O13" s="1">
        <v>11</v>
      </c>
      <c r="P13" s="1">
        <v>10</v>
      </c>
      <c r="Q13" s="1">
        <f>IF(1057778&gt;0,100*7899/1057778,"")</f>
        <v>0.7467540447995704</v>
      </c>
      <c r="R13" s="1">
        <f>IF(1060018&gt;0,100*8853/1060018,"")</f>
        <v>0.8351744970368428</v>
      </c>
      <c r="S13" s="1">
        <f>IF(COUNT(Q13:R13)=2,R13-Q13,"")</f>
        <v>0.08842045223727235</v>
      </c>
    </row>
    <row r="14" spans="1:19">
      <c r="A14" s="1">
        <v>12</v>
      </c>
      <c r="B14" s="1">
        <v>11</v>
      </c>
      <c r="C14" s="1">
        <f>IF(1480420&gt;0,100*530595/1480420,"")</f>
        <v>35.84084246362519</v>
      </c>
      <c r="D14" s="1">
        <f>IF(1407467&gt;0,100*480516/1407467,"")</f>
        <v>34.140480735960416</v>
      </c>
      <c r="E14" s="1">
        <f>IF(COUNT(C14:D14)=2,D14-C14,"")</f>
        <v>-1.7003617276647702</v>
      </c>
      <c r="H14" s="1">
        <v>12</v>
      </c>
      <c r="I14" s="1">
        <v>11</v>
      </c>
      <c r="J14" s="1">
        <f>IF(979595&gt;0,100*35929/979595,"")</f>
        <v>3.6677402395888095</v>
      </c>
      <c r="K14" s="1">
        <f>IF(973512&gt;0,100*18120/973512,"")</f>
        <v>1.861302171930084</v>
      </c>
      <c r="L14" s="1">
        <f>IF(COUNT(J14:K14)=2,K14-J14,"")</f>
        <v>-1.8064380676587255</v>
      </c>
      <c r="O14" s="1">
        <v>12</v>
      </c>
      <c r="P14" s="1">
        <v>11</v>
      </c>
      <c r="Q14" s="1">
        <f>IF(1932101&gt;0,100*714622/1932101,"")</f>
        <v>36.98678278205953</v>
      </c>
      <c r="R14" s="1">
        <f>IF(1884384&gt;0,100*488717/1884384,"")</f>
        <v>25.93510664493012</v>
      </c>
      <c r="S14" s="1">
        <f>IF(COUNT(Q14:R14)=2,R14-Q14,"")</f>
        <v>-11.051676137129409</v>
      </c>
    </row>
    <row r="15" spans="1:19">
      <c r="A15" s="1">
        <v>13</v>
      </c>
      <c r="B15" s="1">
        <v>12</v>
      </c>
      <c r="C15" s="1">
        <f>IF(1625411&gt;0,100*523021/1625411,"")</f>
        <v>32.177769191915154</v>
      </c>
      <c r="D15" s="1">
        <f>IF(1266380&gt;0,100*168430/1266380,"")</f>
        <v>13.300115289249673</v>
      </c>
      <c r="E15" s="1">
        <f>IF(COUNT(C15:D15)=2,D15-C15,"")</f>
        <v>-18.87765390266548</v>
      </c>
      <c r="H15" s="1">
        <v>13</v>
      </c>
      <c r="I15" s="1">
        <v>12</v>
      </c>
      <c r="J15" s="1">
        <f>IF(1997433&gt;0,100*770522/1997433,"")</f>
        <v>38.575611797742404</v>
      </c>
      <c r="K15" s="1">
        <f>IF(1646216&gt;0,100*442506/1646216,"")</f>
        <v>26.880190691865465</v>
      </c>
      <c r="L15" s="1">
        <f>IF(COUNT(J15:K15)=2,K15-J15,"")</f>
        <v>-11.695421105876939</v>
      </c>
      <c r="O15" s="1">
        <v>13</v>
      </c>
      <c r="P15" s="1">
        <v>12</v>
      </c>
      <c r="Q15" s="1">
        <f>IF(931018&gt;0,100*79093/931018,"")</f>
        <v>8.495324472781407</v>
      </c>
      <c r="R15" s="1">
        <f>IF(890818&gt;0,100*56577/890818,"")</f>
        <v>6.351128962369418</v>
      </c>
      <c r="S15" s="1">
        <f>IF(COUNT(Q15:R15)=2,R15-Q15,"")</f>
        <v>-2.144195510411989</v>
      </c>
    </row>
    <row r="16" spans="1:19">
      <c r="A16" s="1">
        <v>14</v>
      </c>
      <c r="B16" s="1">
        <v>13</v>
      </c>
      <c r="C16" s="1">
        <f>IF(929730&gt;0,100*189375/929730,"")</f>
        <v>20.368816753250943</v>
      </c>
      <c r="D16" s="1">
        <f>IF(736671&gt;0,100*67964/736671,"")</f>
        <v>9.225828083364215</v>
      </c>
      <c r="E16" s="1">
        <f>IF(COUNT(C16:D16)=2,D16-C16,"")</f>
        <v>-11.142988669886728</v>
      </c>
      <c r="H16" s="1">
        <v>14</v>
      </c>
      <c r="I16" s="1">
        <v>13</v>
      </c>
      <c r="J16" s="1">
        <f>IF(1084239&gt;0,100*226536/1084239,"")</f>
        <v>20.893548378171232</v>
      </c>
      <c r="K16" s="1">
        <f>IF(1139762&gt;0,100*254071/1139762,"")</f>
        <v>22.291583681505436</v>
      </c>
      <c r="L16" s="1">
        <f>IF(COUNT(J16:K16)=2,K16-J16,"")</f>
        <v>1.3980353033342041</v>
      </c>
      <c r="O16" s="1">
        <v>14</v>
      </c>
      <c r="P16" s="1">
        <v>13</v>
      </c>
      <c r="Q16" s="1">
        <f>IF(670550&gt;0,100*11588/670550,"")</f>
        <v>1.7281336216538663</v>
      </c>
      <c r="R16" s="1">
        <f>IF(651919&gt;0,100*10634/651919,"")</f>
        <v>1.63118424221414</v>
      </c>
      <c r="S16" s="1">
        <f>IF(COUNT(Q16:R16)=2,R16-Q16,"")</f>
        <v>-0.09694937943972626</v>
      </c>
    </row>
    <row r="17" spans="1:19">
      <c r="A17" s="1">
        <v>15</v>
      </c>
      <c r="B17" s="1">
        <v>14</v>
      </c>
      <c r="C17" s="1">
        <f>IF(1540895&gt;0,100*542667/1540895,"")</f>
        <v>35.217649482930376</v>
      </c>
      <c r="D17" s="1">
        <f>IF(1304917&gt;0,100*368464/1304917,"")</f>
        <v>28.236585162121422</v>
      </c>
      <c r="E17" s="1">
        <f>IF(COUNT(C17:D17)=2,D17-C17,"")</f>
        <v>-6.9810643208089544</v>
      </c>
      <c r="H17" s="1">
        <v>15</v>
      </c>
      <c r="I17" s="1">
        <v>14</v>
      </c>
      <c r="J17" s="1">
        <f>IF(1976548&gt;0,100*795333/1976548,"")</f>
        <v>40.238486492612374</v>
      </c>
      <c r="K17" s="1">
        <f>IF(1658533&gt;0,100*468536/1658533,"")</f>
        <v>28.250025775791016</v>
      </c>
      <c r="L17" s="1">
        <f>IF(COUNT(J17:K17)=2,K17-J17,"")</f>
        <v>-11.988460716821358</v>
      </c>
      <c r="O17" s="1">
        <v>15</v>
      </c>
      <c r="P17" s="1">
        <v>14</v>
      </c>
      <c r="Q17" s="1">
        <f>IF(1789842&gt;0,100*586809/1789842,"")</f>
        <v>32.78551961569792</v>
      </c>
      <c r="R17" s="1">
        <f>IF(1581799&gt;0,100*348460/1581799,"")</f>
        <v>22.029347597261093</v>
      </c>
      <c r="S17" s="1">
        <f>IF(COUNT(Q17:R17)=2,R17-Q17,"")</f>
        <v>-10.756172018436828</v>
      </c>
    </row>
    <row r="18" spans="1:19">
      <c r="A18" s="1">
        <v>16</v>
      </c>
      <c r="B18" s="1">
        <v>15</v>
      </c>
      <c r="C18" s="1">
        <f>IF(1507412&gt;0,100*534395/1507412,"")</f>
        <v>35.45115734782528</v>
      </c>
      <c r="D18" s="1">
        <f>IF(1562871&gt;0,100*520790/1562871,"")</f>
        <v>33.32264787048963</v>
      </c>
      <c r="E18" s="1">
        <f>IF(COUNT(C18:D18)=2,D18-C18,"")</f>
        <v>-2.1285094773356477</v>
      </c>
      <c r="H18" s="1">
        <v>16</v>
      </c>
      <c r="I18" s="1">
        <v>15</v>
      </c>
      <c r="J18" s="1">
        <f>IF(1507965&gt;0,100*427666/1507965,"")</f>
        <v>28.36047255738694</v>
      </c>
      <c r="K18" s="1">
        <f>IF(1119072&gt;0,100*196829/1119072,"")</f>
        <v>17.588591261330816</v>
      </c>
      <c r="L18" s="1">
        <f>IF(COUNT(J18:K18)=2,K18-J18,"")</f>
        <v>-10.771881296056126</v>
      </c>
      <c r="O18" s="1">
        <v>16</v>
      </c>
      <c r="P18" s="1">
        <v>15</v>
      </c>
      <c r="Q18" s="1">
        <f>IF(1644242&gt;0,100*542962/1644242,"")</f>
        <v>33.02202473845091</v>
      </c>
      <c r="R18" s="1">
        <f>IF(1153089&gt;0,100*226148/1153089,"")</f>
        <v>19.612362965911565</v>
      </c>
      <c r="S18" s="1">
        <f>IF(COUNT(Q18:R18)=2,R18-Q18,"")</f>
        <v>-13.409661772539344</v>
      </c>
    </row>
    <row r="19" spans="1:19">
      <c r="A19" s="1">
        <v>17</v>
      </c>
      <c r="B19" s="1">
        <v>16</v>
      </c>
      <c r="C19" s="1">
        <f>IF(642367&gt;0,100*51947/642367,"")</f>
        <v>8.08681018794552</v>
      </c>
      <c r="D19" s="1">
        <f>IF(630050&gt;0,100*18090/630050,"")</f>
        <v>2.8712006983572733</v>
      </c>
      <c r="E19" s="1">
        <f>IF(COUNT(C19:D19)=2,D19-C19,"")</f>
        <v>-5.215609489588247</v>
      </c>
      <c r="H19" s="1">
        <v>17</v>
      </c>
      <c r="I19" s="1">
        <v>16</v>
      </c>
      <c r="J19" s="1">
        <f>IF(1858121&gt;0,100*695653/1858121,"")</f>
        <v>37.4385198811057</v>
      </c>
      <c r="K19" s="1">
        <f>IF(1606334&gt;0,100*440318/1606334,"")</f>
        <v>27.41136027750144</v>
      </c>
      <c r="L19" s="1">
        <f>IF(COUNT(J19:K19)=2,K19-J19,"")</f>
        <v>-10.027159603604257</v>
      </c>
      <c r="O19" s="1">
        <v>17</v>
      </c>
      <c r="P19" s="1">
        <v>16</v>
      </c>
      <c r="Q19" s="1">
        <f>IF(1134999&gt;0,100*244255/1134999,"")</f>
        <v>21.520283277782625</v>
      </c>
      <c r="R19" s="1">
        <f>IF(1457173&gt;0,100*368156/1457173,"")</f>
        <v>25.26508520264924</v>
      </c>
      <c r="S19" s="1">
        <f>IF(COUNT(Q19:R19)=2,R19-Q19,"")</f>
        <v>3.7448019248666142</v>
      </c>
    </row>
    <row r="20" spans="1:19">
      <c r="A20" s="1">
        <v>18</v>
      </c>
      <c r="B20" s="1">
        <v>17</v>
      </c>
      <c r="C20" s="1">
        <f>IF(594640&gt;0,100*3581/594640,"")</f>
        <v>0.6022131037266245</v>
      </c>
      <c r="D20" s="1">
        <f>IF(594640&gt;0,100*3581/594640,"")</f>
        <v>0.6022131037266245</v>
      </c>
      <c r="E20" s="1">
        <f>IF(COUNT(C20:D20)=2,D20-C20,"")</f>
        <v>0.0</v>
      </c>
      <c r="H20" s="1">
        <v>18</v>
      </c>
      <c r="I20" s="1">
        <v>17</v>
      </c>
      <c r="J20" s="1">
        <f>IF(1593567&gt;0,100*381148/1593567,"")</f>
        <v>23.917914966863645</v>
      </c>
      <c r="K20" s="1">
        <f>IF(1237841&gt;0,100*184138/1237841,"")</f>
        <v>14.875739291233689</v>
      </c>
      <c r="L20" s="1">
        <f>IF(COUNT(J20:K20)=2,K20-J20,"")</f>
        <v>-9.042175675629956</v>
      </c>
      <c r="O20" s="1">
        <v>18</v>
      </c>
      <c r="P20" s="1">
        <v>17</v>
      </c>
      <c r="Q20" s="1">
        <f>IF(1362366&gt;0,100*418939/1362366,"")</f>
        <v>30.750840816638114</v>
      </c>
      <c r="R20" s="1">
        <f>IF(1105156&gt;0,100*139877/1105156,"")</f>
        <v>12.65676519875927</v>
      </c>
      <c r="S20" s="1">
        <f>IF(COUNT(Q20:R20)=2,R20-Q20,"")</f>
        <v>-18.094075617878843</v>
      </c>
    </row>
    <row r="21" spans="1:19">
      <c r="A21" s="1">
        <v>19</v>
      </c>
      <c r="B21" s="1">
        <v>18</v>
      </c>
      <c r="C21" s="1">
        <f>IF(1610751&gt;0,100*584870/1610751,"")</f>
        <v>36.31039186069107</v>
      </c>
      <c r="D21" s="1">
        <f>IF(1676019&gt;0,100*561210/1676019,"")</f>
        <v>33.48470393235399</v>
      </c>
      <c r="E21" s="1">
        <f>IF(COUNT(C21:D21)=2,D21-C21,"")</f>
        <v>-2.825687928337082</v>
      </c>
      <c r="H21" s="1">
        <v>19</v>
      </c>
      <c r="I21" s="1">
        <v>18</v>
      </c>
      <c r="J21" s="1">
        <f>IF(959902&gt;0,100*142934/959902,"")</f>
        <v>14.89047840300364</v>
      </c>
      <c r="K21" s="1">
        <f>IF(996630&gt;0,100*177991/996630,"")</f>
        <v>17.859285793122822</v>
      </c>
      <c r="L21" s="1">
        <f>IF(COUNT(J21:K21)=2,K21-J21,"")</f>
        <v>2.968807390119183</v>
      </c>
      <c r="O21" s="1">
        <v>19</v>
      </c>
      <c r="P21" s="1">
        <v>18</v>
      </c>
      <c r="Q21" s="1">
        <f>IF(1024717&gt;0,100*193814/1024717,"")</f>
        <v>18.91390500987102</v>
      </c>
      <c r="R21" s="1">
        <f>IF(1141398&gt;0,100*143901/1141398,"")</f>
        <v>12.607434041412374</v>
      </c>
      <c r="S21" s="1">
        <f>IF(COUNT(Q21:R21)=2,R21-Q21,"")</f>
        <v>-6.306470968458646</v>
      </c>
    </row>
    <row r="22" spans="1:19">
      <c r="A22" s="1">
        <v>20</v>
      </c>
      <c r="B22" s="1">
        <v>19</v>
      </c>
      <c r="C22" s="1">
        <f>IF(1151574&gt;0,100*385861/1151574,"")</f>
        <v>33.50726918113816</v>
      </c>
      <c r="D22" s="1">
        <f>IF(1371949&gt;0,100*277390/1371949,"")</f>
        <v>20.218681598222673</v>
      </c>
      <c r="E22" s="1">
        <f>IF(COUNT(C22:D22)=2,D22-C22,"")</f>
        <v>-13.28858758291549</v>
      </c>
      <c r="H22" s="1">
        <v>20</v>
      </c>
      <c r="I22" s="1">
        <v>19</v>
      </c>
      <c r="J22" s="1">
        <f>IF(795490&gt;0,100*93263/795490,"")</f>
        <v>11.723968874530163</v>
      </c>
      <c r="K22" s="1">
        <f>IF(1032941&gt;0,100*220663/1032941,"")</f>
        <v>21.36259476581915</v>
      </c>
      <c r="L22" s="1">
        <f>IF(COUNT(J22:K22)=2,K22-J22,"")</f>
        <v>9.638625891288987</v>
      </c>
      <c r="O22" s="1">
        <v>20</v>
      </c>
      <c r="P22" s="1">
        <v>19</v>
      </c>
      <c r="Q22" s="1">
        <f>IF(1318480&gt;0,100*350952/1318480,"")</f>
        <v>26.617923669680238</v>
      </c>
      <c r="R22" s="1">
        <f>IF(1196991&gt;0,100*293037/1196991,"")</f>
        <v>24.48113644964749</v>
      </c>
      <c r="S22" s="1">
        <f>IF(COUNT(Q22:R22)=2,R22-Q22,"")</f>
        <v>-2.1367872200327476</v>
      </c>
    </row>
    <row r="23" spans="1:19">
      <c r="A23" s="1">
        <v>21</v>
      </c>
      <c r="B23" s="1">
        <v>20</v>
      </c>
      <c r="C23" s="1">
        <f>IF(1068079&gt;0,100*233010/1068079,"")</f>
        <v>21.815802014644984</v>
      </c>
      <c r="D23" s="1">
        <f>IF(1176912&gt;0,100*252004/1176912,"")</f>
        <v>21.412306102750247</v>
      </c>
      <c r="E23" s="1">
        <f>IF(COUNT(C23:D23)=2,D23-C23,"")</f>
        <v>-0.403495911894737</v>
      </c>
      <c r="H23" s="1">
        <v>21</v>
      </c>
      <c r="I23" s="1">
        <v>20</v>
      </c>
      <c r="J23" s="1">
        <f>IF(2064525&gt;0,100*814911/2064525,"")</f>
        <v>39.47208195589785</v>
      </c>
      <c r="K23" s="1">
        <f>IF(1160791&gt;0,100*298864/1160791,"")</f>
        <v>25.74658142594145</v>
      </c>
      <c r="L23" s="1">
        <f>IF(COUNT(J23:K23)=2,K23-J23,"")</f>
        <v>-13.725500529956399</v>
      </c>
      <c r="O23" s="1">
        <v>21</v>
      </c>
      <c r="P23" s="1">
        <v>20</v>
      </c>
      <c r="Q23" s="1">
        <f>IF(988289&gt;0,100*243580/988289,"")</f>
        <v>24.646636763133053</v>
      </c>
      <c r="R23" s="1">
        <f>IF(1405723&gt;0,100*403281/1405723,"")</f>
        <v>28.68851117894493</v>
      </c>
      <c r="S23" s="1">
        <f>IF(COUNT(Q23:R23)=2,R23-Q23,"")</f>
        <v>4.041874415811876</v>
      </c>
    </row>
    <row r="24" spans="1:19">
      <c r="A24" s="1">
        <v>22</v>
      </c>
      <c r="B24" s="1">
        <v>21</v>
      </c>
      <c r="C24" s="1">
        <f>IF(1338290&gt;0,100*468761/1338290,"")</f>
        <v>35.0268626381427</v>
      </c>
      <c r="D24" s="1">
        <f>IF(1392493&gt;0,100*439214/1392493,"")</f>
        <v>31.541558916274624</v>
      </c>
      <c r="E24" s="1">
        <f>IF(COUNT(C24:D24)=2,D24-C24,"")</f>
        <v>-3.4853037218680782</v>
      </c>
      <c r="H24" s="1">
        <v>22</v>
      </c>
      <c r="I24" s="1">
        <v>21</v>
      </c>
      <c r="J24" s="1">
        <f>IF(1478082&gt;0,100*446963/1478082,"")</f>
        <v>30.23939131929081</v>
      </c>
      <c r="K24" s="1">
        <f>IF(1582855&gt;0,100*450851/1582855,"")</f>
        <v>28.483404986559098</v>
      </c>
      <c r="L24" s="1">
        <f>IF(COUNT(J24:K24)=2,K24-J24,"")</f>
        <v>-1.7559863327317125</v>
      </c>
      <c r="O24" s="1">
        <v>22</v>
      </c>
      <c r="P24" s="1">
        <v>21</v>
      </c>
      <c r="Q24" s="1">
        <f>IF(1372655&gt;0,100*332190/1372655,"")</f>
        <v>24.20054565786742</v>
      </c>
      <c r="R24" s="1">
        <f>IF(1213737&gt;0,100*334495/1213737,"")</f>
        <v>27.559100530015975</v>
      </c>
      <c r="S24" s="1">
        <f>IF(COUNT(Q24:R24)=2,R24-Q24,"")</f>
        <v>3.358554872148556</v>
      </c>
    </row>
    <row r="25" spans="1:19">
      <c r="A25" s="1">
        <v>23</v>
      </c>
      <c r="B25" s="1">
        <v>22</v>
      </c>
      <c r="C25" s="1">
        <f>IF(509320&gt;0,100*1248/509320,"")</f>
        <v>0.24503259247624284</v>
      </c>
      <c r="D25" s="1">
        <f>IF(509320&gt;0,100*1248/509320,"")</f>
        <v>0.24503259247624284</v>
      </c>
      <c r="E25" s="1">
        <f>IF(COUNT(C25:D25)=2,D25-C25,"")</f>
        <v>0.0</v>
      </c>
      <c r="H25" s="1">
        <v>23</v>
      </c>
      <c r="I25" s="1">
        <v>22</v>
      </c>
      <c r="J25" s="1">
        <f>IF(1340391&gt;0,100*238132/1340391,"")</f>
        <v>17.765860857018588</v>
      </c>
      <c r="K25" s="1">
        <f>IF(1243627&gt;0,100*206656/1243627,"")</f>
        <v>16.617201138283423</v>
      </c>
      <c r="L25" s="1">
        <f>IF(COUNT(J25:K25)=2,K25-J25,"")</f>
        <v>-1.1486597187351641</v>
      </c>
      <c r="O25" s="1">
        <v>23</v>
      </c>
      <c r="P25" s="1">
        <v>22</v>
      </c>
      <c r="Q25" s="1">
        <f>IF(1673110&gt;0,100*548899/1673110,"")</f>
        <v>32.80710772154849</v>
      </c>
      <c r="R25" s="1">
        <f>IF(1335348&gt;0,100*325919/1335348,"")</f>
        <v>24.407045953564165</v>
      </c>
      <c r="S25" s="1">
        <f>IF(COUNT(Q25:R25)=2,R25-Q25,"")</f>
        <v>-8.400061767984326</v>
      </c>
    </row>
    <row r="26" spans="1:19">
      <c r="A26" s="1">
        <v>24</v>
      </c>
      <c r="B26" s="1">
        <v>23</v>
      </c>
      <c r="C26" s="1">
        <f>IF(914755&gt;0,100*175077/914755,"")</f>
        <v>19.139223070658264</v>
      </c>
      <c r="D26" s="1">
        <f>IF(1099158&gt;0,100*195327/1099158,"")</f>
        <v>17.770602588526856</v>
      </c>
      <c r="E26" s="1">
        <f>IF(COUNT(C26:D26)=2,D26-C26,"")</f>
        <v>-1.3686204821314085</v>
      </c>
      <c r="H26" s="1">
        <v>24</v>
      </c>
      <c r="I26" s="1">
        <v>23</v>
      </c>
      <c r="J26" s="1">
        <f>IF(1715105&gt;0,100*545055/1715105,"")</f>
        <v>31.77968695794135</v>
      </c>
      <c r="K26" s="1">
        <f>IF(1016949&gt;0,100*58478/1016949,"")</f>
        <v>5.750337529217296</v>
      </c>
      <c r="L26" s="1">
        <f>IF(COUNT(J26:K26)=2,K26-J26,"")</f>
        <v>-26.029349428724053</v>
      </c>
      <c r="O26" s="1">
        <v>24</v>
      </c>
      <c r="P26" s="1">
        <v>23</v>
      </c>
      <c r="Q26" s="1">
        <f>IF(1476074&gt;0,100*377502/1476074,"")</f>
        <v>25.57473405804858</v>
      </c>
      <c r="R26" s="1">
        <f>IF(1354445&gt;0,100*252598/1354445,"")</f>
        <v>18.649557567859897</v>
      </c>
      <c r="S26" s="1">
        <f>IF(COUNT(Q26:R26)=2,R26-Q26,"")</f>
        <v>-6.925176490188683</v>
      </c>
    </row>
    <row r="27" spans="1:19">
      <c r="A27" s="1">
        <v>25</v>
      </c>
      <c r="B27" s="1">
        <v>24</v>
      </c>
      <c r="C27" s="1">
        <f>IF(1691255&gt;0,100*656381/1691255,"")</f>
        <v>38.81029176558236</v>
      </c>
      <c r="D27" s="1">
        <f>IF(1590913&gt;0,100*519854/1590913,"")</f>
        <v>32.67645685213459</v>
      </c>
      <c r="E27" s="1">
        <f>IF(COUNT(C27:D27)=2,D27-C27,"")</f>
        <v>-6.133834913447771</v>
      </c>
      <c r="H27" s="1">
        <v>25</v>
      </c>
      <c r="I27" s="1">
        <v>24</v>
      </c>
      <c r="J27" s="1">
        <f>IF(1222508&gt;0,100*246917/1222508,"")</f>
        <v>20.197577439166043</v>
      </c>
      <c r="K27" s="1">
        <f>IF(1398575&gt;0,100*239666/1398575,"")</f>
        <v>17.13644245035125</v>
      </c>
      <c r="L27" s="1">
        <f>IF(COUNT(J27:K27)=2,K27-J27,"")</f>
        <v>-3.0611349888147927</v>
      </c>
      <c r="O27" s="1">
        <v>25</v>
      </c>
      <c r="P27" s="1">
        <v>24</v>
      </c>
      <c r="Q27" s="1">
        <f>IF(1190475&gt;0,100*83215/1190475,"")</f>
        <v>6.99006699006699</v>
      </c>
      <c r="R27" s="1">
        <f>IF(1146386&gt;0,100*112157/1146386,"")</f>
        <v>9.783528410151554</v>
      </c>
      <c r="S27" s="1">
        <f>IF(COUNT(Q27:R27)=2,R27-Q27,"")</f>
        <v>2.793461420084564</v>
      </c>
    </row>
    <row r="28" spans="1:19">
      <c r="A28" s="1">
        <v>26</v>
      </c>
      <c r="B28" s="1">
        <v>25</v>
      </c>
      <c r="C28" s="1">
        <f>IF(1683042&gt;0,100*681416/1683042,"")</f>
        <v>40.48716550151452</v>
      </c>
      <c r="D28" s="1">
        <f>IF(1674677&gt;0,100*540750/1674677,"")</f>
        <v>32.289808721323574</v>
      </c>
      <c r="E28" s="1">
        <f>IF(COUNT(C28:D28)=2,D28-C28,"")</f>
        <v>-8.197356780190944</v>
      </c>
      <c r="H28" s="1">
        <v>26</v>
      </c>
      <c r="I28" s="1">
        <v>25</v>
      </c>
      <c r="J28" s="1">
        <f>IF(1827352&gt;0,100*581318/1827352,"")</f>
        <v>31.8120427810296</v>
      </c>
      <c r="K28" s="1">
        <f>IF(1443921&gt;0,100*380529/1443921,"")</f>
        <v>26.35386562007201</v>
      </c>
      <c r="L28" s="1">
        <f>IF(COUNT(J28:K28)=2,K28-J28,"")</f>
        <v>-5.4581771609575895</v>
      </c>
      <c r="O28" s="1">
        <v>26</v>
      </c>
      <c r="P28" s="1">
        <v>25</v>
      </c>
      <c r="Q28" s="1">
        <f>IF(1679034&gt;0,100*488863/1679034,"")</f>
        <v>29.11572963978097</v>
      </c>
      <c r="R28" s="1">
        <f>IF(1320661&gt;0,100*300033/1320661,"")</f>
        <v>22.718396318207322</v>
      </c>
      <c r="S28" s="1">
        <f>IF(COUNT(Q28:R28)=2,R28-Q28,"")</f>
        <v>-6.397333321573647</v>
      </c>
    </row>
    <row r="29" spans="1:19">
      <c r="A29" s="1">
        <v>27</v>
      </c>
      <c r="B29" s="1">
        <v>26</v>
      </c>
      <c r="C29" s="1">
        <f>IF(1557766&gt;0,100*464581/1557766,"")</f>
        <v>29.823542175140553</v>
      </c>
      <c r="D29" s="1">
        <f>IF(1163670&gt;0,100*297272/1163670,"")</f>
        <v>25.546074058796737</v>
      </c>
      <c r="E29" s="1">
        <f>IF(COUNT(C29:D29)=2,D29-C29,"")</f>
        <v>-4.277468116343815</v>
      </c>
      <c r="H29" s="1">
        <v>27</v>
      </c>
      <c r="I29" s="1">
        <v>26</v>
      </c>
      <c r="J29" s="1">
        <f>IF(1255658&gt;0,100*171678/1255658,"")</f>
        <v>13.672353459301815</v>
      </c>
      <c r="K29" s="1">
        <f>IF(1660055&gt;0,100*480466/1660055,"")</f>
        <v>28.9427759923617</v>
      </c>
      <c r="L29" s="1">
        <f>IF(COUNT(J29:K29)=2,K29-J29,"")</f>
        <v>15.270422533059884</v>
      </c>
      <c r="O29" s="1">
        <v>27</v>
      </c>
      <c r="P29" s="1">
        <v>26</v>
      </c>
      <c r="Q29" s="1">
        <f>IF(2118549&gt;0,100*871261/2118549,"")</f>
        <v>41.12536457735931</v>
      </c>
      <c r="R29" s="1">
        <f>IF(1129671&gt;0,100*128526/1129671,"")</f>
        <v>11.377294805301721</v>
      </c>
      <c r="S29" s="1">
        <f>IF(COUNT(Q29:R29)=2,R29-Q29,"")</f>
        <v>-29.74806977205759</v>
      </c>
    </row>
    <row r="30" spans="1:19">
      <c r="A30" s="1">
        <v>28</v>
      </c>
      <c r="B30" s="1">
        <v>27</v>
      </c>
      <c r="C30" s="1">
        <f>IF(506350&gt;0,100*449/506350,"")</f>
        <v>0.08867384220400909</v>
      </c>
      <c r="D30" s="1">
        <f>IF(506350&gt;0,100*449/506350,"")</f>
        <v>0.08867384220400909</v>
      </c>
      <c r="E30" s="1">
        <f>IF(COUNT(C30:D30)=2,D30-C30,"")</f>
        <v>0.0</v>
      </c>
      <c r="H30" s="1">
        <v>28</v>
      </c>
      <c r="I30" s="1">
        <v>27</v>
      </c>
      <c r="J30" s="1">
        <f>IF(1718872&gt;0,100*583484/1718872,"")</f>
        <v>33.94575046891217</v>
      </c>
      <c r="K30" s="1">
        <f>IF(1322231&gt;0,100*335046/1322231,"")</f>
        <v>25.339445225531698</v>
      </c>
      <c r="L30" s="1">
        <f>IF(COUNT(J30:K30)=2,K30-J30,"")</f>
        <v>-8.606305243380476</v>
      </c>
      <c r="O30" s="1">
        <v>28</v>
      </c>
      <c r="P30" s="1">
        <v>27</v>
      </c>
      <c r="Q30" s="1">
        <f>IF(1202604&gt;0,100*322949/1202604,"")</f>
        <v>26.8541431759748</v>
      </c>
      <c r="R30" s="1">
        <f>IF(1037719&gt;0,100*221268/1037719,"")</f>
        <v>21.32253529134573</v>
      </c>
      <c r="S30" s="1">
        <f>IF(COUNT(Q30:R30)=2,R30-Q30,"")</f>
        <v>-5.5316078846290715</v>
      </c>
    </row>
    <row r="31" spans="1:19">
      <c r="A31" s="1">
        <v>29</v>
      </c>
      <c r="B31" s="1">
        <v>28</v>
      </c>
      <c r="C31" s="1">
        <f>IF(1614535&gt;0,100*599059/1614535,"")</f>
        <v>37.104119762036746</v>
      </c>
      <c r="D31" s="1">
        <f>IF(1610239&gt;0,100*539320/1610239,"")</f>
        <v>33.49316467928053</v>
      </c>
      <c r="E31" s="1">
        <f>IF(COUNT(C31:D31)=2,D31-C31,"")</f>
        <v>-3.610955082756213</v>
      </c>
      <c r="H31" s="1">
        <v>29</v>
      </c>
      <c r="I31" s="1">
        <v>28</v>
      </c>
      <c r="J31" s="1">
        <f>IF(1707787&gt;0,100*644845/1707787,"")</f>
        <v>37.75909993459371</v>
      </c>
      <c r="K31" s="1">
        <f>IF(1552805&gt;0,100*460252/1552805,"")</f>
        <v>29.64003851095276</v>
      </c>
      <c r="L31" s="1">
        <f>IF(COUNT(J31:K31)=2,K31-J31,"")</f>
        <v>-8.119061423640954</v>
      </c>
      <c r="O31" s="1">
        <v>29</v>
      </c>
      <c r="P31" s="1">
        <v>28</v>
      </c>
      <c r="Q31" s="1">
        <f>IF(1781585&gt;0,100*685393/1781585,"")</f>
        <v>38.47096826702066</v>
      </c>
      <c r="R31" s="1">
        <f>IF(1570607&gt;0,100*413837/1570607,"")</f>
        <v>26.348857479942467</v>
      </c>
      <c r="S31" s="1">
        <f>IF(COUNT(Q31:R31)=2,R31-Q31,"")</f>
        <v>-12.122110787078192</v>
      </c>
    </row>
    <row r="32" spans="1:19">
      <c r="A32" s="1">
        <v>30</v>
      </c>
      <c r="B32" s="1">
        <v>29</v>
      </c>
      <c r="C32" s="1">
        <f>IF(1722125&gt;0,100*685666/1722125,"")</f>
        <v>39.81511214342745</v>
      </c>
      <c r="D32" s="1">
        <f>IF(1657601&gt;0,100*541050/1657601,"")</f>
        <v>32.6405449803662</v>
      </c>
      <c r="E32" s="1">
        <f>IF(COUNT(C32:D32)=2,D32-C32,"")</f>
        <v>-7.174567163061248</v>
      </c>
      <c r="H32" s="1">
        <v>30</v>
      </c>
      <c r="I32" s="1">
        <v>29</v>
      </c>
      <c r="J32" s="1">
        <f>IF(1183903&gt;0,100*336267/1183903,"")</f>
        <v>28.403256009994063</v>
      </c>
      <c r="K32" s="1">
        <f>IF(1209469&gt;0,100*281913/1209469,"")</f>
        <v>23.30882395497528</v>
      </c>
      <c r="L32" s="1">
        <f>IF(COUNT(J32:K32)=2,K32-J32,"")</f>
        <v>-5.094432055018782</v>
      </c>
      <c r="O32" s="1">
        <v>30</v>
      </c>
      <c r="P32" s="1">
        <v>29</v>
      </c>
      <c r="Q32" s="1">
        <f>IF(1267752&gt;0,100*304833/1267752,"")</f>
        <v>24.045160252162884</v>
      </c>
      <c r="R32" s="1">
        <f>IF(1423448&gt;0,100*386085/1423448,"")</f>
        <v>27.123224733183086</v>
      </c>
      <c r="S32" s="1">
        <f>IF(COUNT(Q32:R32)=2,R32-Q32,"")</f>
        <v>3.0780644810202027</v>
      </c>
    </row>
    <row r="33" spans="1:19">
      <c r="A33" s="1">
        <v>31</v>
      </c>
      <c r="B33" s="1">
        <v>30</v>
      </c>
      <c r="C33" s="1">
        <f>IF(758539&gt;0,100*11909/758539,"")</f>
        <v>1.569991786842865</v>
      </c>
      <c r="D33" s="1">
        <f>IF(990692&gt;0,100*29434/990692,"")</f>
        <v>2.971054575993346</v>
      </c>
      <c r="E33" s="1">
        <f>IF(COUNT(C33:D33)=2,D33-C33,"")</f>
        <v>1.401062789150481</v>
      </c>
      <c r="H33" s="1">
        <v>31</v>
      </c>
      <c r="I33" s="1">
        <v>30</v>
      </c>
      <c r="J33" s="1">
        <f>IF(1372764&gt;0,100*366154/1372764,"")</f>
        <v>26.67275656995667</v>
      </c>
      <c r="K33" s="1">
        <f>IF(1351623&gt;0,100*317165/1351623,"")</f>
        <v>23.465492966603854</v>
      </c>
      <c r="L33" s="1">
        <f>IF(COUNT(J33:K33)=2,K33-J33,"")</f>
        <v>-3.2072636033528177</v>
      </c>
      <c r="O33" s="1">
        <v>31</v>
      </c>
      <c r="P33" s="1">
        <v>30</v>
      </c>
      <c r="Q33" s="1">
        <f>IF(1698653&gt;0,100*588007/1698653,"")</f>
        <v>34.616075207826434</v>
      </c>
      <c r="R33" s="1">
        <f>IF(1535471&gt;0,100*396623/1535471,"")</f>
        <v>25.83070601789288</v>
      </c>
      <c r="S33" s="1">
        <f>IF(COUNT(Q33:R33)=2,R33-Q33,"")</f>
        <v>-8.785369189933554</v>
      </c>
    </row>
    <row r="34" spans="1:19">
      <c r="A34" s="2" t="s">
        <v>6</v>
      </c>
      <c r="B34" s="1"/>
      <c r="C34" s="1">
        <f>IF(COUNT(C3:C33)&gt;0,AVERAGE(C3:C33),"")</f>
        <v>28.37755704515853</v>
      </c>
      <c r="D34" s="1">
        <f>IF(COUNT(D3:D33)&gt;0,AVERAGE(D3:D33),"")</f>
        <v>21.275588795475876</v>
      </c>
      <c r="E34" s="1">
        <f>IF(COUNT(E3:E33)&gt;0,AVERAGE(E3:E33),"")</f>
        <v>-7.1019682496826535</v>
      </c>
      <c r="H34" s="2" t="s">
        <v>6</v>
      </c>
      <c r="I34" s="1"/>
      <c r="J34" s="1">
        <f>IF(COUNT(J3:J33)&gt;0,AVERAGE(J3:J33),"")</f>
        <v>23.048785214991636</v>
      </c>
      <c r="K34" s="1">
        <f>IF(COUNT(K3:K33)&gt;0,AVERAGE(K3:K33),"")</f>
        <v>20.181457096428797</v>
      </c>
      <c r="L34" s="1">
        <f>IF(COUNT(L3:L33)&gt;0,AVERAGE(L3:L33),"")</f>
        <v>-2.8673281185628356</v>
      </c>
      <c r="O34" s="2" t="s">
        <v>6</v>
      </c>
      <c r="P34" s="1"/>
      <c r="Q34" s="1">
        <f>IF(COUNT(Q3:Q33)&gt;0,AVERAGE(Q3:Q33),"")</f>
        <v>24.644136830215917</v>
      </c>
      <c r="R34" s="1">
        <f>IF(COUNT(R3:R33)&gt;0,AVERAGE(R3:R33),"")</f>
        <v>18.99994144118978</v>
      </c>
      <c r="S34" s="1">
        <f>IF(COUNT(S3:S33)&gt;0,AVERAGE(S3:S33),"")</f>
        <v>-5.6441953890261365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IF(1093423&gt;0,100*121600/1093423,"")</f>
        <v>11.121039158678755</v>
      </c>
      <c r="D39" s="1">
        <f>IF(1158360&gt;0,100*151746/1158360,"")</f>
        <v>13.100072516316171</v>
      </c>
      <c r="E39" s="1">
        <f>IF(COUNT(C39:D39)=2,D39-C39,"")</f>
        <v>1.979033357637416</v>
      </c>
      <c r="H39" s="1">
        <v>1</v>
      </c>
      <c r="I39" s="1">
        <v>0</v>
      </c>
      <c r="J39" s="1">
        <f>IF(2001661&gt;0,100*613984/2001661,"")</f>
        <v>30.673725470996338</v>
      </c>
      <c r="K39" s="1">
        <f>IF(1754301&gt;0,100*444785/1754301,"")</f>
        <v>25.353972892907205</v>
      </c>
      <c r="L39" s="1">
        <f>IF(COUNT(J39:K39)=2,K39-J39,"")</f>
        <v>-5.319752578089133</v>
      </c>
      <c r="O39" s="1">
        <v>1</v>
      </c>
      <c r="P39" s="1">
        <v>0</v>
      </c>
      <c r="Q39" s="1">
        <f>IF(1572820&gt;0,100*273004/1572820,"")</f>
        <v>17.35761244134739</v>
      </c>
      <c r="R39" s="1">
        <f>IF(1608012&gt;0,100*360764/1608012,"")</f>
        <v>22.435404710910117</v>
      </c>
      <c r="S39" s="1">
        <f>IF(COUNT(Q39:R39)=2,R39-Q39,"")</f>
        <v>5.077792269562728</v>
      </c>
    </row>
    <row r="40" spans="1:19">
      <c r="A40" s="1">
        <v>2</v>
      </c>
      <c r="B40" s="1">
        <v>1</v>
      </c>
      <c r="C40" s="1">
        <f>IF(1205676&gt;0,100*374828/1205676,"")</f>
        <v>31.08861750586393</v>
      </c>
      <c r="D40" s="1">
        <f>IF(1472237&gt;0,100*443803/1472237,"")</f>
        <v>30.1448068483539</v>
      </c>
      <c r="E40" s="1">
        <f>IF(COUNT(C40:D40)=2,D40-C40,"")</f>
        <v>-0.9438106575100313</v>
      </c>
      <c r="H40" s="1">
        <v>2</v>
      </c>
      <c r="I40" s="1">
        <v>1</v>
      </c>
      <c r="J40" s="1">
        <f>IF(2100504&gt;0,100*794890/2100504,"")</f>
        <v>37.84282248450848</v>
      </c>
      <c r="K40" s="1">
        <f>IF(2183558&gt;0,100*561082/2183558,"")</f>
        <v>25.69576809958792</v>
      </c>
      <c r="L40" s="1">
        <f>IF(COUNT(J40:K40)=2,K40-J40,"")</f>
        <v>-12.147054384920562</v>
      </c>
      <c r="O40" s="1">
        <v>2</v>
      </c>
      <c r="P40" s="1">
        <v>1</v>
      </c>
      <c r="Q40" s="1">
        <f>IF(2271111&gt;0,100*972080/2271111,"")</f>
        <v>42.801959041191736</v>
      </c>
      <c r="R40" s="1">
        <f>IF(1883433&gt;0,100*524997/1883433,"")</f>
        <v>27.874471775741426</v>
      </c>
      <c r="S40" s="1">
        <f>IF(COUNT(Q40:R40)=2,R40-Q40,"")</f>
        <v>-14.92748726545031</v>
      </c>
    </row>
    <row r="41" spans="1:19">
      <c r="A41" s="1">
        <v>3</v>
      </c>
      <c r="B41" s="1">
        <v>2</v>
      </c>
      <c r="C41" s="1">
        <f>IF(1607803&gt;0,100*670978/1607803,"")</f>
        <v>41.732600324791036</v>
      </c>
      <c r="D41" s="1">
        <f>IF(1957187&gt;0,100*628597/1957187,"")</f>
        <v>32.11737049142468</v>
      </c>
      <c r="E41" s="1">
        <f>IF(COUNT(C41:D41)=2,D41-C41,"")</f>
        <v>-9.615229833366357</v>
      </c>
      <c r="H41" s="1">
        <v>3</v>
      </c>
      <c r="I41" s="1">
        <v>2</v>
      </c>
      <c r="J41" s="1">
        <f>IF(2703819&gt;0,100*975381/2703819,"")</f>
        <v>36.0741972742998</v>
      </c>
      <c r="K41" s="1">
        <f>IF(2139953&gt;0,100*275142/2139953,"")</f>
        <v>12.857385185562487</v>
      </c>
      <c r="L41" s="1">
        <f>IF(COUNT(J41:K41)=2,K41-J41,"")</f>
        <v>-23.216812088737314</v>
      </c>
      <c r="O41" s="1">
        <v>3</v>
      </c>
      <c r="P41" s="1">
        <v>2</v>
      </c>
      <c r="Q41" s="1">
        <f>IF(2333406&gt;0,100*950771/2333406,"")</f>
        <v>40.746059622714604</v>
      </c>
      <c r="R41" s="1">
        <f>IF(2700562&gt;0,100*1039065/2700562,"")</f>
        <v>38.47588020567571</v>
      </c>
      <c r="S41" s="1">
        <f>IF(COUNT(Q41:R41)=2,R41-Q41,"")</f>
        <v>-2.2701794170388965</v>
      </c>
    </row>
    <row r="42" spans="1:19">
      <c r="A42" s="1">
        <v>4</v>
      </c>
      <c r="B42" s="1">
        <v>3</v>
      </c>
      <c r="C42" s="1">
        <f>IF(2016766&gt;0,100*855389/2016766,"")</f>
        <v>42.41389432388289</v>
      </c>
      <c r="D42" s="1">
        <f>IF(2308045&gt;0,100*980608/2308045,"")</f>
        <v>42.48651997686353</v>
      </c>
      <c r="E42" s="1">
        <f>IF(COUNT(C42:D42)=2,D42-C42,"")</f>
        <v>0.07262565298064061</v>
      </c>
      <c r="H42" s="1">
        <v>4</v>
      </c>
      <c r="I42" s="1">
        <v>3</v>
      </c>
      <c r="J42" s="1">
        <f>IF(1363146&gt;0,100*83089/1363146,"")</f>
        <v>6.09538523386343</v>
      </c>
      <c r="K42" s="1">
        <f>IF(1720521&gt;0,100*353795/1720521,"")</f>
        <v>20.563247992904476</v>
      </c>
      <c r="L42" s="1">
        <f>IF(COUNT(J42:K42)=2,K42-J42,"")</f>
        <v>14.467862759041045</v>
      </c>
      <c r="O42" s="1">
        <v>4</v>
      </c>
      <c r="P42" s="1">
        <v>3</v>
      </c>
      <c r="Q42" s="1">
        <f>IF(1406270&gt;0,100*83129/1406270,"")</f>
        <v>5.911311483570011</v>
      </c>
      <c r="R42" s="1">
        <f>IF(1094709&gt;0,100*22448/1094709,"")</f>
        <v>2.050590613578586</v>
      </c>
      <c r="S42" s="1">
        <f>IF(COUNT(Q42:R42)=2,R42-Q42,"")</f>
        <v>-3.8607208699914253</v>
      </c>
    </row>
    <row r="43" spans="1:19">
      <c r="A43" s="1">
        <v>5</v>
      </c>
      <c r="B43" s="1">
        <v>4</v>
      </c>
      <c r="C43" s="1">
        <f>IF(1270456&gt;0,100*222216/1270456,"")</f>
        <v>17.49104258628398</v>
      </c>
      <c r="D43" s="1">
        <f>IF(1066764&gt;0,100*13529/1066764,"")</f>
        <v>1.2682280241927923</v>
      </c>
      <c r="E43" s="1">
        <f>IF(COUNT(C43:D43)=2,D43-C43,"")</f>
        <v>-16.222814562091187</v>
      </c>
      <c r="H43" s="1">
        <v>5</v>
      </c>
      <c r="I43" s="1">
        <v>4</v>
      </c>
      <c r="J43" s="1">
        <f>IF(2437241&gt;0,100*1028598/2437241,"")</f>
        <v>42.20337668699977</v>
      </c>
      <c r="K43" s="1">
        <f>IF(2226795&gt;0,100*824492/2226795,"")</f>
        <v>37.02594985169268</v>
      </c>
      <c r="L43" s="1">
        <f>IF(COUNT(J43:K43)=2,K43-J43,"")</f>
        <v>-5.177426835307088</v>
      </c>
      <c r="O43" s="1">
        <v>5</v>
      </c>
      <c r="P43" s="1">
        <v>4</v>
      </c>
      <c r="Q43" s="1">
        <f>IF(2401097&gt;0,100*1112784/2401097,"")</f>
        <v>46.344816556765515</v>
      </c>
      <c r="R43" s="1">
        <f>IF(2292492&gt;0,100*761180/2292492,"")</f>
        <v>33.20316930222657</v>
      </c>
      <c r="S43" s="1">
        <f>IF(COUNT(Q43:R43)=2,R43-Q43,"")</f>
        <v>-13.141647254538945</v>
      </c>
    </row>
    <row r="44" spans="1:19">
      <c r="A44" s="1">
        <v>6</v>
      </c>
      <c r="B44" s="1">
        <v>5</v>
      </c>
      <c r="C44" s="1">
        <f>IF(2068143&gt;0,100*935980/2068143,"")</f>
        <v>45.25702526372693</v>
      </c>
      <c r="D44" s="1">
        <f>IF(1979303&gt;0,100*623248/1979303,"")</f>
        <v>31.488256219487365</v>
      </c>
      <c r="E44" s="1">
        <f>IF(COUNT(C44:D44)=2,D44-C44,"")</f>
        <v>-13.768769044239566</v>
      </c>
      <c r="H44" s="1">
        <v>6</v>
      </c>
      <c r="I44" s="1">
        <v>5</v>
      </c>
      <c r="J44" s="1">
        <f>IF(2170385&gt;0,100*855280/2170385,"")</f>
        <v>39.40683334984346</v>
      </c>
      <c r="K44" s="1">
        <f>IF(1923880&gt;0,100*532409/1923880,"")</f>
        <v>27.6737114580951</v>
      </c>
      <c r="L44" s="1">
        <f>IF(COUNT(J44:K44)=2,K44-J44,"")</f>
        <v>-11.733121891748361</v>
      </c>
      <c r="O44" s="1">
        <v>6</v>
      </c>
      <c r="P44" s="1">
        <v>5</v>
      </c>
      <c r="Q44" s="1">
        <f>IF(1758860&gt;0,100*252810/1758860,"")</f>
        <v>14.373514662906656</v>
      </c>
      <c r="R44" s="1">
        <f>IF(1737314&gt;0,100*135448/1737314,"")</f>
        <v>7.796402953064328</v>
      </c>
      <c r="S44" s="1">
        <f>IF(COUNT(Q44:R44)=2,R44-Q44,"")</f>
        <v>-6.5771117098423275</v>
      </c>
    </row>
    <row r="45" spans="1:19">
      <c r="A45" s="1">
        <v>7</v>
      </c>
      <c r="B45" s="1">
        <v>6</v>
      </c>
      <c r="C45" s="1">
        <f>IF(1955799&gt;0,100*927153/1955799,"")</f>
        <v>47.405331529466984</v>
      </c>
      <c r="D45" s="1">
        <f>IF(1818395&gt;0,100*615724/1818395,"")</f>
        <v>33.86084981535915</v>
      </c>
      <c r="E45" s="1">
        <f>IF(COUNT(C45:D45)=2,D45-C45,"")</f>
        <v>-13.544481714107832</v>
      </c>
      <c r="H45" s="1">
        <v>7</v>
      </c>
      <c r="I45" s="1">
        <v>6</v>
      </c>
      <c r="J45" s="1">
        <f>IF(1062155&gt;0,100*3098/1062155,"")</f>
        <v>0.29167117793542374</v>
      </c>
      <c r="K45" s="1">
        <f>IF(1062155&gt;0,100*3098/1062155,"")</f>
        <v>0.29167117793542374</v>
      </c>
      <c r="L45" s="1">
        <f>IF(COUNT(J45:K45)=2,K45-J45,"")</f>
        <v>0.0</v>
      </c>
      <c r="O45" s="1">
        <v>7</v>
      </c>
      <c r="P45" s="1">
        <v>6</v>
      </c>
      <c r="Q45" s="1">
        <f>IF(1340065&gt;0,100*31783/1340065,"")</f>
        <v>2.3717506240368937</v>
      </c>
      <c r="R45" s="1">
        <f>IF(1310518&gt;0,100*166397/1310518,"")</f>
        <v>12.697040406923064</v>
      </c>
      <c r="S45" s="1">
        <f>IF(COUNT(Q45:R45)=2,R45-Q45,"")</f>
        <v>10.32528978288617</v>
      </c>
    </row>
    <row r="46" spans="1:19">
      <c r="A46" s="1">
        <v>8</v>
      </c>
      <c r="B46" s="1">
        <v>7</v>
      </c>
      <c r="C46" s="1">
        <f>IF(2103376&gt;0,100*877826/2103376,"")</f>
        <v>41.73414548801546</v>
      </c>
      <c r="D46" s="1">
        <f>IF(1808163&gt;0,100*597990/1808163,"")</f>
        <v>33.07168656808042</v>
      </c>
      <c r="E46" s="1">
        <f>IF(COUNT(C46:D46)=2,D46-C46,"")</f>
        <v>-8.662458919935034</v>
      </c>
      <c r="H46" s="1">
        <v>8</v>
      </c>
      <c r="I46" s="1">
        <v>7</v>
      </c>
      <c r="J46" s="1">
        <f>IF(875780&gt;0,100*4451/875780,"")</f>
        <v>0.5082326611706136</v>
      </c>
      <c r="K46" s="1">
        <f>IF(875780&gt;0,100*4451/875780,"")</f>
        <v>0.5082326611706136</v>
      </c>
      <c r="L46" s="1">
        <f>IF(COUNT(J46:K46)=2,K46-J46,"")</f>
        <v>0.0</v>
      </c>
      <c r="O46" s="1">
        <v>8</v>
      </c>
      <c r="P46" s="1">
        <v>7</v>
      </c>
      <c r="Q46" s="1">
        <f>IF(953770&gt;0,100*30543/953770,"")</f>
        <v>3.202344380720719</v>
      </c>
      <c r="R46" s="1">
        <f>IF(1159273&gt;0,100*68214/1159273,"")</f>
        <v>5.884205014694555</v>
      </c>
      <c r="S46" s="1">
        <f>IF(COUNT(Q46:R46)=2,R46-Q46,"")</f>
        <v>2.6818606339738356</v>
      </c>
    </row>
    <row r="47" spans="1:19">
      <c r="A47" s="1">
        <v>9</v>
      </c>
      <c r="B47" s="1">
        <v>8</v>
      </c>
      <c r="C47" s="1">
        <f>IF(1775689&gt;0,100*854041/1775689,"")</f>
        <v>48.096316415768754</v>
      </c>
      <c r="D47" s="1">
        <f>IF(1746200&gt;0,100*680304/1746200,"")</f>
        <v>38.95911121291948</v>
      </c>
      <c r="E47" s="1">
        <f>IF(COUNT(C47:D47)=2,D47-C47,"")</f>
        <v>-9.137205202849273</v>
      </c>
      <c r="H47" s="1">
        <v>9</v>
      </c>
      <c r="I47" s="1">
        <v>8</v>
      </c>
      <c r="J47" s="1">
        <f>IF(2261107&gt;0,100*975052/2261107,"")</f>
        <v>43.122771279731566</v>
      </c>
      <c r="K47" s="1">
        <f>IF(1707881&gt;0,100*589599/1707881,"")</f>
        <v>34.52225301411515</v>
      </c>
      <c r="L47" s="1">
        <f>IF(COUNT(J47:K47)=2,K47-J47,"")</f>
        <v>-8.600518265616415</v>
      </c>
      <c r="O47" s="1">
        <v>9</v>
      </c>
      <c r="P47" s="1">
        <v>8</v>
      </c>
      <c r="Q47" s="1">
        <f>IF(2405152&gt;0,100*1125762/2405152,"")</f>
        <v>46.80627253495829</v>
      </c>
      <c r="R47" s="1">
        <f>IF(2247603&gt;0,100*793481/2247603,"")</f>
        <v>35.30343214526765</v>
      </c>
      <c r="S47" s="1">
        <f>IF(COUNT(Q47:R47)=2,R47-Q47,"")</f>
        <v>-11.50284038969064</v>
      </c>
    </row>
    <row r="48" spans="1:19">
      <c r="A48" s="1">
        <v>10</v>
      </c>
      <c r="B48" s="1">
        <v>9</v>
      </c>
      <c r="C48" s="1">
        <f>IF(1746180&gt;0,100*461985/1746180,"")</f>
        <v>26.456894478232485</v>
      </c>
      <c r="D48" s="1">
        <f>IF(1000939&gt;0,100*16306/1000939,"")</f>
        <v>1.6290703029854967</v>
      </c>
      <c r="E48" s="1">
        <f>IF(COUNT(C48:D48)=2,D48-C48,"")</f>
        <v>-24.827824175246988</v>
      </c>
      <c r="H48" s="1">
        <v>10</v>
      </c>
      <c r="I48" s="1">
        <v>9</v>
      </c>
      <c r="J48" s="1">
        <f>IF(2706863&gt;0,100*1192100/2706863,"")</f>
        <v>44.03990892778837</v>
      </c>
      <c r="K48" s="1">
        <f>IF(1952801&gt;0,100*432833/1952801,"")</f>
        <v>22.164726462143353</v>
      </c>
      <c r="L48" s="1">
        <f>IF(COUNT(J48:K48)=2,K48-J48,"")</f>
        <v>-21.875182465645015</v>
      </c>
      <c r="O48" s="1">
        <v>10</v>
      </c>
      <c r="P48" s="1">
        <v>9</v>
      </c>
      <c r="Q48" s="1">
        <f>IF(1922653&gt;0,100*523894/1922653,"")</f>
        <v>27.248494658162446</v>
      </c>
      <c r="R48" s="1">
        <f>IF(2103028&gt;0,100*574913/2103028,"")</f>
        <v>27.337391608670927</v>
      </c>
      <c r="S48" s="1">
        <f>IF(COUNT(Q48:R48)=2,R48-Q48,"")</f>
        <v>0.0888969505084809</v>
      </c>
    </row>
    <row r="49" spans="1:19">
      <c r="A49" s="1">
        <v>11</v>
      </c>
      <c r="B49" s="1">
        <v>10</v>
      </c>
      <c r="C49" s="1">
        <f>IF(1971439&gt;0,100*862784/1971439,"")</f>
        <v>43.76417429096208</v>
      </c>
      <c r="D49" s="1">
        <f>IF(2129044&gt;0,100*861967/2129044,"")</f>
        <v>40.48610550087269</v>
      </c>
      <c r="E49" s="1">
        <f>IF(COUNT(C49:D49)=2,D49-C49,"")</f>
        <v>-3.2780687900893923</v>
      </c>
      <c r="H49" s="1">
        <v>11</v>
      </c>
      <c r="I49" s="1">
        <v>10</v>
      </c>
      <c r="J49" s="1">
        <f>IF(2596797&gt;0,100*880971/2596797,"")</f>
        <v>33.92529335177143</v>
      </c>
      <c r="K49" s="1">
        <f>IF(1684860&gt;0,100*228577/1684860,"")</f>
        <v>13.566527782723787</v>
      </c>
      <c r="L49" s="1">
        <f>IF(COUNT(J49:K49)=2,K49-J49,"")</f>
        <v>-20.35876556904764</v>
      </c>
      <c r="O49" s="1">
        <v>11</v>
      </c>
      <c r="P49" s="1">
        <v>10</v>
      </c>
      <c r="Q49" s="1">
        <f>IF(2537267&gt;0,100*1086404/2537267,"")</f>
        <v>42.817882390777164</v>
      </c>
      <c r="R49" s="1">
        <f>IF(2488465&gt;0,100*787487/2488465,"")</f>
        <v>31.645492301479024</v>
      </c>
      <c r="S49" s="1">
        <f>IF(COUNT(Q49:R49)=2,R49-Q49,"")</f>
        <v>-11.17239008929814</v>
      </c>
    </row>
    <row r="50" spans="1:19">
      <c r="A50" s="1">
        <v>12</v>
      </c>
      <c r="B50" s="1">
        <v>11</v>
      </c>
      <c r="C50" s="1">
        <f>IF(1769042&gt;0,100*718057/1769042,"")</f>
        <v>40.59016122850673</v>
      </c>
      <c r="D50" s="1">
        <f>IF(1818402&gt;0,100*643772/1818402,"")</f>
        <v>35.40317267578896</v>
      </c>
      <c r="E50" s="1">
        <f>IF(COUNT(C50:D50)=2,D50-C50,"")</f>
        <v>-5.1869885527177715</v>
      </c>
      <c r="H50" s="1">
        <v>12</v>
      </c>
      <c r="I50" s="1">
        <v>11</v>
      </c>
      <c r="J50" s="1">
        <f>IF(16409&gt;0,100*2109/16409,"")</f>
        <v>12.85270278505698</v>
      </c>
      <c r="K50" s="1">
        <f>IF(16409&gt;0,100*2109/16409,"")</f>
        <v>12.85270278505698</v>
      </c>
      <c r="L50" s="1">
        <f>IF(COUNT(J50:K50)=2,K50-J50,"")</f>
        <v>0.0</v>
      </c>
      <c r="O50" s="1">
        <v>12</v>
      </c>
      <c r="P50" s="1">
        <v>11</v>
      </c>
      <c r="Q50" s="1">
        <f>IF(2609889&gt;0,100*1051883/2609889,"")</f>
        <v>40.30374471864512</v>
      </c>
      <c r="R50" s="1">
        <f>IF(2085092&gt;0,100*374479/2085092,"")</f>
        <v>17.959831029038526</v>
      </c>
      <c r="S50" s="1">
        <f>IF(COUNT(Q50:R50)=2,R50-Q50,"")</f>
        <v>-22.343913689606595</v>
      </c>
    </row>
    <row r="51" spans="1:19">
      <c r="A51" s="1">
        <v>13</v>
      </c>
      <c r="B51" s="1">
        <v>12</v>
      </c>
      <c r="C51" s="1">
        <f>IF(2168985&gt;0,100*980233/2168985,"")</f>
        <v>45.193166388886965</v>
      </c>
      <c r="D51" s="1">
        <f>IF(2356733&gt;0,100*958303/2356733,"")</f>
        <v>40.66234910785396</v>
      </c>
      <c r="E51" s="1">
        <f>IF(COUNT(C51:D51)=2,D51-C51,"")</f>
        <v>-4.530817281033002</v>
      </c>
      <c r="H51" s="1">
        <v>13</v>
      </c>
      <c r="I51" s="1">
        <v>12</v>
      </c>
      <c r="J51" s="1">
        <f>IF(1392134&gt;0,100*142847/1392134,"")</f>
        <v>10.261009356857889</v>
      </c>
      <c r="K51" s="1">
        <f>IF(1360490&gt;0,100*98994/1360490,"")</f>
        <v>7.276348962506156</v>
      </c>
      <c r="L51" s="1">
        <f>IF(COUNT(J51:K51)=2,K51-J51,"")</f>
        <v>-2.9846603943517325</v>
      </c>
      <c r="O51" s="1">
        <v>13</v>
      </c>
      <c r="P51" s="1">
        <v>12</v>
      </c>
      <c r="Q51" s="1">
        <f>IF(1129838&gt;0,100*24638/1129838,"")</f>
        <v>2.1806666088412676</v>
      </c>
      <c r="R51" s="1">
        <f>IF(1373254&gt;0,100*60034/1373254,"")</f>
        <v>4.371660304648667</v>
      </c>
      <c r="S51" s="1">
        <f>IF(COUNT(Q51:R51)=2,R51-Q51,"")</f>
        <v>2.190993695807399</v>
      </c>
    </row>
    <row r="52" spans="1:19">
      <c r="A52" s="1">
        <v>14</v>
      </c>
      <c r="B52" s="1">
        <v>13</v>
      </c>
      <c r="C52" s="1">
        <f>IF(1030639&gt;0,100*3971/1030639,"")</f>
        <v>0.38529494808560516</v>
      </c>
      <c r="D52" s="1">
        <f>IF(1030639&gt;0,100*3971/1030639,"")</f>
        <v>0.38529494808560516</v>
      </c>
      <c r="E52" s="1">
        <f>IF(COUNT(C52:D52)=2,D52-C52,"")</f>
        <v>0.0</v>
      </c>
      <c r="H52" s="1">
        <v>14</v>
      </c>
      <c r="I52" s="1">
        <v>13</v>
      </c>
      <c r="J52" s="1">
        <f>IF(1631278&gt;0,100*497437/1631278,"")</f>
        <v>30.49369880547644</v>
      </c>
      <c r="K52" s="1">
        <f>IF(1590524&gt;0,100*429052/1590524,"")</f>
        <v>26.975512472619087</v>
      </c>
      <c r="L52" s="1">
        <f>IF(COUNT(J52:K52)=2,K52-J52,"")</f>
        <v>-3.518186332857354</v>
      </c>
      <c r="O52" s="1">
        <v>14</v>
      </c>
      <c r="P52" s="1">
        <v>13</v>
      </c>
      <c r="Q52" s="1">
        <f>IF(1227769&gt;0,100*230841/1227769,"")</f>
        <v>18.801663830899788</v>
      </c>
      <c r="R52" s="1">
        <f>IF(1091948&gt;0,100*105907/1091948,"")</f>
        <v>9.698905076065893</v>
      </c>
      <c r="S52" s="1">
        <f>IF(COUNT(Q52:R52)=2,R52-Q52,"")</f>
        <v>-9.102758754833895</v>
      </c>
    </row>
    <row r="53" spans="1:19">
      <c r="A53" s="1">
        <v>15</v>
      </c>
      <c r="B53" s="1">
        <v>14</v>
      </c>
      <c r="C53" s="1">
        <f>IF(1555406&gt;0,100*520362/1555406,"")</f>
        <v>33.45505932213197</v>
      </c>
      <c r="D53" s="1">
        <f>IF(1883774&gt;0,100*806324/1883774,"")</f>
        <v>42.80364842067042</v>
      </c>
      <c r="E53" s="1">
        <f>IF(COUNT(C53:D53)=2,D53-C53,"")</f>
        <v>9.348589098538447</v>
      </c>
      <c r="H53" s="1">
        <v>15</v>
      </c>
      <c r="I53" s="1">
        <v>14</v>
      </c>
      <c r="J53" s="1">
        <f>IF(1857255&gt;0,100*556621/1857255,"")</f>
        <v>29.970090267626148</v>
      </c>
      <c r="K53" s="1">
        <f>IF(2186494&gt;0,100*569338/2186494,"")</f>
        <v>26.038854897383665</v>
      </c>
      <c r="L53" s="1">
        <f>IF(COUNT(J53:K53)=2,K53-J53,"")</f>
        <v>-3.931235370242483</v>
      </c>
      <c r="O53" s="1">
        <v>15</v>
      </c>
      <c r="P53" s="1">
        <v>14</v>
      </c>
      <c r="Q53" s="1">
        <f>IF(2240147&gt;0,100*1104566/2240147,"")</f>
        <v>49.30774632200476</v>
      </c>
      <c r="R53" s="1">
        <f>IF(2445589&gt;0,100*704515/2445589,"")</f>
        <v>28.807579687347303</v>
      </c>
      <c r="S53" s="1">
        <f>IF(COUNT(Q53:R53)=2,R53-Q53,"")</f>
        <v>-20.500166634657457</v>
      </c>
    </row>
    <row r="54" spans="1:19">
      <c r="A54" s="1">
        <v>16</v>
      </c>
      <c r="B54" s="1">
        <v>15</v>
      </c>
      <c r="C54" s="1">
        <f>IF(1761441&gt;0,100*757460/1761441,"")</f>
        <v>43.00229187352855</v>
      </c>
      <c r="D54" s="1">
        <f>IF(1964987&gt;0,100*735679/1964987,"")</f>
        <v>37.439382550622476</v>
      </c>
      <c r="E54" s="1">
        <f>IF(COUNT(C54:D54)=2,D54-C54,"")</f>
        <v>-5.562909322906073</v>
      </c>
      <c r="H54" s="1">
        <v>16</v>
      </c>
      <c r="I54" s="1">
        <v>15</v>
      </c>
      <c r="J54" s="1">
        <f>IF(1920903&gt;0,100*863441/1920903,"")</f>
        <v>44.949744989726184</v>
      </c>
      <c r="K54" s="1">
        <f>IF(1666391&gt;0,100*293204/1666391,"")</f>
        <v>17.59515023784934</v>
      </c>
      <c r="L54" s="1">
        <f>IF(COUNT(J54:K54)=2,K54-J54,"")</f>
        <v>-27.354594751876846</v>
      </c>
      <c r="O54" s="1">
        <v>16</v>
      </c>
      <c r="P54" s="1">
        <v>15</v>
      </c>
      <c r="Q54" s="1">
        <f>IF(2594091&gt;0,100*1215002/2594091,"")</f>
        <v>46.837292909153916</v>
      </c>
      <c r="R54" s="1">
        <f>IF(1278776&gt;0,100*174818/1278776,"")</f>
        <v>13.6707288844958</v>
      </c>
      <c r="S54" s="1">
        <f>IF(COUNT(Q54:R54)=2,R54-Q54,"")</f>
        <v>-33.166564024658115</v>
      </c>
    </row>
    <row r="55" spans="1:19">
      <c r="A55" s="1">
        <v>17</v>
      </c>
      <c r="B55" s="1">
        <v>16</v>
      </c>
      <c r="C55" s="1">
        <f>IF(844646&gt;0,100*17331/844646,"")</f>
        <v>2.0518655152572793</v>
      </c>
      <c r="D55" s="1">
        <f>IF(865388&gt;0,100*20550/865388,"")</f>
        <v>2.374657379117806</v>
      </c>
      <c r="E55" s="1">
        <f>IF(COUNT(C55:D55)=2,D55-C55,"")</f>
        <v>0.3227918638605267</v>
      </c>
      <c r="H55" s="1">
        <v>17</v>
      </c>
      <c r="I55" s="1">
        <v>16</v>
      </c>
      <c r="J55" s="1">
        <f>IF(2198372&gt;0,100*828948/2198372,"")</f>
        <v>37.70735799036742</v>
      </c>
      <c r="K55" s="1">
        <f>IF(2084282&gt;0,100*533860/2084282,"")</f>
        <v>25.613616583552513</v>
      </c>
      <c r="L55" s="1">
        <f>IF(COUNT(J55:K55)=2,K55-J55,"")</f>
        <v>-12.093741406814907</v>
      </c>
      <c r="O55" s="1">
        <v>17</v>
      </c>
      <c r="P55" s="1">
        <v>16</v>
      </c>
      <c r="Q55" s="1">
        <f>IF(2139602&gt;0,100*724511/2139602,"")</f>
        <v>33.8619518957264</v>
      </c>
      <c r="R55" s="1">
        <f>IF(2478350&gt;0,100*903893/2478350,"")</f>
        <v>36.47156374200577</v>
      </c>
      <c r="S55" s="1">
        <f>IF(COUNT(Q55:R55)=2,R55-Q55,"")</f>
        <v>2.609611846279371</v>
      </c>
    </row>
    <row r="56" spans="1:19">
      <c r="A56" s="1">
        <v>18</v>
      </c>
      <c r="B56" s="1">
        <v>17</v>
      </c>
      <c r="C56" s="1">
        <f>IF(913631&gt;0,100*114254/913631,"")</f>
        <v>12.505486350616387</v>
      </c>
      <c r="D56" s="1">
        <f>IF(986926&gt;0,100*125395/986926,"")</f>
        <v>12.705613186804278</v>
      </c>
      <c r="E56" s="1">
        <f>IF(COUNT(C56:D56)=2,D56-C56,"")</f>
        <v>0.2001268361878914</v>
      </c>
      <c r="H56" s="1">
        <v>18</v>
      </c>
      <c r="I56" s="1">
        <v>17</v>
      </c>
      <c r="J56" s="1">
        <f>IF(2215&gt;0,100*355/2215,"")</f>
        <v>16.02708803611738</v>
      </c>
      <c r="K56" s="1">
        <f>IF(2215&gt;0,100*355/2215,"")</f>
        <v>16.02708803611738</v>
      </c>
      <c r="L56" s="1">
        <f>IF(COUNT(J56:K56)=2,K56-J56,"")</f>
        <v>0.0</v>
      </c>
      <c r="O56" s="1">
        <v>18</v>
      </c>
      <c r="P56" s="1">
        <v>17</v>
      </c>
      <c r="Q56" s="1">
        <f>IF(2597163&gt;0,100*1238582/2597163,"")</f>
        <v>47.68980614616795</v>
      </c>
      <c r="R56" s="1">
        <f>IF(1760591&gt;0,100*274062/1760591,"")</f>
        <v>15.566477393102657</v>
      </c>
      <c r="S56" s="1">
        <f>IF(COUNT(Q56:R56)=2,R56-Q56,"")</f>
        <v>-32.123328753065294</v>
      </c>
    </row>
    <row r="57" spans="1:19">
      <c r="A57" s="1">
        <v>19</v>
      </c>
      <c r="B57" s="1">
        <v>18</v>
      </c>
      <c r="C57" s="1">
        <f>IF(2015196&gt;0,100*813734/2015196,"")</f>
        <v>40.37989356866528</v>
      </c>
      <c r="D57" s="1">
        <f>IF(2181440&gt;0,100*904342/2181440,"")</f>
        <v>41.45619407363943</v>
      </c>
      <c r="E57" s="1">
        <f>IF(COUNT(C57:D57)=2,D57-C57,"")</f>
        <v>1.0763005049741494</v>
      </c>
      <c r="H57" s="1">
        <v>19</v>
      </c>
      <c r="I57" s="1">
        <v>18</v>
      </c>
      <c r="J57" s="1">
        <f>IF(1892358&gt;0,100*622212/1892358,"")</f>
        <v>32.880247817801916</v>
      </c>
      <c r="K57" s="1">
        <f>IF(1942120&gt;0,100*430563/1942120,"")</f>
        <v>22.169742343418534</v>
      </c>
      <c r="L57" s="1">
        <f>IF(COUNT(J57:K57)=2,K57-J57,"")</f>
        <v>-10.710505474383382</v>
      </c>
      <c r="O57" s="1">
        <v>19</v>
      </c>
      <c r="P57" s="1">
        <v>18</v>
      </c>
      <c r="Q57" s="1">
        <f>IF(1995148&gt;0,100*689134/1995148,"")</f>
        <v>34.54049524145577</v>
      </c>
      <c r="R57" s="1">
        <f>IF(1672621&gt;0,100*367963/1672621,"")</f>
        <v>21.999185709135542</v>
      </c>
      <c r="S57" s="1">
        <f>IF(COUNT(Q57:R57)=2,R57-Q57,"")</f>
        <v>-12.54130953232023</v>
      </c>
    </row>
    <row r="58" spans="1:19">
      <c r="A58" s="1">
        <v>20</v>
      </c>
      <c r="B58" s="1">
        <v>19</v>
      </c>
      <c r="C58" s="1">
        <f>IF(2178136&gt;0,100*944455/2178136,"")</f>
        <v>43.36069924008418</v>
      </c>
      <c r="D58" s="1">
        <f>IF(1984961&gt;0,100*685821/1984961,"")</f>
        <v>34.550855155340585</v>
      </c>
      <c r="E58" s="1">
        <f>IF(COUNT(C58:D58)=2,D58-C58,"")</f>
        <v>-8.809844084743595</v>
      </c>
      <c r="H58" s="1">
        <v>20</v>
      </c>
      <c r="I58" s="1">
        <v>19</v>
      </c>
      <c r="J58" s="1">
        <f>IF(2533784&gt;0,100*1139277/2533784,"")</f>
        <v>44.96346176311793</v>
      </c>
      <c r="K58" s="1">
        <f>IF(1943537&gt;0,100*578609/1943537,"")</f>
        <v>29.77092795249074</v>
      </c>
      <c r="L58" s="1">
        <f>IF(COUNT(J58:K58)=2,K58-J58,"")</f>
        <v>-15.192533810627186</v>
      </c>
      <c r="O58" s="1">
        <v>20</v>
      </c>
      <c r="P58" s="1">
        <v>19</v>
      </c>
      <c r="Q58" s="1">
        <f>IF(2139229&gt;0,100*899475/2139229,"")</f>
        <v>42.0466906535018</v>
      </c>
      <c r="R58" s="1">
        <f>IF(1653719&gt;0,100*366136/1653719,"")</f>
        <v>22.140158031684948</v>
      </c>
      <c r="S58" s="1">
        <f>IF(COUNT(Q58:R58)=2,R58-Q58,"")</f>
        <v>-19.90653262181685</v>
      </c>
    </row>
    <row r="59" spans="1:19">
      <c r="A59" s="1">
        <v>21</v>
      </c>
      <c r="B59" s="1">
        <v>20</v>
      </c>
      <c r="C59" s="1">
        <f>IF(1558100&gt;0,100*473205/1558100,"")</f>
        <v>30.37064373275143</v>
      </c>
      <c r="D59" s="1">
        <f>IF(1577033&gt;0,100*484952/1577033,"")</f>
        <v>30.750910095096298</v>
      </c>
      <c r="E59" s="1">
        <f>IF(COUNT(C59:D59)=2,D59-C59,"")</f>
        <v>0.38026636234486944</v>
      </c>
      <c r="H59" s="1">
        <v>21</v>
      </c>
      <c r="I59" s="1">
        <v>20</v>
      </c>
      <c r="J59" s="1">
        <f>IF(2773746&gt;0,100*1088927/2773746,"")</f>
        <v>39.25835314408745</v>
      </c>
      <c r="K59" s="1">
        <f>IF(2127805&gt;0,100*502781/2127805,"")</f>
        <v>23.629091951565112</v>
      </c>
      <c r="L59" s="1">
        <f>IF(COUNT(J59:K59)=2,K59-J59,"")</f>
        <v>-15.629261192522339</v>
      </c>
      <c r="O59" s="1">
        <v>21</v>
      </c>
      <c r="P59" s="1">
        <v>20</v>
      </c>
      <c r="Q59" s="1">
        <f>IF(2422246&gt;0,100*1045754/2422246,"")</f>
        <v>43.172906467798896</v>
      </c>
      <c r="R59" s="1">
        <f>IF(2386290&gt;0,100*808521/2386290,"")</f>
        <v>33.88192549941541</v>
      </c>
      <c r="S59" s="1">
        <f>IF(COUNT(Q59:R59)=2,R59-Q59,"")</f>
        <v>-9.290980968383487</v>
      </c>
    </row>
    <row r="60" spans="1:19">
      <c r="A60" s="1">
        <v>22</v>
      </c>
      <c r="B60" s="1">
        <v>21</v>
      </c>
      <c r="C60" s="1">
        <f>IF(1857644&gt;0,100*847880/1857644,"")</f>
        <v>45.64276039973213</v>
      </c>
      <c r="D60" s="1">
        <f>IF(1716534&gt;0,100*644596/1716534,"")</f>
        <v>37.55218364448359</v>
      </c>
      <c r="E60" s="1">
        <f>IF(COUNT(C60:D60)=2,D60-C60,"")</f>
        <v>-8.090576755248541</v>
      </c>
      <c r="H60" s="1">
        <v>22</v>
      </c>
      <c r="I60" s="1">
        <v>21</v>
      </c>
      <c r="J60" s="1">
        <f>IF(2183759&gt;0,100*997955/2183759,"")</f>
        <v>45.69895304381115</v>
      </c>
      <c r="K60" s="1">
        <f>IF(1352229&gt;0,100*406690/1352229,"")</f>
        <v>30.07552714813837</v>
      </c>
      <c r="L60" s="1">
        <f>IF(COUNT(J60:K60)=2,K60-J60,"")</f>
        <v>-15.623425895672781</v>
      </c>
      <c r="O60" s="1">
        <v>22</v>
      </c>
      <c r="P60" s="1">
        <v>21</v>
      </c>
      <c r="Q60" s="1">
        <f>IF(2052914&gt;0,100*716282/2052914,"")</f>
        <v>34.890989101345696</v>
      </c>
      <c r="R60" s="1">
        <f>IF(2264810&gt;0,100*839606/2264810,"")</f>
        <v>37.07180734807776</v>
      </c>
      <c r="S60" s="1">
        <f>IF(COUNT(Q60:R60)=2,R60-Q60,"")</f>
        <v>2.1808182467320663</v>
      </c>
    </row>
    <row r="61" spans="1:19">
      <c r="A61" s="1">
        <v>23</v>
      </c>
      <c r="B61" s="1">
        <v>22</v>
      </c>
      <c r="C61" s="1">
        <f>IF(696517&gt;0,100*2264/696517,"")</f>
        <v>0.325045906991502</v>
      </c>
      <c r="D61" s="1">
        <f>IF(696517&gt;0,100*2264/696517,"")</f>
        <v>0.325045906991502</v>
      </c>
      <c r="E61" s="1">
        <f>IF(COUNT(C61:D61)=2,D61-C61,"")</f>
        <v>0.0</v>
      </c>
      <c r="H61" s="1">
        <v>23</v>
      </c>
      <c r="I61" s="1">
        <v>22</v>
      </c>
      <c r="J61" s="1">
        <f>IF(2492569&gt;0,100*1249101/2492569,"")</f>
        <v>50.11299586892078</v>
      </c>
      <c r="K61" s="1">
        <f>IF(2743718&gt;0,100*1003329/2743718,"")</f>
        <v>36.56822603489134</v>
      </c>
      <c r="L61" s="1">
        <f>IF(COUNT(J61:K61)=2,K61-J61,"")</f>
        <v>-13.544769834029438</v>
      </c>
      <c r="O61" s="1">
        <v>23</v>
      </c>
      <c r="P61" s="1">
        <v>22</v>
      </c>
      <c r="Q61" s="1">
        <f>IF(2322764&gt;0,100*881160/2322764,"")</f>
        <v>37.935838509637655</v>
      </c>
      <c r="R61" s="1">
        <f>IF(2722175&gt;0,100*1082466/2722175,"")</f>
        <v>39.76474693948773</v>
      </c>
      <c r="S61" s="1">
        <f>IF(COUNT(Q61:R61)=2,R61-Q61,"")</f>
        <v>1.828908429850074</v>
      </c>
    </row>
    <row r="62" spans="1:19">
      <c r="A62" s="1">
        <v>24</v>
      </c>
      <c r="B62" s="1">
        <v>23</v>
      </c>
      <c r="C62" s="1">
        <f>IF(1622857&gt;0,100*324323/1622857,"")</f>
        <v>19.98469366062444</v>
      </c>
      <c r="D62" s="1">
        <f>IF(1004107&gt;0,100*31086/1004107,"")</f>
        <v>3.0958851994857124</v>
      </c>
      <c r="E62" s="1">
        <f>IF(COUNT(C62:D62)=2,D62-C62,"")</f>
        <v>-16.88880846113873</v>
      </c>
      <c r="H62" s="1">
        <v>24</v>
      </c>
      <c r="I62" s="1">
        <v>23</v>
      </c>
      <c r="J62" s="1">
        <f>IF(2618354&gt;0,100*1195641/2618354,"")</f>
        <v>45.663840718252764</v>
      </c>
      <c r="K62" s="1">
        <f>IF(2761177&gt;0,100*927515/2761177,"")</f>
        <v>33.591290960340466</v>
      </c>
      <c r="L62" s="1">
        <f>IF(COUNT(J62:K62)=2,K62-J62,"")</f>
        <v>-12.072549757912299</v>
      </c>
      <c r="O62" s="1">
        <v>24</v>
      </c>
      <c r="P62" s="1">
        <v>23</v>
      </c>
      <c r="Q62" s="1">
        <f>IF(1862901&gt;0,100*489468/1862901,"")</f>
        <v>26.27450412018674</v>
      </c>
      <c r="R62" s="1">
        <f>IF(1960960&gt;0,100*495445/1960960,"")</f>
        <v>25.265431217362924</v>
      </c>
      <c r="S62" s="1">
        <f>IF(COUNT(Q62:R62)=2,R62-Q62,"")</f>
        <v>-1.0090729028238172</v>
      </c>
    </row>
    <row r="63" spans="1:19">
      <c r="A63" s="1">
        <v>25</v>
      </c>
      <c r="B63" s="1">
        <v>24</v>
      </c>
      <c r="C63" s="1">
        <f>IF(1310506&gt;0,100*408672/1310506,"")</f>
        <v>31.184290648039763</v>
      </c>
      <c r="D63" s="1">
        <f>IF(1558714&gt;0,100*538219/1558714,"")</f>
        <v>34.529682802618055</v>
      </c>
      <c r="E63" s="1">
        <f>IF(COUNT(C63:D63)=2,D63-C63,"")</f>
        <v>3.345392154578292</v>
      </c>
      <c r="H63" s="1">
        <v>25</v>
      </c>
      <c r="I63" s="1">
        <v>24</v>
      </c>
      <c r="J63" s="1">
        <f>IF(2421034&gt;0,100*1042416/2421034,"")</f>
        <v>43.05664439243728</v>
      </c>
      <c r="K63" s="1">
        <f>IF(945563&gt;0,100*27116/945563,"")</f>
        <v>2.867709502169607</v>
      </c>
      <c r="L63" s="1">
        <f>IF(COUNT(J63:K63)=2,K63-J63,"")</f>
        <v>-40.188934890267674</v>
      </c>
      <c r="O63" s="1">
        <v>25</v>
      </c>
      <c r="P63" s="1">
        <v>24</v>
      </c>
      <c r="Q63" s="1">
        <f>IF(2310152&gt;0,100*1014877/2310152,"")</f>
        <v>43.931178554484724</v>
      </c>
      <c r="R63" s="1">
        <f>IF(2326198&gt;0,100*757799/2326198,"")</f>
        <v>32.57671960856299</v>
      </c>
      <c r="S63" s="1">
        <f>IF(COUNT(Q63:R63)=2,R63-Q63,"")</f>
        <v>-11.354458945921735</v>
      </c>
    </row>
    <row r="64" spans="1:19">
      <c r="A64" s="1">
        <v>26</v>
      </c>
      <c r="B64" s="1">
        <v>25</v>
      </c>
      <c r="C64" s="1">
        <f>IF(2238694&gt;0,100*1062953/2238694,"")</f>
        <v>47.480942013513236</v>
      </c>
      <c r="D64" s="1">
        <f>IF(2182274&gt;0,100*831256/2182274,"")</f>
        <v>38.0912754310412</v>
      </c>
      <c r="E64" s="1">
        <f>IF(COUNT(C64:D64)=2,D64-C64,"")</f>
        <v>-9.389666582472039</v>
      </c>
      <c r="H64" s="1">
        <v>26</v>
      </c>
      <c r="I64" s="1">
        <v>25</v>
      </c>
      <c r="J64" s="1">
        <f>IF(1745904&gt;0,100*492009/1745904,"")</f>
        <v>28.18075907953702</v>
      </c>
      <c r="K64" s="1">
        <f>IF(1928930&gt;0,100*396885/1928930,"")</f>
        <v>20.57539672253529</v>
      </c>
      <c r="L64" s="1">
        <f>IF(COUNT(J64:K64)=2,K64-J64,"")</f>
        <v>-7.605362357001727</v>
      </c>
      <c r="O64" s="1">
        <v>26</v>
      </c>
      <c r="P64" s="1">
        <v>25</v>
      </c>
      <c r="Q64" s="1">
        <f>IF(2669118&gt;0,100*1197813/2669118,"")</f>
        <v>44.876734561754105</v>
      </c>
      <c r="R64" s="1">
        <f>IF(2069412&gt;0,100*516357/2069412,"")</f>
        <v>24.951870386370622</v>
      </c>
      <c r="S64" s="1">
        <f>IF(COUNT(Q64:R64)=2,R64-Q64,"")</f>
        <v>-19.924864175383483</v>
      </c>
    </row>
    <row r="65" spans="1:19">
      <c r="A65" s="1">
        <v>27</v>
      </c>
      <c r="B65" s="1">
        <v>26</v>
      </c>
      <c r="C65" s="1">
        <f>IF(1647328&gt;0,100*574346/1647328,"")</f>
        <v>34.86530915518949</v>
      </c>
      <c r="D65" s="1">
        <f>IF(1422465&gt;0,100*366576/1422465,"")</f>
        <v>25.770475899231265</v>
      </c>
      <c r="E65" s="1">
        <f>IF(COUNT(C65:D65)=2,D65-C65,"")</f>
        <v>-9.094833255958228</v>
      </c>
      <c r="H65" s="1">
        <v>27</v>
      </c>
      <c r="I65" s="1">
        <v>26</v>
      </c>
      <c r="J65" s="1">
        <f>IF(2195965&gt;0,100*781488/2195965,"")</f>
        <v>35.587452441181895</v>
      </c>
      <c r="K65" s="1">
        <f>IF(2145092&gt;0,100*595269/2145092,"")</f>
        <v>27.750278309741493</v>
      </c>
      <c r="L65" s="1">
        <f>IF(COUNT(J65:K65)=2,K65-J65,"")</f>
        <v>-7.837174131440403</v>
      </c>
      <c r="O65" s="1">
        <v>27</v>
      </c>
      <c r="P65" s="1">
        <v>26</v>
      </c>
      <c r="Q65" s="1">
        <f>IF(2415042&gt;0,100*766118/2415042,"")</f>
        <v>31.722760929209514</v>
      </c>
      <c r="R65" s="1">
        <f>IF(2241736&gt;0,100*448480/2241736,"")</f>
        <v>20.005923980343805</v>
      </c>
      <c r="S65" s="1">
        <f>IF(COUNT(Q65:R65)=2,R65-Q65,"")</f>
        <v>-11.716836948865708</v>
      </c>
    </row>
    <row r="66" spans="1:19">
      <c r="A66" s="1">
        <v>28</v>
      </c>
      <c r="B66" s="1">
        <v>27</v>
      </c>
      <c r="C66" s="1">
        <f>IF(665364&gt;0,100*675/665364,"")</f>
        <v>0.10144822984110953</v>
      </c>
      <c r="D66" s="1">
        <f>IF(665364&gt;0,100*675/665364,"")</f>
        <v>0.10144822984110953</v>
      </c>
      <c r="E66" s="1">
        <f>IF(COUNT(C66:D66)=2,D66-C66,"")</f>
        <v>0.0</v>
      </c>
      <c r="H66" s="1">
        <v>28</v>
      </c>
      <c r="I66" s="1">
        <v>27</v>
      </c>
      <c r="J66" s="1">
        <f>IF(1703605&gt;0,100*670593/1703605,"")</f>
        <v>39.36317397518791</v>
      </c>
      <c r="K66" s="1">
        <f>IF(2077580&gt;0,100*780719/2077580,"")</f>
        <v>37.57828820069504</v>
      </c>
      <c r="L66" s="1">
        <f>IF(COUNT(J66:K66)=2,K66-J66,"")</f>
        <v>-1.7848857744928708</v>
      </c>
      <c r="O66" s="1">
        <v>28</v>
      </c>
      <c r="P66" s="1">
        <v>27</v>
      </c>
      <c r="Q66" s="1">
        <f>IF(1500981&gt;0,100*448455/1500981,"")</f>
        <v>29.877460141067743</v>
      </c>
      <c r="R66" s="1">
        <f>IF(1829478&gt;0,100*551512/1829478,"")</f>
        <v>30.145866744503078</v>
      </c>
      <c r="S66" s="1">
        <f>IF(COUNT(Q66:R66)=2,R66-Q66,"")</f>
        <v>0.2684066034353343</v>
      </c>
    </row>
    <row r="67" spans="1:19">
      <c r="A67" s="1">
        <v>29</v>
      </c>
      <c r="B67" s="1">
        <v>28</v>
      </c>
      <c r="C67" s="1">
        <f>IF(1808091&gt;0,100*652193/1808091,"")</f>
        <v>36.070806170707115</v>
      </c>
      <c r="D67" s="1">
        <f>IF(1973207&gt;0,100*785619/1973207,"")</f>
        <v>39.81432257234036</v>
      </c>
      <c r="E67" s="1">
        <f>IF(COUNT(C67:D67)=2,D67-C67,"")</f>
        <v>3.7435164016332436</v>
      </c>
      <c r="H67" s="1">
        <v>29</v>
      </c>
      <c r="I67" s="1">
        <v>28</v>
      </c>
      <c r="J67" s="1">
        <f>IF(2391442&gt;0,100*1116314/2391442,"")</f>
        <v>46.67953477441644</v>
      </c>
      <c r="K67" s="1">
        <f>IF(2739628&gt;0,100*1074409/2739628,"")</f>
        <v>39.217331696128085</v>
      </c>
      <c r="L67" s="1">
        <f>IF(COUNT(J67:K67)=2,K67-J67,"")</f>
        <v>-7.462203078288354</v>
      </c>
      <c r="O67" s="1">
        <v>29</v>
      </c>
      <c r="P67" s="1">
        <v>28</v>
      </c>
      <c r="Q67" s="1">
        <f>IF(2050506&gt;0,100*857322/2050506,"")</f>
        <v>41.810265368645595</v>
      </c>
      <c r="R67" s="1">
        <f>IF(2568820&gt;0,100*900064/2568820,"")</f>
        <v>35.038033026837226</v>
      </c>
      <c r="S67" s="1">
        <f>IF(COUNT(Q67:R67)=2,R67-Q67,"")</f>
        <v>-6.772232341808369</v>
      </c>
    </row>
    <row r="68" spans="1:19">
      <c r="A68" s="1">
        <v>30</v>
      </c>
      <c r="B68" s="1">
        <v>29</v>
      </c>
      <c r="C68" s="1">
        <f>IF(1942903&gt;0,100*844208/1942903,"")</f>
        <v>43.45085678492441</v>
      </c>
      <c r="D68" s="1">
        <f>IF(1703877&gt;0,100*568381/1703877,"")</f>
        <v>33.358100379311416</v>
      </c>
      <c r="E68" s="1">
        <f>IF(COUNT(C68:D68)=2,D68-C68,"")</f>
        <v>-10.092756405612995</v>
      </c>
      <c r="H68" s="1">
        <v>30</v>
      </c>
      <c r="I68" s="1">
        <v>29</v>
      </c>
      <c r="J68" s="1">
        <f>IF(1886067&gt;0,100*615825/1886067,"")</f>
        <v>32.65127909029743</v>
      </c>
      <c r="K68" s="1">
        <f>IF(1606306&gt;0,100*373434/1606306,"")</f>
        <v>23.24799882463242</v>
      </c>
      <c r="L68" s="1">
        <f>IF(COUNT(J68:K68)=2,K68-J68,"")</f>
        <v>-9.40328026566501</v>
      </c>
      <c r="O68" s="1">
        <v>30</v>
      </c>
      <c r="P68" s="1">
        <v>29</v>
      </c>
      <c r="Q68" s="1">
        <f>IF(1124834&gt;0,100*57569/1124834,"")</f>
        <v>5.1179996337237315</v>
      </c>
      <c r="R68" s="1">
        <f>IF(1583642&gt;0,100*99499/1583642,"")</f>
        <v>6.28292252920799</v>
      </c>
      <c r="S68" s="1">
        <f>IF(COUNT(Q68:R68)=2,R68-Q68,"")</f>
        <v>1.164922895484259</v>
      </c>
    </row>
    <row r="69" spans="1:19">
      <c r="A69" s="1">
        <v>31</v>
      </c>
      <c r="B69" s="1">
        <v>30</v>
      </c>
      <c r="C69" s="1">
        <f>IF(1247391&gt;0,100*5792/1247391,"")</f>
        <v>0.4643291477972825</v>
      </c>
      <c r="D69" s="1">
        <f>IF(1247391&gt;0,100*5792/1247391,"")</f>
        <v>0.4643291477972825</v>
      </c>
      <c r="E69" s="1">
        <f>IF(COUNT(C69:D69)=2,D69-C69,"")</f>
        <v>0.0</v>
      </c>
      <c r="H69" s="1">
        <v>31</v>
      </c>
      <c r="I69" s="1">
        <v>30</v>
      </c>
      <c r="J69" s="1">
        <f>IF(2131633&gt;0,100*739570/2131633,"")</f>
        <v>34.69499674662571</v>
      </c>
      <c r="K69" s="1">
        <f>IF(2233948&gt;0,100*699102/2233948,"")</f>
        <v>31.2944616436909</v>
      </c>
      <c r="L69" s="1">
        <f>IF(COUNT(J69:K69)=2,K69-J69,"")</f>
        <v>-3.4005351029348105</v>
      </c>
      <c r="O69" s="1">
        <v>31</v>
      </c>
      <c r="P69" s="1">
        <v>30</v>
      </c>
      <c r="Q69" s="1">
        <f>IF(1670334&gt;0,100*513883/1670334,"")</f>
        <v>30.765284068934715</v>
      </c>
      <c r="R69" s="1">
        <f>IF(2175222&gt;0,100*692467/2175222,"")</f>
        <v>31.834313922900744</v>
      </c>
      <c r="S69" s="1">
        <f>IF(COUNT(Q69:R69)=2,R69-Q69,"")</f>
        <v>1.069029853966029</v>
      </c>
    </row>
    <row r="70" spans="1:19">
      <c r="A70" s="2" t="s">
        <v>6</v>
      </c>
      <c r="B70" s="1"/>
      <c r="C70" s="1">
        <f>IF(COUNT(C39:C69)&gt;0,AVERAGE(C39:C69),"")</f>
        <v>30.562133085533812</v>
      </c>
      <c r="D70" s="1">
        <f>IF(COUNT(D39:D69)&gt;0,AVERAGE(D39:D69),"")</f>
        <v>25.491835622032806</v>
      </c>
      <c r="E70" s="1">
        <f>IF(COUNT(E39:E69)&gt;0,AVERAGE(E39:E69),"")</f>
        <v>-5.070297463501005</v>
      </c>
      <c r="H70" s="2" t="s">
        <v>6</v>
      </c>
      <c r="I70" s="1"/>
      <c r="J70" s="1">
        <f>IF(COUNT(J39:J69)&gt;0,AVERAGE(J39:J69),"")</f>
        <v>32.74960009631654</v>
      </c>
      <c r="K70" s="1">
        <f>IF(COUNT(K39:K69)&gt;0,AVERAGE(K39:K69),"")</f>
        <v>22.93351586594712</v>
      </c>
      <c r="L70" s="1">
        <f>IF(COUNT(L39:L69)&gt;0,AVERAGE(L39:L69),"")</f>
        <v>-9.816084230369421</v>
      </c>
      <c r="O70" s="2" t="s">
        <v>6</v>
      </c>
      <c r="P70" s="1"/>
      <c r="Q70" s="1">
        <f>IF(COUNT(Q39:Q69)&gt;0,AVERAGE(Q39:Q69),"")</f>
        <v>31.481548328397977</v>
      </c>
      <c r="R70" s="1">
        <f>IF(COUNT(R39:R69)&gt;0,AVERAGE(R39:R69),"")</f>
        <v>23.619649422542818</v>
      </c>
      <c r="S70" s="1">
        <f>IF(COUNT(S39:S69)&gt;0,AVERAGE(S39:S69),"")</f>
        <v>-7.861898905855161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IF(1227574&gt;0,100*38510/1227574,"")</f>
        <v>3.1370817563747684</v>
      </c>
      <c r="D75" s="1">
        <f>IF(1236030&gt;0,100*16283/1236030,"")</f>
        <v>1.3173628471800847</v>
      </c>
      <c r="E75" s="1">
        <f>IF(COUNT(C75:D75)=2,D75-C75,"")</f>
        <v>-1.8197189091946837</v>
      </c>
      <c r="H75" s="1">
        <v>1</v>
      </c>
      <c r="I75" s="1">
        <v>0</v>
      </c>
      <c r="J75" s="1">
        <f>IF(2974908&gt;0,100*1593753/2974908,"")</f>
        <v>53.573186128781124</v>
      </c>
      <c r="K75" s="1">
        <f>IF(1604994&gt;0,100*243186/1604994,"")</f>
        <v>15.15183234329848</v>
      </c>
      <c r="L75" s="1">
        <f>IF(COUNT(J75:K75)=2,K75-J75,"")</f>
        <v>-38.421353785482644</v>
      </c>
      <c r="O75" s="1">
        <v>1</v>
      </c>
      <c r="P75" s="1">
        <v>0</v>
      </c>
      <c r="Q75" s="1">
        <f>IF(2673895&gt;0,100*1212503/2673895,"")</f>
        <v>45.34594664337979</v>
      </c>
      <c r="R75" s="1">
        <f>IF(2395482&gt;0,100*926611/2395482,"")</f>
        <v>38.68160979710973</v>
      </c>
      <c r="S75" s="1">
        <f>IF(COUNT(Q75:R75)=2,R75-Q75,"")</f>
        <v>-6.664336846270061</v>
      </c>
    </row>
    <row r="76" spans="1:19">
      <c r="A76" s="1">
        <v>2</v>
      </c>
      <c r="B76" s="1">
        <v>1</v>
      </c>
      <c r="C76" s="1">
        <f>IF(1624357&gt;0,100*617829/1624357,"")</f>
        <v>38.03529642806353</v>
      </c>
      <c r="D76" s="1">
        <f>IF(501160&gt;0,100*172693/501160,"")</f>
        <v>34.45865591826961</v>
      </c>
      <c r="E76" s="1">
        <f>IF(COUNT(C76:D76)=2,D76-C76,"")</f>
        <v>-3.5766405097939185</v>
      </c>
      <c r="H76" s="1">
        <v>2</v>
      </c>
      <c r="I76" s="1">
        <v>1</v>
      </c>
      <c r="J76" s="1">
        <f>IF(2706515&gt;0,100*1225890/2706515,"")</f>
        <v>45.29404049118516</v>
      </c>
      <c r="K76" s="1">
        <f>IF(2523218&gt;0,100*652011/2523218,"")</f>
        <v>25.840454530682646</v>
      </c>
      <c r="L76" s="1">
        <f>IF(COUNT(J76:K76)=2,K76-J76,"")</f>
        <v>-19.45358596050251</v>
      </c>
      <c r="O76" s="1">
        <v>2</v>
      </c>
      <c r="P76" s="1">
        <v>1</v>
      </c>
      <c r="Q76" s="1">
        <f>IF(2467592&gt;0,100*1063705/2467592,"")</f>
        <v>43.1070047236334</v>
      </c>
      <c r="R76" s="1">
        <f>IF(2683461&gt;0,100*1035972/2683461,"")</f>
        <v>38.60581540033561</v>
      </c>
      <c r="S76" s="1">
        <f>IF(COUNT(Q76:R76)=2,R76-Q76,"")</f>
        <v>-4.501189323297794</v>
      </c>
    </row>
    <row r="77" spans="1:19">
      <c r="A77" s="1">
        <v>3</v>
      </c>
      <c r="B77" s="1">
        <v>2</v>
      </c>
      <c r="C77" s="1">
        <f>IF(1673401&gt;0,100*672518/1673401,"")</f>
        <v>40.18869356478214</v>
      </c>
      <c r="D77" s="1">
        <f>IF(2074722&gt;0,100*850351/2074722,"")</f>
        <v>40.986262255858854</v>
      </c>
      <c r="E77" s="1">
        <f>IF(COUNT(C77:D77)=2,D77-C77,"")</f>
        <v>0.7975686910767124</v>
      </c>
      <c r="H77" s="1">
        <v>3</v>
      </c>
      <c r="I77" s="1">
        <v>2</v>
      </c>
      <c r="J77" s="1">
        <f>IF(2238301&gt;0,100*947036/2238301,"")</f>
        <v>42.31048460417075</v>
      </c>
      <c r="K77" s="1">
        <f>IF(2762542&gt;0,100*1048035/2762542,"")</f>
        <v>37.9373417671116</v>
      </c>
      <c r="L77" s="1">
        <f>IF(COUNT(J77:K77)=2,K77-J77,"")</f>
        <v>-4.373142837059156</v>
      </c>
      <c r="O77" s="1">
        <v>3</v>
      </c>
      <c r="P77" s="1">
        <v>2</v>
      </c>
      <c r="Q77" s="1">
        <f>IF(2033898&gt;0,100*82955/2033898,"")</f>
        <v>4.07862144512655</v>
      </c>
      <c r="R77" s="1">
        <f>IF(1965145&gt;0,100*33918/1965145,"")</f>
        <v>1.7259795078734648</v>
      </c>
      <c r="S77" s="1">
        <f>IF(COUNT(Q77:R77)=2,R77-Q77,"")</f>
        <v>-2.352641937253085</v>
      </c>
    </row>
    <row r="78" spans="1:19">
      <c r="A78" s="1">
        <v>4</v>
      </c>
      <c r="B78" s="1">
        <v>3</v>
      </c>
      <c r="C78" s="1">
        <f>IF(1853726&gt;0,100*857824/1853726,"")</f>
        <v>46.2756631778375</v>
      </c>
      <c r="D78" s="1">
        <f>IF(2248305&gt;0,100*863779/2248305,"")</f>
        <v>38.419120181647955</v>
      </c>
      <c r="E78" s="1">
        <f>IF(COUNT(C78:D78)=2,D78-C78,"")</f>
        <v>-7.856542996189546</v>
      </c>
      <c r="H78" s="1">
        <v>4</v>
      </c>
      <c r="I78" s="1">
        <v>3</v>
      </c>
      <c r="J78" s="1">
        <f>IF(2473338&gt;0,100*1144203/2473338,"")</f>
        <v>46.2614895335777</v>
      </c>
      <c r="K78" s="1">
        <f>IF(2985847&gt;0,100*1161896/2985847,"")</f>
        <v>38.913447340068</v>
      </c>
      <c r="L78" s="1">
        <f>IF(COUNT(J78:K78)=2,K78-J78,"")</f>
        <v>-7.3480421935097056</v>
      </c>
      <c r="O78" s="1">
        <v>4</v>
      </c>
      <c r="P78" s="1">
        <v>3</v>
      </c>
      <c r="Q78" s="1">
        <f>IF(2535025&gt;0,100*1351101/2535025,"")</f>
        <v>53.29734420765081</v>
      </c>
      <c r="R78" s="1">
        <f>IF(2262552&gt;0,100*649596/2262552,"")</f>
        <v>28.710765542626202</v>
      </c>
      <c r="S78" s="1">
        <f>IF(COUNT(Q78:R78)=2,R78-Q78,"")</f>
        <v>-24.586578665024607</v>
      </c>
    </row>
    <row r="79" spans="1:19">
      <c r="A79" s="1">
        <v>5</v>
      </c>
      <c r="B79" s="1">
        <v>4</v>
      </c>
      <c r="C79" s="1">
        <f>IF(2574341&gt;0,100*1256270/2574341,"")</f>
        <v>48.79967339214191</v>
      </c>
      <c r="D79" s="1">
        <f>IF(2064418&gt;0,100*639068/2064418,"")</f>
        <v>30.956327642948278</v>
      </c>
      <c r="E79" s="1">
        <f>IF(COUNT(C79:D79)=2,D79-C79,"")</f>
        <v>-17.843345749193634</v>
      </c>
      <c r="H79" s="1">
        <v>5</v>
      </c>
      <c r="I79" s="1">
        <v>4</v>
      </c>
      <c r="J79" s="1">
        <f>IF(2594432&gt;0,100*1209716/2594432,"")</f>
        <v>46.627392816616506</v>
      </c>
      <c r="K79" s="1">
        <f>IF(3010456&gt;0,100*1152255/3010456,"")</f>
        <v>38.27509852328019</v>
      </c>
      <c r="L79" s="1">
        <f>IF(COUNT(J79:K79)=2,K79-J79,"")</f>
        <v>-8.352294293336314</v>
      </c>
      <c r="O79" s="1">
        <v>5</v>
      </c>
      <c r="P79" s="1">
        <v>4</v>
      </c>
      <c r="Q79" s="1">
        <f>IF(2505160&gt;0,100*1184605/2505160,"")</f>
        <v>47.28660045665746</v>
      </c>
      <c r="R79" s="1">
        <f>IF(2544575&gt;0,100*891644/2544575,"")</f>
        <v>35.04097933839639</v>
      </c>
      <c r="S79" s="1">
        <f>IF(COUNT(Q79:R79)=2,R79-Q79,"")</f>
        <v>-12.24562111826107</v>
      </c>
    </row>
    <row r="80" spans="1:19">
      <c r="A80" s="1">
        <v>6</v>
      </c>
      <c r="B80" s="1">
        <v>5</v>
      </c>
      <c r="C80" s="1">
        <f>IF(2161281&gt;0,100*837619/2161281,"")</f>
        <v>38.75567314014235</v>
      </c>
      <c r="D80" s="1">
        <f>IF(2527678&gt;0,100*971974/2527678,"")</f>
        <v>38.45323652775393</v>
      </c>
      <c r="E80" s="1">
        <f>IF(COUNT(C80:D80)=2,D80-C80,"")</f>
        <v>-0.30243661238841923</v>
      </c>
      <c r="H80" s="1">
        <v>6</v>
      </c>
      <c r="I80" s="1">
        <v>5</v>
      </c>
      <c r="J80" s="1">
        <f>IF(2014532&gt;0,100*751916/2014532,"")</f>
        <v>37.3245994603213</v>
      </c>
      <c r="K80" s="1">
        <f>IF(2469800&gt;0,100*815901/2469800,"")</f>
        <v>33.03510405700867</v>
      </c>
      <c r="L80" s="1">
        <f>IF(COUNT(J80:K80)=2,K80-J80,"")</f>
        <v>-4.289495403312635</v>
      </c>
      <c r="O80" s="1">
        <v>6</v>
      </c>
      <c r="P80" s="1">
        <v>5</v>
      </c>
      <c r="Q80" s="1">
        <f>IF(2374865&gt;0,100*978839/2374865,"")</f>
        <v>41.21661652346555</v>
      </c>
      <c r="R80" s="1">
        <f>IF(2719000&gt;0,100*842589/2719000,"")</f>
        <v>30.98892975358588</v>
      </c>
      <c r="S80" s="1">
        <f>IF(COUNT(Q80:R80)=2,R80-Q80,"")</f>
        <v>-10.227686769879668</v>
      </c>
    </row>
    <row r="81" spans="1:19">
      <c r="A81" s="1">
        <v>7</v>
      </c>
      <c r="B81" s="1">
        <v>6</v>
      </c>
      <c r="C81" s="1">
        <f>IF(2322649&gt;0,100*1026425/2322649,"")</f>
        <v>44.19199801605839</v>
      </c>
      <c r="D81" s="1">
        <f>IF(14870&gt;0,100*2832/14870,"")</f>
        <v>19.045057162071284</v>
      </c>
      <c r="E81" s="1">
        <f>IF(COUNT(C81:D81)=2,D81-C81,"")</f>
        <v>-25.146940853987108</v>
      </c>
      <c r="H81" s="1">
        <v>7</v>
      </c>
      <c r="I81" s="1">
        <v>6</v>
      </c>
      <c r="J81" s="1">
        <f>IF(1377831&gt;0,100*8479/1377831,"")</f>
        <v>0.6153875184982773</v>
      </c>
      <c r="K81" s="1">
        <f>IF(1377831&gt;0,100*8479/1377831,"")</f>
        <v>0.6153875184982773</v>
      </c>
      <c r="L81" s="1">
        <f>IF(COUNT(J81:K81)=2,K81-J81,"")</f>
        <v>0.0</v>
      </c>
      <c r="O81" s="1">
        <v>7</v>
      </c>
      <c r="P81" s="1">
        <v>6</v>
      </c>
      <c r="Q81" s="1">
        <f>IF(985046&gt;0,100*15738/985046,"")</f>
        <v>1.5976918844399144</v>
      </c>
      <c r="R81" s="1">
        <f>IF(1571606&gt;0,100*325415/1571606,"")</f>
        <v>20.70588938957983</v>
      </c>
      <c r="S81" s="1">
        <f>IF(COUNT(Q81:R81)=2,R81-Q81,"")</f>
        <v>19.108197505139916</v>
      </c>
    </row>
    <row r="82" spans="1:19">
      <c r="A82" s="1">
        <v>8</v>
      </c>
      <c r="B82" s="1">
        <v>7</v>
      </c>
      <c r="C82" s="1">
        <f>IF(2162199&gt;0,100*1011109/2162199,"")</f>
        <v>46.76299452548077</v>
      </c>
      <c r="D82" s="1">
        <f>IF(2208417&gt;0,100*920565/2208417,"")</f>
        <v>41.68438297658459</v>
      </c>
      <c r="E82" s="1">
        <f>IF(COUNT(C82:D82)=2,D82-C82,"")</f>
        <v>-5.078611548896184</v>
      </c>
      <c r="H82" s="1">
        <v>8</v>
      </c>
      <c r="I82" s="1">
        <v>7</v>
      </c>
      <c r="J82" s="1">
        <f>IF(1201041&gt;0,100*14947/1201041,"")</f>
        <v>1.2445037263507241</v>
      </c>
      <c r="K82" s="1">
        <f>IF(1893284&gt;0,100*28049/1893284,"")</f>
        <v>1.481499870067037</v>
      </c>
      <c r="L82" s="1">
        <f>IF(COUNT(J82:K82)=2,K82-J82,"")</f>
        <v>0.23699614371631283</v>
      </c>
      <c r="O82" s="1">
        <v>8</v>
      </c>
      <c r="P82" s="1">
        <v>7</v>
      </c>
      <c r="Q82" s="1">
        <f>IF(1244696&gt;0,100*14076/1244696,"")</f>
        <v>1.13087854383721</v>
      </c>
      <c r="R82" s="1">
        <f>IF(1054807&gt;0,100*18549/1054807,"")</f>
        <v>1.7585207530856355</v>
      </c>
      <c r="S82" s="1">
        <f>IF(COUNT(Q82:R82)=2,R82-Q82,"")</f>
        <v>0.6276422092484255</v>
      </c>
    </row>
    <row r="83" spans="1:19">
      <c r="A83" s="1">
        <v>9</v>
      </c>
      <c r="B83" s="1">
        <v>8</v>
      </c>
      <c r="C83" s="1">
        <f>IF(1440745&gt;0,100*484807/1440745,"")</f>
        <v>33.64974370898389</v>
      </c>
      <c r="D83" s="1">
        <f>IF(2081643&gt;0,100*816144/2081643,"")</f>
        <v>39.206722766583894</v>
      </c>
      <c r="E83" s="1">
        <f>IF(COUNT(C83:D83)=2,D83-C83,"")</f>
        <v>5.556979057600003</v>
      </c>
      <c r="H83" s="1">
        <v>9</v>
      </c>
      <c r="I83" s="1">
        <v>8</v>
      </c>
      <c r="J83" s="1">
        <f>IF(2605328&gt;0,100*1210537/2605328,"")</f>
        <v>46.46390013080887</v>
      </c>
      <c r="K83" s="1">
        <f>IF(2870432&gt;0,100*1187738/2870432,"")</f>
        <v>41.378370921171445</v>
      </c>
      <c r="L83" s="1">
        <f>IF(COUNT(J83:K83)=2,K83-J83,"")</f>
        <v>-5.085529209637421</v>
      </c>
      <c r="O83" s="1">
        <v>9</v>
      </c>
      <c r="P83" s="1">
        <v>8</v>
      </c>
      <c r="Q83" s="1">
        <f>IF(2369232&gt;0,100*974673/2369232,"")</f>
        <v>41.138774083753724</v>
      </c>
      <c r="R83" s="1">
        <f>IF(2350198&gt;0,100*883955/2350198,"")</f>
        <v>37.6119373771912</v>
      </c>
      <c r="S83" s="1">
        <f>IF(COUNT(Q83:R83)=2,R83-Q83,"")</f>
        <v>-3.526836706562527</v>
      </c>
    </row>
    <row r="84" spans="1:19">
      <c r="A84" s="1">
        <v>10</v>
      </c>
      <c r="B84" s="1">
        <v>9</v>
      </c>
      <c r="C84" s="1">
        <f>IF(1168622&gt;0,100*16823/1168622,"")</f>
        <v>1.4395587281430609</v>
      </c>
      <c r="D84" s="1">
        <f>IF(1168622&gt;0,100*16823/1168622,"")</f>
        <v>1.4395587281430609</v>
      </c>
      <c r="E84" s="1">
        <f>IF(COUNT(C84:D84)=2,D84-C84,"")</f>
        <v>0.0</v>
      </c>
      <c r="H84" s="1">
        <v>10</v>
      </c>
      <c r="I84" s="1">
        <v>9</v>
      </c>
      <c r="J84" s="1">
        <f>IF(3065832&gt;0,100*1566994/3065832,"")</f>
        <v>51.11154166307873</v>
      </c>
      <c r="K84" s="1">
        <f>IF(1843185&gt;0,100*236588/1843185,"")</f>
        <v>12.83582494432192</v>
      </c>
      <c r="L84" s="1">
        <f>IF(COUNT(J84:K84)=2,K84-J84,"")</f>
        <v>-38.27571671875681</v>
      </c>
      <c r="O84" s="1">
        <v>10</v>
      </c>
      <c r="P84" s="1">
        <v>9</v>
      </c>
      <c r="Q84" s="1">
        <f>IF(2063235&gt;0,100*325107/2063235,"")</f>
        <v>15.757148361674748</v>
      </c>
      <c r="R84" s="1">
        <f>IF(1864866&gt;0,100*99980/1864866,"")</f>
        <v>5.36124311344622</v>
      </c>
      <c r="S84" s="1">
        <f>IF(COUNT(Q84:R84)=2,R84-Q84,"")</f>
        <v>-10.395905248228527</v>
      </c>
    </row>
    <row r="85" spans="1:19">
      <c r="A85" s="1">
        <v>11</v>
      </c>
      <c r="B85" s="1">
        <v>10</v>
      </c>
      <c r="C85" s="1">
        <f>IF(2209395&gt;0,100*1084873/2209395,"")</f>
        <v>49.1027181649275</v>
      </c>
      <c r="D85" s="1">
        <f>IF(2330633&gt;0,100*888681/2330633,"")</f>
        <v>38.130456403904006</v>
      </c>
      <c r="E85" s="1">
        <f>IF(COUNT(C85:D85)=2,D85-C85,"")</f>
        <v>-10.972261761023496</v>
      </c>
      <c r="H85" s="1">
        <v>11</v>
      </c>
      <c r="I85" s="1">
        <v>10</v>
      </c>
      <c r="J85" s="1">
        <f>IF(2870543&gt;0,100*1618419/2870543,"")</f>
        <v>56.380238860731225</v>
      </c>
      <c r="K85" s="1">
        <f>IF(2860771&gt;0,100*1056877/2860771,"")</f>
        <v>36.94378193850539</v>
      </c>
      <c r="L85" s="1">
        <f>IF(COUNT(J85:K85)=2,K85-J85,"")</f>
        <v>-19.436456922225837</v>
      </c>
      <c r="O85" s="1">
        <v>11</v>
      </c>
      <c r="P85" s="1">
        <v>10</v>
      </c>
      <c r="Q85" s="1">
        <f>IF(2712419&gt;0,100*1335644/2712419,"")</f>
        <v>49.241802243679906</v>
      </c>
      <c r="R85" s="1">
        <f>IF(3203689&gt;0,100*1272475/3203689,"")</f>
        <v>39.71905512676168</v>
      </c>
      <c r="S85" s="1">
        <f>IF(COUNT(Q85:R85)=2,R85-Q85,"")</f>
        <v>-9.522747116918225</v>
      </c>
    </row>
    <row r="86" spans="1:19">
      <c r="A86" s="1">
        <v>12</v>
      </c>
      <c r="B86" s="1">
        <v>11</v>
      </c>
      <c r="C86" s="1">
        <f>IF(2101751&gt;0,100*916475/2101751,"")</f>
        <v>43.605308145446344</v>
      </c>
      <c r="D86" s="1">
        <f>IF(1508296&gt;0,100*494857/1508296,"")</f>
        <v>32.80901096336528</v>
      </c>
      <c r="E86" s="1">
        <f>IF(COUNT(C86:D86)=2,D86-C86,"")</f>
        <v>-10.796297182081062</v>
      </c>
      <c r="H86" s="1">
        <v>12</v>
      </c>
      <c r="I86" s="1">
        <v>11</v>
      </c>
      <c r="J86" s="1">
        <f>IF(2321486&gt;0,100*1150766/2321486,"")</f>
        <v>49.57023217025647</v>
      </c>
      <c r="K86" s="1">
        <f>IF(2863581&gt;0,100*1006190/2863581,"")</f>
        <v>35.13747297527117</v>
      </c>
      <c r="L86" s="1">
        <f>IF(COUNT(J86:K86)=2,K86-J86,"")</f>
        <v>-14.432759194985294</v>
      </c>
      <c r="O86" s="1">
        <v>12</v>
      </c>
      <c r="P86" s="1">
        <v>11</v>
      </c>
      <c r="Q86" s="1">
        <f>IF(2923066&gt;0,100*1456418/2923066,"")</f>
        <v>49.825012503994095</v>
      </c>
      <c r="R86" s="1">
        <f>IF(2823677&gt;0,100*1005426/2823677,"")</f>
        <v>35.60697629367665</v>
      </c>
      <c r="S86" s="1">
        <f>IF(COUNT(Q86:R86)=2,R86-Q86,"")</f>
        <v>-14.218036210317443</v>
      </c>
    </row>
    <row r="87" spans="1:19">
      <c r="A87" s="1">
        <v>13</v>
      </c>
      <c r="B87" s="1">
        <v>12</v>
      </c>
      <c r="C87" s="1">
        <f>IF(2087661&gt;0,100*558523/2087661,"")</f>
        <v>26.753529428388998</v>
      </c>
      <c r="D87" s="1">
        <f>IF(1853063&gt;0,100*297122/1853063,"")</f>
        <v>16.034101377017404</v>
      </c>
      <c r="E87" s="1">
        <f>IF(COUNT(C87:D87)=2,D87-C87,"")</f>
        <v>-10.719428051371594</v>
      </c>
      <c r="H87" s="1">
        <v>13</v>
      </c>
      <c r="I87" s="1">
        <v>12</v>
      </c>
      <c r="J87" s="1">
        <f>IF(2390190&gt;0,100*1069032/2390190,"")</f>
        <v>44.72581677607219</v>
      </c>
      <c r="K87" s="1">
        <f>IF(2486840&gt;0,100*885155/2486840,"")</f>
        <v>35.5935645236525</v>
      </c>
      <c r="L87" s="1">
        <f>IF(COUNT(J87:K87)=2,K87-J87,"")</f>
        <v>-9.13225225241969</v>
      </c>
      <c r="O87" s="1">
        <v>13</v>
      </c>
      <c r="P87" s="1">
        <v>12</v>
      </c>
      <c r="Q87" s="1">
        <f>IF(1557676&gt;0,100*18730/1557676,"")</f>
        <v>1.2024323415138964</v>
      </c>
      <c r="R87" s="1">
        <f>IF(1557676&gt;0,100*18730/1557676,"")</f>
        <v>1.2024323415138964</v>
      </c>
      <c r="S87" s="1">
        <f>IF(COUNT(Q87:R87)=2,R87-Q87,"")</f>
        <v>0.0</v>
      </c>
    </row>
    <row r="88" spans="1:19">
      <c r="A88" s="1">
        <v>14</v>
      </c>
      <c r="B88" s="1">
        <v>13</v>
      </c>
      <c r="C88" s="1">
        <f>IF(1496156&gt;0,100*261177/1496156,"")</f>
        <v>17.456535281080313</v>
      </c>
      <c r="D88" s="1">
        <f>IF(384054&gt;0,100*118772/384054,"")</f>
        <v>30.92585938435741</v>
      </c>
      <c r="E88" s="1">
        <f>IF(COUNT(C88:D88)=2,D88-C88,"")</f>
        <v>13.469324103277096</v>
      </c>
      <c r="H88" s="1">
        <v>14</v>
      </c>
      <c r="I88" s="1">
        <v>13</v>
      </c>
      <c r="J88" s="1">
        <f>IF(1799691&gt;0,100*550790/1799691,"")</f>
        <v>30.604698250977528</v>
      </c>
      <c r="K88" s="1">
        <f>IF(1507980&gt;0,100*293155/1507980,"")</f>
        <v>19.440244565577792</v>
      </c>
      <c r="L88" s="1">
        <f>IF(COUNT(J88:K88)=2,K88-J88,"")</f>
        <v>-11.164453685399735</v>
      </c>
      <c r="O88" s="1">
        <v>14</v>
      </c>
      <c r="P88" s="1">
        <v>13</v>
      </c>
      <c r="Q88" s="1">
        <f>IF(1217487&gt;0,100*119562/1217487,"")</f>
        <v>9.820392332731274</v>
      </c>
      <c r="R88" s="1">
        <f>IF(1255357&gt;0,100*124913/1255357,"")</f>
        <v>9.950396580414974</v>
      </c>
      <c r="S88" s="1">
        <f>IF(COUNT(Q88:R88)=2,R88-Q88,"")</f>
        <v>0.13000424768370067</v>
      </c>
    </row>
    <row r="89" spans="1:19">
      <c r="A89" s="1">
        <v>15</v>
      </c>
      <c r="B89" s="1">
        <v>14</v>
      </c>
      <c r="C89" s="1">
        <f>IF(1933985&gt;0,100*847555/1933985,"")</f>
        <v>43.82427991944095</v>
      </c>
      <c r="D89" s="1">
        <f>IF(2196329&gt;0,100*848523/2196329,"")</f>
        <v>38.63369285749084</v>
      </c>
      <c r="E89" s="1">
        <f>IF(COUNT(C89:D89)=2,D89-C89,"")</f>
        <v>-5.190587061950104</v>
      </c>
      <c r="H89" s="1">
        <v>15</v>
      </c>
      <c r="I89" s="1">
        <v>14</v>
      </c>
      <c r="J89" s="1">
        <f>IF(2456423&gt;0,100*458635/2456423,"")</f>
        <v>18.670847814077625</v>
      </c>
      <c r="K89" s="1">
        <f>IF(2868093&gt;0,100*1034059/2868093,"")</f>
        <v>36.05388667661753</v>
      </c>
      <c r="L89" s="1">
        <f>IF(COUNT(J89:K89)=2,K89-J89,"")</f>
        <v>17.383038862539905</v>
      </c>
      <c r="O89" s="1">
        <v>15</v>
      </c>
      <c r="P89" s="1">
        <v>14</v>
      </c>
      <c r="Q89" s="1">
        <f>IF(2356524&gt;0,100*573959/2356524,"")</f>
        <v>24.35617035939375</v>
      </c>
      <c r="R89" s="1">
        <f>IF(2529489&gt;0,100*505515/2529489,"")</f>
        <v>19.984866508611027</v>
      </c>
      <c r="S89" s="1">
        <f>IF(COUNT(Q89:R89)=2,R89-Q89,"")</f>
        <v>-4.3713038507827235</v>
      </c>
    </row>
    <row r="90" spans="1:19">
      <c r="A90" s="1">
        <v>16</v>
      </c>
      <c r="B90" s="1">
        <v>15</v>
      </c>
      <c r="C90" s="1">
        <f>IF(2016018&gt;0,100*829052/2016018,"")</f>
        <v>41.12324393929023</v>
      </c>
      <c r="D90" s="1">
        <f>IF(2261789&gt;0,100*916452/2261789,"")</f>
        <v>40.5188989777561</v>
      </c>
      <c r="E90" s="1">
        <f>IF(COUNT(C90:D90)=2,D90-C90,"")</f>
        <v>-0.6043449615341245</v>
      </c>
      <c r="H90" s="1">
        <v>16</v>
      </c>
      <c r="I90" s="1">
        <v>15</v>
      </c>
      <c r="J90" s="1">
        <f>IF(2410914&gt;0,100*1100716/2410914,"")</f>
        <v>45.65554806185538</v>
      </c>
      <c r="K90" s="1">
        <f>IF(1813657&gt;0,100*331287/1813657,"")</f>
        <v>18.266243286354587</v>
      </c>
      <c r="L90" s="1">
        <f>IF(COUNT(J90:K90)=2,K90-J90,"")</f>
        <v>-27.38930477550079</v>
      </c>
      <c r="O90" s="1">
        <v>16</v>
      </c>
      <c r="P90" s="1">
        <v>15</v>
      </c>
      <c r="Q90" s="1">
        <f>IF(2715811&gt;0,100*1420140/2715811,"")</f>
        <v>52.29156226261695</v>
      </c>
      <c r="R90" s="1">
        <f>IF(2912293&gt;0,100*998502/2912293,"")</f>
        <v>34.28576726311535</v>
      </c>
      <c r="S90" s="1">
        <f>IF(COUNT(Q90:R90)=2,R90-Q90,"")</f>
        <v>-18.005794999501596</v>
      </c>
    </row>
    <row r="91" spans="1:19">
      <c r="A91" s="1">
        <v>17</v>
      </c>
      <c r="B91" s="1">
        <v>16</v>
      </c>
      <c r="C91" s="1">
        <f>IF(830136&gt;0,100*34541/830136,"")</f>
        <v>4.160884481578922</v>
      </c>
      <c r="D91" s="1">
        <f>IF(847245&gt;0,100*29051/847245,"")</f>
        <v>3.4288783055668666</v>
      </c>
      <c r="E91" s="1">
        <f>IF(COUNT(C91:D91)=2,D91-C91,"")</f>
        <v>-0.7320061760120553</v>
      </c>
      <c r="H91" s="1">
        <v>17</v>
      </c>
      <c r="I91" s="1">
        <v>16</v>
      </c>
      <c r="J91" s="1">
        <f>IF(196031&gt;0,100*5823/196031,"")</f>
        <v>2.970448551504609</v>
      </c>
      <c r="K91" s="1">
        <f>IF(196031&gt;0,100*5823/196031,"")</f>
        <v>2.970448551504609</v>
      </c>
      <c r="L91" s="1">
        <f>IF(COUNT(J91:K91)=2,K91-J91,"")</f>
        <v>0.0</v>
      </c>
      <c r="O91" s="1">
        <v>17</v>
      </c>
      <c r="P91" s="1">
        <v>16</v>
      </c>
      <c r="Q91" s="1">
        <f>IF(2285076&gt;0,100*953900/2285076,"")</f>
        <v>41.74478223043785</v>
      </c>
      <c r="R91" s="1">
        <f>IF(2390323&gt;0,100*825726/2390323,"")</f>
        <v>34.544536449676464</v>
      </c>
      <c r="S91" s="1">
        <f>IF(COUNT(Q91:R91)=2,R91-Q91,"")</f>
        <v>-7.200245780761385</v>
      </c>
    </row>
    <row r="92" spans="1:19">
      <c r="A92" s="1">
        <v>18</v>
      </c>
      <c r="B92" s="1">
        <v>17</v>
      </c>
      <c r="C92" s="1">
        <f>IF(1194547&gt;0,100*244244/1194547,"")</f>
        <v>20.446579330909543</v>
      </c>
      <c r="D92" s="1">
        <f>IF(1099404&gt;0,100*95789/1099404,"")</f>
        <v>8.71281166886786</v>
      </c>
      <c r="E92" s="1">
        <f>IF(COUNT(C92:D92)=2,D92-C92,"")</f>
        <v>-11.733767662041684</v>
      </c>
      <c r="H92" s="1">
        <v>18</v>
      </c>
      <c r="I92" s="1">
        <v>17</v>
      </c>
      <c r="J92" s="4"/>
      <c r="K92" s="1">
        <f>IF(2939758&gt;0,100*1040628/2939758,"")</f>
        <v>35.398423951903524</v>
      </c>
      <c r="L92" s="1">
        <f>IF(COUNT(J92:K92)=2,K92-J92,"")</f>
        <v/>
      </c>
      <c r="O92" s="1">
        <v>18</v>
      </c>
      <c r="P92" s="1">
        <v>17</v>
      </c>
      <c r="Q92" s="1">
        <f>IF(2825816&gt;0,100*1323547/2825816,"")</f>
        <v>46.83769219227296</v>
      </c>
      <c r="R92" s="1">
        <f>IF(3047548&gt;0,100*1142259/3047548,"")</f>
        <v>37.4812472190758</v>
      </c>
      <c r="S92" s="1">
        <f>IF(COUNT(Q92:R92)=2,R92-Q92,"")</f>
        <v>-9.356444973197164</v>
      </c>
    </row>
    <row r="93" spans="1:19">
      <c r="A93" s="1">
        <v>19</v>
      </c>
      <c r="B93" s="1">
        <v>18</v>
      </c>
      <c r="C93" s="1">
        <f>IF(1931560&gt;0,100*912771/1931560,"")</f>
        <v>47.25563792996335</v>
      </c>
      <c r="D93" s="1">
        <f>IF(2475923&gt;0,100*1128096/2475923,"")</f>
        <v>45.56264471875741</v>
      </c>
      <c r="E93" s="1">
        <f>IF(COUNT(C93:D93)=2,D93-C93,"")</f>
        <v>-1.6929932112059376</v>
      </c>
      <c r="H93" s="1">
        <v>19</v>
      </c>
      <c r="I93" s="1">
        <v>18</v>
      </c>
      <c r="J93" s="1">
        <f>IF(1855523&gt;0,100*552371/1855523,"")</f>
        <v>29.76901930075779</v>
      </c>
      <c r="K93" s="1">
        <f>IF(2109783&gt;0,100*426601/2109783,"")</f>
        <v>20.220136383694438</v>
      </c>
      <c r="L93" s="1">
        <f>IF(COUNT(J93:K93)=2,K93-J93,"")</f>
        <v>-9.548882917063352</v>
      </c>
      <c r="O93" s="1">
        <v>19</v>
      </c>
      <c r="P93" s="1">
        <v>18</v>
      </c>
      <c r="Q93" s="1">
        <f>IF(2510684&gt;0,100*1031580/2510684,"")</f>
        <v>41.08760799845779</v>
      </c>
      <c r="R93" s="1">
        <f>IF(2001322&gt;0,100*405772/2001322,"")</f>
        <v>20.275198094059828</v>
      </c>
      <c r="S93" s="1">
        <f>IF(COUNT(Q93:R93)=2,R93-Q93,"")</f>
        <v>-20.812409904397963</v>
      </c>
    </row>
    <row r="94" spans="1:19">
      <c r="A94" s="1">
        <v>20</v>
      </c>
      <c r="B94" s="1">
        <v>19</v>
      </c>
      <c r="C94" s="1">
        <f>IF(2025286&gt;0,100*867239/2025286,"")</f>
        <v>42.82056953931445</v>
      </c>
      <c r="D94" s="1">
        <f>IF(2328656&gt;0,100*962016/2328656,"")</f>
        <v>41.31207013831154</v>
      </c>
      <c r="E94" s="1">
        <f>IF(COUNT(C94:D94)=2,D94-C94,"")</f>
        <v>-1.5084994010029078</v>
      </c>
      <c r="H94" s="1">
        <v>20</v>
      </c>
      <c r="I94" s="1">
        <v>19</v>
      </c>
      <c r="J94" s="1">
        <f>IF(2440076&gt;0,100*960305/2440076,"")</f>
        <v>39.355536466896936</v>
      </c>
      <c r="K94" s="1">
        <f>IF(2171314&gt;0,100*586155/2171314,"")</f>
        <v>26.995404625954606</v>
      </c>
      <c r="L94" s="1">
        <f>IF(COUNT(J94:K94)=2,K94-J94,"")</f>
        <v>-12.36013184094233</v>
      </c>
      <c r="O94" s="1">
        <v>20</v>
      </c>
      <c r="P94" s="1">
        <v>19</v>
      </c>
      <c r="Q94" s="1">
        <f>IF(3041216&gt;0,100*1439290/3041216,"")</f>
        <v>47.32613533533955</v>
      </c>
      <c r="R94" s="1">
        <f>IF(2589248&gt;0,100*894057/2589248,"")</f>
        <v>34.52960087253133</v>
      </c>
      <c r="S94" s="1">
        <f>IF(COUNT(Q94:R94)=2,R94-Q94,"")</f>
        <v>-12.796534462808218</v>
      </c>
    </row>
    <row r="95" spans="1:19">
      <c r="A95" s="1">
        <v>21</v>
      </c>
      <c r="B95" s="1">
        <v>20</v>
      </c>
      <c r="C95" s="1">
        <f>IF(2094148&gt;0,100*1039154/2094148,"")</f>
        <v>49.62180323453739</v>
      </c>
      <c r="D95" s="1">
        <f>IF(2125994&gt;0,100*883478/2125994,"")</f>
        <v>41.55599686546623</v>
      </c>
      <c r="E95" s="1">
        <f>IF(COUNT(C95:D95)=2,D95-C95,"")</f>
        <v>-8.065806369071161</v>
      </c>
      <c r="H95" s="1">
        <v>21</v>
      </c>
      <c r="I95" s="1">
        <v>20</v>
      </c>
      <c r="J95" s="1">
        <f>IF(2683747&gt;0,100*1388722/2683747,"")</f>
        <v>51.74563772218469</v>
      </c>
      <c r="K95" s="1">
        <f>IF(1893315&gt;0,100*421751/1893315,"")</f>
        <v>22.275796684650995</v>
      </c>
      <c r="L95" s="1">
        <f>IF(COUNT(J95:K95)=2,K95-J95,"")</f>
        <v>-29.469841037533694</v>
      </c>
      <c r="O95" s="1">
        <v>21</v>
      </c>
      <c r="P95" s="1">
        <v>20</v>
      </c>
      <c r="Q95" s="1">
        <f>IF(2268817&gt;0,100*1102753/2268817,"")</f>
        <v>48.60475745730044</v>
      </c>
      <c r="R95" s="1">
        <f>IF(2879559&gt;0,100*1197696/2879559,"")</f>
        <v>41.593035600242956</v>
      </c>
      <c r="S95" s="1">
        <f>IF(COUNT(Q95:R95)=2,R95-Q95,"")</f>
        <v>-7.011721857057481</v>
      </c>
    </row>
    <row r="96" spans="1:19">
      <c r="A96" s="1">
        <v>22</v>
      </c>
      <c r="B96" s="1">
        <v>21</v>
      </c>
      <c r="C96" s="1">
        <f>IF(1002018&gt;0,100*273571/1002018,"")</f>
        <v>27.302004554808395</v>
      </c>
      <c r="D96" s="1">
        <f>IF(2239507&gt;0,100*1012280/2239507,"")</f>
        <v>45.20101968870827</v>
      </c>
      <c r="E96" s="1">
        <f>IF(COUNT(C96:D96)=2,D96-C96,"")</f>
        <v>17.899015133899876</v>
      </c>
      <c r="H96" s="1">
        <v>22</v>
      </c>
      <c r="I96" s="1">
        <v>21</v>
      </c>
      <c r="J96" s="1">
        <f>IF(2557965&gt;0,100*1179736/2557965,"")</f>
        <v>46.12009937587106</v>
      </c>
      <c r="K96" s="1">
        <f>IF(2253216&gt;0,100*805113/2253216,"")</f>
        <v>35.73172745089685</v>
      </c>
      <c r="L96" s="1">
        <f>IF(COUNT(J96:K96)=2,K96-J96,"")</f>
        <v>-10.388371924974209</v>
      </c>
      <c r="O96" s="1">
        <v>22</v>
      </c>
      <c r="P96" s="1">
        <v>21</v>
      </c>
      <c r="Q96" s="1">
        <f>IF(1946233&gt;0,100*656202/1946233,"")</f>
        <v>33.71651801197493</v>
      </c>
      <c r="R96" s="1">
        <f>IF(2455732&gt;0,100*880017/2455732,"")</f>
        <v>35.83522143295767</v>
      </c>
      <c r="S96" s="1">
        <f>IF(COUNT(Q96:R96)=2,R96-Q96,"")</f>
        <v>2.1187034209827402</v>
      </c>
    </row>
    <row r="97" spans="1:19">
      <c r="A97" s="1">
        <v>23</v>
      </c>
      <c r="B97" s="1">
        <v>22</v>
      </c>
      <c r="C97" s="1">
        <f>IF(795260&gt;0,100*1236/795260,"")</f>
        <v>0.15542086864673188</v>
      </c>
      <c r="D97" s="1">
        <f>IF(795260&gt;0,100*1236/795260,"")</f>
        <v>0.15542086864673188</v>
      </c>
      <c r="E97" s="1">
        <f>IF(COUNT(C97:D97)=2,D97-C97,"")</f>
        <v>0.0</v>
      </c>
      <c r="H97" s="1">
        <v>23</v>
      </c>
      <c r="I97" s="1">
        <v>22</v>
      </c>
      <c r="J97" s="1">
        <f>IF(2773812&gt;0,100*1410215/2773812,"")</f>
        <v>50.84032371335909</v>
      </c>
      <c r="K97" s="1">
        <f>IF(2598154&gt;0,100*970990/2598154,"")</f>
        <v>37.372303566301305</v>
      </c>
      <c r="L97" s="1">
        <f>IF(COUNT(J97:K97)=2,K97-J97,"")</f>
        <v>-13.468020147057786</v>
      </c>
      <c r="O97" s="1">
        <v>23</v>
      </c>
      <c r="P97" s="1">
        <v>22</v>
      </c>
      <c r="Q97" s="1">
        <f>IF(2188846&gt;0,100*938113/2188846,"")</f>
        <v>42.858794086016104</v>
      </c>
      <c r="R97" s="1">
        <f>IF(2664849&gt;0,100*927710/2664849,"")</f>
        <v>34.812854311820296</v>
      </c>
      <c r="S97" s="1">
        <f>IF(COUNT(Q97:R97)=2,R97-Q97,"")</f>
        <v>-8.045939774195809</v>
      </c>
    </row>
    <row r="98" spans="1:19">
      <c r="A98" s="1">
        <v>24</v>
      </c>
      <c r="B98" s="1">
        <v>23</v>
      </c>
      <c r="C98" s="1">
        <f>IF(1888679&gt;0,100*755365/1888679,"")</f>
        <v>39.99435584342284</v>
      </c>
      <c r="D98" s="1">
        <f>IF(1745890&gt;0,100*411811/1745890,"")</f>
        <v>23.58745396330811</v>
      </c>
      <c r="E98" s="1">
        <f>IF(COUNT(C98:D98)=2,D98-C98,"")</f>
        <v>-16.406901880114727</v>
      </c>
      <c r="H98" s="1">
        <v>24</v>
      </c>
      <c r="I98" s="1">
        <v>23</v>
      </c>
      <c r="J98" s="1">
        <f>IF(2330232&gt;0,100*1039149/2330232,"")</f>
        <v>44.594229244126765</v>
      </c>
      <c r="K98" s="1">
        <f>IF(3097687&gt;0,100*1204142/3097687,"")</f>
        <v>38.87229406973655</v>
      </c>
      <c r="L98" s="1">
        <f>IF(COUNT(J98:K98)=2,K98-J98,"")</f>
        <v>-5.721935174390218</v>
      </c>
      <c r="O98" s="1">
        <v>24</v>
      </c>
      <c r="P98" s="1">
        <v>23</v>
      </c>
      <c r="Q98" s="1">
        <f>IF(2075098&gt;0,100*737576/2075098,"")</f>
        <v>35.544152613515124</v>
      </c>
      <c r="R98" s="1">
        <f>IF(2559635&gt;0,100*732814/2559635,"")</f>
        <v>28.62962883379857</v>
      </c>
      <c r="S98" s="1">
        <f>IF(COUNT(Q98:R98)=2,R98-Q98,"")</f>
        <v>-6.9145237797165535</v>
      </c>
    </row>
    <row r="99" spans="1:19">
      <c r="A99" s="1">
        <v>25</v>
      </c>
      <c r="B99" s="1">
        <v>24</v>
      </c>
      <c r="C99" s="1">
        <f>IF(2046231&gt;0,100*862149/2046231,"")</f>
        <v>42.1335127852134</v>
      </c>
      <c r="D99" s="1">
        <f>IF(2065401&gt;0,100*747367/2065401,"")</f>
        <v>36.18507979806343</v>
      </c>
      <c r="E99" s="1">
        <f>IF(COUNT(C99:D99)=2,D99-C99,"")</f>
        <v>-5.948432987149971</v>
      </c>
      <c r="H99" s="1">
        <v>25</v>
      </c>
      <c r="I99" s="1">
        <v>24</v>
      </c>
      <c r="J99" s="1">
        <f>IF(2687496&gt;0,100*1356682/2687496,"")</f>
        <v>50.481265832581705</v>
      </c>
      <c r="K99" s="1">
        <f>IF(2151023&gt;0,100*535837/2151023,"")</f>
        <v>24.9107982573873</v>
      </c>
      <c r="L99" s="1">
        <f>IF(COUNT(J99:K99)=2,K99-J99,"")</f>
        <v>-25.570467575194407</v>
      </c>
      <c r="O99" s="1">
        <v>25</v>
      </c>
      <c r="P99" s="1">
        <v>24</v>
      </c>
      <c r="Q99" s="1">
        <f>IF(2348758&gt;0,100*912656/2348758,"")</f>
        <v>38.856961849624355</v>
      </c>
      <c r="R99" s="1">
        <f>IF(2529072&gt;0,100*768848/2529072,"")</f>
        <v>30.400399830451644</v>
      </c>
      <c r="S99" s="1">
        <f>IF(COUNT(Q99:R99)=2,R99-Q99,"")</f>
        <v>-8.456562019172711</v>
      </c>
    </row>
    <row r="100" spans="1:19">
      <c r="A100" s="1">
        <v>26</v>
      </c>
      <c r="B100" s="1">
        <v>25</v>
      </c>
      <c r="C100" s="1">
        <f>IF(2173027&gt;0,100*1021557/2173027,"")</f>
        <v>47.01078265479444</v>
      </c>
      <c r="D100" s="1">
        <f>IF(2278656&gt;0,100*947124/2278656,"")</f>
        <v>41.56502780586451</v>
      </c>
      <c r="E100" s="1">
        <f>IF(COUNT(C100:D100)=2,D100-C100,"")</f>
        <v>-5.44575484892993</v>
      </c>
      <c r="H100" s="1">
        <v>26</v>
      </c>
      <c r="I100" s="1">
        <v>25</v>
      </c>
      <c r="J100" s="1">
        <f>IF(1369843&gt;0,100*81159/1369843,"")</f>
        <v>5.9246935597729085</v>
      </c>
      <c r="K100" s="1">
        <f>IF(1768430&gt;0,100*386157/1768430,"")</f>
        <v>21.83614844805845</v>
      </c>
      <c r="L100" s="1">
        <f>IF(COUNT(J100:K100)=2,K100-J100,"")</f>
        <v>15.91145488828554</v>
      </c>
      <c r="O100" s="1">
        <v>26</v>
      </c>
      <c r="P100" s="1">
        <v>25</v>
      </c>
      <c r="Q100" s="1">
        <f>IF(2790743&gt;0,100*1533326/2790743,"")</f>
        <v>54.94328929607635</v>
      </c>
      <c r="R100" s="1">
        <f>IF(2170925&gt;0,100*488837/2170925,"")</f>
        <v>22.51745223810127</v>
      </c>
      <c r="S100" s="1">
        <f>IF(COUNT(Q100:R100)=2,R100-Q100,"")</f>
        <v>-32.42583705797508</v>
      </c>
    </row>
    <row r="101" spans="1:19">
      <c r="A101" s="1">
        <v>27</v>
      </c>
      <c r="B101" s="1">
        <v>26</v>
      </c>
      <c r="C101" s="1">
        <f>IF(2068375&gt;0,100*1076315/2068375,"")</f>
        <v>52.03674382063214</v>
      </c>
      <c r="D101" s="1">
        <f>IF(2407601&gt;0,100*1096292/2407601,"")</f>
        <v>45.53462139283046</v>
      </c>
      <c r="E101" s="1">
        <f>IF(COUNT(C101:D101)=2,D101-C101,"")</f>
        <v>-6.50212242780168</v>
      </c>
      <c r="H101" s="1">
        <v>27</v>
      </c>
      <c r="I101" s="1">
        <v>26</v>
      </c>
      <c r="J101" s="1">
        <f>IF(1770443&gt;0,100*418105/1770443,"")</f>
        <v>23.615840781092643</v>
      </c>
      <c r="K101" s="1">
        <f>IF(1756693&gt;0,100*449272/1756693,"")</f>
        <v>25.574872786536975</v>
      </c>
      <c r="L101" s="1">
        <f>IF(COUNT(J101:K101)=2,K101-J101,"")</f>
        <v>1.9590320054443318</v>
      </c>
      <c r="O101" s="1">
        <v>27</v>
      </c>
      <c r="P101" s="1">
        <v>26</v>
      </c>
      <c r="Q101" s="1">
        <f>IF(2101248&gt;0,100*444433/2101248,"")</f>
        <v>21.150906508893762</v>
      </c>
      <c r="R101" s="1">
        <f>IF(3208646&gt;0,100*1342799/3208646,"")</f>
        <v>41.84939691072184</v>
      </c>
      <c r="S101" s="1">
        <f>IF(COUNT(Q101:R101)=2,R101-Q101,"")</f>
        <v>20.69849040182808</v>
      </c>
    </row>
    <row r="102" spans="1:19">
      <c r="A102" s="1">
        <v>28</v>
      </c>
      <c r="B102" s="1">
        <v>27</v>
      </c>
      <c r="C102" s="1">
        <f>IF(1174000&gt;0,100*3059/1174000,"")</f>
        <v>0.2605621805792164</v>
      </c>
      <c r="D102" s="1">
        <f>IF(1174000&gt;0,100*3059/1174000,"")</f>
        <v>0.2605621805792164</v>
      </c>
      <c r="E102" s="1">
        <f>IF(COUNT(C102:D102)=2,D102-C102,"")</f>
        <v>0.0</v>
      </c>
      <c r="H102" s="1">
        <v>28</v>
      </c>
      <c r="I102" s="1">
        <v>27</v>
      </c>
      <c r="J102" s="1">
        <f>IF(2046482&gt;0,100*638275/2046482,"")</f>
        <v>31.18888903005255</v>
      </c>
      <c r="K102" s="1">
        <f>IF(2462196&gt;0,100*776645/2462196,"")</f>
        <v>31.542777260624256</v>
      </c>
      <c r="L102" s="1">
        <f>IF(COUNT(J102:K102)=2,K102-J102,"")</f>
        <v>0.35388823057170526</v>
      </c>
      <c r="O102" s="1">
        <v>28</v>
      </c>
      <c r="P102" s="1">
        <v>27</v>
      </c>
      <c r="Q102" s="1">
        <f>IF(2324907&gt;0,100*896618/2324907,"")</f>
        <v>38.5657576840708</v>
      </c>
      <c r="R102" s="1">
        <f>IF(2699171&gt;0,100*1053547/2699171,"")</f>
        <v>39.03224360368424</v>
      </c>
      <c r="S102" s="1">
        <f>IF(COUNT(Q102:R102)=2,R102-Q102,"")</f>
        <v>0.4664859196134401</v>
      </c>
    </row>
    <row r="103" spans="1:19">
      <c r="A103" s="1">
        <v>29</v>
      </c>
      <c r="B103" s="1">
        <v>28</v>
      </c>
      <c r="C103" s="1">
        <f>IF(2083503&gt;0,100*1007639/2083503,"")</f>
        <v>48.362733338996875</v>
      </c>
      <c r="D103" s="1">
        <f>IF(2263963&gt;0,100*922651/2263963,"")</f>
        <v>40.75380207185365</v>
      </c>
      <c r="E103" s="1">
        <f>IF(COUNT(C103:D103)=2,D103-C103,"")</f>
        <v>-7.608931267143227</v>
      </c>
      <c r="H103" s="1">
        <v>29</v>
      </c>
      <c r="I103" s="1">
        <v>28</v>
      </c>
      <c r="J103" s="1">
        <f>IF(2576958&gt;0,100*1290348/2576958,"")</f>
        <v>50.072527375300645</v>
      </c>
      <c r="K103" s="1">
        <f>IF(2304794&gt;0,100*808054/2304794,"")</f>
        <v>35.05970598673895</v>
      </c>
      <c r="L103" s="1">
        <f>IF(COUNT(J103:K103)=2,K103-J103,"")</f>
        <v>-15.012821388561697</v>
      </c>
      <c r="O103" s="1">
        <v>29</v>
      </c>
      <c r="P103" s="1">
        <v>28</v>
      </c>
      <c r="Q103" s="1">
        <f>IF(2240165&gt;0,100*1016922/2240165,"")</f>
        <v>45.39495974626869</v>
      </c>
      <c r="R103" s="1">
        <f>IF(2700256&gt;0,100*966459/2700256,"")</f>
        <v>35.79138422431058</v>
      </c>
      <c r="S103" s="1">
        <f>IF(COUNT(Q103:R103)=2,R103-Q103,"")</f>
        <v>-9.603575521958106</v>
      </c>
    </row>
    <row r="104" spans="1:19">
      <c r="A104" s="1">
        <v>30</v>
      </c>
      <c r="B104" s="1">
        <v>29</v>
      </c>
      <c r="C104" s="1">
        <f>IF(2234870&gt;0,100*1080496/2234870,"")</f>
        <v>48.34715218334847</v>
      </c>
      <c r="D104" s="1">
        <f>IF(2251931&gt;0,100*818353/2251931,"")</f>
        <v>36.34005660031324</v>
      </c>
      <c r="E104" s="1">
        <f>IF(COUNT(C104:D104)=2,D104-C104,"")</f>
        <v>-12.00709558303523</v>
      </c>
      <c r="H104" s="1">
        <v>30</v>
      </c>
      <c r="I104" s="1">
        <v>29</v>
      </c>
      <c r="J104" s="1">
        <f>IF(1911633&gt;0,100*586958/1911633,"")</f>
        <v>30.704533767726335</v>
      </c>
      <c r="K104" s="1">
        <f>IF(1918603&gt;0,100*553137/1918603,"")</f>
        <v>28.830195720532075</v>
      </c>
      <c r="L104" s="1">
        <f>IF(COUNT(J104:K104)=2,K104-J104,"")</f>
        <v>-1.8743380471942608</v>
      </c>
      <c r="O104" s="1">
        <v>30</v>
      </c>
      <c r="P104" s="1">
        <v>29</v>
      </c>
      <c r="Q104" s="1">
        <f>IF(1054742&gt;0,100*14563/1054742,"")</f>
        <v>1.3807168008859039</v>
      </c>
      <c r="R104" s="1">
        <f>IF(1049076&gt;0,100*12239/1049076,"")</f>
        <v>1.1666456958313793</v>
      </c>
      <c r="S104" s="1">
        <f>IF(COUNT(Q104:R104)=2,R104-Q104,"")</f>
        <v>-0.21407110505452454</v>
      </c>
    </row>
    <row r="105" spans="1:19">
      <c r="A105" s="1">
        <v>31</v>
      </c>
      <c r="B105" s="1">
        <v>30</v>
      </c>
      <c r="C105" s="1">
        <f>IF(1611966&gt;0,100*408242/1611966,"")</f>
        <v>25.32572026953422</v>
      </c>
      <c r="D105" s="1">
        <f>IF(1567880&gt;0,100*123351/1567880,"")</f>
        <v>7.8673750542133325</v>
      </c>
      <c r="E105" s="1">
        <f>IF(COUNT(C105:D105)=2,D105-C105,"")</f>
        <v>-17.458345215320886</v>
      </c>
      <c r="H105" s="1">
        <v>31</v>
      </c>
      <c r="I105" s="1">
        <v>30</v>
      </c>
      <c r="J105" s="1">
        <f>IF(1813572&gt;0,100*419503/1813572,"")</f>
        <v>23.131312128771288</v>
      </c>
      <c r="K105" s="1">
        <f>IF(2341668&gt;0,100*733869/2341668,"")</f>
        <v>31.339583578884795</v>
      </c>
      <c r="L105" s="1">
        <f>IF(COUNT(J105:K105)=2,K105-J105,"")</f>
        <v>8.208271450113507</v>
      </c>
      <c r="O105" s="1">
        <v>31</v>
      </c>
      <c r="P105" s="1">
        <v>30</v>
      </c>
      <c r="Q105" s="1">
        <f>IF(2344140&gt;0,100*1034103/2344140,"")</f>
        <v>44.11438736594231</v>
      </c>
      <c r="R105" s="1">
        <f>IF(2327901&gt;0,100*827494/2327901,"")</f>
        <v>35.54678656867281</v>
      </c>
      <c r="S105" s="1">
        <f>IF(COUNT(Q105:R105)=2,R105-Q105,"")</f>
        <v>-8.567600797269499</v>
      </c>
    </row>
    <row r="106" spans="1:19">
      <c r="A106" s="2" t="s">
        <v>6</v>
      </c>
      <c r="B106" s="1"/>
      <c r="C106" s="1">
        <f>IF(COUNT(C75:C105)&gt;0,AVERAGE(C75:C105),"")</f>
        <v>34.139885623640744</v>
      </c>
      <c r="D106" s="1">
        <f>IF(COUNT(D75:D105)&gt;0,AVERAGE(D75:D105),"")</f>
        <v>29.06585574491237</v>
      </c>
      <c r="E106" s="1">
        <f>IF(COUNT(E75:E105)&gt;0,AVERAGE(E75:E105),"")</f>
        <v>-5.074029878728374</v>
      </c>
      <c r="H106" s="2" t="s">
        <v>6</v>
      </c>
      <c r="I106" s="1"/>
      <c r="J106" s="1">
        <f>IF(COUNT(J75:J105)&gt;0,AVERAGE(J75:J105),"")</f>
        <v>36.56494216191195</v>
      </c>
      <c r="K106" s="1">
        <f>IF(COUNT(K75:K105)&gt;0,AVERAGE(K75:K105),"")</f>
        <v>27.28484429370622</v>
      </c>
      <c r="L106" s="1">
        <f>IF(COUNT(L75:L105)&gt;0,AVERAGE(L75:L105),"")</f>
        <v>-9.550550523478972</v>
      </c>
      <c r="O106" s="2" t="s">
        <v>6</v>
      </c>
      <c r="P106" s="1"/>
      <c r="Q106" s="1">
        <f>IF(COUNT(Q75:Q105)&gt;0,AVERAGE(Q75:Q105),"")</f>
        <v>34.28456187402019</v>
      </c>
      <c r="R106" s="1">
        <f>IF(COUNT(R75:R105)&gt;0,AVERAGE(R75:R105),"")</f>
        <v>27.546670837847113</v>
      </c>
      <c r="S106" s="1">
        <f>IF(COUNT(S75:S105)&gt;0,AVERAGE(S75:S105),"")</f>
        <v>-6.737891036173081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IF(1025565&gt;0,100*254231/1025565,"")</f>
        <v>24.789360011310837</v>
      </c>
      <c r="D3" s="1">
        <f>IF(897533&gt;0,100*131263/897533,"")</f>
        <v>14.624866160909962</v>
      </c>
      <c r="E3" s="1">
        <f>IF(COUNT(C3:D3)=2,D3-C3,"")</f>
        <v>-10.164493850400875</v>
      </c>
      <c r="H3" s="1">
        <v>1</v>
      </c>
      <c r="I3" s="1">
        <v>0</v>
      </c>
      <c r="J3" s="1">
        <f>IF(1360559&gt;0,100*350066/1360559,"")</f>
        <v>25.729571448206215</v>
      </c>
      <c r="K3" s="1">
        <f>IF(1020134&gt;0,100*136154/1020134,"")</f>
        <v>13.346677985441127</v>
      </c>
      <c r="L3" s="1">
        <f>IF(COUNT(J3:K3)=2,K3-J3,"")</f>
        <v>-12.382893462765088</v>
      </c>
      <c r="O3" s="1">
        <v>1</v>
      </c>
      <c r="P3" s="1">
        <v>0</v>
      </c>
      <c r="Q3" s="1">
        <f>IF(1611169&gt;0,100*528552/1611169,"")</f>
        <v>32.80549712662049</v>
      </c>
      <c r="R3" s="1">
        <f>IF(788180&gt;0,100*61376/788180,"")</f>
        <v>7.7870537186936994</v>
      </c>
      <c r="S3" s="1">
        <f>IF(COUNT(Q3:R3)=2,R3-Q3,"")</f>
        <v>-25.01844340792679</v>
      </c>
    </row>
    <row r="4" spans="1:19">
      <c r="A4" s="1">
        <v>2</v>
      </c>
      <c r="B4" s="1">
        <v>1</v>
      </c>
      <c r="C4" s="1">
        <f>IF(1608611&gt;0,100*585743/1608611,"")</f>
        <v>36.41296746074719</v>
      </c>
      <c r="D4" s="1">
        <f>IF(1348775&gt;0,100*356253/1348775,"")</f>
        <v>26.4130785342255</v>
      </c>
      <c r="E4" s="1">
        <f>IF(COUNT(C4:D4)=2,D4-C4,"")</f>
        <v>-9.999888926521688</v>
      </c>
      <c r="H4" s="1">
        <v>2</v>
      </c>
      <c r="I4" s="1">
        <v>1</v>
      </c>
      <c r="J4" s="1">
        <f>IF(1080061&gt;0,100*195305/1080061,"")</f>
        <v>18.082774954377577</v>
      </c>
      <c r="K4" s="1">
        <f>IF(1460363&gt;0,100*362305/1460363,"")</f>
        <v>24.809242633509612</v>
      </c>
      <c r="L4" s="1">
        <f>IF(COUNT(J4:K4)=2,K4-J4,"")</f>
        <v>6.7264676791320355</v>
      </c>
      <c r="O4" s="1">
        <v>2</v>
      </c>
      <c r="P4" s="1">
        <v>1</v>
      </c>
      <c r="Q4" s="1">
        <f>IF(1467133&gt;0,100*488009/1467133,"")</f>
        <v>33.26276486180871</v>
      </c>
      <c r="R4" s="1">
        <f>IF(1537405&gt;0,100*354999/1537405,"")</f>
        <v>23.0907926018193</v>
      </c>
      <c r="S4" s="1">
        <f>IF(COUNT(Q4:R4)=2,R4-Q4,"")</f>
        <v>-10.171972259989413</v>
      </c>
    </row>
    <row r="5" spans="1:19">
      <c r="A5" s="1">
        <v>3</v>
      </c>
      <c r="B5" s="1">
        <v>2</v>
      </c>
      <c r="C5" s="1">
        <f>IF(1615726&gt;0,100*621491/1615726,"")</f>
        <v>38.46512341820333</v>
      </c>
      <c r="D5" s="1">
        <f>IF(1429887&gt;0,100*388535/1429887,"")</f>
        <v>27.172426912056686</v>
      </c>
      <c r="E5" s="1">
        <f>IF(COUNT(C5:D5)=2,D5-C5,"")</f>
        <v>-11.292696506146648</v>
      </c>
      <c r="H5" s="1">
        <v>3</v>
      </c>
      <c r="I5" s="1">
        <v>2</v>
      </c>
      <c r="J5" s="1">
        <f>IF(1770666&gt;0,100*210556/1770666,"")</f>
        <v>11.891344838608749</v>
      </c>
      <c r="K5" s="1">
        <f>IF(1302363&gt;0,100*204920/1302363,"")</f>
        <v>15.734476486202388</v>
      </c>
      <c r="L5" s="1">
        <f>IF(COUNT(J5:K5)=2,K5-J5,"")</f>
        <v>3.843131647593639</v>
      </c>
      <c r="O5" s="1">
        <v>3</v>
      </c>
      <c r="P5" s="1">
        <v>2</v>
      </c>
      <c r="Q5" s="1">
        <f>IF(1770413&gt;0,100*588287/1770413,"")</f>
        <v>33.228800285583084</v>
      </c>
      <c r="R5" s="1">
        <f>IF(1612012&gt;0,100*372437/1612012,"")</f>
        <v>23.103860269030257</v>
      </c>
      <c r="S5" s="1">
        <f>IF(COUNT(Q5:R5)=2,R5-Q5,"")</f>
        <v>-10.124940016552827</v>
      </c>
    </row>
    <row r="6" spans="1:19">
      <c r="A6" s="1">
        <v>4</v>
      </c>
      <c r="B6" s="1">
        <v>3</v>
      </c>
      <c r="C6" s="1">
        <f>IF(1681360&gt;0,100*632235/1681360,"")</f>
        <v>37.60259551791407</v>
      </c>
      <c r="D6" s="1">
        <f>IF(1414692&gt;0,100*331272/1414692,"")</f>
        <v>23.416545792299665</v>
      </c>
      <c r="E6" s="1">
        <f>IF(COUNT(C6:D6)=2,D6-C6,"")</f>
        <v>-14.186049725614403</v>
      </c>
      <c r="H6" s="1">
        <v>4</v>
      </c>
      <c r="I6" s="1">
        <v>3</v>
      </c>
      <c r="J6" s="1">
        <f>IF(1249184&gt;0,100*192969/1249184,"")</f>
        <v>15.447604196019162</v>
      </c>
      <c r="K6" s="1">
        <f>IF(928815&gt;0,100*40517/928815,"")</f>
        <v>4.362224985599931</v>
      </c>
      <c r="L6" s="1">
        <f>IF(COUNT(J6:K6)=2,K6-J6,"")</f>
        <v>-11.08537921041923</v>
      </c>
      <c r="O6" s="1">
        <v>4</v>
      </c>
      <c r="P6" s="1">
        <v>3</v>
      </c>
      <c r="Q6" s="1">
        <f>IF(851878&gt;0,100*27960/851878,"")</f>
        <v>3.2821601215197482</v>
      </c>
      <c r="R6" s="1">
        <f>IF(920900&gt;0,100*92797/920900,"")</f>
        <v>10.076772722336845</v>
      </c>
      <c r="S6" s="1">
        <f>IF(COUNT(Q6:R6)=2,R6-Q6,"")</f>
        <v>6.794612600817096</v>
      </c>
    </row>
    <row r="7" spans="1:19">
      <c r="A7" s="1">
        <v>5</v>
      </c>
      <c r="B7" s="1">
        <v>4</v>
      </c>
      <c r="C7" s="1">
        <f>IF(1534810&gt;0,100*544323/1534810,"")</f>
        <v>35.46517158475642</v>
      </c>
      <c r="D7" s="1">
        <f>IF(904328&gt;0,100*154256/904328,"")</f>
        <v>17.057527799647914</v>
      </c>
      <c r="E7" s="1">
        <f>IF(COUNT(C7:D7)=2,D7-C7,"")</f>
        <v>-18.407643785108505</v>
      </c>
      <c r="H7" s="1">
        <v>5</v>
      </c>
      <c r="I7" s="1">
        <v>4</v>
      </c>
      <c r="J7" s="1">
        <f>IF(1559950&gt;0,100*448934/1559950,"")</f>
        <v>28.77874290842655</v>
      </c>
      <c r="K7" s="1">
        <f>IF(1675385&gt;0,100*437706/1675385,"")</f>
        <v>26.125696481704207</v>
      </c>
      <c r="L7" s="1">
        <f>IF(COUNT(J7:K7)=2,K7-J7,"")</f>
        <v>-2.6530464267223444</v>
      </c>
      <c r="O7" s="1">
        <v>5</v>
      </c>
      <c r="P7" s="1">
        <v>4</v>
      </c>
      <c r="Q7" s="1">
        <f>IF(1545033&gt;0,100*593590/1545033,"")</f>
        <v>38.419244119704885</v>
      </c>
      <c r="R7" s="1">
        <f>IF(1494737&gt;0,100*358295/1494737,"")</f>
        <v>23.97043760875659</v>
      </c>
      <c r="S7" s="1">
        <f>IF(COUNT(Q7:R7)=2,R7-Q7,"")</f>
        <v>-14.448806510948295</v>
      </c>
    </row>
    <row r="8" spans="1:19">
      <c r="A8" s="1">
        <v>6</v>
      </c>
      <c r="B8" s="1">
        <v>5</v>
      </c>
      <c r="C8" s="1">
        <f>IF(1481795&gt;0,100*384291/1481795,"")</f>
        <v>25.93415418462068</v>
      </c>
      <c r="D8" s="1">
        <f>IF(1135011&gt;0,100*160908/1135011,"")</f>
        <v>14.176778903464372</v>
      </c>
      <c r="E8" s="1">
        <f>IF(COUNT(C8:D8)=2,D8-C8,"")</f>
        <v>-11.757375281156309</v>
      </c>
      <c r="H8" s="1">
        <v>6</v>
      </c>
      <c r="I8" s="1">
        <v>5</v>
      </c>
      <c r="J8" s="1">
        <f>IF(1363284&gt;0,100*338111/1363284,"")</f>
        <v>24.801215300700367</v>
      </c>
      <c r="K8" s="1">
        <f>IF(1334504&gt;0,100*272749/1334504,"")</f>
        <v>20.438230233854675</v>
      </c>
      <c r="L8" s="1">
        <f>IF(COUNT(J8:K8)=2,K8-J8,"")</f>
        <v>-4.362985066845692</v>
      </c>
      <c r="O8" s="1">
        <v>6</v>
      </c>
      <c r="P8" s="1">
        <v>5</v>
      </c>
      <c r="Q8" s="1">
        <f>IF(1496153&gt;0,100*372992/1496153,"")</f>
        <v>24.930070654538675</v>
      </c>
      <c r="R8" s="1">
        <f>IF(1435953&gt;0,100*308297/1435953,"")</f>
        <v>21.469853121933657</v>
      </c>
      <c r="S8" s="1">
        <f>IF(COUNT(Q8:R8)=2,R8-Q8,"")</f>
        <v>-3.460217532605018</v>
      </c>
    </row>
    <row r="9" spans="1:19">
      <c r="A9" s="1">
        <v>7</v>
      </c>
      <c r="B9" s="1">
        <v>6</v>
      </c>
      <c r="C9" s="1">
        <f>IF(1693230&gt;0,100*659152/1693230,"")</f>
        <v>38.92867478133508</v>
      </c>
      <c r="D9" s="1">
        <f>IF(1191386&gt;0,100*182746/1191386,"")</f>
        <v>15.33894136744934</v>
      </c>
      <c r="E9" s="1">
        <f>IF(COUNT(C9:D9)=2,D9-C9,"")</f>
        <v>-23.589733413885742</v>
      </c>
      <c r="H9" s="1">
        <v>7</v>
      </c>
      <c r="I9" s="1">
        <v>6</v>
      </c>
      <c r="J9" s="1">
        <f>IF(681918&gt;0,100*6217/681918,"")</f>
        <v>0.9116931947829504</v>
      </c>
      <c r="K9" s="1">
        <f>IF(809515&gt;0,100*18244/809515,"")</f>
        <v>2.253695113740944</v>
      </c>
      <c r="L9" s="1">
        <f>IF(COUNT(J9:K9)=2,K9-J9,"")</f>
        <v>1.3420019189579935</v>
      </c>
      <c r="O9" s="1">
        <v>7</v>
      </c>
      <c r="P9" s="1">
        <v>6</v>
      </c>
      <c r="Q9" s="1">
        <f>IF(1286739&gt;0,100*333741/1286739,"")</f>
        <v>25.93696157495809</v>
      </c>
      <c r="R9" s="1">
        <f>IF(705970&gt;0,100*33033/705970,"")</f>
        <v>4.679094012493449</v>
      </c>
      <c r="S9" s="1">
        <f>IF(COUNT(Q9:R9)=2,R9-Q9,"")</f>
        <v>-21.25786756246464</v>
      </c>
    </row>
    <row r="10" spans="1:19">
      <c r="A10" s="1">
        <v>8</v>
      </c>
      <c r="B10" s="1">
        <v>7</v>
      </c>
      <c r="C10" s="1">
        <f>IF(1832737&gt;0,100*772049/1832737,"")</f>
        <v>42.12546590154506</v>
      </c>
      <c r="D10" s="1">
        <f>IF(1503601&gt;0,100*447299/1503601,"")</f>
        <v>29.74851706004452</v>
      </c>
      <c r="E10" s="1">
        <f>IF(COUNT(C10:D10)=2,D10-C10,"")</f>
        <v>-12.376948841500543</v>
      </c>
      <c r="H10" s="1">
        <v>8</v>
      </c>
      <c r="I10" s="1">
        <v>7</v>
      </c>
      <c r="J10" s="1">
        <f>IF(655547&gt;0,100*1454/655547,"")</f>
        <v>0.2217995048409954</v>
      </c>
      <c r="K10" s="1">
        <f>IF(857802&gt;0,100*53170/857802,"")</f>
        <v>6.19840009699208</v>
      </c>
      <c r="L10" s="1">
        <f>IF(COUNT(J10:K10)=2,K10-J10,"")</f>
        <v>5.976600592151084</v>
      </c>
      <c r="O10" s="1">
        <v>8</v>
      </c>
      <c r="P10" s="1">
        <v>7</v>
      </c>
      <c r="Q10" s="1">
        <f>IF(589319&gt;0,100*4560/589319,"")</f>
        <v>0.773774475284184</v>
      </c>
      <c r="R10" s="1">
        <f>IF(673211&gt;0,100*17597/673211,"")</f>
        <v>2.6138907415357147</v>
      </c>
      <c r="S10" s="1">
        <f>IF(COUNT(Q10:R10)=2,R10-Q10,"")</f>
        <v>1.8401162662515307</v>
      </c>
    </row>
    <row r="11" spans="1:19">
      <c r="A11" s="1">
        <v>9</v>
      </c>
      <c r="B11" s="1">
        <v>8</v>
      </c>
      <c r="C11" s="1">
        <f>IF(1595971&gt;0,100*597472/1595971,"")</f>
        <v>37.43626920539283</v>
      </c>
      <c r="D11" s="1">
        <f>IF(1430544&gt;0,100*410904/1430544,"")</f>
        <v>28.723618427675067</v>
      </c>
      <c r="E11" s="1">
        <f>IF(COUNT(C11:D11)=2,D11-C11,"")</f>
        <v>-8.712650777717766</v>
      </c>
      <c r="H11" s="1">
        <v>9</v>
      </c>
      <c r="I11" s="1">
        <v>8</v>
      </c>
      <c r="J11" s="1">
        <f>IF(1710121&gt;0,100*526664/1710121,"")</f>
        <v>30.79688513268944</v>
      </c>
      <c r="K11" s="1">
        <f>IF(1919465&gt;0,100*643648/1919465,"")</f>
        <v>33.53267707408054</v>
      </c>
      <c r="L11" s="1">
        <f>IF(COUNT(J11:K11)=2,K11-J11,"")</f>
        <v>2.735791941391099</v>
      </c>
      <c r="O11" s="1">
        <v>9</v>
      </c>
      <c r="P11" s="1">
        <v>8</v>
      </c>
      <c r="Q11" s="1">
        <f>IF(1425170&gt;0,100*455531/1425170,"")</f>
        <v>31.96327455671955</v>
      </c>
      <c r="R11" s="1">
        <f>IF(1885847&gt;0,100*590795/1885847,"")</f>
        <v>31.327833063869974</v>
      </c>
      <c r="S11" s="1">
        <f>IF(COUNT(Q11:R11)=2,R11-Q11,"")</f>
        <v>-0.6354414928495764</v>
      </c>
    </row>
    <row r="12" spans="1:19">
      <c r="A12" s="1">
        <v>10</v>
      </c>
      <c r="B12" s="1">
        <v>9</v>
      </c>
      <c r="C12" s="1">
        <f>IF(1793318&gt;0,100*560859/1793318,"")</f>
        <v>31.27493283399821</v>
      </c>
      <c r="D12" s="1">
        <f>IF(802153&gt;0,100*10319/802153,"")</f>
        <v>1.2864129411720706</v>
      </c>
      <c r="E12" s="1">
        <f>IF(COUNT(C12:D12)=2,D12-C12,"")</f>
        <v>-29.98851989282614</v>
      </c>
      <c r="H12" s="1">
        <v>10</v>
      </c>
      <c r="I12" s="1">
        <v>9</v>
      </c>
      <c r="J12" s="1">
        <f>IF(1173418&gt;0,100*250711/1173418,"")</f>
        <v>21.365873030752894</v>
      </c>
      <c r="K12" s="1">
        <f>IF(1287667&gt;0,100*208102/1287667,"")</f>
        <v>16.161165891492132</v>
      </c>
      <c r="L12" s="1">
        <f>IF(COUNT(J12:K12)=2,K12-J12,"")</f>
        <v>-5.204707139260762</v>
      </c>
      <c r="O12" s="1">
        <v>10</v>
      </c>
      <c r="P12" s="1">
        <v>9</v>
      </c>
      <c r="Q12" s="1">
        <f>IF(1151234&gt;0,100*222783/1151234,"")</f>
        <v>19.351669599751222</v>
      </c>
      <c r="R12" s="1">
        <f>IF(1100066&gt;0,100*109351/1100066,"")</f>
        <v>9.940403575785453</v>
      </c>
      <c r="S12" s="1">
        <f>IF(COUNT(Q12:R12)=2,R12-Q12,"")</f>
        <v>-9.41126602396577</v>
      </c>
    </row>
    <row r="13" spans="1:19">
      <c r="A13" s="1">
        <v>11</v>
      </c>
      <c r="B13" s="1">
        <v>10</v>
      </c>
      <c r="C13" s="1">
        <f>IF(1514166&gt;0,100*450931/1514166,"")</f>
        <v>29.78081663437166</v>
      </c>
      <c r="D13" s="1">
        <f>IF(1577634&gt;0,100*460924/1577634,"")</f>
        <v>29.21615533133794</v>
      </c>
      <c r="E13" s="1">
        <f>IF(COUNT(C13:D13)=2,D13-C13,"")</f>
        <v>-0.56466130303372</v>
      </c>
      <c r="H13" s="1">
        <v>11</v>
      </c>
      <c r="I13" s="1">
        <v>10</v>
      </c>
      <c r="J13" s="1">
        <f>IF(1146506&gt;0,100*57993/1146506,"")</f>
        <v>5.058237811228201</v>
      </c>
      <c r="K13" s="1">
        <f>IF(1256571&gt;0,100*121791/1256571,"")</f>
        <v>9.692329363004557</v>
      </c>
      <c r="L13" s="1">
        <f>IF(COUNT(J13:K13)=2,K13-J13,"")</f>
        <v>4.634091551776356</v>
      </c>
      <c r="O13" s="1">
        <v>11</v>
      </c>
      <c r="P13" s="1">
        <v>10</v>
      </c>
      <c r="Q13" s="1">
        <f>IF(1057778&gt;0,100*7899/1057778,"")</f>
        <v>0.7467540447995704</v>
      </c>
      <c r="R13" s="1">
        <f>IF(1047103&gt;0,100*51683/1047103,"")</f>
        <v>4.93580860717618</v>
      </c>
      <c r="S13" s="1">
        <f>IF(COUNT(Q13:R13)=2,R13-Q13,"")</f>
        <v>4.18905456237661</v>
      </c>
    </row>
    <row r="14" spans="1:19">
      <c r="A14" s="1">
        <v>12</v>
      </c>
      <c r="B14" s="1">
        <v>11</v>
      </c>
      <c r="C14" s="1">
        <f>IF(1480420&gt;0,100*530595/1480420,"")</f>
        <v>35.84084246362519</v>
      </c>
      <c r="D14" s="1">
        <f>IF(1200533&gt;0,100*306879/1200533,"")</f>
        <v>25.561896257745516</v>
      </c>
      <c r="E14" s="1">
        <f>IF(COUNT(C14:D14)=2,D14-C14,"")</f>
        <v>-10.27894620587967</v>
      </c>
      <c r="H14" s="1">
        <v>12</v>
      </c>
      <c r="I14" s="1">
        <v>11</v>
      </c>
      <c r="J14" s="1">
        <f>IF(979595&gt;0,100*35929/979595,"")</f>
        <v>3.6677402395888095</v>
      </c>
      <c r="K14" s="1">
        <f>IF(1251206&gt;0,100*198288/1251206,"")</f>
        <v>15.84775009071248</v>
      </c>
      <c r="L14" s="1">
        <f>IF(COUNT(J14:K14)=2,K14-J14,"")</f>
        <v>12.180009851123671</v>
      </c>
      <c r="O14" s="1">
        <v>12</v>
      </c>
      <c r="P14" s="1">
        <v>11</v>
      </c>
      <c r="Q14" s="1">
        <f>IF(1932101&gt;0,100*714622/1932101,"")</f>
        <v>36.98678278205953</v>
      </c>
      <c r="R14" s="1">
        <f>IF(1076095&gt;0,100*67384/1076095,"")</f>
        <v>6.261900668621265</v>
      </c>
      <c r="S14" s="1">
        <f>IF(COUNT(Q14:R14)=2,R14-Q14,"")</f>
        <v>-30.724882113438262</v>
      </c>
    </row>
    <row r="15" spans="1:19">
      <c r="A15" s="1">
        <v>13</v>
      </c>
      <c r="B15" s="1">
        <v>12</v>
      </c>
      <c r="C15" s="1">
        <f>IF(1625411&gt;0,100*523021/1625411,"")</f>
        <v>32.177769191915154</v>
      </c>
      <c r="D15" s="1">
        <f>IF(1039192&gt;0,100*161988/1039192,"")</f>
        <v>15.587879814317278</v>
      </c>
      <c r="E15" s="1">
        <f>IF(COUNT(C15:D15)=2,D15-C15,"")</f>
        <v>-16.589889377597878</v>
      </c>
      <c r="H15" s="1">
        <v>13</v>
      </c>
      <c r="I15" s="1">
        <v>12</v>
      </c>
      <c r="J15" s="1">
        <f>IF(1997433&gt;0,100*770522/1997433,"")</f>
        <v>38.575611797742404</v>
      </c>
      <c r="K15" s="1">
        <f>IF(1176161&gt;0,100*187786/1176161,"")</f>
        <v>15.966011455914623</v>
      </c>
      <c r="L15" s="1">
        <f>IF(COUNT(J15:K15)=2,K15-J15,"")</f>
        <v>-22.60960034182778</v>
      </c>
      <c r="O15" s="1">
        <v>13</v>
      </c>
      <c r="P15" s="1">
        <v>12</v>
      </c>
      <c r="Q15" s="1">
        <f>IF(931018&gt;0,100*79093/931018,"")</f>
        <v>8.495324472781407</v>
      </c>
      <c r="R15" s="1">
        <f>IF(1206963&gt;0,100*208766/1206963,"")</f>
        <v>17.296801973217075</v>
      </c>
      <c r="S15" s="1">
        <f>IF(COUNT(Q15:R15)=2,R15-Q15,"")</f>
        <v>8.801477500435668</v>
      </c>
    </row>
    <row r="16" spans="1:19">
      <c r="A16" s="1">
        <v>14</v>
      </c>
      <c r="B16" s="1">
        <v>13</v>
      </c>
      <c r="C16" s="1">
        <f>IF(929730&gt;0,100*189375/929730,"")</f>
        <v>20.368816753250943</v>
      </c>
      <c r="D16" s="1">
        <f>IF(1183531&gt;0,100*108831/1183531,"")</f>
        <v>9.195449886821722</v>
      </c>
      <c r="E16" s="1">
        <f>IF(COUNT(C16:D16)=2,D16-C16,"")</f>
        <v>-11.173366866429221</v>
      </c>
      <c r="H16" s="1">
        <v>14</v>
      </c>
      <c r="I16" s="1">
        <v>13</v>
      </c>
      <c r="J16" s="1">
        <f>IF(1084239&gt;0,100*226536/1084239,"")</f>
        <v>20.893548378171232</v>
      </c>
      <c r="K16" s="1">
        <f>IF(950859&gt;0,100*142131/950859,"")</f>
        <v>14.947642079425025</v>
      </c>
      <c r="L16" s="1">
        <f>IF(COUNT(J16:K16)=2,K16-J16,"")</f>
        <v>-5.945906298746207</v>
      </c>
      <c r="O16" s="1">
        <v>14</v>
      </c>
      <c r="P16" s="1">
        <v>13</v>
      </c>
      <c r="Q16" s="1">
        <f>IF(670550&gt;0,100*11588/670550,"")</f>
        <v>1.7281336216538663</v>
      </c>
      <c r="R16" s="1">
        <f>IF(923403&gt;0,100*116741/923403,"")</f>
        <v>12.64247571212136</v>
      </c>
      <c r="S16" s="1">
        <f>IF(COUNT(Q16:R16)=2,R16-Q16,"")</f>
        <v>10.914342090467494</v>
      </c>
    </row>
    <row r="17" spans="1:19">
      <c r="A17" s="1">
        <v>15</v>
      </c>
      <c r="B17" s="1">
        <v>14</v>
      </c>
      <c r="C17" s="1">
        <f>IF(1540895&gt;0,100*542667/1540895,"")</f>
        <v>35.217649482930376</v>
      </c>
      <c r="D17" s="1">
        <f>IF(1800546&gt;0,100*576759/1800546,"")</f>
        <v>32.03245015678578</v>
      </c>
      <c r="E17" s="1">
        <f>IF(COUNT(C17:D17)=2,D17-C17,"")</f>
        <v>-3.1851993261445983</v>
      </c>
      <c r="H17" s="1">
        <v>15</v>
      </c>
      <c r="I17" s="1">
        <v>14</v>
      </c>
      <c r="J17" s="1">
        <f>IF(1976548&gt;0,100*795333/1976548,"")</f>
        <v>40.238486492612374</v>
      </c>
      <c r="K17" s="1">
        <f>IF(4911&gt;0,100*674/4911,"")</f>
        <v>13.724292404805539</v>
      </c>
      <c r="L17" s="1">
        <f>IF(COUNT(J17:K17)=2,K17-J17,"")</f>
        <v>-26.514194087806835</v>
      </c>
      <c r="O17" s="1">
        <v>15</v>
      </c>
      <c r="P17" s="1">
        <v>14</v>
      </c>
      <c r="Q17" s="1">
        <f>IF(1789842&gt;0,100*586809/1789842,"")</f>
        <v>32.78551961569792</v>
      </c>
      <c r="R17" s="1">
        <f>IF(1369726&gt;0,100*309983/1369726,"")</f>
        <v>22.631022554875937</v>
      </c>
      <c r="S17" s="1">
        <f>IF(COUNT(Q17:R17)=2,R17-Q17,"")</f>
        <v>-10.154497060821985</v>
      </c>
    </row>
    <row r="18" spans="1:19">
      <c r="A18" s="1">
        <v>16</v>
      </c>
      <c r="B18" s="1">
        <v>15</v>
      </c>
      <c r="C18" s="1">
        <f>IF(1507412&gt;0,100*534395/1507412,"")</f>
        <v>35.45115734782528</v>
      </c>
      <c r="D18" s="1">
        <f>IF(1557297&gt;0,100*453170/1557297,"")</f>
        <v>29.099779939215193</v>
      </c>
      <c r="E18" s="1">
        <f>IF(COUNT(C18:D18)=2,D18-C18,"")</f>
        <v>-6.351377408610087</v>
      </c>
      <c r="H18" s="1">
        <v>16</v>
      </c>
      <c r="I18" s="1">
        <v>15</v>
      </c>
      <c r="J18" s="1">
        <f>IF(1507965&gt;0,100*427666/1507965,"")</f>
        <v>28.36047255738694</v>
      </c>
      <c r="K18" s="1">
        <f>IF(1067927&gt;0,100*190710/1067927,"")</f>
        <v>17.857962201536246</v>
      </c>
      <c r="L18" s="1">
        <f>IF(COUNT(J18:K18)=2,K18-J18,"")</f>
        <v>-10.502510355850696</v>
      </c>
      <c r="O18" s="1">
        <v>16</v>
      </c>
      <c r="P18" s="1">
        <v>15</v>
      </c>
      <c r="Q18" s="1">
        <f>IF(1644242&gt;0,100*542962/1644242,"")</f>
        <v>33.02202473845091</v>
      </c>
      <c r="R18" s="1">
        <f>IF(1249694&gt;0,100*275339/1249694,"")</f>
        <v>22.032513559319323</v>
      </c>
      <c r="S18" s="1">
        <f>IF(COUNT(Q18:R18)=2,R18-Q18,"")</f>
        <v>-10.989511179131586</v>
      </c>
    </row>
    <row r="19" spans="1:19">
      <c r="A19" s="1">
        <v>17</v>
      </c>
      <c r="B19" s="1">
        <v>16</v>
      </c>
      <c r="C19" s="1">
        <f>IF(642367&gt;0,100*51947/642367,"")</f>
        <v>8.08681018794552</v>
      </c>
      <c r="D19" s="1">
        <f>IF(569894&gt;0,100*12023/569894,"")</f>
        <v>2.1096905740365752</v>
      </c>
      <c r="E19" s="1">
        <f>IF(COUNT(C19:D19)=2,D19-C19,"")</f>
        <v>-5.977119613908945</v>
      </c>
      <c r="H19" s="1">
        <v>17</v>
      </c>
      <c r="I19" s="1">
        <v>16</v>
      </c>
      <c r="J19" s="1">
        <f>IF(1858121&gt;0,100*695653/1858121,"")</f>
        <v>37.4385198811057</v>
      </c>
      <c r="K19" s="1">
        <f>IF(1565147&gt;0,100*384426/1565147,"")</f>
        <v>24.561654592188464</v>
      </c>
      <c r="L19" s="1">
        <f>IF(COUNT(J19:K19)=2,K19-J19,"")</f>
        <v>-12.876865288917234</v>
      </c>
      <c r="O19" s="1">
        <v>17</v>
      </c>
      <c r="P19" s="1">
        <v>16</v>
      </c>
      <c r="Q19" s="1">
        <f>IF(1134999&gt;0,100*244255/1134999,"")</f>
        <v>21.520283277782625</v>
      </c>
      <c r="R19" s="1">
        <f>IF(1493311&gt;0,100*326312/1493311,"")</f>
        <v>21.851576798135152</v>
      </c>
      <c r="S19" s="1">
        <f>IF(COUNT(Q19:R19)=2,R19-Q19,"")</f>
        <v>0.3312935203525278</v>
      </c>
    </row>
    <row r="20" spans="1:19">
      <c r="A20" s="1">
        <v>18</v>
      </c>
      <c r="B20" s="1">
        <v>17</v>
      </c>
      <c r="C20" s="1">
        <f>IF(594640&gt;0,100*3581/594640,"")</f>
        <v>0.6022131037266245</v>
      </c>
      <c r="D20" s="1">
        <f>IF(628769&gt;0,100*4754/628769,"")</f>
        <v>0.756080531960068</v>
      </c>
      <c r="E20" s="1">
        <f>IF(COUNT(C20:D20)=2,D20-C20,"")</f>
        <v>0.15386742823344346</v>
      </c>
      <c r="H20" s="1">
        <v>18</v>
      </c>
      <c r="I20" s="1">
        <v>17</v>
      </c>
      <c r="J20" s="1">
        <f>IF(1593567&gt;0,100*381148/1593567,"")</f>
        <v>23.917914966863645</v>
      </c>
      <c r="K20" s="1">
        <f>IF(938789&gt;0,100*72934/938789,"")</f>
        <v>7.76894488537893</v>
      </c>
      <c r="L20" s="1">
        <f>IF(COUNT(J20:K20)=2,K20-J20,"")</f>
        <v>-16.148970081484716</v>
      </c>
      <c r="O20" s="1">
        <v>18</v>
      </c>
      <c r="P20" s="1">
        <v>17</v>
      </c>
      <c r="Q20" s="1">
        <f>IF(1362366&gt;0,100*418939/1362366,"")</f>
        <v>30.750840816638114</v>
      </c>
      <c r="R20" s="1">
        <f>IF(1016283&gt;0,100*83997/1016283,"")</f>
        <v>8.265119066244344</v>
      </c>
      <c r="S20" s="1">
        <f>IF(COUNT(Q20:R20)=2,R20-Q20,"")</f>
        <v>-22.485721750393772</v>
      </c>
    </row>
    <row r="21" spans="1:19">
      <c r="A21" s="1">
        <v>19</v>
      </c>
      <c r="B21" s="1">
        <v>18</v>
      </c>
      <c r="C21" s="1">
        <f>IF(1610751&gt;0,100*584870/1610751,"")</f>
        <v>36.31039186069107</v>
      </c>
      <c r="D21" s="1">
        <f>IF(1625250&gt;0,100*503738/1625250,"")</f>
        <v>30.994493154899246</v>
      </c>
      <c r="E21" s="1">
        <f>IF(COUNT(C21:D21)=2,D21-C21,"")</f>
        <v>-5.315898705791824</v>
      </c>
      <c r="H21" s="1">
        <v>19</v>
      </c>
      <c r="I21" s="1">
        <v>18</v>
      </c>
      <c r="J21" s="1">
        <f>IF(959902&gt;0,100*142934/959902,"")</f>
        <v>14.89047840300364</v>
      </c>
      <c r="K21" s="1">
        <f>IF(1051598&gt;0,100*153627/1051598,"")</f>
        <v>14.60890948822649</v>
      </c>
      <c r="L21" s="1">
        <f>IF(COUNT(J21:K21)=2,K21-J21,"")</f>
        <v>-0.28156891477715007</v>
      </c>
      <c r="O21" s="1">
        <v>19</v>
      </c>
      <c r="P21" s="1">
        <v>18</v>
      </c>
      <c r="Q21" s="1">
        <f>IF(1024717&gt;0,100*193814/1024717,"")</f>
        <v>18.91390500987102</v>
      </c>
      <c r="R21" s="1">
        <f>IF(1168126&gt;0,100*105140/1168126,"")</f>
        <v>9.000741358380859</v>
      </c>
      <c r="S21" s="1">
        <f>IF(COUNT(Q21:R21)=2,R21-Q21,"")</f>
        <v>-9.91316365149016</v>
      </c>
    </row>
    <row r="22" spans="1:19">
      <c r="A22" s="1">
        <v>20</v>
      </c>
      <c r="B22" s="1">
        <v>19</v>
      </c>
      <c r="C22" s="1">
        <f>IF(1151574&gt;0,100*385861/1151574,"")</f>
        <v>33.50726918113816</v>
      </c>
      <c r="D22" s="1">
        <f>IF(1495627&gt;0,100*328260/1495627,"")</f>
        <v>21.947985694294097</v>
      </c>
      <c r="E22" s="1">
        <f>IF(COUNT(C22:D22)=2,D22-C22,"")</f>
        <v>-11.559283486844066</v>
      </c>
      <c r="H22" s="1">
        <v>20</v>
      </c>
      <c r="I22" s="1">
        <v>19</v>
      </c>
      <c r="J22" s="1">
        <f>IF(795490&gt;0,100*93263/795490,"")</f>
        <v>11.723968874530163</v>
      </c>
      <c r="K22" s="1">
        <f>IF(1081008&gt;0,100*53579/1081008,"")</f>
        <v>4.956392552136524</v>
      </c>
      <c r="L22" s="1">
        <f>IF(COUNT(J22:K22)=2,K22-J22,"")</f>
        <v>-6.767576322393639</v>
      </c>
      <c r="O22" s="1">
        <v>20</v>
      </c>
      <c r="P22" s="1">
        <v>19</v>
      </c>
      <c r="Q22" s="1">
        <f>IF(1318480&gt;0,100*350952/1318480,"")</f>
        <v>26.617923669680238</v>
      </c>
      <c r="R22" s="1">
        <f>IF(1140511&gt;0,100*76762/1140511,"")</f>
        <v>6.730491858473965</v>
      </c>
      <c r="S22" s="1">
        <f>IF(COUNT(Q22:R22)=2,R22-Q22,"")</f>
        <v>-19.887431811206273</v>
      </c>
    </row>
    <row r="23" spans="1:19">
      <c r="A23" s="1">
        <v>21</v>
      </c>
      <c r="B23" s="1">
        <v>20</v>
      </c>
      <c r="C23" s="1">
        <f>IF(1068079&gt;0,100*233010/1068079,"")</f>
        <v>21.815802014644984</v>
      </c>
      <c r="D23" s="1">
        <f>IF(1331505&gt;0,100*358903/1331505,"")</f>
        <v>26.954686614019476</v>
      </c>
      <c r="E23" s="1">
        <f>IF(COUNT(C23:D23)=2,D23-C23,"")</f>
        <v>5.138884599374492</v>
      </c>
      <c r="H23" s="1">
        <v>21</v>
      </c>
      <c r="I23" s="1">
        <v>20</v>
      </c>
      <c r="J23" s="1">
        <f>IF(2064525&gt;0,100*814911/2064525,"")</f>
        <v>39.47208195589785</v>
      </c>
      <c r="K23" s="1">
        <f>IF(1386411&gt;0,100*230180/1386411,"")</f>
        <v>16.602580331517853</v>
      </c>
      <c r="L23" s="1">
        <f>IF(COUNT(J23:K23)=2,K23-J23,"")</f>
        <v>-22.869501624379996</v>
      </c>
      <c r="O23" s="1">
        <v>21</v>
      </c>
      <c r="P23" s="1">
        <v>20</v>
      </c>
      <c r="Q23" s="1">
        <f>IF(988289&gt;0,100*243580/988289,"")</f>
        <v>24.646636763133053</v>
      </c>
      <c r="R23" s="1">
        <f>IF(1218527&gt;0,100*166666/1218527,"")</f>
        <v>13.67766163572904</v>
      </c>
      <c r="S23" s="1">
        <f>IF(COUNT(Q23:R23)=2,R23-Q23,"")</f>
        <v>-10.968975127404013</v>
      </c>
    </row>
    <row r="24" spans="1:19">
      <c r="A24" s="1">
        <v>22</v>
      </c>
      <c r="B24" s="1">
        <v>21</v>
      </c>
      <c r="C24" s="1">
        <f>IF(1338290&gt;0,100*468761/1338290,"")</f>
        <v>35.0268626381427</v>
      </c>
      <c r="D24" s="1">
        <f>IF(487361&gt;0,100*54053/487361,"")</f>
        <v>11.090957216519172</v>
      </c>
      <c r="E24" s="1">
        <f>IF(COUNT(C24:D24)=2,D24-C24,"")</f>
        <v>-23.93590542162353</v>
      </c>
      <c r="H24" s="1">
        <v>22</v>
      </c>
      <c r="I24" s="1">
        <v>21</v>
      </c>
      <c r="J24" s="1">
        <f>IF(1478082&gt;0,100*446963/1478082,"")</f>
        <v>30.23939131929081</v>
      </c>
      <c r="K24" s="1">
        <f>IF(1700720&gt;0,100*409712/1700720,"")</f>
        <v>24.09050284585352</v>
      </c>
      <c r="L24" s="1">
        <f>IF(COUNT(J24:K24)=2,K24-J24,"")</f>
        <v>-6.148888473437289</v>
      </c>
      <c r="O24" s="1">
        <v>22</v>
      </c>
      <c r="P24" s="1">
        <v>21</v>
      </c>
      <c r="Q24" s="1">
        <f>IF(1372655&gt;0,100*332190/1372655,"")</f>
        <v>24.20054565786742</v>
      </c>
      <c r="R24" s="1">
        <f>IF(1448780&gt;0,100*340235/1448780,"")</f>
        <v>23.484241913886166</v>
      </c>
      <c r="S24" s="1">
        <f>IF(COUNT(Q24:R24)=2,R24-Q24,"")</f>
        <v>-0.7163037439812534</v>
      </c>
    </row>
    <row r="25" spans="1:19">
      <c r="A25" s="1">
        <v>23</v>
      </c>
      <c r="B25" s="1">
        <v>22</v>
      </c>
      <c r="C25" s="1">
        <f>IF(509320&gt;0,100*1248/509320,"")</f>
        <v>0.24503259247624284</v>
      </c>
      <c r="D25" s="1">
        <f>IF(1038696&gt;0,100*14501/1038696,"")</f>
        <v>1.396077389342021</v>
      </c>
      <c r="E25" s="1">
        <f>IF(COUNT(C25:D25)=2,D25-C25,"")</f>
        <v>1.1510447968657782</v>
      </c>
      <c r="H25" s="1">
        <v>23</v>
      </c>
      <c r="I25" s="1">
        <v>22</v>
      </c>
      <c r="J25" s="1">
        <f>IF(1340391&gt;0,100*238132/1340391,"")</f>
        <v>17.765860857018588</v>
      </c>
      <c r="K25" s="1">
        <f>IF(1291575&gt;0,100*174582/1291575,"")</f>
        <v>13.516985076360259</v>
      </c>
      <c r="L25" s="1">
        <f>IF(COUNT(J25:K25)=2,K25-J25,"")</f>
        <v>-4.248875780658329</v>
      </c>
      <c r="O25" s="1">
        <v>23</v>
      </c>
      <c r="P25" s="1">
        <v>22</v>
      </c>
      <c r="Q25" s="1">
        <f>IF(1673110&gt;0,100*548899/1673110,"")</f>
        <v>32.80710772154849</v>
      </c>
      <c r="R25" s="1">
        <f>IF(1235063&gt;0,100*171359/1235063,"")</f>
        <v>13.874514903288334</v>
      </c>
      <c r="S25" s="1">
        <f>IF(COUNT(Q25:R25)=2,R25-Q25,"")</f>
        <v>-18.932592818260154</v>
      </c>
    </row>
    <row r="26" spans="1:19">
      <c r="A26" s="1">
        <v>24</v>
      </c>
      <c r="B26" s="1">
        <v>23</v>
      </c>
      <c r="C26" s="1">
        <f>IF(914755&gt;0,100*175077/914755,"")</f>
        <v>19.139223070658264</v>
      </c>
      <c r="D26" s="1">
        <f>IF(553309&gt;0,100*41002/553309,"")</f>
        <v>7.410325875776465</v>
      </c>
      <c r="E26" s="1">
        <f>IF(COUNT(C26:D26)=2,D26-C26,"")</f>
        <v>-11.7288971948818</v>
      </c>
      <c r="H26" s="1">
        <v>24</v>
      </c>
      <c r="I26" s="1">
        <v>23</v>
      </c>
      <c r="J26" s="1">
        <f>IF(1715105&gt;0,100*545055/1715105,"")</f>
        <v>31.77968695794135</v>
      </c>
      <c r="K26" s="1">
        <f>IF(1050774&gt;0,100*32233/1050774,"")</f>
        <v>3.0675483024894032</v>
      </c>
      <c r="L26" s="1">
        <f>IF(COUNT(J26:K26)=2,K26-J26,"")</f>
        <v>-28.712138655451948</v>
      </c>
      <c r="O26" s="1">
        <v>24</v>
      </c>
      <c r="P26" s="1">
        <v>23</v>
      </c>
      <c r="Q26" s="1">
        <f>IF(1476074&gt;0,100*377502/1476074,"")</f>
        <v>25.57473405804858</v>
      </c>
      <c r="R26" s="1">
        <f>IF(1200189&gt;0,100*174220/1200189,"")</f>
        <v>14.516047055922026</v>
      </c>
      <c r="S26" s="1">
        <f>IF(COUNT(Q26:R26)=2,R26-Q26,"")</f>
        <v>-11.058687002126554</v>
      </c>
    </row>
    <row r="27" spans="1:19">
      <c r="A27" s="1">
        <v>25</v>
      </c>
      <c r="B27" s="1">
        <v>24</v>
      </c>
      <c r="C27" s="1">
        <f>IF(1691255&gt;0,100*656381/1691255,"")</f>
        <v>38.81029176558236</v>
      </c>
      <c r="D27" s="1">
        <f>IF(1330239&gt;0,100*344819/1330239,"")</f>
        <v>25.921582512616155</v>
      </c>
      <c r="E27" s="1">
        <f>IF(COUNT(C27:D27)=2,D27-C27,"")</f>
        <v>-12.888709252966208</v>
      </c>
      <c r="H27" s="1">
        <v>25</v>
      </c>
      <c r="I27" s="1">
        <v>24</v>
      </c>
      <c r="J27" s="1">
        <f>IF(1222508&gt;0,100*246917/1222508,"")</f>
        <v>20.197577439166043</v>
      </c>
      <c r="K27" s="1">
        <f>IF(702550&gt;0,100*6110/702550,"")</f>
        <v>0.8696889901074657</v>
      </c>
      <c r="L27" s="1">
        <f>IF(COUNT(J27:K27)=2,K27-J27,"")</f>
        <v>-19.327888449058577</v>
      </c>
      <c r="O27" s="1">
        <v>25</v>
      </c>
      <c r="P27" s="1">
        <v>24</v>
      </c>
      <c r="Q27" s="1">
        <f>IF(1190475&gt;0,100*83215/1190475,"")</f>
        <v>6.99006699006699</v>
      </c>
      <c r="R27" s="1">
        <f>IF(873620&gt;0,100*86625/873620,"")</f>
        <v>9.915638378242257</v>
      </c>
      <c r="S27" s="1">
        <f>IF(COUNT(Q27:R27)=2,R27-Q27,"")</f>
        <v>2.9255713881752667</v>
      </c>
    </row>
    <row r="28" spans="1:19">
      <c r="A28" s="1">
        <v>26</v>
      </c>
      <c r="B28" s="1">
        <v>25</v>
      </c>
      <c r="C28" s="1">
        <f>IF(1683042&gt;0,100*681416/1683042,"")</f>
        <v>40.48716550151452</v>
      </c>
      <c r="D28" s="1">
        <f>IF(1736680&gt;0,100*482719/1736680,"")</f>
        <v>27.79550636847318</v>
      </c>
      <c r="E28" s="1">
        <f>IF(COUNT(C28:D28)=2,D28-C28,"")</f>
        <v>-12.691659133041338</v>
      </c>
      <c r="H28" s="1">
        <v>26</v>
      </c>
      <c r="I28" s="1">
        <v>25</v>
      </c>
      <c r="J28" s="1">
        <f>IF(1827352&gt;0,100*581318/1827352,"")</f>
        <v>31.8120427810296</v>
      </c>
      <c r="K28" s="1">
        <f>IF(933997&gt;0,100*88398/933997,"")</f>
        <v>9.464484361298805</v>
      </c>
      <c r="L28" s="1">
        <f>IF(COUNT(J28:K28)=2,K28-J28,"")</f>
        <v>-22.347558419730795</v>
      </c>
      <c r="O28" s="1">
        <v>26</v>
      </c>
      <c r="P28" s="1">
        <v>25</v>
      </c>
      <c r="Q28" s="1">
        <f>IF(1679034&gt;0,100*488863/1679034,"")</f>
        <v>29.11572963978097</v>
      </c>
      <c r="R28" s="1">
        <f>IF(1445045&gt;0,100*342222/1445045,"")</f>
        <v>23.682445875387963</v>
      </c>
      <c r="S28" s="1">
        <f>IF(COUNT(Q28:R28)=2,R28-Q28,"")</f>
        <v>-5.433283764393007</v>
      </c>
    </row>
    <row r="29" spans="1:19">
      <c r="A29" s="1">
        <v>27</v>
      </c>
      <c r="B29" s="1">
        <v>26</v>
      </c>
      <c r="C29" s="1">
        <f>IF(1557766&gt;0,100*464581/1557766,"")</f>
        <v>29.823542175140553</v>
      </c>
      <c r="D29" s="1">
        <f>IF(959828&gt;0,100*182926/959828,"")</f>
        <v>19.058206261955267</v>
      </c>
      <c r="E29" s="1">
        <f>IF(COUNT(C29:D29)=2,D29-C29,"")</f>
        <v>-10.765335913185286</v>
      </c>
      <c r="H29" s="1">
        <v>27</v>
      </c>
      <c r="I29" s="1">
        <v>26</v>
      </c>
      <c r="J29" s="1">
        <f>IF(1255658&gt;0,100*171678/1255658,"")</f>
        <v>13.672353459301815</v>
      </c>
      <c r="K29" s="1">
        <f>IF(1373495&gt;0,100*204953/1373495,"")</f>
        <v>14.922005540609904</v>
      </c>
      <c r="L29" s="1">
        <f>IF(COUNT(J29:K29)=2,K29-J29,"")</f>
        <v>1.2496520813080885</v>
      </c>
      <c r="O29" s="1">
        <v>27</v>
      </c>
      <c r="P29" s="1">
        <v>26</v>
      </c>
      <c r="Q29" s="1">
        <f>IF(2118549&gt;0,100*871261/2118549,"")</f>
        <v>41.12536457735931</v>
      </c>
      <c r="R29" s="1">
        <f>IF(1627611&gt;0,100*313997/1627611,"")</f>
        <v>19.291894684909355</v>
      </c>
      <c r="S29" s="1">
        <f>IF(COUNT(Q29:R29)=2,R29-Q29,"")</f>
        <v>-21.83346989244996</v>
      </c>
    </row>
    <row r="30" spans="1:19">
      <c r="A30" s="1">
        <v>28</v>
      </c>
      <c r="B30" s="1">
        <v>27</v>
      </c>
      <c r="C30" s="1">
        <f>IF(506350&gt;0,100*449/506350,"")</f>
        <v>0.08867384220400909</v>
      </c>
      <c r="D30" s="1">
        <f>IF(503398&gt;0,100*590/503398,"")</f>
        <v>0.1172034851151574</v>
      </c>
      <c r="E30" s="1">
        <f>IF(COUNT(C30:D30)=2,D30-C30,"")</f>
        <v>0.028529642911148304</v>
      </c>
      <c r="H30" s="1">
        <v>28</v>
      </c>
      <c r="I30" s="1">
        <v>27</v>
      </c>
      <c r="J30" s="1">
        <f>IF(1718872&gt;0,100*583484/1718872,"")</f>
        <v>33.94575046891217</v>
      </c>
      <c r="K30" s="1">
        <f>IF(794235&gt;0,100*90145/794235,"")</f>
        <v>11.349915327327555</v>
      </c>
      <c r="L30" s="1">
        <f>IF(COUNT(J30:K30)=2,K30-J30,"")</f>
        <v>-22.59583514158462</v>
      </c>
      <c r="O30" s="1">
        <v>28</v>
      </c>
      <c r="P30" s="1">
        <v>27</v>
      </c>
      <c r="Q30" s="1">
        <f>IF(1202604&gt;0,100*322949/1202604,"")</f>
        <v>26.8541431759748</v>
      </c>
      <c r="R30" s="1">
        <f>IF(1344316&gt;0,100*293358/1344316,"")</f>
        <v>21.82210135117041</v>
      </c>
      <c r="S30" s="1">
        <f>IF(COUNT(Q30:R30)=2,R30-Q30,"")</f>
        <v>-5.032041824804391</v>
      </c>
    </row>
    <row r="31" spans="1:19">
      <c r="A31" s="1">
        <v>29</v>
      </c>
      <c r="B31" s="1">
        <v>28</v>
      </c>
      <c r="C31" s="1">
        <f>IF(1614535&gt;0,100*599059/1614535,"")</f>
        <v>37.104119762036746</v>
      </c>
      <c r="D31" s="1">
        <f>IF(1315697&gt;0,100*338933/1315697,"")</f>
        <v>25.7607184632936</v>
      </c>
      <c r="E31" s="1">
        <f>IF(COUNT(C31:D31)=2,D31-C31,"")</f>
        <v>-11.343401298743146</v>
      </c>
      <c r="H31" s="1">
        <v>29</v>
      </c>
      <c r="I31" s="1">
        <v>28</v>
      </c>
      <c r="J31" s="1">
        <f>IF(1707787&gt;0,100*644845/1707787,"")</f>
        <v>37.75909993459371</v>
      </c>
      <c r="K31" s="1">
        <f>IF(1820702&gt;0,100*524981/1820702,"")</f>
        <v>28.833988208943584</v>
      </c>
      <c r="L31" s="1">
        <f>IF(COUNT(J31:K31)=2,K31-J31,"")</f>
        <v>-8.92511172565013</v>
      </c>
      <c r="O31" s="1">
        <v>29</v>
      </c>
      <c r="P31" s="1">
        <v>28</v>
      </c>
      <c r="Q31" s="1">
        <f>IF(1781585&gt;0,100*685393/1781585,"")</f>
        <v>38.47096826702066</v>
      </c>
      <c r="R31" s="1">
        <f>IF(1488144&gt;0,100*247282/1488144,"")</f>
        <v>16.616805900504254</v>
      </c>
      <c r="S31" s="1">
        <f>IF(COUNT(Q31:R31)=2,R31-Q31,"")</f>
        <v>-21.854162366516405</v>
      </c>
    </row>
    <row r="32" spans="1:19">
      <c r="A32" s="1">
        <v>30</v>
      </c>
      <c r="B32" s="1">
        <v>29</v>
      </c>
      <c r="C32" s="1">
        <f>IF(1722125&gt;0,100*685666/1722125,"")</f>
        <v>39.81511214342745</v>
      </c>
      <c r="D32" s="1">
        <f>IF(1316164&gt;0,100*298622/1316164,"")</f>
        <v>22.688813856024023</v>
      </c>
      <c r="E32" s="1">
        <f>IF(COUNT(C32:D32)=2,D32-C32,"")</f>
        <v>-17.126298287403426</v>
      </c>
      <c r="H32" s="1">
        <v>30</v>
      </c>
      <c r="I32" s="1">
        <v>29</v>
      </c>
      <c r="J32" s="1">
        <f>IF(1183903&gt;0,100*336267/1183903,"")</f>
        <v>28.403256009994063</v>
      </c>
      <c r="K32" s="1">
        <f>IF(1245590&gt;0,100*296740/1245590,"")</f>
        <v>23.823248420427266</v>
      </c>
      <c r="L32" s="1">
        <f>IF(COUNT(J32:K32)=2,K32-J32,"")</f>
        <v>-4.580007589566797</v>
      </c>
      <c r="O32" s="1">
        <v>30</v>
      </c>
      <c r="P32" s="1">
        <v>29</v>
      </c>
      <c r="Q32" s="1">
        <f>IF(1267752&gt;0,100*304833/1267752,"")</f>
        <v>24.045160252162884</v>
      </c>
      <c r="R32" s="1">
        <f>IF(996939&gt;0,100*126916/996939,"")</f>
        <v>12.730568269472856</v>
      </c>
      <c r="S32" s="1">
        <f>IF(COUNT(Q32:R32)=2,R32-Q32,"")</f>
        <v>-11.314591982690027</v>
      </c>
    </row>
    <row r="33" spans="1:19">
      <c r="A33" s="1">
        <v>31</v>
      </c>
      <c r="B33" s="1">
        <v>30</v>
      </c>
      <c r="C33" s="1">
        <f>IF(758539&gt;0,100*11909/758539,"")</f>
        <v>1.569991786842865</v>
      </c>
      <c r="D33" s="1">
        <f>IF(596724&gt;0,100*30633/596724,"")</f>
        <v>5.133529068715185</v>
      </c>
      <c r="E33" s="1">
        <f>IF(COUNT(C33:D33)=2,D33-C33,"")</f>
        <v>3.56353728187232</v>
      </c>
      <c r="H33" s="1">
        <v>31</v>
      </c>
      <c r="I33" s="1">
        <v>30</v>
      </c>
      <c r="J33" s="1">
        <f>IF(1372764&gt;0,100*366154/1372764,"")</f>
        <v>26.67275656995667</v>
      </c>
      <c r="K33" s="1">
        <f>IF(1704755&gt;0,100*531429/1704755,"")</f>
        <v>31.17333575792416</v>
      </c>
      <c r="L33" s="1">
        <f>IF(COUNT(J33:K33)=2,K33-J33,"")</f>
        <v>4.500579187967489</v>
      </c>
      <c r="O33" s="1">
        <v>31</v>
      </c>
      <c r="P33" s="1">
        <v>30</v>
      </c>
      <c r="Q33" s="1">
        <f>IF(1698653&gt;0,100*588007/1698653,"")</f>
        <v>34.616075207826434</v>
      </c>
      <c r="R33" s="1">
        <f>IF(1397630&gt;0,100*401679/1397630,"")</f>
        <v>28.74000987385789</v>
      </c>
      <c r="S33" s="1">
        <f>IF(COUNT(Q33:R33)=2,R33-Q33,"")</f>
        <v>-5.876065333968544</v>
      </c>
    </row>
    <row r="34" spans="1:19">
      <c r="A34" s="2" t="s">
        <v>6</v>
      </c>
      <c r="B34" s="1"/>
      <c r="C34" s="1">
        <f>IF(COUNT(C3:C33)&gt;0,AVERAGE(C3:C33),"")</f>
        <v>28.37755704515853</v>
      </c>
      <c r="D34" s="1">
        <f>IF(COUNT(D3:D33)&gt;0,AVERAGE(D3:D33),"")</f>
        <v>18.31574781781317</v>
      </c>
      <c r="E34" s="1">
        <f>IF(COUNT(E3:E33)&gt;0,AVERAGE(E3:E33),"")</f>
        <v>-10.06180922734536</v>
      </c>
      <c r="H34" s="2" t="s">
        <v>6</v>
      </c>
      <c r="I34" s="1"/>
      <c r="J34" s="1">
        <f>IF(COUNT(J3:J33)&gt;0,AVERAGE(J3:J33),"")</f>
        <v>23.048785214991636</v>
      </c>
      <c r="K34" s="1">
        <f>IF(COUNT(K3:K33)&gt;0,AVERAGE(K3:K33),"")</f>
        <v>15.503505137380849</v>
      </c>
      <c r="L34" s="1">
        <f>IF(COUNT(L3:L33)&gt;0,AVERAGE(L3:L33),"")</f>
        <v>-7.545280077610787</v>
      </c>
      <c r="O34" s="2" t="s">
        <v>6</v>
      </c>
      <c r="P34" s="1"/>
      <c r="Q34" s="1">
        <f>IF(COUNT(Q3:Q33)&gt;0,AVERAGE(Q3:Q33),"")</f>
        <v>24.644136830215917</v>
      </c>
      <c r="R34" s="1">
        <f>IF(COUNT(R3:R33)&gt;0,AVERAGE(R3:R33),"")</f>
        <v>15.743883014038419</v>
      </c>
      <c r="S34" s="1">
        <f>IF(COUNT(S3:S33)&gt;0,AVERAGE(S3:S33),"")</f>
        <v>-8.9002538161775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IF(1093423&gt;0,100*121600/1093423,"")</f>
        <v>11.121039158678755</v>
      </c>
      <c r="D39" s="1">
        <f>IF(1032820&gt;0,100*29273/1032820,"")</f>
        <v>2.8342789643887607</v>
      </c>
      <c r="E39" s="1">
        <f>IF(COUNT(C39:D39)=2,D39-C39,"")</f>
        <v>-8.286760194289995</v>
      </c>
      <c r="H39" s="1">
        <v>1</v>
      </c>
      <c r="I39" s="1">
        <v>0</v>
      </c>
      <c r="J39" s="1">
        <f>IF(2001661&gt;0,100*613984/2001661,"")</f>
        <v>30.673725470996338</v>
      </c>
      <c r="K39" s="1">
        <f>IF(1686911&gt;0,100*343479/1686911,"")</f>
        <v>20.361418000119745</v>
      </c>
      <c r="L39" s="1">
        <f>IF(COUNT(J39:K39)=2,K39-J39,"")</f>
        <v>-10.312307470876593</v>
      </c>
      <c r="O39" s="1">
        <v>1</v>
      </c>
      <c r="P39" s="1">
        <v>0</v>
      </c>
      <c r="Q39" s="1">
        <f>IF(1572820&gt;0,100*273004/1572820,"")</f>
        <v>17.35761244134739</v>
      </c>
      <c r="R39" s="1">
        <f>IF(2414766&gt;0,100*665858/2414766,"")</f>
        <v>27.574431642651916</v>
      </c>
      <c r="S39" s="1">
        <f>IF(COUNT(Q39:R39)=2,R39-Q39,"")</f>
        <v>10.216819201304528</v>
      </c>
    </row>
    <row r="40" spans="1:19">
      <c r="A40" s="1">
        <v>2</v>
      </c>
      <c r="B40" s="1">
        <v>1</v>
      </c>
      <c r="C40" s="1">
        <f>IF(1205676&gt;0,100*374828/1205676,"")</f>
        <v>31.08861750586393</v>
      </c>
      <c r="D40" s="1">
        <f>IF(2067384&gt;0,100*696878/2067384,"")</f>
        <v>33.7082032172059</v>
      </c>
      <c r="E40" s="1">
        <f>IF(COUNT(C40:D40)=2,D40-C40,"")</f>
        <v>2.619585711341969</v>
      </c>
      <c r="H40" s="1">
        <v>2</v>
      </c>
      <c r="I40" s="1">
        <v>1</v>
      </c>
      <c r="J40" s="1">
        <f>IF(2100504&gt;0,100*794890/2100504,"")</f>
        <v>37.84282248450848</v>
      </c>
      <c r="K40" s="1">
        <f>IF(1417160&gt;0,100*204771/1417160,"")</f>
        <v>14.449391741228936</v>
      </c>
      <c r="L40" s="1">
        <f>IF(COUNT(J40:K40)=2,K40-J40,"")</f>
        <v>-23.393430743279545</v>
      </c>
      <c r="O40" s="1">
        <v>2</v>
      </c>
      <c r="P40" s="1">
        <v>1</v>
      </c>
      <c r="Q40" s="1">
        <f>IF(2271111&gt;0,100*972080/2271111,"")</f>
        <v>42.801959041191736</v>
      </c>
      <c r="R40" s="1">
        <f>IF(2170155&gt;0,100*610041/2170155,"")</f>
        <v>28.110480587792118</v>
      </c>
      <c r="S40" s="1">
        <f>IF(COUNT(Q40:R40)=2,R40-Q40,"")</f>
        <v>-14.691478453399618</v>
      </c>
    </row>
    <row r="41" spans="1:19">
      <c r="A41" s="1">
        <v>3</v>
      </c>
      <c r="B41" s="1">
        <v>2</v>
      </c>
      <c r="C41" s="1">
        <f>IF(1607803&gt;0,100*670978/1607803,"")</f>
        <v>41.732600324791036</v>
      </c>
      <c r="D41" s="1">
        <f>IF(2167663&gt;0,100*679289/2167663,"")</f>
        <v>31.337389621910788</v>
      </c>
      <c r="E41" s="1">
        <f>IF(COUNT(C41:D41)=2,D41-C41,"")</f>
        <v>-10.395210702880249</v>
      </c>
      <c r="H41" s="1">
        <v>3</v>
      </c>
      <c r="I41" s="1">
        <v>2</v>
      </c>
      <c r="J41" s="1">
        <f>IF(2703819&gt;0,100*975381/2703819,"")</f>
        <v>36.0741972742998</v>
      </c>
      <c r="K41" s="1">
        <f>IF(733459&gt;0,100*22666/733459,"")</f>
        <v>3.0902886187230645</v>
      </c>
      <c r="L41" s="1">
        <f>IF(COUNT(J41:K41)=2,K41-J41,"")</f>
        <v>-32.983908655576734</v>
      </c>
      <c r="O41" s="1">
        <v>3</v>
      </c>
      <c r="P41" s="1">
        <v>2</v>
      </c>
      <c r="Q41" s="1">
        <f>IF(2333406&gt;0,100*950771/2333406,"")</f>
        <v>40.746059622714604</v>
      </c>
      <c r="R41" s="1">
        <f>IF(2219736&gt;0,100*552734/2219736,"")</f>
        <v>24.900889114741574</v>
      </c>
      <c r="S41" s="1">
        <f>IF(COUNT(Q41:R41)=2,R41-Q41,"")</f>
        <v>-15.84517050797303</v>
      </c>
    </row>
    <row r="42" spans="1:19">
      <c r="A42" s="1">
        <v>4</v>
      </c>
      <c r="B42" s="1">
        <v>3</v>
      </c>
      <c r="C42" s="1">
        <f>IF(2016766&gt;0,100*855389/2016766,"")</f>
        <v>42.41389432388289</v>
      </c>
      <c r="D42" s="1">
        <f>IF(2334&gt;0,100*792/2334,"")</f>
        <v>33.933161953727506</v>
      </c>
      <c r="E42" s="1">
        <f>IF(COUNT(C42:D42)=2,D42-C42,"")</f>
        <v>-8.480732370155387</v>
      </c>
      <c r="H42" s="1">
        <v>4</v>
      </c>
      <c r="I42" s="1">
        <v>3</v>
      </c>
      <c r="J42" s="1">
        <f>IF(1363146&gt;0,100*83089/1363146,"")</f>
        <v>6.09538523386343</v>
      </c>
      <c r="K42" s="1">
        <f>IF(1412461&gt;0,100*153822/1412461,"")</f>
        <v>10.890353786759421</v>
      </c>
      <c r="L42" s="1">
        <f>IF(COUNT(J42:K42)=2,K42-J42,"")</f>
        <v>4.794968552895991</v>
      </c>
      <c r="O42" s="1">
        <v>4</v>
      </c>
      <c r="P42" s="1">
        <v>3</v>
      </c>
      <c r="Q42" s="1">
        <f>IF(1406270&gt;0,100*83129/1406270,"")</f>
        <v>5.911311483570011</v>
      </c>
      <c r="R42" s="1">
        <f>IF(1600717&gt;0,100*420380/1600717,"")</f>
        <v>26.26198134960771</v>
      </c>
      <c r="S42" s="1">
        <f>IF(COUNT(Q42:R42)=2,R42-Q42,"")</f>
        <v>20.3506698660377</v>
      </c>
    </row>
    <row r="43" spans="1:19">
      <c r="A43" s="1">
        <v>5</v>
      </c>
      <c r="B43" s="1">
        <v>4</v>
      </c>
      <c r="C43" s="1">
        <f>IF(1270456&gt;0,100*222216/1270456,"")</f>
        <v>17.49104258628398</v>
      </c>
      <c r="D43" s="1">
        <f>IF(1363122&gt;0,100*208993/1363122,"")</f>
        <v>15.331936539796144</v>
      </c>
      <c r="E43" s="1">
        <f>IF(COUNT(C43:D43)=2,D43-C43,"")</f>
        <v>-2.159106046487837</v>
      </c>
      <c r="H43" s="1">
        <v>5</v>
      </c>
      <c r="I43" s="1">
        <v>4</v>
      </c>
      <c r="J43" s="1">
        <f>IF(2437241&gt;0,100*1028598/2437241,"")</f>
        <v>42.20337668699977</v>
      </c>
      <c r="K43" s="1">
        <f>IF(2587019&gt;0,100*803124/2587019,"")</f>
        <v>31.044379650864567</v>
      </c>
      <c r="L43" s="1">
        <f>IF(COUNT(J43:K43)=2,K43-J43,"")</f>
        <v>-11.1589970361352</v>
      </c>
      <c r="O43" s="1">
        <v>5</v>
      </c>
      <c r="P43" s="1">
        <v>4</v>
      </c>
      <c r="Q43" s="1">
        <f>IF(2401097&gt;0,100*1112784/2401097,"")</f>
        <v>46.344816556765515</v>
      </c>
      <c r="R43" s="1">
        <f>IF(2436822&gt;0,100*820740/2436822,"")</f>
        <v>33.680753046385824</v>
      </c>
      <c r="S43" s="1">
        <f>IF(COUNT(Q43:R43)=2,R43-Q43,"")</f>
        <v>-12.664063510379691</v>
      </c>
    </row>
    <row r="44" spans="1:19">
      <c r="A44" s="1">
        <v>6</v>
      </c>
      <c r="B44" s="1">
        <v>5</v>
      </c>
      <c r="C44" s="1">
        <f>IF(2068143&gt;0,100*935980/2068143,"")</f>
        <v>45.25702526372693</v>
      </c>
      <c r="D44" s="1">
        <f>IF(1782501&gt;0,100*458904/1782501,"")</f>
        <v>25.744950493716413</v>
      </c>
      <c r="E44" s="1">
        <f>IF(COUNT(C44:D44)=2,D44-C44,"")</f>
        <v>-19.512074770010518</v>
      </c>
      <c r="H44" s="1">
        <v>6</v>
      </c>
      <c r="I44" s="1">
        <v>5</v>
      </c>
      <c r="J44" s="1">
        <f>IF(2170385&gt;0,100*855280/2170385,"")</f>
        <v>39.40683334984346</v>
      </c>
      <c r="K44" s="1">
        <f>IF(2427002&gt;0,100*664376/2427002,"")</f>
        <v>27.374349094067497</v>
      </c>
      <c r="L44" s="1">
        <f>IF(COUNT(J44:K44)=2,K44-J44,"")</f>
        <v>-12.032484255775962</v>
      </c>
      <c r="O44" s="1">
        <v>6</v>
      </c>
      <c r="P44" s="1">
        <v>5</v>
      </c>
      <c r="Q44" s="1">
        <f>IF(1758860&gt;0,100*252810/1758860,"")</f>
        <v>14.373514662906656</v>
      </c>
      <c r="R44" s="1">
        <f>IF(1995611&gt;0,100*428160/1995611,"")</f>
        <v>21.455083180038596</v>
      </c>
      <c r="S44" s="1">
        <f>IF(COUNT(Q44:R44)=2,R44-Q44,"")</f>
        <v>7.08156851713194</v>
      </c>
    </row>
    <row r="45" spans="1:19">
      <c r="A45" s="1">
        <v>7</v>
      </c>
      <c r="B45" s="1">
        <v>6</v>
      </c>
      <c r="C45" s="1">
        <f>IF(1955799&gt;0,100*927153/1955799,"")</f>
        <v>47.405331529466984</v>
      </c>
      <c r="D45" s="1">
        <f>IF(2088194&gt;0,100*633637/2088194,"")</f>
        <v>30.343780319261526</v>
      </c>
      <c r="E45" s="1">
        <f>IF(COUNT(C45:D45)=2,D45-C45,"")</f>
        <v>-17.061551210205458</v>
      </c>
      <c r="H45" s="1">
        <v>7</v>
      </c>
      <c r="I45" s="1">
        <v>6</v>
      </c>
      <c r="J45" s="1">
        <f>IF(1062155&gt;0,100*3098/1062155,"")</f>
        <v>0.29167117793542374</v>
      </c>
      <c r="K45" s="1">
        <f>IF(1118398&gt;0,100*43968/1118398,"")</f>
        <v>3.931337502391814</v>
      </c>
      <c r="L45" s="1">
        <f>IF(COUNT(J45:K45)=2,K45-J45,"")</f>
        <v>3.6396663244563903</v>
      </c>
      <c r="O45" s="1">
        <v>7</v>
      </c>
      <c r="P45" s="1">
        <v>6</v>
      </c>
      <c r="Q45" s="1">
        <f>IF(1340065&gt;0,100*31783/1340065,"")</f>
        <v>2.3717506240368937</v>
      </c>
      <c r="R45" s="1">
        <f>IF(1533055&gt;0,100*79886/1533055,"")</f>
        <v>5.210902413807724</v>
      </c>
      <c r="S45" s="1">
        <f>IF(COUNT(Q45:R45)=2,R45-Q45,"")</f>
        <v>2.8391517897708303</v>
      </c>
    </row>
    <row r="46" spans="1:19">
      <c r="A46" s="1">
        <v>8</v>
      </c>
      <c r="B46" s="1">
        <v>7</v>
      </c>
      <c r="C46" s="1">
        <f>IF(2103376&gt;0,100*877826/2103376,"")</f>
        <v>41.73414548801546</v>
      </c>
      <c r="D46" s="1">
        <f>IF(2099217&gt;0,100*669931/2099217,"")</f>
        <v>31.91337532041709</v>
      </c>
      <c r="E46" s="1">
        <f>IF(COUNT(C46:D46)=2,D46-C46,"")</f>
        <v>-9.820770167598369</v>
      </c>
      <c r="H46" s="1">
        <v>8</v>
      </c>
      <c r="I46" s="1">
        <v>7</v>
      </c>
      <c r="J46" s="1">
        <f>IF(875780&gt;0,100*4451/875780,"")</f>
        <v>0.5082326611706136</v>
      </c>
      <c r="K46" s="1">
        <f>IF(1161223&gt;0,100*288/1161223,"")</f>
        <v>0.02480143779446325</v>
      </c>
      <c r="L46" s="1">
        <f>IF(COUNT(J46:K46)=2,K46-J46,"")</f>
        <v>-0.48343122337615035</v>
      </c>
      <c r="O46" s="1">
        <v>8</v>
      </c>
      <c r="P46" s="1">
        <v>7</v>
      </c>
      <c r="Q46" s="1">
        <f>IF(953770&gt;0,100*30543/953770,"")</f>
        <v>3.202344380720719</v>
      </c>
      <c r="R46" s="1">
        <f>IF(1229804&gt;0,100*17397/1229804,"")</f>
        <v>1.4146156623331847</v>
      </c>
      <c r="S46" s="1">
        <f>IF(COUNT(Q46:R46)=2,R46-Q46,"")</f>
        <v>-1.7877287183875343</v>
      </c>
    </row>
    <row r="47" spans="1:19">
      <c r="A47" s="1">
        <v>9</v>
      </c>
      <c r="B47" s="1">
        <v>8</v>
      </c>
      <c r="C47" s="1">
        <f>IF(1775689&gt;0,100*854041/1775689,"")</f>
        <v>48.096316415768754</v>
      </c>
      <c r="D47" s="1">
        <f>IF(1900678&gt;0,100*671938/1900678,"")</f>
        <v>35.35254261900227</v>
      </c>
      <c r="E47" s="1">
        <f>IF(COUNT(C47:D47)=2,D47-C47,"")</f>
        <v>-12.743773796766483</v>
      </c>
      <c r="H47" s="1">
        <v>9</v>
      </c>
      <c r="I47" s="1">
        <v>8</v>
      </c>
      <c r="J47" s="1">
        <f>IF(2261107&gt;0,100*975052/2261107,"")</f>
        <v>43.122771279731566</v>
      </c>
      <c r="K47" s="1">
        <f>IF(2212916&gt;0,100*571189/2212916,"")</f>
        <v>25.81159881351122</v>
      </c>
      <c r="L47" s="1">
        <f>IF(COUNT(J47:K47)=2,K47-J47,"")</f>
        <v>-17.311172466220345</v>
      </c>
      <c r="O47" s="1">
        <v>9</v>
      </c>
      <c r="P47" s="1">
        <v>8</v>
      </c>
      <c r="Q47" s="1">
        <f>IF(2405152&gt;0,100*1125762/2405152,"")</f>
        <v>46.80627253495829</v>
      </c>
      <c r="R47" s="1">
        <f>IF(2618217&gt;0,100*1032521/2618217,"")</f>
        <v>39.43603605048779</v>
      </c>
      <c r="S47" s="1">
        <f>IF(COUNT(Q47:R47)=2,R47-Q47,"")</f>
        <v>-7.370236484470496</v>
      </c>
    </row>
    <row r="48" spans="1:19">
      <c r="A48" s="1">
        <v>10</v>
      </c>
      <c r="B48" s="1">
        <v>9</v>
      </c>
      <c r="C48" s="1">
        <f>IF(1746180&gt;0,100*461985/1746180,"")</f>
        <v>26.456894478232485</v>
      </c>
      <c r="D48" s="1">
        <f>IF(943136&gt;0,100*4991/943136,"")</f>
        <v>0.529191972313643</v>
      </c>
      <c r="E48" s="1">
        <f>IF(COUNT(C48:D48)=2,D48-C48,"")</f>
        <v>-25.92770250591884</v>
      </c>
      <c r="H48" s="1">
        <v>10</v>
      </c>
      <c r="I48" s="1">
        <v>9</v>
      </c>
      <c r="J48" s="1">
        <f>IF(2706863&gt;0,100*1192100/2706863,"")</f>
        <v>44.03990892778837</v>
      </c>
      <c r="K48" s="1">
        <f>IF(2193646&gt;0,100*505936/2193646,"")</f>
        <v>23.06370307697778</v>
      </c>
      <c r="L48" s="1">
        <f>IF(COUNT(J48:K48)=2,K48-J48,"")</f>
        <v>-20.976205850810587</v>
      </c>
      <c r="O48" s="1">
        <v>10</v>
      </c>
      <c r="P48" s="1">
        <v>9</v>
      </c>
      <c r="Q48" s="1">
        <f>IF(1922653&gt;0,100*523894/1922653,"")</f>
        <v>27.248494658162446</v>
      </c>
      <c r="R48" s="1">
        <f>IF(1327984&gt;0,100*54333/1327984,"")</f>
        <v>4.091389655297052</v>
      </c>
      <c r="S48" s="1">
        <f>IF(COUNT(Q48:R48)=2,R48-Q48,"")</f>
        <v>-23.157105002865393</v>
      </c>
    </row>
    <row r="49" spans="1:19">
      <c r="A49" s="1">
        <v>11</v>
      </c>
      <c r="B49" s="1">
        <v>10</v>
      </c>
      <c r="C49" s="1">
        <f>IF(1971439&gt;0,100*862784/1971439,"")</f>
        <v>43.76417429096208</v>
      </c>
      <c r="D49" s="1">
        <f>IF(2465716&gt;0,100*910248/2465716,"")</f>
        <v>36.91617363881323</v>
      </c>
      <c r="E49" s="1">
        <f>IF(COUNT(C49:D49)=2,D49-C49,"")</f>
        <v>-6.848000652148855</v>
      </c>
      <c r="H49" s="1">
        <v>11</v>
      </c>
      <c r="I49" s="1">
        <v>10</v>
      </c>
      <c r="J49" s="1">
        <f>IF(2596797&gt;0,100*880971/2596797,"")</f>
        <v>33.92529335177143</v>
      </c>
      <c r="K49" s="1">
        <f>IF(1807940&gt;0,100*324777/1807940,"")</f>
        <v>17.96392579399759</v>
      </c>
      <c r="L49" s="1">
        <f>IF(COUNT(J49:K49)=2,K49-J49,"")</f>
        <v>-15.96136755777384</v>
      </c>
      <c r="O49" s="1">
        <v>11</v>
      </c>
      <c r="P49" s="1">
        <v>10</v>
      </c>
      <c r="Q49" s="1">
        <f>IF(2537267&gt;0,100*1086404/2537267,"")</f>
        <v>42.817882390777164</v>
      </c>
      <c r="R49" s="1">
        <f>IF(894950&gt;0,100*121593/894950,"")</f>
        <v>13.586569082071625</v>
      </c>
      <c r="S49" s="1">
        <f>IF(COUNT(Q49:R49)=2,R49-Q49,"")</f>
        <v>-29.231313308705538</v>
      </c>
    </row>
    <row r="50" spans="1:19">
      <c r="A50" s="1">
        <v>12</v>
      </c>
      <c r="B50" s="1">
        <v>11</v>
      </c>
      <c r="C50" s="1">
        <f>IF(1769042&gt;0,100*718057/1769042,"")</f>
        <v>40.59016122850673</v>
      </c>
      <c r="D50" s="1">
        <f>IF(1840970&gt;0,100*603612/1840970,"")</f>
        <v>32.787715171893076</v>
      </c>
      <c r="E50" s="1">
        <f>IF(COUNT(C50:D50)=2,D50-C50,"")</f>
        <v>-7.802446056613654</v>
      </c>
      <c r="H50" s="1">
        <v>12</v>
      </c>
      <c r="I50" s="1">
        <v>11</v>
      </c>
      <c r="J50" s="1">
        <f>IF(16409&gt;0,100*2109/16409,"")</f>
        <v>12.85270278505698</v>
      </c>
      <c r="K50" s="1">
        <f>IF(1597797&gt;0,100*75440/1597797,"")</f>
        <v>4.7215009165745085</v>
      </c>
      <c r="L50" s="1">
        <f>IF(COUNT(J50:K50)=2,K50-J50,"")</f>
        <v>-8.13120186848247</v>
      </c>
      <c r="O50" s="1">
        <v>12</v>
      </c>
      <c r="P50" s="1">
        <v>11</v>
      </c>
      <c r="Q50" s="1">
        <f>IF(2609889&gt;0,100*1051883/2609889,"")</f>
        <v>40.30374471864512</v>
      </c>
      <c r="R50" s="1">
        <f>IF(1476675&gt;0,100*53524/1476675,"")</f>
        <v>3.6246296578461745</v>
      </c>
      <c r="S50" s="1">
        <f>IF(COUNT(Q50:R50)=2,R50-Q50,"")</f>
        <v>-36.67911506079895</v>
      </c>
    </row>
    <row r="51" spans="1:19">
      <c r="A51" s="1">
        <v>13</v>
      </c>
      <c r="B51" s="1">
        <v>12</v>
      </c>
      <c r="C51" s="1">
        <f>IF(2168985&gt;0,100*980233/2168985,"")</f>
        <v>45.193166388886965</v>
      </c>
      <c r="D51" s="1">
        <f>IF(1772880&gt;0,100*317159/1772880,"")</f>
        <v>17.88947926537611</v>
      </c>
      <c r="E51" s="1">
        <f>IF(COUNT(C51:D51)=2,D51-C51,"")</f>
        <v>-27.303687123510855</v>
      </c>
      <c r="H51" s="1">
        <v>13</v>
      </c>
      <c r="I51" s="1">
        <v>12</v>
      </c>
      <c r="J51" s="1">
        <f>IF(1392134&gt;0,100*142847/1392134,"")</f>
        <v>10.261009356857889</v>
      </c>
      <c r="K51" s="1">
        <f>IF(1505446&gt;0,100*140535/1505446,"")</f>
        <v>9.335107336961936</v>
      </c>
      <c r="L51" s="1">
        <f>IF(COUNT(J51:K51)=2,K51-J51,"")</f>
        <v>-0.9259020198959522</v>
      </c>
      <c r="O51" s="1">
        <v>13</v>
      </c>
      <c r="P51" s="1">
        <v>12</v>
      </c>
      <c r="Q51" s="1">
        <f>IF(1129838&gt;0,100*24638/1129838,"")</f>
        <v>2.1806666088412676</v>
      </c>
      <c r="R51" s="1">
        <f>IF(4253147&gt;0,100*36395/4253147,"")</f>
        <v>0.8557193061984455</v>
      </c>
      <c r="S51" s="1">
        <f>IF(COUNT(Q51:R51)=2,R51-Q51,"")</f>
        <v>-1.3249473026428222</v>
      </c>
    </row>
    <row r="52" spans="1:19">
      <c r="A52" s="1">
        <v>14</v>
      </c>
      <c r="B52" s="1">
        <v>13</v>
      </c>
      <c r="C52" s="1">
        <f>IF(1030639&gt;0,100*3971/1030639,"")</f>
        <v>0.38529494808560516</v>
      </c>
      <c r="D52" s="1">
        <f>IF(860902&gt;0,100*48862/860902,"")</f>
        <v>5.675675047798705</v>
      </c>
      <c r="E52" s="1">
        <f>IF(COUNT(C52:D52)=2,D52-C52,"")</f>
        <v>5.290380099713099</v>
      </c>
      <c r="H52" s="1">
        <v>14</v>
      </c>
      <c r="I52" s="1">
        <v>13</v>
      </c>
      <c r="J52" s="1">
        <f>IF(1631278&gt;0,100*497437/1631278,"")</f>
        <v>30.49369880547644</v>
      </c>
      <c r="K52" s="1">
        <f>IF(1441759&gt;0,100*245603/1441759,"")</f>
        <v>17.03495521789703</v>
      </c>
      <c r="L52" s="1">
        <f>IF(COUNT(J52:K52)=2,K52-J52,"")</f>
        <v>-13.458743587579413</v>
      </c>
      <c r="O52" s="1">
        <v>14</v>
      </c>
      <c r="P52" s="1">
        <v>13</v>
      </c>
      <c r="Q52" s="1">
        <f>IF(1227769&gt;0,100*230841/1227769,"")</f>
        <v>18.801663830899788</v>
      </c>
      <c r="R52" s="1">
        <f>IF(840025&gt;0,100*7166/840025,"")</f>
        <v>0.8530698491116335</v>
      </c>
      <c r="S52" s="1">
        <f>IF(COUNT(Q52:R52)=2,R52-Q52,"")</f>
        <v>-17.948593981788154</v>
      </c>
    </row>
    <row r="53" spans="1:19">
      <c r="A53" s="1">
        <v>15</v>
      </c>
      <c r="B53" s="1">
        <v>14</v>
      </c>
      <c r="C53" s="1">
        <f>IF(1555406&gt;0,100*520362/1555406,"")</f>
        <v>33.45505932213197</v>
      </c>
      <c r="D53" s="1">
        <f>IF(2099037&gt;0,100*707884/2099037,"")</f>
        <v>33.72422687165591</v>
      </c>
      <c r="E53" s="1">
        <f>IF(COUNT(C53:D53)=2,D53-C53,"")</f>
        <v>0.2691675495239352</v>
      </c>
      <c r="H53" s="1">
        <v>15</v>
      </c>
      <c r="I53" s="1">
        <v>14</v>
      </c>
      <c r="J53" s="1">
        <f>IF(1857255&gt;0,100*556621/1857255,"")</f>
        <v>29.970090267626148</v>
      </c>
      <c r="K53" s="1">
        <f>IF(2219699&gt;0,100*603447/2219699,"")</f>
        <v>27.185983324766106</v>
      </c>
      <c r="L53" s="1">
        <f>IF(COUNT(J53:K53)=2,K53-J53,"")</f>
        <v>-2.784106942860042</v>
      </c>
      <c r="O53" s="1">
        <v>15</v>
      </c>
      <c r="P53" s="1">
        <v>14</v>
      </c>
      <c r="Q53" s="1">
        <f>IF(2240147&gt;0,100*1104566/2240147,"")</f>
        <v>49.30774632200476</v>
      </c>
      <c r="R53" s="1">
        <f>IF(2250461&gt;0,100*603761/2250461,"")</f>
        <v>26.828325396440995</v>
      </c>
      <c r="S53" s="1">
        <f>IF(COUNT(Q53:R53)=2,R53-Q53,"")</f>
        <v>-22.479420925563765</v>
      </c>
    </row>
    <row r="54" spans="1:19">
      <c r="A54" s="1">
        <v>16</v>
      </c>
      <c r="B54" s="1">
        <v>15</v>
      </c>
      <c r="C54" s="1">
        <f>IF(1761441&gt;0,100*757460/1761441,"")</f>
        <v>43.00229187352855</v>
      </c>
      <c r="D54" s="1">
        <f>IF(1730615&gt;0,100*534425/1730615,"")</f>
        <v>30.88064069709323</v>
      </c>
      <c r="E54" s="1">
        <f>IF(COUNT(C54:D54)=2,D54-C54,"")</f>
        <v>-12.121651176435318</v>
      </c>
      <c r="H54" s="1">
        <v>16</v>
      </c>
      <c r="I54" s="1">
        <v>15</v>
      </c>
      <c r="J54" s="1">
        <f>IF(1920903&gt;0,100*863441/1920903,"")</f>
        <v>44.949744989726184</v>
      </c>
      <c r="K54" s="1">
        <f>IF(707784&gt;0,100*117574/707784,"")</f>
        <v>16.611565110259626</v>
      </c>
      <c r="L54" s="1">
        <f>IF(COUNT(J54:K54)=2,K54-J54,"")</f>
        <v>-28.33817987946656</v>
      </c>
      <c r="O54" s="1">
        <v>16</v>
      </c>
      <c r="P54" s="1">
        <v>15</v>
      </c>
      <c r="Q54" s="1">
        <f>IF(2594091&gt;0,100*1215002/2594091,"")</f>
        <v>46.837292909153916</v>
      </c>
      <c r="R54" s="1">
        <f>IF(1552590&gt;0,100*143046/1552590,"")</f>
        <v>9.213378934554518</v>
      </c>
      <c r="S54" s="1">
        <f>IF(COUNT(Q54:R54)=2,R54-Q54,"")</f>
        <v>-37.6239139745994</v>
      </c>
    </row>
    <row r="55" spans="1:19">
      <c r="A55" s="1">
        <v>17</v>
      </c>
      <c r="B55" s="1">
        <v>16</v>
      </c>
      <c r="C55" s="1">
        <f>IF(844646&gt;0,100*17331/844646,"")</f>
        <v>2.0518655152572793</v>
      </c>
      <c r="D55" s="1">
        <f>IF(774281&gt;0,100*23026/774281,"")</f>
        <v>2.9738557448781515</v>
      </c>
      <c r="E55" s="1">
        <f>IF(COUNT(C55:D55)=2,D55-C55,"")</f>
        <v>0.9219902296208722</v>
      </c>
      <c r="H55" s="1">
        <v>17</v>
      </c>
      <c r="I55" s="1">
        <v>16</v>
      </c>
      <c r="J55" s="1">
        <f>IF(2198372&gt;0,100*828948/2198372,"")</f>
        <v>37.70735799036742</v>
      </c>
      <c r="K55" s="1">
        <f>IF(2109831&gt;0,100*455168/2109831,"")</f>
        <v>21.573671066545142</v>
      </c>
      <c r="L55" s="1">
        <f>IF(COUNT(J55:K55)=2,K55-J55,"")</f>
        <v>-16.133686923822278</v>
      </c>
      <c r="O55" s="1">
        <v>17</v>
      </c>
      <c r="P55" s="1">
        <v>16</v>
      </c>
      <c r="Q55" s="1">
        <f>IF(2139602&gt;0,100*724511/2139602,"")</f>
        <v>33.8619518957264</v>
      </c>
      <c r="R55" s="1">
        <f>IF(2690646&gt;0,100*873369/2690646,"")</f>
        <v>32.459453974993366</v>
      </c>
      <c r="S55" s="1">
        <f>IF(COUNT(Q55:R55)=2,R55-Q55,"")</f>
        <v>-1.4024979207330333</v>
      </c>
    </row>
    <row r="56" spans="1:19">
      <c r="A56" s="1">
        <v>18</v>
      </c>
      <c r="B56" s="1">
        <v>17</v>
      </c>
      <c r="C56" s="1">
        <f>IF(913631&gt;0,100*114254/913631,"")</f>
        <v>12.505486350616387</v>
      </c>
      <c r="D56" s="1">
        <f>IF(810494&gt;0,100*8321/810494,"")</f>
        <v>1.0266578160973432</v>
      </c>
      <c r="E56" s="1">
        <f>IF(COUNT(C56:D56)=2,D56-C56,"")</f>
        <v>-11.478828534519044</v>
      </c>
      <c r="H56" s="1">
        <v>18</v>
      </c>
      <c r="I56" s="1">
        <v>17</v>
      </c>
      <c r="J56" s="1">
        <f>IF(2215&gt;0,100*355/2215,"")</f>
        <v>16.02708803611738</v>
      </c>
      <c r="K56" s="1">
        <f>IF(2039371&gt;0,100*288622/2039371,"")</f>
        <v>14.152500942692624</v>
      </c>
      <c r="L56" s="1">
        <f>IF(COUNT(J56:K56)=2,K56-J56,"")</f>
        <v>-1.874587093424756</v>
      </c>
      <c r="O56" s="1">
        <v>18</v>
      </c>
      <c r="P56" s="1">
        <v>17</v>
      </c>
      <c r="Q56" s="1">
        <f>IF(2597163&gt;0,100*1238582/2597163,"")</f>
        <v>47.68980614616795</v>
      </c>
      <c r="R56" s="1">
        <f>IF(1911169&gt;0,100*80517/1911169,"")</f>
        <v>4.212971223371664</v>
      </c>
      <c r="S56" s="1">
        <f>IF(COUNT(Q56:R56)=2,R56-Q56,"")</f>
        <v>-43.476834922796286</v>
      </c>
    </row>
    <row r="57" spans="1:19">
      <c r="A57" s="1">
        <v>19</v>
      </c>
      <c r="B57" s="1">
        <v>18</v>
      </c>
      <c r="C57" s="1">
        <f>IF(2015196&gt;0,100*813734/2015196,"")</f>
        <v>40.37989356866528</v>
      </c>
      <c r="D57" s="1">
        <f>IF(2322707&gt;0,100*936280/2322707,"")</f>
        <v>40.30986258705898</v>
      </c>
      <c r="E57" s="1">
        <f>IF(COUNT(C57:D57)=2,D57-C57,"")</f>
        <v>-0.07003098160630117</v>
      </c>
      <c r="H57" s="1">
        <v>19</v>
      </c>
      <c r="I57" s="1">
        <v>18</v>
      </c>
      <c r="J57" s="1">
        <f>IF(1892358&gt;0,100*622212/1892358,"")</f>
        <v>32.880247817801916</v>
      </c>
      <c r="K57" s="1">
        <f>IF(1799323&gt;0,100*283881/1799323,"")</f>
        <v>15.77710060950702</v>
      </c>
      <c r="L57" s="1">
        <f>IF(COUNT(J57:K57)=2,K57-J57,"")</f>
        <v>-17.103147208294896</v>
      </c>
      <c r="O57" s="1">
        <v>19</v>
      </c>
      <c r="P57" s="1">
        <v>18</v>
      </c>
      <c r="Q57" s="1">
        <f>IF(1995148&gt;0,100*689134/1995148,"")</f>
        <v>34.54049524145577</v>
      </c>
      <c r="R57" s="1">
        <f>IF(1770165&gt;0,100*154416/1770165,"")</f>
        <v>8.723254611858216</v>
      </c>
      <c r="S57" s="1">
        <f>IF(COUNT(Q57:R57)=2,R57-Q57,"")</f>
        <v>-25.817240629597556</v>
      </c>
    </row>
    <row r="58" spans="1:19">
      <c r="A58" s="1">
        <v>20</v>
      </c>
      <c r="B58" s="1">
        <v>19</v>
      </c>
      <c r="C58" s="1">
        <f>IF(2178136&gt;0,100*944455/2178136,"")</f>
        <v>43.36069924008418</v>
      </c>
      <c r="D58" s="1">
        <f>IF(1933850&gt;0,100*552372/1933850,"")</f>
        <v>28.56333221294309</v>
      </c>
      <c r="E58" s="1">
        <f>IF(COUNT(C58:D58)=2,D58-C58,"")</f>
        <v>-14.797367027141089</v>
      </c>
      <c r="H58" s="1">
        <v>20</v>
      </c>
      <c r="I58" s="1">
        <v>19</v>
      </c>
      <c r="J58" s="1">
        <f>IF(2533784&gt;0,100*1139277/2533784,"")</f>
        <v>44.96346176311793</v>
      </c>
      <c r="K58" s="1">
        <f>IF(1958446&gt;0,100*255565/1958446,"")</f>
        <v>13.049376903933016</v>
      </c>
      <c r="L58" s="1">
        <f>IF(COUNT(J58:K58)=2,K58-J58,"")</f>
        <v>-31.91408485918491</v>
      </c>
      <c r="O58" s="1">
        <v>20</v>
      </c>
      <c r="P58" s="1">
        <v>19</v>
      </c>
      <c r="Q58" s="1">
        <f>IF(2139229&gt;0,100*899475/2139229,"")</f>
        <v>42.0466906535018</v>
      </c>
      <c r="R58" s="1">
        <f>IF(1874349&gt;0,100*415287/1874349,"")</f>
        <v>22.156332678706047</v>
      </c>
      <c r="S58" s="1">
        <f>IF(COUNT(Q58:R58)=2,R58-Q58,"")</f>
        <v>-19.89035797479575</v>
      </c>
    </row>
    <row r="59" spans="1:19">
      <c r="A59" s="1">
        <v>21</v>
      </c>
      <c r="B59" s="1">
        <v>20</v>
      </c>
      <c r="C59" s="1">
        <f>IF(1558100&gt;0,100*473205/1558100,"")</f>
        <v>30.37064373275143</v>
      </c>
      <c r="D59" s="1">
        <f>IF(1485890&gt;0,100*293382/1485890,"")</f>
        <v>19.74453021421505</v>
      </c>
      <c r="E59" s="1">
        <f>IF(COUNT(C59:D59)=2,D59-C59,"")</f>
        <v>-10.626113518536378</v>
      </c>
      <c r="H59" s="1">
        <v>21</v>
      </c>
      <c r="I59" s="1">
        <v>20</v>
      </c>
      <c r="J59" s="1">
        <f>IF(2773746&gt;0,100*1088927/2773746,"")</f>
        <v>39.25835314408745</v>
      </c>
      <c r="K59" s="1">
        <f>IF(1860293&gt;0,100*238502/1860293,"")</f>
        <v>12.820668572101276</v>
      </c>
      <c r="L59" s="1">
        <f>IF(COUNT(J59:K59)=2,K59-J59,"")</f>
        <v>-26.437684571986175</v>
      </c>
      <c r="O59" s="1">
        <v>21</v>
      </c>
      <c r="P59" s="1">
        <v>20</v>
      </c>
      <c r="Q59" s="1">
        <f>IF(2422246&gt;0,100*1045754/2422246,"")</f>
        <v>43.172906467798896</v>
      </c>
      <c r="R59" s="1">
        <f>IF(2232679&gt;0,100*533672/2232679,"")</f>
        <v>23.90276434722591</v>
      </c>
      <c r="S59" s="1">
        <f>IF(COUNT(Q59:R59)=2,R59-Q59,"")</f>
        <v>-19.270142120572984</v>
      </c>
    </row>
    <row r="60" spans="1:19">
      <c r="A60" s="1">
        <v>22</v>
      </c>
      <c r="B60" s="1">
        <v>21</v>
      </c>
      <c r="C60" s="1">
        <f>IF(1857644&gt;0,100*847880/1857644,"")</f>
        <v>45.64276039973213</v>
      </c>
      <c r="D60" s="1">
        <f>IF(1705831&gt;0,100*495389/1705831,"")</f>
        <v>29.040919059390994</v>
      </c>
      <c r="E60" s="1">
        <f>IF(COUNT(C60:D60)=2,D60-C60,"")</f>
        <v>-16.60184134034114</v>
      </c>
      <c r="H60" s="1">
        <v>22</v>
      </c>
      <c r="I60" s="1">
        <v>21</v>
      </c>
      <c r="J60" s="1">
        <f>IF(2183759&gt;0,100*997955/2183759,"")</f>
        <v>45.69895304381115</v>
      </c>
      <c r="K60" s="1">
        <f>IF(2148819&gt;0,100*685903/2148819,"")</f>
        <v>31.919998845877664</v>
      </c>
      <c r="L60" s="1">
        <f>IF(COUNT(J60:K60)=2,K60-J60,"")</f>
        <v>-13.778954197933487</v>
      </c>
      <c r="O60" s="1">
        <v>22</v>
      </c>
      <c r="P60" s="1">
        <v>21</v>
      </c>
      <c r="Q60" s="1">
        <f>IF(2052914&gt;0,100*716282/2052914,"")</f>
        <v>34.890989101345696</v>
      </c>
      <c r="R60" s="1">
        <f>IF(2020&gt;0,100*615/2020,"")</f>
        <v>30.445544554455445</v>
      </c>
      <c r="S60" s="1">
        <f>IF(COUNT(Q60:R60)=2,R60-Q60,"")</f>
        <v>-4.445444546890251</v>
      </c>
    </row>
    <row r="61" spans="1:19">
      <c r="A61" s="1">
        <v>23</v>
      </c>
      <c r="B61" s="1">
        <v>22</v>
      </c>
      <c r="C61" s="1">
        <f>IF(696517&gt;0,100*2264/696517,"")</f>
        <v>0.325045906991502</v>
      </c>
      <c r="D61" s="1">
        <f>IF(964144&gt;0,100*5421/964144,"")</f>
        <v>0.5622604092334755</v>
      </c>
      <c r="E61" s="1">
        <f>IF(COUNT(C61:D61)=2,D61-C61,"")</f>
        <v>0.23721450224197355</v>
      </c>
      <c r="H61" s="1">
        <v>23</v>
      </c>
      <c r="I61" s="1">
        <v>22</v>
      </c>
      <c r="J61" s="1">
        <f>IF(2492569&gt;0,100*1249101/2492569,"")</f>
        <v>50.11299586892078</v>
      </c>
      <c r="K61" s="1">
        <f>IF(2507789&gt;0,100*770244/2507789,"")</f>
        <v>30.71406725206945</v>
      </c>
      <c r="L61" s="1">
        <f>IF(COUNT(J61:K61)=2,K61-J61,"")</f>
        <v>-19.398928616851325</v>
      </c>
      <c r="O61" s="1">
        <v>23</v>
      </c>
      <c r="P61" s="1">
        <v>22</v>
      </c>
      <c r="Q61" s="1">
        <f>IF(2322764&gt;0,100*881160/2322764,"")</f>
        <v>37.935838509637655</v>
      </c>
      <c r="R61" s="1">
        <f>IF(1765915&gt;0,100*218297/1765915,"")</f>
        <v>12.36169351299468</v>
      </c>
      <c r="S61" s="1">
        <f>IF(COUNT(Q61:R61)=2,R61-Q61,"")</f>
        <v>-25.574144996642975</v>
      </c>
    </row>
    <row r="62" spans="1:19">
      <c r="A62" s="1">
        <v>24</v>
      </c>
      <c r="B62" s="1">
        <v>23</v>
      </c>
      <c r="C62" s="1">
        <f>IF(1622857&gt;0,100*324323/1622857,"")</f>
        <v>19.98469366062444</v>
      </c>
      <c r="D62" s="1">
        <f>IF(1870204&gt;0,100*367070/1870204,"")</f>
        <v>19.62727060791229</v>
      </c>
      <c r="E62" s="1">
        <f>IF(COUNT(C62:D62)=2,D62-C62,"")</f>
        <v>-0.35742305271215</v>
      </c>
      <c r="H62" s="1">
        <v>24</v>
      </c>
      <c r="I62" s="1">
        <v>23</v>
      </c>
      <c r="J62" s="1">
        <f>IF(2618354&gt;0,100*1195641/2618354,"")</f>
        <v>45.663840718252764</v>
      </c>
      <c r="K62" s="1">
        <f>IF(263501&gt;0,100*7160/263501,"")</f>
        <v>2.717257240010474</v>
      </c>
      <c r="L62" s="1">
        <f>IF(COUNT(J62:K62)=2,K62-J62,"")</f>
        <v>-42.94658347824229</v>
      </c>
      <c r="O62" s="1">
        <v>24</v>
      </c>
      <c r="P62" s="1">
        <v>23</v>
      </c>
      <c r="Q62" s="1">
        <f>IF(1862901&gt;0,100*489468/1862901,"")</f>
        <v>26.27450412018674</v>
      </c>
      <c r="R62" s="1">
        <f>IF(1845303&gt;0,100*224317/1845303,"")</f>
        <v>12.156106612301611</v>
      </c>
      <c r="S62" s="1">
        <f>IF(COUNT(Q62:R62)=2,R62-Q62,"")</f>
        <v>-14.11839750788513</v>
      </c>
    </row>
    <row r="63" spans="1:19">
      <c r="A63" s="1">
        <v>25</v>
      </c>
      <c r="B63" s="1">
        <v>24</v>
      </c>
      <c r="C63" s="1">
        <f>IF(1310506&gt;0,100*408672/1310506,"")</f>
        <v>31.184290648039763</v>
      </c>
      <c r="D63" s="1">
        <f>IF(2009469&gt;0,100*683934/2009469,"")</f>
        <v>34.03555864758302</v>
      </c>
      <c r="E63" s="1">
        <f>IF(COUNT(C63:D63)=2,D63-C63,"")</f>
        <v>2.8512679995432535</v>
      </c>
      <c r="H63" s="1">
        <v>25</v>
      </c>
      <c r="I63" s="1">
        <v>24</v>
      </c>
      <c r="J63" s="1">
        <f>IF(2421034&gt;0,100*1042416/2421034,"")</f>
        <v>43.05664439243728</v>
      </c>
      <c r="K63" s="1">
        <f>IF(1553151&gt;0,100*115833/1553151,"")</f>
        <v>7.45793551303125</v>
      </c>
      <c r="L63" s="1">
        <f>IF(COUNT(J63:K63)=2,K63-J63,"")</f>
        <v>-35.598708879406026</v>
      </c>
      <c r="O63" s="1">
        <v>25</v>
      </c>
      <c r="P63" s="1">
        <v>24</v>
      </c>
      <c r="Q63" s="1">
        <f>IF(2310152&gt;0,100*1014877/2310152,"")</f>
        <v>43.931178554484724</v>
      </c>
      <c r="R63" s="1">
        <f>IF(2165462&gt;0,100*420578/2165462,"")</f>
        <v>19.422090990282904</v>
      </c>
      <c r="S63" s="1">
        <f>IF(COUNT(Q63:R63)=2,R63-Q63,"")</f>
        <v>-24.50908756420182</v>
      </c>
    </row>
    <row r="64" spans="1:19">
      <c r="A64" s="1">
        <v>26</v>
      </c>
      <c r="B64" s="1">
        <v>25</v>
      </c>
      <c r="C64" s="1">
        <f>IF(2238694&gt;0,100*1062953/2238694,"")</f>
        <v>47.480942013513236</v>
      </c>
      <c r="D64" s="1">
        <f>IF(2176608&gt;0,100*805750/2176608,"")</f>
        <v>37.01860877107867</v>
      </c>
      <c r="E64" s="1">
        <f>IF(COUNT(C64:D64)=2,D64-C64,"")</f>
        <v>-10.462333242434568</v>
      </c>
      <c r="H64" s="1">
        <v>26</v>
      </c>
      <c r="I64" s="1">
        <v>25</v>
      </c>
      <c r="J64" s="1">
        <f>IF(1745904&gt;0,100*492009/1745904,"")</f>
        <v>28.18075907953702</v>
      </c>
      <c r="K64" s="1">
        <f>IF(1684626&gt;0,100*310597/1684626,"")</f>
        <v>18.437148660889715</v>
      </c>
      <c r="L64" s="1">
        <f>IF(COUNT(J64:K64)=2,K64-J64,"")</f>
        <v>-9.743610418647304</v>
      </c>
      <c r="O64" s="1">
        <v>26</v>
      </c>
      <c r="P64" s="1">
        <v>25</v>
      </c>
      <c r="Q64" s="1">
        <f>IF(2669118&gt;0,100*1197813/2669118,"")</f>
        <v>44.876734561754105</v>
      </c>
      <c r="R64" s="1">
        <f>IF(1328611&gt;0,100*115171/1328611,"")</f>
        <v>8.668526754633222</v>
      </c>
      <c r="S64" s="1">
        <f>IF(COUNT(Q64:R64)=2,R64-Q64,"")</f>
        <v>-36.208207807120885</v>
      </c>
    </row>
    <row r="65" spans="1:19">
      <c r="A65" s="1">
        <v>27</v>
      </c>
      <c r="B65" s="1">
        <v>26</v>
      </c>
      <c r="C65" s="1">
        <f>IF(1647328&gt;0,100*574346/1647328,"")</f>
        <v>34.86530915518949</v>
      </c>
      <c r="D65" s="1">
        <f>IF(1984409&gt;0,100*672008/1984409,"")</f>
        <v>33.86438985108413</v>
      </c>
      <c r="E65" s="1">
        <f>IF(COUNT(C65:D65)=2,D65-C65,"")</f>
        <v>-1.0009193041053663</v>
      </c>
      <c r="H65" s="1">
        <v>27</v>
      </c>
      <c r="I65" s="1">
        <v>26</v>
      </c>
      <c r="J65" s="1">
        <f>IF(2195965&gt;0,100*781488/2195965,"")</f>
        <v>35.587452441181895</v>
      </c>
      <c r="K65" s="1">
        <f>IF(2537757&gt;0,100*693212/2537757,"")</f>
        <v>27.315932928172398</v>
      </c>
      <c r="L65" s="1">
        <f>IF(COUNT(J65:K65)=2,K65-J65,"")</f>
        <v>-8.271519513009498</v>
      </c>
      <c r="O65" s="1">
        <v>27</v>
      </c>
      <c r="P65" s="1">
        <v>26</v>
      </c>
      <c r="Q65" s="1">
        <f>IF(2415042&gt;0,100*766118/2415042,"")</f>
        <v>31.722760929209514</v>
      </c>
      <c r="R65" s="1">
        <f>IF(2072619&gt;0,100*456814/2072619,"")</f>
        <v>22.040423251933905</v>
      </c>
      <c r="S65" s="1">
        <f>IF(COUNT(Q65:R65)=2,R65-Q65,"")</f>
        <v>-9.682337677275608</v>
      </c>
    </row>
    <row r="66" spans="1:19">
      <c r="A66" s="1">
        <v>28</v>
      </c>
      <c r="B66" s="1">
        <v>27</v>
      </c>
      <c r="C66" s="1">
        <f>IF(665364&gt;0,100*675/665364,"")</f>
        <v>0.10144822984110953</v>
      </c>
      <c r="D66" s="1">
        <f>IF(679424&gt;0,100*3777/679424,"")</f>
        <v>0.5559120666917859</v>
      </c>
      <c r="E66" s="1">
        <f>IF(COUNT(C66:D66)=2,D66-C66,"")</f>
        <v>0.45446383685067643</v>
      </c>
      <c r="H66" s="1">
        <v>28</v>
      </c>
      <c r="I66" s="1">
        <v>27</v>
      </c>
      <c r="J66" s="1">
        <f>IF(1703605&gt;0,100*670593/1703605,"")</f>
        <v>39.36317397518791</v>
      </c>
      <c r="K66" s="1">
        <f>IF(1606347&gt;0,100*251095/1606347,"")</f>
        <v>15.631429572813346</v>
      </c>
      <c r="L66" s="1">
        <f>IF(COUNT(J66:K66)=2,K66-J66,"")</f>
        <v>-23.731744402374567</v>
      </c>
      <c r="O66" s="1">
        <v>28</v>
      </c>
      <c r="P66" s="1">
        <v>27</v>
      </c>
      <c r="Q66" s="1">
        <f>IF(1500981&gt;0,100*448455/1500981,"")</f>
        <v>29.877460141067743</v>
      </c>
      <c r="R66" s="1">
        <f>IF(2022680&gt;0,100*546638/2022680,"")</f>
        <v>27.02543160559258</v>
      </c>
      <c r="S66" s="1">
        <f>IF(COUNT(Q66:R66)=2,R66-Q66,"")</f>
        <v>-2.8520285354751636</v>
      </c>
    </row>
    <row r="67" spans="1:19">
      <c r="A67" s="1">
        <v>29</v>
      </c>
      <c r="B67" s="1">
        <v>28</v>
      </c>
      <c r="C67" s="1">
        <f>IF(1808091&gt;0,100*652193/1808091,"")</f>
        <v>36.070806170707115</v>
      </c>
      <c r="D67" s="1">
        <f>IF(2051891&gt;0,100*683287/2051891,"")</f>
        <v>33.30035562317882</v>
      </c>
      <c r="E67" s="1">
        <f>IF(COUNT(C67:D67)=2,D67-C67,"")</f>
        <v>-2.7704505475282986</v>
      </c>
      <c r="H67" s="1">
        <v>29</v>
      </c>
      <c r="I67" s="1">
        <v>28</v>
      </c>
      <c r="J67" s="1">
        <f>IF(2391442&gt;0,100*1116314/2391442,"")</f>
        <v>46.67953477441644</v>
      </c>
      <c r="K67" s="1">
        <f>IF(2560317&gt;0,100*758707/2560317,"")</f>
        <v>29.633322748706508</v>
      </c>
      <c r="L67" s="1">
        <f>IF(COUNT(J67:K67)=2,K67-J67,"")</f>
        <v>-17.04621202570993</v>
      </c>
      <c r="O67" s="1">
        <v>29</v>
      </c>
      <c r="P67" s="1">
        <v>28</v>
      </c>
      <c r="Q67" s="1">
        <f>IF(2050506&gt;0,100*857322/2050506,"")</f>
        <v>41.810265368645595</v>
      </c>
      <c r="R67" s="1">
        <f>IF(1861940&gt;0,100*396910/1861940,"")</f>
        <v>21.317013437597346</v>
      </c>
      <c r="S67" s="1">
        <f>IF(COUNT(Q67:R67)=2,R67-Q67,"")</f>
        <v>-20.49325193104825</v>
      </c>
    </row>
    <row r="68" spans="1:19">
      <c r="A68" s="1">
        <v>30</v>
      </c>
      <c r="B68" s="1">
        <v>29</v>
      </c>
      <c r="C68" s="1">
        <f>IF(1942903&gt;0,100*844208/1942903,"")</f>
        <v>43.45085678492441</v>
      </c>
      <c r="D68" s="1">
        <f>IF(2275935&gt;0,100*721238/2275935,"")</f>
        <v>31.689745093774647</v>
      </c>
      <c r="E68" s="1">
        <f>IF(COUNT(C68:D68)=2,D68-C68,"")</f>
        <v>-11.761111691149765</v>
      </c>
      <c r="H68" s="1">
        <v>30</v>
      </c>
      <c r="I68" s="1">
        <v>29</v>
      </c>
      <c r="J68" s="1">
        <f>IF(1886067&gt;0,100*615825/1886067,"")</f>
        <v>32.65127909029743</v>
      </c>
      <c r="K68" s="1">
        <f>IF(1630355&gt;0,100*313213/1630355,"")</f>
        <v>19.211337408110502</v>
      </c>
      <c r="L68" s="1">
        <f>IF(COUNT(J68:K68)=2,K68-J68,"")</f>
        <v>-13.439941682186927</v>
      </c>
      <c r="O68" s="1">
        <v>30</v>
      </c>
      <c r="P68" s="1">
        <v>29</v>
      </c>
      <c r="Q68" s="1">
        <f>IF(1124834&gt;0,100*57569/1124834,"")</f>
        <v>5.1179996337237315</v>
      </c>
      <c r="R68" s="1">
        <f>IF(1339380&gt;0,100*176296/1339380,"")</f>
        <v>13.162508026101628</v>
      </c>
      <c r="S68" s="1">
        <f>IF(COUNT(Q68:R68)=2,R68-Q68,"")</f>
        <v>8.044508392377896</v>
      </c>
    </row>
    <row r="69" spans="1:19">
      <c r="A69" s="1">
        <v>31</v>
      </c>
      <c r="B69" s="1">
        <v>30</v>
      </c>
      <c r="C69" s="1">
        <f>IF(1247391&gt;0,100*5792/1247391,"")</f>
        <v>0.4643291477972825</v>
      </c>
      <c r="D69" s="1">
        <f>IF(1352969&gt;0,100*160466/1352969,"")</f>
        <v>11.86028652541189</v>
      </c>
      <c r="E69" s="1">
        <f>IF(COUNT(C69:D69)=2,D69-C69,"")</f>
        <v>11.395957377614607</v>
      </c>
      <c r="H69" s="1">
        <v>31</v>
      </c>
      <c r="I69" s="1">
        <v>30</v>
      </c>
      <c r="J69" s="1">
        <f>IF(2131633&gt;0,100*739570/2131633,"")</f>
        <v>34.69499674662571</v>
      </c>
      <c r="K69" s="1">
        <f>IF(1528584&gt;0,100*166709/1528584,"")</f>
        <v>10.906106566600199</v>
      </c>
      <c r="L69" s="1">
        <f>IF(COUNT(J69:K69)=2,K69-J69,"")</f>
        <v>-23.78889018002551</v>
      </c>
      <c r="O69" s="1">
        <v>31</v>
      </c>
      <c r="P69" s="1">
        <v>30</v>
      </c>
      <c r="Q69" s="1">
        <f>IF(1670334&gt;0,100*513883/1670334,"")</f>
        <v>30.765284068934715</v>
      </c>
      <c r="R69" s="1">
        <f>IF(1728409&gt;0,100*346141/1728409,"")</f>
        <v>20.026567785749783</v>
      </c>
      <c r="S69" s="1">
        <f>IF(COUNT(Q69:R69)=2,R69-Q69,"")</f>
        <v>-10.738716283184932</v>
      </c>
    </row>
    <row r="70" spans="1:19">
      <c r="A70" s="2" t="s">
        <v>6</v>
      </c>
      <c r="B70" s="1"/>
      <c r="C70" s="1">
        <f>IF(COUNT(C39:C69)&gt;0,AVERAGE(C39:C69),"")</f>
        <v>30.562133085533812</v>
      </c>
      <c r="D70" s="1">
        <f>IF(COUNT(D39:D69)&gt;0,AVERAGE(D39:D69),"")</f>
        <v>23.325040869190406</v>
      </c>
      <c r="E70" s="1">
        <f>IF(COUNT(E39:E69)&gt;0,AVERAGE(E39:E69),"")</f>
        <v>-7.237092216343404</v>
      </c>
      <c r="H70" s="2" t="s">
        <v>6</v>
      </c>
      <c r="I70" s="1"/>
      <c r="J70" s="1">
        <f>IF(COUNT(J39:J69)&gt;0,AVERAGE(J39:J69),"")</f>
        <v>32.74960009631654</v>
      </c>
      <c r="K70" s="1">
        <f>IF(COUNT(K39:K69)&gt;0,AVERAGE(K39:K69),"")</f>
        <v>16.91008110496632</v>
      </c>
      <c r="L70" s="1">
        <f>IF(COUNT(L39:L69)&gt;0,AVERAGE(L39:L69),"")</f>
        <v>-15.839518991350223</v>
      </c>
      <c r="O70" s="2" t="s">
        <v>6</v>
      </c>
      <c r="P70" s="1"/>
      <c r="Q70" s="1">
        <f>IF(COUNT(Q39:Q69)&gt;0,AVERAGE(Q39:Q69),"")</f>
        <v>31.481548328397977</v>
      </c>
      <c r="R70" s="1">
        <f>IF(COUNT(R39:R69)&gt;0,AVERAGE(R39:R69),"")</f>
        <v>17.586417364424687</v>
      </c>
      <c r="S70" s="1">
        <f>IF(COUNT(S39:S69)&gt;0,AVERAGE(S39:S69),"")</f>
        <v>-13.895130963973294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IF(1227574&gt;0,100*38510/1227574,"")</f>
        <v>3.1370817563747684</v>
      </c>
      <c r="D75" s="1">
        <f>IF(1255752&gt;0,100*94050/1255752,"")</f>
        <v>7.489536150450089</v>
      </c>
      <c r="E75" s="1">
        <f>IF(COUNT(C75:D75)=2,D75-C75,"")</f>
        <v>4.352454394075321</v>
      </c>
      <c r="H75" s="1">
        <v>1</v>
      </c>
      <c r="I75" s="1">
        <v>0</v>
      </c>
      <c r="J75" s="1">
        <f>IF(2974908&gt;0,100*1593753/2974908,"")</f>
        <v>53.573186128781124</v>
      </c>
      <c r="K75" s="1">
        <f>IF(2676670&gt;0,100*685414/2676670,"")</f>
        <v>25.606966865545623</v>
      </c>
      <c r="L75" s="1">
        <f>IF(COUNT(J75:K75)=2,K75-J75,"")</f>
        <v>-27.9662192632355</v>
      </c>
      <c r="O75" s="1">
        <v>1</v>
      </c>
      <c r="P75" s="1">
        <v>0</v>
      </c>
      <c r="Q75" s="1">
        <f>IF(2673895&gt;0,100*1212503/2673895,"")</f>
        <v>45.34594664337979</v>
      </c>
      <c r="R75" s="1">
        <f>IF(2840918&gt;0,100*1012008/2840918,"")</f>
        <v>35.622569887620834</v>
      </c>
      <c r="S75" s="1">
        <f>IF(COUNT(Q75:R75)=2,R75-Q75,"")</f>
        <v>-9.723376755758956</v>
      </c>
    </row>
    <row r="76" spans="1:19">
      <c r="A76" s="1">
        <v>2</v>
      </c>
      <c r="B76" s="1">
        <v>1</v>
      </c>
      <c r="C76" s="1">
        <f>IF(1624357&gt;0,100*617829/1624357,"")</f>
        <v>38.03529642806353</v>
      </c>
      <c r="D76" s="1">
        <f>IF(1861779&gt;0,100*604434/1861779,"")</f>
        <v>32.46540002868225</v>
      </c>
      <c r="E76" s="1">
        <f>IF(COUNT(C76:D76)=2,D76-C76,"")</f>
        <v>-5.569896399381285</v>
      </c>
      <c r="H76" s="1">
        <v>2</v>
      </c>
      <c r="I76" s="1">
        <v>1</v>
      </c>
      <c r="J76" s="1">
        <f>IF(2706515&gt;0,100*1225890/2706515,"")</f>
        <v>45.29404049118516</v>
      </c>
      <c r="K76" s="1">
        <f>IF(2724774&gt;0,100*880023/2724774,"")</f>
        <v>32.29710060357299</v>
      </c>
      <c r="L76" s="1">
        <f>IF(COUNT(J76:K76)=2,K76-J76,"")</f>
        <v>-12.996939887612164</v>
      </c>
      <c r="O76" s="1">
        <v>2</v>
      </c>
      <c r="P76" s="1">
        <v>1</v>
      </c>
      <c r="Q76" s="1">
        <f>IF(2467592&gt;0,100*1063705/2467592,"")</f>
        <v>43.1070047236334</v>
      </c>
      <c r="R76" s="1">
        <f>IF(3049986&gt;0,100*1198980/3049986,"")</f>
        <v>39.311000116066104</v>
      </c>
      <c r="S76" s="1">
        <f>IF(COUNT(Q76:R76)=2,R76-Q76,"")</f>
        <v>-3.7960046075672977</v>
      </c>
    </row>
    <row r="77" spans="1:19">
      <c r="A77" s="1">
        <v>3</v>
      </c>
      <c r="B77" s="1">
        <v>2</v>
      </c>
      <c r="C77" s="1">
        <f>IF(1673401&gt;0,100*672518/1673401,"")</f>
        <v>40.18869356478214</v>
      </c>
      <c r="D77" s="1">
        <f>IF(2012506&gt;0,100*736182/2012506,"")</f>
        <v>36.58036299022214</v>
      </c>
      <c r="E77" s="1">
        <f>IF(COUNT(C77:D77)=2,D77-C77,"")</f>
        <v>-3.60833057456</v>
      </c>
      <c r="H77" s="1">
        <v>3</v>
      </c>
      <c r="I77" s="1">
        <v>2</v>
      </c>
      <c r="J77" s="1">
        <f>IF(2238301&gt;0,100*947036/2238301,"")</f>
        <v>42.31048460417075</v>
      </c>
      <c r="K77" s="1">
        <f>IF(2586400&gt;0,100*539243/2586400,"")</f>
        <v>20.849172595112897</v>
      </c>
      <c r="L77" s="1">
        <f>IF(COUNT(J77:K77)=2,K77-J77,"")</f>
        <v>-21.461312009057856</v>
      </c>
      <c r="O77" s="1">
        <v>3</v>
      </c>
      <c r="P77" s="1">
        <v>2</v>
      </c>
      <c r="Q77" s="1">
        <f>IF(2033898&gt;0,100*82955/2033898,"")</f>
        <v>4.07862144512655</v>
      </c>
      <c r="R77" s="1">
        <f>IF(1112556&gt;0,100*97577/1112556,"")</f>
        <v>8.770524809537678</v>
      </c>
      <c r="S77" s="1">
        <f>IF(COUNT(Q77:R77)=2,R77-Q77,"")</f>
        <v>4.691903364411128</v>
      </c>
    </row>
    <row r="78" spans="1:19">
      <c r="A78" s="1">
        <v>4</v>
      </c>
      <c r="B78" s="1">
        <v>3</v>
      </c>
      <c r="C78" s="1">
        <f>IF(1853726&gt;0,100*857824/1853726,"")</f>
        <v>46.2756631778375</v>
      </c>
      <c r="D78" s="1">
        <f>IF(2764899&gt;0,100*1097770/2764899,"")</f>
        <v>39.70380111533911</v>
      </c>
      <c r="E78" s="1">
        <f>IF(COUNT(C78:D78)=2,D78-C78,"")</f>
        <v>-6.57186206249839</v>
      </c>
      <c r="H78" s="1">
        <v>4</v>
      </c>
      <c r="I78" s="1">
        <v>3</v>
      </c>
      <c r="J78" s="1">
        <f>IF(2473338&gt;0,100*1144203/2473338,"")</f>
        <v>46.2614895335777</v>
      </c>
      <c r="K78" s="1">
        <f>IF(1631441&gt;0,100*98800/1631441,"")</f>
        <v>6.055995895652984</v>
      </c>
      <c r="L78" s="1">
        <f>IF(COUNT(J78:K78)=2,K78-J78,"")</f>
        <v>-40.20549363792472</v>
      </c>
      <c r="O78" s="1">
        <v>4</v>
      </c>
      <c r="P78" s="1">
        <v>3</v>
      </c>
      <c r="Q78" s="1">
        <f>IF(2535025&gt;0,100*1351101/2535025,"")</f>
        <v>53.29734420765081</v>
      </c>
      <c r="R78" s="1">
        <f>IF(1725198&gt;0,100*147527/1725198,"")</f>
        <v>8.551308313596468</v>
      </c>
      <c r="S78" s="1">
        <f>IF(COUNT(Q78:R78)=2,R78-Q78,"")</f>
        <v>-44.746035894054344</v>
      </c>
    </row>
    <row r="79" spans="1:19">
      <c r="A79" s="1">
        <v>5</v>
      </c>
      <c r="B79" s="1">
        <v>4</v>
      </c>
      <c r="C79" s="1">
        <f>IF(2574341&gt;0,100*1256270/2574341,"")</f>
        <v>48.79967339214191</v>
      </c>
      <c r="D79" s="1">
        <f>IF(1919777&gt;0,100*360224/1919777,"")</f>
        <v>18.763846009197945</v>
      </c>
      <c r="E79" s="1">
        <f>IF(COUNT(C79:D79)=2,D79-C79,"")</f>
        <v>-30.035827382943967</v>
      </c>
      <c r="H79" s="1">
        <v>5</v>
      </c>
      <c r="I79" s="1">
        <v>4</v>
      </c>
      <c r="J79" s="1">
        <f>IF(2594432&gt;0,100*1209716/2594432,"")</f>
        <v>46.627392816616506</v>
      </c>
      <c r="K79" s="1">
        <f>IF(2315936&gt;0,100*667249/2315936,"")</f>
        <v>28.811202036671133</v>
      </c>
      <c r="L79" s="1">
        <f>IF(COUNT(J79:K79)=2,K79-J79,"")</f>
        <v>-17.816190779945373</v>
      </c>
      <c r="O79" s="1">
        <v>5</v>
      </c>
      <c r="P79" s="1">
        <v>4</v>
      </c>
      <c r="Q79" s="1">
        <f>IF(2505160&gt;0,100*1184605/2505160,"")</f>
        <v>47.28660045665746</v>
      </c>
      <c r="R79" s="1">
        <f>IF(2679688&gt;0,100*820715/2679688,"")</f>
        <v>30.627259591415118</v>
      </c>
      <c r="S79" s="1">
        <f>IF(COUNT(Q79:R79)=2,R79-Q79,"")</f>
        <v>-16.659340865242342</v>
      </c>
    </row>
    <row r="80" spans="1:19">
      <c r="A80" s="1">
        <v>6</v>
      </c>
      <c r="B80" s="1">
        <v>5</v>
      </c>
      <c r="C80" s="1">
        <f>IF(2161281&gt;0,100*837619/2161281,"")</f>
        <v>38.75567314014235</v>
      </c>
      <c r="D80" s="1">
        <f>IF(2451762&gt;0,100*700847/2451762,"")</f>
        <v>28.585441816946343</v>
      </c>
      <c r="E80" s="1">
        <f>IF(COUNT(C80:D80)=2,D80-C80,"")</f>
        <v>-10.170231323196006</v>
      </c>
      <c r="H80" s="1">
        <v>6</v>
      </c>
      <c r="I80" s="1">
        <v>5</v>
      </c>
      <c r="J80" s="1">
        <f>IF(2014532&gt;0,100*751916/2014532,"")</f>
        <v>37.3245994603213</v>
      </c>
      <c r="K80" s="1">
        <f>IF(2617410&gt;0,100*787438/2617410,"")</f>
        <v>30.08462564137831</v>
      </c>
      <c r="L80" s="1">
        <f>IF(COUNT(J80:K80)=2,K80-J80,"")</f>
        <v>-7.2399738189429925</v>
      </c>
      <c r="O80" s="1">
        <v>6</v>
      </c>
      <c r="P80" s="1">
        <v>5</v>
      </c>
      <c r="Q80" s="1">
        <f>IF(2374865&gt;0,100*978839/2374865,"")</f>
        <v>41.21661652346555</v>
      </c>
      <c r="R80" s="1">
        <f>IF(2290035&gt;0,100*620322/2290035,"")</f>
        <v>27.087882936287</v>
      </c>
      <c r="S80" s="1">
        <f>IF(COUNT(Q80:R80)=2,R80-Q80,"")</f>
        <v>-14.128733587178548</v>
      </c>
    </row>
    <row r="81" spans="1:19">
      <c r="A81" s="1">
        <v>7</v>
      </c>
      <c r="B81" s="1">
        <v>6</v>
      </c>
      <c r="C81" s="1">
        <f>IF(2322649&gt;0,100*1026425/2322649,"")</f>
        <v>44.19199801605839</v>
      </c>
      <c r="D81" s="1">
        <f>IF(1807524&gt;0,100*370533/1807524,"")</f>
        <v>20.499478845094174</v>
      </c>
      <c r="E81" s="1">
        <f>IF(COUNT(C81:D81)=2,D81-C81,"")</f>
        <v>-23.692519170964218</v>
      </c>
      <c r="H81" s="1">
        <v>7</v>
      </c>
      <c r="I81" s="1">
        <v>6</v>
      </c>
      <c r="J81" s="1">
        <f>IF(1377831&gt;0,100*8479/1377831,"")</f>
        <v>0.6153875184982773</v>
      </c>
      <c r="K81" s="1">
        <f>IF(1701616&gt;0,100*199897/1701616,"")</f>
        <v>11.747480042500776</v>
      </c>
      <c r="L81" s="1">
        <f>IF(COUNT(J81:K81)=2,K81-J81,"")</f>
        <v>11.132092524002498</v>
      </c>
      <c r="O81" s="1">
        <v>7</v>
      </c>
      <c r="P81" s="1">
        <v>6</v>
      </c>
      <c r="Q81" s="1">
        <f>IF(985046&gt;0,100*15738/985046,"")</f>
        <v>1.5976918844399144</v>
      </c>
      <c r="R81" s="1">
        <f>IF(2288026&gt;0,100*378545/2288026,"")</f>
        <v>16.544610944106406</v>
      </c>
      <c r="S81" s="1">
        <f>IF(COUNT(Q81:R81)=2,R81-Q81,"")</f>
        <v>14.946919059666492</v>
      </c>
    </row>
    <row r="82" spans="1:19">
      <c r="A82" s="1">
        <v>8</v>
      </c>
      <c r="B82" s="1">
        <v>7</v>
      </c>
      <c r="C82" s="1">
        <f>IF(2162199&gt;0,100*1011109/2162199,"")</f>
        <v>46.76299452548077</v>
      </c>
      <c r="D82" s="1">
        <f>IF(2348612&gt;0,100*827407/2348612,"")</f>
        <v>35.22961647134563</v>
      </c>
      <c r="E82" s="1">
        <f>IF(COUNT(C82:D82)=2,D82-C82,"")</f>
        <v>-11.533378054135142</v>
      </c>
      <c r="H82" s="1">
        <v>8</v>
      </c>
      <c r="I82" s="1">
        <v>7</v>
      </c>
      <c r="J82" s="1">
        <f>IF(1201041&gt;0,100*14947/1201041,"")</f>
        <v>1.2445037263507241</v>
      </c>
      <c r="K82" s="1">
        <f>IF(941232&gt;0,100*2791/941232,"")</f>
        <v>0.2965262549509579</v>
      </c>
      <c r="L82" s="1">
        <f>IF(COUNT(J82:K82)=2,K82-J82,"")</f>
        <v>-0.9479774713997662</v>
      </c>
      <c r="O82" s="1">
        <v>8</v>
      </c>
      <c r="P82" s="1">
        <v>7</v>
      </c>
      <c r="Q82" s="1">
        <f>IF(1244696&gt;0,100*14076/1244696,"")</f>
        <v>1.13087854383721</v>
      </c>
      <c r="R82" s="1">
        <f>IF(965515&gt;0,100*3879/965515,"")</f>
        <v>0.4017545040729559</v>
      </c>
      <c r="S82" s="1">
        <f>IF(COUNT(Q82:R82)=2,R82-Q82,"")</f>
        <v>-0.7291240397642541</v>
      </c>
    </row>
    <row r="83" spans="1:19">
      <c r="A83" s="1">
        <v>9</v>
      </c>
      <c r="B83" s="1">
        <v>8</v>
      </c>
      <c r="C83" s="1">
        <f>IF(1440745&gt;0,100*484807/1440745,"")</f>
        <v>33.64974370898389</v>
      </c>
      <c r="D83" s="1">
        <f>IF(2207473&gt;0,100*856563/2207473,"")</f>
        <v>38.802875505159065</v>
      </c>
      <c r="E83" s="1">
        <f>IF(COUNT(C83:D83)=2,D83-C83,"")</f>
        <v>5.153131796175174</v>
      </c>
      <c r="H83" s="1">
        <v>9</v>
      </c>
      <c r="I83" s="1">
        <v>8</v>
      </c>
      <c r="J83" s="1">
        <f>IF(2605328&gt;0,100*1210537/2605328,"")</f>
        <v>46.46390013080887</v>
      </c>
      <c r="K83" s="1">
        <f>IF(3152492&gt;0,100*1209814/3152492,"")</f>
        <v>38.376433627745925</v>
      </c>
      <c r="L83" s="1">
        <f>IF(COUNT(J83:K83)=2,K83-J83,"")</f>
        <v>-8.087466503062942</v>
      </c>
      <c r="O83" s="1">
        <v>9</v>
      </c>
      <c r="P83" s="1">
        <v>8</v>
      </c>
      <c r="Q83" s="1">
        <f>IF(2369232&gt;0,100*974673/2369232,"")</f>
        <v>41.138774083753724</v>
      </c>
      <c r="R83" s="1">
        <f>IF(2979044&gt;0,100*1116177/2979044,"")</f>
        <v>37.467623841742515</v>
      </c>
      <c r="S83" s="1">
        <f>IF(COUNT(Q83:R83)=2,R83-Q83,"")</f>
        <v>-3.6711502420112083</v>
      </c>
    </row>
    <row r="84" spans="1:19">
      <c r="A84" s="1">
        <v>10</v>
      </c>
      <c r="B84" s="1">
        <v>9</v>
      </c>
      <c r="C84" s="1">
        <f>IF(1168622&gt;0,100*16823/1168622,"")</f>
        <v>1.4395587281430609</v>
      </c>
      <c r="D84" s="1">
        <f>IF(1157537&gt;0,100*118451/1157537,"")</f>
        <v>10.233020629146196</v>
      </c>
      <c r="E84" s="1">
        <f>IF(COUNT(C84:D84)=2,D84-C84,"")</f>
        <v>8.793461901003136</v>
      </c>
      <c r="H84" s="1">
        <v>10</v>
      </c>
      <c r="I84" s="1">
        <v>9</v>
      </c>
      <c r="J84" s="1">
        <f>IF(3065832&gt;0,100*1566994/3065832,"")</f>
        <v>51.11154166307873</v>
      </c>
      <c r="K84" s="1">
        <f>IF(1536598&gt;0,100*12837/1536598,"")</f>
        <v>0.8354169405400762</v>
      </c>
      <c r="L84" s="1">
        <f>IF(COUNT(J84:K84)=2,K84-J84,"")</f>
        <v>-50.276124722538654</v>
      </c>
      <c r="O84" s="1">
        <v>10</v>
      </c>
      <c r="P84" s="1">
        <v>9</v>
      </c>
      <c r="Q84" s="1">
        <f>IF(2063235&gt;0,100*325107/2063235,"")</f>
        <v>15.757148361674748</v>
      </c>
      <c r="R84" s="1">
        <f>IF(2528365&gt;0,100*432846/2528365,"")</f>
        <v>17.119601006974865</v>
      </c>
      <c r="S84" s="1">
        <f>IF(COUNT(Q84:R84)=2,R84-Q84,"")</f>
        <v>1.3624526453001167</v>
      </c>
    </row>
    <row r="85" spans="1:19">
      <c r="A85" s="1">
        <v>11</v>
      </c>
      <c r="B85" s="1">
        <v>10</v>
      </c>
      <c r="C85" s="1">
        <f>IF(2209395&gt;0,100*1084873/2209395,"")</f>
        <v>49.1027181649275</v>
      </c>
      <c r="D85" s="1">
        <f>IF(45642&gt;0,100*11434/45642,"")</f>
        <v>25.051487664870077</v>
      </c>
      <c r="E85" s="1">
        <f>IF(COUNT(C85:D85)=2,D85-C85,"")</f>
        <v>-24.051230500057425</v>
      </c>
      <c r="H85" s="1">
        <v>11</v>
      </c>
      <c r="I85" s="1">
        <v>10</v>
      </c>
      <c r="J85" s="1">
        <f>IF(2870543&gt;0,100*1618419/2870543,"")</f>
        <v>56.380238860731225</v>
      </c>
      <c r="K85" s="1">
        <f>IF(1883458&gt;0,100*109510/1883458,"")</f>
        <v>5.814305389342369</v>
      </c>
      <c r="L85" s="1">
        <f>IF(COUNT(J85:K85)=2,K85-J85,"")</f>
        <v>-50.56593347138886</v>
      </c>
      <c r="O85" s="1">
        <v>11</v>
      </c>
      <c r="P85" s="1">
        <v>10</v>
      </c>
      <c r="Q85" s="1">
        <f>IF(2712419&gt;0,100*1335644/2712419,"")</f>
        <v>49.241802243679906</v>
      </c>
      <c r="R85" s="1">
        <f>IF(2310986&gt;0,100*360716/2310986,"")</f>
        <v>15.60874881976784</v>
      </c>
      <c r="S85" s="1">
        <f>IF(COUNT(Q85:R85)=2,R85-Q85,"")</f>
        <v>-33.63305342391207</v>
      </c>
    </row>
    <row r="86" spans="1:19">
      <c r="A86" s="1">
        <v>12</v>
      </c>
      <c r="B86" s="1">
        <v>11</v>
      </c>
      <c r="C86" s="1">
        <f>IF(2101751&gt;0,100*916475/2101751,"")</f>
        <v>43.605308145446344</v>
      </c>
      <c r="D86" s="1">
        <f>IF(2745202&gt;0,100*1117272/2745202,"")</f>
        <v>40.69908152478397</v>
      </c>
      <c r="E86" s="1">
        <f>IF(COUNT(C86:D86)=2,D86-C86,"")</f>
        <v>-2.9062266206623733</v>
      </c>
      <c r="H86" s="1">
        <v>12</v>
      </c>
      <c r="I86" s="1">
        <v>11</v>
      </c>
      <c r="J86" s="1">
        <f>IF(2321486&gt;0,100*1150766/2321486,"")</f>
        <v>49.57023217025647</v>
      </c>
      <c r="K86" s="1">
        <f>IF(1942272&gt;0,100*24456/1942272,"")</f>
        <v>1.2591439304072756</v>
      </c>
      <c r="L86" s="1">
        <f>IF(COUNT(J86:K86)=2,K86-J86,"")</f>
        <v>-48.31108823984919</v>
      </c>
      <c r="O86" s="1">
        <v>12</v>
      </c>
      <c r="P86" s="1">
        <v>11</v>
      </c>
      <c r="Q86" s="1">
        <f>IF(2923066&gt;0,100*1456418/2923066,"")</f>
        <v>49.825012503994095</v>
      </c>
      <c r="R86" s="1">
        <f>IF(3090220&gt;0,100*905064/3090220,"")</f>
        <v>29.288011856761006</v>
      </c>
      <c r="S86" s="1">
        <f>IF(COUNT(Q86:R86)=2,R86-Q86,"")</f>
        <v>-20.53700064723309</v>
      </c>
    </row>
    <row r="87" spans="1:19">
      <c r="A87" s="1">
        <v>13</v>
      </c>
      <c r="B87" s="1">
        <v>12</v>
      </c>
      <c r="C87" s="1">
        <f>IF(2087661&gt;0,100*558523/2087661,"")</f>
        <v>26.753529428388998</v>
      </c>
      <c r="D87" s="1">
        <f>IF(1433464&gt;0,100*264256/1433464,"")</f>
        <v>18.434784549873594</v>
      </c>
      <c r="E87" s="1">
        <f>IF(COUNT(C87:D87)=2,D87-C87,"")</f>
        <v>-8.318744878515403</v>
      </c>
      <c r="H87" s="1">
        <v>13</v>
      </c>
      <c r="I87" s="1">
        <v>12</v>
      </c>
      <c r="J87" s="1">
        <f>IF(2390190&gt;0,100*1069032/2390190,"")</f>
        <v>44.72581677607219</v>
      </c>
      <c r="K87" s="1">
        <f>IF(3296423&gt;0,100*1018750/3296423,"")</f>
        <v>30.90471095487442</v>
      </c>
      <c r="L87" s="1">
        <f>IF(COUNT(J87:K87)=2,K87-J87,"")</f>
        <v>-13.821105821197772</v>
      </c>
      <c r="O87" s="1">
        <v>13</v>
      </c>
      <c r="P87" s="1">
        <v>12</v>
      </c>
      <c r="Q87" s="1">
        <f>IF(1557676&gt;0,100*18730/1557676,"")</f>
        <v>1.2024323415138964</v>
      </c>
      <c r="R87" s="1">
        <f>IF(1429863&gt;0,100*54681/1429863,"")</f>
        <v>3.8242125294521223</v>
      </c>
      <c r="S87" s="1">
        <f>IF(COUNT(Q87:R87)=2,R87-Q87,"")</f>
        <v>2.621780187938226</v>
      </c>
    </row>
    <row r="88" spans="1:19">
      <c r="A88" s="1">
        <v>14</v>
      </c>
      <c r="B88" s="1">
        <v>13</v>
      </c>
      <c r="C88" s="1">
        <f>IF(1496156&gt;0,100*261177/1496156,"")</f>
        <v>17.456535281080313</v>
      </c>
      <c r="D88" s="1">
        <f>IF(982513&gt;0,100*64820/982513,"")</f>
        <v>6.597368177316738</v>
      </c>
      <c r="E88" s="1">
        <f>IF(COUNT(C88:D88)=2,D88-C88,"")</f>
        <v>-10.859167103763575</v>
      </c>
      <c r="H88" s="1">
        <v>14</v>
      </c>
      <c r="I88" s="1">
        <v>13</v>
      </c>
      <c r="J88" s="1">
        <f>IF(1799691&gt;0,100*550790/1799691,"")</f>
        <v>30.604698250977528</v>
      </c>
      <c r="K88" s="1">
        <f>IF(1035266&gt;0,100*4357/1035266,"")</f>
        <v>0.42085802103034387</v>
      </c>
      <c r="L88" s="1">
        <f>IF(COUNT(J88:K88)=2,K88-J88,"")</f>
        <v>-30.183840229947183</v>
      </c>
      <c r="O88" s="1">
        <v>14</v>
      </c>
      <c r="P88" s="1">
        <v>13</v>
      </c>
      <c r="Q88" s="1">
        <f>IF(1217487&gt;0,100*119562/1217487,"")</f>
        <v>9.820392332731274</v>
      </c>
      <c r="R88" s="1">
        <f>IF(1230389&gt;0,100*71538/1230389,"")</f>
        <v>5.81425874256028</v>
      </c>
      <c r="S88" s="1">
        <f>IF(COUNT(Q88:R88)=2,R88-Q88,"")</f>
        <v>-4.006133590170994</v>
      </c>
    </row>
    <row r="89" spans="1:19">
      <c r="A89" s="1">
        <v>15</v>
      </c>
      <c r="B89" s="1">
        <v>14</v>
      </c>
      <c r="C89" s="1">
        <f>IF(1933985&gt;0,100*847555/1933985,"")</f>
        <v>43.82427991944095</v>
      </c>
      <c r="D89" s="1">
        <f>IF(1597896&gt;0,100*508659/1597896,"")</f>
        <v>31.833047958064856</v>
      </c>
      <c r="E89" s="1">
        <f>IF(COUNT(C89:D89)=2,D89-C89,"")</f>
        <v>-11.99123196137609</v>
      </c>
      <c r="H89" s="1">
        <v>15</v>
      </c>
      <c r="I89" s="1">
        <v>14</v>
      </c>
      <c r="J89" s="1">
        <f>IF(2456423&gt;0,100*458635/2456423,"")</f>
        <v>18.670847814077625</v>
      </c>
      <c r="K89" s="1">
        <f>IF(2625691&gt;0,100*723441/2625691,"")</f>
        <v>27.552404300429867</v>
      </c>
      <c r="L89" s="1">
        <f>IF(COUNT(J89:K89)=2,K89-J89,"")</f>
        <v>8.881556486352242</v>
      </c>
      <c r="O89" s="1">
        <v>15</v>
      </c>
      <c r="P89" s="1">
        <v>14</v>
      </c>
      <c r="Q89" s="1">
        <f>IF(2356524&gt;0,100*573959/2356524,"")</f>
        <v>24.35617035939375</v>
      </c>
      <c r="R89" s="1">
        <f>IF(3371224&gt;0,100*1165267/3371224,"")</f>
        <v>34.56510157734995</v>
      </c>
      <c r="S89" s="1">
        <f>IF(COUNT(Q89:R89)=2,R89-Q89,"")</f>
        <v>10.208931217956199</v>
      </c>
    </row>
    <row r="90" spans="1:19">
      <c r="A90" s="1">
        <v>16</v>
      </c>
      <c r="B90" s="1">
        <v>15</v>
      </c>
      <c r="C90" s="1">
        <f>IF(2016018&gt;0,100*829052/2016018,"")</f>
        <v>41.12324393929023</v>
      </c>
      <c r="D90" s="1">
        <f>IF(2620377&gt;0,100*886136/2620377,"")</f>
        <v>33.81711868177747</v>
      </c>
      <c r="E90" s="1">
        <f>IF(COUNT(C90:D90)=2,D90-C90,"")</f>
        <v>-7.306125257512754</v>
      </c>
      <c r="H90" s="1">
        <v>16</v>
      </c>
      <c r="I90" s="1">
        <v>15</v>
      </c>
      <c r="J90" s="1">
        <f>IF(2410914&gt;0,100*1100716/2410914,"")</f>
        <v>45.65554806185538</v>
      </c>
      <c r="K90" s="1">
        <f>IF(2628764&gt;0,100*524976/2628764,"")</f>
        <v>19.970449990946314</v>
      </c>
      <c r="L90" s="1">
        <f>IF(COUNT(J90:K90)=2,K90-J90,"")</f>
        <v>-25.685098070909063</v>
      </c>
      <c r="O90" s="1">
        <v>16</v>
      </c>
      <c r="P90" s="1">
        <v>15</v>
      </c>
      <c r="Q90" s="1">
        <f>IF(2715811&gt;0,100*1420140/2715811,"")</f>
        <v>52.29156226261695</v>
      </c>
      <c r="R90" s="1">
        <f>IF(2194810&gt;0,100*369702/2194810,"")</f>
        <v>16.844373772672807</v>
      </c>
      <c r="S90" s="1">
        <f>IF(COUNT(Q90:R90)=2,R90-Q90,"")</f>
        <v>-35.44718848994414</v>
      </c>
    </row>
    <row r="91" spans="1:19">
      <c r="A91" s="1">
        <v>17</v>
      </c>
      <c r="B91" s="1">
        <v>16</v>
      </c>
      <c r="C91" s="1">
        <f>IF(830136&gt;0,100*34541/830136,"")</f>
        <v>4.160884481578922</v>
      </c>
      <c r="D91" s="1">
        <f>IF(904229&gt;0,100*28928/904229,"")</f>
        <v>3.199189585823945</v>
      </c>
      <c r="E91" s="1">
        <f>IF(COUNT(C91:D91)=2,D91-C91,"")</f>
        <v>-0.9616948957549769</v>
      </c>
      <c r="H91" s="1">
        <v>17</v>
      </c>
      <c r="I91" s="1">
        <v>16</v>
      </c>
      <c r="J91" s="1">
        <f>IF(196031&gt;0,100*5823/196031,"")</f>
        <v>2.970448551504609</v>
      </c>
      <c r="K91" s="1">
        <f>IF(2370833&gt;0,100*570636/2370833,"")</f>
        <v>24.06900865645113</v>
      </c>
      <c r="L91" s="1">
        <f>IF(COUNT(J91:K91)=2,K91-J91,"")</f>
        <v>21.098560104946518</v>
      </c>
      <c r="O91" s="1">
        <v>17</v>
      </c>
      <c r="P91" s="1">
        <v>16</v>
      </c>
      <c r="Q91" s="1">
        <f>IF(2285076&gt;0,100*953900/2285076,"")</f>
        <v>41.74478223043785</v>
      </c>
      <c r="R91" s="1">
        <f>IF(1984794&gt;0,100*414504/1984794,"")</f>
        <v>20.883980906834665</v>
      </c>
      <c r="S91" s="1">
        <f>IF(COUNT(Q91:R91)=2,R91-Q91,"")</f>
        <v>-20.860801323603184</v>
      </c>
    </row>
    <row r="92" spans="1:19">
      <c r="A92" s="1">
        <v>18</v>
      </c>
      <c r="B92" s="1">
        <v>17</v>
      </c>
      <c r="C92" s="1">
        <f>IF(1194547&gt;0,100*244244/1194547,"")</f>
        <v>20.446579330909543</v>
      </c>
      <c r="D92" s="1">
        <f>IF(995182&gt;0,100*14041/995182,"")</f>
        <v>1.4108977051433809</v>
      </c>
      <c r="E92" s="1">
        <f>IF(COUNT(C92:D92)=2,D92-C92,"")</f>
        <v>-19.035681625766163</v>
      </c>
      <c r="H92" s="1">
        <v>18</v>
      </c>
      <c r="I92" s="1">
        <v>17</v>
      </c>
      <c r="J92" s="4"/>
      <c r="K92" s="1">
        <f>IF(2504211&gt;0,100*611035/2504211,"")</f>
        <v>24.400300134453527</v>
      </c>
      <c r="L92" s="1">
        <f>IF(COUNT(J92:K92)=2,K92-J92,"")</f>
        <v/>
      </c>
      <c r="O92" s="1">
        <v>18</v>
      </c>
      <c r="P92" s="1">
        <v>17</v>
      </c>
      <c r="Q92" s="1">
        <f>IF(2825816&gt;0,100*1323547/2825816,"")</f>
        <v>46.83769219227296</v>
      </c>
      <c r="R92" s="1">
        <f>IF(2262593&gt;0,100*318541/2262593,"")</f>
        <v>14.078581521289953</v>
      </c>
      <c r="S92" s="1">
        <f>IF(COUNT(Q92:R92)=2,R92-Q92,"")</f>
        <v>-32.759110670983006</v>
      </c>
    </row>
    <row r="93" spans="1:19">
      <c r="A93" s="1">
        <v>19</v>
      </c>
      <c r="B93" s="1">
        <v>18</v>
      </c>
      <c r="C93" s="1">
        <f>IF(1931560&gt;0,100*912771/1931560,"")</f>
        <v>47.25563792996335</v>
      </c>
      <c r="D93" s="1">
        <f>IF(2727409&gt;0,100*1104890/2727409,"")</f>
        <v>40.51060915322931</v>
      </c>
      <c r="E93" s="1">
        <f>IF(COUNT(C93:D93)=2,D93-C93,"")</f>
        <v>-6.7450287767340384</v>
      </c>
      <c r="H93" s="1">
        <v>19</v>
      </c>
      <c r="I93" s="1">
        <v>18</v>
      </c>
      <c r="J93" s="1">
        <f>IF(1855523&gt;0,100*552371/1855523,"")</f>
        <v>29.76901930075779</v>
      </c>
      <c r="K93" s="1">
        <f>IF(1454029&gt;0,100*59878/1454029,"")</f>
        <v>4.118074673888898</v>
      </c>
      <c r="L93" s="1">
        <f>IF(COUNT(J93:K93)=2,K93-J93,"")</f>
        <v>-25.650944626868892</v>
      </c>
      <c r="O93" s="1">
        <v>19</v>
      </c>
      <c r="P93" s="1">
        <v>18</v>
      </c>
      <c r="Q93" s="1">
        <f>IF(2510684&gt;0,100*1031580/2510684,"")</f>
        <v>41.08760799845779</v>
      </c>
      <c r="R93" s="1">
        <f>IF(1946180&gt;0,100*493327/1946180,"")</f>
        <v>25.34847753034149</v>
      </c>
      <c r="S93" s="1">
        <f>IF(COUNT(Q93:R93)=2,R93-Q93,"")</f>
        <v>-15.7391304681163</v>
      </c>
    </row>
    <row r="94" spans="1:19">
      <c r="A94" s="1">
        <v>20</v>
      </c>
      <c r="B94" s="1">
        <v>19</v>
      </c>
      <c r="C94" s="1">
        <f>IF(2025286&gt;0,100*867239/2025286,"")</f>
        <v>42.82056953931445</v>
      </c>
      <c r="D94" s="1">
        <f>IF(2288352&gt;0,100*615282/2288352,"")</f>
        <v>26.887559256617863</v>
      </c>
      <c r="E94" s="1">
        <f>IF(COUNT(C94:D94)=2,D94-C94,"")</f>
        <v>-15.933010282696586</v>
      </c>
      <c r="H94" s="1">
        <v>20</v>
      </c>
      <c r="I94" s="1">
        <v>19</v>
      </c>
      <c r="J94" s="1">
        <f>IF(2440076&gt;0,100*960305/2440076,"")</f>
        <v>39.355536466896936</v>
      </c>
      <c r="K94" s="1">
        <f>IF(2240920&gt;0,100*503200/2240920,"")</f>
        <v>22.455063099084306</v>
      </c>
      <c r="L94" s="1">
        <f>IF(COUNT(J94:K94)=2,K94-J94,"")</f>
        <v>-16.90047336781263</v>
      </c>
      <c r="O94" s="1">
        <v>20</v>
      </c>
      <c r="P94" s="1">
        <v>19</v>
      </c>
      <c r="Q94" s="1">
        <f>IF(3041216&gt;0,100*1439290/3041216,"")</f>
        <v>47.32613533533955</v>
      </c>
      <c r="R94" s="1">
        <f>IF(2084748&gt;0,100*449834/2084748,"")</f>
        <v>21.577380095819734</v>
      </c>
      <c r="S94" s="1">
        <f>IF(COUNT(Q94:R94)=2,R94-Q94,"")</f>
        <v>-25.748755239519816</v>
      </c>
    </row>
    <row r="95" spans="1:19">
      <c r="A95" s="1">
        <v>21</v>
      </c>
      <c r="B95" s="1">
        <v>20</v>
      </c>
      <c r="C95" s="1">
        <f>IF(2094148&gt;0,100*1039154/2094148,"")</f>
        <v>49.62180323453739</v>
      </c>
      <c r="D95" s="1">
        <f>IF(1881997&gt;0,100*583953/1881997,"")</f>
        <v>31.028370395914553</v>
      </c>
      <c r="E95" s="1">
        <f>IF(COUNT(C95:D95)=2,D95-C95,"")</f>
        <v>-18.593432838622835</v>
      </c>
      <c r="H95" s="1">
        <v>21</v>
      </c>
      <c r="I95" s="1">
        <v>20</v>
      </c>
      <c r="J95" s="1">
        <f>IF(2683747&gt;0,100*1388722/2683747,"")</f>
        <v>51.74563772218469</v>
      </c>
      <c r="K95" s="1">
        <f>IF(3152840&gt;0,100*1240953/3152840,"")</f>
        <v>39.35984699509014</v>
      </c>
      <c r="L95" s="1">
        <f>IF(COUNT(J95:K95)=2,K95-J95,"")</f>
        <v>-12.385790727094552</v>
      </c>
      <c r="O95" s="1">
        <v>21</v>
      </c>
      <c r="P95" s="1">
        <v>20</v>
      </c>
      <c r="Q95" s="1">
        <f>IF(2268817&gt;0,100*1102753/2268817,"")</f>
        <v>48.60475745730044</v>
      </c>
      <c r="R95" s="1">
        <f>IF(627346&gt;0,100*16214/627346,"")</f>
        <v>2.584538675627166</v>
      </c>
      <c r="S95" s="1">
        <f>IF(COUNT(Q95:R95)=2,R95-Q95,"")</f>
        <v>-46.02021878167327</v>
      </c>
    </row>
    <row r="96" spans="1:19">
      <c r="A96" s="1">
        <v>22</v>
      </c>
      <c r="B96" s="1">
        <v>21</v>
      </c>
      <c r="C96" s="1">
        <f>IF(1002018&gt;0,100*273571/1002018,"")</f>
        <v>27.302004554808395</v>
      </c>
      <c r="D96" s="1">
        <f>IF(2237344&gt;0,100*782565/2237344,"")</f>
        <v>34.97741071556274</v>
      </c>
      <c r="E96" s="1">
        <f>IF(COUNT(C96:D96)=2,D96-C96,"")</f>
        <v>7.675406160754346</v>
      </c>
      <c r="H96" s="1">
        <v>22</v>
      </c>
      <c r="I96" s="1">
        <v>21</v>
      </c>
      <c r="J96" s="1">
        <f>IF(2557965&gt;0,100*1179736/2557965,"")</f>
        <v>46.12009937587106</v>
      </c>
      <c r="K96" s="1">
        <f>IF(2526725&gt;0,100*553865/2526725,"")</f>
        <v>21.92027228922815</v>
      </c>
      <c r="L96" s="1">
        <f>IF(COUNT(J96:K96)=2,K96-J96,"")</f>
        <v>-24.199827086642905</v>
      </c>
      <c r="O96" s="1">
        <v>22</v>
      </c>
      <c r="P96" s="1">
        <v>21</v>
      </c>
      <c r="Q96" s="1">
        <f>IF(1946233&gt;0,100*656202/1946233,"")</f>
        <v>33.71651801197493</v>
      </c>
      <c r="R96" s="1">
        <f>IF(2209949&gt;0,100*602601/2209949,"")</f>
        <v>27.267642827956664</v>
      </c>
      <c r="S96" s="1">
        <f>IF(COUNT(Q96:R96)=2,R96-Q96,"")</f>
        <v>-6.448875184018263</v>
      </c>
    </row>
    <row r="97" spans="1:19">
      <c r="A97" s="1">
        <v>23</v>
      </c>
      <c r="B97" s="1">
        <v>22</v>
      </c>
      <c r="C97" s="1">
        <f>IF(795260&gt;0,100*1236/795260,"")</f>
        <v>0.15542086864673188</v>
      </c>
      <c r="D97" s="1">
        <f>IF(1035291&gt;0,100*9172/1035291,"")</f>
        <v>0.8859344860527136</v>
      </c>
      <c r="E97" s="1">
        <f>IF(COUNT(C97:D97)=2,D97-C97,"")</f>
        <v>0.7305136174059818</v>
      </c>
      <c r="H97" s="1">
        <v>23</v>
      </c>
      <c r="I97" s="1">
        <v>22</v>
      </c>
      <c r="J97" s="1">
        <f>IF(2773812&gt;0,100*1410215/2773812,"")</f>
        <v>50.84032371335909</v>
      </c>
      <c r="K97" s="1">
        <f>IF(3262754&gt;0,100*1223017/3262754,"")</f>
        <v>37.484192801541276</v>
      </c>
      <c r="L97" s="1">
        <f>IF(COUNT(J97:K97)=2,K97-J97,"")</f>
        <v>-13.356130911817814</v>
      </c>
      <c r="O97" s="1">
        <v>23</v>
      </c>
      <c r="P97" s="1">
        <v>22</v>
      </c>
      <c r="Q97" s="1">
        <f>IF(2188846&gt;0,100*938113/2188846,"")</f>
        <v>42.858794086016104</v>
      </c>
      <c r="R97" s="1">
        <f>IF(2956795&gt;0,100*1057422/2956795,"")</f>
        <v>35.76243872165639</v>
      </c>
      <c r="S97" s="1">
        <f>IF(COUNT(Q97:R97)=2,R97-Q97,"")</f>
        <v>-7.096355364359717</v>
      </c>
    </row>
    <row r="98" spans="1:19">
      <c r="A98" s="1">
        <v>24</v>
      </c>
      <c r="B98" s="1">
        <v>23</v>
      </c>
      <c r="C98" s="1">
        <f>IF(1888679&gt;0,100*755365/1888679,"")</f>
        <v>39.99435584342284</v>
      </c>
      <c r="D98" s="1">
        <f>IF(2251142&gt;0,100*505114/2251142,"")</f>
        <v>22.438122517371184</v>
      </c>
      <c r="E98" s="1">
        <f>IF(COUNT(C98:D98)=2,D98-C98,"")</f>
        <v>-17.556233326051654</v>
      </c>
      <c r="H98" s="1">
        <v>24</v>
      </c>
      <c r="I98" s="1">
        <v>23</v>
      </c>
      <c r="J98" s="1">
        <f>IF(2330232&gt;0,100*1039149/2330232,"")</f>
        <v>44.594229244126765</v>
      </c>
      <c r="K98" s="1">
        <f>IF(1536809&gt;0,100*33105/1536809,"")</f>
        <v>2.1541388682653473</v>
      </c>
      <c r="L98" s="1">
        <f>IF(COUNT(J98:K98)=2,K98-J98,"")</f>
        <v>-42.440090375861416</v>
      </c>
      <c r="O98" s="1">
        <v>24</v>
      </c>
      <c r="P98" s="1">
        <v>23</v>
      </c>
      <c r="Q98" s="1">
        <f>IF(2075098&gt;0,100*737576/2075098,"")</f>
        <v>35.544152613515124</v>
      </c>
      <c r="R98" s="1">
        <f>IF(1904327&gt;0,100*346124/1904327,"")</f>
        <v>18.17565995755981</v>
      </c>
      <c r="S98" s="1">
        <f>IF(COUNT(Q98:R98)=2,R98-Q98,"")</f>
        <v>-17.368492655955315</v>
      </c>
    </row>
    <row r="99" spans="1:19">
      <c r="A99" s="1">
        <v>25</v>
      </c>
      <c r="B99" s="1">
        <v>24</v>
      </c>
      <c r="C99" s="1">
        <f>IF(2046231&gt;0,100*862149/2046231,"")</f>
        <v>42.1335127852134</v>
      </c>
      <c r="D99" s="1">
        <f>IF(2402621&gt;0,100*916284/2402621,"")</f>
        <v>38.13685138022185</v>
      </c>
      <c r="E99" s="1">
        <f>IF(COUNT(C99:D99)=2,D99-C99,"")</f>
        <v>-3.996661404991549</v>
      </c>
      <c r="H99" s="1">
        <v>25</v>
      </c>
      <c r="I99" s="1">
        <v>24</v>
      </c>
      <c r="J99" s="1">
        <f>IF(2687496&gt;0,100*1356682/2687496,"")</f>
        <v>50.481265832581705</v>
      </c>
      <c r="K99" s="1">
        <f>IF(2239113&gt;0,100*248773/2239113,"")</f>
        <v>11.110336995051165</v>
      </c>
      <c r="L99" s="1">
        <f>IF(COUNT(J99:K99)=2,K99-J99,"")</f>
        <v>-39.37092883753054</v>
      </c>
      <c r="O99" s="1">
        <v>25</v>
      </c>
      <c r="P99" s="1">
        <v>24</v>
      </c>
      <c r="Q99" s="1">
        <f>IF(2348758&gt;0,100*912656/2348758,"")</f>
        <v>38.856961849624355</v>
      </c>
      <c r="R99" s="1">
        <f>IF(2753605&gt;0,100*622056/2753605,"")</f>
        <v>22.590603953726117</v>
      </c>
      <c r="S99" s="1">
        <f>IF(COUNT(Q99:R99)=2,R99-Q99,"")</f>
        <v>-16.26635789589824</v>
      </c>
    </row>
    <row r="100" spans="1:19">
      <c r="A100" s="1">
        <v>26</v>
      </c>
      <c r="B100" s="1">
        <v>25</v>
      </c>
      <c r="C100" s="1">
        <f>IF(2173027&gt;0,100*1021557/2173027,"")</f>
        <v>47.01078265479444</v>
      </c>
      <c r="D100" s="1">
        <f>IF(2695423&gt;0,100*1093680/2695423,"")</f>
        <v>40.57544956765599</v>
      </c>
      <c r="E100" s="1">
        <f>IF(COUNT(C100:D100)=2,D100-C100,"")</f>
        <v>-6.435333087138453</v>
      </c>
      <c r="H100" s="1">
        <v>26</v>
      </c>
      <c r="I100" s="1">
        <v>25</v>
      </c>
      <c r="J100" s="1">
        <f>IF(1369843&gt;0,100*81159/1369843,"")</f>
        <v>5.9246935597729085</v>
      </c>
      <c r="K100" s="1">
        <f>IF(2724097&gt;0,100*678168/2724097,"")</f>
        <v>24.89514874103235</v>
      </c>
      <c r="L100" s="1">
        <f>IF(COUNT(J100:K100)=2,K100-J100,"")</f>
        <v>18.970455181259442</v>
      </c>
      <c r="O100" s="1">
        <v>26</v>
      </c>
      <c r="P100" s="1">
        <v>25</v>
      </c>
      <c r="Q100" s="1">
        <f>IF(2790743&gt;0,100*1533326/2790743,"")</f>
        <v>54.94328929607635</v>
      </c>
      <c r="R100" s="1">
        <f>IF(2777345&gt;0,100*847577/2777345,"")</f>
        <v>30.517526630649055</v>
      </c>
      <c r="S100" s="1">
        <f>IF(COUNT(Q100:R100)=2,R100-Q100,"")</f>
        <v>-24.425762665427296</v>
      </c>
    </row>
    <row r="101" spans="1:19">
      <c r="A101" s="1">
        <v>27</v>
      </c>
      <c r="B101" s="1">
        <v>26</v>
      </c>
      <c r="C101" s="1">
        <f>IF(2068375&gt;0,100*1076315/2068375,"")</f>
        <v>52.03674382063214</v>
      </c>
      <c r="D101" s="1">
        <f>IF(2062361&gt;0,100*687904/2062361,"")</f>
        <v>33.35516914836927</v>
      </c>
      <c r="E101" s="1">
        <f>IF(COUNT(C101:D101)=2,D101-C101,"")</f>
        <v>-18.68157467226287</v>
      </c>
      <c r="H101" s="1">
        <v>27</v>
      </c>
      <c r="I101" s="1">
        <v>26</v>
      </c>
      <c r="J101" s="1">
        <f>IF(1770443&gt;0,100*418105/1770443,"")</f>
        <v>23.615840781092643</v>
      </c>
      <c r="K101" s="1">
        <f>IF(2687578&gt;0,100*923230/2687578,"")</f>
        <v>34.35174718650026</v>
      </c>
      <c r="L101" s="1">
        <f>IF(COUNT(J101:K101)=2,K101-J101,"")</f>
        <v>10.735906405407619</v>
      </c>
      <c r="O101" s="1">
        <v>27</v>
      </c>
      <c r="P101" s="1">
        <v>26</v>
      </c>
      <c r="Q101" s="1">
        <f>IF(2101248&gt;0,100*444433/2101248,"")</f>
        <v>21.150906508893762</v>
      </c>
      <c r="R101" s="1">
        <f>IF(3010648&gt;0,100*1048074/3010648,"")</f>
        <v>34.81223975702241</v>
      </c>
      <c r="S101" s="1">
        <f>IF(COUNT(Q101:R101)=2,R101-Q101,"")</f>
        <v>13.66133324812865</v>
      </c>
    </row>
    <row r="102" spans="1:19">
      <c r="A102" s="1">
        <v>28</v>
      </c>
      <c r="B102" s="1">
        <v>27</v>
      </c>
      <c r="C102" s="1">
        <f>IF(1174000&gt;0,100*3059/1174000,"")</f>
        <v>0.2605621805792164</v>
      </c>
      <c r="D102" s="1">
        <f>IF(783578&gt;0,100*1013/783578,"")</f>
        <v>0.12927876995015175</v>
      </c>
      <c r="E102" s="1">
        <f>IF(COUNT(C102:D102)=2,D102-C102,"")</f>
        <v>-0.13128341062906462</v>
      </c>
      <c r="H102" s="1">
        <v>28</v>
      </c>
      <c r="I102" s="1">
        <v>27</v>
      </c>
      <c r="J102" s="1">
        <f>IF(2046482&gt;0,100*638275/2046482,"")</f>
        <v>31.18888903005255</v>
      </c>
      <c r="K102" s="1">
        <f>IF(2841415&gt;0,100*848219/2841415,"")</f>
        <v>29.85199275712981</v>
      </c>
      <c r="L102" s="1">
        <f>IF(COUNT(J102:K102)=2,K102-J102,"")</f>
        <v>-1.3368962729227398</v>
      </c>
      <c r="O102" s="1">
        <v>28</v>
      </c>
      <c r="P102" s="1">
        <v>27</v>
      </c>
      <c r="Q102" s="1">
        <f>IF(2324907&gt;0,100*896618/2324907,"")</f>
        <v>38.5657576840708</v>
      </c>
      <c r="R102" s="1">
        <f>IF(2350394&gt;0,100*661086/2350394,"")</f>
        <v>28.126603454569743</v>
      </c>
      <c r="S102" s="1">
        <f>IF(COUNT(Q102:R102)=2,R102-Q102,"")</f>
        <v>-10.43915422950106</v>
      </c>
    </row>
    <row r="103" spans="1:19">
      <c r="A103" s="1">
        <v>29</v>
      </c>
      <c r="B103" s="1">
        <v>28</v>
      </c>
      <c r="C103" s="1">
        <f>IF(2083503&gt;0,100*1007639/2083503,"")</f>
        <v>48.362733338996875</v>
      </c>
      <c r="D103" s="1">
        <f>IF(2429364&gt;0,100*832942/2429364,"")</f>
        <v>34.28642228994914</v>
      </c>
      <c r="E103" s="1">
        <f>IF(COUNT(C103:D103)=2,D103-C103,"")</f>
        <v>-14.076311049047739</v>
      </c>
      <c r="H103" s="1">
        <v>29</v>
      </c>
      <c r="I103" s="1">
        <v>28</v>
      </c>
      <c r="J103" s="1">
        <f>IF(2576958&gt;0,100*1290348/2576958,"")</f>
        <v>50.072527375300645</v>
      </c>
      <c r="K103" s="1">
        <f>IF(2867281&gt;0,100*1049542/2867281,"")</f>
        <v>36.60408589182574</v>
      </c>
      <c r="L103" s="1">
        <f>IF(COUNT(J103:K103)=2,K103-J103,"")</f>
        <v>-13.468441483474905</v>
      </c>
      <c r="O103" s="1">
        <v>29</v>
      </c>
      <c r="P103" s="1">
        <v>28</v>
      </c>
      <c r="Q103" s="1">
        <f>IF(2240165&gt;0,100*1016922/2240165,"")</f>
        <v>45.39495974626869</v>
      </c>
      <c r="R103" s="1">
        <f>IF(2756136&gt;0,100*751627/2756136,"")</f>
        <v>27.27104177732884</v>
      </c>
      <c r="S103" s="1">
        <f>IF(COUNT(Q103:R103)=2,R103-Q103,"")</f>
        <v>-18.12391796893985</v>
      </c>
    </row>
    <row r="104" spans="1:19">
      <c r="A104" s="1">
        <v>30</v>
      </c>
      <c r="B104" s="1">
        <v>29</v>
      </c>
      <c r="C104" s="1">
        <f>IF(2234870&gt;0,100*1080496/2234870,"")</f>
        <v>48.34715218334847</v>
      </c>
      <c r="D104" s="1">
        <f>IF(2908844&gt;0,100*1183673/2908844,"")</f>
        <v>40.69221312658912</v>
      </c>
      <c r="E104" s="1">
        <f>IF(COUNT(C104:D104)=2,D104-C104,"")</f>
        <v>-7.654939056759353</v>
      </c>
      <c r="H104" s="1">
        <v>30</v>
      </c>
      <c r="I104" s="1">
        <v>29</v>
      </c>
      <c r="J104" s="1">
        <f>IF(1911633&gt;0,100*586958/1911633,"")</f>
        <v>30.704533767726335</v>
      </c>
      <c r="K104" s="1">
        <f>IF(1500833&gt;0,100*30115/1500833,"")</f>
        <v>2.006552361255383</v>
      </c>
      <c r="L104" s="1">
        <f>IF(COUNT(J104:K104)=2,K104-J104,"")</f>
        <v>-28.69798140647095</v>
      </c>
      <c r="O104" s="1">
        <v>30</v>
      </c>
      <c r="P104" s="1">
        <v>29</v>
      </c>
      <c r="Q104" s="1">
        <f>IF(1054742&gt;0,100*14563/1054742,"")</f>
        <v>1.3807168008859039</v>
      </c>
      <c r="R104" s="1">
        <f>IF(971972&gt;0,100*6864/971972,"")</f>
        <v>0.706193182519661</v>
      </c>
      <c r="S104" s="1">
        <f>IF(COUNT(Q104:R104)=2,R104-Q104,"")</f>
        <v>-0.6745236183662429</v>
      </c>
    </row>
    <row r="105" spans="1:19">
      <c r="A105" s="1">
        <v>31</v>
      </c>
      <c r="B105" s="1">
        <v>30</v>
      </c>
      <c r="C105" s="1">
        <f>IF(1611966&gt;0,100*408242/1611966,"")</f>
        <v>25.32572026953422</v>
      </c>
      <c r="D105" s="1">
        <f>IF(1626785&gt;0,100*27008/1626785,"")</f>
        <v>1.6602070955903823</v>
      </c>
      <c r="E105" s="1">
        <f>IF(COUNT(C105:D105)=2,D105-C105,"")</f>
        <v>-23.665513173943836</v>
      </c>
      <c r="H105" s="1">
        <v>31</v>
      </c>
      <c r="I105" s="1">
        <v>30</v>
      </c>
      <c r="J105" s="1">
        <f>IF(1813572&gt;0,100*419503/1813572,"")</f>
        <v>23.131312128771288</v>
      </c>
      <c r="K105" s="1">
        <f>IF(2847155&gt;0,100*844054/2847155,"")</f>
        <v>29.645523338209546</v>
      </c>
      <c r="L105" s="1">
        <f>IF(COUNT(J105:K105)=2,K105-J105,"")</f>
        <v>6.514211209438258</v>
      </c>
      <c r="O105" s="1">
        <v>31</v>
      </c>
      <c r="P105" s="1">
        <v>30</v>
      </c>
      <c r="Q105" s="1">
        <f>IF(2344140&gt;0,100*1034103/2344140,"")</f>
        <v>44.11438736594231</v>
      </c>
      <c r="R105" s="1">
        <f>IF(1675069&gt;0,100*300236/1675069,"")</f>
        <v>17.92379895992344</v>
      </c>
      <c r="S105" s="1">
        <f>IF(COUNT(Q105:R105)=2,R105-Q105,"")</f>
        <v>-26.190588406018865</v>
      </c>
    </row>
    <row r="106" spans="1:19">
      <c r="A106" s="2" t="s">
        <v>6</v>
      </c>
      <c r="B106" s="1"/>
      <c r="C106" s="1">
        <f>IF(COUNT(C75:C105)&gt;0,AVERAGE(C75:C105),"")</f>
        <v>34.139885623640744</v>
      </c>
      <c r="D106" s="1">
        <f>IF(COUNT(D75:D105)&gt;0,AVERAGE(D75:D105),"")</f>
        <v>24.99870817136488</v>
      </c>
      <c r="E106" s="1">
        <f>IF(COUNT(E75:E105)&gt;0,AVERAGE(E75:E105),"")</f>
        <v>-9.141177452275866</v>
      </c>
      <c r="H106" s="2" t="s">
        <v>6</v>
      </c>
      <c r="I106" s="1"/>
      <c r="J106" s="1">
        <f>IF(COUNT(J75:J105)&gt;0,AVERAGE(J75:J105),"")</f>
        <v>36.56494216191195</v>
      </c>
      <c r="K106" s="1">
        <f>IF(COUNT(K75:K105)&gt;0,AVERAGE(K75:K105),"")</f>
        <v>20.171260576764816</v>
      </c>
      <c r="L106" s="1">
        <f>IF(COUNT(L75:L105)&gt;0,AVERAGE(L75:L105),"")</f>
        <v>-16.534649570403428</v>
      </c>
      <c r="O106" s="2" t="s">
        <v>6</v>
      </c>
      <c r="P106" s="1"/>
      <c r="Q106" s="1">
        <f>IF(COUNT(Q75:Q105)&gt;0,AVERAGE(Q75:Q105),"")</f>
        <v>34.28456187402019</v>
      </c>
      <c r="R106" s="1">
        <f>IF(COUNT(R75:R105)&gt;0,AVERAGE(R75:R105),"")</f>
        <v>21.131469393639</v>
      </c>
      <c r="S106" s="1">
        <f>IF(COUNT(S75:S105)&gt;0,AVERAGE(S75:S105),"")</f>
        <v>-13.153092480381188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IF(1025565&gt;0,100*254231/1025565,"")</f>
        <v>24.789360011310837</v>
      </c>
      <c r="D3" s="1">
        <f>IF(947326&gt;0,100*126016/947326,"")</f>
        <v>13.302284535629761</v>
      </c>
      <c r="E3" s="1">
        <f>IF(COUNT(C3:D3)=2,D3-C3,"")</f>
        <v>-11.487075475681076</v>
      </c>
      <c r="H3" s="1">
        <v>1</v>
      </c>
      <c r="I3" s="1">
        <v>0</v>
      </c>
      <c r="J3" s="1">
        <f>IF(1360559&gt;0,100*350066/1360559,"")</f>
        <v>25.729571448206215</v>
      </c>
      <c r="K3" s="1">
        <f>IF(1343034&gt;0,100*305150/1343034,"")</f>
        <v>22.720943773575353</v>
      </c>
      <c r="L3" s="1">
        <f>IF(COUNT(J3:K3)=2,K3-J3,"")</f>
        <v>-3.008627674630862</v>
      </c>
      <c r="O3" s="1">
        <v>1</v>
      </c>
      <c r="P3" s="1">
        <v>0</v>
      </c>
      <c r="Q3" s="1">
        <f>IF(1611169&gt;0,100*528552/1611169,"")</f>
        <v>32.80549712662049</v>
      </c>
      <c r="R3" s="1">
        <f>IF(1344630&gt;0,100*215894/1344630,"")</f>
        <v>16.05601540944349</v>
      </c>
      <c r="S3" s="1">
        <f>IF(COUNT(Q3:R3)=2,R3-Q3,"")</f>
        <v>-16.749481717176998</v>
      </c>
    </row>
    <row r="4" spans="1:19">
      <c r="A4" s="1">
        <v>2</v>
      </c>
      <c r="B4" s="1">
        <v>1</v>
      </c>
      <c r="C4" s="1">
        <f>IF(1608611&gt;0,100*585743/1608611,"")</f>
        <v>36.41296746074719</v>
      </c>
      <c r="D4" s="1">
        <f>IF(1326588&gt;0,100*297263/1326588,"")</f>
        <v>22.408087514737055</v>
      </c>
      <c r="E4" s="1">
        <f>IF(COUNT(C4:D4)=2,D4-C4,"")</f>
        <v>-14.004879946010135</v>
      </c>
      <c r="H4" s="1">
        <v>2</v>
      </c>
      <c r="I4" s="1">
        <v>1</v>
      </c>
      <c r="J4" s="1">
        <f>IF(1080061&gt;0,100*195305/1080061,"")</f>
        <v>18.082774954377577</v>
      </c>
      <c r="K4" s="1">
        <f>IF(1087303&gt;0,100*154292/1087303,"")</f>
        <v>14.19034068700261</v>
      </c>
      <c r="L4" s="1">
        <f>IF(COUNT(J4:K4)=2,K4-J4,"")</f>
        <v>-3.8924342673749663</v>
      </c>
      <c r="O4" s="1">
        <v>2</v>
      </c>
      <c r="P4" s="1">
        <v>1</v>
      </c>
      <c r="Q4" s="1">
        <f>IF(1467133&gt;0,100*488009/1467133,"")</f>
        <v>33.26276486180871</v>
      </c>
      <c r="R4" s="1">
        <f>IF(8258&gt;0,100*1697/8258,"")</f>
        <v>20.5497699200775</v>
      </c>
      <c r="S4" s="1">
        <f>IF(COUNT(Q4:R4)=2,R4-Q4,"")</f>
        <v>-12.71299494173121</v>
      </c>
    </row>
    <row r="5" spans="1:19">
      <c r="A5" s="1">
        <v>3</v>
      </c>
      <c r="B5" s="1">
        <v>2</v>
      </c>
      <c r="C5" s="1">
        <f>IF(1615726&gt;0,100*621491/1615726,"")</f>
        <v>38.46512341820333</v>
      </c>
      <c r="D5" s="1">
        <f>IF(1477492&gt;0,100*323158/1477492,"")</f>
        <v>21.87206428190474</v>
      </c>
      <c r="E5" s="1">
        <f>IF(COUNT(C5:D5)=2,D5-C5,"")</f>
        <v>-16.593059136298592</v>
      </c>
      <c r="H5" s="1">
        <v>3</v>
      </c>
      <c r="I5" s="1">
        <v>2</v>
      </c>
      <c r="J5" s="1">
        <f>IF(1770666&gt;0,100*210556/1770666,"")</f>
        <v>11.891344838608749</v>
      </c>
      <c r="K5" s="1">
        <f>IF(989209&gt;0,100*88478/989209,"")</f>
        <v>8.944318137016545</v>
      </c>
      <c r="L5" s="1">
        <f>IF(COUNT(J5:K5)=2,K5-J5,"")</f>
        <v>-2.947026701592204</v>
      </c>
      <c r="O5" s="1">
        <v>3</v>
      </c>
      <c r="P5" s="1">
        <v>2</v>
      </c>
      <c r="Q5" s="1">
        <f>IF(1770413&gt;0,100*588287/1770413,"")</f>
        <v>33.228800285583084</v>
      </c>
      <c r="R5" s="1">
        <f>IF(1439682&gt;0,100*217540/1439682,"")</f>
        <v>15.110281298231136</v>
      </c>
      <c r="S5" s="1">
        <f>IF(COUNT(Q5:R5)=2,R5-Q5,"")</f>
        <v>-18.118518987351948</v>
      </c>
    </row>
    <row r="6" spans="1:19">
      <c r="A6" s="1">
        <v>4</v>
      </c>
      <c r="B6" s="1">
        <v>3</v>
      </c>
      <c r="C6" s="1">
        <f>IF(1681360&gt;0,100*632235/1681360,"")</f>
        <v>37.60259551791407</v>
      </c>
      <c r="D6" s="1">
        <f>IF(1072613&gt;0,100*48010/1072613,"")</f>
        <v>4.475985280804913</v>
      </c>
      <c r="E6" s="1">
        <f>IF(COUNT(C6:D6)=2,D6-C6,"")</f>
        <v>-33.126610237109155</v>
      </c>
      <c r="H6" s="1">
        <v>4</v>
      </c>
      <c r="I6" s="1">
        <v>3</v>
      </c>
      <c r="J6" s="1">
        <f>IF(1249184&gt;0,100*192969/1249184,"")</f>
        <v>15.447604196019162</v>
      </c>
      <c r="K6" s="1">
        <f>IF(1057685&gt;0,100*101461/1057685,"")</f>
        <v>9.592742640767336</v>
      </c>
      <c r="L6" s="1">
        <f>IF(COUNT(J6:K6)=2,K6-J6,"")</f>
        <v>-5.854861555251826</v>
      </c>
      <c r="O6" s="1">
        <v>4</v>
      </c>
      <c r="P6" s="1">
        <v>3</v>
      </c>
      <c r="Q6" s="1">
        <f>IF(851878&gt;0,100*27960/851878,"")</f>
        <v>3.2821601215197482</v>
      </c>
      <c r="R6" s="1">
        <f>IF(1057728&gt;0,100*92920/1057728,"")</f>
        <v>8.784867187027288</v>
      </c>
      <c r="S6" s="1">
        <f>IF(COUNT(Q6:R6)=2,R6-Q6,"")</f>
        <v>5.50270706550754</v>
      </c>
    </row>
    <row r="7" spans="1:19">
      <c r="A7" s="1">
        <v>5</v>
      </c>
      <c r="B7" s="1">
        <v>4</v>
      </c>
      <c r="C7" s="1">
        <f>IF(1534810&gt;0,100*544323/1534810,"")</f>
        <v>35.46517158475642</v>
      </c>
      <c r="D7" s="1">
        <f>IF(981814&gt;0,100*80151/981814,"")</f>
        <v>8.163562548507151</v>
      </c>
      <c r="E7" s="1">
        <f>IF(COUNT(C7:D7)=2,D7-C7,"")</f>
        <v>-27.301609036249268</v>
      </c>
      <c r="H7" s="1">
        <v>5</v>
      </c>
      <c r="I7" s="1">
        <v>4</v>
      </c>
      <c r="J7" s="1">
        <f>IF(1559950&gt;0,100*448934/1559950,"")</f>
        <v>28.77874290842655</v>
      </c>
      <c r="K7" s="1">
        <f>IF(1642937&gt;0,100*391431/1642937,"")</f>
        <v>23.825076676707628</v>
      </c>
      <c r="L7" s="1">
        <f>IF(COUNT(J7:K7)=2,K7-J7,"")</f>
        <v>-4.953666231718923</v>
      </c>
      <c r="O7" s="1">
        <v>5</v>
      </c>
      <c r="P7" s="1">
        <v>4</v>
      </c>
      <c r="Q7" s="1">
        <f>IF(1545033&gt;0,100*593590/1545033,"")</f>
        <v>38.419244119704885</v>
      </c>
      <c r="R7" s="1">
        <f>IF(1679434&gt;0,100*443460/1679434,"")</f>
        <v>26.40532465104315</v>
      </c>
      <c r="S7" s="1">
        <f>IF(COUNT(Q7:R7)=2,R7-Q7,"")</f>
        <v>-12.013919468661737</v>
      </c>
    </row>
    <row r="8" spans="1:19">
      <c r="A8" s="1">
        <v>6</v>
      </c>
      <c r="B8" s="1">
        <v>5</v>
      </c>
      <c r="C8" s="1">
        <f>IF(1481795&gt;0,100*384291/1481795,"")</f>
        <v>25.93415418462068</v>
      </c>
      <c r="D8" s="1">
        <f>IF(1247274&gt;0,100*243652/1247274,"")</f>
        <v>19.534761407677863</v>
      </c>
      <c r="E8" s="1">
        <f>IF(COUNT(C8:D8)=2,D8-C8,"")</f>
        <v>-6.399392776942818</v>
      </c>
      <c r="H8" s="1">
        <v>6</v>
      </c>
      <c r="I8" s="1">
        <v>5</v>
      </c>
      <c r="J8" s="1">
        <f>IF(1363284&gt;0,100*338111/1363284,"")</f>
        <v>24.801215300700367</v>
      </c>
      <c r="K8" s="1">
        <f>IF(1332944&gt;0,100*271804/1332944,"")</f>
        <v>20.391254246239903</v>
      </c>
      <c r="L8" s="1">
        <f>IF(COUNT(J8:K8)=2,K8-J8,"")</f>
        <v>-4.409961054460464</v>
      </c>
      <c r="O8" s="1">
        <v>6</v>
      </c>
      <c r="P8" s="1">
        <v>5</v>
      </c>
      <c r="Q8" s="1">
        <f>IF(1496153&gt;0,100*372992/1496153,"")</f>
        <v>24.930070654538675</v>
      </c>
      <c r="R8" s="1">
        <f>IF(1359206&gt;0,100*218203/1359206,"")</f>
        <v>16.053710769375652</v>
      </c>
      <c r="S8" s="1">
        <f>IF(COUNT(Q8:R8)=2,R8-Q8,"")</f>
        <v>-8.876359885163023</v>
      </c>
    </row>
    <row r="9" spans="1:19">
      <c r="A9" s="1">
        <v>7</v>
      </c>
      <c r="B9" s="1">
        <v>6</v>
      </c>
      <c r="C9" s="1">
        <f>IF(1693230&gt;0,100*659152/1693230,"")</f>
        <v>38.92867478133508</v>
      </c>
      <c r="D9" s="1">
        <f>IF(1383125&gt;0,100*269993/1383125,"")</f>
        <v>19.52050610031631</v>
      </c>
      <c r="E9" s="1">
        <f>IF(COUNT(C9:D9)=2,D9-C9,"")</f>
        <v>-19.408168681018772</v>
      </c>
      <c r="H9" s="1">
        <v>7</v>
      </c>
      <c r="I9" s="1">
        <v>6</v>
      </c>
      <c r="J9" s="1">
        <f>IF(681918&gt;0,100*6217/681918,"")</f>
        <v>0.9116931947829504</v>
      </c>
      <c r="K9" s="1">
        <f>IF(619882&gt;0,100*5835/619882,"")</f>
        <v>0.9413081844609136</v>
      </c>
      <c r="L9" s="1">
        <f>IF(COUNT(J9:K9)=2,K9-J9,"")</f>
        <v>0.029614989677963166</v>
      </c>
      <c r="O9" s="1">
        <v>7</v>
      </c>
      <c r="P9" s="1">
        <v>6</v>
      </c>
      <c r="Q9" s="1">
        <f>IF(1286739&gt;0,100*333741/1286739,"")</f>
        <v>25.93696157495809</v>
      </c>
      <c r="R9" s="1">
        <f>IF(1000245&gt;0,100*63242/1000245,"")</f>
        <v>6.322650950517123</v>
      </c>
      <c r="S9" s="1">
        <f>IF(COUNT(Q9:R9)=2,R9-Q9,"")</f>
        <v>-19.614310624440968</v>
      </c>
    </row>
    <row r="10" spans="1:19">
      <c r="A10" s="1">
        <v>8</v>
      </c>
      <c r="B10" s="1">
        <v>7</v>
      </c>
      <c r="C10" s="1">
        <f>IF(1832737&gt;0,100*772049/1832737,"")</f>
        <v>42.12546590154506</v>
      </c>
      <c r="D10" s="1">
        <f>IF(1378896&gt;0,100*344831/1378896,"")</f>
        <v>25.00775983105325</v>
      </c>
      <c r="E10" s="1">
        <f>IF(COUNT(C10:D10)=2,D10-C10,"")</f>
        <v>-17.117706070491813</v>
      </c>
      <c r="H10" s="1">
        <v>8</v>
      </c>
      <c r="I10" s="1">
        <v>7</v>
      </c>
      <c r="J10" s="1">
        <f>IF(655547&gt;0,100*1454/655547,"")</f>
        <v>0.2217995048409954</v>
      </c>
      <c r="K10" s="1">
        <f>IF(797715&gt;0,100*24272/797715,"")</f>
        <v>3.0426906852698017</v>
      </c>
      <c r="L10" s="1">
        <f>IF(COUNT(J10:K10)=2,K10-J10,"")</f>
        <v>2.820891180428806</v>
      </c>
      <c r="O10" s="1">
        <v>8</v>
      </c>
      <c r="P10" s="1">
        <v>7</v>
      </c>
      <c r="Q10" s="1">
        <f>IF(589319&gt;0,100*4560/589319,"")</f>
        <v>0.773774475284184</v>
      </c>
      <c r="R10" s="1">
        <f>IF(762000&gt;0,100*5152/762000,"")</f>
        <v>0.6761154855643045</v>
      </c>
      <c r="S10" s="1">
        <f>IF(COUNT(Q10:R10)=2,R10-Q10,"")</f>
        <v>-0.09765898971987952</v>
      </c>
    </row>
    <row r="11" spans="1:19">
      <c r="A11" s="1">
        <v>9</v>
      </c>
      <c r="B11" s="1">
        <v>8</v>
      </c>
      <c r="C11" s="1">
        <f>IF(1595971&gt;0,100*597472/1595971,"")</f>
        <v>37.43626920539283</v>
      </c>
      <c r="D11" s="1">
        <f>IF(942917&gt;0,100*229681/942917,"")</f>
        <v>24.358559661136663</v>
      </c>
      <c r="E11" s="1">
        <f>IF(COUNT(C11:D11)=2,D11-C11,"")</f>
        <v>-13.07770954425617</v>
      </c>
      <c r="H11" s="1">
        <v>9</v>
      </c>
      <c r="I11" s="1">
        <v>8</v>
      </c>
      <c r="J11" s="1">
        <f>IF(1710121&gt;0,100*526664/1710121,"")</f>
        <v>30.79688513268944</v>
      </c>
      <c r="K11" s="1">
        <f>IF(1835326&gt;0,100*429833/1835326,"")</f>
        <v>23.419980973407448</v>
      </c>
      <c r="L11" s="1">
        <f>IF(COUNT(J11:K11)=2,K11-J11,"")</f>
        <v>-7.376904159281992</v>
      </c>
      <c r="O11" s="1">
        <v>9</v>
      </c>
      <c r="P11" s="1">
        <v>8</v>
      </c>
      <c r="Q11" s="1">
        <f>IF(1425170&gt;0,100*455531/1425170,"")</f>
        <v>31.96327455671955</v>
      </c>
      <c r="R11" s="1">
        <f>IF(2021027&gt;0,100*608992/2021027,"")</f>
        <v>30.13279881961003</v>
      </c>
      <c r="S11" s="1">
        <f>IF(COUNT(Q11:R11)=2,R11-Q11,"")</f>
        <v>-1.83047573710952</v>
      </c>
    </row>
    <row r="12" spans="1:19">
      <c r="A12" s="1">
        <v>10</v>
      </c>
      <c r="B12" s="1">
        <v>9</v>
      </c>
      <c r="C12" s="1">
        <f>IF(1793318&gt;0,100*560859/1793318,"")</f>
        <v>31.27493283399821</v>
      </c>
      <c r="D12" s="1">
        <f>IF(989986&gt;0,100*28375/989986,"")</f>
        <v>2.8662021483132083</v>
      </c>
      <c r="E12" s="1">
        <f>IF(COUNT(C12:D12)=2,D12-C12,"")</f>
        <v>-28.408730685685</v>
      </c>
      <c r="H12" s="1">
        <v>10</v>
      </c>
      <c r="I12" s="1">
        <v>9</v>
      </c>
      <c r="J12" s="1">
        <f>IF(1173418&gt;0,100*250711/1173418,"")</f>
        <v>21.365873030752894</v>
      </c>
      <c r="K12" s="1">
        <f>IF(881793&gt;0,100*88895/881793,"")</f>
        <v>10.081164173451139</v>
      </c>
      <c r="L12" s="1">
        <f>IF(COUNT(J12:K12)=2,K12-J12,"")</f>
        <v>-11.284708857301755</v>
      </c>
      <c r="O12" s="1">
        <v>10</v>
      </c>
      <c r="P12" s="1">
        <v>9</v>
      </c>
      <c r="Q12" s="1">
        <f>IF(1151234&gt;0,100*222783/1151234,"")</f>
        <v>19.351669599751222</v>
      </c>
      <c r="R12" s="1">
        <f>IF(880597&gt;0,100*33368/880597,"")</f>
        <v>3.789247521851653</v>
      </c>
      <c r="S12" s="1">
        <f>IF(COUNT(Q12:R12)=2,R12-Q12,"")</f>
        <v>-15.56242207789957</v>
      </c>
    </row>
    <row r="13" spans="1:19">
      <c r="A13" s="1">
        <v>11</v>
      </c>
      <c r="B13" s="1">
        <v>10</v>
      </c>
      <c r="C13" s="1">
        <f>IF(1514166&gt;0,100*450931/1514166,"")</f>
        <v>29.78081663437166</v>
      </c>
      <c r="D13" s="1">
        <f>IF(1773223&gt;0,100*448677/1773223,"")</f>
        <v>25.302908883992593</v>
      </c>
      <c r="E13" s="1">
        <f>IF(COUNT(C13:D13)=2,D13-C13,"")</f>
        <v>-4.477907750379067</v>
      </c>
      <c r="H13" s="1">
        <v>11</v>
      </c>
      <c r="I13" s="1">
        <v>10</v>
      </c>
      <c r="J13" s="1">
        <f>IF(1146506&gt;0,100*57993/1146506,"")</f>
        <v>5.058237811228201</v>
      </c>
      <c r="K13" s="1">
        <f>IF(1277912&gt;0,100*98392/1277912,"")</f>
        <v>7.699434702859039</v>
      </c>
      <c r="L13" s="1">
        <f>IF(COUNT(J13:K13)=2,K13-J13,"")</f>
        <v>2.6411968916308375</v>
      </c>
      <c r="O13" s="1">
        <v>11</v>
      </c>
      <c r="P13" s="1">
        <v>10</v>
      </c>
      <c r="Q13" s="1">
        <f>IF(1057778&gt;0,100*7899/1057778,"")</f>
        <v>0.7467540447995704</v>
      </c>
      <c r="R13" s="1">
        <f>IF(1549007&gt;0,100*258096/1549007,"")</f>
        <v>16.662029287149767</v>
      </c>
      <c r="S13" s="1">
        <f>IF(COUNT(Q13:R13)=2,R13-Q13,"")</f>
        <v>15.915275242350198</v>
      </c>
    </row>
    <row r="14" spans="1:19">
      <c r="A14" s="1">
        <v>12</v>
      </c>
      <c r="B14" s="1">
        <v>11</v>
      </c>
      <c r="C14" s="1">
        <f>IF(1480420&gt;0,100*530595/1480420,"")</f>
        <v>35.84084246362519</v>
      </c>
      <c r="D14" s="1">
        <f>IF(1384699&gt;0,100*344587/1384699,"")</f>
        <v>24.88533609109272</v>
      </c>
      <c r="E14" s="1">
        <f>IF(COUNT(C14:D14)=2,D14-C14,"")</f>
        <v>-10.955506372532465</v>
      </c>
      <c r="H14" s="1">
        <v>12</v>
      </c>
      <c r="I14" s="1">
        <v>11</v>
      </c>
      <c r="J14" s="1">
        <f>IF(979595&gt;0,100*35929/979595,"")</f>
        <v>3.6677402395888095</v>
      </c>
      <c r="K14" s="1">
        <f>IF(1163641&gt;0,100*72811/1163641,"")</f>
        <v>6.257170381586761</v>
      </c>
      <c r="L14" s="1">
        <f>IF(COUNT(J14:K14)=2,K14-J14,"")</f>
        <v>2.5894301419979513</v>
      </c>
      <c r="O14" s="1">
        <v>12</v>
      </c>
      <c r="P14" s="1">
        <v>11</v>
      </c>
      <c r="Q14" s="1">
        <f>IF(1932101&gt;0,100*714622/1932101,"")</f>
        <v>36.98678278205953</v>
      </c>
      <c r="R14" s="1">
        <f>IF(1153015&gt;0,100*110718/1153015,"")</f>
        <v>9.602476984254325</v>
      </c>
      <c r="S14" s="1">
        <f>IF(COUNT(Q14:R14)=2,R14-Q14,"")</f>
        <v>-27.384305797805204</v>
      </c>
    </row>
    <row r="15" spans="1:19">
      <c r="A15" s="1">
        <v>13</v>
      </c>
      <c r="B15" s="1">
        <v>12</v>
      </c>
      <c r="C15" s="1">
        <f>IF(1625411&gt;0,100*523021/1625411,"")</f>
        <v>32.177769191915154</v>
      </c>
      <c r="D15" s="1">
        <f>IF(1015044&gt;0,100*44841/1015044,"")</f>
        <v>4.417641008665634</v>
      </c>
      <c r="E15" s="1">
        <f>IF(COUNT(C15:D15)=2,D15-C15,"")</f>
        <v>-27.76012818324952</v>
      </c>
      <c r="H15" s="1">
        <v>13</v>
      </c>
      <c r="I15" s="1">
        <v>12</v>
      </c>
      <c r="J15" s="1">
        <f>IF(1997433&gt;0,100*770522/1997433,"")</f>
        <v>38.575611797742404</v>
      </c>
      <c r="K15" s="1">
        <f>IF(1444995&gt;0,100*261231/1444995,"")</f>
        <v>18.07833245097734</v>
      </c>
      <c r="L15" s="1">
        <f>IF(COUNT(J15:K15)=2,K15-J15,"")</f>
        <v>-20.497279346765065</v>
      </c>
      <c r="O15" s="1">
        <v>13</v>
      </c>
      <c r="P15" s="1">
        <v>12</v>
      </c>
      <c r="Q15" s="1">
        <f>IF(931018&gt;0,100*79093/931018,"")</f>
        <v>8.495324472781407</v>
      </c>
      <c r="R15" s="1">
        <f>IF(1238571&gt;0,100*131134/1238571,"")</f>
        <v>10.587523848047468</v>
      </c>
      <c r="S15" s="1">
        <f>IF(COUNT(Q15:R15)=2,R15-Q15,"")</f>
        <v>2.092199375266061</v>
      </c>
    </row>
    <row r="16" spans="1:19">
      <c r="A16" s="1">
        <v>14</v>
      </c>
      <c r="B16" s="1">
        <v>13</v>
      </c>
      <c r="C16" s="1">
        <f>IF(929730&gt;0,100*189375/929730,"")</f>
        <v>20.368816753250943</v>
      </c>
      <c r="D16" s="1">
        <f>IF(904060&gt;0,100*3017/904060,"")</f>
        <v>0.333716788708714</v>
      </c>
      <c r="E16" s="1">
        <f>IF(COUNT(C16:D16)=2,D16-C16,"")</f>
        <v>-20.03509996454223</v>
      </c>
      <c r="H16" s="1">
        <v>14</v>
      </c>
      <c r="I16" s="1">
        <v>13</v>
      </c>
      <c r="J16" s="1">
        <f>IF(1084239&gt;0,100*226536/1084239,"")</f>
        <v>20.893548378171232</v>
      </c>
      <c r="K16" s="1">
        <f>IF(219040&gt;0,100*754/219040,"")</f>
        <v>0.34422936449963476</v>
      </c>
      <c r="L16" s="1">
        <f>IF(COUNT(J16:K16)=2,K16-J16,"")</f>
        <v>-20.549319013671596</v>
      </c>
      <c r="O16" s="1">
        <v>14</v>
      </c>
      <c r="P16" s="1">
        <v>13</v>
      </c>
      <c r="Q16" s="1">
        <f>IF(670550&gt;0,100*11588/670550,"")</f>
        <v>1.7281336216538663</v>
      </c>
      <c r="R16" s="1">
        <f>IF(907896&gt;0,100*133454/907896,"")</f>
        <v>14.699260708274956</v>
      </c>
      <c r="S16" s="1">
        <f>IF(COUNT(Q16:R16)=2,R16-Q16,"")</f>
        <v>12.97112708662109</v>
      </c>
    </row>
    <row r="17" spans="1:19">
      <c r="A17" s="1">
        <v>15</v>
      </c>
      <c r="B17" s="1">
        <v>14</v>
      </c>
      <c r="C17" s="1">
        <f>IF(1540895&gt;0,100*542667/1540895,"")</f>
        <v>35.217649482930376</v>
      </c>
      <c r="D17" s="1">
        <f>IF(828028&gt;0,100*122421/828028,"")</f>
        <v>14.78464496369688</v>
      </c>
      <c r="E17" s="1">
        <f>IF(COUNT(C17:D17)=2,D17-C17,"")</f>
        <v>-20.433004519233496</v>
      </c>
      <c r="H17" s="1">
        <v>15</v>
      </c>
      <c r="I17" s="1">
        <v>14</v>
      </c>
      <c r="J17" s="1">
        <f>IF(1976548&gt;0,100*795333/1976548,"")</f>
        <v>40.238486492612374</v>
      </c>
      <c r="K17" s="1">
        <f>IF(1355586&gt;0,100*248638/1355586,"")</f>
        <v>18.341735603643</v>
      </c>
      <c r="L17" s="1">
        <f>IF(COUNT(J17:K17)=2,K17-J17,"")</f>
        <v>-21.896750888969375</v>
      </c>
      <c r="O17" s="1">
        <v>15</v>
      </c>
      <c r="P17" s="1">
        <v>14</v>
      </c>
      <c r="Q17" s="1">
        <f>IF(1789842&gt;0,100*586809/1789842,"")</f>
        <v>32.78551961569792</v>
      </c>
      <c r="R17" s="1">
        <f>IF(1724306&gt;0,100*424002/1724306,"")</f>
        <v>24.589718994192445</v>
      </c>
      <c r="S17" s="1">
        <f>IF(COUNT(Q17:R17)=2,R17-Q17,"")</f>
        <v>-8.195800621505477</v>
      </c>
    </row>
    <row r="18" spans="1:19">
      <c r="A18" s="1">
        <v>16</v>
      </c>
      <c r="B18" s="1">
        <v>15</v>
      </c>
      <c r="C18" s="1">
        <f>IF(1507412&gt;0,100*534395/1507412,"")</f>
        <v>35.45115734782528</v>
      </c>
      <c r="D18" s="1">
        <f>IF(1563251&gt;0,100*440933/1563251,"")</f>
        <v>28.206154993663844</v>
      </c>
      <c r="E18" s="1">
        <f>IF(COUNT(C18:D18)=2,D18-C18,"")</f>
        <v>-7.245002354161436</v>
      </c>
      <c r="H18" s="1">
        <v>16</v>
      </c>
      <c r="I18" s="1">
        <v>15</v>
      </c>
      <c r="J18" s="1">
        <f>IF(1507965&gt;0,100*427666/1507965,"")</f>
        <v>28.36047255738694</v>
      </c>
      <c r="K18" s="1">
        <f>IF(1161178&gt;0,100*122468/1161178,"")</f>
        <v>10.546875672808131</v>
      </c>
      <c r="L18" s="1">
        <f>IF(COUNT(J18:K18)=2,K18-J18,"")</f>
        <v>-17.81359688457881</v>
      </c>
      <c r="O18" s="1">
        <v>16</v>
      </c>
      <c r="P18" s="1">
        <v>15</v>
      </c>
      <c r="Q18" s="1">
        <f>IF(1644242&gt;0,100*542962/1644242,"")</f>
        <v>33.02202473845091</v>
      </c>
      <c r="R18" s="1">
        <f>IF(1253130&gt;0,100*117427/1253130,"")</f>
        <v>9.370695777772458</v>
      </c>
      <c r="S18" s="1">
        <f>IF(COUNT(Q18:R18)=2,R18-Q18,"")</f>
        <v>-23.651328960678452</v>
      </c>
    </row>
    <row r="19" spans="1:19">
      <c r="A19" s="1">
        <v>17</v>
      </c>
      <c r="B19" s="1">
        <v>16</v>
      </c>
      <c r="C19" s="1">
        <f>IF(642367&gt;0,100*51947/642367,"")</f>
        <v>8.08681018794552</v>
      </c>
      <c r="D19" s="1">
        <f>IF(610245&gt;0,100*17235/610245,"")</f>
        <v>2.8242754959073815</v>
      </c>
      <c r="E19" s="1">
        <f>IF(COUNT(C19:D19)=2,D19-C19,"")</f>
        <v>-5.262534692038139</v>
      </c>
      <c r="H19" s="1">
        <v>17</v>
      </c>
      <c r="I19" s="1">
        <v>16</v>
      </c>
      <c r="J19" s="1">
        <f>IF(1858121&gt;0,100*695653/1858121,"")</f>
        <v>37.4385198811057</v>
      </c>
      <c r="K19" s="1">
        <f>IF(1469358&gt;0,100*304136/1469358,"")</f>
        <v>20.69856359035715</v>
      </c>
      <c r="L19" s="1">
        <f>IF(COUNT(J19:K19)=2,K19-J19,"")</f>
        <v>-16.739956290748548</v>
      </c>
      <c r="O19" s="1">
        <v>17</v>
      </c>
      <c r="P19" s="1">
        <v>16</v>
      </c>
      <c r="Q19" s="1">
        <f>IF(1134999&gt;0,100*244255/1134999,"")</f>
        <v>21.520283277782625</v>
      </c>
      <c r="R19" s="1">
        <f>IF(1349397&gt;0,100*249360/1349397,"")</f>
        <v>18.47936522757943</v>
      </c>
      <c r="S19" s="1">
        <f>IF(COUNT(Q19:R19)=2,R19-Q19,"")</f>
        <v>-3.040918050203196</v>
      </c>
    </row>
    <row r="20" spans="1:19">
      <c r="A20" s="1">
        <v>18</v>
      </c>
      <c r="B20" s="1">
        <v>17</v>
      </c>
      <c r="C20" s="1">
        <f>IF(594640&gt;0,100*3581/594640,"")</f>
        <v>0.6022131037266245</v>
      </c>
      <c r="D20" s="1">
        <f>IF(550652&gt;0,100*15529/550652,"")</f>
        <v>2.8201114315393387</v>
      </c>
      <c r="E20" s="1">
        <f>IF(COUNT(C20:D20)=2,D20-C20,"")</f>
        <v>2.2178983278127142</v>
      </c>
      <c r="H20" s="1">
        <v>18</v>
      </c>
      <c r="I20" s="1">
        <v>17</v>
      </c>
      <c r="J20" s="1">
        <f>IF(1593567&gt;0,100*381148/1593567,"")</f>
        <v>23.917914966863645</v>
      </c>
      <c r="K20" s="1">
        <f>IF(1181114&gt;0,100*155022/1181114,"")</f>
        <v>13.125066674343035</v>
      </c>
      <c r="L20" s="1">
        <f>IF(COUNT(J20:K20)=2,K20-J20,"")</f>
        <v>-10.79284829252061</v>
      </c>
      <c r="O20" s="1">
        <v>18</v>
      </c>
      <c r="P20" s="1">
        <v>17</v>
      </c>
      <c r="Q20" s="1">
        <f>IF(1362366&gt;0,100*418939/1362366,"")</f>
        <v>30.750840816638114</v>
      </c>
      <c r="R20" s="1">
        <f>IF(1117370&gt;0,100*57293/1117370,"")</f>
        <v>5.127486866481112</v>
      </c>
      <c r="S20" s="1">
        <f>IF(COUNT(Q20:R20)=2,R20-Q20,"")</f>
        <v>-25.623353950157004</v>
      </c>
    </row>
    <row r="21" spans="1:19">
      <c r="A21" s="1">
        <v>19</v>
      </c>
      <c r="B21" s="1">
        <v>18</v>
      </c>
      <c r="C21" s="1">
        <f>IF(1610751&gt;0,100*584870/1610751,"")</f>
        <v>36.31039186069107</v>
      </c>
      <c r="D21" s="1">
        <f>IF(1575960&gt;0,100*440981/1575960,"")</f>
        <v>27.981738115180587</v>
      </c>
      <c r="E21" s="1">
        <f>IF(COUNT(C21:D21)=2,D21-C21,"")</f>
        <v>-8.328653745510483</v>
      </c>
      <c r="H21" s="1">
        <v>19</v>
      </c>
      <c r="I21" s="1">
        <v>18</v>
      </c>
      <c r="J21" s="1">
        <f>IF(959902&gt;0,100*142934/959902,"")</f>
        <v>14.89047840300364</v>
      </c>
      <c r="K21" s="1">
        <f>IF(958153&gt;0,100*112702/958153,"")</f>
        <v>11.762422076641204</v>
      </c>
      <c r="L21" s="1">
        <f>IF(COUNT(J21:K21)=2,K21-J21,"")</f>
        <v>-3.128056326362435</v>
      </c>
      <c r="O21" s="1">
        <v>19</v>
      </c>
      <c r="P21" s="1">
        <v>18</v>
      </c>
      <c r="Q21" s="1">
        <f>IF(1024717&gt;0,100*193814/1024717,"")</f>
        <v>18.91390500987102</v>
      </c>
      <c r="R21" s="1">
        <f>IF(1189074&gt;0,100*85843/1189074,"")</f>
        <v>7.219315198213064</v>
      </c>
      <c r="S21" s="1">
        <f>IF(COUNT(Q21:R21)=2,R21-Q21,"")</f>
        <v>-11.694589811657956</v>
      </c>
    </row>
    <row r="22" spans="1:19">
      <c r="A22" s="1">
        <v>20</v>
      </c>
      <c r="B22" s="1">
        <v>19</v>
      </c>
      <c r="C22" s="1">
        <f>IF(1151574&gt;0,100*385861/1151574,"")</f>
        <v>33.50726918113816</v>
      </c>
      <c r="D22" s="1">
        <f>IF(1380333&gt;0,100*263021/1380333,"")</f>
        <v>19.054894724678753</v>
      </c>
      <c r="E22" s="1">
        <f>IF(COUNT(C22:D22)=2,D22-C22,"")</f>
        <v>-14.45237445645941</v>
      </c>
      <c r="H22" s="1">
        <v>20</v>
      </c>
      <c r="I22" s="1">
        <v>19</v>
      </c>
      <c r="J22" s="1">
        <f>IF(795490&gt;0,100*93263/795490,"")</f>
        <v>11.723968874530163</v>
      </c>
      <c r="K22" s="1">
        <f>IF(895733&gt;0,100*113984/895733,"")</f>
        <v>12.725220573541446</v>
      </c>
      <c r="L22" s="1">
        <f>IF(COUNT(J22:K22)=2,K22-J22,"")</f>
        <v>1.0012516990112825</v>
      </c>
      <c r="O22" s="1">
        <v>20</v>
      </c>
      <c r="P22" s="1">
        <v>19</v>
      </c>
      <c r="Q22" s="1">
        <f>IF(1318480&gt;0,100*350952/1318480,"")</f>
        <v>26.617923669680238</v>
      </c>
      <c r="R22" s="1">
        <f>IF(833233&gt;0,100*24430/833233,"")</f>
        <v>2.93195300714206</v>
      </c>
      <c r="S22" s="1">
        <f>IF(COUNT(Q22:R22)=2,R22-Q22,"")</f>
        <v>-23.68597066253818</v>
      </c>
    </row>
    <row r="23" spans="1:19">
      <c r="A23" s="1">
        <v>21</v>
      </c>
      <c r="B23" s="1">
        <v>20</v>
      </c>
      <c r="C23" s="1">
        <f>IF(1068079&gt;0,100*233010/1068079,"")</f>
        <v>21.815802014644984</v>
      </c>
      <c r="D23" s="1">
        <f>IF(1326085&gt;0,100*291561/1326085,"")</f>
        <v>21.986599652360145</v>
      </c>
      <c r="E23" s="1">
        <f>IF(COUNT(C23:D23)=2,D23-C23,"")</f>
        <v>0.170797637715161</v>
      </c>
      <c r="H23" s="1">
        <v>21</v>
      </c>
      <c r="I23" s="1">
        <v>20</v>
      </c>
      <c r="J23" s="1">
        <f>IF(2064525&gt;0,100*814911/2064525,"")</f>
        <v>39.47208195589785</v>
      </c>
      <c r="K23" s="1">
        <f>IF(1189419&gt;0,100*199637/1189419,"")</f>
        <v>16.784413230325057</v>
      </c>
      <c r="L23" s="1">
        <f>IF(COUNT(J23:K23)=2,K23-J23,"")</f>
        <v>-22.68766872557279</v>
      </c>
      <c r="O23" s="1">
        <v>21</v>
      </c>
      <c r="P23" s="1">
        <v>20</v>
      </c>
      <c r="Q23" s="1">
        <f>IF(988289&gt;0,100*243580/988289,"")</f>
        <v>24.646636763133053</v>
      </c>
      <c r="R23" s="1">
        <f>IF(1133204&gt;0,100*151015/1133204,"")</f>
        <v>13.326373715588721</v>
      </c>
      <c r="S23" s="1">
        <f>IF(COUNT(Q23:R23)=2,R23-Q23,"")</f>
        <v>-11.320263047544332</v>
      </c>
    </row>
    <row r="24" spans="1:19">
      <c r="A24" s="1">
        <v>22</v>
      </c>
      <c r="B24" s="1">
        <v>21</v>
      </c>
      <c r="C24" s="1">
        <f>IF(1338290&gt;0,100*468761/1338290,"")</f>
        <v>35.0268626381427</v>
      </c>
      <c r="D24" s="1">
        <f>IF(1346685&gt;0,100*382193/1346685,"")</f>
        <v>28.380281951607095</v>
      </c>
      <c r="E24" s="1">
        <f>IF(COUNT(C24:D24)=2,D24-C24,"")</f>
        <v>-6.646580686535607</v>
      </c>
      <c r="H24" s="1">
        <v>22</v>
      </c>
      <c r="I24" s="1">
        <v>21</v>
      </c>
      <c r="J24" s="1">
        <f>IF(1478082&gt;0,100*446963/1478082,"")</f>
        <v>30.23939131929081</v>
      </c>
      <c r="K24" s="1">
        <f>IF(1462443&gt;0,100*408853/1462443,"")</f>
        <v>27.956850284079447</v>
      </c>
      <c r="L24" s="1">
        <f>IF(COUNT(J24:K24)=2,K24-J24,"")</f>
        <v>-2.282541035211363</v>
      </c>
      <c r="O24" s="1">
        <v>22</v>
      </c>
      <c r="P24" s="1">
        <v>21</v>
      </c>
      <c r="Q24" s="1">
        <f>IF(1372655&gt;0,100*332190/1372655,"")</f>
        <v>24.20054565786742</v>
      </c>
      <c r="R24" s="1">
        <f>IF(1165707&gt;0,100*212291/1165707,"")</f>
        <v>18.211351566045327</v>
      </c>
      <c r="S24" s="1">
        <f>IF(COUNT(Q24:R24)=2,R24-Q24,"")</f>
        <v>-5.9891940918220925</v>
      </c>
    </row>
    <row r="25" spans="1:19">
      <c r="A25" s="1">
        <v>23</v>
      </c>
      <c r="B25" s="1">
        <v>22</v>
      </c>
      <c r="C25" s="1">
        <f>IF(509320&gt;0,100*1248/509320,"")</f>
        <v>0.24503259247624284</v>
      </c>
      <c r="D25" s="1">
        <f>IF(519169&gt;0,100*1139/519169,"")</f>
        <v>0.2193890621358363</v>
      </c>
      <c r="E25" s="1">
        <f>IF(COUNT(C25:D25)=2,D25-C25,"")</f>
        <v>-0.025643530340406534</v>
      </c>
      <c r="H25" s="1">
        <v>23</v>
      </c>
      <c r="I25" s="1">
        <v>22</v>
      </c>
      <c r="J25" s="1">
        <f>IF(1340391&gt;0,100*238132/1340391,"")</f>
        <v>17.765860857018588</v>
      </c>
      <c r="K25" s="1">
        <f>IF(858523&gt;0,100*42920/858523,"")</f>
        <v>4.999283653437357</v>
      </c>
      <c r="L25" s="1">
        <f>IF(COUNT(J25:K25)=2,K25-J25,"")</f>
        <v>-12.766577203581232</v>
      </c>
      <c r="O25" s="1">
        <v>23</v>
      </c>
      <c r="P25" s="1">
        <v>22</v>
      </c>
      <c r="Q25" s="1">
        <f>IF(1673110&gt;0,100*548899/1673110,"")</f>
        <v>32.80710772154849</v>
      </c>
      <c r="R25" s="1">
        <f>IF(1548735&gt;0,100*240049/1548735,"")</f>
        <v>15.499681998534287</v>
      </c>
      <c r="S25" s="1">
        <f>IF(COUNT(Q25:R25)=2,R25-Q25,"")</f>
        <v>-17.307425723014205</v>
      </c>
    </row>
    <row r="26" spans="1:19">
      <c r="A26" s="1">
        <v>24</v>
      </c>
      <c r="B26" s="1">
        <v>23</v>
      </c>
      <c r="C26" s="1">
        <f>IF(914755&gt;0,100*175077/914755,"")</f>
        <v>19.139223070658264</v>
      </c>
      <c r="D26" s="1">
        <f>IF(768792&gt;0,100*35175/768792,"")</f>
        <v>4.57535978522149</v>
      </c>
      <c r="E26" s="1">
        <f>IF(COUNT(C26:D26)=2,D26-C26,"")</f>
        <v>-14.563863285436774</v>
      </c>
      <c r="H26" s="1">
        <v>24</v>
      </c>
      <c r="I26" s="1">
        <v>23</v>
      </c>
      <c r="J26" s="1">
        <f>IF(1715105&gt;0,100*545055/1715105,"")</f>
        <v>31.77968695794135</v>
      </c>
      <c r="K26" s="1">
        <f>IF(1231218&gt;0,100*170466/1231218,"")</f>
        <v>13.845314152327207</v>
      </c>
      <c r="L26" s="1">
        <f>IF(COUNT(J26:K26)=2,K26-J26,"")</f>
        <v>-17.934372805614146</v>
      </c>
      <c r="O26" s="1">
        <v>24</v>
      </c>
      <c r="P26" s="1">
        <v>23</v>
      </c>
      <c r="Q26" s="1">
        <f>IF(1476074&gt;0,100*377502/1476074,"")</f>
        <v>25.57473405804858</v>
      </c>
      <c r="R26" s="1">
        <f>IF(944607&gt;0,100*41972/944607,"")</f>
        <v>4.443329342255562</v>
      </c>
      <c r="S26" s="1">
        <f>IF(COUNT(Q26:R26)=2,R26-Q26,"")</f>
        <v>-21.131404715793018</v>
      </c>
    </row>
    <row r="27" spans="1:19">
      <c r="A27" s="1">
        <v>25</v>
      </c>
      <c r="B27" s="1">
        <v>24</v>
      </c>
      <c r="C27" s="1">
        <f>IF(1691255&gt;0,100*656381/1691255,"")</f>
        <v>38.81029176558236</v>
      </c>
      <c r="D27" s="1">
        <f>IF(687833&gt;0,100*84915/687833,"")</f>
        <v>12.345293116206987</v>
      </c>
      <c r="E27" s="1">
        <f>IF(COUNT(C27:D27)=2,D27-C27,"")</f>
        <v>-26.464998649375374</v>
      </c>
      <c r="H27" s="1">
        <v>25</v>
      </c>
      <c r="I27" s="1">
        <v>24</v>
      </c>
      <c r="J27" s="1">
        <f>IF(1222508&gt;0,100*246917/1222508,"")</f>
        <v>20.197577439166043</v>
      </c>
      <c r="K27" s="1">
        <f>IF(1010286&gt;0,100*131254/1010286,"")</f>
        <v>12.991766687848788</v>
      </c>
      <c r="L27" s="1">
        <f>IF(COUNT(J27:K27)=2,K27-J27,"")</f>
        <v>-7.205810751317255</v>
      </c>
      <c r="O27" s="1">
        <v>25</v>
      </c>
      <c r="P27" s="1">
        <v>24</v>
      </c>
      <c r="Q27" s="1">
        <f>IF(1190475&gt;0,100*83215/1190475,"")</f>
        <v>6.99006699006699</v>
      </c>
      <c r="R27" s="1">
        <f>IF(1169356&gt;0,100*105498/1169356,"")</f>
        <v>9.021888971365435</v>
      </c>
      <c r="S27" s="1">
        <f>IF(COUNT(Q27:R27)=2,R27-Q27,"")</f>
        <v>2.031821981298445</v>
      </c>
    </row>
    <row r="28" spans="1:19">
      <c r="A28" s="1">
        <v>26</v>
      </c>
      <c r="B28" s="1">
        <v>25</v>
      </c>
      <c r="C28" s="1">
        <f>IF(1683042&gt;0,100*681416/1683042,"")</f>
        <v>40.48716550151452</v>
      </c>
      <c r="D28" s="1">
        <f>IF(1369538&gt;0,100*281669/1369538,"")</f>
        <v>20.56671665919456</v>
      </c>
      <c r="E28" s="1">
        <f>IF(COUNT(C28:D28)=2,D28-C28,"")</f>
        <v>-19.920448842319956</v>
      </c>
      <c r="H28" s="1">
        <v>26</v>
      </c>
      <c r="I28" s="1">
        <v>25</v>
      </c>
      <c r="J28" s="1">
        <f>IF(1827352&gt;0,100*581318/1827352,"")</f>
        <v>31.8120427810296</v>
      </c>
      <c r="K28" s="1">
        <f>IF(1494385&gt;0,100*294027/1494385,"")</f>
        <v>19.67545177447579</v>
      </c>
      <c r="L28" s="1">
        <f>IF(COUNT(J28:K28)=2,K28-J28,"")</f>
        <v>-12.136591006553811</v>
      </c>
      <c r="O28" s="1">
        <v>26</v>
      </c>
      <c r="P28" s="1">
        <v>25</v>
      </c>
      <c r="Q28" s="1">
        <f>IF(1679034&gt;0,100*488863/1679034,"")</f>
        <v>29.11572963978097</v>
      </c>
      <c r="R28" s="1">
        <f>IF(6003&gt;0,100*787/6003,"")</f>
        <v>13.110111610861235</v>
      </c>
      <c r="S28" s="1">
        <f>IF(COUNT(Q28:R28)=2,R28-Q28,"")</f>
        <v>-16.005618028919734</v>
      </c>
    </row>
    <row r="29" spans="1:19">
      <c r="A29" s="1">
        <v>27</v>
      </c>
      <c r="B29" s="1">
        <v>26</v>
      </c>
      <c r="C29" s="1">
        <f>IF(1557766&gt;0,100*464581/1557766,"")</f>
        <v>29.823542175140553</v>
      </c>
      <c r="D29" s="1">
        <f>IF(1609185&gt;0,100*435393/1609185,"")</f>
        <v>27.056739902497227</v>
      </c>
      <c r="E29" s="1">
        <f>IF(COUNT(C29:D29)=2,D29-C29,"")</f>
        <v>-2.766802272643325</v>
      </c>
      <c r="H29" s="1">
        <v>27</v>
      </c>
      <c r="I29" s="1">
        <v>26</v>
      </c>
      <c r="J29" s="1">
        <f>IF(1255658&gt;0,100*171678/1255658,"")</f>
        <v>13.672353459301815</v>
      </c>
      <c r="K29" s="1">
        <f>IF(1164545&gt;0,100*140190/1164545,"")</f>
        <v>12.038178000850117</v>
      </c>
      <c r="L29" s="1">
        <f>IF(COUNT(J29:K29)=2,K29-J29,"")</f>
        <v>-1.6341754584516988</v>
      </c>
      <c r="O29" s="1">
        <v>27</v>
      </c>
      <c r="P29" s="1">
        <v>26</v>
      </c>
      <c r="Q29" s="1">
        <f>IF(2118549&gt;0,100*871261/2118549,"")</f>
        <v>41.12536457735931</v>
      </c>
      <c r="R29" s="1">
        <f>IF(1323437&gt;0,100*214219/1323437,"")</f>
        <v>16.186565737545497</v>
      </c>
      <c r="S29" s="1">
        <f>IF(COUNT(Q29:R29)=2,R29-Q29,"")</f>
        <v>-24.938798839813817</v>
      </c>
    </row>
    <row r="30" spans="1:19">
      <c r="A30" s="1">
        <v>28</v>
      </c>
      <c r="B30" s="1">
        <v>27</v>
      </c>
      <c r="C30" s="1">
        <f>IF(506350&gt;0,100*449/506350,"")</f>
        <v>0.08867384220400909</v>
      </c>
      <c r="D30" s="1">
        <f>IF(503108&gt;0,100*657/503108,"")</f>
        <v>0.1305882633549854</v>
      </c>
      <c r="E30" s="1">
        <f>IF(COUNT(C30:D30)=2,D30-C30,"")</f>
        <v>0.04191442115097632</v>
      </c>
      <c r="H30" s="1">
        <v>28</v>
      </c>
      <c r="I30" s="1">
        <v>27</v>
      </c>
      <c r="J30" s="1">
        <f>IF(1718872&gt;0,100*583484/1718872,"")</f>
        <v>33.94575046891217</v>
      </c>
      <c r="K30" s="1">
        <f>IF(1065670&gt;0,100*156760/1065670,"")</f>
        <v>14.709994651252265</v>
      </c>
      <c r="L30" s="1">
        <f>IF(COUNT(J30:K30)=2,K30-J30,"")</f>
        <v>-19.235755817659907</v>
      </c>
      <c r="O30" s="1">
        <v>28</v>
      </c>
      <c r="P30" s="1">
        <v>27</v>
      </c>
      <c r="Q30" s="1">
        <f>IF(1202604&gt;0,100*322949/1202604,"")</f>
        <v>26.8541431759748</v>
      </c>
      <c r="R30" s="1">
        <f>IF(818525&gt;0,100*71892/818525,"")</f>
        <v>8.783115970801136</v>
      </c>
      <c r="S30" s="1">
        <f>IF(COUNT(Q30:R30)=2,R30-Q30,"")</f>
        <v>-18.071027205173664</v>
      </c>
    </row>
    <row r="31" spans="1:19">
      <c r="A31" s="1">
        <v>29</v>
      </c>
      <c r="B31" s="1">
        <v>28</v>
      </c>
      <c r="C31" s="1">
        <f>IF(1614535&gt;0,100*599059/1614535,"")</f>
        <v>37.104119762036746</v>
      </c>
      <c r="D31" s="1">
        <f>IF(1499398&gt;0,100*462122/1499398,"")</f>
        <v>30.820502628388194</v>
      </c>
      <c r="E31" s="1">
        <f>IF(COUNT(C31:D31)=2,D31-C31,"")</f>
        <v>-6.283617133648551</v>
      </c>
      <c r="H31" s="1">
        <v>29</v>
      </c>
      <c r="I31" s="1">
        <v>28</v>
      </c>
      <c r="J31" s="1">
        <f>IF(1707787&gt;0,100*644845/1707787,"")</f>
        <v>37.75909993459371</v>
      </c>
      <c r="K31" s="1">
        <f>IF(1450267&gt;0,100*268748/1450267,"")</f>
        <v>18.530932580000787</v>
      </c>
      <c r="L31" s="1">
        <f>IF(COUNT(J31:K31)=2,K31-J31,"")</f>
        <v>-19.228167354592927</v>
      </c>
      <c r="O31" s="1">
        <v>29</v>
      </c>
      <c r="P31" s="1">
        <v>28</v>
      </c>
      <c r="Q31" s="1">
        <f>IF(1781585&gt;0,100*685393/1781585,"")</f>
        <v>38.47096826702066</v>
      </c>
      <c r="R31" s="1">
        <f>IF(1308894&gt;0,100*183262/1308894,"")</f>
        <v>14.001286582412327</v>
      </c>
      <c r="S31" s="1">
        <f>IF(COUNT(Q31:R31)=2,R31-Q31,"")</f>
        <v>-24.469681684608332</v>
      </c>
    </row>
    <row r="32" spans="1:19">
      <c r="A32" s="1">
        <v>30</v>
      </c>
      <c r="B32" s="1">
        <v>29</v>
      </c>
      <c r="C32" s="1">
        <f>IF(1722125&gt;0,100*685666/1722125,"")</f>
        <v>39.81511214342745</v>
      </c>
      <c r="D32" s="1">
        <f>IF(1316582&gt;0,100*244050/1316582,"")</f>
        <v>18.536635013998367</v>
      </c>
      <c r="E32" s="1">
        <f>IF(COUNT(C32:D32)=2,D32-C32,"")</f>
        <v>-21.27847712942908</v>
      </c>
      <c r="H32" s="1">
        <v>30</v>
      </c>
      <c r="I32" s="1">
        <v>29</v>
      </c>
      <c r="J32" s="1">
        <f>IF(1183903&gt;0,100*336267/1183903,"")</f>
        <v>28.403256009994063</v>
      </c>
      <c r="K32" s="1">
        <f>IF(971250&gt;0,100*115551/971250,"")</f>
        <v>11.897142857142857</v>
      </c>
      <c r="L32" s="1">
        <f>IF(COUNT(J32:K32)=2,K32-J32,"")</f>
        <v>-16.506113152851206</v>
      </c>
      <c r="O32" s="1">
        <v>30</v>
      </c>
      <c r="P32" s="1">
        <v>29</v>
      </c>
      <c r="Q32" s="1">
        <f>IF(1267752&gt;0,100*304833/1267752,"")</f>
        <v>24.045160252162884</v>
      </c>
      <c r="R32" s="1">
        <f>IF(848661&gt;0,100*38369/848661,"")</f>
        <v>4.521122097044638</v>
      </c>
      <c r="S32" s="1">
        <f>IF(COUNT(Q32:R32)=2,R32-Q32,"")</f>
        <v>-19.524038155118244</v>
      </c>
    </row>
    <row r="33" spans="1:19">
      <c r="A33" s="1">
        <v>31</v>
      </c>
      <c r="B33" s="1">
        <v>30</v>
      </c>
      <c r="C33" s="1">
        <f>IF(758539&gt;0,100*11909/758539,"")</f>
        <v>1.569991786842865</v>
      </c>
      <c r="D33" s="1">
        <f>IF(838724&gt;0,100*5506/838724,"")</f>
        <v>0.6564734048387789</v>
      </c>
      <c r="E33" s="1">
        <f>IF(COUNT(C33:D33)=2,D33-C33,"")</f>
        <v>-0.9135183820040861</v>
      </c>
      <c r="H33" s="1">
        <v>31</v>
      </c>
      <c r="I33" s="1">
        <v>30</v>
      </c>
      <c r="J33" s="1">
        <f>IF(1372764&gt;0,100*366154/1372764,"")</f>
        <v>26.67275656995667</v>
      </c>
      <c r="K33" s="1">
        <f>IF(1467438&gt;0,100*360001/1467438,"")</f>
        <v>24.532620798970722</v>
      </c>
      <c r="L33" s="1">
        <f>IF(COUNT(J33:K33)=2,K33-J33,"")</f>
        <v>-2.1401357709859496</v>
      </c>
      <c r="O33" s="1">
        <v>31</v>
      </c>
      <c r="P33" s="1">
        <v>30</v>
      </c>
      <c r="Q33" s="1">
        <f>IF(1698653&gt;0,100*588007/1698653,"")</f>
        <v>34.616075207826434</v>
      </c>
      <c r="R33" s="1">
        <f>IF(1440984&gt;0,100*377167/1440984,"")</f>
        <v>26.17426702864154</v>
      </c>
      <c r="S33" s="1">
        <f>IF(COUNT(Q33:R33)=2,R33-Q33,"")</f>
        <v>-8.441808179184893</v>
      </c>
    </row>
    <row r="34" spans="1:19">
      <c r="A34" s="2" t="s">
        <v>6</v>
      </c>
      <c r="B34" s="1"/>
      <c r="C34" s="1">
        <f>IF(COUNT(C3:C33)&gt;0,AVERAGE(C3:C33),"")</f>
        <v>28.37755704515853</v>
      </c>
      <c r="D34" s="1">
        <f>IF(COUNT(D3:D33)&gt;0,AVERAGE(D3:D33),"")</f>
        <v>15.399863717645518</v>
      </c>
      <c r="E34" s="1">
        <f>IF(COUNT(E3:E33)&gt;0,AVERAGE(E3:E33),"")</f>
        <v>-12.97769332751301</v>
      </c>
      <c r="H34" s="2" t="s">
        <v>6</v>
      </c>
      <c r="I34" s="1"/>
      <c r="J34" s="1">
        <f>IF(COUNT(J3:J33)&gt;0,AVERAGE(J3:J33),"")</f>
        <v>23.048785214991636</v>
      </c>
      <c r="K34" s="1">
        <f>IF(COUNT(K3:K33)&gt;0,AVERAGE(K3:K33),"")</f>
        <v>14.02228451418922</v>
      </c>
      <c r="L34" s="1">
        <f>IF(COUNT(L3:L33)&gt;0,AVERAGE(L3:L33),"")</f>
        <v>-9.026500700802414</v>
      </c>
      <c r="O34" s="2" t="s">
        <v>6</v>
      </c>
      <c r="P34" s="1"/>
      <c r="Q34" s="1">
        <f>IF(COUNT(Q3:Q33)&gt;0,AVERAGE(Q3:Q33),"")</f>
        <v>24.644136830215917</v>
      </c>
      <c r="R34" s="1">
        <f>IF(COUNT(R3:R33)&gt;0,AVERAGE(R3:R33),"")</f>
        <v>13.110635565578843</v>
      </c>
      <c r="S34" s="1">
        <f>IF(COUNT(S3:S33)&gt;0,AVERAGE(S3:S33),"")</f>
        <v>-11.533501264637076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IF(1093423&gt;0,100*121600/1093423,"")</f>
        <v>11.121039158678755</v>
      </c>
      <c r="D39" s="1">
        <f>IF(1029326&gt;0,100*59478/1029326,"")</f>
        <v>5.778344275768804</v>
      </c>
      <c r="E39" s="1">
        <f>IF(COUNT(C39:D39)=2,D39-C39,"")</f>
        <v>-5.342694882909951</v>
      </c>
      <c r="H39" s="1">
        <v>1</v>
      </c>
      <c r="I39" s="1">
        <v>0</v>
      </c>
      <c r="J39" s="1">
        <f>IF(2001661&gt;0,100*613984/2001661,"")</f>
        <v>30.673725470996338</v>
      </c>
      <c r="K39" s="1">
        <f>IF(1151510&gt;0,100*58706/1151510,"")</f>
        <v>5.098175439205912</v>
      </c>
      <c r="L39" s="1">
        <f>IF(COUNT(J39:K39)=2,K39-J39,"")</f>
        <v>-25.575550031790428</v>
      </c>
      <c r="O39" s="1">
        <v>1</v>
      </c>
      <c r="P39" s="1">
        <v>0</v>
      </c>
      <c r="Q39" s="1">
        <f>IF(1572820&gt;0,100*273004/1572820,"")</f>
        <v>17.35761244134739</v>
      </c>
      <c r="R39" s="1">
        <f>IF(24556&gt;0,100*5065/24556,"")</f>
        <v>20.626323505456917</v>
      </c>
      <c r="S39" s="1">
        <f>IF(COUNT(Q39:R39)=2,R39-Q39,"")</f>
        <v>3.268711064109528</v>
      </c>
    </row>
    <row r="40" spans="1:19">
      <c r="A40" s="1">
        <v>2</v>
      </c>
      <c r="B40" s="1">
        <v>1</v>
      </c>
      <c r="C40" s="1">
        <f>IF(1205676&gt;0,100*374828/1205676,"")</f>
        <v>31.08861750586393</v>
      </c>
      <c r="D40" s="1">
        <f>IF(1820433&gt;0,100*543535/1820433,"")</f>
        <v>29.857456989628293</v>
      </c>
      <c r="E40" s="1">
        <f>IF(COUNT(C40:D40)=2,D40-C40,"")</f>
        <v>-1.2311605162356365</v>
      </c>
      <c r="H40" s="1">
        <v>2</v>
      </c>
      <c r="I40" s="1">
        <v>1</v>
      </c>
      <c r="J40" s="1">
        <f>IF(2100504&gt;0,100*794890/2100504,"")</f>
        <v>37.84282248450848</v>
      </c>
      <c r="K40" s="1">
        <f>IF(2135389&gt;0,100*542062/2135389,"")</f>
        <v>25.38469571586254</v>
      </c>
      <c r="L40" s="1">
        <f>IF(COUNT(J40:K40)=2,K40-J40,"")</f>
        <v>-12.45812676864594</v>
      </c>
      <c r="O40" s="1">
        <v>2</v>
      </c>
      <c r="P40" s="1">
        <v>1</v>
      </c>
      <c r="Q40" s="1">
        <f>IF(2271111&gt;0,100*972080/2271111,"")</f>
        <v>42.801959041191736</v>
      </c>
      <c r="R40" s="1">
        <f>IF(25899&gt;0,100*6912/25899,"")</f>
        <v>26.68828912313217</v>
      </c>
      <c r="S40" s="1">
        <f>IF(COUNT(Q40:R40)=2,R40-Q40,"")</f>
        <v>-16.113669918059568</v>
      </c>
    </row>
    <row r="41" spans="1:19">
      <c r="A41" s="1">
        <v>3</v>
      </c>
      <c r="B41" s="1">
        <v>2</v>
      </c>
      <c r="C41" s="1">
        <f>IF(1607803&gt;0,100*670978/1607803,"")</f>
        <v>41.732600324791036</v>
      </c>
      <c r="D41" s="1">
        <f>IF(1834658&gt;0,100*552160/1834658,"")</f>
        <v>30.096072401504802</v>
      </c>
      <c r="E41" s="1">
        <f>IF(COUNT(C41:D41)=2,D41-C41,"")</f>
        <v>-11.636527923286234</v>
      </c>
      <c r="H41" s="1">
        <v>3</v>
      </c>
      <c r="I41" s="1">
        <v>2</v>
      </c>
      <c r="J41" s="1">
        <f>IF(2703819&gt;0,100*975381/2703819,"")</f>
        <v>36.0741972742998</v>
      </c>
      <c r="K41" s="1">
        <f>IF(1983403&gt;0,100*251882/1983403,"")</f>
        <v>12.69948669029945</v>
      </c>
      <c r="L41" s="1">
        <f>IF(COUNT(J41:K41)=2,K41-J41,"")</f>
        <v>-23.374710584000347</v>
      </c>
      <c r="O41" s="1">
        <v>3</v>
      </c>
      <c r="P41" s="1">
        <v>2</v>
      </c>
      <c r="Q41" s="1">
        <f>IF(2333406&gt;0,100*950771/2333406,"")</f>
        <v>40.746059622714604</v>
      </c>
      <c r="R41" s="1">
        <f>IF(1547468&gt;0,100*143635/1547468,"")</f>
        <v>9.281936686251347</v>
      </c>
      <c r="S41" s="1">
        <f>IF(COUNT(Q41:R41)=2,R41-Q41,"")</f>
        <v>-31.464122936463255</v>
      </c>
    </row>
    <row r="42" spans="1:19">
      <c r="A42" s="1">
        <v>4</v>
      </c>
      <c r="B42" s="1">
        <v>3</v>
      </c>
      <c r="C42" s="1">
        <f>IF(2016766&gt;0,100*855389/2016766,"")</f>
        <v>42.41389432388289</v>
      </c>
      <c r="D42" s="1">
        <f>IF(2319380&gt;0,100*724779/2319380,"")</f>
        <v>31.248825117057144</v>
      </c>
      <c r="E42" s="1">
        <f>IF(COUNT(C42:D42)=2,D42-C42,"")</f>
        <v>-11.165069206825748</v>
      </c>
      <c r="H42" s="1">
        <v>4</v>
      </c>
      <c r="I42" s="1">
        <v>3</v>
      </c>
      <c r="J42" s="1">
        <f>IF(1363146&gt;0,100*83089/1363146,"")</f>
        <v>6.09538523386343</v>
      </c>
      <c r="K42" s="1">
        <f>IF(1281032&gt;0,100*124951/1281032,"")</f>
        <v>9.753932766706843</v>
      </c>
      <c r="L42" s="1">
        <f>IF(COUNT(J42:K42)=2,K42-J42,"")</f>
        <v>3.6585475328434125</v>
      </c>
      <c r="O42" s="1">
        <v>4</v>
      </c>
      <c r="P42" s="1">
        <v>3</v>
      </c>
      <c r="Q42" s="1">
        <f>IF(1406270&gt;0,100*83129/1406270,"")</f>
        <v>5.911311483570011</v>
      </c>
      <c r="R42" s="1">
        <f>IF(1402017&gt;0,100*28933/1402017,"")</f>
        <v>2.0636696987269056</v>
      </c>
      <c r="S42" s="1">
        <f>IF(COUNT(Q42:R42)=2,R42-Q42,"")</f>
        <v>-3.8476417848431055</v>
      </c>
    </row>
    <row r="43" spans="1:19">
      <c r="A43" s="1">
        <v>5</v>
      </c>
      <c r="B43" s="1">
        <v>4</v>
      </c>
      <c r="C43" s="1">
        <f>IF(1270456&gt;0,100*222216/1270456,"")</f>
        <v>17.49104258628398</v>
      </c>
      <c r="D43" s="1">
        <f>IF(1517593&gt;0,100*176522/1517593,"")</f>
        <v>11.631708896917685</v>
      </c>
      <c r="E43" s="1">
        <f>IF(COUNT(C43:D43)=2,D43-C43,"")</f>
        <v>-5.859333689366297</v>
      </c>
      <c r="H43" s="1">
        <v>5</v>
      </c>
      <c r="I43" s="1">
        <v>4</v>
      </c>
      <c r="J43" s="1">
        <f>IF(2437241&gt;0,100*1028598/2437241,"")</f>
        <v>42.20337668699977</v>
      </c>
      <c r="K43" s="1">
        <f>IF(2702743&gt;0,100*831546/2702743,"")</f>
        <v>30.766743267857876</v>
      </c>
      <c r="L43" s="1">
        <f>IF(COUNT(J43:K43)=2,K43-J43,"")</f>
        <v>-11.436633419141891</v>
      </c>
      <c r="O43" s="1">
        <v>5</v>
      </c>
      <c r="P43" s="1">
        <v>4</v>
      </c>
      <c r="Q43" s="1">
        <f>IF(2401097&gt;0,100*1112784/2401097,"")</f>
        <v>46.344816556765515</v>
      </c>
      <c r="R43" s="1">
        <f>IF(2683524&gt;0,100*832608/2683524,"")</f>
        <v>31.02666493759698</v>
      </c>
      <c r="S43" s="1">
        <f>IF(COUNT(Q43:R43)=2,R43-Q43,"")</f>
        <v>-15.318151619168535</v>
      </c>
    </row>
    <row r="44" spans="1:19">
      <c r="A44" s="1">
        <v>6</v>
      </c>
      <c r="B44" s="1">
        <v>5</v>
      </c>
      <c r="C44" s="1">
        <f>IF(2068143&gt;0,100*935980/2068143,"")</f>
        <v>45.25702526372693</v>
      </c>
      <c r="D44" s="1">
        <f>IF(967422&gt;0,100*30945/967422,"")</f>
        <v>3.1987074926970855</v>
      </c>
      <c r="E44" s="1">
        <f>IF(COUNT(C44:D44)=2,D44-C44,"")</f>
        <v>-42.05831777102985</v>
      </c>
      <c r="H44" s="1">
        <v>6</v>
      </c>
      <c r="I44" s="1">
        <v>5</v>
      </c>
      <c r="J44" s="1">
        <f>IF(2170385&gt;0,100*855280/2170385,"")</f>
        <v>39.40683334984346</v>
      </c>
      <c r="K44" s="1">
        <f>IF(2730535&gt;0,100*977552/2730535,"")</f>
        <v>35.80074966993648</v>
      </c>
      <c r="L44" s="1">
        <f>IF(COUNT(J44:K44)=2,K44-J44,"")</f>
        <v>-3.6060836799069804</v>
      </c>
      <c r="O44" s="1">
        <v>6</v>
      </c>
      <c r="P44" s="1">
        <v>5</v>
      </c>
      <c r="Q44" s="1">
        <f>IF(1758860&gt;0,100*252810/1758860,"")</f>
        <v>14.373514662906656</v>
      </c>
      <c r="R44" s="1">
        <f>IF(1657283&gt;0,100*175376/1657283,"")</f>
        <v>10.58213956216289</v>
      </c>
      <c r="S44" s="1">
        <f>IF(COUNT(Q44:R44)=2,R44-Q44,"")</f>
        <v>-3.7913751007437657</v>
      </c>
    </row>
    <row r="45" spans="1:19">
      <c r="A45" s="1">
        <v>7</v>
      </c>
      <c r="B45" s="1">
        <v>6</v>
      </c>
      <c r="C45" s="1">
        <f>IF(1955799&gt;0,100*927153/1955799,"")</f>
        <v>47.405331529466984</v>
      </c>
      <c r="D45" s="1">
        <f>IF(1669377&gt;0,100*302869/1669377,"")</f>
        <v>18.142636444613768</v>
      </c>
      <c r="E45" s="1">
        <f>IF(COUNT(C45:D45)=2,D45-C45,"")</f>
        <v>-29.262695084853217</v>
      </c>
      <c r="H45" s="1">
        <v>7</v>
      </c>
      <c r="I45" s="1">
        <v>6</v>
      </c>
      <c r="J45" s="1">
        <f>IF(1062155&gt;0,100*3098/1062155,"")</f>
        <v>0.29167117793542374</v>
      </c>
      <c r="K45" s="1">
        <f>IF(987824&gt;0,100*58140/987824,"")</f>
        <v>5.8856638429517805</v>
      </c>
      <c r="L45" s="1">
        <f>IF(COUNT(J45:K45)=2,K45-J45,"")</f>
        <v>5.593992665016357</v>
      </c>
      <c r="O45" s="1">
        <v>7</v>
      </c>
      <c r="P45" s="1">
        <v>6</v>
      </c>
      <c r="Q45" s="1">
        <f>IF(1340065&gt;0,100*31783/1340065,"")</f>
        <v>2.3717506240368937</v>
      </c>
      <c r="R45" s="1">
        <f>IF(1671259&gt;0,100*89267/1671259,"")</f>
        <v>5.3413025748851615</v>
      </c>
      <c r="S45" s="1">
        <f>IF(COUNT(Q45:R45)=2,R45-Q45,"")</f>
        <v>2.9695519508482677</v>
      </c>
    </row>
    <row r="46" spans="1:19">
      <c r="A46" s="1">
        <v>8</v>
      </c>
      <c r="B46" s="1">
        <v>7</v>
      </c>
      <c r="C46" s="1">
        <f>IF(2103376&gt;0,100*877826/2103376,"")</f>
        <v>41.73414548801546</v>
      </c>
      <c r="D46" s="1">
        <f>IF(2033454&gt;0,100*510299/2033454,"")</f>
        <v>25.095182876032602</v>
      </c>
      <c r="E46" s="1">
        <f>IF(COUNT(C46:D46)=2,D46-C46,"")</f>
        <v>-16.638962611982855</v>
      </c>
      <c r="H46" s="1">
        <v>8</v>
      </c>
      <c r="I46" s="1">
        <v>7</v>
      </c>
      <c r="J46" s="1">
        <f>IF(875780&gt;0,100*4451/875780,"")</f>
        <v>0.5082326611706136</v>
      </c>
      <c r="K46" s="1">
        <f>IF(782077&gt;0,100*977/782077,"")</f>
        <v>0.12492376070386932</v>
      </c>
      <c r="L46" s="1">
        <f>IF(COUNT(J46:K46)=2,K46-J46,"")</f>
        <v>-0.38330890046674426</v>
      </c>
      <c r="O46" s="1">
        <v>8</v>
      </c>
      <c r="P46" s="1">
        <v>7</v>
      </c>
      <c r="Q46" s="1">
        <f>IF(953770&gt;0,100*30543/953770,"")</f>
        <v>3.202344380720719</v>
      </c>
      <c r="R46" s="1">
        <f>IF(912208&gt;0,100*9215/912208,"")</f>
        <v>1.010186273306088</v>
      </c>
      <c r="S46" s="1">
        <f>IF(COUNT(Q46:R46)=2,R46-Q46,"")</f>
        <v>-2.192158107414631</v>
      </c>
    </row>
    <row r="47" spans="1:19">
      <c r="A47" s="1">
        <v>9</v>
      </c>
      <c r="B47" s="1">
        <v>8</v>
      </c>
      <c r="C47" s="1">
        <f>IF(1775689&gt;0,100*854041/1775689,"")</f>
        <v>48.096316415768754</v>
      </c>
      <c r="D47" s="1">
        <f>IF(2053965&gt;0,100*655273/2053965,"")</f>
        <v>31.902831839880427</v>
      </c>
      <c r="E47" s="1">
        <f>IF(COUNT(C47:D47)=2,D47-C47,"")</f>
        <v>-16.193484575888327</v>
      </c>
      <c r="H47" s="1">
        <v>9</v>
      </c>
      <c r="I47" s="1">
        <v>8</v>
      </c>
      <c r="J47" s="1">
        <f>IF(2261107&gt;0,100*975052/2261107,"")</f>
        <v>43.122771279731566</v>
      </c>
      <c r="K47" s="1">
        <f>IF(2266242&gt;0,100*579086/2266242,"")</f>
        <v>25.552699138044392</v>
      </c>
      <c r="L47" s="1">
        <f>IF(COUNT(J47:K47)=2,K47-J47,"")</f>
        <v>-17.570072141687174</v>
      </c>
      <c r="O47" s="1">
        <v>9</v>
      </c>
      <c r="P47" s="1">
        <v>8</v>
      </c>
      <c r="Q47" s="1">
        <f>IF(2405152&gt;0,100*1125762/2405152,"")</f>
        <v>46.80627253495829</v>
      </c>
      <c r="R47" s="1">
        <f>IF(1235368&gt;0,100*240144/1235368,"")</f>
        <v>19.439065930151987</v>
      </c>
      <c r="S47" s="1">
        <f>IF(COUNT(Q47:R47)=2,R47-Q47,"")</f>
        <v>-27.367206604806302</v>
      </c>
    </row>
    <row r="48" spans="1:19">
      <c r="A48" s="1">
        <v>10</v>
      </c>
      <c r="B48" s="1">
        <v>9</v>
      </c>
      <c r="C48" s="1">
        <f>IF(1746180&gt;0,100*461985/1746180,"")</f>
        <v>26.456894478232485</v>
      </c>
      <c r="D48" s="1">
        <f>IF(1302126&gt;0,100*11129/1302126,"")</f>
        <v>0.8546791938721752</v>
      </c>
      <c r="E48" s="1">
        <f>IF(COUNT(C48:D48)=2,D48-C48,"")</f>
        <v>-25.60221528436031</v>
      </c>
      <c r="H48" s="1">
        <v>10</v>
      </c>
      <c r="I48" s="1">
        <v>9</v>
      </c>
      <c r="J48" s="1">
        <f>IF(2706863&gt;0,100*1192100/2706863,"")</f>
        <v>44.03990892778837</v>
      </c>
      <c r="K48" s="1">
        <f>IF(2139574&gt;0,100*503554/2139574,"")</f>
        <v>23.53524580126698</v>
      </c>
      <c r="L48" s="1">
        <f>IF(COUNT(J48:K48)=2,K48-J48,"")</f>
        <v>-20.504663126521386</v>
      </c>
      <c r="O48" s="1">
        <v>10</v>
      </c>
      <c r="P48" s="1">
        <v>9</v>
      </c>
      <c r="Q48" s="1">
        <f>IF(1922653&gt;0,100*523894/1922653,"")</f>
        <v>27.248494658162446</v>
      </c>
      <c r="R48" s="1">
        <f>IF(1834043&gt;0,100*163518/1834043,"")</f>
        <v>8.915712445128058</v>
      </c>
      <c r="S48" s="1">
        <f>IF(COUNT(Q48:R48)=2,R48-Q48,"")</f>
        <v>-18.33278221303439</v>
      </c>
    </row>
    <row r="49" spans="1:19">
      <c r="A49" s="1">
        <v>11</v>
      </c>
      <c r="B49" s="1">
        <v>10</v>
      </c>
      <c r="C49" s="1">
        <f>IF(1971439&gt;0,100*862784/1971439,"")</f>
        <v>43.76417429096208</v>
      </c>
      <c r="D49" s="1">
        <f>IF(1620643&gt;0,100*302628/1620643,"")</f>
        <v>18.67332904285521</v>
      </c>
      <c r="E49" s="1">
        <f>IF(COUNT(C49:D49)=2,D49-C49,"")</f>
        <v>-25.09084524810687</v>
      </c>
      <c r="H49" s="1">
        <v>11</v>
      </c>
      <c r="I49" s="1">
        <v>10</v>
      </c>
      <c r="J49" s="1">
        <f>IF(2596797&gt;0,100*880971/2596797,"")</f>
        <v>33.92529335177143</v>
      </c>
      <c r="K49" s="1">
        <f>IF(1124640&gt;0,100*129399/1124640,"")</f>
        <v>11.505815194195476</v>
      </c>
      <c r="L49" s="1">
        <f>IF(COUNT(J49:K49)=2,K49-J49,"")</f>
        <v>-22.419478157575952</v>
      </c>
      <c r="O49" s="1">
        <v>11</v>
      </c>
      <c r="P49" s="1">
        <v>10</v>
      </c>
      <c r="Q49" s="1">
        <f>IF(2537267&gt;0,100*1086404/2537267,"")</f>
        <v>42.817882390777164</v>
      </c>
      <c r="R49" s="1">
        <f>IF(1671811&gt;0,100*235183/1671811,"")</f>
        <v>14.067559072167846</v>
      </c>
      <c r="S49" s="1">
        <f>IF(COUNT(Q49:R49)=2,R49-Q49,"")</f>
        <v>-28.75032331860932</v>
      </c>
    </row>
    <row r="50" spans="1:19">
      <c r="A50" s="1">
        <v>12</v>
      </c>
      <c r="B50" s="1">
        <v>11</v>
      </c>
      <c r="C50" s="1">
        <f>IF(1769042&gt;0,100*718057/1769042,"")</f>
        <v>40.59016122850673</v>
      </c>
      <c r="D50" s="1">
        <f>IF(2020749&gt;0,100*544361/2020749,"")</f>
        <v>26.938575745923913</v>
      </c>
      <c r="E50" s="1">
        <f>IF(COUNT(C50:D50)=2,D50-C50,"")</f>
        <v>-13.651585482582817</v>
      </c>
      <c r="H50" s="1">
        <v>12</v>
      </c>
      <c r="I50" s="1">
        <v>11</v>
      </c>
      <c r="J50" s="1">
        <f>IF(16409&gt;0,100*2109/16409,"")</f>
        <v>12.85270278505698</v>
      </c>
      <c r="K50" s="1">
        <f>IF(28281&gt;0,100*4900/28281,"")</f>
        <v>17.32612000990064</v>
      </c>
      <c r="L50" s="1">
        <f>IF(COUNT(J50:K50)=2,K50-J50,"")</f>
        <v>4.473417224843661</v>
      </c>
      <c r="O50" s="1">
        <v>12</v>
      </c>
      <c r="P50" s="1">
        <v>11</v>
      </c>
      <c r="Q50" s="1">
        <f>IF(2609889&gt;0,100*1051883/2609889,"")</f>
        <v>40.30374471864512</v>
      </c>
      <c r="R50" s="1">
        <f>IF(1367842&gt;0,100*105299/1367842,"")</f>
        <v>7.69818443943087</v>
      </c>
      <c r="S50" s="1">
        <f>IF(COUNT(Q50:R50)=2,R50-Q50,"")</f>
        <v>-32.60556027921425</v>
      </c>
    </row>
    <row r="51" spans="1:19">
      <c r="A51" s="1">
        <v>13</v>
      </c>
      <c r="B51" s="1">
        <v>12</v>
      </c>
      <c r="C51" s="1">
        <f>IF(2168985&gt;0,100*980233/2168985,"")</f>
        <v>45.193166388886965</v>
      </c>
      <c r="D51" s="1">
        <f>IF(1423738&gt;0,100*100912/1423738,"")</f>
        <v>7.087820933345882</v>
      </c>
      <c r="E51" s="1">
        <f>IF(COUNT(C51:D51)=2,D51-C51,"")</f>
        <v>-38.105345455541084</v>
      </c>
      <c r="H51" s="1">
        <v>13</v>
      </c>
      <c r="I51" s="1">
        <v>12</v>
      </c>
      <c r="J51" s="1">
        <f>IF(1392134&gt;0,100*142847/1392134,"")</f>
        <v>10.261009356857889</v>
      </c>
      <c r="K51" s="1">
        <f>IF(990311&gt;0,100*67581/990311,"")</f>
        <v>6.82421986628443</v>
      </c>
      <c r="L51" s="1">
        <f>IF(COUNT(J51:K51)=2,K51-J51,"")</f>
        <v>-3.4367894905734584</v>
      </c>
      <c r="O51" s="1">
        <v>13</v>
      </c>
      <c r="P51" s="1">
        <v>12</v>
      </c>
      <c r="Q51" s="1">
        <f>IF(1129838&gt;0,100*24638/1129838,"")</f>
        <v>2.1806666088412676</v>
      </c>
      <c r="R51" s="1">
        <f>IF(1214158&gt;0,100*28099/1214158,"")</f>
        <v>2.3142787017834583</v>
      </c>
      <c r="S51" s="1">
        <f>IF(COUNT(Q51:R51)=2,R51-Q51,"")</f>
        <v>0.13361209294219067</v>
      </c>
    </row>
    <row r="52" spans="1:19">
      <c r="A52" s="1">
        <v>14</v>
      </c>
      <c r="B52" s="1">
        <v>13</v>
      </c>
      <c r="C52" s="1">
        <f>IF(1030639&gt;0,100*3971/1030639,"")</f>
        <v>0.38529494808560516</v>
      </c>
      <c r="D52" s="1">
        <f>IF(979177&gt;0,100*6895/979177,"")</f>
        <v>0.7041627816012835</v>
      </c>
      <c r="E52" s="1">
        <f>IF(COUNT(C52:D52)=2,D52-C52,"")</f>
        <v>0.3188678335156784</v>
      </c>
      <c r="H52" s="1">
        <v>14</v>
      </c>
      <c r="I52" s="1">
        <v>13</v>
      </c>
      <c r="J52" s="1">
        <f>IF(1631278&gt;0,100*497437/1631278,"")</f>
        <v>30.49369880547644</v>
      </c>
      <c r="K52" s="1">
        <f>IF(1433906&gt;0,100*189260/1433906,"")</f>
        <v>13.198912620492557</v>
      </c>
      <c r="L52" s="1">
        <f>IF(COUNT(J52:K52)=2,K52-J52,"")</f>
        <v>-17.294786184983884</v>
      </c>
      <c r="O52" s="1">
        <v>14</v>
      </c>
      <c r="P52" s="1">
        <v>13</v>
      </c>
      <c r="Q52" s="1">
        <f>IF(1227769&gt;0,100*230841/1227769,"")</f>
        <v>18.801663830899788</v>
      </c>
      <c r="R52" s="1">
        <f>IF(877309&gt;0,100*11550/877309,"")</f>
        <v>1.3165258762876022</v>
      </c>
      <c r="S52" s="1">
        <f>IF(COUNT(Q52:R52)=2,R52-Q52,"")</f>
        <v>-17.485137954612185</v>
      </c>
    </row>
    <row r="53" spans="1:19">
      <c r="A53" s="1">
        <v>15</v>
      </c>
      <c r="B53" s="1">
        <v>14</v>
      </c>
      <c r="C53" s="1">
        <f>IF(1555406&gt;0,100*520362/1555406,"")</f>
        <v>33.45505932213197</v>
      </c>
      <c r="D53" s="1">
        <f>IF(1646196&gt;0,100*403346/1646196,"")</f>
        <v>24.50169967610175</v>
      </c>
      <c r="E53" s="1">
        <f>IF(COUNT(C53:D53)=2,D53-C53,"")</f>
        <v>-8.953359646030222</v>
      </c>
      <c r="H53" s="1">
        <v>15</v>
      </c>
      <c r="I53" s="1">
        <v>14</v>
      </c>
      <c r="J53" s="1">
        <f>IF(1857255&gt;0,100*556621/1857255,"")</f>
        <v>29.970090267626148</v>
      </c>
      <c r="K53" s="1">
        <f>IF(2330363&gt;0,100*564326/2330363,"")</f>
        <v>24.21622725729854</v>
      </c>
      <c r="L53" s="1">
        <f>IF(COUNT(J53:K53)=2,K53-J53,"")</f>
        <v>-5.753863010327606</v>
      </c>
      <c r="O53" s="1">
        <v>15</v>
      </c>
      <c r="P53" s="1">
        <v>14</v>
      </c>
      <c r="Q53" s="1">
        <f>IF(2240147&gt;0,100*1104566/2240147,"")</f>
        <v>49.30774632200476</v>
      </c>
      <c r="R53" s="1">
        <f>IF(2109310&gt;0,100*487812/2109310,"")</f>
        <v>23.126614864576567</v>
      </c>
      <c r="S53" s="1">
        <f>IF(COUNT(Q53:R53)=2,R53-Q53,"")</f>
        <v>-26.181131457428194</v>
      </c>
    </row>
    <row r="54" spans="1:19">
      <c r="A54" s="1">
        <v>16</v>
      </c>
      <c r="B54" s="1">
        <v>15</v>
      </c>
      <c r="C54" s="1">
        <f>IF(1761441&gt;0,100*757460/1761441,"")</f>
        <v>43.00229187352855</v>
      </c>
      <c r="D54" s="1">
        <f>IF(2277868&gt;0,100*713205/2277868,"")</f>
        <v>31.310198835051022</v>
      </c>
      <c r="E54" s="1">
        <f>IF(COUNT(C54:D54)=2,D54-C54,"")</f>
        <v>-11.692093038477527</v>
      </c>
      <c r="H54" s="1">
        <v>16</v>
      </c>
      <c r="I54" s="1">
        <v>15</v>
      </c>
      <c r="J54" s="1">
        <f>IF(1920903&gt;0,100*863441/1920903,"")</f>
        <v>44.949744989726184</v>
      </c>
      <c r="K54" s="1">
        <f>IF(1514624&gt;0,100*75679/1514624,"")</f>
        <v>4.996553600101412</v>
      </c>
      <c r="L54" s="1">
        <f>IF(COUNT(J54:K54)=2,K54-J54,"")</f>
        <v>-39.95319138962477</v>
      </c>
      <c r="O54" s="1">
        <v>16</v>
      </c>
      <c r="P54" s="1">
        <v>15</v>
      </c>
      <c r="Q54" s="1">
        <f>IF(2594091&gt;0,100*1215002/2594091,"")</f>
        <v>46.837292909153916</v>
      </c>
      <c r="R54" s="1">
        <f>IF(1970720&gt;0,100*217848/1970720,"")</f>
        <v>11.054233985548429</v>
      </c>
      <c r="S54" s="1">
        <f>IF(COUNT(Q54:R54)=2,R54-Q54,"")</f>
        <v>-35.78305892360549</v>
      </c>
    </row>
    <row r="55" spans="1:19">
      <c r="A55" s="1">
        <v>17</v>
      </c>
      <c r="B55" s="1">
        <v>16</v>
      </c>
      <c r="C55" s="1">
        <f>IF(844646&gt;0,100*17331/844646,"")</f>
        <v>2.0518655152572793</v>
      </c>
      <c r="D55" s="1">
        <f>IF(845484&gt;0,100*29352/845484,"")</f>
        <v>3.471620988688136</v>
      </c>
      <c r="E55" s="1">
        <f>IF(COUNT(C55:D55)=2,D55-C55,"")</f>
        <v>1.4197554734308566</v>
      </c>
      <c r="H55" s="1">
        <v>17</v>
      </c>
      <c r="I55" s="1">
        <v>16</v>
      </c>
      <c r="J55" s="1">
        <f>IF(2198372&gt;0,100*828948/2198372,"")</f>
        <v>37.70735799036742</v>
      </c>
      <c r="K55" s="1">
        <f>IF(1470587&gt;0,100*179068/1470587,"")</f>
        <v>12.176634228372752</v>
      </c>
      <c r="L55" s="1">
        <f>IF(COUNT(J55:K55)=2,K55-J55,"")</f>
        <v>-25.53072376199467</v>
      </c>
      <c r="O55" s="1">
        <v>17</v>
      </c>
      <c r="P55" s="1">
        <v>16</v>
      </c>
      <c r="Q55" s="1">
        <f>IF(2139602&gt;0,100*724511/2139602,"")</f>
        <v>33.8619518957264</v>
      </c>
      <c r="R55" s="1">
        <f>IF(2260009&gt;0,100*567287/2260009,"")</f>
        <v>25.10109473015373</v>
      </c>
      <c r="S55" s="1">
        <f>IF(COUNT(Q55:R55)=2,R55-Q55,"")</f>
        <v>-8.76085716557267</v>
      </c>
    </row>
    <row r="56" spans="1:19">
      <c r="A56" s="1">
        <v>18</v>
      </c>
      <c r="B56" s="1">
        <v>17</v>
      </c>
      <c r="C56" s="1">
        <f>IF(913631&gt;0,100*114254/913631,"")</f>
        <v>12.505486350616387</v>
      </c>
      <c r="D56" s="1">
        <f>IF(764648&gt;0,100*13229/764648,"")</f>
        <v>1.7300771073748966</v>
      </c>
      <c r="E56" s="1">
        <f>IF(COUNT(C56:D56)=2,D56-C56,"")</f>
        <v>-10.77540924324149</v>
      </c>
      <c r="H56" s="1">
        <v>18</v>
      </c>
      <c r="I56" s="1">
        <v>17</v>
      </c>
      <c r="J56" s="1">
        <f>IF(2215&gt;0,100*355/2215,"")</f>
        <v>16.02708803611738</v>
      </c>
      <c r="K56" s="1">
        <f>IF(1189723&gt;0,100*41104/1189723,"")</f>
        <v>3.454921859962361</v>
      </c>
      <c r="L56" s="1">
        <f>IF(COUNT(J56:K56)=2,K56-J56,"")</f>
        <v>-12.572166176155019</v>
      </c>
      <c r="O56" s="1">
        <v>18</v>
      </c>
      <c r="P56" s="1">
        <v>17</v>
      </c>
      <c r="Q56" s="1">
        <f>IF(2597163&gt;0,100*1238582/2597163,"")</f>
        <v>47.68980614616795</v>
      </c>
      <c r="R56" s="1">
        <f>IF(1050132&gt;0,100*46105/1050132,"")</f>
        <v>4.390400444896451</v>
      </c>
      <c r="S56" s="1">
        <f>IF(COUNT(Q56:R56)=2,R56-Q56,"")</f>
        <v>-43.2994057012715</v>
      </c>
    </row>
    <row r="57" spans="1:19">
      <c r="A57" s="1">
        <v>19</v>
      </c>
      <c r="B57" s="1">
        <v>18</v>
      </c>
      <c r="C57" s="1">
        <f>IF(2015196&gt;0,100*813734/2015196,"")</f>
        <v>40.37989356866528</v>
      </c>
      <c r="D57" s="1">
        <f>IF(1991178&gt;0,100*589315/1991178,"")</f>
        <v>29.596299276106908</v>
      </c>
      <c r="E57" s="1">
        <f>IF(COUNT(C57:D57)=2,D57-C57,"")</f>
        <v>-10.783594292558373</v>
      </c>
      <c r="H57" s="1">
        <v>19</v>
      </c>
      <c r="I57" s="1">
        <v>18</v>
      </c>
      <c r="J57" s="1">
        <f>IF(1892358&gt;0,100*622212/1892358,"")</f>
        <v>32.880247817801916</v>
      </c>
      <c r="K57" s="1">
        <f>IF(2626640&gt;0,100*627029/2626640,"")</f>
        <v>23.871904790911582</v>
      </c>
      <c r="L57" s="1">
        <f>IF(COUNT(J57:K57)=2,K57-J57,"")</f>
        <v>-9.008343026890334</v>
      </c>
      <c r="O57" s="1">
        <v>19</v>
      </c>
      <c r="P57" s="1">
        <v>18</v>
      </c>
      <c r="Q57" s="1">
        <f>IF(1995148&gt;0,100*689134/1995148,"")</f>
        <v>34.54049524145577</v>
      </c>
      <c r="R57" s="1">
        <f>IF(1483605&gt;0,100*182533/1483605,"")</f>
        <v>12.30334219687855</v>
      </c>
      <c r="S57" s="1">
        <f>IF(COUNT(Q57:R57)=2,R57-Q57,"")</f>
        <v>-22.237153044577223</v>
      </c>
    </row>
    <row r="58" spans="1:19">
      <c r="A58" s="1">
        <v>20</v>
      </c>
      <c r="B58" s="1">
        <v>19</v>
      </c>
      <c r="C58" s="1">
        <f>IF(2178136&gt;0,100*944455/2178136,"")</f>
        <v>43.36069924008418</v>
      </c>
      <c r="D58" s="1">
        <f>IF(2190922&gt;0,100*581449/2190922,"")</f>
        <v>26.539009604175778</v>
      </c>
      <c r="E58" s="1">
        <f>IF(COUNT(C58:D58)=2,D58-C58,"")</f>
        <v>-16.821689635908402</v>
      </c>
      <c r="H58" s="1">
        <v>20</v>
      </c>
      <c r="I58" s="1">
        <v>19</v>
      </c>
      <c r="J58" s="1">
        <f>IF(2533784&gt;0,100*1139277/2533784,"")</f>
        <v>44.96346176311793</v>
      </c>
      <c r="K58" s="1">
        <f>IF(1491866&gt;0,100*258245/1491866,"")</f>
        <v>17.310200782107778</v>
      </c>
      <c r="L58" s="1">
        <f>IF(COUNT(J58:K58)=2,K58-J58,"")</f>
        <v>-27.65326098101015</v>
      </c>
      <c r="O58" s="1">
        <v>20</v>
      </c>
      <c r="P58" s="1">
        <v>19</v>
      </c>
      <c r="Q58" s="1">
        <f>IF(2139229&gt;0,100*899475/2139229,"")</f>
        <v>42.0466906535018</v>
      </c>
      <c r="R58" s="1">
        <f>IF(2282639&gt;0,100*412278/2282639,"")</f>
        <v>18.061463069718865</v>
      </c>
      <c r="S58" s="1">
        <f>IF(COUNT(Q58:R58)=2,R58-Q58,"")</f>
        <v>-23.985227583782933</v>
      </c>
    </row>
    <row r="59" spans="1:19">
      <c r="A59" s="1">
        <v>21</v>
      </c>
      <c r="B59" s="1">
        <v>20</v>
      </c>
      <c r="C59" s="1">
        <f>IF(1558100&gt;0,100*473205/1558100,"")</f>
        <v>30.37064373275143</v>
      </c>
      <c r="D59" s="1">
        <f>IF(1487917&gt;0,100*352567/1487917,"")</f>
        <v>23.695340533107693</v>
      </c>
      <c r="E59" s="1">
        <f>IF(COUNT(C59:D59)=2,D59-C59,"")</f>
        <v>-6.675303199643736</v>
      </c>
      <c r="H59" s="1">
        <v>21</v>
      </c>
      <c r="I59" s="1">
        <v>20</v>
      </c>
      <c r="J59" s="1">
        <f>IF(2773746&gt;0,100*1088927/2773746,"")</f>
        <v>39.25835314408745</v>
      </c>
      <c r="K59" s="1">
        <f>IF(1184962&gt;0,100*40667/1184962,"")</f>
        <v>3.4319243992634365</v>
      </c>
      <c r="L59" s="1">
        <f>IF(COUNT(J59:K59)=2,K59-J59,"")</f>
        <v>-35.826428744824014</v>
      </c>
      <c r="O59" s="1">
        <v>21</v>
      </c>
      <c r="P59" s="1">
        <v>20</v>
      </c>
      <c r="Q59" s="1">
        <f>IF(2422246&gt;0,100*1045754/2422246,"")</f>
        <v>43.172906467798896</v>
      </c>
      <c r="R59" s="1">
        <f>IF(1544454&gt;0,100*149657/1544454,"")</f>
        <v>9.689961630453222</v>
      </c>
      <c r="S59" s="1">
        <f>IF(COUNT(Q59:R59)=2,R59-Q59,"")</f>
        <v>-33.48294483734567</v>
      </c>
    </row>
    <row r="60" spans="1:19">
      <c r="A60" s="1">
        <v>22</v>
      </c>
      <c r="B60" s="1">
        <v>21</v>
      </c>
      <c r="C60" s="1">
        <f>IF(1857644&gt;0,100*847880/1857644,"")</f>
        <v>45.64276039973213</v>
      </c>
      <c r="D60" s="1">
        <f>IF(1767788&gt;0,100*479120/1767788,"")</f>
        <v>27.10279739425768</v>
      </c>
      <c r="E60" s="1">
        <f>IF(COUNT(C60:D60)=2,D60-C60,"")</f>
        <v>-18.53996300547445</v>
      </c>
      <c r="H60" s="1">
        <v>22</v>
      </c>
      <c r="I60" s="1">
        <v>21</v>
      </c>
      <c r="J60" s="1">
        <f>IF(2183759&gt;0,100*997955/2183759,"")</f>
        <v>45.69895304381115</v>
      </c>
      <c r="K60" s="1">
        <f>IF(1638508&gt;0,100*376033/1638508,"")</f>
        <v>22.949720111223137</v>
      </c>
      <c r="L60" s="1">
        <f>IF(COUNT(J60:K60)=2,K60-J60,"")</f>
        <v>-22.749232932588015</v>
      </c>
      <c r="O60" s="1">
        <v>22</v>
      </c>
      <c r="P60" s="1">
        <v>21</v>
      </c>
      <c r="Q60" s="1">
        <f>IF(2052914&gt;0,100*716282/2052914,"")</f>
        <v>34.890989101345696</v>
      </c>
      <c r="R60" s="1">
        <f>IF(2414939&gt;0,100*760909/2414939,"")</f>
        <v>31.508414912343543</v>
      </c>
      <c r="S60" s="1">
        <f>IF(COUNT(Q60:R60)=2,R60-Q60,"")</f>
        <v>-3.3825741890021526</v>
      </c>
    </row>
    <row r="61" spans="1:19">
      <c r="A61" s="1">
        <v>23</v>
      </c>
      <c r="B61" s="1">
        <v>22</v>
      </c>
      <c r="C61" s="1">
        <f>IF(696517&gt;0,100*2264/696517,"")</f>
        <v>0.325045906991502</v>
      </c>
      <c r="D61" s="1">
        <f>IF(680175&gt;0,100*1229/680175,"")</f>
        <v>0.18068879332524718</v>
      </c>
      <c r="E61" s="1">
        <f>IF(COUNT(C61:D61)=2,D61-C61,"")</f>
        <v>-0.1443571136662548</v>
      </c>
      <c r="H61" s="1">
        <v>23</v>
      </c>
      <c r="I61" s="1">
        <v>22</v>
      </c>
      <c r="J61" s="1">
        <f>IF(2492569&gt;0,100*1249101/2492569,"")</f>
        <v>50.11299586892078</v>
      </c>
      <c r="K61" s="1">
        <f>IF(1797962&gt;0,100*239279/1797962,"")</f>
        <v>13.30834578261387</v>
      </c>
      <c r="L61" s="1">
        <f>IF(COUNT(J61:K61)=2,K61-J61,"")</f>
        <v>-36.80465008630691</v>
      </c>
      <c r="O61" s="1">
        <v>23</v>
      </c>
      <c r="P61" s="1">
        <v>22</v>
      </c>
      <c r="Q61" s="1">
        <f>IF(2322764&gt;0,100*881160/2322764,"")</f>
        <v>37.935838509637655</v>
      </c>
      <c r="R61" s="1">
        <f>IF(1814459&gt;0,100*184653/1814459,"")</f>
        <v>10.176752409395858</v>
      </c>
      <c r="S61" s="1">
        <f>IF(COUNT(Q61:R61)=2,R61-Q61,"")</f>
        <v>-27.759086100241795</v>
      </c>
    </row>
    <row r="62" spans="1:19">
      <c r="A62" s="1">
        <v>24</v>
      </c>
      <c r="B62" s="1">
        <v>23</v>
      </c>
      <c r="C62" s="1">
        <f>IF(1622857&gt;0,100*324323/1622857,"")</f>
        <v>19.98469366062444</v>
      </c>
      <c r="D62" s="1">
        <f>IF(1699229&gt;0,100*226653/1699229,"")</f>
        <v>13.338578849584135</v>
      </c>
      <c r="E62" s="1">
        <f>IF(COUNT(C62:D62)=2,D62-C62,"")</f>
        <v>-6.646114811040306</v>
      </c>
      <c r="H62" s="1">
        <v>24</v>
      </c>
      <c r="I62" s="1">
        <v>23</v>
      </c>
      <c r="J62" s="1">
        <f>IF(2618354&gt;0,100*1195641/2618354,"")</f>
        <v>45.663840718252764</v>
      </c>
      <c r="K62" s="1">
        <f>IF(2040114&gt;0,100*373594/2040114,"")</f>
        <v>18.312408032100166</v>
      </c>
      <c r="L62" s="1">
        <f>IF(COUNT(J62:K62)=2,K62-J62,"")</f>
        <v>-27.3514326861526</v>
      </c>
      <c r="O62" s="1">
        <v>24</v>
      </c>
      <c r="P62" s="1">
        <v>23</v>
      </c>
      <c r="Q62" s="1">
        <f>IF(1862901&gt;0,100*489468/1862901,"")</f>
        <v>26.27450412018674</v>
      </c>
      <c r="R62" s="1">
        <f>IF(1334638&gt;0,100*22007/1334638,"")</f>
        <v>1.6489115400580532</v>
      </c>
      <c r="S62" s="1">
        <f>IF(COUNT(Q62:R62)=2,R62-Q62,"")</f>
        <v>-24.62559258012869</v>
      </c>
    </row>
    <row r="63" spans="1:19">
      <c r="A63" s="1">
        <v>25</v>
      </c>
      <c r="B63" s="1">
        <v>24</v>
      </c>
      <c r="C63" s="1">
        <f>IF(1310506&gt;0,100*408672/1310506,"")</f>
        <v>31.184290648039763</v>
      </c>
      <c r="D63" s="1">
        <f>IF(1668724&gt;0,100*430156/1668724,"")</f>
        <v>25.777540204371725</v>
      </c>
      <c r="E63" s="1">
        <f>IF(COUNT(C63:D63)=2,D63-C63,"")</f>
        <v>-5.406750443668038</v>
      </c>
      <c r="H63" s="1">
        <v>25</v>
      </c>
      <c r="I63" s="1">
        <v>24</v>
      </c>
      <c r="J63" s="1">
        <f>IF(2421034&gt;0,100*1042416/2421034,"")</f>
        <v>43.05664439243728</v>
      </c>
      <c r="K63" s="1">
        <f>IF(1371674&gt;0,100*167933/1371674,"")</f>
        <v>12.242923610128937</v>
      </c>
      <c r="L63" s="1">
        <f>IF(COUNT(J63:K63)=2,K63-J63,"")</f>
        <v>-30.81372078230834</v>
      </c>
      <c r="O63" s="1">
        <v>25</v>
      </c>
      <c r="P63" s="1">
        <v>24</v>
      </c>
      <c r="Q63" s="1">
        <f>IF(2310152&gt;0,100*1014877/2310152,"")</f>
        <v>43.931178554484724</v>
      </c>
      <c r="R63" s="1">
        <f>IF(1705899&gt;0,100*198632/1705899,"")</f>
        <v>11.643831199854153</v>
      </c>
      <c r="S63" s="1">
        <f>IF(COUNT(Q63:R63)=2,R63-Q63,"")</f>
        <v>-32.28734735463057</v>
      </c>
    </row>
    <row r="64" spans="1:19">
      <c r="A64" s="1">
        <v>26</v>
      </c>
      <c r="B64" s="1">
        <v>25</v>
      </c>
      <c r="C64" s="1">
        <f>IF(2238694&gt;0,100*1062953/2238694,"")</f>
        <v>47.480942013513236</v>
      </c>
      <c r="D64" s="1">
        <f>IF(20369&gt;0,100*6282/20369,"")</f>
        <v>30.84098384800432</v>
      </c>
      <c r="E64" s="1">
        <f>IF(COUNT(C64:D64)=2,D64-C64,"")</f>
        <v>-16.639958165508915</v>
      </c>
      <c r="H64" s="1">
        <v>26</v>
      </c>
      <c r="I64" s="1">
        <v>25</v>
      </c>
      <c r="J64" s="1">
        <f>IF(1745904&gt;0,100*492009/1745904,"")</f>
        <v>28.18075907953702</v>
      </c>
      <c r="K64" s="1">
        <f>IF(1098877&gt;0,100*101275/1098877,"")</f>
        <v>9.216227111860563</v>
      </c>
      <c r="L64" s="1">
        <f>IF(COUNT(J64:K64)=2,K64-J64,"")</f>
        <v>-18.964531967676457</v>
      </c>
      <c r="O64" s="1">
        <v>26</v>
      </c>
      <c r="P64" s="1">
        <v>25</v>
      </c>
      <c r="Q64" s="1">
        <f>IF(2669118&gt;0,100*1197813/2669118,"")</f>
        <v>44.876734561754105</v>
      </c>
      <c r="R64" s="1">
        <f>IF(2116647&gt;0,100*527833/2116647,"")</f>
        <v>24.937223826174133</v>
      </c>
      <c r="S64" s="1">
        <f>IF(COUNT(Q64:R64)=2,R64-Q64,"")</f>
        <v>-19.939510735579972</v>
      </c>
    </row>
    <row r="65" spans="1:19">
      <c r="A65" s="1">
        <v>27</v>
      </c>
      <c r="B65" s="1">
        <v>26</v>
      </c>
      <c r="C65" s="1">
        <f>IF(1647328&gt;0,100*574346/1647328,"")</f>
        <v>34.86530915518949</v>
      </c>
      <c r="D65" s="1">
        <f>IF(1504210&gt;0,100*249668/1504210,"")</f>
        <v>16.597948424754524</v>
      </c>
      <c r="E65" s="1">
        <f>IF(COUNT(C65:D65)=2,D65-C65,"")</f>
        <v>-18.26736073043497</v>
      </c>
      <c r="H65" s="1">
        <v>27</v>
      </c>
      <c r="I65" s="1">
        <v>26</v>
      </c>
      <c r="J65" s="1">
        <f>IF(2195965&gt;0,100*781488/2195965,"")</f>
        <v>35.587452441181895</v>
      </c>
      <c r="K65" s="1">
        <f>IF(2559221&gt;0,100*704234/2559221,"")</f>
        <v>27.517514118554043</v>
      </c>
      <c r="L65" s="1">
        <f>IF(COUNT(J65:K65)=2,K65-J65,"")</f>
        <v>-8.069938322627852</v>
      </c>
      <c r="O65" s="1">
        <v>27</v>
      </c>
      <c r="P65" s="1">
        <v>26</v>
      </c>
      <c r="Q65" s="1">
        <f>IF(2415042&gt;0,100*766118/2415042,"")</f>
        <v>31.722760929209514</v>
      </c>
      <c r="R65" s="1">
        <f>IF(1853044&gt;0,100*268357/1853044,"")</f>
        <v>14.48195509658702</v>
      </c>
      <c r="S65" s="1">
        <f>IF(COUNT(Q65:R65)=2,R65-Q65,"")</f>
        <v>-17.240805832622492</v>
      </c>
    </row>
    <row r="66" spans="1:19">
      <c r="A66" s="1">
        <v>28</v>
      </c>
      <c r="B66" s="1">
        <v>27</v>
      </c>
      <c r="C66" s="1">
        <f>IF(665364&gt;0,100*675/665364,"")</f>
        <v>0.10144822984110953</v>
      </c>
      <c r="D66" s="1">
        <f>IF(1251548&gt;0,100*22273/1251548,"")</f>
        <v>1.7796360986554252</v>
      </c>
      <c r="E66" s="1">
        <f>IF(COUNT(C66:D66)=2,D66-C66,"")</f>
        <v>1.6781878688143157</v>
      </c>
      <c r="H66" s="1">
        <v>28</v>
      </c>
      <c r="I66" s="1">
        <v>27</v>
      </c>
      <c r="J66" s="1">
        <f>IF(1703605&gt;0,100*670593/1703605,"")</f>
        <v>39.36317397518791</v>
      </c>
      <c r="K66" s="1">
        <f>IF(2376695&gt;0,100*721586/2376695,"")</f>
        <v>30.36090032587269</v>
      </c>
      <c r="L66" s="1">
        <f>IF(COUNT(J66:K66)=2,K66-J66,"")</f>
        <v>-9.002273649315221</v>
      </c>
      <c r="O66" s="1">
        <v>28</v>
      </c>
      <c r="P66" s="1">
        <v>27</v>
      </c>
      <c r="Q66" s="1">
        <f>IF(1500981&gt;0,100*448455/1500981,"")</f>
        <v>29.877460141067743</v>
      </c>
      <c r="R66" s="1">
        <f>IF(1576085&gt;0,100*242548/1576085,"")</f>
        <v>15.389271517716367</v>
      </c>
      <c r="S66" s="1">
        <f>IF(COUNT(Q66:R66)=2,R66-Q66,"")</f>
        <v>-14.488188623351377</v>
      </c>
    </row>
    <row r="67" spans="1:19">
      <c r="A67" s="1">
        <v>29</v>
      </c>
      <c r="B67" s="1">
        <v>28</v>
      </c>
      <c r="C67" s="1">
        <f>IF(1808091&gt;0,100*652193/1808091,"")</f>
        <v>36.070806170707115</v>
      </c>
      <c r="D67" s="1">
        <f>IF(1917844&gt;0,100*478581/1917844,"")</f>
        <v>24.95411514179464</v>
      </c>
      <c r="E67" s="1">
        <f>IF(COUNT(C67:D67)=2,D67-C67,"")</f>
        <v>-11.116691028912474</v>
      </c>
      <c r="H67" s="1">
        <v>29</v>
      </c>
      <c r="I67" s="1">
        <v>28</v>
      </c>
      <c r="J67" s="1">
        <f>IF(2391442&gt;0,100*1116314/2391442,"")</f>
        <v>46.67953477441644</v>
      </c>
      <c r="K67" s="1">
        <f>IF(2992806&gt;0,100*996298/2992806,"")</f>
        <v>33.28976218304828</v>
      </c>
      <c r="L67" s="1">
        <f>IF(COUNT(J67:K67)=2,K67-J67,"")</f>
        <v>-13.389772591368157</v>
      </c>
      <c r="O67" s="1">
        <v>29</v>
      </c>
      <c r="P67" s="1">
        <v>28</v>
      </c>
      <c r="Q67" s="1">
        <f>IF(2050506&gt;0,100*857322/2050506,"")</f>
        <v>41.810265368645595</v>
      </c>
      <c r="R67" s="1">
        <f>IF(2403969&gt;0,100*599477/2403969,"")</f>
        <v>24.936968821145364</v>
      </c>
      <c r="S67" s="1">
        <f>IF(COUNT(Q67:R67)=2,R67-Q67,"")</f>
        <v>-16.87329654750023</v>
      </c>
    </row>
    <row r="68" spans="1:19">
      <c r="A68" s="1">
        <v>30</v>
      </c>
      <c r="B68" s="1">
        <v>29</v>
      </c>
      <c r="C68" s="1">
        <f>IF(1942903&gt;0,100*844208/1942903,"")</f>
        <v>43.45085678492441</v>
      </c>
      <c r="D68" s="1">
        <f>IF(1770663&gt;0,100*397017/1770663,"")</f>
        <v>22.421940256276887</v>
      </c>
      <c r="E68" s="1">
        <f>IF(COUNT(C68:D68)=2,D68-C68,"")</f>
        <v>-21.028916528647525</v>
      </c>
      <c r="H68" s="1">
        <v>30</v>
      </c>
      <c r="I68" s="1">
        <v>29</v>
      </c>
      <c r="J68" s="1">
        <f>IF(1886067&gt;0,100*615825/1886067,"")</f>
        <v>32.65127909029743</v>
      </c>
      <c r="K68" s="1">
        <f>IF(1765531&gt;0,100*344273/1765531,"")</f>
        <v>19.49968593018191</v>
      </c>
      <c r="L68" s="1">
        <f>IF(COUNT(J68:K68)=2,K68-J68,"")</f>
        <v>-13.151593160115517</v>
      </c>
      <c r="O68" s="1">
        <v>30</v>
      </c>
      <c r="P68" s="1">
        <v>29</v>
      </c>
      <c r="Q68" s="1">
        <f>IF(1124834&gt;0,100*57569/1124834,"")</f>
        <v>5.1179996337237315</v>
      </c>
      <c r="R68" s="1">
        <f>IF(922157&gt;0,100*18192/922157,"")</f>
        <v>1.9727660257418205</v>
      </c>
      <c r="S68" s="1">
        <f>IF(COUNT(Q68:R68)=2,R68-Q68,"")</f>
        <v>-3.145233607981911</v>
      </c>
    </row>
    <row r="69" spans="1:19">
      <c r="A69" s="1">
        <v>31</v>
      </c>
      <c r="B69" s="1">
        <v>30</v>
      </c>
      <c r="C69" s="1">
        <f>IF(1247391&gt;0,100*5792/1247391,"")</f>
        <v>0.4643291477972825</v>
      </c>
      <c r="D69" s="1">
        <f>IF(1284401&gt;0,100*4433/1284401,"")</f>
        <v>0.34514143168683303</v>
      </c>
      <c r="E69" s="1">
        <f>IF(COUNT(C69:D69)=2,D69-C69,"")</f>
        <v>-0.11918771611044948</v>
      </c>
      <c r="H69" s="1">
        <v>31</v>
      </c>
      <c r="I69" s="1">
        <v>30</v>
      </c>
      <c r="J69" s="1">
        <f>IF(2131633&gt;0,100*739570/2131633,"")</f>
        <v>34.69499674662571</v>
      </c>
      <c r="K69" s="1">
        <f>IF(1849120&gt;0,100*333124/1849120,"")</f>
        <v>18.015272129445357</v>
      </c>
      <c r="L69" s="1">
        <f>IF(COUNT(J69:K69)=2,K69-J69,"")</f>
        <v>-16.679724617180355</v>
      </c>
      <c r="O69" s="1">
        <v>31</v>
      </c>
      <c r="P69" s="1">
        <v>30</v>
      </c>
      <c r="Q69" s="1">
        <f>IF(1670334&gt;0,100*513883/1670334,"")</f>
        <v>30.765284068934715</v>
      </c>
      <c r="R69" s="1">
        <f>IF(1634644&gt;0,100*258411/1634644,"")</f>
        <v>15.808396201252382</v>
      </c>
      <c r="S69" s="1">
        <f>IF(COUNT(Q69:R69)=2,R69-Q69,"")</f>
        <v>-14.956887867682333</v>
      </c>
    </row>
    <row r="70" spans="1:19">
      <c r="A70" s="2" t="s">
        <v>6</v>
      </c>
      <c r="B70" s="1"/>
      <c r="C70" s="1">
        <f>IF(COUNT(C39:C69)&gt;0,AVERAGE(C39:C69),"")</f>
        <v>30.562133085533812</v>
      </c>
      <c r="D70" s="1">
        <f>IF(COUNT(D39:D69)&gt;0,AVERAGE(D39:D69),"")</f>
        <v>17.593353241774732</v>
      </c>
      <c r="E70" s="1">
        <f>IF(COUNT(E39:E69)&gt;0,AVERAGE(E39:E69),"")</f>
        <v>-12.96877984375908</v>
      </c>
      <c r="H70" s="2" t="s">
        <v>6</v>
      </c>
      <c r="I70" s="1"/>
      <c r="J70" s="1">
        <f>IF(COUNT(J39:J69)&gt;0,AVERAGE(J39:J69),"")</f>
        <v>32.74960009631654</v>
      </c>
      <c r="K70" s="1">
        <f>IF(COUNT(K39:K69)&gt;0,AVERAGE(K39:K69),"")</f>
        <v>16.697693872153422</v>
      </c>
      <c r="L70" s="1">
        <f>IF(COUNT(L39:L69)&gt;0,AVERAGE(L39:L69),"")</f>
        <v>-16.05190622416312</v>
      </c>
      <c r="O70" s="2" t="s">
        <v>6</v>
      </c>
      <c r="P70" s="1"/>
      <c r="Q70" s="1">
        <f>IF(COUNT(Q39:Q69)&gt;0,AVERAGE(Q39:Q69),"")</f>
        <v>31.481548328397977</v>
      </c>
      <c r="R70" s="1">
        <f>IF(COUNT(R39:R69)&gt;0,AVERAGE(R39:R69),"")</f>
        <v>13.438820687063314</v>
      </c>
      <c r="S70" s="1">
        <f>IF(COUNT(S39:S69)&gt;0,AVERAGE(S39:S69),"")</f>
        <v>-18.04272764133466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IF(1227574&gt;0,100*38510/1227574,"")</f>
        <v>3.1370817563747684</v>
      </c>
      <c r="D75" s="1">
        <f>IF(1301650&gt;0,100*90378/1301650,"")</f>
        <v>6.943341143932701</v>
      </c>
      <c r="E75" s="1">
        <f>IF(COUNT(C75:D75)=2,D75-C75,"")</f>
        <v>3.8062593875579322</v>
      </c>
      <c r="H75" s="1">
        <v>1</v>
      </c>
      <c r="I75" s="1">
        <v>0</v>
      </c>
      <c r="J75" s="1">
        <f>IF(2974908&gt;0,100*1593753/2974908,"")</f>
        <v>53.573186128781124</v>
      </c>
      <c r="K75" s="1">
        <f>IF(2194078&gt;0,100*621234/2194078,"")</f>
        <v>28.314125568917788</v>
      </c>
      <c r="L75" s="1">
        <f>IF(COUNT(J75:K75)=2,K75-J75,"")</f>
        <v>-25.259060559863336</v>
      </c>
      <c r="O75" s="1">
        <v>1</v>
      </c>
      <c r="P75" s="1">
        <v>0</v>
      </c>
      <c r="Q75" s="1">
        <f>IF(2673895&gt;0,100*1212503/2673895,"")</f>
        <v>45.34594664337979</v>
      </c>
      <c r="R75" s="1">
        <f>IF(2077152&gt;0,100*392215/2077152,"")</f>
        <v>18.88234467193542</v>
      </c>
      <c r="S75" s="1">
        <f>IF(COUNT(Q75:R75)=2,R75-Q75,"")</f>
        <v>-26.46360197144437</v>
      </c>
    </row>
    <row r="76" spans="1:19">
      <c r="A76" s="1">
        <v>2</v>
      </c>
      <c r="B76" s="1">
        <v>1</v>
      </c>
      <c r="C76" s="1">
        <f>IF(1624357&gt;0,100*617829/1624357,"")</f>
        <v>38.03529642806353</v>
      </c>
      <c r="D76" s="1">
        <f>IF(2027167&gt;0,100*586186/2027167,"")</f>
        <v>28.91651255175326</v>
      </c>
      <c r="E76" s="1">
        <f>IF(COUNT(C76:D76)=2,D76-C76,"")</f>
        <v>-9.118783876310271</v>
      </c>
      <c r="H76" s="1">
        <v>2</v>
      </c>
      <c r="I76" s="1">
        <v>1</v>
      </c>
      <c r="J76" s="1">
        <f>IF(2706515&gt;0,100*1225890/2706515,"")</f>
        <v>45.29404049118516</v>
      </c>
      <c r="K76" s="1">
        <f>IF(2024310&gt;0,100*284914/2024310,"")</f>
        <v>14.074622957946165</v>
      </c>
      <c r="L76" s="1">
        <f>IF(COUNT(J76:K76)=2,K76-J76,"")</f>
        <v>-31.219417533238992</v>
      </c>
      <c r="O76" s="1">
        <v>2</v>
      </c>
      <c r="P76" s="1">
        <v>1</v>
      </c>
      <c r="Q76" s="1">
        <f>IF(2467592&gt;0,100*1063705/2467592,"")</f>
        <v>43.1070047236334</v>
      </c>
      <c r="R76" s="1">
        <f>IF(2627326&gt;0,100*702429/2627326,"")</f>
        <v>26.735509792085185</v>
      </c>
      <c r="S76" s="1">
        <f>IF(COUNT(Q76:R76)=2,R76-Q76,"")</f>
        <v>-16.371494931548217</v>
      </c>
    </row>
    <row r="77" spans="1:19">
      <c r="A77" s="1">
        <v>3</v>
      </c>
      <c r="B77" s="1">
        <v>2</v>
      </c>
      <c r="C77" s="1">
        <f>IF(1673401&gt;0,100*672518/1673401,"")</f>
        <v>40.18869356478214</v>
      </c>
      <c r="D77" s="1">
        <f>IF(1873756&gt;0,100*585988/1873756,"")</f>
        <v>31.273442219798095</v>
      </c>
      <c r="E77" s="1">
        <f>IF(COUNT(C77:D77)=2,D77-C77,"")</f>
        <v>-8.915251344984046</v>
      </c>
      <c r="H77" s="1">
        <v>3</v>
      </c>
      <c r="I77" s="1">
        <v>2</v>
      </c>
      <c r="J77" s="1">
        <f>IF(2238301&gt;0,100*947036/2238301,"")</f>
        <v>42.31048460417075</v>
      </c>
      <c r="K77" s="1">
        <f>IF(2517596&gt;0,100*462714/2517596,"")</f>
        <v>18.37919983984722</v>
      </c>
      <c r="L77" s="1">
        <f>IF(COUNT(J77:K77)=2,K77-J77,"")</f>
        <v>-23.931284764323532</v>
      </c>
      <c r="O77" s="1">
        <v>3</v>
      </c>
      <c r="P77" s="1">
        <v>2</v>
      </c>
      <c r="Q77" s="1">
        <f>IF(2033898&gt;0,100*82955/2033898,"")</f>
        <v>4.07862144512655</v>
      </c>
      <c r="R77" s="1">
        <f>IF(2848063&gt;0,100*595586/2848063,"")</f>
        <v>20.911967186119128</v>
      </c>
      <c r="S77" s="1">
        <f>IF(COUNT(Q77:R77)=2,R77-Q77,"")</f>
        <v>16.833345740992577</v>
      </c>
    </row>
    <row r="78" spans="1:19">
      <c r="A78" s="1">
        <v>4</v>
      </c>
      <c r="B78" s="1">
        <v>3</v>
      </c>
      <c r="C78" s="1">
        <f>IF(1853726&gt;0,100*857824/1853726,"")</f>
        <v>46.2756631778375</v>
      </c>
      <c r="D78" s="1">
        <f>IF(2109314&gt;0,100*582658/2109314,"")</f>
        <v>27.623104004429877</v>
      </c>
      <c r="E78" s="1">
        <f>IF(COUNT(C78:D78)=2,D78-C78,"")</f>
        <v>-18.652559173407624</v>
      </c>
      <c r="H78" s="1">
        <v>4</v>
      </c>
      <c r="I78" s="1">
        <v>3</v>
      </c>
      <c r="J78" s="1">
        <f>IF(2473338&gt;0,100*1144203/2473338,"")</f>
        <v>46.2614895335777</v>
      </c>
      <c r="K78" s="1">
        <f>IF(1189749&gt;0,100*62328/1189749,"")</f>
        <v>5.238752039295683</v>
      </c>
      <c r="L78" s="1">
        <f>IF(COUNT(J78:K78)=2,K78-J78,"")</f>
        <v>-41.02273749428202</v>
      </c>
      <c r="O78" s="1">
        <v>4</v>
      </c>
      <c r="P78" s="1">
        <v>3</v>
      </c>
      <c r="Q78" s="1">
        <f>IF(2535025&gt;0,100*1351101/2535025,"")</f>
        <v>53.29734420765081</v>
      </c>
      <c r="R78" s="1">
        <f>IF(1338049&gt;0,100*60947/1338049,"")</f>
        <v>4.554915402948621</v>
      </c>
      <c r="S78" s="1">
        <f>IF(COUNT(Q78:R78)=2,R78-Q78,"")</f>
        <v>-48.742428804702186</v>
      </c>
    </row>
    <row r="79" spans="1:19">
      <c r="A79" s="1">
        <v>5</v>
      </c>
      <c r="B79" s="1">
        <v>4</v>
      </c>
      <c r="C79" s="1">
        <f>IF(2574341&gt;0,100*1256270/2574341,"")</f>
        <v>48.79967339214191</v>
      </c>
      <c r="D79" s="1">
        <f>IF(1506220&gt;0,100*134090/1506220,"")</f>
        <v>8.90241797347001</v>
      </c>
      <c r="E79" s="1">
        <f>IF(COUNT(C79:D79)=2,D79-C79,"")</f>
        <v>-39.897255418671904</v>
      </c>
      <c r="H79" s="1">
        <v>5</v>
      </c>
      <c r="I79" s="1">
        <v>4</v>
      </c>
      <c r="J79" s="1">
        <f>IF(2594432&gt;0,100*1209716/2594432,"")</f>
        <v>46.627392816616506</v>
      </c>
      <c r="K79" s="1">
        <f>IF(2728504&gt;0,100*757115/2728504,"")</f>
        <v>27.748355875600694</v>
      </c>
      <c r="L79" s="1">
        <f>IF(COUNT(J79:K79)=2,K79-J79,"")</f>
        <v>-18.879036941015812</v>
      </c>
      <c r="O79" s="1">
        <v>5</v>
      </c>
      <c r="P79" s="1">
        <v>4</v>
      </c>
      <c r="Q79" s="1">
        <f>IF(2505160&gt;0,100*1184605/2505160,"")</f>
        <v>47.28660045665746</v>
      </c>
      <c r="R79" s="1">
        <f>IF(2949940&gt;0,100*1064549/2949940,"")</f>
        <v>36.087140755405194</v>
      </c>
      <c r="S79" s="1">
        <f>IF(COUNT(Q79:R79)=2,R79-Q79,"")</f>
        <v>-11.199459701252266</v>
      </c>
    </row>
    <row r="80" spans="1:19">
      <c r="A80" s="1">
        <v>6</v>
      </c>
      <c r="B80" s="1">
        <v>5</v>
      </c>
      <c r="C80" s="1">
        <f>IF(2161281&gt;0,100*837619/2161281,"")</f>
        <v>38.75567314014235</v>
      </c>
      <c r="D80" s="1">
        <f>IF(1840004&gt;0,100*344918/1840004,"")</f>
        <v>18.745502727167985</v>
      </c>
      <c r="E80" s="1">
        <f>IF(COUNT(C80:D80)=2,D80-C80,"")</f>
        <v>-20.010170412974364</v>
      </c>
      <c r="H80" s="1">
        <v>6</v>
      </c>
      <c r="I80" s="1">
        <v>5</v>
      </c>
      <c r="J80" s="1">
        <f>IF(2014532&gt;0,100*751916/2014532,"")</f>
        <v>37.3245994603213</v>
      </c>
      <c r="K80" s="1">
        <f>IF(2431630&gt;0,100*567922/2431630,"")</f>
        <v>23.355609200412893</v>
      </c>
      <c r="L80" s="1">
        <f>IF(COUNT(J80:K80)=2,K80-J80,"")</f>
        <v>-13.96899025990841</v>
      </c>
      <c r="O80" s="1">
        <v>6</v>
      </c>
      <c r="P80" s="1">
        <v>5</v>
      </c>
      <c r="Q80" s="1">
        <f>IF(2374865&gt;0,100*978839/2374865,"")</f>
        <v>41.21661652346555</v>
      </c>
      <c r="R80" s="1">
        <f>IF(2567502&gt;0,100*477270/2567502,"")</f>
        <v>18.588885227742765</v>
      </c>
      <c r="S80" s="1">
        <f>IF(COUNT(Q80:R80)=2,R80-Q80,"")</f>
        <v>-22.627731295722782</v>
      </c>
    </row>
    <row r="81" spans="1:19">
      <c r="A81" s="1">
        <v>7</v>
      </c>
      <c r="B81" s="1">
        <v>6</v>
      </c>
      <c r="C81" s="1">
        <f>IF(2322649&gt;0,100*1026425/2322649,"")</f>
        <v>44.19199801605839</v>
      </c>
      <c r="D81" s="1">
        <f>IF(2224361&gt;0,100*576593/2224361,"")</f>
        <v>25.921736624585666</v>
      </c>
      <c r="E81" s="1">
        <f>IF(COUNT(C81:D81)=2,D81-C81,"")</f>
        <v>-18.270261391472726</v>
      </c>
      <c r="H81" s="1">
        <v>7</v>
      </c>
      <c r="I81" s="1">
        <v>6</v>
      </c>
      <c r="J81" s="1">
        <f>IF(1377831&gt;0,100*8479/1377831,"")</f>
        <v>0.6153875184982773</v>
      </c>
      <c r="K81" s="1">
        <f>IF(1856641&gt;0,100*38770/1856641,"")</f>
        <v>2.088179675015256</v>
      </c>
      <c r="L81" s="1">
        <f>IF(COUNT(J81:K81)=2,K81-J81,"")</f>
        <v>1.4727921565169786</v>
      </c>
      <c r="O81" s="1">
        <v>7</v>
      </c>
      <c r="P81" s="1">
        <v>6</v>
      </c>
      <c r="Q81" s="1">
        <f>IF(985046&gt;0,100*15738/985046,"")</f>
        <v>1.5976918844399144</v>
      </c>
      <c r="R81" s="1">
        <f>IF(1471902&gt;0,100*165649/1471902,"")</f>
        <v>11.254078056827153</v>
      </c>
      <c r="S81" s="1">
        <f>IF(COUNT(Q81:R81)=2,R81-Q81,"")</f>
        <v>9.656386172387238</v>
      </c>
    </row>
    <row r="82" spans="1:19">
      <c r="A82" s="1">
        <v>8</v>
      </c>
      <c r="B82" s="1">
        <v>7</v>
      </c>
      <c r="C82" s="1">
        <f>IF(2162199&gt;0,100*1011109/2162199,"")</f>
        <v>46.76299452548077</v>
      </c>
      <c r="D82" s="1">
        <f>IF(2026282&gt;0,100*496551/2026282,"")</f>
        <v>24.50552292326537</v>
      </c>
      <c r="E82" s="1">
        <f>IF(COUNT(C82:D82)=2,D82-C82,"")</f>
        <v>-22.2574716022154</v>
      </c>
      <c r="H82" s="1">
        <v>8</v>
      </c>
      <c r="I82" s="1">
        <v>7</v>
      </c>
      <c r="J82" s="1">
        <f>IF(1201041&gt;0,100*14947/1201041,"")</f>
        <v>1.2445037263507241</v>
      </c>
      <c r="K82" s="1">
        <f>IF(1443448&gt;0,100*5165/1443448,"")</f>
        <v>0.35782376642594677</v>
      </c>
      <c r="L82" s="1">
        <f>IF(COUNT(J82:K82)=2,K82-J82,"")</f>
        <v>-0.8866799599247774</v>
      </c>
      <c r="O82" s="1">
        <v>8</v>
      </c>
      <c r="P82" s="1">
        <v>7</v>
      </c>
      <c r="Q82" s="1">
        <f>IF(1244696&gt;0,100*14076/1244696,"")</f>
        <v>1.13087854383721</v>
      </c>
      <c r="R82" s="1">
        <f>IF(1200700&gt;0,100*16413/1200700,"")</f>
        <v>1.36695261097693</v>
      </c>
      <c r="S82" s="1">
        <f>IF(COUNT(Q82:R82)=2,R82-Q82,"")</f>
        <v>0.23607406713972012</v>
      </c>
    </row>
    <row r="83" spans="1:19">
      <c r="A83" s="1">
        <v>9</v>
      </c>
      <c r="B83" s="1">
        <v>8</v>
      </c>
      <c r="C83" s="1">
        <f>IF(1440745&gt;0,100*484807/1440745,"")</f>
        <v>33.64974370898389</v>
      </c>
      <c r="D83" s="1">
        <f>IF(541746&gt;0,100*66535/541746,"")</f>
        <v>12.28158583542841</v>
      </c>
      <c r="E83" s="1">
        <f>IF(COUNT(C83:D83)=2,D83-C83,"")</f>
        <v>-21.368157873555482</v>
      </c>
      <c r="H83" s="1">
        <v>9</v>
      </c>
      <c r="I83" s="1">
        <v>8</v>
      </c>
      <c r="J83" s="1">
        <f>IF(2605328&gt;0,100*1210537/2605328,"")</f>
        <v>46.46390013080887</v>
      </c>
      <c r="K83" s="1">
        <f>IF(667318&gt;0,100*117196/667318,"")</f>
        <v>17.562241689868998</v>
      </c>
      <c r="L83" s="1">
        <f>IF(COUNT(J83:K83)=2,K83-J83,"")</f>
        <v>-28.90165844093987</v>
      </c>
      <c r="O83" s="1">
        <v>9</v>
      </c>
      <c r="P83" s="1">
        <v>8</v>
      </c>
      <c r="Q83" s="1">
        <f>IF(2369232&gt;0,100*974673/2369232,"")</f>
        <v>41.138774083753724</v>
      </c>
      <c r="R83" s="1">
        <f>IF(4916796&gt;0,100*472578/4916796,"")</f>
        <v>9.611503100799789</v>
      </c>
      <c r="S83" s="1">
        <f>IF(COUNT(Q83:R83)=2,R83-Q83,"")</f>
        <v>-31.527270982953937</v>
      </c>
    </row>
    <row r="84" spans="1:19">
      <c r="A84" s="1">
        <v>10</v>
      </c>
      <c r="B84" s="1">
        <v>9</v>
      </c>
      <c r="C84" s="1">
        <f>IF(1168622&gt;0,100*16823/1168622,"")</f>
        <v>1.4395587281430609</v>
      </c>
      <c r="D84" s="1">
        <f>IF(1511917&gt;0,100*14886/1511917,"")</f>
        <v>0.984577857117818</v>
      </c>
      <c r="E84" s="1">
        <f>IF(COUNT(C84:D84)=2,D84-C84,"")</f>
        <v>-0.4549808710252429</v>
      </c>
      <c r="H84" s="1">
        <v>10</v>
      </c>
      <c r="I84" s="1">
        <v>9</v>
      </c>
      <c r="J84" s="1">
        <f>IF(3065832&gt;0,100*1566994/3065832,"")</f>
        <v>51.11154166307873</v>
      </c>
      <c r="K84" s="1">
        <f>IF(2055666&gt;0,100*232604/2055666,"")</f>
        <v>11.31526230428484</v>
      </c>
      <c r="L84" s="1">
        <f>IF(COUNT(J84:K84)=2,K84-J84,"")</f>
        <v>-39.796279358793896</v>
      </c>
      <c r="O84" s="1">
        <v>10</v>
      </c>
      <c r="P84" s="1">
        <v>9</v>
      </c>
      <c r="Q84" s="1">
        <f>IF(2063235&gt;0,100*325107/2063235,"")</f>
        <v>15.757148361674748</v>
      </c>
      <c r="R84" s="1">
        <f>IF(1975888&gt;0,100*142303/1975888,"")</f>
        <v>7.201977035135595</v>
      </c>
      <c r="S84" s="1">
        <f>IF(COUNT(Q84:R84)=2,R84-Q84,"")</f>
        <v>-8.555171326539153</v>
      </c>
    </row>
    <row r="85" spans="1:19">
      <c r="A85" s="1">
        <v>11</v>
      </c>
      <c r="B85" s="1">
        <v>10</v>
      </c>
      <c r="C85" s="1">
        <f>IF(2209395&gt;0,100*1084873/2209395,"")</f>
        <v>49.1027181649275</v>
      </c>
      <c r="D85" s="1">
        <f>IF(2738120&gt;0,100*857279/2738120,"")</f>
        <v>31.30903685740581</v>
      </c>
      <c r="E85" s="1">
        <f>IF(COUNT(C85:D85)=2,D85-C85,"")</f>
        <v>-17.79368130752169</v>
      </c>
      <c r="H85" s="1">
        <v>11</v>
      </c>
      <c r="I85" s="1">
        <v>10</v>
      </c>
      <c r="J85" s="1">
        <f>IF(2870543&gt;0,100*1618419/2870543,"")</f>
        <v>56.380238860731225</v>
      </c>
      <c r="K85" s="1">
        <f>IF(2658919&gt;0,100*601837/2658919,"")</f>
        <v>22.63464964521296</v>
      </c>
      <c r="L85" s="1">
        <f>IF(COUNT(J85:K85)=2,K85-J85,"")</f>
        <v>-33.745589215518265</v>
      </c>
      <c r="O85" s="1">
        <v>11</v>
      </c>
      <c r="P85" s="1">
        <v>10</v>
      </c>
      <c r="Q85" s="1">
        <f>IF(2712419&gt;0,100*1335644/2712419,"")</f>
        <v>49.241802243679906</v>
      </c>
      <c r="R85" s="1">
        <f>IF(1522874&gt;0,100*86602/1522874,"")</f>
        <v>5.686747557578631</v>
      </c>
      <c r="S85" s="1">
        <f>IF(COUNT(Q85:R85)=2,R85-Q85,"")</f>
        <v>-43.55505468610127</v>
      </c>
    </row>
    <row r="86" spans="1:19">
      <c r="A86" s="1">
        <v>12</v>
      </c>
      <c r="B86" s="1">
        <v>11</v>
      </c>
      <c r="C86" s="1">
        <f>IF(2101751&gt;0,100*916475/2101751,"")</f>
        <v>43.605308145446344</v>
      </c>
      <c r="D86" s="1">
        <f>IF(2603565&gt;0,100*911304/2603565,"")</f>
        <v>35.002160499161725</v>
      </c>
      <c r="E86" s="1">
        <f>IF(COUNT(C86:D86)=2,D86-C86,"")</f>
        <v>-8.603147646284619</v>
      </c>
      <c r="H86" s="1">
        <v>12</v>
      </c>
      <c r="I86" s="1">
        <v>11</v>
      </c>
      <c r="J86" s="1">
        <f>IF(2321486&gt;0,100*1150766/2321486,"")</f>
        <v>49.57023217025647</v>
      </c>
      <c r="K86" s="1">
        <f>IF(1452690&gt;0,100*20758/1452690,"")</f>
        <v>1.42893528557366</v>
      </c>
      <c r="L86" s="1">
        <f>IF(COUNT(J86:K86)=2,K86-J86,"")</f>
        <v>-48.14129688468281</v>
      </c>
      <c r="O86" s="1">
        <v>12</v>
      </c>
      <c r="P86" s="1">
        <v>11</v>
      </c>
      <c r="Q86" s="1">
        <f>IF(2923066&gt;0,100*1456418/2923066,"")</f>
        <v>49.825012503994095</v>
      </c>
      <c r="R86" s="1">
        <f>IF(2589928&gt;0,100*394195/2589928,"")</f>
        <v>15.220307282673495</v>
      </c>
      <c r="S86" s="1">
        <f>IF(COUNT(Q86:R86)=2,R86-Q86,"")</f>
        <v>-34.6047052213206</v>
      </c>
    </row>
    <row r="87" spans="1:19">
      <c r="A87" s="1">
        <v>13</v>
      </c>
      <c r="B87" s="1">
        <v>12</v>
      </c>
      <c r="C87" s="1">
        <f>IF(2087661&gt;0,100*558523/2087661,"")</f>
        <v>26.753529428388998</v>
      </c>
      <c r="D87" s="1">
        <f>IF(1781327&gt;0,100*314943/1781327,"")</f>
        <v>17.68024624339046</v>
      </c>
      <c r="E87" s="1">
        <f>IF(COUNT(C87:D87)=2,D87-C87,"")</f>
        <v>-9.073283184998537</v>
      </c>
      <c r="H87" s="1">
        <v>13</v>
      </c>
      <c r="I87" s="1">
        <v>12</v>
      </c>
      <c r="J87" s="1">
        <f>IF(2390190&gt;0,100*1069032/2390190,"")</f>
        <v>44.72581677607219</v>
      </c>
      <c r="K87" s="1">
        <f>IF(1798482&gt;0,100*24535/1798482,"")</f>
        <v>1.3642060359792314</v>
      </c>
      <c r="L87" s="1">
        <f>IF(COUNT(J87:K87)=2,K87-J87,"")</f>
        <v>-43.361610740092964</v>
      </c>
      <c r="O87" s="1">
        <v>13</v>
      </c>
      <c r="P87" s="1">
        <v>12</v>
      </c>
      <c r="Q87" s="1">
        <f>IF(1557676&gt;0,100*18730/1557676,"")</f>
        <v>1.2024323415138964</v>
      </c>
      <c r="R87" s="1">
        <f>IF(1433315&gt;0,100*23768/1433315,"")</f>
        <v>1.6582537683621534</v>
      </c>
      <c r="S87" s="1">
        <f>IF(COUNT(Q87:R87)=2,R87-Q87,"")</f>
        <v>0.455821426848257</v>
      </c>
    </row>
    <row r="88" spans="1:19">
      <c r="A88" s="1">
        <v>14</v>
      </c>
      <c r="B88" s="1">
        <v>13</v>
      </c>
      <c r="C88" s="1">
        <f>IF(1496156&gt;0,100*261177/1496156,"")</f>
        <v>17.456535281080313</v>
      </c>
      <c r="D88" s="1">
        <f>IF(1228303&gt;0,100*35013/1228303,"")</f>
        <v>2.8505181539082782</v>
      </c>
      <c r="E88" s="1">
        <f>IF(COUNT(C88:D88)=2,D88-C88,"")</f>
        <v>-14.606017127172034</v>
      </c>
      <c r="H88" s="1">
        <v>14</v>
      </c>
      <c r="I88" s="1">
        <v>13</v>
      </c>
      <c r="J88" s="1">
        <f>IF(1799691&gt;0,100*550790/1799691,"")</f>
        <v>30.604698250977528</v>
      </c>
      <c r="K88" s="1">
        <f>IF(1054084&gt;0,100*68336/1054084,"")</f>
        <v>6.48297479138285</v>
      </c>
      <c r="L88" s="1">
        <f>IF(COUNT(J88:K88)=2,K88-J88,"")</f>
        <v>-24.121723459594676</v>
      </c>
      <c r="O88" s="1">
        <v>14</v>
      </c>
      <c r="P88" s="1">
        <v>13</v>
      </c>
      <c r="Q88" s="1">
        <f>IF(1217487&gt;0,100*119562/1217487,"")</f>
        <v>9.820392332731274</v>
      </c>
      <c r="R88" s="1">
        <f>IF(1515090&gt;0,100*153198/1515090,"")</f>
        <v>10.111478526028156</v>
      </c>
      <c r="S88" s="1">
        <f>IF(COUNT(Q88:R88)=2,R88-Q88,"")</f>
        <v>0.29108619329688246</v>
      </c>
    </row>
    <row r="89" spans="1:19">
      <c r="A89" s="1">
        <v>15</v>
      </c>
      <c r="B89" s="1">
        <v>14</v>
      </c>
      <c r="C89" s="1">
        <f>IF(1933985&gt;0,100*847555/1933985,"")</f>
        <v>43.82427991944095</v>
      </c>
      <c r="D89" s="1">
        <f>IF(1408283&gt;0,100*283557/1408283,"")</f>
        <v>20.134944467837787</v>
      </c>
      <c r="E89" s="1">
        <f>IF(COUNT(C89:D89)=2,D89-C89,"")</f>
        <v>-23.68933545160316</v>
      </c>
      <c r="H89" s="1">
        <v>15</v>
      </c>
      <c r="I89" s="1">
        <v>14</v>
      </c>
      <c r="J89" s="1">
        <f>IF(2456423&gt;0,100*458635/2456423,"")</f>
        <v>18.670847814077625</v>
      </c>
      <c r="K89" s="1">
        <f>IF(146167&gt;0,100*14716/146167,"")</f>
        <v>10.067935991023965</v>
      </c>
      <c r="L89" s="1">
        <f>IF(COUNT(J89:K89)=2,K89-J89,"")</f>
        <v>-8.60291182305366</v>
      </c>
      <c r="O89" s="1">
        <v>15</v>
      </c>
      <c r="P89" s="1">
        <v>14</v>
      </c>
      <c r="Q89" s="1">
        <f>IF(2356524&gt;0,100*573959/2356524,"")</f>
        <v>24.35617035939375</v>
      </c>
      <c r="R89" s="1">
        <f>IF(2138120&gt;0,100*275747/2138120,"")</f>
        <v>12.896703646193853</v>
      </c>
      <c r="S89" s="1">
        <f>IF(COUNT(Q89:R89)=2,R89-Q89,"")</f>
        <v>-11.459466713199898</v>
      </c>
    </row>
    <row r="90" spans="1:19">
      <c r="A90" s="1">
        <v>16</v>
      </c>
      <c r="B90" s="1">
        <v>15</v>
      </c>
      <c r="C90" s="1">
        <f>IF(2016018&gt;0,100*829052/2016018,"")</f>
        <v>41.12324393929023</v>
      </c>
      <c r="D90" s="1">
        <f>IF(2182146&gt;0,100*512934/2182146,"")</f>
        <v>23.505943232029388</v>
      </c>
      <c r="E90" s="1">
        <f>IF(COUNT(C90:D90)=2,D90-C90,"")</f>
        <v>-17.61730070726084</v>
      </c>
      <c r="H90" s="1">
        <v>16</v>
      </c>
      <c r="I90" s="1">
        <v>15</v>
      </c>
      <c r="J90" s="1">
        <f>IF(2410914&gt;0,100*1100716/2410914,"")</f>
        <v>45.65554806185538</v>
      </c>
      <c r="K90" s="1">
        <f>IF(2181596&gt;0,100*158412/2181596,"")</f>
        <v>7.261289441308106</v>
      </c>
      <c r="L90" s="1">
        <f>IF(COUNT(J90:K90)=2,K90-J90,"")</f>
        <v>-38.39425862054727</v>
      </c>
      <c r="O90" s="1">
        <v>16</v>
      </c>
      <c r="P90" s="1">
        <v>15</v>
      </c>
      <c r="Q90" s="1">
        <f>IF(2715811&gt;0,100*1420140/2715811,"")</f>
        <v>52.29156226261695</v>
      </c>
      <c r="R90" s="1">
        <f>IF(1973453&gt;0,100*133271/1973453,"")</f>
        <v>6.753188446849253</v>
      </c>
      <c r="S90" s="1">
        <f>IF(COUNT(Q90:R90)=2,R90-Q90,"")</f>
        <v>-45.5383738157677</v>
      </c>
    </row>
    <row r="91" spans="1:19">
      <c r="A91" s="1">
        <v>17</v>
      </c>
      <c r="B91" s="1">
        <v>16</v>
      </c>
      <c r="C91" s="1">
        <f>IF(830136&gt;0,100*34541/830136,"")</f>
        <v>4.160884481578922</v>
      </c>
      <c r="D91" s="1">
        <f>IF(855236&gt;0,100*7079/855236,"")</f>
        <v>0.8277247449826715</v>
      </c>
      <c r="E91" s="1">
        <f>IF(COUNT(C91:D91)=2,D91-C91,"")</f>
        <v>-3.3331597365962504</v>
      </c>
      <c r="H91" s="1">
        <v>17</v>
      </c>
      <c r="I91" s="1">
        <v>16</v>
      </c>
      <c r="J91" s="1">
        <f>IF(196031&gt;0,100*5823/196031,"")</f>
        <v>2.970448551504609</v>
      </c>
      <c r="K91" s="1">
        <f>IF(2913724&gt;0,100*916785/2913724,"")</f>
        <v>31.464373427270395</v>
      </c>
      <c r="L91" s="1">
        <f>IF(COUNT(J91:K91)=2,K91-J91,"")</f>
        <v>28.493924875765785</v>
      </c>
      <c r="O91" s="1">
        <v>17</v>
      </c>
      <c r="P91" s="1">
        <v>16</v>
      </c>
      <c r="Q91" s="1">
        <f>IF(2285076&gt;0,100*953900/2285076,"")</f>
        <v>41.74478223043785</v>
      </c>
      <c r="R91" s="1">
        <f>IF(2796034&gt;0,100*811412/2796034,"")</f>
        <v>29.020104905734335</v>
      </c>
      <c r="S91" s="1">
        <f>IF(COUNT(Q91:R91)=2,R91-Q91,"")</f>
        <v>-12.724677324703514</v>
      </c>
    </row>
    <row r="92" spans="1:19">
      <c r="A92" s="1">
        <v>18</v>
      </c>
      <c r="B92" s="1">
        <v>17</v>
      </c>
      <c r="C92" s="1">
        <f>IF(1194547&gt;0,100*244244/1194547,"")</f>
        <v>20.446579330909543</v>
      </c>
      <c r="D92" s="1">
        <f>IF(992895&gt;0,100*10626/992895,"")</f>
        <v>1.0702037979846812</v>
      </c>
      <c r="E92" s="1">
        <f>IF(COUNT(C92:D92)=2,D92-C92,"")</f>
        <v>-19.37637553292486</v>
      </c>
      <c r="H92" s="1">
        <v>18</v>
      </c>
      <c r="I92" s="1">
        <v>17</v>
      </c>
      <c r="J92" s="4"/>
      <c r="K92" s="1">
        <f>IF(1348208&gt;0,100*79371/1348208,"")</f>
        <v>5.887147977166728</v>
      </c>
      <c r="L92" s="1">
        <f>IF(COUNT(J92:K92)=2,K92-J92,"")</f>
        <v/>
      </c>
      <c r="O92" s="1">
        <v>18</v>
      </c>
      <c r="P92" s="1">
        <v>17</v>
      </c>
      <c r="Q92" s="1">
        <f>IF(2825816&gt;0,100*1323547/2825816,"")</f>
        <v>46.83769219227296</v>
      </c>
      <c r="R92" s="1">
        <f>IF(3303622&gt;0,100*193530/3303622,"")</f>
        <v>5.85811572873652</v>
      </c>
      <c r="S92" s="1">
        <f>IF(COUNT(Q92:R92)=2,R92-Q92,"")</f>
        <v>-40.97957646353644</v>
      </c>
    </row>
    <row r="93" spans="1:19">
      <c r="A93" s="1">
        <v>19</v>
      </c>
      <c r="B93" s="1">
        <v>18</v>
      </c>
      <c r="C93" s="1">
        <f>IF(1931560&gt;0,100*912771/1931560,"")</f>
        <v>47.25563792996335</v>
      </c>
      <c r="D93" s="1">
        <f>IF(2448886&gt;0,100*816830/2448886,"")</f>
        <v>33.355166389942205</v>
      </c>
      <c r="E93" s="1">
        <f>IF(COUNT(C93:D93)=2,D93-C93,"")</f>
        <v>-13.900471540021144</v>
      </c>
      <c r="H93" s="1">
        <v>19</v>
      </c>
      <c r="I93" s="1">
        <v>18</v>
      </c>
      <c r="J93" s="1">
        <f>IF(1855523&gt;0,100*552371/1855523,"")</f>
        <v>29.76901930075779</v>
      </c>
      <c r="K93" s="1">
        <f>IF(1561388&gt;0,100*50482/1561388,"")</f>
        <v>3.23314896745716</v>
      </c>
      <c r="L93" s="1">
        <f>IF(COUNT(J93:K93)=2,K93-J93,"")</f>
        <v>-26.53587033330063</v>
      </c>
      <c r="O93" s="1">
        <v>19</v>
      </c>
      <c r="P93" s="1">
        <v>18</v>
      </c>
      <c r="Q93" s="1">
        <f>IF(2510684&gt;0,100*1031580/2510684,"")</f>
        <v>41.08760799845779</v>
      </c>
      <c r="R93" s="1">
        <f>IF(2011246&gt;0,100*93143/2011246,"")</f>
        <v>4.631109272560393</v>
      </c>
      <c r="S93" s="1">
        <f>IF(COUNT(Q93:R93)=2,R93-Q93,"")</f>
        <v>-36.4564987258974</v>
      </c>
    </row>
    <row r="94" spans="1:19">
      <c r="A94" s="1">
        <v>20</v>
      </c>
      <c r="B94" s="1">
        <v>19</v>
      </c>
      <c r="C94" s="1">
        <f>IF(2025286&gt;0,100*867239/2025286,"")</f>
        <v>42.82056953931445</v>
      </c>
      <c r="D94" s="1">
        <f>IF(2086050&gt;0,100*527677/2086050,"")</f>
        <v>25.295510654107044</v>
      </c>
      <c r="E94" s="1">
        <f>IF(COUNT(C94:D94)=2,D94-C94,"")</f>
        <v>-17.525058885207404</v>
      </c>
      <c r="H94" s="1">
        <v>20</v>
      </c>
      <c r="I94" s="1">
        <v>19</v>
      </c>
      <c r="J94" s="1">
        <f>IF(2440076&gt;0,100*960305/2440076,"")</f>
        <v>39.355536466896936</v>
      </c>
      <c r="K94" s="1">
        <f>IF(1853573&gt;0,100*227597/1853573,"")</f>
        <v>12.278825813712219</v>
      </c>
      <c r="L94" s="1">
        <f>IF(COUNT(J94:K94)=2,K94-J94,"")</f>
        <v>-27.07671065318472</v>
      </c>
      <c r="O94" s="1">
        <v>20</v>
      </c>
      <c r="P94" s="1">
        <v>19</v>
      </c>
      <c r="Q94" s="1">
        <f>IF(3041216&gt;0,100*1439290/3041216,"")</f>
        <v>47.32613533533955</v>
      </c>
      <c r="R94" s="1">
        <f>IF(2369406&gt;0,100*638072/2369406,"")</f>
        <v>26.92961864703643</v>
      </c>
      <c r="S94" s="1">
        <f>IF(COUNT(Q94:R94)=2,R94-Q94,"")</f>
        <v>-20.39651668830312</v>
      </c>
    </row>
    <row r="95" spans="1:19">
      <c r="A95" s="1">
        <v>21</v>
      </c>
      <c r="B95" s="1">
        <v>20</v>
      </c>
      <c r="C95" s="1">
        <f>IF(2094148&gt;0,100*1039154/2094148,"")</f>
        <v>49.62180323453739</v>
      </c>
      <c r="D95" s="1">
        <f>IF(1663241&gt;0,100*282009/1663241,"")</f>
        <v>16.95539010882969</v>
      </c>
      <c r="E95" s="1">
        <f>IF(COUNT(C95:D95)=2,D95-C95,"")</f>
        <v>-32.6664131257077</v>
      </c>
      <c r="H95" s="1">
        <v>21</v>
      </c>
      <c r="I95" s="1">
        <v>20</v>
      </c>
      <c r="J95" s="1">
        <f>IF(2683747&gt;0,100*1388722/2683747,"")</f>
        <v>51.74563772218469</v>
      </c>
      <c r="K95" s="1">
        <f>IF(1378479&gt;0,100*92078/1378479,"")</f>
        <v>6.6796810107371964</v>
      </c>
      <c r="L95" s="1">
        <f>IF(COUNT(J95:K95)=2,K95-J95,"")</f>
        <v>-45.06595671144749</v>
      </c>
      <c r="O95" s="1">
        <v>21</v>
      </c>
      <c r="P95" s="1">
        <v>20</v>
      </c>
      <c r="Q95" s="1">
        <f>IF(2268817&gt;0,100*1102753/2268817,"")</f>
        <v>48.60475745730044</v>
      </c>
      <c r="R95" s="1">
        <f>IF(2932745&gt;0,100*877512/2932745,"")</f>
        <v>29.9211830554651</v>
      </c>
      <c r="S95" s="1">
        <f>IF(COUNT(Q95:R95)=2,R95-Q95,"")</f>
        <v>-18.683574401835337</v>
      </c>
    </row>
    <row r="96" spans="1:19">
      <c r="A96" s="1">
        <v>22</v>
      </c>
      <c r="B96" s="1">
        <v>21</v>
      </c>
      <c r="C96" s="1">
        <f>IF(1002018&gt;0,100*273571/1002018,"")</f>
        <v>27.302004554808395</v>
      </c>
      <c r="D96" s="1">
        <f>IF(2216231&gt;0,100*614950/2216231,"")</f>
        <v>27.747558805918697</v>
      </c>
      <c r="E96" s="1">
        <f>IF(COUNT(C96:D96)=2,D96-C96,"")</f>
        <v>0.4455542511103019</v>
      </c>
      <c r="H96" s="1">
        <v>22</v>
      </c>
      <c r="I96" s="1">
        <v>21</v>
      </c>
      <c r="J96" s="1">
        <f>IF(2557965&gt;0,100*1179736/2557965,"")</f>
        <v>46.12009937587106</v>
      </c>
      <c r="K96" s="1">
        <f>IF(2308174&gt;0,100*575590/2308174,"")</f>
        <v>24.937028144325343</v>
      </c>
      <c r="L96" s="1">
        <f>IF(COUNT(J96:K96)=2,K96-J96,"")</f>
        <v>-21.183071231545714</v>
      </c>
      <c r="O96" s="1">
        <v>22</v>
      </c>
      <c r="P96" s="1">
        <v>21</v>
      </c>
      <c r="Q96" s="1">
        <f>IF(1946233&gt;0,100*656202/1946233,"")</f>
        <v>33.71651801197493</v>
      </c>
      <c r="R96" s="1">
        <f>IF(1759515&gt;0,100*376288/1759515,"")</f>
        <v>21.385893271725447</v>
      </c>
      <c r="S96" s="1">
        <f>IF(COUNT(Q96:R96)=2,R96-Q96,"")</f>
        <v>-12.33062474024948</v>
      </c>
    </row>
    <row r="97" spans="1:19">
      <c r="A97" s="1">
        <v>23</v>
      </c>
      <c r="B97" s="1">
        <v>22</v>
      </c>
      <c r="C97" s="1">
        <f>IF(795260&gt;0,100*1236/795260,"")</f>
        <v>0.15542086864673188</v>
      </c>
      <c r="D97" s="1">
        <f>IF(1357953&gt;0,100*11087/1357953,"")</f>
        <v>0.8164494647458344</v>
      </c>
      <c r="E97" s="1">
        <f>IF(COUNT(C97:D97)=2,D97-C97,"")</f>
        <v>0.6610285960991025</v>
      </c>
      <c r="H97" s="1">
        <v>23</v>
      </c>
      <c r="I97" s="1">
        <v>22</v>
      </c>
      <c r="J97" s="1">
        <f>IF(2773812&gt;0,100*1410215/2773812,"")</f>
        <v>50.84032371335909</v>
      </c>
      <c r="K97" s="1">
        <f>IF(1966848&gt;0,100*278920/1966848,"")</f>
        <v>14.181065339060263</v>
      </c>
      <c r="L97" s="1">
        <f>IF(COUNT(J97:K97)=2,K97-J97,"")</f>
        <v>-36.65925837429883</v>
      </c>
      <c r="O97" s="1">
        <v>23</v>
      </c>
      <c r="P97" s="1">
        <v>22</v>
      </c>
      <c r="Q97" s="1">
        <f>IF(2188846&gt;0,100*938113/2188846,"")</f>
        <v>42.858794086016104</v>
      </c>
      <c r="R97" s="1">
        <f>IF(2874300&gt;0,100*437791/2874300,"")</f>
        <v>15.231221514803604</v>
      </c>
      <c r="S97" s="1">
        <f>IF(COUNT(Q97:R97)=2,R97-Q97,"")</f>
        <v>-27.6275725712125</v>
      </c>
    </row>
    <row r="98" spans="1:19">
      <c r="A98" s="1">
        <v>24</v>
      </c>
      <c r="B98" s="1">
        <v>23</v>
      </c>
      <c r="C98" s="1">
        <f>IF(1888679&gt;0,100*755365/1888679,"")</f>
        <v>39.99435584342284</v>
      </c>
      <c r="D98" s="1">
        <f>IF(1923326&gt;0,100*174992/1923326,"")</f>
        <v>9.09840557450999</v>
      </c>
      <c r="E98" s="1">
        <f>IF(COUNT(C98:D98)=2,D98-C98,"")</f>
        <v>-30.89595026891285</v>
      </c>
      <c r="H98" s="1">
        <v>24</v>
      </c>
      <c r="I98" s="1">
        <v>23</v>
      </c>
      <c r="J98" s="1">
        <f>IF(2330232&gt;0,100*1039149/2330232,"")</f>
        <v>44.594229244126765</v>
      </c>
      <c r="K98" s="1">
        <f>IF(2173427&gt;0,100*389033/2173427,"")</f>
        <v>17.89951997467594</v>
      </c>
      <c r="L98" s="1">
        <f>IF(COUNT(J98:K98)=2,K98-J98,"")</f>
        <v>-26.694709269450826</v>
      </c>
      <c r="O98" s="1">
        <v>24</v>
      </c>
      <c r="P98" s="1">
        <v>23</v>
      </c>
      <c r="Q98" s="1">
        <f>IF(2075098&gt;0,100*737576/2075098,"")</f>
        <v>35.544152613515124</v>
      </c>
      <c r="R98" s="1">
        <f>IF(1297637&gt;0,100*60093/1297637,"")</f>
        <v>4.630956114845677</v>
      </c>
      <c r="S98" s="1">
        <f>IF(COUNT(Q98:R98)=2,R98-Q98,"")</f>
        <v>-30.913196498669446</v>
      </c>
    </row>
    <row r="99" spans="1:19">
      <c r="A99" s="1">
        <v>25</v>
      </c>
      <c r="B99" s="1">
        <v>24</v>
      </c>
      <c r="C99" s="1">
        <f>IF(2046231&gt;0,100*862149/2046231,"")</f>
        <v>42.1335127852134</v>
      </c>
      <c r="D99" s="1">
        <f>IF(2121980&gt;0,100*703576/2121980,"")</f>
        <v>33.156580175119466</v>
      </c>
      <c r="E99" s="1">
        <f>IF(COUNT(C99:D99)=2,D99-C99,"")</f>
        <v>-8.976932610093932</v>
      </c>
      <c r="H99" s="1">
        <v>25</v>
      </c>
      <c r="I99" s="1">
        <v>24</v>
      </c>
      <c r="J99" s="1">
        <f>IF(2687496&gt;0,100*1356682/2687496,"")</f>
        <v>50.481265832581705</v>
      </c>
      <c r="K99" s="1">
        <f>IF(1520697&gt;0,100*84512/1520697,"")</f>
        <v>5.55745161593664</v>
      </c>
      <c r="L99" s="1">
        <f>IF(COUNT(J99:K99)=2,K99-J99,"")</f>
        <v>-44.92381421664506</v>
      </c>
      <c r="O99" s="1">
        <v>25</v>
      </c>
      <c r="P99" s="1">
        <v>24</v>
      </c>
      <c r="Q99" s="1">
        <f>IF(2348758&gt;0,100*912656/2348758,"")</f>
        <v>38.856961849624355</v>
      </c>
      <c r="R99" s="1">
        <f>IF(1730235&gt;0,100*38995/1730235,"")</f>
        <v>2.253740098888301</v>
      </c>
      <c r="S99" s="1">
        <f>IF(COUNT(Q99:R99)=2,R99-Q99,"")</f>
        <v>-36.603221750736054</v>
      </c>
    </row>
    <row r="100" spans="1:19">
      <c r="A100" s="1">
        <v>26</v>
      </c>
      <c r="B100" s="1">
        <v>25</v>
      </c>
      <c r="C100" s="1">
        <f>IF(2173027&gt;0,100*1021557/2173027,"")</f>
        <v>47.01078265479444</v>
      </c>
      <c r="D100" s="1">
        <f>IF(2181931&gt;0,100*560117/2181931,"")</f>
        <v>25.670701777462256</v>
      </c>
      <c r="E100" s="1">
        <f>IF(COUNT(C100:D100)=2,D100-C100,"")</f>
        <v>-21.340080877332184</v>
      </c>
      <c r="H100" s="1">
        <v>26</v>
      </c>
      <c r="I100" s="1">
        <v>25</v>
      </c>
      <c r="J100" s="1">
        <f>IF(1369843&gt;0,100*81159/1369843,"")</f>
        <v>5.9246935597729085</v>
      </c>
      <c r="K100" s="1">
        <f>IF(2019116&gt;0,100*166087/2019116,"")</f>
        <v>8.225728487120106</v>
      </c>
      <c r="L100" s="1">
        <f>IF(COUNT(J100:K100)=2,K100-J100,"")</f>
        <v>2.3010349273471977</v>
      </c>
      <c r="O100" s="1">
        <v>26</v>
      </c>
      <c r="P100" s="1">
        <v>25</v>
      </c>
      <c r="Q100" s="1">
        <f>IF(2790743&gt;0,100*1533326/2790743,"")</f>
        <v>54.94328929607635</v>
      </c>
      <c r="R100" s="1">
        <f>IF(2865098&gt;0,100*790041/2865098,"")</f>
        <v>27.574658877287966</v>
      </c>
      <c r="S100" s="1">
        <f>IF(COUNT(Q100:R100)=2,R100-Q100,"")</f>
        <v>-27.368630418788385</v>
      </c>
    </row>
    <row r="101" spans="1:19">
      <c r="A101" s="1">
        <v>27</v>
      </c>
      <c r="B101" s="1">
        <v>26</v>
      </c>
      <c r="C101" s="1">
        <f>IF(2068375&gt;0,100*1076315/2068375,"")</f>
        <v>52.03674382063214</v>
      </c>
      <c r="D101" s="1">
        <f>IF(2660007&gt;0,100*944379/2660007,"")</f>
        <v>35.50287649618967</v>
      </c>
      <c r="E101" s="1">
        <f>IF(COUNT(C101:D101)=2,D101-C101,"")</f>
        <v>-16.53386732444247</v>
      </c>
      <c r="H101" s="1">
        <v>27</v>
      </c>
      <c r="I101" s="1">
        <v>26</v>
      </c>
      <c r="J101" s="1">
        <f>IF(1770443&gt;0,100*418105/1770443,"")</f>
        <v>23.615840781092643</v>
      </c>
      <c r="K101" s="1">
        <f>IF(1685070&gt;0,100*188470/1685070,"")</f>
        <v>11.184698558516857</v>
      </c>
      <c r="L101" s="1">
        <f>IF(COUNT(J101:K101)=2,K101-J101,"")</f>
        <v>-12.431142222575787</v>
      </c>
      <c r="O101" s="1">
        <v>27</v>
      </c>
      <c r="P101" s="1">
        <v>26</v>
      </c>
      <c r="Q101" s="1">
        <f>IF(2101248&gt;0,100*444433/2101248,"")</f>
        <v>21.150906508893762</v>
      </c>
      <c r="R101" s="1">
        <f>IF(1891510&gt;0,100*275638/1891510,"")</f>
        <v>14.572378681582439</v>
      </c>
      <c r="S101" s="1">
        <f>IF(COUNT(Q101:R101)=2,R101-Q101,"")</f>
        <v>-6.578527827311323</v>
      </c>
    </row>
    <row r="102" spans="1:19">
      <c r="A102" s="1">
        <v>28</v>
      </c>
      <c r="B102" s="1">
        <v>27</v>
      </c>
      <c r="C102" s="1">
        <f>IF(1174000&gt;0,100*3059/1174000,"")</f>
        <v>0.2605621805792164</v>
      </c>
      <c r="D102" s="1">
        <f>IF(1168463&gt;0,100*4570/1168463,"")</f>
        <v>0.39111208484992677</v>
      </c>
      <c r="E102" s="1">
        <f>IF(COUNT(C102:D102)=2,D102-C102,"")</f>
        <v>0.1305499042707104</v>
      </c>
      <c r="H102" s="1">
        <v>28</v>
      </c>
      <c r="I102" s="1">
        <v>27</v>
      </c>
      <c r="J102" s="1">
        <f>IF(2046482&gt;0,100*638275/2046482,"")</f>
        <v>31.18888903005255</v>
      </c>
      <c r="K102" s="1">
        <f>IF(2675152&gt;0,100*708908/2675152,"")</f>
        <v>26.49972786593061</v>
      </c>
      <c r="L102" s="1">
        <f>IF(COUNT(J102:K102)=2,K102-J102,"")</f>
        <v>-4.689161164121941</v>
      </c>
      <c r="O102" s="1">
        <v>28</v>
      </c>
      <c r="P102" s="1">
        <v>27</v>
      </c>
      <c r="Q102" s="1">
        <f>IF(2324907&gt;0,100*896618/2324907,"")</f>
        <v>38.5657576840708</v>
      </c>
      <c r="R102" s="1">
        <f>IF(1842363&gt;0,100*406358/1842363,"")</f>
        <v>22.056348287498174</v>
      </c>
      <c r="S102" s="1">
        <f>IF(COUNT(Q102:R102)=2,R102-Q102,"")</f>
        <v>-16.50940939657263</v>
      </c>
    </row>
    <row r="103" spans="1:19">
      <c r="A103" s="1">
        <v>29</v>
      </c>
      <c r="B103" s="1">
        <v>28</v>
      </c>
      <c r="C103" s="1">
        <f>IF(2083503&gt;0,100*1007639/2083503,"")</f>
        <v>48.362733338996875</v>
      </c>
      <c r="D103" s="1">
        <f>IF(2132500&gt;0,100*680731/2132500,"")</f>
        <v>31.921735052754983</v>
      </c>
      <c r="E103" s="1">
        <f>IF(COUNT(C103:D103)=2,D103-C103,"")</f>
        <v>-16.440998286241893</v>
      </c>
      <c r="H103" s="1">
        <v>29</v>
      </c>
      <c r="I103" s="1">
        <v>28</v>
      </c>
      <c r="J103" s="1">
        <f>IF(2576958&gt;0,100*1290348/2576958,"")</f>
        <v>50.072527375300645</v>
      </c>
      <c r="K103" s="1">
        <f>IF(2909847&gt;0,100*851244/2909847,"")</f>
        <v>29.25390922615519</v>
      </c>
      <c r="L103" s="1">
        <f>IF(COUNT(J103:K103)=2,K103-J103,"")</f>
        <v>-20.818618149145454</v>
      </c>
      <c r="O103" s="1">
        <v>29</v>
      </c>
      <c r="P103" s="1">
        <v>28</v>
      </c>
      <c r="Q103" s="1">
        <f>IF(2240165&gt;0,100*1016922/2240165,"")</f>
        <v>45.39495974626869</v>
      </c>
      <c r="R103" s="1">
        <f>IF(3138518&gt;0,100*1090676/3138518,"")</f>
        <v>34.75130618973669</v>
      </c>
      <c r="S103" s="1">
        <f>IF(COUNT(Q103:R103)=2,R103-Q103,"")</f>
        <v>-10.643653556532001</v>
      </c>
    </row>
    <row r="104" spans="1:19">
      <c r="A104" s="1">
        <v>30</v>
      </c>
      <c r="B104" s="1">
        <v>29</v>
      </c>
      <c r="C104" s="1">
        <f>IF(2234870&gt;0,100*1080496/2234870,"")</f>
        <v>48.34715218334847</v>
      </c>
      <c r="D104" s="1">
        <f>IF(2548482&gt;0,100*756105/2548482,"")</f>
        <v>29.66883815541958</v>
      </c>
      <c r="E104" s="1">
        <f>IF(COUNT(C104:D104)=2,D104-C104,"")</f>
        <v>-18.67831402792889</v>
      </c>
      <c r="H104" s="1">
        <v>30</v>
      </c>
      <c r="I104" s="1">
        <v>29</v>
      </c>
      <c r="J104" s="1">
        <f>IF(1911633&gt;0,100*586958/1911633,"")</f>
        <v>30.704533767726335</v>
      </c>
      <c r="K104" s="1">
        <f>IF(1258198&gt;0,100*43730/1258198,"")</f>
        <v>3.47560558830963</v>
      </c>
      <c r="L104" s="1">
        <f>IF(COUNT(J104:K104)=2,K104-J104,"")</f>
        <v>-27.228928179416705</v>
      </c>
      <c r="O104" s="1">
        <v>30</v>
      </c>
      <c r="P104" s="1">
        <v>29</v>
      </c>
      <c r="Q104" s="1">
        <f>IF(1054742&gt;0,100*14563/1054742,"")</f>
        <v>1.3807168008859039</v>
      </c>
      <c r="R104" s="1">
        <f>IF(1152177&gt;0,100*16883/1152177,"")</f>
        <v>1.4653130551989841</v>
      </c>
      <c r="S104" s="1">
        <f>IF(COUNT(Q104:R104)=2,R104-Q104,"")</f>
        <v>0.08459625431308027</v>
      </c>
    </row>
    <row r="105" spans="1:19">
      <c r="A105" s="1">
        <v>31</v>
      </c>
      <c r="B105" s="1">
        <v>30</v>
      </c>
      <c r="C105" s="1">
        <f>IF(1611966&gt;0,100*408242/1611966,"")</f>
        <v>25.32572026953422</v>
      </c>
      <c r="D105" s="1">
        <f>IF(1554734&gt;0,100*33527/1554734,"")</f>
        <v>2.156446054437608</v>
      </c>
      <c r="E105" s="1">
        <f>IF(COUNT(C105:D105)=2,D105-C105,"")</f>
        <v>-23.16927421509661</v>
      </c>
      <c r="H105" s="1">
        <v>31</v>
      </c>
      <c r="I105" s="1">
        <v>30</v>
      </c>
      <c r="J105" s="1">
        <f>IF(1813572&gt;0,100*419503/1813572,"")</f>
        <v>23.131312128771288</v>
      </c>
      <c r="K105" s="1">
        <f>IF(2393859&gt;0,100*665966/2393859,"")</f>
        <v>27.819767162560535</v>
      </c>
      <c r="L105" s="1">
        <f>IF(COUNT(J105:K105)=2,K105-J105,"")</f>
        <v>4.688455033789246</v>
      </c>
      <c r="O105" s="1">
        <v>31</v>
      </c>
      <c r="P105" s="1">
        <v>30</v>
      </c>
      <c r="Q105" s="1">
        <f>IF(2344140&gt;0,100*1034103/2344140,"")</f>
        <v>44.11438736594231</v>
      </c>
      <c r="R105" s="1">
        <f>IF(2687816&gt;0,100*838188/2687816,"")</f>
        <v>31.1847239543183</v>
      </c>
      <c r="S105" s="1">
        <f>IF(COUNT(Q105:R105)=2,R105-Q105,"")</f>
        <v>-12.929663411624006</v>
      </c>
    </row>
    <row r="106" spans="1:19">
      <c r="A106" s="2" t="s">
        <v>6</v>
      </c>
      <c r="B106" s="1"/>
      <c r="C106" s="1">
        <f>IF(COUNT(C75:C105)&gt;0,AVERAGE(C75:C105),"")</f>
        <v>34.139885623640744</v>
      </c>
      <c r="D106" s="1">
        <f>IF(COUNT(D75:D105)&gt;0,AVERAGE(D75:D105),"")</f>
        <v>19.039202988772157</v>
      </c>
      <c r="E106" s="1">
        <f>IF(COUNT(E75:E105)&gt;0,AVERAGE(E75:E105),"")</f>
        <v>-15.100682634868583</v>
      </c>
      <c r="H106" s="2" t="s">
        <v>6</v>
      </c>
      <c r="I106" s="1"/>
      <c r="J106" s="1">
        <f>IF(COUNT(J75:J105)&gt;0,AVERAGE(J75:J105),"")</f>
        <v>36.56494216191195</v>
      </c>
      <c r="K106" s="1">
        <f>IF(COUNT(K75:K105)&gt;0,AVERAGE(K75:K105),"")</f>
        <v>13.750059460226808</v>
      </c>
      <c r="L106" s="1">
        <f>IF(COUNT(L75:L105)&gt;0,AVERAGE(L75:L105),"")</f>
        <v>-22.552785652249806</v>
      </c>
      <c r="O106" s="2" t="s">
        <v>6</v>
      </c>
      <c r="P106" s="1"/>
      <c r="Q106" s="1">
        <f>IF(COUNT(Q75:Q105)&gt;0,AVERAGE(Q75:Q105),"")</f>
        <v>34.28456187402019</v>
      </c>
      <c r="R106" s="1">
        <f>IF(COUNT(R75:R105)&gt;0,AVERAGE(R75:R105),"")</f>
        <v>15.451245958809022</v>
      </c>
      <c r="S106" s="1">
        <f>IF(COUNT(S75:S105)&gt;0,AVERAGE(S75:S105),"")</f>
        <v>-18.83331591521117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IF(1025565&gt;0,100*254231/1025565,"")</f>
        <v>24.789360011310837</v>
      </c>
      <c r="D3" s="1">
        <f>IF(785760&gt;0,100*45712/785760,"")</f>
        <v>5.8175524333129705</v>
      </c>
      <c r="E3" s="1">
        <f>IF(COUNT(C3:D3)=2,D3-C3,"")</f>
        <v>-18.971807577997865</v>
      </c>
      <c r="H3" s="1">
        <v>1</v>
      </c>
      <c r="I3" s="1">
        <v>0</v>
      </c>
      <c r="J3" s="1">
        <f>IF(1360559&gt;0,100*350066/1360559,"")</f>
        <v>25.729571448206215</v>
      </c>
      <c r="K3" s="1">
        <f>IF(1117756&gt;0,100*145848/1117756,"")</f>
        <v>13.048286030224844</v>
      </c>
      <c r="L3" s="1">
        <f>IF(COUNT(J3:K3)=2,K3-J3,"")</f>
        <v>-12.681285417981371</v>
      </c>
      <c r="O3" s="1">
        <v>1</v>
      </c>
      <c r="P3" s="1">
        <v>0</v>
      </c>
      <c r="Q3" s="1">
        <f>IF(1611169&gt;0,100*528552/1611169,"")</f>
        <v>32.80549712662049</v>
      </c>
      <c r="R3" s="1">
        <f>IF(1147308&gt;0,100*123002/1147308,"")</f>
        <v>10.720922367838453</v>
      </c>
      <c r="S3" s="1">
        <f>IF(COUNT(Q3:R3)=2,R3-Q3,"")</f>
        <v>-22.084574758782033</v>
      </c>
    </row>
    <row r="4" spans="1:19">
      <c r="A4" s="1">
        <v>2</v>
      </c>
      <c r="B4" s="1">
        <v>1</v>
      </c>
      <c r="C4" s="1">
        <f>IF(1608611&gt;0,100*585743/1608611,"")</f>
        <v>36.41296746074719</v>
      </c>
      <c r="D4" s="1">
        <f>IF(1076087&gt;0,100*265023/1076087,"")</f>
        <v>24.62839900491317</v>
      </c>
      <c r="E4" s="1">
        <f>IF(COUNT(C4:D4)=2,D4-C4,"")</f>
        <v>-11.78456845583402</v>
      </c>
      <c r="H4" s="1">
        <v>2</v>
      </c>
      <c r="I4" s="1">
        <v>1</v>
      </c>
      <c r="J4" s="1">
        <f>IF(1080061&gt;0,100*195305/1080061,"")</f>
        <v>18.082774954377577</v>
      </c>
      <c r="K4" s="1">
        <f>IF(1337304&gt;0,100*258373/1337304,"")</f>
        <v>19.32043873345178</v>
      </c>
      <c r="L4" s="1">
        <f>IF(COUNT(J4:K4)=2,K4-J4,"")</f>
        <v>1.2376637790742038</v>
      </c>
      <c r="O4" s="1">
        <v>2</v>
      </c>
      <c r="P4" s="1">
        <v>1</v>
      </c>
      <c r="Q4" s="1">
        <f>IF(1467133&gt;0,100*488009/1467133,"")</f>
        <v>33.26276486180871</v>
      </c>
      <c r="R4" s="1">
        <f>IF(1137617&gt;0,100*180606/1137617,"")</f>
        <v>15.875817608210848</v>
      </c>
      <c r="S4" s="1">
        <f>IF(COUNT(Q4:R4)=2,R4-Q4,"")</f>
        <v>-17.386947253597864</v>
      </c>
    </row>
    <row r="5" spans="1:19">
      <c r="A5" s="1">
        <v>3</v>
      </c>
      <c r="B5" s="1">
        <v>2</v>
      </c>
      <c r="C5" s="1">
        <f>IF(1615726&gt;0,100*621491/1615726,"")</f>
        <v>38.46512341820333</v>
      </c>
      <c r="D5" s="1">
        <f>IF(999580&gt;0,100*189721/999580,"")</f>
        <v>18.980071630084634</v>
      </c>
      <c r="E5" s="1">
        <f>IF(COUNT(C5:D5)=2,D5-C5,"")</f>
        <v>-19.4850517881187</v>
      </c>
      <c r="H5" s="1">
        <v>3</v>
      </c>
      <c r="I5" s="1">
        <v>2</v>
      </c>
      <c r="J5" s="1">
        <f>IF(1770666&gt;0,100*210556/1770666,"")</f>
        <v>11.891344838608749</v>
      </c>
      <c r="K5" s="1">
        <f>IF(1920781&gt;0,100*481406/1920781,"")</f>
        <v>25.06303425533676</v>
      </c>
      <c r="L5" s="1">
        <f>IF(COUNT(J5:K5)=2,K5-J5,"")</f>
        <v>13.171689416728011</v>
      </c>
      <c r="O5" s="1">
        <v>3</v>
      </c>
      <c r="P5" s="1">
        <v>2</v>
      </c>
      <c r="Q5" s="1">
        <f>IF(1770413&gt;0,100*588287/1770413,"")</f>
        <v>33.228800285583084</v>
      </c>
      <c r="R5" s="1">
        <f>IF(1117198&gt;0,100*183169/1117198,"")</f>
        <v>16.395392759385533</v>
      </c>
      <c r="S5" s="1">
        <f>IF(COUNT(Q5:R5)=2,R5-Q5,"")</f>
        <v>-16.83340752619755</v>
      </c>
    </row>
    <row r="6" spans="1:19">
      <c r="A6" s="1">
        <v>4</v>
      </c>
      <c r="B6" s="1">
        <v>3</v>
      </c>
      <c r="C6" s="1">
        <f>IF(1681360&gt;0,100*632235/1681360,"")</f>
        <v>37.60259551791407</v>
      </c>
      <c r="D6" s="1">
        <f>IF(1789086&gt;0,100*519915/1789086,"")</f>
        <v>29.060369372964743</v>
      </c>
      <c r="E6" s="1">
        <f>IF(COUNT(C6:D6)=2,D6-C6,"")</f>
        <v>-8.542226144949325</v>
      </c>
      <c r="H6" s="1">
        <v>4</v>
      </c>
      <c r="I6" s="1">
        <v>3</v>
      </c>
      <c r="J6" s="1">
        <f>IF(1249184&gt;0,100*192969/1249184,"")</f>
        <v>15.447604196019162</v>
      </c>
      <c r="K6" s="1">
        <f>IF(703442&gt;0,100*46641/703442,"")</f>
        <v>6.63039738883945</v>
      </c>
      <c r="L6" s="1">
        <f>IF(COUNT(J6:K6)=2,K6-J6,"")</f>
        <v>-8.817206807179712</v>
      </c>
      <c r="O6" s="1">
        <v>4</v>
      </c>
      <c r="P6" s="1">
        <v>3</v>
      </c>
      <c r="Q6" s="1">
        <f>IF(851878&gt;0,100*27960/851878,"")</f>
        <v>3.2821601215197482</v>
      </c>
      <c r="R6" s="1">
        <f>IF(938024&gt;0,100*67675/938024,"")</f>
        <v>7.214634167142845</v>
      </c>
      <c r="S6" s="1">
        <f>IF(COUNT(Q6:R6)=2,R6-Q6,"")</f>
        <v>3.9324740456230964</v>
      </c>
    </row>
    <row r="7" spans="1:19">
      <c r="A7" s="1">
        <v>5</v>
      </c>
      <c r="B7" s="1">
        <v>4</v>
      </c>
      <c r="C7" s="1">
        <f>IF(1534810&gt;0,100*544323/1534810,"")</f>
        <v>35.46517158475642</v>
      </c>
      <c r="D7" s="1">
        <f>IF(1184933&gt;0,100*63900/1184933,"")</f>
        <v>5.392709967567787</v>
      </c>
      <c r="E7" s="1">
        <f>IF(COUNT(C7:D7)=2,D7-C7,"")</f>
        <v>-30.072461617188633</v>
      </c>
      <c r="H7" s="1">
        <v>5</v>
      </c>
      <c r="I7" s="1">
        <v>4</v>
      </c>
      <c r="J7" s="1">
        <f>IF(1559950&gt;0,100*448934/1559950,"")</f>
        <v>28.77874290842655</v>
      </c>
      <c r="K7" s="1">
        <f>IF(1587962&gt;0,100*351855/1587962,"")</f>
        <v>22.15764608976789</v>
      </c>
      <c r="L7" s="1">
        <f>IF(COUNT(J7:K7)=2,K7-J7,"")</f>
        <v>-6.6210968186586605</v>
      </c>
      <c r="O7" s="1">
        <v>5</v>
      </c>
      <c r="P7" s="1">
        <v>4</v>
      </c>
      <c r="Q7" s="1">
        <f>IF(1545033&gt;0,100*593590/1545033,"")</f>
        <v>38.419244119704885</v>
      </c>
      <c r="R7" s="1">
        <f>IF(1300548&gt;0,100*237583/1300548,"")</f>
        <v>18.267914755933653</v>
      </c>
      <c r="S7" s="1">
        <f>IF(COUNT(Q7:R7)=2,R7-Q7,"")</f>
        <v>-20.151329363771232</v>
      </c>
    </row>
    <row r="8" spans="1:19">
      <c r="A8" s="1">
        <v>6</v>
      </c>
      <c r="B8" s="1">
        <v>5</v>
      </c>
      <c r="C8" s="1">
        <f>IF(1481795&gt;0,100*384291/1481795,"")</f>
        <v>25.93415418462068</v>
      </c>
      <c r="D8" s="1">
        <f>IF(1043096&gt;0,100*150041/1043096,"")</f>
        <v>14.384198578079102</v>
      </c>
      <c r="E8" s="1">
        <f>IF(COUNT(C8:D8)=2,D8-C8,"")</f>
        <v>-11.549955606541578</v>
      </c>
      <c r="H8" s="1">
        <v>6</v>
      </c>
      <c r="I8" s="1">
        <v>5</v>
      </c>
      <c r="J8" s="1">
        <f>IF(1363284&gt;0,100*338111/1363284,"")</f>
        <v>24.801215300700367</v>
      </c>
      <c r="K8" s="1">
        <f>IF(977305&gt;0,100*150845/977305,"")</f>
        <v>15.43479261847632</v>
      </c>
      <c r="L8" s="1">
        <f>IF(COUNT(J8:K8)=2,K8-J8,"")</f>
        <v>-9.366422682224046</v>
      </c>
      <c r="O8" s="1">
        <v>6</v>
      </c>
      <c r="P8" s="1">
        <v>5</v>
      </c>
      <c r="Q8" s="1">
        <f>IF(1496153&gt;0,100*372992/1496153,"")</f>
        <v>24.930070654538675</v>
      </c>
      <c r="R8" s="1">
        <f>IF(1164237&gt;0,100*145254/1164237,"")</f>
        <v>12.47632569657209</v>
      </c>
      <c r="S8" s="1">
        <f>IF(COUNT(Q8:R8)=2,R8-Q8,"")</f>
        <v>-12.453744957966585</v>
      </c>
    </row>
    <row r="9" spans="1:19">
      <c r="A9" s="1">
        <v>7</v>
      </c>
      <c r="B9" s="1">
        <v>6</v>
      </c>
      <c r="C9" s="1">
        <f>IF(1693230&gt;0,100*659152/1693230,"")</f>
        <v>38.92867478133508</v>
      </c>
      <c r="D9" s="1">
        <f>IF(1113800&gt;0,100*188203/1113800,"")</f>
        <v>16.897378344406537</v>
      </c>
      <c r="E9" s="1">
        <f>IF(COUNT(C9:D9)=2,D9-C9,"")</f>
        <v>-22.031296436928546</v>
      </c>
      <c r="H9" s="1">
        <v>7</v>
      </c>
      <c r="I9" s="1">
        <v>6</v>
      </c>
      <c r="J9" s="1">
        <f>IF(681918&gt;0,100*6217/681918,"")</f>
        <v>0.9116931947829504</v>
      </c>
      <c r="K9" s="1">
        <f>IF(1021590&gt;0,100*27447/1021590,"")</f>
        <v>2.6866942706956802</v>
      </c>
      <c r="L9" s="1">
        <f>IF(COUNT(J9:K9)=2,K9-J9,"")</f>
        <v>1.77500107591273</v>
      </c>
      <c r="O9" s="1">
        <v>7</v>
      </c>
      <c r="P9" s="1">
        <v>6</v>
      </c>
      <c r="Q9" s="1">
        <f>IF(1286739&gt;0,100*333741/1286739,"")</f>
        <v>25.93696157495809</v>
      </c>
      <c r="R9" s="1">
        <f>IF(1070416&gt;0,100*51889/1070416,"")</f>
        <v>4.8475545955964785</v>
      </c>
      <c r="S9" s="1">
        <f>IF(COUNT(Q9:R9)=2,R9-Q9,"")</f>
        <v>-21.089406979361613</v>
      </c>
    </row>
    <row r="10" spans="1:19">
      <c r="A10" s="1">
        <v>8</v>
      </c>
      <c r="B10" s="1">
        <v>7</v>
      </c>
      <c r="C10" s="1">
        <f>IF(1832737&gt;0,100*772049/1832737,"")</f>
        <v>42.12546590154506</v>
      </c>
      <c r="D10" s="1">
        <f>IF(1267896&gt;0,100*294093/1267896,"")</f>
        <v>23.195356716954702</v>
      </c>
      <c r="E10" s="1">
        <f>IF(COUNT(C10:D10)=2,D10-C10,"")</f>
        <v>-18.93010918459036</v>
      </c>
      <c r="H10" s="1">
        <v>8</v>
      </c>
      <c r="I10" s="1">
        <v>7</v>
      </c>
      <c r="J10" s="1">
        <f>IF(655547&gt;0,100*1454/655547,"")</f>
        <v>0.2217995048409954</v>
      </c>
      <c r="K10" s="1">
        <f>IF(558223&gt;0,100*592/558223,"")</f>
        <v>0.10605080765213902</v>
      </c>
      <c r="L10" s="1">
        <f>IF(COUNT(J10:K10)=2,K10-J10,"")</f>
        <v>-0.11574869718885637</v>
      </c>
      <c r="O10" s="1">
        <v>8</v>
      </c>
      <c r="P10" s="1">
        <v>7</v>
      </c>
      <c r="Q10" s="1">
        <f>IF(589319&gt;0,100*4560/589319,"")</f>
        <v>0.773774475284184</v>
      </c>
      <c r="R10" s="1">
        <f>IF(649518&gt;0,100*13704/649518,"")</f>
        <v>2.109872243725347</v>
      </c>
      <c r="S10" s="1">
        <f>IF(COUNT(Q10:R10)=2,R10-Q10,"")</f>
        <v>1.3360977684411632</v>
      </c>
    </row>
    <row r="11" spans="1:19">
      <c r="A11" s="1">
        <v>9</v>
      </c>
      <c r="B11" s="1">
        <v>8</v>
      </c>
      <c r="C11" s="1">
        <f>IF(1595971&gt;0,100*597472/1595971,"")</f>
        <v>37.43626920539283</v>
      </c>
      <c r="D11" s="1">
        <f>IF(1165308&gt;0,100*271279/1165308,"")</f>
        <v>23.279596467200086</v>
      </c>
      <c r="E11" s="1">
        <f>IF(COUNT(C11:D11)=2,D11-C11,"")</f>
        <v>-14.156672738192746</v>
      </c>
      <c r="H11" s="1">
        <v>9</v>
      </c>
      <c r="I11" s="1">
        <v>8</v>
      </c>
      <c r="J11" s="1">
        <f>IF(1710121&gt;0,100*526664/1710121,"")</f>
        <v>30.79688513268944</v>
      </c>
      <c r="K11" s="1">
        <f>IF(1003000&gt;0,100*198615/1003000,"")</f>
        <v>19.80209371884347</v>
      </c>
      <c r="L11" s="1">
        <f>IF(COUNT(J11:K11)=2,K11-J11,"")</f>
        <v>-10.99479141384597</v>
      </c>
      <c r="O11" s="1">
        <v>9</v>
      </c>
      <c r="P11" s="1">
        <v>8</v>
      </c>
      <c r="Q11" s="1">
        <f>IF(1425170&gt;0,100*455531/1425170,"")</f>
        <v>31.96327455671955</v>
      </c>
      <c r="R11" s="1">
        <f>IF(1187329&gt;0,100*180037/1187329,"")</f>
        <v>15.163194026255571</v>
      </c>
      <c r="S11" s="1">
        <f>IF(COUNT(Q11:R11)=2,R11-Q11,"")</f>
        <v>-16.80008053046398</v>
      </c>
    </row>
    <row r="12" spans="1:19">
      <c r="A12" s="1">
        <v>10</v>
      </c>
      <c r="B12" s="1">
        <v>9</v>
      </c>
      <c r="C12" s="1">
        <f>IF(1793318&gt;0,100*560859/1793318,"")</f>
        <v>31.27493283399821</v>
      </c>
      <c r="D12" s="1">
        <f>IF(784363&gt;0,100*18546/784363,"")</f>
        <v>2.364466452395128</v>
      </c>
      <c r="E12" s="1">
        <f>IF(COUNT(C12:D12)=2,D12-C12,"")</f>
        <v>-28.910466381603083</v>
      </c>
      <c r="H12" s="1">
        <v>10</v>
      </c>
      <c r="I12" s="1">
        <v>9</v>
      </c>
      <c r="J12" s="1">
        <f>IF(1173418&gt;0,100*250711/1173418,"")</f>
        <v>21.365873030752894</v>
      </c>
      <c r="K12" s="1">
        <f>IF(1059744&gt;0,100*17742/1059744,"")</f>
        <v>1.6741779146661835</v>
      </c>
      <c r="L12" s="1">
        <f>IF(COUNT(J12:K12)=2,K12-J12,"")</f>
        <v>-19.69169511608671</v>
      </c>
      <c r="O12" s="1">
        <v>10</v>
      </c>
      <c r="P12" s="1">
        <v>9</v>
      </c>
      <c r="Q12" s="1">
        <f>IF(1151234&gt;0,100*222783/1151234,"")</f>
        <v>19.351669599751222</v>
      </c>
      <c r="R12" s="1">
        <f>IF(1056961&gt;0,100*66697/1056961,"")</f>
        <v>6.310261211151594</v>
      </c>
      <c r="S12" s="1">
        <f>IF(COUNT(Q12:R12)=2,R12-Q12,"")</f>
        <v>-13.041408388599628</v>
      </c>
    </row>
    <row r="13" spans="1:19">
      <c r="A13" s="1">
        <v>11</v>
      </c>
      <c r="B13" s="1">
        <v>10</v>
      </c>
      <c r="C13" s="1">
        <f>IF(1514166&gt;0,100*450931/1514166,"")</f>
        <v>29.78081663437166</v>
      </c>
      <c r="D13" s="1">
        <f>IF(1656722&gt;0,100*456131/1656722,"")</f>
        <v>27.532138765586502</v>
      </c>
      <c r="E13" s="1">
        <f>IF(COUNT(C13:D13)=2,D13-C13,"")</f>
        <v>-2.2486778687851583</v>
      </c>
      <c r="H13" s="1">
        <v>11</v>
      </c>
      <c r="I13" s="1">
        <v>10</v>
      </c>
      <c r="J13" s="1">
        <f>IF(1146506&gt;0,100*57993/1146506,"")</f>
        <v>5.058237811228201</v>
      </c>
      <c r="K13" s="1">
        <f>IF(1059488&gt;0,100*72403/1059488,"")</f>
        <v>6.8337725391887405</v>
      </c>
      <c r="L13" s="1">
        <f>IF(COUNT(J13:K13)=2,K13-J13,"")</f>
        <v>1.7755347279605393</v>
      </c>
      <c r="O13" s="1">
        <v>11</v>
      </c>
      <c r="P13" s="1">
        <v>10</v>
      </c>
      <c r="Q13" s="1">
        <f>IF(1057778&gt;0,100*7899/1057778,"")</f>
        <v>0.7467540447995704</v>
      </c>
      <c r="R13" s="1">
        <f>IF(1381833&gt;0,100*211732/1381833,"")</f>
        <v>15.322546212168909</v>
      </c>
      <c r="S13" s="1">
        <f>IF(COUNT(Q13:R13)=2,R13-Q13,"")</f>
        <v>14.57579216736934</v>
      </c>
    </row>
    <row r="14" spans="1:19">
      <c r="A14" s="1">
        <v>12</v>
      </c>
      <c r="B14" s="1">
        <v>11</v>
      </c>
      <c r="C14" s="1">
        <f>IF(1480420&gt;0,100*530595/1480420,"")</f>
        <v>35.84084246362519</v>
      </c>
      <c r="D14" s="1">
        <f>IF(1115443&gt;0,100*211568/1115443,"")</f>
        <v>18.967172683857445</v>
      </c>
      <c r="E14" s="1">
        <f>IF(COUNT(C14:D14)=2,D14-C14,"")</f>
        <v>-16.87366977976774</v>
      </c>
      <c r="H14" s="1">
        <v>12</v>
      </c>
      <c r="I14" s="1">
        <v>11</v>
      </c>
      <c r="J14" s="1">
        <f>IF(979595&gt;0,100*35929/979595,"")</f>
        <v>3.6677402395888095</v>
      </c>
      <c r="K14" s="1">
        <f>IF(1347142&gt;0,100*135225/1347142,"")</f>
        <v>10.037917309385351</v>
      </c>
      <c r="L14" s="1">
        <f>IF(COUNT(J14:K14)=2,K14-J14,"")</f>
        <v>6.370177069796542</v>
      </c>
      <c r="O14" s="1">
        <v>12</v>
      </c>
      <c r="P14" s="1">
        <v>11</v>
      </c>
      <c r="Q14" s="1">
        <f>IF(1932101&gt;0,100*714622/1932101,"")</f>
        <v>36.98678278205953</v>
      </c>
      <c r="R14" s="1">
        <f>IF(1232594&gt;0,100*96277/1232594,"")</f>
        <v>7.8109255764671905</v>
      </c>
      <c r="S14" s="1">
        <f>IF(COUNT(Q14:R14)=2,R14-Q14,"")</f>
        <v>-29.175857205592337</v>
      </c>
    </row>
    <row r="15" spans="1:19">
      <c r="A15" s="1">
        <v>13</v>
      </c>
      <c r="B15" s="1">
        <v>12</v>
      </c>
      <c r="C15" s="1">
        <f>IF(1625411&gt;0,100*523021/1625411,"")</f>
        <v>32.177769191915154</v>
      </c>
      <c r="D15" s="1">
        <f>IF(786181&gt;0,100*25371/786181,"")</f>
        <v>3.2271194546802837</v>
      </c>
      <c r="E15" s="1">
        <f>IF(COUNT(C15:D15)=2,D15-C15,"")</f>
        <v>-28.95064973723487</v>
      </c>
      <c r="H15" s="1">
        <v>13</v>
      </c>
      <c r="I15" s="1">
        <v>12</v>
      </c>
      <c r="J15" s="1">
        <f>IF(1997433&gt;0,100*770522/1997433,"")</f>
        <v>38.575611797742404</v>
      </c>
      <c r="K15" s="1">
        <f>IF(1183853&gt;0,100*222926/1183853,"")</f>
        <v>18.830547373702647</v>
      </c>
      <c r="L15" s="1">
        <f>IF(COUNT(J15:K15)=2,K15-J15,"")</f>
        <v>-19.745064424039757</v>
      </c>
      <c r="O15" s="1">
        <v>13</v>
      </c>
      <c r="P15" s="1">
        <v>12</v>
      </c>
      <c r="Q15" s="1">
        <f>IF(931018&gt;0,100*79093/931018,"")</f>
        <v>8.495324472781407</v>
      </c>
      <c r="R15" s="1">
        <f>IF(1280262&gt;0,100*207743/1280262,"")</f>
        <v>16.226600492711647</v>
      </c>
      <c r="S15" s="1">
        <f>IF(COUNT(Q15:R15)=2,R15-Q15,"")</f>
        <v>7.73127601993024</v>
      </c>
    </row>
    <row r="16" spans="1:19">
      <c r="A16" s="1">
        <v>14</v>
      </c>
      <c r="B16" s="1">
        <v>13</v>
      </c>
      <c r="C16" s="1">
        <f>IF(929730&gt;0,100*189375/929730,"")</f>
        <v>20.368816753250943</v>
      </c>
      <c r="D16" s="1">
        <f>IF(784020&gt;0,100*18111/784020,"")</f>
        <v>2.310017601591796</v>
      </c>
      <c r="E16" s="1">
        <f>IF(COUNT(C16:D16)=2,D16-C16,"")</f>
        <v>-18.058799151659148</v>
      </c>
      <c r="H16" s="1">
        <v>14</v>
      </c>
      <c r="I16" s="1">
        <v>13</v>
      </c>
      <c r="J16" s="1">
        <f>IF(1084239&gt;0,100*226536/1084239,"")</f>
        <v>20.893548378171232</v>
      </c>
      <c r="K16" s="1">
        <f>IF(1044026&gt;0,100*142477/1044026,"")</f>
        <v>13.646882357335928</v>
      </c>
      <c r="L16" s="1">
        <f>IF(COUNT(J16:K16)=2,K16-J16,"")</f>
        <v>-7.246666020835304</v>
      </c>
      <c r="O16" s="1">
        <v>14</v>
      </c>
      <c r="P16" s="1">
        <v>13</v>
      </c>
      <c r="Q16" s="1">
        <f>IF(670550&gt;0,100*11588/670550,"")</f>
        <v>1.7281336216538663</v>
      </c>
      <c r="R16" s="1">
        <f>IF(896112&gt;0,100*92970/896112,"")</f>
        <v>10.374819219026193</v>
      </c>
      <c r="S16" s="1">
        <f>IF(COUNT(Q16:R16)=2,R16-Q16,"")</f>
        <v>8.646685597372327</v>
      </c>
    </row>
    <row r="17" spans="1:19">
      <c r="A17" s="1">
        <v>15</v>
      </c>
      <c r="B17" s="1">
        <v>14</v>
      </c>
      <c r="C17" s="1">
        <f>IF(1540895&gt;0,100*542667/1540895,"")</f>
        <v>35.217649482930376</v>
      </c>
      <c r="D17" s="1">
        <f>IF(1516315&gt;0,100*390376/1516315,"")</f>
        <v>25.745046378885654</v>
      </c>
      <c r="E17" s="1">
        <f>IF(COUNT(C17:D17)=2,D17-C17,"")</f>
        <v>-9.472603104044722</v>
      </c>
      <c r="H17" s="1">
        <v>15</v>
      </c>
      <c r="I17" s="1">
        <v>14</v>
      </c>
      <c r="J17" s="1">
        <f>IF(1976548&gt;0,100*795333/1976548,"")</f>
        <v>40.238486492612374</v>
      </c>
      <c r="K17" s="1">
        <f>IF(1613367&gt;0,100*302080/1613367,"")</f>
        <v>18.72357622289287</v>
      </c>
      <c r="L17" s="1">
        <f>IF(COUNT(J17:K17)=2,K17-J17,"")</f>
        <v>-21.514910269719504</v>
      </c>
      <c r="O17" s="1">
        <v>15</v>
      </c>
      <c r="P17" s="1">
        <v>14</v>
      </c>
      <c r="Q17" s="1">
        <f>IF(1789842&gt;0,100*586809/1789842,"")</f>
        <v>32.78551961569792</v>
      </c>
      <c r="R17" s="1">
        <f>IF(1285573&gt;0,100*171960/1285573,"")</f>
        <v>13.37613655545037</v>
      </c>
      <c r="S17" s="1">
        <f>IF(COUNT(Q17:R17)=2,R17-Q17,"")</f>
        <v>-19.40938306024755</v>
      </c>
    </row>
    <row r="18" spans="1:19">
      <c r="A18" s="1">
        <v>16</v>
      </c>
      <c r="B18" s="1">
        <v>15</v>
      </c>
      <c r="C18" s="1">
        <f>IF(1507412&gt;0,100*534395/1507412,"")</f>
        <v>35.45115734782528</v>
      </c>
      <c r="D18" s="1">
        <f>IF(1219101&gt;0,100*247135/1219101,"")</f>
        <v>20.271905281022654</v>
      </c>
      <c r="E18" s="1">
        <f>IF(COUNT(C18:D18)=2,D18-C18,"")</f>
        <v>-15.179252066802626</v>
      </c>
      <c r="H18" s="1">
        <v>16</v>
      </c>
      <c r="I18" s="1">
        <v>15</v>
      </c>
      <c r="J18" s="1">
        <f>IF(1507965&gt;0,100*427666/1507965,"")</f>
        <v>28.36047255738694</v>
      </c>
      <c r="K18" s="1">
        <f>IF(1015622&gt;0,100*45079/1015622,"")</f>
        <v>4.438560803133449</v>
      </c>
      <c r="L18" s="1">
        <f>IF(COUNT(J18:K18)=2,K18-J18,"")</f>
        <v>-23.921911754253493</v>
      </c>
      <c r="O18" s="1">
        <v>16</v>
      </c>
      <c r="P18" s="1">
        <v>15</v>
      </c>
      <c r="Q18" s="1">
        <f>IF(1644242&gt;0,100*542962/1644242,"")</f>
        <v>33.02202473845091</v>
      </c>
      <c r="R18" s="1">
        <f>IF(1167928&gt;0,100*153346/1167928,"")</f>
        <v>13.129747724174777</v>
      </c>
      <c r="S18" s="1">
        <f>IF(COUNT(Q18:R18)=2,R18-Q18,"")</f>
        <v>-19.892277014276132</v>
      </c>
    </row>
    <row r="19" spans="1:19">
      <c r="A19" s="1">
        <v>17</v>
      </c>
      <c r="B19" s="1">
        <v>16</v>
      </c>
      <c r="C19" s="1">
        <f>IF(642367&gt;0,100*51947/642367,"")</f>
        <v>8.08681018794552</v>
      </c>
      <c r="D19" s="1">
        <f>IF(605178&gt;0,100*23952/605178,"")</f>
        <v>3.9578438079374996</v>
      </c>
      <c r="E19" s="1">
        <f>IF(COUNT(C19:D19)=2,D19-C19,"")</f>
        <v>-4.128966380008021</v>
      </c>
      <c r="H19" s="1">
        <v>17</v>
      </c>
      <c r="I19" s="1">
        <v>16</v>
      </c>
      <c r="J19" s="1">
        <f>IF(1858121&gt;0,100*695653/1858121,"")</f>
        <v>37.4385198811057</v>
      </c>
      <c r="K19" s="1">
        <f>IF(1308710&gt;0,100*253378/1308710,"")</f>
        <v>19.3608973722215</v>
      </c>
      <c r="L19" s="1">
        <f>IF(COUNT(J19:K19)=2,K19-J19,"")</f>
        <v>-18.077622508884197</v>
      </c>
      <c r="O19" s="1">
        <v>17</v>
      </c>
      <c r="P19" s="1">
        <v>16</v>
      </c>
      <c r="Q19" s="1">
        <f>IF(1134999&gt;0,100*244255/1134999,"")</f>
        <v>21.520283277782625</v>
      </c>
      <c r="R19" s="1">
        <f>IF(1222678&gt;0,100*211974/1222678,"")</f>
        <v>17.336862199205353</v>
      </c>
      <c r="S19" s="1">
        <f>IF(COUNT(Q19:R19)=2,R19-Q19,"")</f>
        <v>-4.183421078577272</v>
      </c>
    </row>
    <row r="20" spans="1:19">
      <c r="A20" s="1">
        <v>18</v>
      </c>
      <c r="B20" s="1">
        <v>17</v>
      </c>
      <c r="C20" s="1">
        <f>IF(594640&gt;0,100*3581/594640,"")</f>
        <v>0.6022131037266245</v>
      </c>
      <c r="D20" s="1">
        <f>IF(626504&gt;0,100*15092/626504,"")</f>
        <v>2.408923167290233</v>
      </c>
      <c r="E20" s="1">
        <f>IF(COUNT(C20:D20)=2,D20-C20,"")</f>
        <v>1.8067100635636084</v>
      </c>
      <c r="H20" s="1">
        <v>18</v>
      </c>
      <c r="I20" s="1">
        <v>17</v>
      </c>
      <c r="J20" s="1">
        <f>IF(1593567&gt;0,100*381148/1593567,"")</f>
        <v>23.917914966863645</v>
      </c>
      <c r="K20" s="1">
        <f>IF(1050211&gt;0,100*73309/1050211,"")</f>
        <v>6.980406794444164</v>
      </c>
      <c r="L20" s="1">
        <f>IF(COUNT(J20:K20)=2,K20-J20,"")</f>
        <v>-16.93750817241948</v>
      </c>
      <c r="O20" s="1">
        <v>18</v>
      </c>
      <c r="P20" s="1">
        <v>17</v>
      </c>
      <c r="Q20" s="1">
        <f>IF(1362366&gt;0,100*418939/1362366,"")</f>
        <v>30.750840816638114</v>
      </c>
      <c r="R20" s="1">
        <f>IF(1225082&gt;0,100*157628/1225082,"")</f>
        <v>12.86673055354662</v>
      </c>
      <c r="S20" s="1">
        <f>IF(COUNT(Q20:R20)=2,R20-Q20,"")</f>
        <v>-17.884110263091493</v>
      </c>
    </row>
    <row r="21" spans="1:19">
      <c r="A21" s="1">
        <v>19</v>
      </c>
      <c r="B21" s="1">
        <v>18</v>
      </c>
      <c r="C21" s="1">
        <f>IF(1610751&gt;0,100*584870/1610751,"")</f>
        <v>36.31039186069107</v>
      </c>
      <c r="D21" s="1">
        <f>IF(1187133&gt;0,100*213168/1187133,"")</f>
        <v>17.956538989312907</v>
      </c>
      <c r="E21" s="1">
        <f>IF(COUNT(C21:D21)=2,D21-C21,"")</f>
        <v>-18.353852871378162</v>
      </c>
      <c r="H21" s="1">
        <v>19</v>
      </c>
      <c r="I21" s="1">
        <v>18</v>
      </c>
      <c r="J21" s="1">
        <f>IF(959902&gt;0,100*142934/959902,"")</f>
        <v>14.89047840300364</v>
      </c>
      <c r="K21" s="1">
        <f>IF(1175295&gt;0,100*103143/1175295,"")</f>
        <v>8.775924342399142</v>
      </c>
      <c r="L21" s="1">
        <f>IF(COUNT(J21:K21)=2,K21-J21,"")</f>
        <v>-6.1145540606044975</v>
      </c>
      <c r="O21" s="1">
        <v>19</v>
      </c>
      <c r="P21" s="1">
        <v>18</v>
      </c>
      <c r="Q21" s="1">
        <f>IF(1024717&gt;0,100*193814/1024717,"")</f>
        <v>18.91390500987102</v>
      </c>
      <c r="R21" s="1">
        <f>IF(1156933&gt;0,100*152091/1156933,"")</f>
        <v>13.146050808473783</v>
      </c>
      <c r="S21" s="1">
        <f>IF(COUNT(Q21:R21)=2,R21-Q21,"")</f>
        <v>-5.7678542013972365</v>
      </c>
    </row>
    <row r="22" spans="1:19">
      <c r="A22" s="1">
        <v>20</v>
      </c>
      <c r="B22" s="1">
        <v>19</v>
      </c>
      <c r="C22" s="1">
        <f>IF(1151574&gt;0,100*385861/1151574,"")</f>
        <v>33.50726918113816</v>
      </c>
      <c r="D22" s="1">
        <f>IF(1249653&gt;0,100*158678/1249653,"")</f>
        <v>12.69776489953611</v>
      </c>
      <c r="E22" s="1">
        <f>IF(COUNT(C22:D22)=2,D22-C22,"")</f>
        <v>-20.809504281602052</v>
      </c>
      <c r="H22" s="1">
        <v>20</v>
      </c>
      <c r="I22" s="1">
        <v>19</v>
      </c>
      <c r="J22" s="1">
        <f>IF(795490&gt;0,100*93263/795490,"")</f>
        <v>11.723968874530163</v>
      </c>
      <c r="K22" s="1">
        <f>IF(917106&gt;0,100*112080/917106,"")</f>
        <v>12.221051874047275</v>
      </c>
      <c r="L22" s="1">
        <f>IF(COUNT(J22:K22)=2,K22-J22,"")</f>
        <v>0.49708299951711155</v>
      </c>
      <c r="O22" s="1">
        <v>20</v>
      </c>
      <c r="P22" s="1">
        <v>19</v>
      </c>
      <c r="Q22" s="1">
        <f>IF(1318480&gt;0,100*350952/1318480,"")</f>
        <v>26.617923669680238</v>
      </c>
      <c r="R22" s="1">
        <f>IF(1227505&gt;0,100*98279/1227505,"")</f>
        <v>8.00640323257339</v>
      </c>
      <c r="S22" s="1">
        <f>IF(COUNT(Q22:R22)=2,R22-Q22,"")</f>
        <v>-18.611520437106847</v>
      </c>
    </row>
    <row r="23" spans="1:19">
      <c r="A23" s="1">
        <v>21</v>
      </c>
      <c r="B23" s="1">
        <v>20</v>
      </c>
      <c r="C23" s="1">
        <f>IF(1068079&gt;0,100*233010/1068079,"")</f>
        <v>21.815802014644984</v>
      </c>
      <c r="D23" s="1">
        <f>IF(1077490&gt;0,100*194290/1077490,"")</f>
        <v>18.031721872128745</v>
      </c>
      <c r="E23" s="1">
        <f>IF(COUNT(C23:D23)=2,D23-C23,"")</f>
        <v>-3.7840801425162383</v>
      </c>
      <c r="H23" s="1">
        <v>21</v>
      </c>
      <c r="I23" s="1">
        <v>20</v>
      </c>
      <c r="J23" s="1">
        <f>IF(2064525&gt;0,100*814911/2064525,"")</f>
        <v>39.47208195589785</v>
      </c>
      <c r="K23" s="1">
        <f>IF(1024828&gt;0,100*155505/1024828,"")</f>
        <v>15.173765744105353</v>
      </c>
      <c r="L23" s="1">
        <f>IF(COUNT(J23:K23)=2,K23-J23,"")</f>
        <v>-24.298316211792496</v>
      </c>
      <c r="O23" s="1">
        <v>21</v>
      </c>
      <c r="P23" s="1">
        <v>20</v>
      </c>
      <c r="Q23" s="1">
        <f>IF(988289&gt;0,100*243580/988289,"")</f>
        <v>24.646636763133053</v>
      </c>
      <c r="R23" s="1">
        <f>IF(1645410&gt;0,100*314423/1645410,"")</f>
        <v>19.10909742860442</v>
      </c>
      <c r="S23" s="1">
        <f>IF(COUNT(Q23:R23)=2,R23-Q23,"")</f>
        <v>-5.537539334528631</v>
      </c>
    </row>
    <row r="24" spans="1:19">
      <c r="A24" s="1">
        <v>22</v>
      </c>
      <c r="B24" s="1">
        <v>21</v>
      </c>
      <c r="C24" s="1">
        <f>IF(1338290&gt;0,100*468761/1338290,"")</f>
        <v>35.0268626381427</v>
      </c>
      <c r="D24" s="1">
        <f>IF(964466&gt;0,100*166069/964466,"")</f>
        <v>17.218751101645886</v>
      </c>
      <c r="E24" s="1">
        <f>IF(COUNT(C24:D24)=2,D24-C24,"")</f>
        <v>-17.808111536496817</v>
      </c>
      <c r="H24" s="1">
        <v>22</v>
      </c>
      <c r="I24" s="1">
        <v>21</v>
      </c>
      <c r="J24" s="1">
        <f>IF(1478082&gt;0,100*446963/1478082,"")</f>
        <v>30.23939131929081</v>
      </c>
      <c r="K24" s="1">
        <f>IF(1104942&gt;0,100*192247/1104942,"")</f>
        <v>17.398831793886014</v>
      </c>
      <c r="L24" s="1">
        <f>IF(COUNT(J24:K24)=2,K24-J24,"")</f>
        <v>-12.840559525404796</v>
      </c>
      <c r="O24" s="1">
        <v>22</v>
      </c>
      <c r="P24" s="1">
        <v>21</v>
      </c>
      <c r="Q24" s="1">
        <f>IF(1372655&gt;0,100*332190/1372655,"")</f>
        <v>24.20054565786742</v>
      </c>
      <c r="R24" s="1">
        <f>IF(1050657&gt;0,100*164066/1050657,"")</f>
        <v>15.615562452827136</v>
      </c>
      <c r="S24" s="1">
        <f>IF(COUNT(Q24:R24)=2,R24-Q24,"")</f>
        <v>-8.584983205040283</v>
      </c>
    </row>
    <row r="25" spans="1:19">
      <c r="A25" s="1">
        <v>23</v>
      </c>
      <c r="B25" s="1">
        <v>22</v>
      </c>
      <c r="C25" s="1">
        <f>IF(509320&gt;0,100*1248/509320,"")</f>
        <v>0.24503259247624284</v>
      </c>
      <c r="D25" s="1">
        <f>IF(512260&gt;0,100*1074/512260,"")</f>
        <v>0.2096591574591028</v>
      </c>
      <c r="E25" s="1">
        <f>IF(COUNT(C25:D25)=2,D25-C25,"")</f>
        <v>-0.03537343501714005</v>
      </c>
      <c r="H25" s="1">
        <v>23</v>
      </c>
      <c r="I25" s="1">
        <v>22</v>
      </c>
      <c r="J25" s="1">
        <f>IF(1340391&gt;0,100*238132/1340391,"")</f>
        <v>17.765860857018588</v>
      </c>
      <c r="K25" s="1">
        <f>IF(1110476&gt;0,100*103040/1110476,"")</f>
        <v>9.278903821424326</v>
      </c>
      <c r="L25" s="1">
        <f>IF(COUNT(J25:K25)=2,K25-J25,"")</f>
        <v>-8.486957035594262</v>
      </c>
      <c r="O25" s="1">
        <v>23</v>
      </c>
      <c r="P25" s="1">
        <v>22</v>
      </c>
      <c r="Q25" s="1">
        <f>IF(1673110&gt;0,100*548899/1673110,"")</f>
        <v>32.80710772154849</v>
      </c>
      <c r="R25" s="1">
        <f>IF(1213036&gt;0,100*184623/1213036,"")</f>
        <v>15.219911033143287</v>
      </c>
      <c r="S25" s="1">
        <f>IF(COUNT(Q25:R25)=2,R25-Q25,"")</f>
        <v>-17.587196688405204</v>
      </c>
    </row>
    <row r="26" spans="1:19">
      <c r="A26" s="1">
        <v>24</v>
      </c>
      <c r="B26" s="1">
        <v>23</v>
      </c>
      <c r="C26" s="1">
        <f>IF(914755&gt;0,100*175077/914755,"")</f>
        <v>19.139223070658264</v>
      </c>
      <c r="D26" s="1">
        <f>IF(1034197&gt;0,100*22810/1034197,"")</f>
        <v>2.2055759202550385</v>
      </c>
      <c r="E26" s="1">
        <f>IF(COUNT(C26:D26)=2,D26-C26,"")</f>
        <v>-16.933647150403225</v>
      </c>
      <c r="H26" s="1">
        <v>24</v>
      </c>
      <c r="I26" s="1">
        <v>23</v>
      </c>
      <c r="J26" s="1">
        <f>IF(1715105&gt;0,100*545055/1715105,"")</f>
        <v>31.77968695794135</v>
      </c>
      <c r="K26" s="1">
        <f>IF(1217215&gt;0,100*134979/1217215,"")</f>
        <v>11.089166663243551</v>
      </c>
      <c r="L26" s="1">
        <f>IF(COUNT(J26:K26)=2,K26-J26,"")</f>
        <v>-20.690520294697798</v>
      </c>
      <c r="O26" s="1">
        <v>24</v>
      </c>
      <c r="P26" s="1">
        <v>23</v>
      </c>
      <c r="Q26" s="1">
        <f>IF(1476074&gt;0,100*377502/1476074,"")</f>
        <v>25.57473405804858</v>
      </c>
      <c r="R26" s="1">
        <f>IF(1066726&gt;0,100*91679/1066726,"")</f>
        <v>8.594428184932212</v>
      </c>
      <c r="S26" s="1">
        <f>IF(COUNT(Q26:R26)=2,R26-Q26,"")</f>
        <v>-16.980305873116368</v>
      </c>
    </row>
    <row r="27" spans="1:19">
      <c r="A27" s="1">
        <v>25</v>
      </c>
      <c r="B27" s="1">
        <v>24</v>
      </c>
      <c r="C27" s="1">
        <f>IF(1691255&gt;0,100*656381/1691255,"")</f>
        <v>38.81029176558236</v>
      </c>
      <c r="D27" s="1">
        <f>IF(1368574&gt;0,100*280889/1368574,"")</f>
        <v>20.524209871004416</v>
      </c>
      <c r="E27" s="1">
        <f>IF(COUNT(C27:D27)=2,D27-C27,"")</f>
        <v>-18.286081894577947</v>
      </c>
      <c r="H27" s="1">
        <v>25</v>
      </c>
      <c r="I27" s="1">
        <v>24</v>
      </c>
      <c r="J27" s="1">
        <f>IF(1222508&gt;0,100*246917/1222508,"")</f>
        <v>20.197577439166043</v>
      </c>
      <c r="K27" s="1">
        <f>IF(869924&gt;0,100*29531/869924,"")</f>
        <v>3.3946643614844514</v>
      </c>
      <c r="L27" s="1">
        <f>IF(COUNT(J27:K27)=2,K27-J27,"")</f>
        <v>-16.80291307768159</v>
      </c>
      <c r="O27" s="1">
        <v>25</v>
      </c>
      <c r="P27" s="1">
        <v>24</v>
      </c>
      <c r="Q27" s="1">
        <f>IF(1190475&gt;0,100*83215/1190475,"")</f>
        <v>6.99006699006699</v>
      </c>
      <c r="R27" s="1">
        <f>IF(1078150&gt;0,100*80377/1078150,"")</f>
        <v>7.455085099475954</v>
      </c>
      <c r="S27" s="1">
        <f>IF(COUNT(Q27:R27)=2,R27-Q27,"")</f>
        <v>0.46501810940896426</v>
      </c>
    </row>
    <row r="28" spans="1:19">
      <c r="A28" s="1">
        <v>26</v>
      </c>
      <c r="B28" s="1">
        <v>25</v>
      </c>
      <c r="C28" s="1">
        <f>IF(1683042&gt;0,100*681416/1683042,"")</f>
        <v>40.48716550151452</v>
      </c>
      <c r="D28" s="1">
        <f>IF(111930&gt;0,100*16705/111930,"")</f>
        <v>14.924506387921022</v>
      </c>
      <c r="E28" s="1">
        <f>IF(COUNT(C28:D28)=2,D28-C28,"")</f>
        <v>-25.562659113593497</v>
      </c>
      <c r="H28" s="1">
        <v>26</v>
      </c>
      <c r="I28" s="1">
        <v>25</v>
      </c>
      <c r="J28" s="1">
        <f>IF(1827352&gt;0,100*581318/1827352,"")</f>
        <v>31.8120427810296</v>
      </c>
      <c r="K28" s="1">
        <f>IF(1328303&gt;0,100*220278/1328303,"")</f>
        <v>16.583415079240204</v>
      </c>
      <c r="L28" s="1">
        <f>IF(COUNT(J28:K28)=2,K28-J28,"")</f>
        <v>-15.228627701789396</v>
      </c>
      <c r="O28" s="1">
        <v>26</v>
      </c>
      <c r="P28" s="1">
        <v>25</v>
      </c>
      <c r="Q28" s="1">
        <f>IF(1679034&gt;0,100*488863/1679034,"")</f>
        <v>29.11572963978097</v>
      </c>
      <c r="R28" s="1">
        <f>IF(1231794&gt;0,100*146337/1231794,"")</f>
        <v>11.87998967359802</v>
      </c>
      <c r="S28" s="1">
        <f>IF(COUNT(Q28:R28)=2,R28-Q28,"")</f>
        <v>-17.235739966182948</v>
      </c>
    </row>
    <row r="29" spans="1:19">
      <c r="A29" s="1">
        <v>27</v>
      </c>
      <c r="B29" s="1">
        <v>26</v>
      </c>
      <c r="C29" s="1">
        <f>IF(1557766&gt;0,100*464581/1557766,"")</f>
        <v>29.823542175140553</v>
      </c>
      <c r="D29" s="1">
        <f>IF(922467&gt;0,100*142331/922467,"")</f>
        <v>15.429386633885006</v>
      </c>
      <c r="E29" s="1">
        <f>IF(COUNT(C29:D29)=2,D29-C29,"")</f>
        <v>-14.394155541255547</v>
      </c>
      <c r="H29" s="1">
        <v>27</v>
      </c>
      <c r="I29" s="1">
        <v>26</v>
      </c>
      <c r="J29" s="1">
        <f>IF(1255658&gt;0,100*171678/1255658,"")</f>
        <v>13.672353459301815</v>
      </c>
      <c r="K29" s="1">
        <f>IF(1286988&gt;0,100*166473/1286988,"")</f>
        <v>12.935085641824166</v>
      </c>
      <c r="L29" s="1">
        <f>IF(COUNT(J29:K29)=2,K29-J29,"")</f>
        <v>-0.7372678174776492</v>
      </c>
      <c r="O29" s="1">
        <v>27</v>
      </c>
      <c r="P29" s="1">
        <v>26</v>
      </c>
      <c r="Q29" s="1">
        <f>IF(2118549&gt;0,100*871261/2118549,"")</f>
        <v>41.12536457735931</v>
      </c>
      <c r="R29" s="1">
        <f>IF(1268769&gt;0,100*221007/1268769,"")</f>
        <v>17.419010079849052</v>
      </c>
      <c r="S29" s="1">
        <f>IF(COUNT(Q29:R29)=2,R29-Q29,"")</f>
        <v>-23.70635449751026</v>
      </c>
    </row>
    <row r="30" spans="1:19">
      <c r="A30" s="1">
        <v>28</v>
      </c>
      <c r="B30" s="1">
        <v>27</v>
      </c>
      <c r="C30" s="1">
        <f>IF(506350&gt;0,100*449/506350,"")</f>
        <v>0.08867384220400909</v>
      </c>
      <c r="D30" s="1">
        <f>IF(507421&gt;0,100*599/507421,"")</f>
        <v>0.11804793258457967</v>
      </c>
      <c r="E30" s="1">
        <f>IF(COUNT(C30:D30)=2,D30-C30,"")</f>
        <v>0.02937409038057058</v>
      </c>
      <c r="H30" s="1">
        <v>28</v>
      </c>
      <c r="I30" s="1">
        <v>27</v>
      </c>
      <c r="J30" s="1">
        <f>IF(1718872&gt;0,100*583484/1718872,"")</f>
        <v>33.94575046891217</v>
      </c>
      <c r="K30" s="1">
        <f>IF(1319603&gt;0,100*203424/1319603,"")</f>
        <v>15.415545432982496</v>
      </c>
      <c r="L30" s="1">
        <f>IF(COUNT(J30:K30)=2,K30-J30,"")</f>
        <v>-18.530205035929676</v>
      </c>
      <c r="O30" s="1">
        <v>28</v>
      </c>
      <c r="P30" s="1">
        <v>27</v>
      </c>
      <c r="Q30" s="1">
        <f>IF(1202604&gt;0,100*322949/1202604,"")</f>
        <v>26.8541431759748</v>
      </c>
      <c r="R30" s="1">
        <f>IF(1091097&gt;0,100*72628/1091097,"")</f>
        <v>6.656420098304734</v>
      </c>
      <c r="S30" s="1">
        <f>IF(COUNT(Q30:R30)=2,R30-Q30,"")</f>
        <v>-20.19772307767007</v>
      </c>
    </row>
    <row r="31" spans="1:19">
      <c r="A31" s="1">
        <v>29</v>
      </c>
      <c r="B31" s="1">
        <v>28</v>
      </c>
      <c r="C31" s="1">
        <f>IF(1614535&gt;0,100*599059/1614535,"")</f>
        <v>37.104119762036746</v>
      </c>
      <c r="D31" s="1">
        <f>IF(1434119&gt;0,100*341479/1434119,"")</f>
        <v>23.811064493253348</v>
      </c>
      <c r="E31" s="1">
        <f>IF(COUNT(C31:D31)=2,D31-C31,"")</f>
        <v>-13.293055268783398</v>
      </c>
      <c r="H31" s="1">
        <v>29</v>
      </c>
      <c r="I31" s="1">
        <v>28</v>
      </c>
      <c r="J31" s="1">
        <f>IF(1707787&gt;0,100*644845/1707787,"")</f>
        <v>37.75909993459371</v>
      </c>
      <c r="K31" s="1">
        <f>IF(1396176&gt;0,100*230012/1396176,"")</f>
        <v>16.47442729283414</v>
      </c>
      <c r="L31" s="1">
        <f>IF(COUNT(J31:K31)=2,K31-J31,"")</f>
        <v>-21.284672641759574</v>
      </c>
      <c r="O31" s="1">
        <v>29</v>
      </c>
      <c r="P31" s="1">
        <v>28</v>
      </c>
      <c r="Q31" s="1">
        <f>IF(1781585&gt;0,100*685393/1781585,"")</f>
        <v>38.47096826702066</v>
      </c>
      <c r="R31" s="1">
        <f>IF(1227855&gt;0,100*192994/1227855,"")</f>
        <v>15.71797972887678</v>
      </c>
      <c r="S31" s="1">
        <f>IF(COUNT(Q31:R31)=2,R31-Q31,"")</f>
        <v>-22.752988538143878</v>
      </c>
    </row>
    <row r="32" spans="1:19">
      <c r="A32" s="1">
        <v>30</v>
      </c>
      <c r="B32" s="1">
        <v>29</v>
      </c>
      <c r="C32" s="1">
        <f>IF(1722125&gt;0,100*685666/1722125,"")</f>
        <v>39.81511214342745</v>
      </c>
      <c r="D32" s="1">
        <f>IF(1382263&gt;0,100*267363/1382263,"")</f>
        <v>19.34241168287077</v>
      </c>
      <c r="E32" s="1">
        <f>IF(COUNT(C32:D32)=2,D32-C32,"")</f>
        <v>-20.472700460556677</v>
      </c>
      <c r="H32" s="1">
        <v>30</v>
      </c>
      <c r="I32" s="1">
        <v>29</v>
      </c>
      <c r="J32" s="1">
        <f>IF(1183903&gt;0,100*336267/1183903,"")</f>
        <v>28.403256009994063</v>
      </c>
      <c r="K32" s="1">
        <f>IF(1214484&gt;0,100*179000/1214484,"")</f>
        <v>14.738769716192227</v>
      </c>
      <c r="L32" s="1">
        <f>IF(COUNT(J32:K32)=2,K32-J32,"")</f>
        <v>-13.664486293801836</v>
      </c>
      <c r="O32" s="1">
        <v>30</v>
      </c>
      <c r="P32" s="1">
        <v>29</v>
      </c>
      <c r="Q32" s="1">
        <f>IF(1267752&gt;0,100*304833/1267752,"")</f>
        <v>24.045160252162884</v>
      </c>
      <c r="R32" s="1">
        <f>IF(1383483&gt;0,100*233974/1383483,"")</f>
        <v>16.911953381429335</v>
      </c>
      <c r="S32" s="1">
        <f>IF(COUNT(Q32:R32)=2,R32-Q32,"")</f>
        <v>-7.133206870733549</v>
      </c>
    </row>
    <row r="33" spans="1:19">
      <c r="A33" s="1">
        <v>31</v>
      </c>
      <c r="B33" s="1">
        <v>30</v>
      </c>
      <c r="C33" s="1">
        <f>IF(758539&gt;0,100*11909/758539,"")</f>
        <v>1.569991786842865</v>
      </c>
      <c r="D33" s="1">
        <f>IF(953975&gt;0,100*2857/953975,"")</f>
        <v>0.2994837390916953</v>
      </c>
      <c r="E33" s="1">
        <f>IF(COUNT(C33:D33)=2,D33-C33,"")</f>
        <v>-1.2705080477511697</v>
      </c>
      <c r="H33" s="1">
        <v>31</v>
      </c>
      <c r="I33" s="1">
        <v>30</v>
      </c>
      <c r="J33" s="1">
        <f>IF(1372764&gt;0,100*366154/1372764,"")</f>
        <v>26.67275656995667</v>
      </c>
      <c r="K33" s="1">
        <f>IF(1419012&gt;0,100*293816/1419012,"")</f>
        <v>20.70567408873216</v>
      </c>
      <c r="L33" s="1">
        <f>IF(COUNT(J33:K33)=2,K33-J33,"")</f>
        <v>-5.967082481224512</v>
      </c>
      <c r="O33" s="1">
        <v>31</v>
      </c>
      <c r="P33" s="1">
        <v>30</v>
      </c>
      <c r="Q33" s="1">
        <f>IF(1698653&gt;0,100*588007/1698653,"")</f>
        <v>34.616075207826434</v>
      </c>
      <c r="R33" s="1">
        <f>IF(1280319&gt;0,100*229728/1280319,"")</f>
        <v>17.943028260925598</v>
      </c>
      <c r="S33" s="1">
        <f>IF(COUNT(Q33:R33)=2,R33-Q33,"")</f>
        <v>-16.673046946900836</v>
      </c>
    </row>
    <row r="34" spans="1:19">
      <c r="A34" s="2" t="s">
        <v>6</v>
      </c>
      <c r="B34" s="1"/>
      <c r="C34" s="1">
        <f>IF(COUNT(C3:C33)&gt;0,AVERAGE(C3:C33),"")</f>
        <v>28.37755704515853</v>
      </c>
      <c r="D34" s="1">
        <f>IF(COUNT(D3:D33)&gt;0,AVERAGE(D3:D33),"")</f>
        <v>13.909335122247729</v>
      </c>
      <c r="E34" s="1">
        <f>IF(COUNT(E3:E33)&gt;0,AVERAGE(E3:E33),"")</f>
        <v>-14.468221922910802</v>
      </c>
      <c r="H34" s="2" t="s">
        <v>6</v>
      </c>
      <c r="I34" s="1"/>
      <c r="J34" s="1">
        <f>IF(COUNT(J3:J33)&gt;0,AVERAGE(J3:J33),"")</f>
        <v>23.048785214991636</v>
      </c>
      <c r="K34" s="1">
        <f>IF(COUNT(K3:K33)&gt;0,AVERAGE(K3:K33),"")</f>
        <v>12.869722530730796</v>
      </c>
      <c r="L34" s="1">
        <f>IF(COUNT(L3:L33)&gt;0,AVERAGE(L3:L33),"")</f>
        <v>-10.179062684260838</v>
      </c>
      <c r="O34" s="2" t="s">
        <v>6</v>
      </c>
      <c r="P34" s="1"/>
      <c r="Q34" s="1">
        <f>IF(COUNT(Q3:Q33)&gt;0,AVERAGE(Q3:Q33),"")</f>
        <v>24.644136830215917</v>
      </c>
      <c r="R34" s="1">
        <f>IF(COUNT(R3:R33)&gt;0,AVERAGE(R3:R33),"")</f>
        <v>12.564554110567007</v>
      </c>
      <c r="S34" s="1">
        <f>IF(COUNT(S3:S33)&gt;0,AVERAGE(S3:S33),"")</f>
        <v>-12.079582719648911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IF(1093423&gt;0,100*121600/1093423,"")</f>
        <v>11.121039158678755</v>
      </c>
      <c r="D39" s="1">
        <f>IF(1172756&gt;0,100*132348/1172756,"")</f>
        <v>11.285211928141916</v>
      </c>
      <c r="E39" s="1">
        <f>IF(COUNT(C39:D39)=2,D39-C39,"")</f>
        <v>0.1641727694631605</v>
      </c>
      <c r="H39" s="1">
        <v>1</v>
      </c>
      <c r="I39" s="1">
        <v>0</v>
      </c>
      <c r="J39" s="1">
        <f>IF(2001661&gt;0,100*613984/2001661,"")</f>
        <v>30.673725470996338</v>
      </c>
      <c r="K39" s="1">
        <f>IF(1174627&gt;0,100*63681/1174627,"")</f>
        <v>5.421380574429159</v>
      </c>
      <c r="L39" s="1">
        <f>IF(COUNT(J39:K39)=2,K39-J39,"")</f>
        <v>-25.25234489656718</v>
      </c>
      <c r="O39" s="1">
        <v>1</v>
      </c>
      <c r="P39" s="1">
        <v>0</v>
      </c>
      <c r="Q39" s="1">
        <f>IF(1572820&gt;0,100*273004/1572820,"")</f>
        <v>17.35761244134739</v>
      </c>
      <c r="R39" s="1">
        <f>IF(1116738&gt;0,100*80614/1116738,"")</f>
        <v>7.218703044044351</v>
      </c>
      <c r="S39" s="1">
        <f>IF(COUNT(Q39:R39)=2,R39-Q39,"")</f>
        <v>-10.138909397303038</v>
      </c>
    </row>
    <row r="40" spans="1:19">
      <c r="A40" s="1">
        <v>2</v>
      </c>
      <c r="B40" s="1">
        <v>1</v>
      </c>
      <c r="C40" s="1">
        <f>IF(1205676&gt;0,100*374828/1205676,"")</f>
        <v>31.08861750586393</v>
      </c>
      <c r="D40" s="1">
        <f>IF(819849&gt;0,100*146972/819849,"")</f>
        <v>17.926715773270445</v>
      </c>
      <c r="E40" s="1">
        <f>IF(COUNT(C40:D40)=2,D40-C40,"")</f>
        <v>-13.161901732593485</v>
      </c>
      <c r="H40" s="1">
        <v>2</v>
      </c>
      <c r="I40" s="1">
        <v>1</v>
      </c>
      <c r="J40" s="1">
        <f>IF(2100504&gt;0,100*794890/2100504,"")</f>
        <v>37.84282248450848</v>
      </c>
      <c r="K40" s="1">
        <f>IF(1579807&gt;0,100*226524/1579807,"")</f>
        <v>14.338713526399111</v>
      </c>
      <c r="L40" s="1">
        <f>IF(COUNT(J40:K40)=2,K40-J40,"")</f>
        <v>-23.50410895810937</v>
      </c>
      <c r="O40" s="1">
        <v>2</v>
      </c>
      <c r="P40" s="1">
        <v>1</v>
      </c>
      <c r="Q40" s="1">
        <f>IF(2271111&gt;0,100*972080/2271111,"")</f>
        <v>42.801959041191736</v>
      </c>
      <c r="R40" s="1">
        <f>IF(1542296&gt;0,100*197526/1542296,"")</f>
        <v>12.807269162339784</v>
      </c>
      <c r="S40" s="1">
        <f>IF(COUNT(Q40:R40)=2,R40-Q40,"")</f>
        <v>-29.99468987885195</v>
      </c>
    </row>
    <row r="41" spans="1:19">
      <c r="A41" s="1">
        <v>3</v>
      </c>
      <c r="B41" s="1">
        <v>2</v>
      </c>
      <c r="C41" s="1">
        <f>IF(1607803&gt;0,100*670978/1607803,"")</f>
        <v>41.732600324791036</v>
      </c>
      <c r="D41" s="1">
        <f>IF(1572234&gt;0,100*238078/1572234,"")</f>
        <v>15.14265688186364</v>
      </c>
      <c r="E41" s="1">
        <f>IF(COUNT(C41:D41)=2,D41-C41,"")</f>
        <v>-26.589943442927396</v>
      </c>
      <c r="H41" s="1">
        <v>3</v>
      </c>
      <c r="I41" s="1">
        <v>2</v>
      </c>
      <c r="J41" s="1">
        <f>IF(2703819&gt;0,100*975381/2703819,"")</f>
        <v>36.0741972742998</v>
      </c>
      <c r="K41" s="1">
        <f>IF(1586885&gt;0,100*167049/1586885,"")</f>
        <v>10.526849771722588</v>
      </c>
      <c r="L41" s="1">
        <f>IF(COUNT(J41:K41)=2,K41-J41,"")</f>
        <v>-25.54734750257721</v>
      </c>
      <c r="O41" s="1">
        <v>3</v>
      </c>
      <c r="P41" s="1">
        <v>2</v>
      </c>
      <c r="Q41" s="1">
        <f>IF(2333406&gt;0,100*950771/2333406,"")</f>
        <v>40.746059622714604</v>
      </c>
      <c r="R41" s="1">
        <f>IF(1544855&gt;0,100*120537/1544855,"")</f>
        <v>7.80247984438669</v>
      </c>
      <c r="S41" s="1">
        <f>IF(COUNT(Q41:R41)=2,R41-Q41,"")</f>
        <v>-32.943579778327916</v>
      </c>
    </row>
    <row r="42" spans="1:19">
      <c r="A42" s="1">
        <v>4</v>
      </c>
      <c r="B42" s="1">
        <v>3</v>
      </c>
      <c r="C42" s="1">
        <f>IF(2016766&gt;0,100*855389/2016766,"")</f>
        <v>42.41389432388289</v>
      </c>
      <c r="D42" s="1">
        <f>IF(2082194&gt;0,100*377729/2082194,"")</f>
        <v>18.14091290244809</v>
      </c>
      <c r="E42" s="1">
        <f>IF(COUNT(C42:D42)=2,D42-C42,"")</f>
        <v>-24.272981421434803</v>
      </c>
      <c r="H42" s="1">
        <v>4</v>
      </c>
      <c r="I42" s="1">
        <v>3</v>
      </c>
      <c r="J42" s="1">
        <f>IF(1363146&gt;0,100*83089/1363146,"")</f>
        <v>6.09538523386343</v>
      </c>
      <c r="K42" s="1">
        <f>IF(1628360&gt;0,100*92393/1628360,"")</f>
        <v>5.67399100935911</v>
      </c>
      <c r="L42" s="1">
        <f>IF(COUNT(J42:K42)=2,K42-J42,"")</f>
        <v>-0.4213942245043203</v>
      </c>
      <c r="O42" s="1">
        <v>4</v>
      </c>
      <c r="P42" s="1">
        <v>3</v>
      </c>
      <c r="Q42" s="1">
        <f>IF(1406270&gt;0,100*83129/1406270,"")</f>
        <v>5.911311483570011</v>
      </c>
      <c r="R42" s="1">
        <f>IF(1257624&gt;0,100*59741/1257624,"")</f>
        <v>4.750306927984835</v>
      </c>
      <c r="S42" s="1">
        <f>IF(COUNT(Q42:R42)=2,R42-Q42,"")</f>
        <v>-1.1610045555851762</v>
      </c>
    </row>
    <row r="43" spans="1:19">
      <c r="A43" s="1">
        <v>5</v>
      </c>
      <c r="B43" s="1">
        <v>4</v>
      </c>
      <c r="C43" s="1">
        <f>IF(1270456&gt;0,100*222216/1270456,"")</f>
        <v>17.49104258628398</v>
      </c>
      <c r="D43" s="1">
        <f>IF(1392914&gt;0,100*50174/1392914,"")</f>
        <v>3.602088858321476</v>
      </c>
      <c r="E43" s="1">
        <f>IF(COUNT(C43:D43)=2,D43-C43,"")</f>
        <v>-13.888953727962505</v>
      </c>
      <c r="H43" s="1">
        <v>5</v>
      </c>
      <c r="I43" s="1">
        <v>4</v>
      </c>
      <c r="J43" s="1">
        <f>IF(2437241&gt;0,100*1028598/2437241,"")</f>
        <v>42.20337668699977</v>
      </c>
      <c r="K43" s="1">
        <f>IF(1302493&gt;0,100*140614/1302493,"")</f>
        <v>10.79575859524773</v>
      </c>
      <c r="L43" s="1">
        <f>IF(COUNT(J43:K43)=2,K43-J43,"")</f>
        <v>-31.40761809175204</v>
      </c>
      <c r="O43" s="1">
        <v>5</v>
      </c>
      <c r="P43" s="1">
        <v>4</v>
      </c>
      <c r="Q43" s="1">
        <f>IF(2401097&gt;0,100*1112784/2401097,"")</f>
        <v>46.344816556765515</v>
      </c>
      <c r="R43" s="1">
        <f>IF(2400897&gt;0,100*664310/2400897,"")</f>
        <v>27.66924195415297</v>
      </c>
      <c r="S43" s="1">
        <f>IF(COUNT(Q43:R43)=2,R43-Q43,"")</f>
        <v>-18.675574602612546</v>
      </c>
    </row>
    <row r="44" spans="1:19">
      <c r="A44" s="1">
        <v>6</v>
      </c>
      <c r="B44" s="1">
        <v>5</v>
      </c>
      <c r="C44" s="1">
        <f>IF(2068143&gt;0,100*935980/2068143,"")</f>
        <v>45.25702526372693</v>
      </c>
      <c r="D44" s="1">
        <f>IF(1778506&gt;0,100*378881/1778506,"")</f>
        <v>21.303329873500566</v>
      </c>
      <c r="E44" s="1">
        <f>IF(COUNT(C44:D44)=2,D44-C44,"")</f>
        <v>-23.953695390226365</v>
      </c>
      <c r="H44" s="1">
        <v>6</v>
      </c>
      <c r="I44" s="1">
        <v>5</v>
      </c>
      <c r="J44" s="1">
        <f>IF(2170385&gt;0,100*855280/2170385,"")</f>
        <v>39.40683334984346</v>
      </c>
      <c r="K44" s="1">
        <f>IF(1904609&gt;0,100*331402/1904609,"")</f>
        <v>17.400001785143303</v>
      </c>
      <c r="L44" s="1">
        <f>IF(COUNT(J44:K44)=2,K44-J44,"")</f>
        <v>-22.006831564700157</v>
      </c>
      <c r="O44" s="1">
        <v>6</v>
      </c>
      <c r="P44" s="1">
        <v>5</v>
      </c>
      <c r="Q44" s="1">
        <f>IF(1758860&gt;0,100*252810/1758860,"")</f>
        <v>14.373514662906656</v>
      </c>
      <c r="R44" s="1">
        <f>IF(1910278&gt;0,100*308625/1910278,"")</f>
        <v>16.156025458074687</v>
      </c>
      <c r="S44" s="1">
        <f>IF(COUNT(Q44:R44)=2,R44-Q44,"")</f>
        <v>1.7825107951680312</v>
      </c>
    </row>
    <row r="45" spans="1:19">
      <c r="A45" s="1">
        <v>7</v>
      </c>
      <c r="B45" s="1">
        <v>6</v>
      </c>
      <c r="C45" s="1">
        <f>IF(1955799&gt;0,100*927153/1955799,"")</f>
        <v>47.405331529466984</v>
      </c>
      <c r="D45" s="1">
        <f>IF(659282&gt;0,100*111780/659282,"")</f>
        <v>16.95480841278846</v>
      </c>
      <c r="E45" s="1">
        <f>IF(COUNT(C45:D45)=2,D45-C45,"")</f>
        <v>-30.450523116678525</v>
      </c>
      <c r="H45" s="1">
        <v>7</v>
      </c>
      <c r="I45" s="1">
        <v>6</v>
      </c>
      <c r="J45" s="1">
        <f>IF(1062155&gt;0,100*3098/1062155,"")</f>
        <v>0.29167117793542374</v>
      </c>
      <c r="K45" s="1">
        <f>IF(1302608&gt;0,100*25432/1302608,"")</f>
        <v>1.9523908958028815</v>
      </c>
      <c r="L45" s="1">
        <f>IF(COUNT(J45:K45)=2,K45-J45,"")</f>
        <v>1.6607197178674578</v>
      </c>
      <c r="O45" s="1">
        <v>7</v>
      </c>
      <c r="P45" s="1">
        <v>6</v>
      </c>
      <c r="Q45" s="1">
        <f>IF(1340065&gt;0,100*31783/1340065,"")</f>
        <v>2.3717506240368937</v>
      </c>
      <c r="R45" s="1">
        <f>IF(1519376&gt;0,100*180690/1519376,"")</f>
        <v>11.89238213582418</v>
      </c>
      <c r="S45" s="1">
        <f>IF(COUNT(Q45:R45)=2,R45-Q45,"")</f>
        <v>9.520631511787286</v>
      </c>
    </row>
    <row r="46" spans="1:19">
      <c r="A46" s="1">
        <v>8</v>
      </c>
      <c r="B46" s="1">
        <v>7</v>
      </c>
      <c r="C46" s="1">
        <f>IF(2103376&gt;0,100*877826/2103376,"")</f>
        <v>41.73414548801546</v>
      </c>
      <c r="D46" s="1">
        <f>IF(1961503&gt;0,100*561517/1961503,"")</f>
        <v>28.6268743917292</v>
      </c>
      <c r="E46" s="1">
        <f>IF(COUNT(C46:D46)=2,D46-C46,"")</f>
        <v>-13.107271096286258</v>
      </c>
      <c r="H46" s="1">
        <v>8</v>
      </c>
      <c r="I46" s="1">
        <v>7</v>
      </c>
      <c r="J46" s="1">
        <f>IF(875780&gt;0,100*4451/875780,"")</f>
        <v>0.5082326611706136</v>
      </c>
      <c r="K46" s="1">
        <f>IF(771437&gt;0,100*7819/771437,"")</f>
        <v>1.0135629999598152</v>
      </c>
      <c r="L46" s="1">
        <f>IF(COUNT(J46:K46)=2,K46-J46,"")</f>
        <v>0.5053303387892016</v>
      </c>
      <c r="O46" s="1">
        <v>8</v>
      </c>
      <c r="P46" s="1">
        <v>7</v>
      </c>
      <c r="Q46" s="1">
        <f>IF(953770&gt;0,100*30543/953770,"")</f>
        <v>3.202344380720719</v>
      </c>
      <c r="R46" s="1">
        <f>IF(1365421&gt;0,100*18925/1365421,"")</f>
        <v>1.3860194035392748</v>
      </c>
      <c r="S46" s="1">
        <f>IF(COUNT(Q46:R46)=2,R46-Q46,"")</f>
        <v>-1.8163249771814443</v>
      </c>
    </row>
    <row r="47" spans="1:19">
      <c r="A47" s="1">
        <v>9</v>
      </c>
      <c r="B47" s="1">
        <v>8</v>
      </c>
      <c r="C47" s="1">
        <f>IF(1775689&gt;0,100*854041/1775689,"")</f>
        <v>48.096316415768754</v>
      </c>
      <c r="D47" s="1">
        <f>IF(1630696&gt;0,100*441928/1630696,"")</f>
        <v>27.100575459803668</v>
      </c>
      <c r="E47" s="1">
        <f>IF(COUNT(C47:D47)=2,D47-C47,"")</f>
        <v>-20.995740955965086</v>
      </c>
      <c r="H47" s="1">
        <v>9</v>
      </c>
      <c r="I47" s="1">
        <v>8</v>
      </c>
      <c r="J47" s="1">
        <f>IF(2261107&gt;0,100*975052/2261107,"")</f>
        <v>43.122771279731566</v>
      </c>
      <c r="K47" s="1">
        <f>IF(2607920&gt;0,100*742320/2607920,"")</f>
        <v>28.46406331482561</v>
      </c>
      <c r="L47" s="1">
        <f>IF(COUNT(J47:K47)=2,K47-J47,"")</f>
        <v>-14.658707964905958</v>
      </c>
      <c r="O47" s="1">
        <v>9</v>
      </c>
      <c r="P47" s="1">
        <v>8</v>
      </c>
      <c r="Q47" s="1">
        <f>IF(2405152&gt;0,100*1125762/2405152,"")</f>
        <v>46.80627253495829</v>
      </c>
      <c r="R47" s="1">
        <f>IF(2068963&gt;0,100*452547/2068963,"")</f>
        <v>21.87313161231013</v>
      </c>
      <c r="S47" s="1">
        <f>IF(COUNT(Q47:R47)=2,R47-Q47,"")</f>
        <v>-24.93314092264816</v>
      </c>
    </row>
    <row r="48" spans="1:19">
      <c r="A48" s="1">
        <v>10</v>
      </c>
      <c r="B48" s="1">
        <v>9</v>
      </c>
      <c r="C48" s="1">
        <f>IF(1746180&gt;0,100*461985/1746180,"")</f>
        <v>26.456894478232485</v>
      </c>
      <c r="D48" s="1">
        <f>IF(1003960&gt;0,100*26700/1003960,"")</f>
        <v>2.659468504721304</v>
      </c>
      <c r="E48" s="1">
        <f>IF(COUNT(C48:D48)=2,D48-C48,"")</f>
        <v>-23.79742597351118</v>
      </c>
      <c r="H48" s="1">
        <v>10</v>
      </c>
      <c r="I48" s="1">
        <v>9</v>
      </c>
      <c r="J48" s="1">
        <f>IF(2706863&gt;0,100*1192100/2706863,"")</f>
        <v>44.03990892778837</v>
      </c>
      <c r="K48" s="1">
        <f>IF(1534664&gt;0,100*55084/1534664,"")</f>
        <v>3.589319877184843</v>
      </c>
      <c r="L48" s="1">
        <f>IF(COUNT(J48:K48)=2,K48-J48,"")</f>
        <v>-40.450589050603526</v>
      </c>
      <c r="O48" s="1">
        <v>10</v>
      </c>
      <c r="P48" s="1">
        <v>9</v>
      </c>
      <c r="Q48" s="1">
        <f>IF(1922653&gt;0,100*523894/1922653,"")</f>
        <v>27.248494658162446</v>
      </c>
      <c r="R48" s="1">
        <f>IF(1096469&gt;0,100*19853/1096469,"")</f>
        <v>1.810630305097545</v>
      </c>
      <c r="S48" s="1">
        <f>IF(COUNT(Q48:R48)=2,R48-Q48,"")</f>
        <v>-25.437864353064903</v>
      </c>
    </row>
    <row r="49" spans="1:19">
      <c r="A49" s="1">
        <v>11</v>
      </c>
      <c r="B49" s="1">
        <v>10</v>
      </c>
      <c r="C49" s="1">
        <f>IF(1971439&gt;0,100*862784/1971439,"")</f>
        <v>43.76417429096208</v>
      </c>
      <c r="D49" s="1">
        <f>IF(2424608&gt;0,100*870627/2424608,"")</f>
        <v>35.90794883131624</v>
      </c>
      <c r="E49" s="1">
        <f>IF(COUNT(C49:D49)=2,D49-C49,"")</f>
        <v>-7.856225459645842</v>
      </c>
      <c r="H49" s="1">
        <v>11</v>
      </c>
      <c r="I49" s="1">
        <v>10</v>
      </c>
      <c r="J49" s="1">
        <f>IF(2596797&gt;0,100*880971/2596797,"")</f>
        <v>33.92529335177143</v>
      </c>
      <c r="K49" s="1">
        <f>IF(2043788&gt;0,100*193563/2043788,"")</f>
        <v>9.470796383969375</v>
      </c>
      <c r="L49" s="1">
        <f>IF(COUNT(J49:K49)=2,K49-J49,"")</f>
        <v>-24.454496967802054</v>
      </c>
      <c r="O49" s="1">
        <v>11</v>
      </c>
      <c r="P49" s="1">
        <v>10</v>
      </c>
      <c r="Q49" s="1">
        <f>IF(2537267&gt;0,100*1086404/2537267,"")</f>
        <v>42.817882390777164</v>
      </c>
      <c r="R49" s="1">
        <f>IF(1692259&gt;0,100*53082/1692259,"")</f>
        <v>3.1367538893278155</v>
      </c>
      <c r="S49" s="1">
        <f>IF(COUNT(Q49:R49)=2,R49-Q49,"")</f>
        <v>-39.68112850144935</v>
      </c>
    </row>
    <row r="50" spans="1:19">
      <c r="A50" s="1">
        <v>12</v>
      </c>
      <c r="B50" s="1">
        <v>11</v>
      </c>
      <c r="C50" s="1">
        <f>IF(1769042&gt;0,100*718057/1769042,"")</f>
        <v>40.59016122850673</v>
      </c>
      <c r="D50" s="1">
        <f>IF(1881545&gt;0,100*560213/1881545,"")</f>
        <v>29.77409522493483</v>
      </c>
      <c r="E50" s="1">
        <f>IF(COUNT(C50:D50)=2,D50-C50,"")</f>
        <v>-10.816066003571901</v>
      </c>
      <c r="H50" s="1">
        <v>12</v>
      </c>
      <c r="I50" s="1">
        <v>11</v>
      </c>
      <c r="J50" s="1">
        <f>IF(16409&gt;0,100*2109/16409,"")</f>
        <v>12.85270278505698</v>
      </c>
      <c r="K50" s="1">
        <f>IF(2117858&gt;0,100*366273/2117858,"")</f>
        <v>17.29450227541223</v>
      </c>
      <c r="L50" s="1">
        <f>IF(COUNT(J50:K50)=2,K50-J50,"")</f>
        <v>4.441799490355251</v>
      </c>
      <c r="O50" s="1">
        <v>12</v>
      </c>
      <c r="P50" s="1">
        <v>11</v>
      </c>
      <c r="Q50" s="1">
        <f>IF(2609889&gt;0,100*1051883/2609889,"")</f>
        <v>40.30374471864512</v>
      </c>
      <c r="R50" s="1">
        <f>IF(1114416&gt;0,100*57283/1114416,"")</f>
        <v>5.14018104549827</v>
      </c>
      <c r="S50" s="1">
        <f>IF(COUNT(Q50:R50)=2,R50-Q50,"")</f>
        <v>-35.163563673146854</v>
      </c>
    </row>
    <row r="51" spans="1:19">
      <c r="A51" s="1">
        <v>13</v>
      </c>
      <c r="B51" s="1">
        <v>12</v>
      </c>
      <c r="C51" s="1">
        <f>IF(2168985&gt;0,100*980233/2168985,"")</f>
        <v>45.193166388886965</v>
      </c>
      <c r="D51" s="1">
        <f>IF(1338480&gt;0,100*201745/1338480,"")</f>
        <v>15.072694399617477</v>
      </c>
      <c r="E51" s="1">
        <f>IF(COUNT(C51:D51)=2,D51-C51,"")</f>
        <v>-30.12047198926949</v>
      </c>
      <c r="H51" s="1">
        <v>13</v>
      </c>
      <c r="I51" s="1">
        <v>12</v>
      </c>
      <c r="J51" s="1">
        <f>IF(1392134&gt;0,100*142847/1392134,"")</f>
        <v>10.261009356857889</v>
      </c>
      <c r="K51" s="1">
        <f>IF(1734685&gt;0,100*27096/1734685,"")</f>
        <v>1.5620126997120514</v>
      </c>
      <c r="L51" s="1">
        <f>IF(COUNT(J51:K51)=2,K51-J51,"")</f>
        <v>-8.698996657145837</v>
      </c>
      <c r="O51" s="1">
        <v>13</v>
      </c>
      <c r="P51" s="1">
        <v>12</v>
      </c>
      <c r="Q51" s="1">
        <f>IF(1129838&gt;0,100*24638/1129838,"")</f>
        <v>2.1806666088412676</v>
      </c>
      <c r="R51" s="1">
        <f>IF(1552706&gt;0,100*109018/1552706,"")</f>
        <v>7.021161765330977</v>
      </c>
      <c r="S51" s="1">
        <f>IF(COUNT(Q51:R51)=2,R51-Q51,"")</f>
        <v>4.840495156489709</v>
      </c>
    </row>
    <row r="52" spans="1:19">
      <c r="A52" s="1">
        <v>14</v>
      </c>
      <c r="B52" s="1">
        <v>13</v>
      </c>
      <c r="C52" s="1">
        <f>IF(1030639&gt;0,100*3971/1030639,"")</f>
        <v>0.38529494808560516</v>
      </c>
      <c r="D52" s="1">
        <f>IF(1373659&gt;0,100*26470/1373659,"")</f>
        <v>1.9269702306030827</v>
      </c>
      <c r="E52" s="1">
        <f>IF(COUNT(C52:D52)=2,D52-C52,"")</f>
        <v>1.5416752825174775</v>
      </c>
      <c r="H52" s="1">
        <v>14</v>
      </c>
      <c r="I52" s="1">
        <v>13</v>
      </c>
      <c r="J52" s="1">
        <f>IF(1631278&gt;0,100*497437/1631278,"")</f>
        <v>30.49369880547644</v>
      </c>
      <c r="K52" s="1">
        <f>IF(1376095&gt;0,100*243320/1376095,"")</f>
        <v>17.68191876287611</v>
      </c>
      <c r="L52" s="1">
        <f>IF(COUNT(J52:K52)=2,K52-J52,"")</f>
        <v>-12.811780042600333</v>
      </c>
      <c r="O52" s="1">
        <v>14</v>
      </c>
      <c r="P52" s="1">
        <v>13</v>
      </c>
      <c r="Q52" s="1">
        <f>IF(1227769&gt;0,100*230841/1227769,"")</f>
        <v>18.801663830899788</v>
      </c>
      <c r="R52" s="1">
        <f>IF(1314856&gt;0,100*187612/1314856,"")</f>
        <v>14.268634740230109</v>
      </c>
      <c r="S52" s="1">
        <f>IF(COUNT(Q52:R52)=2,R52-Q52,"")</f>
        <v>-4.533029090669679</v>
      </c>
    </row>
    <row r="53" spans="1:19">
      <c r="A53" s="1">
        <v>15</v>
      </c>
      <c r="B53" s="1">
        <v>14</v>
      </c>
      <c r="C53" s="1">
        <f>IF(1555406&gt;0,100*520362/1555406,"")</f>
        <v>33.45505932213197</v>
      </c>
      <c r="D53" s="1">
        <f>IF(2239126&gt;0,100*674796/2239126,"")</f>
        <v>30.136580076333356</v>
      </c>
      <c r="E53" s="1">
        <f>IF(COUNT(C53:D53)=2,D53-C53,"")</f>
        <v>-3.318479245798617</v>
      </c>
      <c r="H53" s="1">
        <v>15</v>
      </c>
      <c r="I53" s="1">
        <v>14</v>
      </c>
      <c r="J53" s="1">
        <f>IF(1857255&gt;0,100*556621/1857255,"")</f>
        <v>29.970090267626148</v>
      </c>
      <c r="K53" s="1">
        <f>IF(2081833&gt;0,100*344651/2081833,"")</f>
        <v>16.555170371494736</v>
      </c>
      <c r="L53" s="1">
        <f>IF(COUNT(J53:K53)=2,K53-J53,"")</f>
        <v>-13.414919896131412</v>
      </c>
      <c r="O53" s="1">
        <v>15</v>
      </c>
      <c r="P53" s="1">
        <v>14</v>
      </c>
      <c r="Q53" s="1">
        <f>IF(2240147&gt;0,100*1104566/2240147,"")</f>
        <v>49.30774632200476</v>
      </c>
      <c r="R53" s="1">
        <f>IF(1437783&gt;0,100*138518/1437783,"")</f>
        <v>9.634138114026943</v>
      </c>
      <c r="S53" s="1">
        <f>IF(COUNT(Q53:R53)=2,R53-Q53,"")</f>
        <v>-39.67360820797782</v>
      </c>
    </row>
    <row r="54" spans="1:19">
      <c r="A54" s="1">
        <v>16</v>
      </c>
      <c r="B54" s="1">
        <v>15</v>
      </c>
      <c r="C54" s="1">
        <f>IF(1761441&gt;0,100*757460/1761441,"")</f>
        <v>43.00229187352855</v>
      </c>
      <c r="D54" s="1">
        <f>IF(1506536&gt;0,100*271713/1506536,"")</f>
        <v>18.03561282305899</v>
      </c>
      <c r="E54" s="1">
        <f>IF(COUNT(C54:D54)=2,D54-C54,"")</f>
        <v>-24.96667905046956</v>
      </c>
      <c r="H54" s="1">
        <v>16</v>
      </c>
      <c r="I54" s="1">
        <v>15</v>
      </c>
      <c r="J54" s="1">
        <f>IF(1920903&gt;0,100*863441/1920903,"")</f>
        <v>44.949744989726184</v>
      </c>
      <c r="K54" s="1">
        <f>IF(828854&gt;0,100*14403/828854,"")</f>
        <v>1.737700487661277</v>
      </c>
      <c r="L54" s="1">
        <f>IF(COUNT(J54:K54)=2,K54-J54,"")</f>
        <v>-43.212044502064906</v>
      </c>
      <c r="O54" s="1">
        <v>16</v>
      </c>
      <c r="P54" s="1">
        <v>15</v>
      </c>
      <c r="Q54" s="1">
        <f>IF(2594091&gt;0,100*1215002/2594091,"")</f>
        <v>46.837292909153916</v>
      </c>
      <c r="R54" s="1">
        <f>IF(1340750&gt;0,100*65122/1340750,"")</f>
        <v>4.857132202125676</v>
      </c>
      <c r="S54" s="1">
        <f>IF(COUNT(Q54:R54)=2,R54-Q54,"")</f>
        <v>-41.98016070702824</v>
      </c>
    </row>
    <row r="55" spans="1:19">
      <c r="A55" s="1">
        <v>17</v>
      </c>
      <c r="B55" s="1">
        <v>16</v>
      </c>
      <c r="C55" s="1">
        <f>IF(844646&gt;0,100*17331/844646,"")</f>
        <v>2.0518655152572793</v>
      </c>
      <c r="D55" s="1">
        <f>IF(769111&gt;0,100*17686/769111,"")</f>
        <v>2.299538038072528</v>
      </c>
      <c r="E55" s="1">
        <f>IF(COUNT(C55:D55)=2,D55-C55,"")</f>
        <v>0.24767252281524854</v>
      </c>
      <c r="H55" s="1">
        <v>17</v>
      </c>
      <c r="I55" s="1">
        <v>16</v>
      </c>
      <c r="J55" s="1">
        <f>IF(2198372&gt;0,100*828948/2198372,"")</f>
        <v>37.70735799036742</v>
      </c>
      <c r="K55" s="1">
        <f>IF(1943322&gt;0,100*323558/1943322,"")</f>
        <v>16.649736893834373</v>
      </c>
      <c r="L55" s="1">
        <f>IF(COUNT(J55:K55)=2,K55-J55,"")</f>
        <v>-21.057621096533047</v>
      </c>
      <c r="O55" s="1">
        <v>17</v>
      </c>
      <c r="P55" s="1">
        <v>16</v>
      </c>
      <c r="Q55" s="1">
        <f>IF(2139602&gt;0,100*724511/2139602,"")</f>
        <v>33.8619518957264</v>
      </c>
      <c r="R55" s="1">
        <f>IF(1979180&gt;0,100*423112/1979180,"")</f>
        <v>21.37814650511828</v>
      </c>
      <c r="S55" s="1">
        <f>IF(COUNT(Q55:R55)=2,R55-Q55,"")</f>
        <v>-12.483805390608119</v>
      </c>
    </row>
    <row r="56" spans="1:19">
      <c r="A56" s="1">
        <v>18</v>
      </c>
      <c r="B56" s="1">
        <v>17</v>
      </c>
      <c r="C56" s="1">
        <f>IF(913631&gt;0,100*114254/913631,"")</f>
        <v>12.505486350616387</v>
      </c>
      <c r="D56" s="1">
        <f>IF(1040637&gt;0,100*117729/1040637,"")</f>
        <v>11.31316683915717</v>
      </c>
      <c r="E56" s="1">
        <f>IF(COUNT(C56:D56)=2,D56-C56,"")</f>
        <v>-1.1923195114592176</v>
      </c>
      <c r="H56" s="1">
        <v>18</v>
      </c>
      <c r="I56" s="1">
        <v>17</v>
      </c>
      <c r="J56" s="1">
        <f>IF(2215&gt;0,100*355/2215,"")</f>
        <v>16.02708803611738</v>
      </c>
      <c r="K56" s="1">
        <f>IF(1965284&gt;0,100*133767/1965284,"")</f>
        <v>6.806497178016002</v>
      </c>
      <c r="L56" s="1">
        <f>IF(COUNT(J56:K56)=2,K56-J56,"")</f>
        <v>-9.220590858101378</v>
      </c>
      <c r="O56" s="1">
        <v>18</v>
      </c>
      <c r="P56" s="1">
        <v>17</v>
      </c>
      <c r="Q56" s="1">
        <f>IF(2597163&gt;0,100*1238582/2597163,"")</f>
        <v>47.68980614616795</v>
      </c>
      <c r="R56" s="1">
        <f>IF(1084173&gt;0,100*51895/1084173,"")</f>
        <v>4.786597710881935</v>
      </c>
      <c r="S56" s="1">
        <f>IF(COUNT(Q56:R56)=2,R56-Q56,"")</f>
        <v>-42.90320843528602</v>
      </c>
    </row>
    <row r="57" spans="1:19">
      <c r="A57" s="1">
        <v>19</v>
      </c>
      <c r="B57" s="1">
        <v>18</v>
      </c>
      <c r="C57" s="1">
        <f>IF(2015196&gt;0,100*813734/2015196,"")</f>
        <v>40.37989356866528</v>
      </c>
      <c r="D57" s="1">
        <f>IF(1156922&gt;0,100*223504/1156922,"")</f>
        <v>19.31884777020404</v>
      </c>
      <c r="E57" s="1">
        <f>IF(COUNT(C57:D57)=2,D57-C57,"")</f>
        <v>-21.06104579846124</v>
      </c>
      <c r="H57" s="1">
        <v>19</v>
      </c>
      <c r="I57" s="1">
        <v>18</v>
      </c>
      <c r="J57" s="1">
        <f>IF(1892358&gt;0,100*622212/1892358,"")</f>
        <v>32.880247817801916</v>
      </c>
      <c r="K57" s="1">
        <f>IF(1367250&gt;0,100*134193/1367250,"")</f>
        <v>9.814810751508503</v>
      </c>
      <c r="L57" s="1">
        <f>IF(COUNT(J57:K57)=2,K57-J57,"")</f>
        <v>-23.065437066293413</v>
      </c>
      <c r="O57" s="1">
        <v>19</v>
      </c>
      <c r="P57" s="1">
        <v>18</v>
      </c>
      <c r="Q57" s="1">
        <f>IF(1995148&gt;0,100*689134/1995148,"")</f>
        <v>34.54049524145577</v>
      </c>
      <c r="R57" s="1">
        <f>IF(1857625&gt;0,100*275354/1857625,"")</f>
        <v>14.82290559181751</v>
      </c>
      <c r="S57" s="1">
        <f>IF(COUNT(Q57:R57)=2,R57-Q57,"")</f>
        <v>-19.717589649638263</v>
      </c>
    </row>
    <row r="58" spans="1:19">
      <c r="A58" s="1">
        <v>20</v>
      </c>
      <c r="B58" s="1">
        <v>19</v>
      </c>
      <c r="C58" s="1">
        <f>IF(2178136&gt;0,100*944455/2178136,"")</f>
        <v>43.36069924008418</v>
      </c>
      <c r="D58" s="1">
        <f>IF(1019548&gt;0,100*65684/1019548,"")</f>
        <v>6.4424627383899535</v>
      </c>
      <c r="E58" s="1">
        <f>IF(COUNT(C58:D58)=2,D58-C58,"")</f>
        <v>-36.918236501694224</v>
      </c>
      <c r="H58" s="1">
        <v>20</v>
      </c>
      <c r="I58" s="1">
        <v>19</v>
      </c>
      <c r="J58" s="1">
        <f>IF(2533784&gt;0,100*1139277/2533784,"")</f>
        <v>44.96346176311793</v>
      </c>
      <c r="K58" s="1">
        <f>IF(1361519&gt;0,100*79126/1361519,"")</f>
        <v>5.811597194016389</v>
      </c>
      <c r="L58" s="1">
        <f>IF(COUNT(J58:K58)=2,K58-J58,"")</f>
        <v>-39.15186456910154</v>
      </c>
      <c r="O58" s="1">
        <v>20</v>
      </c>
      <c r="P58" s="1">
        <v>19</v>
      </c>
      <c r="Q58" s="1">
        <f>IF(2139229&gt;0,100*899475/2139229,"")</f>
        <v>42.0466906535018</v>
      </c>
      <c r="R58" s="1">
        <f>IF(2156618&gt;0,100*395211/2156618,"")</f>
        <v>18.325498535206513</v>
      </c>
      <c r="S58" s="1">
        <f>IF(COUNT(Q58:R58)=2,R58-Q58,"")</f>
        <v>-23.721192118295285</v>
      </c>
    </row>
    <row r="59" spans="1:19">
      <c r="A59" s="1">
        <v>21</v>
      </c>
      <c r="B59" s="1">
        <v>20</v>
      </c>
      <c r="C59" s="1">
        <f>IF(1558100&gt;0,100*473205/1558100,"")</f>
        <v>30.37064373275143</v>
      </c>
      <c r="D59" s="1">
        <f>IF(1118527&gt;0,100*101849/1118527,"")</f>
        <v>9.105636251963519</v>
      </c>
      <c r="E59" s="1">
        <f>IF(COUNT(C59:D59)=2,D59-C59,"")</f>
        <v>-21.265007480787908</v>
      </c>
      <c r="H59" s="1">
        <v>21</v>
      </c>
      <c r="I59" s="1">
        <v>20</v>
      </c>
      <c r="J59" s="1">
        <f>IF(2773746&gt;0,100*1088927/2773746,"")</f>
        <v>39.25835314408745</v>
      </c>
      <c r="K59" s="1">
        <f>IF(2374114&gt;0,100*543252/2374114,"")</f>
        <v>22.8823047250469</v>
      </c>
      <c r="L59" s="1">
        <f>IF(COUNT(J59:K59)=2,K59-J59,"")</f>
        <v>-16.37604841904055</v>
      </c>
      <c r="O59" s="1">
        <v>21</v>
      </c>
      <c r="P59" s="1">
        <v>20</v>
      </c>
      <c r="Q59" s="1">
        <f>IF(2422246&gt;0,100*1045754/2422246,"")</f>
        <v>43.172906467798896</v>
      </c>
      <c r="R59" s="1">
        <f>IF(1692621&gt;0,100*300199/1692621,"")</f>
        <v>17.735748286237733</v>
      </c>
      <c r="S59" s="1">
        <f>IF(COUNT(Q59:R59)=2,R59-Q59,"")</f>
        <v>-25.437158181561163</v>
      </c>
    </row>
    <row r="60" spans="1:19">
      <c r="A60" s="1">
        <v>22</v>
      </c>
      <c r="B60" s="1">
        <v>21</v>
      </c>
      <c r="C60" s="1">
        <f>IF(1857644&gt;0,100*847880/1857644,"")</f>
        <v>45.64276039973213</v>
      </c>
      <c r="D60" s="1">
        <f>IF(1148271&gt;0,100*196828/1148271,"")</f>
        <v>17.141249757243717</v>
      </c>
      <c r="E60" s="1">
        <f>IF(COUNT(C60:D60)=2,D60-C60,"")</f>
        <v>-28.501510642488416</v>
      </c>
      <c r="H60" s="1">
        <v>22</v>
      </c>
      <c r="I60" s="1">
        <v>21</v>
      </c>
      <c r="J60" s="1">
        <f>IF(2183759&gt;0,100*997955/2183759,"")</f>
        <v>45.69895304381115</v>
      </c>
      <c r="K60" s="1">
        <f>IF(2327112&gt;0,100*653340/2327112,"")</f>
        <v>28.07514206449883</v>
      </c>
      <c r="L60" s="1">
        <f>IF(COUNT(J60:K60)=2,K60-J60,"")</f>
        <v>-17.62381097931232</v>
      </c>
      <c r="O60" s="1">
        <v>22</v>
      </c>
      <c r="P60" s="1">
        <v>21</v>
      </c>
      <c r="Q60" s="1">
        <f>IF(2052914&gt;0,100*716282/2052914,"")</f>
        <v>34.890989101345696</v>
      </c>
      <c r="R60" s="1">
        <f>IF(808641&gt;0,100*83655/808641,"")</f>
        <v>10.345134614742513</v>
      </c>
      <c r="S60" s="1">
        <f>IF(COUNT(Q60:R60)=2,R60-Q60,"")</f>
        <v>-24.545854486603183</v>
      </c>
    </row>
    <row r="61" spans="1:19">
      <c r="A61" s="1">
        <v>23</v>
      </c>
      <c r="B61" s="1">
        <v>22</v>
      </c>
      <c r="C61" s="1">
        <f>IF(696517&gt;0,100*2264/696517,"")</f>
        <v>0.325045906991502</v>
      </c>
      <c r="D61" s="1">
        <f>IF(789365&gt;0,100*1063/789365,"")</f>
        <v>0.1346652055766344</v>
      </c>
      <c r="E61" s="1">
        <f>IF(COUNT(C61:D61)=2,D61-C61,"")</f>
        <v>-0.1903807014148676</v>
      </c>
      <c r="H61" s="1">
        <v>23</v>
      </c>
      <c r="I61" s="1">
        <v>22</v>
      </c>
      <c r="J61" s="1">
        <f>IF(2492569&gt;0,100*1249101/2492569,"")</f>
        <v>50.11299586892078</v>
      </c>
      <c r="K61" s="1">
        <f>IF(2281507&gt;0,100*336741/2281507,"")</f>
        <v>14.759586536442798</v>
      </c>
      <c r="L61" s="1">
        <f>IF(COUNT(J61:K61)=2,K61-J61,"")</f>
        <v>-35.35340933247798</v>
      </c>
      <c r="O61" s="1">
        <v>23</v>
      </c>
      <c r="P61" s="1">
        <v>22</v>
      </c>
      <c r="Q61" s="1">
        <f>IF(2322764&gt;0,100*881160/2322764,"")</f>
        <v>37.935838509637655</v>
      </c>
      <c r="R61" s="1">
        <f>IF(2591304&gt;0,100*842559/2591304,"")</f>
        <v>32.514865102666455</v>
      </c>
      <c r="S61" s="1">
        <f>IF(COUNT(Q61:R61)=2,R61-Q61,"")</f>
        <v>-5.4209734069712</v>
      </c>
    </row>
    <row r="62" spans="1:19">
      <c r="A62" s="1">
        <v>24</v>
      </c>
      <c r="B62" s="1">
        <v>23</v>
      </c>
      <c r="C62" s="1">
        <f>IF(1622857&gt;0,100*324323/1622857,"")</f>
        <v>19.98469366062444</v>
      </c>
      <c r="D62" s="1">
        <f>IF(1504693&gt;0,100*78692/1504693,"")</f>
        <v>5.229771122747298</v>
      </c>
      <c r="E62" s="1">
        <f>IF(COUNT(C62:D62)=2,D62-C62,"")</f>
        <v>-14.754922537877142</v>
      </c>
      <c r="H62" s="1">
        <v>24</v>
      </c>
      <c r="I62" s="1">
        <v>23</v>
      </c>
      <c r="J62" s="1">
        <f>IF(2618354&gt;0,100*1195641/2618354,"")</f>
        <v>45.663840718252764</v>
      </c>
      <c r="K62" s="1">
        <f>IF(1662155&gt;0,100*197340/1662155,"")</f>
        <v>11.872538962972767</v>
      </c>
      <c r="L62" s="1">
        <f>IF(COUNT(J62:K62)=2,K62-J62,"")</f>
        <v>-33.791301755279996</v>
      </c>
      <c r="O62" s="1">
        <v>24</v>
      </c>
      <c r="P62" s="1">
        <v>23</v>
      </c>
      <c r="Q62" s="1">
        <f>IF(1862901&gt;0,100*489468/1862901,"")</f>
        <v>26.27450412018674</v>
      </c>
      <c r="R62" s="1">
        <f>IF(1059987&gt;0,100*51911/1059987,"")</f>
        <v>4.897324212466756</v>
      </c>
      <c r="S62" s="1">
        <f>IF(COUNT(Q62:R62)=2,R62-Q62,"")</f>
        <v>-21.377179907719984</v>
      </c>
    </row>
    <row r="63" spans="1:19">
      <c r="A63" s="1">
        <v>25</v>
      </c>
      <c r="B63" s="1">
        <v>24</v>
      </c>
      <c r="C63" s="1">
        <f>IF(1310506&gt;0,100*408672/1310506,"")</f>
        <v>31.184290648039763</v>
      </c>
      <c r="D63" s="1">
        <f>IF(1726676&gt;0,100*495562/1726676,"")</f>
        <v>28.700346793492237</v>
      </c>
      <c r="E63" s="1">
        <f>IF(COUNT(C63:D63)=2,D63-C63,"")</f>
        <v>-2.483943854547526</v>
      </c>
      <c r="H63" s="1">
        <v>25</v>
      </c>
      <c r="I63" s="1">
        <v>24</v>
      </c>
      <c r="J63" s="1">
        <f>IF(2421034&gt;0,100*1042416/2421034,"")</f>
        <v>43.05664439243728</v>
      </c>
      <c r="K63" s="1">
        <f>IF(1151215&gt;0,100*21855/1151215,"")</f>
        <v>1.8984290510460686</v>
      </c>
      <c r="L63" s="1">
        <f>IF(COUNT(J63:K63)=2,K63-J63,"")</f>
        <v>-41.15821534139121</v>
      </c>
      <c r="O63" s="1">
        <v>25</v>
      </c>
      <c r="P63" s="1">
        <v>24</v>
      </c>
      <c r="Q63" s="1">
        <f>IF(2310152&gt;0,100*1014877/2310152,"")</f>
        <v>43.931178554484724</v>
      </c>
      <c r="R63" s="1">
        <f>IF(1419787&gt;0,100*75379/1419787,"")</f>
        <v>5.3091766581888695</v>
      </c>
      <c r="S63" s="1">
        <f>IF(COUNT(Q63:R63)=2,R63-Q63,"")</f>
        <v>-38.622001896295856</v>
      </c>
    </row>
    <row r="64" spans="1:19">
      <c r="A64" s="1">
        <v>26</v>
      </c>
      <c r="B64" s="1">
        <v>25</v>
      </c>
      <c r="C64" s="1">
        <f>IF(2238694&gt;0,100*1062953/2238694,"")</f>
        <v>47.480942013513236</v>
      </c>
      <c r="D64" s="1">
        <f>IF(2040548&gt;0,100*512415/2040548,"")</f>
        <v>25.111636677990422</v>
      </c>
      <c r="E64" s="1">
        <f>IF(COUNT(C64:D64)=2,D64-C64,"")</f>
        <v>-22.369305335522814</v>
      </c>
      <c r="H64" s="1">
        <v>26</v>
      </c>
      <c r="I64" s="1">
        <v>25</v>
      </c>
      <c r="J64" s="1">
        <f>IF(1745904&gt;0,100*492009/1745904,"")</f>
        <v>28.18075907953702</v>
      </c>
      <c r="K64" s="1">
        <f>IF(1963037&gt;0,100*306868/1963037,"")</f>
        <v>15.632308509722435</v>
      </c>
      <c r="L64" s="1">
        <f>IF(COUNT(J64:K64)=2,K64-J64,"")</f>
        <v>-12.548450569814584</v>
      </c>
      <c r="O64" s="1">
        <v>26</v>
      </c>
      <c r="P64" s="1">
        <v>25</v>
      </c>
      <c r="Q64" s="1">
        <f>IF(2669118&gt;0,100*1197813/2669118,"")</f>
        <v>44.876734561754105</v>
      </c>
      <c r="R64" s="1">
        <f>IF(1360715&gt;0,100*180938/1360715,"")</f>
        <v>13.29727385969876</v>
      </c>
      <c r="S64" s="1">
        <f>IF(COUNT(Q64:R64)=2,R64-Q64,"")</f>
        <v>-31.579460702055343</v>
      </c>
    </row>
    <row r="65" spans="1:19">
      <c r="A65" s="1">
        <v>27</v>
      </c>
      <c r="B65" s="1">
        <v>26</v>
      </c>
      <c r="C65" s="1">
        <f>IF(1647328&gt;0,100*574346/1647328,"")</f>
        <v>34.86530915518949</v>
      </c>
      <c r="D65" s="1">
        <f>IF(1198633&gt;0,100*217780/1198633,"")</f>
        <v>18.169030887686223</v>
      </c>
      <c r="E65" s="1">
        <f>IF(COUNT(C65:D65)=2,D65-C65,"")</f>
        <v>-16.69627826750327</v>
      </c>
      <c r="H65" s="1">
        <v>27</v>
      </c>
      <c r="I65" s="1">
        <v>26</v>
      </c>
      <c r="J65" s="1">
        <f>IF(2195965&gt;0,100*781488/2195965,"")</f>
        <v>35.587452441181895</v>
      </c>
      <c r="K65" s="1">
        <f>IF(1821629&gt;0,100*273861/1821629,"")</f>
        <v>15.033851569117532</v>
      </c>
      <c r="L65" s="1">
        <f>IF(COUNT(J65:K65)=2,K65-J65,"")</f>
        <v>-20.553600872064365</v>
      </c>
      <c r="O65" s="1">
        <v>27</v>
      </c>
      <c r="P65" s="1">
        <v>26</v>
      </c>
      <c r="Q65" s="1">
        <f>IF(2415042&gt;0,100*766118/2415042,"")</f>
        <v>31.722760929209514</v>
      </c>
      <c r="R65" s="1">
        <f>IF(1381160&gt;0,100*135491/1381160,"")</f>
        <v>9.80994236728547</v>
      </c>
      <c r="S65" s="1">
        <f>IF(COUNT(Q65:R65)=2,R65-Q65,"")</f>
        <v>-21.91281856192404</v>
      </c>
    </row>
    <row r="66" spans="1:19">
      <c r="A66" s="1">
        <v>28</v>
      </c>
      <c r="B66" s="1">
        <v>27</v>
      </c>
      <c r="C66" s="1">
        <f>IF(665364&gt;0,100*675/665364,"")</f>
        <v>0.10144822984110953</v>
      </c>
      <c r="D66" s="1">
        <f>IF(763189&gt;0,100*4153/763189,"")</f>
        <v>0.5441640275213611</v>
      </c>
      <c r="E66" s="1">
        <f>IF(COUNT(C66:D66)=2,D66-C66,"")</f>
        <v>0.44271579768025154</v>
      </c>
      <c r="H66" s="1">
        <v>28</v>
      </c>
      <c r="I66" s="1">
        <v>27</v>
      </c>
      <c r="J66" s="1">
        <f>IF(1703605&gt;0,100*670593/1703605,"")</f>
        <v>39.36317397518791</v>
      </c>
      <c r="K66" s="1">
        <f>IF(2029275&gt;0,100*443351/2029275,"")</f>
        <v>21.847753508026265</v>
      </c>
      <c r="L66" s="1">
        <f>IF(COUNT(J66:K66)=2,K66-J66,"")</f>
        <v>-17.515420467161647</v>
      </c>
      <c r="O66" s="1">
        <v>28</v>
      </c>
      <c r="P66" s="1">
        <v>27</v>
      </c>
      <c r="Q66" s="1">
        <f>IF(1500981&gt;0,100*448455/1500981,"")</f>
        <v>29.877460141067743</v>
      </c>
      <c r="R66" s="1">
        <f>IF(1858650&gt;0,100*358520/1858650,"")</f>
        <v>19.289269093159014</v>
      </c>
      <c r="S66" s="1">
        <f>IF(COUNT(Q66:R66)=2,R66-Q66,"")</f>
        <v>-10.58819104790873</v>
      </c>
    </row>
    <row r="67" spans="1:19">
      <c r="A67" s="1">
        <v>29</v>
      </c>
      <c r="B67" s="1">
        <v>28</v>
      </c>
      <c r="C67" s="1">
        <f>IF(1808091&gt;0,100*652193/1808091,"")</f>
        <v>36.070806170707115</v>
      </c>
      <c r="D67" s="1">
        <f>IF(1636914&gt;0,100*346324/1636914,"")</f>
        <v>21.1571285968597</v>
      </c>
      <c r="E67" s="1">
        <f>IF(COUNT(C67:D67)=2,D67-C67,"")</f>
        <v>-14.913677573847416</v>
      </c>
      <c r="H67" s="1">
        <v>29</v>
      </c>
      <c r="I67" s="1">
        <v>28</v>
      </c>
      <c r="J67" s="1">
        <f>IF(2391442&gt;0,100*1116314/2391442,"")</f>
        <v>46.67953477441644</v>
      </c>
      <c r="K67" s="1">
        <f>IF(1776659&gt;0,100*364349/1776659,"")</f>
        <v>20.50753689931495</v>
      </c>
      <c r="L67" s="1">
        <f>IF(COUNT(J67:K67)=2,K67-J67,"")</f>
        <v>-26.17199787510149</v>
      </c>
      <c r="O67" s="1">
        <v>29</v>
      </c>
      <c r="P67" s="1">
        <v>28</v>
      </c>
      <c r="Q67" s="1">
        <f>IF(2050506&gt;0,100*857322/2050506,"")</f>
        <v>41.810265368645595</v>
      </c>
      <c r="R67" s="1">
        <f>IF(2114719&gt;0,100*431891/2114719,"")</f>
        <v>20.423091673172653</v>
      </c>
      <c r="S67" s="1">
        <f>IF(COUNT(Q67:R67)=2,R67-Q67,"")</f>
        <v>-21.387173695472942</v>
      </c>
    </row>
    <row r="68" spans="1:19">
      <c r="A68" s="1">
        <v>30</v>
      </c>
      <c r="B68" s="1">
        <v>29</v>
      </c>
      <c r="C68" s="1">
        <f>IF(1942903&gt;0,100*844208/1942903,"")</f>
        <v>43.45085678492441</v>
      </c>
      <c r="D68" s="1">
        <f>IF(1956295&gt;0,100*415119/1956295,"")</f>
        <v>21.219652455278982</v>
      </c>
      <c r="E68" s="1">
        <f>IF(COUNT(C68:D68)=2,D68-C68,"")</f>
        <v>-22.23120432964543</v>
      </c>
      <c r="H68" s="1">
        <v>30</v>
      </c>
      <c r="I68" s="1">
        <v>29</v>
      </c>
      <c r="J68" s="1">
        <f>IF(1886067&gt;0,100*615825/1886067,"")</f>
        <v>32.65127909029743</v>
      </c>
      <c r="K68" s="1">
        <f>IF(1665127&gt;0,100*212617/1665127,"")</f>
        <v>12.768815832065663</v>
      </c>
      <c r="L68" s="1">
        <f>IF(COUNT(J68:K68)=2,K68-J68,"")</f>
        <v>-19.882463258231766</v>
      </c>
      <c r="O68" s="1">
        <v>30</v>
      </c>
      <c r="P68" s="1">
        <v>29</v>
      </c>
      <c r="Q68" s="1">
        <f>IF(1124834&gt;0,100*57569/1124834,"")</f>
        <v>5.1179996337237315</v>
      </c>
      <c r="R68" s="1">
        <f>IF(1433549&gt;0,100*174967/1433549,"")</f>
        <v>12.205163548647448</v>
      </c>
      <c r="S68" s="1">
        <f>IF(COUNT(Q68:R68)=2,R68-Q68,"")</f>
        <v>7.087163914923717</v>
      </c>
    </row>
    <row r="69" spans="1:19">
      <c r="A69" s="1">
        <v>31</v>
      </c>
      <c r="B69" s="1">
        <v>30</v>
      </c>
      <c r="C69" s="1">
        <f>IF(1247391&gt;0,100*5792/1247391,"")</f>
        <v>0.4643291477972825</v>
      </c>
      <c r="D69" s="1">
        <f>IF(1171935&gt;0,100*40550/1171935,"")</f>
        <v>3.4600895100837503</v>
      </c>
      <c r="E69" s="1">
        <f>IF(COUNT(C69:D69)=2,D69-C69,"")</f>
        <v>2.9957603622864677</v>
      </c>
      <c r="H69" s="1">
        <v>31</v>
      </c>
      <c r="I69" s="1">
        <v>30</v>
      </c>
      <c r="J69" s="1">
        <f>IF(2131633&gt;0,100*739570/2131633,"")</f>
        <v>34.69499674662571</v>
      </c>
      <c r="K69" s="1">
        <f>IF(1722941&gt;0,100*385866/1722941,"")</f>
        <v>22.39577559533379</v>
      </c>
      <c r="L69" s="1">
        <f>IF(COUNT(J69:K69)=2,K69-J69,"")</f>
        <v>-12.29922115129192</v>
      </c>
      <c r="O69" s="1">
        <v>31</v>
      </c>
      <c r="P69" s="1">
        <v>30</v>
      </c>
      <c r="Q69" s="1">
        <f>IF(1670334&gt;0,100*513883/1670334,"")</f>
        <v>30.765284068934715</v>
      </c>
      <c r="R69" s="1">
        <f>IF(1229248&gt;0,100*165436/1229248,"")</f>
        <v>13.458309470505545</v>
      </c>
      <c r="S69" s="1">
        <f>IF(COUNT(Q69:R69)=2,R69-Q69,"")</f>
        <v>-17.30697459842917</v>
      </c>
    </row>
    <row r="70" spans="1:19">
      <c r="A70" s="2" t="s">
        <v>6</v>
      </c>
      <c r="B70" s="1"/>
      <c r="C70" s="1">
        <f>IF(COUNT(C39:C69)&gt;0,AVERAGE(C39:C69),"")</f>
        <v>30.562133085533812</v>
      </c>
      <c r="D70" s="1">
        <f>IF(COUNT(D39:D69)&gt;0,AVERAGE(D39:D69),"")</f>
        <v>15.57883649176517</v>
      </c>
      <c r="E70" s="1">
        <f>IF(COUNT(E39:E69)&gt;0,AVERAGE(E39:E69),"")</f>
        <v>-14.98329659376864</v>
      </c>
      <c r="H70" s="2" t="s">
        <v>6</v>
      </c>
      <c r="I70" s="1"/>
      <c r="J70" s="1">
        <f>IF(COUNT(J39:J69)&gt;0,AVERAGE(J39:J69),"")</f>
        <v>32.74960009631654</v>
      </c>
      <c r="K70" s="1">
        <f>IF(COUNT(K39:K69)&gt;0,AVERAGE(K39:K69),"")</f>
        <v>12.58821995490849</v>
      </c>
      <c r="L70" s="1">
        <f>IF(COUNT(L39:L69)&gt;0,AVERAGE(L39:L69),"")</f>
        <v>-20.16138014140805</v>
      </c>
      <c r="O70" s="2" t="s">
        <v>6</v>
      </c>
      <c r="P70" s="1"/>
      <c r="Q70" s="1">
        <f>IF(COUNT(Q39:Q69)&gt;0,AVERAGE(Q39:Q69),"")</f>
        <v>31.481548328397977</v>
      </c>
      <c r="R70" s="1">
        <f>IF(COUNT(R39:R69)&gt;0,AVERAGE(R39:R69),"")</f>
        <v>12.129762543035152</v>
      </c>
      <c r="S70" s="1">
        <f>IF(COUNT(S39:S69)&gt;0,AVERAGE(S39:S69),"")</f>
        <v>-19.35178578536283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IF(1227574&gt;0,100*38510/1227574,"")</f>
        <v>3.1370817563747684</v>
      </c>
      <c r="D75" s="1">
        <f>IF(1389514&gt;0,100*159927/1389514,"")</f>
        <v>11.509563775535907</v>
      </c>
      <c r="E75" s="1">
        <f>IF(COUNT(C75:D75)=2,D75-C75,"")</f>
        <v>8.37248201916114</v>
      </c>
      <c r="H75" s="1">
        <v>1</v>
      </c>
      <c r="I75" s="1">
        <v>0</v>
      </c>
      <c r="J75" s="1">
        <f>IF(2974908&gt;0,100*1593753/2974908,"")</f>
        <v>53.573186128781124</v>
      </c>
      <c r="K75" s="1">
        <f>IF(2157240&gt;0,100*266918/2157240,"")</f>
        <v>12.373124918877826</v>
      </c>
      <c r="L75" s="1">
        <f>IF(COUNT(J75:K75)=2,K75-J75,"")</f>
        <v>-41.200061209903296</v>
      </c>
      <c r="O75" s="1">
        <v>1</v>
      </c>
      <c r="P75" s="1">
        <v>0</v>
      </c>
      <c r="Q75" s="1">
        <f>IF(2673895&gt;0,100*1212503/2673895,"")</f>
        <v>45.34594664337979</v>
      </c>
      <c r="R75" s="1">
        <f>IF(3180140&gt;0,100*850852/3180140,"")</f>
        <v>26.755174300502492</v>
      </c>
      <c r="S75" s="1">
        <f>IF(COUNT(Q75:R75)=2,R75-Q75,"")</f>
        <v>-18.590772342877298</v>
      </c>
    </row>
    <row r="76" spans="1:19">
      <c r="A76" s="1">
        <v>2</v>
      </c>
      <c r="B76" s="1">
        <v>1</v>
      </c>
      <c r="C76" s="1">
        <f>IF(1624357&gt;0,100*617829/1624357,"")</f>
        <v>38.03529642806353</v>
      </c>
      <c r="D76" s="1">
        <f>IF(1801192&gt;0,100*414931/1801192,"")</f>
        <v>23.036466961878578</v>
      </c>
      <c r="E76" s="1">
        <f>IF(COUNT(C76:D76)=2,D76-C76,"")</f>
        <v>-14.998829466184954</v>
      </c>
      <c r="H76" s="1">
        <v>2</v>
      </c>
      <c r="I76" s="1">
        <v>1</v>
      </c>
      <c r="J76" s="1">
        <f>IF(2706515&gt;0,100*1225890/2706515,"")</f>
        <v>45.29404049118516</v>
      </c>
      <c r="K76" s="1">
        <f>IF(2358317&gt;0,100*394287/2358317,"")</f>
        <v>16.718999184587993</v>
      </c>
      <c r="L76" s="1">
        <f>IF(COUNT(J76:K76)=2,K76-J76,"")</f>
        <v>-28.575041306597164</v>
      </c>
      <c r="O76" s="1">
        <v>2</v>
      </c>
      <c r="P76" s="1">
        <v>1</v>
      </c>
      <c r="Q76" s="1">
        <f>IF(2467592&gt;0,100*1063705/2467592,"")</f>
        <v>43.1070047236334</v>
      </c>
      <c r="R76" s="1">
        <f>IF(2932211&gt;0,100*741998/2932211,"")</f>
        <v>25.30506842788599</v>
      </c>
      <c r="S76" s="1">
        <f>IF(COUNT(Q76:R76)=2,R76-Q76,"")</f>
        <v>-17.801936295747414</v>
      </c>
    </row>
    <row r="77" spans="1:19">
      <c r="A77" s="1">
        <v>3</v>
      </c>
      <c r="B77" s="1">
        <v>2</v>
      </c>
      <c r="C77" s="1">
        <f>IF(1673401&gt;0,100*672518/1673401,"")</f>
        <v>40.18869356478214</v>
      </c>
      <c r="D77" s="1">
        <f>IF(1671829&gt;0,100*382069/1671829,"")</f>
        <v>22.853354021254567</v>
      </c>
      <c r="E77" s="1">
        <f>IF(COUNT(C77:D77)=2,D77-C77,"")</f>
        <v>-17.335339543527574</v>
      </c>
      <c r="H77" s="1">
        <v>3</v>
      </c>
      <c r="I77" s="1">
        <v>2</v>
      </c>
      <c r="J77" s="1">
        <f>IF(2238301&gt;0,100*947036/2238301,"")</f>
        <v>42.31048460417075</v>
      </c>
      <c r="K77" s="1">
        <f>IF(2406181&gt;0,100*328539/2406181,"")</f>
        <v>13.653960362915342</v>
      </c>
      <c r="L77" s="1">
        <f>IF(COUNT(J77:K77)=2,K77-J77,"")</f>
        <v>-28.65652424125541</v>
      </c>
      <c r="O77" s="1">
        <v>3</v>
      </c>
      <c r="P77" s="1">
        <v>2</v>
      </c>
      <c r="Q77" s="1">
        <f>IF(2033898&gt;0,100*82955/2033898,"")</f>
        <v>4.07862144512655</v>
      </c>
      <c r="R77" s="1">
        <f>IF(2737884&gt;0,100*702804/2737884,"")</f>
        <v>25.66960470202536</v>
      </c>
      <c r="S77" s="1">
        <f>IF(COUNT(Q77:R77)=2,R77-Q77,"")</f>
        <v>21.59098325689881</v>
      </c>
    </row>
    <row r="78" spans="1:19">
      <c r="A78" s="1">
        <v>4</v>
      </c>
      <c r="B78" s="1">
        <v>3</v>
      </c>
      <c r="C78" s="1">
        <f>IF(1853726&gt;0,100*857824/1853726,"")</f>
        <v>46.2756631778375</v>
      </c>
      <c r="D78" s="1">
        <f>IF(2447804&gt;0,100*666195/2447804,"")</f>
        <v>27.216027100209004</v>
      </c>
      <c r="E78" s="1">
        <f>IF(COUNT(C78:D78)=2,D78-C78,"")</f>
        <v>-19.059636077628497</v>
      </c>
      <c r="H78" s="1">
        <v>4</v>
      </c>
      <c r="I78" s="1">
        <v>3</v>
      </c>
      <c r="J78" s="1">
        <f>IF(2473338&gt;0,100*1144203/2473338,"")</f>
        <v>46.2614895335777</v>
      </c>
      <c r="K78" s="1">
        <f>IF(1229275&gt;0,100*9920/1229275,"")</f>
        <v>0.8069797238209514</v>
      </c>
      <c r="L78" s="1">
        <f>IF(COUNT(J78:K78)=2,K78-J78,"")</f>
        <v>-45.45450980975675</v>
      </c>
      <c r="O78" s="1">
        <v>4</v>
      </c>
      <c r="P78" s="1">
        <v>3</v>
      </c>
      <c r="Q78" s="1">
        <f>IF(2535025&gt;0,100*1351101/2535025,"")</f>
        <v>53.29734420765081</v>
      </c>
      <c r="R78" s="1">
        <f>IF(1902143&gt;0,100*191220/1902143,"")</f>
        <v>10.052871944958923</v>
      </c>
      <c r="S78" s="1">
        <f>IF(COUNT(Q78:R78)=2,R78-Q78,"")</f>
        <v>-43.244472262691886</v>
      </c>
    </row>
    <row r="79" spans="1:19">
      <c r="A79" s="1">
        <v>5</v>
      </c>
      <c r="B79" s="1">
        <v>4</v>
      </c>
      <c r="C79" s="1">
        <f>IF(2574341&gt;0,100*1256270/2574341,"")</f>
        <v>48.79967339214191</v>
      </c>
      <c r="D79" s="1">
        <f>IF(1315583&gt;0,100*28988/1315583,"")</f>
        <v>2.2034337628260627</v>
      </c>
      <c r="E79" s="1">
        <f>IF(COUNT(C79:D79)=2,D79-C79,"")</f>
        <v>-46.596239629315846</v>
      </c>
      <c r="H79" s="1">
        <v>5</v>
      </c>
      <c r="I79" s="1">
        <v>4</v>
      </c>
      <c r="J79" s="1">
        <f>IF(2594432&gt;0,100*1209716/2594432,"")</f>
        <v>46.627392816616506</v>
      </c>
      <c r="K79" s="1">
        <f>IF(29765&gt;0,100*7421/29765,"")</f>
        <v>24.931967075424154</v>
      </c>
      <c r="L79" s="1">
        <f>IF(COUNT(J79:K79)=2,K79-J79,"")</f>
        <v>-21.695425741192352</v>
      </c>
      <c r="O79" s="1">
        <v>5</v>
      </c>
      <c r="P79" s="1">
        <v>4</v>
      </c>
      <c r="Q79" s="1">
        <f>IF(2505160&gt;0,100*1184605/2505160,"")</f>
        <v>47.28660045665746</v>
      </c>
      <c r="R79" s="1">
        <f>IF(2654988&gt;0,100*722985/2654988,"")</f>
        <v>27.231196525182035</v>
      </c>
      <c r="S79" s="1">
        <f>IF(COUNT(Q79:R79)=2,R79-Q79,"")</f>
        <v>-20.055403931475425</v>
      </c>
    </row>
    <row r="80" spans="1:19">
      <c r="A80" s="1">
        <v>6</v>
      </c>
      <c r="B80" s="1">
        <v>5</v>
      </c>
      <c r="C80" s="1">
        <f>IF(2161281&gt;0,100*837619/2161281,"")</f>
        <v>38.75567314014235</v>
      </c>
      <c r="D80" s="1">
        <f>IF(2321818&gt;0,100*419618/2321818,"")</f>
        <v>18.072820522538805</v>
      </c>
      <c r="E80" s="1">
        <f>IF(COUNT(C80:D80)=2,D80-C80,"")</f>
        <v>-20.682852617603544</v>
      </c>
      <c r="H80" s="1">
        <v>6</v>
      </c>
      <c r="I80" s="1">
        <v>5</v>
      </c>
      <c r="J80" s="1">
        <f>IF(2014532&gt;0,100*751916/2014532,"")</f>
        <v>37.3245994603213</v>
      </c>
      <c r="K80" s="1">
        <f>IF(1780284&gt;0,100*141944/1780284,"")</f>
        <v>7.973109908306765</v>
      </c>
      <c r="L80" s="1">
        <f>IF(COUNT(J80:K80)=2,K80-J80,"")</f>
        <v>-29.351489552014538</v>
      </c>
      <c r="O80" s="1">
        <v>6</v>
      </c>
      <c r="P80" s="1">
        <v>5</v>
      </c>
      <c r="Q80" s="1">
        <f>IF(2374865&gt;0,100*978839/2374865,"")</f>
        <v>41.21661652346555</v>
      </c>
      <c r="R80" s="1">
        <f>IF(2093071&gt;0,100*246938/2093071,"")</f>
        <v>11.797879766142668</v>
      </c>
      <c r="S80" s="1">
        <f>IF(COUNT(Q80:R80)=2,R80-Q80,"")</f>
        <v>-29.41873675732288</v>
      </c>
    </row>
    <row r="81" spans="1:19">
      <c r="A81" s="1">
        <v>7</v>
      </c>
      <c r="B81" s="1">
        <v>6</v>
      </c>
      <c r="C81" s="1">
        <f>IF(2322649&gt;0,100*1026425/2322649,"")</f>
        <v>44.19199801605839</v>
      </c>
      <c r="D81" s="1">
        <f>IF(1429397&gt;0,100*217320/1429397,"")</f>
        <v>15.203613831566738</v>
      </c>
      <c r="E81" s="1">
        <f>IF(COUNT(C81:D81)=2,D81-C81,"")</f>
        <v>-28.988384184491654</v>
      </c>
      <c r="H81" s="1">
        <v>7</v>
      </c>
      <c r="I81" s="1">
        <v>6</v>
      </c>
      <c r="J81" s="1">
        <f>IF(1377831&gt;0,100*8479/1377831,"")</f>
        <v>0.6153875184982773</v>
      </c>
      <c r="K81" s="1">
        <f>IF(1845696&gt;0,100*78229/1845696,"")</f>
        <v>4.238455303581955</v>
      </c>
      <c r="L81" s="1">
        <f>IF(COUNT(J81:K81)=2,K81-J81,"")</f>
        <v>3.623067785083678</v>
      </c>
      <c r="O81" s="1">
        <v>7</v>
      </c>
      <c r="P81" s="1">
        <v>6</v>
      </c>
      <c r="Q81" s="1">
        <f>IF(985046&gt;0,100*15738/985046,"")</f>
        <v>1.5976918844399144</v>
      </c>
      <c r="R81" s="1">
        <f>IF(1895604&gt;0,100*125471/1895604,"")</f>
        <v>6.619051236439678</v>
      </c>
      <c r="S81" s="1">
        <f>IF(COUNT(Q81:R81)=2,R81-Q81,"")</f>
        <v>5.021359351999764</v>
      </c>
    </row>
    <row r="82" spans="1:19">
      <c r="A82" s="1">
        <v>8</v>
      </c>
      <c r="B82" s="1">
        <v>7</v>
      </c>
      <c r="C82" s="1">
        <f>IF(2162199&gt;0,100*1011109/2162199,"")</f>
        <v>46.76299452548077</v>
      </c>
      <c r="D82" s="1">
        <f>IF(2310648&gt;0,100*574338/2310648,"")</f>
        <v>24.856144250444032</v>
      </c>
      <c r="E82" s="1">
        <f>IF(COUNT(C82:D82)=2,D82-C82,"")</f>
        <v>-21.90685027503674</v>
      </c>
      <c r="H82" s="1">
        <v>8</v>
      </c>
      <c r="I82" s="1">
        <v>7</v>
      </c>
      <c r="J82" s="1">
        <f>IF(1201041&gt;0,100*14947/1201041,"")</f>
        <v>1.2445037263507241</v>
      </c>
      <c r="K82" s="1">
        <f>IF(957803&gt;0,100*3389/957803,"")</f>
        <v>0.35383058938007084</v>
      </c>
      <c r="L82" s="1">
        <f>IF(COUNT(J82:K82)=2,K82-J82,"")</f>
        <v>-0.8906731369706533</v>
      </c>
      <c r="O82" s="1">
        <v>8</v>
      </c>
      <c r="P82" s="1">
        <v>7</v>
      </c>
      <c r="Q82" s="1">
        <f>IF(1244696&gt;0,100*14076/1244696,"")</f>
        <v>1.13087854383721</v>
      </c>
      <c r="R82" s="1">
        <f>IF(1266148&gt;0,100*31905/1266148,"")</f>
        <v>2.519847600754414</v>
      </c>
      <c r="S82" s="1">
        <f>IF(COUNT(Q82:R82)=2,R82-Q82,"")</f>
        <v>1.3889690569172042</v>
      </c>
    </row>
    <row r="83" spans="1:19">
      <c r="A83" s="1">
        <v>9</v>
      </c>
      <c r="B83" s="1">
        <v>8</v>
      </c>
      <c r="C83" s="1">
        <f>IF(1440745&gt;0,100*484807/1440745,"")</f>
        <v>33.64974370898389</v>
      </c>
      <c r="D83" s="1">
        <f>IF(1715729&gt;0,100*394845/1715729,"")</f>
        <v>23.013249761471656</v>
      </c>
      <c r="E83" s="1">
        <f>IF(COUNT(C83:D83)=2,D83-C83,"")</f>
        <v>-10.636493947512236</v>
      </c>
      <c r="H83" s="1">
        <v>9</v>
      </c>
      <c r="I83" s="1">
        <v>8</v>
      </c>
      <c r="J83" s="1">
        <f>IF(2605328&gt;0,100*1210537/2605328,"")</f>
        <v>46.46390013080887</v>
      </c>
      <c r="K83" s="1">
        <f>IF(1849446&gt;0,100*307229/1849446,"")</f>
        <v>16.611947577815194</v>
      </c>
      <c r="L83" s="1">
        <f>IF(COUNT(J83:K83)=2,K83-J83,"")</f>
        <v>-29.851952552993673</v>
      </c>
      <c r="O83" s="1">
        <v>9</v>
      </c>
      <c r="P83" s="1">
        <v>8</v>
      </c>
      <c r="Q83" s="1">
        <f>IF(2369232&gt;0,100*974673/2369232,"")</f>
        <v>41.138774083753724</v>
      </c>
      <c r="R83" s="1">
        <f>IF(2157524&gt;0,100*656496/2157524,"")</f>
        <v>30.428213081291332</v>
      </c>
      <c r="S83" s="1">
        <f>IF(COUNT(Q83:R83)=2,R83-Q83,"")</f>
        <v>-10.710561002462391</v>
      </c>
    </row>
    <row r="84" spans="1:19">
      <c r="A84" s="1">
        <v>10</v>
      </c>
      <c r="B84" s="1">
        <v>9</v>
      </c>
      <c r="C84" s="1">
        <f>IF(1168622&gt;0,100*16823/1168622,"")</f>
        <v>1.4395587281430609</v>
      </c>
      <c r="D84" s="1">
        <f>IF(2040564&gt;0,100*315243/2040564,"")</f>
        <v>15.448817091745223</v>
      </c>
      <c r="E84" s="1">
        <f>IF(COUNT(C84:D84)=2,D84-C84,"")</f>
        <v>14.009258363602163</v>
      </c>
      <c r="H84" s="1">
        <v>10</v>
      </c>
      <c r="I84" s="1">
        <v>9</v>
      </c>
      <c r="J84" s="1">
        <f>IF(3065832&gt;0,100*1566994/3065832,"")</f>
        <v>51.11154166307873</v>
      </c>
      <c r="K84" s="1">
        <f>IF(190888&gt;0,100*6870/190888,"")</f>
        <v>3.59896902895939</v>
      </c>
      <c r="L84" s="1">
        <f>IF(COUNT(J84:K84)=2,K84-J84,"")</f>
        <v>-47.512572634119344</v>
      </c>
      <c r="O84" s="1">
        <v>10</v>
      </c>
      <c r="P84" s="1">
        <v>9</v>
      </c>
      <c r="Q84" s="1">
        <f>IF(2063235&gt;0,100*325107/2063235,"")</f>
        <v>15.757148361674748</v>
      </c>
      <c r="R84" s="1">
        <f>IF(1802775&gt;0,100*291606/1802775,"")</f>
        <v>16.175396264092857</v>
      </c>
      <c r="S84" s="1">
        <f>IF(COUNT(Q84:R84)=2,R84-Q84,"")</f>
        <v>0.41824790241810916</v>
      </c>
    </row>
    <row r="85" spans="1:19">
      <c r="A85" s="1">
        <v>11</v>
      </c>
      <c r="B85" s="1">
        <v>10</v>
      </c>
      <c r="C85" s="1">
        <f>IF(2209395&gt;0,100*1084873/2209395,"")</f>
        <v>49.1027181649275</v>
      </c>
      <c r="D85" s="1">
        <f>IF(2289092&gt;0,100*601674/2289092,"")</f>
        <v>26.28439573420378</v>
      </c>
      <c r="E85" s="1">
        <f>IF(COUNT(C85:D85)=2,D85-C85,"")</f>
        <v>-22.818322430723722</v>
      </c>
      <c r="H85" s="1">
        <v>11</v>
      </c>
      <c r="I85" s="1">
        <v>10</v>
      </c>
      <c r="J85" s="1">
        <f>IF(2870543&gt;0,100*1618419/2870543,"")</f>
        <v>56.380238860731225</v>
      </c>
      <c r="K85" s="1">
        <f>IF(2163298&gt;0,100*206503/2163298,"")</f>
        <v>9.54574912933863</v>
      </c>
      <c r="L85" s="1">
        <f>IF(COUNT(J85:K85)=2,K85-J85,"")</f>
        <v>-46.834489731392594</v>
      </c>
      <c r="O85" s="1">
        <v>11</v>
      </c>
      <c r="P85" s="1">
        <v>10</v>
      </c>
      <c r="Q85" s="1">
        <f>IF(2712419&gt;0,100*1335644/2712419,"")</f>
        <v>49.241802243679906</v>
      </c>
      <c r="R85" s="1">
        <f>IF(1774098&gt;0,100*76511/1774098,"")</f>
        <v>4.312670438724354</v>
      </c>
      <c r="S85" s="1">
        <f>IF(COUNT(Q85:R85)=2,R85-Q85,"")</f>
        <v>-44.92913180495555</v>
      </c>
    </row>
    <row r="86" spans="1:19">
      <c r="A86" s="1">
        <v>12</v>
      </c>
      <c r="B86" s="1">
        <v>11</v>
      </c>
      <c r="C86" s="1">
        <f>IF(2101751&gt;0,100*916475/2101751,"")</f>
        <v>43.605308145446344</v>
      </c>
      <c r="D86" s="1">
        <f>IF(1637608&gt;0,100*401100/1637608,"")</f>
        <v>24.493041069657696</v>
      </c>
      <c r="E86" s="1">
        <f>IF(COUNT(C86:D86)=2,D86-C86,"")</f>
        <v>-19.112267075788647</v>
      </c>
      <c r="H86" s="1">
        <v>12</v>
      </c>
      <c r="I86" s="1">
        <v>11</v>
      </c>
      <c r="J86" s="1">
        <f>IF(2321486&gt;0,100*1150766/2321486,"")</f>
        <v>49.57023217025647</v>
      </c>
      <c r="K86" s="1">
        <f>IF(1966161&gt;0,100*64583/1966161,"")</f>
        <v>3.284725920206941</v>
      </c>
      <c r="L86" s="1">
        <f>IF(COUNT(J86:K86)=2,K86-J86,"")</f>
        <v>-46.28550625004953</v>
      </c>
      <c r="O86" s="1">
        <v>12</v>
      </c>
      <c r="P86" s="1">
        <v>11</v>
      </c>
      <c r="Q86" s="1">
        <f>IF(2923066&gt;0,100*1456418/2923066,"")</f>
        <v>49.825012503994095</v>
      </c>
      <c r="R86" s="1">
        <f>IF(1916556&gt;0,100*66884/1916556,"")</f>
        <v>3.4898014981038905</v>
      </c>
      <c r="S86" s="1">
        <f>IF(COUNT(Q86:R86)=2,R86-Q86,"")</f>
        <v>-46.3352110058902</v>
      </c>
    </row>
    <row r="87" spans="1:19">
      <c r="A87" s="1">
        <v>13</v>
      </c>
      <c r="B87" s="1">
        <v>12</v>
      </c>
      <c r="C87" s="1">
        <f>IF(2087661&gt;0,100*558523/2087661,"")</f>
        <v>26.753529428388998</v>
      </c>
      <c r="D87" s="1">
        <f>IF(1768661&gt;0,100*158179/1768661,"")</f>
        <v>8.943432347973976</v>
      </c>
      <c r="E87" s="1">
        <f>IF(COUNT(C87:D87)=2,D87-C87,"")</f>
        <v>-17.81009708041502</v>
      </c>
      <c r="H87" s="1">
        <v>13</v>
      </c>
      <c r="I87" s="1">
        <v>12</v>
      </c>
      <c r="J87" s="1">
        <f>IF(2390190&gt;0,100*1069032/2390190,"")</f>
        <v>44.72581677607219</v>
      </c>
      <c r="K87" s="1">
        <f>IF(1571837&gt;0,100*35646/1571837,"")</f>
        <v>2.2677923983212</v>
      </c>
      <c r="L87" s="1">
        <f>IF(COUNT(J87:K87)=2,K87-J87,"")</f>
        <v>-42.458024377750995</v>
      </c>
      <c r="O87" s="1">
        <v>13</v>
      </c>
      <c r="P87" s="1">
        <v>12</v>
      </c>
      <c r="Q87" s="1">
        <f>IF(1557676&gt;0,100*18730/1557676,"")</f>
        <v>1.2024323415138964</v>
      </c>
      <c r="R87" s="1">
        <f>IF(1359764&gt;0,100*18486/1359764,"")</f>
        <v>1.359500619225101</v>
      </c>
      <c r="S87" s="1">
        <f>IF(COUNT(Q87:R87)=2,R87-Q87,"")</f>
        <v>0.15706827771120446</v>
      </c>
    </row>
    <row r="88" spans="1:19">
      <c r="A88" s="1">
        <v>14</v>
      </c>
      <c r="B88" s="1">
        <v>13</v>
      </c>
      <c r="C88" s="1">
        <f>IF(1496156&gt;0,100*261177/1496156,"")</f>
        <v>17.456535281080313</v>
      </c>
      <c r="D88" s="1">
        <f>IF(968891&gt;0,100*17042/968891,"")</f>
        <v>1.7589181858434024</v>
      </c>
      <c r="E88" s="1">
        <f>IF(COUNT(C88:D88)=2,D88-C88,"")</f>
        <v>-15.697617095236911</v>
      </c>
      <c r="H88" s="1">
        <v>14</v>
      </c>
      <c r="I88" s="1">
        <v>13</v>
      </c>
      <c r="J88" s="1">
        <f>IF(1799691&gt;0,100*550790/1799691,"")</f>
        <v>30.604698250977528</v>
      </c>
      <c r="K88" s="1">
        <f>IF(1028124&gt;0,100*5157/1028124,"")</f>
        <v>0.501593193038972</v>
      </c>
      <c r="L88" s="1">
        <f>IF(COUNT(J88:K88)=2,K88-J88,"")</f>
        <v>-30.103105057938556</v>
      </c>
      <c r="O88" s="1">
        <v>14</v>
      </c>
      <c r="P88" s="1">
        <v>13</v>
      </c>
      <c r="Q88" s="1">
        <f>IF(1217487&gt;0,100*119562/1217487,"")</f>
        <v>9.820392332731274</v>
      </c>
      <c r="R88" s="1">
        <f>IF(1010896&gt;0,100*4231/1010896,"")</f>
        <v>0.41853959259904083</v>
      </c>
      <c r="S88" s="1">
        <f>IF(COUNT(Q88:R88)=2,R88-Q88,"")</f>
        <v>-9.401852740132233</v>
      </c>
    </row>
    <row r="89" spans="1:19">
      <c r="A89" s="1">
        <v>15</v>
      </c>
      <c r="B89" s="1">
        <v>14</v>
      </c>
      <c r="C89" s="1">
        <f>IF(1933985&gt;0,100*847555/1933985,"")</f>
        <v>43.82427991944095</v>
      </c>
      <c r="D89" s="1">
        <f>IF(2341970&gt;0,100*693946/2341970,"")</f>
        <v>29.630866321942637</v>
      </c>
      <c r="E89" s="1">
        <f>IF(COUNT(C89:D89)=2,D89-C89,"")</f>
        <v>-14.19341359749831</v>
      </c>
      <c r="H89" s="1">
        <v>15</v>
      </c>
      <c r="I89" s="1">
        <v>14</v>
      </c>
      <c r="J89" s="1">
        <f>IF(2456423&gt;0,100*458635/2456423,"")</f>
        <v>18.670847814077625</v>
      </c>
      <c r="K89" s="1">
        <f>IF(2262361&gt;0,100*291447/2262361,"")</f>
        <v>12.882426809868099</v>
      </c>
      <c r="L89" s="1">
        <f>IF(COUNT(J89:K89)=2,K89-J89,"")</f>
        <v>-5.7884210042095265</v>
      </c>
      <c r="O89" s="1">
        <v>15</v>
      </c>
      <c r="P89" s="1">
        <v>14</v>
      </c>
      <c r="Q89" s="1">
        <f>IF(2356524&gt;0,100*573959/2356524,"")</f>
        <v>24.35617035939375</v>
      </c>
      <c r="R89" s="1">
        <f>IF(2698017&gt;0,100*437882/2698017,"")</f>
        <v>16.22977171752439</v>
      </c>
      <c r="S89" s="1">
        <f>IF(COUNT(Q89:R89)=2,R89-Q89,"")</f>
        <v>-8.126398641869361</v>
      </c>
    </row>
    <row r="90" spans="1:19">
      <c r="A90" s="1">
        <v>16</v>
      </c>
      <c r="B90" s="1">
        <v>15</v>
      </c>
      <c r="C90" s="1">
        <f>IF(2016018&gt;0,100*829052/2016018,"")</f>
        <v>41.12324393929023</v>
      </c>
      <c r="D90" s="1">
        <f>IF(2112651&gt;0,100*468759/2112651,"")</f>
        <v>22.188189151923343</v>
      </c>
      <c r="E90" s="1">
        <f>IF(COUNT(C90:D90)=2,D90-C90,"")</f>
        <v>-18.935054787366884</v>
      </c>
      <c r="H90" s="1">
        <v>16</v>
      </c>
      <c r="I90" s="1">
        <v>15</v>
      </c>
      <c r="J90" s="1">
        <f>IF(2410914&gt;0,100*1100716/2410914,"")</f>
        <v>45.65554806185538</v>
      </c>
      <c r="K90" s="1">
        <f>IF(1818777&gt;0,100*78371/1818777,"")</f>
        <v>4.3089944506665745</v>
      </c>
      <c r="L90" s="1">
        <f>IF(COUNT(J90:K90)=2,K90-J90,"")</f>
        <v>-41.3465536111888</v>
      </c>
      <c r="O90" s="1">
        <v>16</v>
      </c>
      <c r="P90" s="1">
        <v>15</v>
      </c>
      <c r="Q90" s="1">
        <f>IF(2715811&gt;0,100*1420140/2715811,"")</f>
        <v>52.29156226261695</v>
      </c>
      <c r="R90" s="1">
        <f>IF(2147207&gt;0,100*271278/2147207,"")</f>
        <v>12.633993834781649</v>
      </c>
      <c r="S90" s="1">
        <f>IF(COUNT(Q90:R90)=2,R90-Q90,"")</f>
        <v>-39.6575684278353</v>
      </c>
    </row>
    <row r="91" spans="1:19">
      <c r="A91" s="1">
        <v>17</v>
      </c>
      <c r="B91" s="1">
        <v>16</v>
      </c>
      <c r="C91" s="1">
        <f>IF(830136&gt;0,100*34541/830136,"")</f>
        <v>4.160884481578922</v>
      </c>
      <c r="D91" s="1">
        <f>IF(857596&gt;0,100*17532/857596,"")</f>
        <v>2.0443192365636036</v>
      </c>
      <c r="E91" s="1">
        <f>IF(COUNT(C91:D91)=2,D91-C91,"")</f>
        <v>-2.1165652450153183</v>
      </c>
      <c r="H91" s="1">
        <v>17</v>
      </c>
      <c r="I91" s="1">
        <v>16</v>
      </c>
      <c r="J91" s="1">
        <f>IF(196031&gt;0,100*5823/196031,"")</f>
        <v>2.970448551504609</v>
      </c>
      <c r="K91" s="1">
        <f>IF(2760011&gt;0,100*801133/2760011,"")</f>
        <v>29.026442285918424</v>
      </c>
      <c r="L91" s="1">
        <f>IF(COUNT(J91:K91)=2,K91-J91,"")</f>
        <v>26.055993734413814</v>
      </c>
      <c r="O91" s="1">
        <v>17</v>
      </c>
      <c r="P91" s="1">
        <v>16</v>
      </c>
      <c r="Q91" s="1">
        <f>IF(2285076&gt;0,100*953900/2285076,"")</f>
        <v>41.74478223043785</v>
      </c>
      <c r="R91" s="1">
        <f>IF(2203877&gt;0,100*318600/2203877,"")</f>
        <v>14.456342164285937</v>
      </c>
      <c r="S91" s="1">
        <f>IF(COUNT(Q91:R91)=2,R91-Q91,"")</f>
        <v>-27.288440066151914</v>
      </c>
    </row>
    <row r="92" spans="1:19">
      <c r="A92" s="1">
        <v>18</v>
      </c>
      <c r="B92" s="1">
        <v>17</v>
      </c>
      <c r="C92" s="1">
        <f>IF(1194547&gt;0,100*244244/1194547,"")</f>
        <v>20.446579330909543</v>
      </c>
      <c r="D92" s="1">
        <f>IF(936848&gt;0,100*5298/936848,"")</f>
        <v>0.5655132956466791</v>
      </c>
      <c r="E92" s="1">
        <f>IF(COUNT(C92:D92)=2,D92-C92,"")</f>
        <v>-19.881066035262865</v>
      </c>
      <c r="H92" s="1">
        <v>18</v>
      </c>
      <c r="I92" s="1">
        <v>17</v>
      </c>
      <c r="J92" s="4"/>
      <c r="K92" s="1">
        <f>IF(32072&gt;0,100*569/32072,"")</f>
        <v>1.7741332002993264</v>
      </c>
      <c r="L92" s="1">
        <f>IF(COUNT(J92:K92)=2,K92-J92,"")</f>
        <v/>
      </c>
      <c r="O92" s="1">
        <v>18</v>
      </c>
      <c r="P92" s="1">
        <v>17</v>
      </c>
      <c r="Q92" s="1">
        <f>IF(2825816&gt;0,100*1323547/2825816,"")</f>
        <v>46.83769219227296</v>
      </c>
      <c r="R92" s="1">
        <f>IF(1830326&gt;0,100*156689/1830326,"")</f>
        <v>8.560715413538354</v>
      </c>
      <c r="S92" s="1">
        <f>IF(COUNT(Q92:R92)=2,R92-Q92,"")</f>
        <v>-38.27697677873461</v>
      </c>
    </row>
    <row r="93" spans="1:19">
      <c r="A93" s="1">
        <v>19</v>
      </c>
      <c r="B93" s="1">
        <v>18</v>
      </c>
      <c r="C93" s="1">
        <f>IF(1931560&gt;0,100*912771/1931560,"")</f>
        <v>47.25563792996335</v>
      </c>
      <c r="D93" s="1">
        <f>IF(1862498&gt;0,100*368744/1862498,"")</f>
        <v>19.798356830450288</v>
      </c>
      <c r="E93" s="1">
        <f>IF(COUNT(C93:D93)=2,D93-C93,"")</f>
        <v>-27.45728109951306</v>
      </c>
      <c r="H93" s="1">
        <v>19</v>
      </c>
      <c r="I93" s="1">
        <v>18</v>
      </c>
      <c r="J93" s="1">
        <f>IF(1855523&gt;0,100*552371/1855523,"")</f>
        <v>29.76901930075779</v>
      </c>
      <c r="K93" s="1">
        <f>IF(1403178&gt;0,100*127397/1403178,"")</f>
        <v>9.079175984800218</v>
      </c>
      <c r="L93" s="1">
        <f>IF(COUNT(J93:K93)=2,K93-J93,"")</f>
        <v>-20.689843315957575</v>
      </c>
      <c r="O93" s="1">
        <v>19</v>
      </c>
      <c r="P93" s="1">
        <v>18</v>
      </c>
      <c r="Q93" s="1">
        <f>IF(2510684&gt;0,100*1031580/2510684,"")</f>
        <v>41.08760799845779</v>
      </c>
      <c r="R93" s="1">
        <f>IF(1973936&gt;0,100*49908/1973936,"")</f>
        <v>2.528349450032828</v>
      </c>
      <c r="S93" s="1">
        <f>IF(COUNT(Q93:R93)=2,R93-Q93,"")</f>
        <v>-38.559258548424964</v>
      </c>
    </row>
    <row r="94" spans="1:19">
      <c r="A94" s="1">
        <v>20</v>
      </c>
      <c r="B94" s="1">
        <v>19</v>
      </c>
      <c r="C94" s="1">
        <f>IF(2025286&gt;0,100*867239/2025286,"")</f>
        <v>42.82056953931445</v>
      </c>
      <c r="D94" s="1">
        <f>IF(2420983&gt;0,100*497346/2420983,"")</f>
        <v>20.543143012569686</v>
      </c>
      <c r="E94" s="1">
        <f>IF(COUNT(C94:D94)=2,D94-C94,"")</f>
        <v>-22.27742652674476</v>
      </c>
      <c r="H94" s="1">
        <v>20</v>
      </c>
      <c r="I94" s="1">
        <v>19</v>
      </c>
      <c r="J94" s="1">
        <f>IF(2440076&gt;0,100*960305/2440076,"")</f>
        <v>39.355536466896936</v>
      </c>
      <c r="K94" s="1">
        <f>IF(1732466&gt;0,100*333311/1732466,"")</f>
        <v>19.23910772274896</v>
      </c>
      <c r="L94" s="1">
        <f>IF(COUNT(J94:K94)=2,K94-J94,"")</f>
        <v>-20.116428744147974</v>
      </c>
      <c r="O94" s="1">
        <v>20</v>
      </c>
      <c r="P94" s="1">
        <v>19</v>
      </c>
      <c r="Q94" s="1">
        <f>IF(3041216&gt;0,100*1439290/3041216,"")</f>
        <v>47.32613533533955</v>
      </c>
      <c r="R94" s="1">
        <f>IF(2343926&gt;0,100*321003/2343926,"")</f>
        <v>13.695099589321506</v>
      </c>
      <c r="S94" s="1">
        <f>IF(COUNT(Q94:R94)=2,R94-Q94,"")</f>
        <v>-33.63103574601804</v>
      </c>
    </row>
    <row r="95" spans="1:19">
      <c r="A95" s="1">
        <v>21</v>
      </c>
      <c r="B95" s="1">
        <v>20</v>
      </c>
      <c r="C95" s="1">
        <f>IF(2094148&gt;0,100*1039154/2094148,"")</f>
        <v>49.62180323453739</v>
      </c>
      <c r="D95" s="1">
        <f>IF(1977857&gt;0,100*422050/1977857,"")</f>
        <v>21.338751992687033</v>
      </c>
      <c r="E95" s="1">
        <f>IF(COUNT(C95:D95)=2,D95-C95,"")</f>
        <v>-28.283051241850355</v>
      </c>
      <c r="H95" s="1">
        <v>21</v>
      </c>
      <c r="I95" s="1">
        <v>20</v>
      </c>
      <c r="J95" s="1">
        <f>IF(2683747&gt;0,100*1388722/2683747,"")</f>
        <v>51.74563772218469</v>
      </c>
      <c r="K95" s="1">
        <f>IF(1431679&gt;0,100*106579/1431679,"")</f>
        <v>7.444336335170105</v>
      </c>
      <c r="L95" s="1">
        <f>IF(COUNT(J95:K95)=2,K95-J95,"")</f>
        <v>-44.30130138701458</v>
      </c>
      <c r="O95" s="1">
        <v>21</v>
      </c>
      <c r="P95" s="1">
        <v>20</v>
      </c>
      <c r="Q95" s="1">
        <f>IF(2268817&gt;0,100*1102753/2268817,"")</f>
        <v>48.60475745730044</v>
      </c>
      <c r="R95" s="1">
        <f>IF(775021&gt;0,100*97695/775021,"")</f>
        <v>12.605464884177332</v>
      </c>
      <c r="S95" s="1">
        <f>IF(COUNT(Q95:R95)=2,R95-Q95,"")</f>
        <v>-35.99929257312311</v>
      </c>
    </row>
    <row r="96" spans="1:19">
      <c r="A96" s="1">
        <v>22</v>
      </c>
      <c r="B96" s="1">
        <v>21</v>
      </c>
      <c r="C96" s="1">
        <f>IF(1002018&gt;0,100*273571/1002018,"")</f>
        <v>27.302004554808395</v>
      </c>
      <c r="D96" s="1">
        <f>IF(1814638&gt;0,100*428883/1814638,"")</f>
        <v>23.634631259788453</v>
      </c>
      <c r="E96" s="1">
        <f>IF(COUNT(C96:D96)=2,D96-C96,"")</f>
        <v>-3.6673732950199422</v>
      </c>
      <c r="H96" s="1">
        <v>22</v>
      </c>
      <c r="I96" s="1">
        <v>21</v>
      </c>
      <c r="J96" s="1">
        <f>IF(2557965&gt;0,100*1179736/2557965,"")</f>
        <v>46.12009937587106</v>
      </c>
      <c r="K96" s="1">
        <f>IF(1528699&gt;0,100*249760/1528699,"")</f>
        <v>16.338075710129985</v>
      </c>
      <c r="L96" s="1">
        <f>IF(COUNT(J96:K96)=2,K96-J96,"")</f>
        <v>-29.78202366574107</v>
      </c>
      <c r="O96" s="1">
        <v>22</v>
      </c>
      <c r="P96" s="1">
        <v>21</v>
      </c>
      <c r="Q96" s="1">
        <f>IF(1946233&gt;0,100*656202/1946233,"")</f>
        <v>33.71651801197493</v>
      </c>
      <c r="R96" s="1">
        <f>IF(1546234&gt;0,100*299515/1546234,"")</f>
        <v>19.370612727439703</v>
      </c>
      <c r="S96" s="1">
        <f>IF(COUNT(Q96:R96)=2,R96-Q96,"")</f>
        <v>-14.345905284535224</v>
      </c>
    </row>
    <row r="97" spans="1:19">
      <c r="A97" s="1">
        <v>23</v>
      </c>
      <c r="B97" s="1">
        <v>22</v>
      </c>
      <c r="C97" s="1">
        <f>IF(795260&gt;0,100*1236/795260,"")</f>
        <v>0.15542086864673188</v>
      </c>
      <c r="D97" s="1">
        <f>IF(1175596&gt;0,100*4180/1175596,"")</f>
        <v>0.3555643265203352</v>
      </c>
      <c r="E97" s="1">
        <f>IF(COUNT(C97:D97)=2,D97-C97,"")</f>
        <v>0.20014345787360333</v>
      </c>
      <c r="H97" s="1">
        <v>23</v>
      </c>
      <c r="I97" s="1">
        <v>22</v>
      </c>
      <c r="J97" s="1">
        <f>IF(2773812&gt;0,100*1410215/2773812,"")</f>
        <v>50.84032371335909</v>
      </c>
      <c r="K97" s="1">
        <f>IF(2638022&gt;0,100*386935/2638022,"")</f>
        <v>14.667618389839054</v>
      </c>
      <c r="L97" s="1">
        <f>IF(COUNT(J97:K97)=2,K97-J97,"")</f>
        <v>-36.172705323520034</v>
      </c>
      <c r="O97" s="1">
        <v>23</v>
      </c>
      <c r="P97" s="1">
        <v>22</v>
      </c>
      <c r="Q97" s="1">
        <f>IF(2188846&gt;0,100*938113/2188846,"")</f>
        <v>42.858794086016104</v>
      </c>
      <c r="R97" s="1">
        <f>IF(2519428&gt;0,100*555928/2519428,"")</f>
        <v>22.06564347145463</v>
      </c>
      <c r="S97" s="1">
        <f>IF(COUNT(Q97:R97)=2,R97-Q97,"")</f>
        <v>-20.793150614561473</v>
      </c>
    </row>
    <row r="98" spans="1:19">
      <c r="A98" s="1">
        <v>24</v>
      </c>
      <c r="B98" s="1">
        <v>23</v>
      </c>
      <c r="C98" s="1">
        <f>IF(1888679&gt;0,100*755365/1888679,"")</f>
        <v>39.99435584342284</v>
      </c>
      <c r="D98" s="1">
        <f>IF(1683043&gt;0,100*48760/1683043,"")</f>
        <v>2.8971333471575</v>
      </c>
      <c r="E98" s="1">
        <f>IF(COUNT(C98:D98)=2,D98-C98,"")</f>
        <v>-37.09722249626534</v>
      </c>
      <c r="H98" s="1">
        <v>24</v>
      </c>
      <c r="I98" s="1">
        <v>23</v>
      </c>
      <c r="J98" s="1">
        <f>IF(2330232&gt;0,100*1039149/2330232,"")</f>
        <v>44.594229244126765</v>
      </c>
      <c r="K98" s="1">
        <f>IF(1786705&gt;0,100*44626/1786705,"")</f>
        <v>2.497670292521709</v>
      </c>
      <c r="L98" s="1">
        <f>IF(COUNT(J98:K98)=2,K98-J98,"")</f>
        <v>-42.096558951605054</v>
      </c>
      <c r="O98" s="1">
        <v>24</v>
      </c>
      <c r="P98" s="1">
        <v>23</v>
      </c>
      <c r="Q98" s="1">
        <f>IF(2075098&gt;0,100*737576/2075098,"")</f>
        <v>35.544152613515124</v>
      </c>
      <c r="R98" s="1">
        <f>IF(1996162&gt;0,100*262915/1996162,"")</f>
        <v>13.171025197353721</v>
      </c>
      <c r="S98" s="1">
        <f>IF(COUNT(Q98:R98)=2,R98-Q98,"")</f>
        <v>-22.373127416161402</v>
      </c>
    </row>
    <row r="99" spans="1:19">
      <c r="A99" s="1">
        <v>25</v>
      </c>
      <c r="B99" s="1">
        <v>24</v>
      </c>
      <c r="C99" s="1">
        <f>IF(2046231&gt;0,100*862149/2046231,"")</f>
        <v>42.1335127852134</v>
      </c>
      <c r="D99" s="1">
        <f>IF(1428971&gt;0,100*279544/1428971,"")</f>
        <v>19.562608338447735</v>
      </c>
      <c r="E99" s="1">
        <f>IF(COUNT(C99:D99)=2,D99-C99,"")</f>
        <v>-22.570904446765663</v>
      </c>
      <c r="H99" s="1">
        <v>25</v>
      </c>
      <c r="I99" s="1">
        <v>24</v>
      </c>
      <c r="J99" s="1">
        <f>IF(2687496&gt;0,100*1356682/2687496,"")</f>
        <v>50.481265832581705</v>
      </c>
      <c r="K99" s="1">
        <f>IF(1270382&gt;0,100*147472/1270382,"")</f>
        <v>11.608476820357971</v>
      </c>
      <c r="L99" s="1">
        <f>IF(COUNT(J99:K99)=2,K99-J99,"")</f>
        <v>-38.872789012223734</v>
      </c>
      <c r="O99" s="1">
        <v>25</v>
      </c>
      <c r="P99" s="1">
        <v>24</v>
      </c>
      <c r="Q99" s="1">
        <f>IF(2348758&gt;0,100*912656/2348758,"")</f>
        <v>38.856961849624355</v>
      </c>
      <c r="R99" s="1">
        <f>IF(2229588&gt;0,100*323326/2229588,"")</f>
        <v>14.501602986740151</v>
      </c>
      <c r="S99" s="1">
        <f>IF(COUNT(Q99:R99)=2,R99-Q99,"")</f>
        <v>-24.355358862884202</v>
      </c>
    </row>
    <row r="100" spans="1:19">
      <c r="A100" s="1">
        <v>26</v>
      </c>
      <c r="B100" s="1">
        <v>25</v>
      </c>
      <c r="C100" s="1">
        <f>IF(2173027&gt;0,100*1021557/2173027,"")</f>
        <v>47.01078265479444</v>
      </c>
      <c r="D100" s="1">
        <f>IF(28176&gt;0,100*7828/28176,"")</f>
        <v>27.78250993753549</v>
      </c>
      <c r="E100" s="1">
        <f>IF(COUNT(C100:D100)=2,D100-C100,"")</f>
        <v>-19.22827271725895</v>
      </c>
      <c r="H100" s="1">
        <v>26</v>
      </c>
      <c r="I100" s="1">
        <v>25</v>
      </c>
      <c r="J100" s="1">
        <f>IF(1369843&gt;0,100*81159/1369843,"")</f>
        <v>5.9246935597729085</v>
      </c>
      <c r="K100" s="1">
        <f>IF(2548055&gt;0,100*706181/2548055,"")</f>
        <v>27.714511656930483</v>
      </c>
      <c r="L100" s="1">
        <f>IF(COUNT(J100:K100)=2,K100-J100,"")</f>
        <v>21.789818097157575</v>
      </c>
      <c r="O100" s="1">
        <v>26</v>
      </c>
      <c r="P100" s="1">
        <v>25</v>
      </c>
      <c r="Q100" s="1">
        <f>IF(2790743&gt;0,100*1533326/2790743,"")</f>
        <v>54.94328929607635</v>
      </c>
      <c r="R100" s="1">
        <f>IF(2032168&gt;0,100*333583/2032168,"")</f>
        <v>16.415129064132493</v>
      </c>
      <c r="S100" s="1">
        <f>IF(COUNT(Q100:R100)=2,R100-Q100,"")</f>
        <v>-38.52816023194386</v>
      </c>
    </row>
    <row r="101" spans="1:19">
      <c r="A101" s="1">
        <v>27</v>
      </c>
      <c r="B101" s="1">
        <v>26</v>
      </c>
      <c r="C101" s="1">
        <f>IF(2068375&gt;0,100*1076315/2068375,"")</f>
        <v>52.03674382063214</v>
      </c>
      <c r="D101" s="1">
        <f>IF(2291901&gt;0,100*643017/2291901,"")</f>
        <v>28.056054777235143</v>
      </c>
      <c r="E101" s="1">
        <f>IF(COUNT(C101:D101)=2,D101-C101,"")</f>
        <v>-23.980689043396996</v>
      </c>
      <c r="H101" s="1">
        <v>27</v>
      </c>
      <c r="I101" s="1">
        <v>26</v>
      </c>
      <c r="J101" s="1">
        <f>IF(1770443&gt;0,100*418105/1770443,"")</f>
        <v>23.615840781092643</v>
      </c>
      <c r="K101" s="1">
        <f>IF(2300008&gt;0,100*431261/2300008,"")</f>
        <v>18.750413042041593</v>
      </c>
      <c r="L101" s="1">
        <f>IF(COUNT(J101:K101)=2,K101-J101,"")</f>
        <v>-4.86542773905105</v>
      </c>
      <c r="O101" s="1">
        <v>27</v>
      </c>
      <c r="P101" s="1">
        <v>26</v>
      </c>
      <c r="Q101" s="1">
        <f>IF(2101248&gt;0,100*444433/2101248,"")</f>
        <v>21.150906508893762</v>
      </c>
      <c r="R101" s="1">
        <f>IF(1964568&gt;0,100*195429/1964568,"")</f>
        <v>9.947683154769903</v>
      </c>
      <c r="S101" s="1">
        <f>IF(COUNT(Q101:R101)=2,R101-Q101,"")</f>
        <v>-11.203223354123859</v>
      </c>
    </row>
    <row r="102" spans="1:19">
      <c r="A102" s="1">
        <v>28</v>
      </c>
      <c r="B102" s="1">
        <v>27</v>
      </c>
      <c r="C102" s="1">
        <f>IF(1174000&gt;0,100*3059/1174000,"")</f>
        <v>0.2605621805792164</v>
      </c>
      <c r="D102" s="1">
        <f>IF(1509586&gt;0,100*7720/1509586,"")</f>
        <v>0.5113984893871565</v>
      </c>
      <c r="E102" s="1">
        <f>IF(COUNT(C102:D102)=2,D102-C102,"")</f>
        <v>0.2508363088079401</v>
      </c>
      <c r="H102" s="1">
        <v>28</v>
      </c>
      <c r="I102" s="1">
        <v>27</v>
      </c>
      <c r="J102" s="1">
        <f>IF(2046482&gt;0,100*638275/2046482,"")</f>
        <v>31.18888903005255</v>
      </c>
      <c r="K102" s="1">
        <f>IF(2096130&gt;0,100*272146/2096130,"")</f>
        <v>12.98325962607281</v>
      </c>
      <c r="L102" s="1">
        <f>IF(COUNT(J102:K102)=2,K102-J102,"")</f>
        <v>-18.205629403979742</v>
      </c>
      <c r="O102" s="1">
        <v>28</v>
      </c>
      <c r="P102" s="1">
        <v>27</v>
      </c>
      <c r="Q102" s="1">
        <f>IF(2324907&gt;0,100*896618/2324907,"")</f>
        <v>38.5657576840708</v>
      </c>
      <c r="R102" s="1">
        <f>IF(2438286&gt;0,100*505537/2438286,"")</f>
        <v>20.733293797364215</v>
      </c>
      <c r="S102" s="1">
        <f>IF(COUNT(Q102:R102)=2,R102-Q102,"")</f>
        <v>-17.832463886706588</v>
      </c>
    </row>
    <row r="103" spans="1:19">
      <c r="A103" s="1">
        <v>29</v>
      </c>
      <c r="B103" s="1">
        <v>28</v>
      </c>
      <c r="C103" s="1">
        <f>IF(2083503&gt;0,100*1007639/2083503,"")</f>
        <v>48.362733338996875</v>
      </c>
      <c r="D103" s="1">
        <f>IF(2155526&gt;0,100*610892/2155526,"")</f>
        <v>28.34073910497948</v>
      </c>
      <c r="E103" s="1">
        <f>IF(COUNT(C103:D103)=2,D103-C103,"")</f>
        <v>-20.021994234017395</v>
      </c>
      <c r="H103" s="1">
        <v>29</v>
      </c>
      <c r="I103" s="1">
        <v>28</v>
      </c>
      <c r="J103" s="1">
        <f>IF(2576958&gt;0,100*1290348/2576958,"")</f>
        <v>50.072527375300645</v>
      </c>
      <c r="K103" s="1">
        <f>IF(2644341&gt;0,100*605555/2644341,"")</f>
        <v>22.90003445092747</v>
      </c>
      <c r="L103" s="1">
        <f>IF(COUNT(J103:K103)=2,K103-J103,"")</f>
        <v>-27.172492924373174</v>
      </c>
      <c r="O103" s="1">
        <v>29</v>
      </c>
      <c r="P103" s="1">
        <v>28</v>
      </c>
      <c r="Q103" s="1">
        <f>IF(2240165&gt;0,100*1016922/2240165,"")</f>
        <v>45.39495974626869</v>
      </c>
      <c r="R103" s="1">
        <f>IF(2315729&gt;0,100*365506/2315729,"")</f>
        <v>15.783625804228388</v>
      </c>
      <c r="S103" s="1">
        <f>IF(COUNT(Q103:R103)=2,R103-Q103,"")</f>
        <v>-29.611333942040304</v>
      </c>
    </row>
    <row r="104" spans="1:19">
      <c r="A104" s="1">
        <v>30</v>
      </c>
      <c r="B104" s="1">
        <v>29</v>
      </c>
      <c r="C104" s="1">
        <f>IF(2234870&gt;0,100*1080496/2234870,"")</f>
        <v>48.34715218334847</v>
      </c>
      <c r="D104" s="1">
        <f>IF(1812624&gt;0,100*303542/1812624,"")</f>
        <v>16.745999170263662</v>
      </c>
      <c r="E104" s="1">
        <f>IF(COUNT(C104:D104)=2,D104-C104,"")</f>
        <v>-31.601153013084808</v>
      </c>
      <c r="H104" s="1">
        <v>30</v>
      </c>
      <c r="I104" s="1">
        <v>29</v>
      </c>
      <c r="J104" s="1">
        <f>IF(1911633&gt;0,100*586958/1911633,"")</f>
        <v>30.704533767726335</v>
      </c>
      <c r="K104" s="1">
        <f>IF(1324929&gt;0,100*37462/1324929,"")</f>
        <v>2.8274722645515347</v>
      </c>
      <c r="L104" s="1">
        <f>IF(COUNT(J104:K104)=2,K104-J104,"")</f>
        <v>-27.8770615031748</v>
      </c>
      <c r="O104" s="1">
        <v>30</v>
      </c>
      <c r="P104" s="1">
        <v>29</v>
      </c>
      <c r="Q104" s="1">
        <f>IF(1054742&gt;0,100*14563/1054742,"")</f>
        <v>1.3807168008859039</v>
      </c>
      <c r="R104" s="1">
        <f>IF(1446291&gt;0,100*35765/1446291,"")</f>
        <v>2.4728771734042456</v>
      </c>
      <c r="S104" s="1">
        <f>IF(COUNT(Q104:R104)=2,R104-Q104,"")</f>
        <v>1.0921603725183417</v>
      </c>
    </row>
    <row r="105" spans="1:19">
      <c r="A105" s="1">
        <v>31</v>
      </c>
      <c r="B105" s="1">
        <v>30</v>
      </c>
      <c r="C105" s="1">
        <f>IF(1611966&gt;0,100*408242/1611966,"")</f>
        <v>25.32572026953422</v>
      </c>
      <c r="D105" s="1">
        <f>IF(843328&gt;0,100*5082/843328,"")</f>
        <v>0.6026125066403581</v>
      </c>
      <c r="E105" s="1">
        <f>IF(COUNT(C105:D105)=2,D105-C105,"")</f>
        <v>-24.72310776289386</v>
      </c>
      <c r="H105" s="1">
        <v>31</v>
      </c>
      <c r="I105" s="1">
        <v>30</v>
      </c>
      <c r="J105" s="1">
        <f>IF(1813572&gt;0,100*419503/1813572,"")</f>
        <v>23.131312128771288</v>
      </c>
      <c r="K105" s="1">
        <f>IF(2495990&gt;0,100*703968/2495990,"")</f>
        <v>28.203959150477367</v>
      </c>
      <c r="L105" s="1">
        <f>IF(COUNT(J105:K105)=2,K105-J105,"")</f>
        <v>5.072647021706079</v>
      </c>
      <c r="O105" s="1">
        <v>31</v>
      </c>
      <c r="P105" s="1">
        <v>30</v>
      </c>
      <c r="Q105" s="1">
        <f>IF(2344140&gt;0,100*1034103/2344140,"")</f>
        <v>44.11438736594231</v>
      </c>
      <c r="R105" s="1">
        <f>IF(1602861&gt;0,100*86628/1602861,"")</f>
        <v>5.4045859247932295</v>
      </c>
      <c r="S105" s="1">
        <f>IF(COUNT(Q105:R105)=2,R105-Q105,"")</f>
        <v>-38.709801441149075</v>
      </c>
    </row>
    <row r="106" spans="1:19">
      <c r="A106" s="2" t="s">
        <v>6</v>
      </c>
      <c r="B106" s="1"/>
      <c r="C106" s="1">
        <f>IF(COUNT(C75:C105)&gt;0,AVERAGE(C75:C105),"")</f>
        <v>34.139885623640744</v>
      </c>
      <c r="D106" s="1">
        <f>IF(COUNT(D75:D105)&gt;0,AVERAGE(D75:D105),"")</f>
        <v>16.435215145706064</v>
      </c>
      <c r="E106" s="1">
        <f>IF(COUNT(E75:E105)&gt;0,AVERAGE(E75:E105),"")</f>
        <v>-17.704670477934677</v>
      </c>
      <c r="H106" s="2" t="s">
        <v>6</v>
      </c>
      <c r="I106" s="1"/>
      <c r="J106" s="1">
        <f>IF(COUNT(J75:J105)&gt;0,AVERAGE(J75:J105),"")</f>
        <v>36.56494216191195</v>
      </c>
      <c r="K106" s="1">
        <f>IF(COUNT(K75:K105)&gt;0,AVERAGE(K75:K105),"")</f>
        <v>11.584106855093454</v>
      </c>
      <c r="L106" s="1">
        <f>IF(COUNT(L75:L105)&gt;0,AVERAGE(L75:L105),"")</f>
        <v>-24.653836184992027</v>
      </c>
      <c r="O106" s="2" t="s">
        <v>6</v>
      </c>
      <c r="P106" s="1"/>
      <c r="Q106" s="1">
        <f>IF(COUNT(Q75:Q105)&gt;0,AVERAGE(Q75:Q105),"")</f>
        <v>34.28456187402019</v>
      </c>
      <c r="R106" s="1">
        <f>IF(COUNT(R75:R105)&gt;0,AVERAGE(R75:R105),"")</f>
        <v>13.31324620494422</v>
      </c>
      <c r="S106" s="1">
        <f>IF(COUNT(S75:S105)&gt;0,AVERAGE(S75:S105),"")</f>
        <v>-20.97131566907597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IF(1025565&gt;0,100*254231/1025565,"")</f>
        <v>24.789360011310837</v>
      </c>
      <c r="D3" s="1">
        <f>IF(908154&gt;0,100*122060/908154,"")</f>
        <v>13.440451729552477</v>
      </c>
      <c r="E3" s="1">
        <f>IF(COUNT(C3:D3)=2,D3-C3,"")</f>
        <v>-11.34890828175836</v>
      </c>
      <c r="H3" s="1">
        <v>1</v>
      </c>
      <c r="I3" s="1">
        <v>0</v>
      </c>
      <c r="J3" s="1">
        <f>IF(1360559&gt;0,100*350066/1360559,"")</f>
        <v>25.729571448206215</v>
      </c>
      <c r="K3" s="1">
        <f>IF(1294948&gt;0,100*310443/1294948,"")</f>
        <v>23.973395070690096</v>
      </c>
      <c r="L3" s="1">
        <f>IF(COUNT(J3:K3)=2,K3-J3,"")</f>
        <v>-1.7561763775161197</v>
      </c>
      <c r="O3" s="1">
        <v>1</v>
      </c>
      <c r="P3" s="1">
        <v>0</v>
      </c>
      <c r="Q3" s="1">
        <f>IF(1611169&gt;0,100*528552/1611169,"")</f>
        <v>32.80549712662049</v>
      </c>
      <c r="R3" s="1">
        <f>IF(1413683&gt;0,100*296598/1413683,"")</f>
        <v>20.98051684854384</v>
      </c>
      <c r="S3" s="1">
        <f>IF(COUNT(Q3:R3)=2,R3-Q3,"")</f>
        <v>-11.824980278076648</v>
      </c>
    </row>
    <row r="4" spans="1:19">
      <c r="A4" s="1">
        <v>2</v>
      </c>
      <c r="B4" s="1">
        <v>1</v>
      </c>
      <c r="C4" s="1">
        <f>IF(1608611&gt;0,100*585743/1608611,"")</f>
        <v>36.41296746074719</v>
      </c>
      <c r="D4" s="1">
        <f>IF(1379850&gt;0,100*412979/1379850,"")</f>
        <v>29.92926767402254</v>
      </c>
      <c r="E4" s="1">
        <f>IF(COUNT(C4:D4)=2,D4-C4,"")</f>
        <v>-6.4836997867246495</v>
      </c>
      <c r="H4" s="1">
        <v>2</v>
      </c>
      <c r="I4" s="1">
        <v>1</v>
      </c>
      <c r="J4" s="1">
        <f>IF(1080061&gt;0,100*195305/1080061,"")</f>
        <v>18.082774954377577</v>
      </c>
      <c r="K4" s="1">
        <f>IF(1331264&gt;0,100*296965/1331264,"")</f>
        <v>22.306995456949185</v>
      </c>
      <c r="L4" s="1">
        <f>IF(COUNT(J4:K4)=2,K4-J4,"")</f>
        <v>4.224220502571608</v>
      </c>
      <c r="O4" s="1">
        <v>2</v>
      </c>
      <c r="P4" s="1">
        <v>1</v>
      </c>
      <c r="Q4" s="1">
        <f>IF(1467133&gt;0,100*488009/1467133,"")</f>
        <v>33.26276486180871</v>
      </c>
      <c r="R4" s="1">
        <f>IF(1588632&gt;0,100*417501/1588632,"")</f>
        <v>26.2805357061925</v>
      </c>
      <c r="S4" s="1">
        <f>IF(COUNT(Q4:R4)=2,R4-Q4,"")</f>
        <v>-6.9822291556162135</v>
      </c>
    </row>
    <row r="5" spans="1:19">
      <c r="A5" s="1">
        <v>3</v>
      </c>
      <c r="B5" s="1">
        <v>2</v>
      </c>
      <c r="C5" s="1">
        <f>IF(1615726&gt;0,100*621491/1615726,"")</f>
        <v>38.46512341820333</v>
      </c>
      <c r="D5" s="1">
        <f>IF(265657&gt;0,100*28029/265657,"")</f>
        <v>10.550823053787402</v>
      </c>
      <c r="E5" s="1">
        <f>IF(COUNT(C5:D5)=2,D5-C5,"")</f>
        <v>-27.91430036441593</v>
      </c>
      <c r="H5" s="1">
        <v>3</v>
      </c>
      <c r="I5" s="1">
        <v>2</v>
      </c>
      <c r="J5" s="1">
        <f>IF(1770666&gt;0,100*210556/1770666,"")</f>
        <v>11.891344838608749</v>
      </c>
      <c r="K5" s="1">
        <f>IF(1847301&gt;0,100*123883/1847301,"")</f>
        <v>6.706162125176135</v>
      </c>
      <c r="L5" s="1">
        <f>IF(COUNT(J5:K5)=2,K5-J5,"")</f>
        <v>-5.185182713432614</v>
      </c>
      <c r="O5" s="1">
        <v>3</v>
      </c>
      <c r="P5" s="1">
        <v>2</v>
      </c>
      <c r="Q5" s="1">
        <f>IF(1770413&gt;0,100*588287/1770413,"")</f>
        <v>33.228800285583084</v>
      </c>
      <c r="R5" s="1">
        <f>IF(1815702&gt;0,100*495765/1815702,"")</f>
        <v>27.30431535571366</v>
      </c>
      <c r="S5" s="1">
        <f>IF(COUNT(Q5:R5)=2,R5-Q5,"")</f>
        <v>-5.9244849298694255</v>
      </c>
    </row>
    <row r="6" spans="1:19">
      <c r="A6" s="1">
        <v>4</v>
      </c>
      <c r="B6" s="1">
        <v>3</v>
      </c>
      <c r="C6" s="1">
        <f>IF(1681360&gt;0,100*632235/1681360,"")</f>
        <v>37.60259551791407</v>
      </c>
      <c r="D6" s="1">
        <f>IF(1596614&gt;0,100*470601/1596614,"")</f>
        <v>29.474938839318707</v>
      </c>
      <c r="E6" s="1">
        <f>IF(COUNT(C6:D6)=2,D6-C6,"")</f>
        <v>-8.127656678595361</v>
      </c>
      <c r="H6" s="1">
        <v>4</v>
      </c>
      <c r="I6" s="1">
        <v>3</v>
      </c>
      <c r="J6" s="1">
        <f>IF(1249184&gt;0,100*192969/1249184,"")</f>
        <v>15.447604196019162</v>
      </c>
      <c r="K6" s="1">
        <f>IF(1470070&gt;0,100*225196/1470070,"")</f>
        <v>15.31872631915487</v>
      </c>
      <c r="L6" s="1">
        <f>IF(COUNT(J6:K6)=2,K6-J6,"")</f>
        <v>-0.12887787686429242</v>
      </c>
      <c r="O6" s="1">
        <v>4</v>
      </c>
      <c r="P6" s="1">
        <v>3</v>
      </c>
      <c r="Q6" s="1">
        <f>IF(851878&gt;0,100*27960/851878,"")</f>
        <v>3.2821601215197482</v>
      </c>
      <c r="R6" s="1">
        <f>IF(1248232&gt;0,100*206542/1248232,"")</f>
        <v>16.546763742637587</v>
      </c>
      <c r="S6" s="1">
        <f>IF(COUNT(Q6:R6)=2,R6-Q6,"")</f>
        <v>13.264603621117839</v>
      </c>
    </row>
    <row r="7" spans="1:19">
      <c r="A7" s="1">
        <v>5</v>
      </c>
      <c r="B7" s="1">
        <v>4</v>
      </c>
      <c r="C7" s="1">
        <f>IF(1534810&gt;0,100*544323/1534810,"")</f>
        <v>35.46517158475642</v>
      </c>
      <c r="D7" s="1">
        <f>IF(1255872&gt;0,100*212504/1255872,"")</f>
        <v>16.92083269632574</v>
      </c>
      <c r="E7" s="1">
        <f>IF(COUNT(C7:D7)=2,D7-C7,"")</f>
        <v>-18.54433888843068</v>
      </c>
      <c r="H7" s="1">
        <v>5</v>
      </c>
      <c r="I7" s="1">
        <v>4</v>
      </c>
      <c r="J7" s="1">
        <f>IF(1559950&gt;0,100*448934/1559950,"")</f>
        <v>28.77874290842655</v>
      </c>
      <c r="K7" s="1">
        <f>IF(1595739&gt;0,100*385833/1595739,"")</f>
        <v>24.178954077076515</v>
      </c>
      <c r="L7" s="1">
        <f>IF(COUNT(J7:K7)=2,K7-J7,"")</f>
        <v>-4.599788831350036</v>
      </c>
      <c r="O7" s="1">
        <v>5</v>
      </c>
      <c r="P7" s="1">
        <v>4</v>
      </c>
      <c r="Q7" s="1">
        <f>IF(1545033&gt;0,100*593590/1545033,"")</f>
        <v>38.419244119704885</v>
      </c>
      <c r="R7" s="1">
        <f>IF(1777129&gt;0,100*483599/1777129,"")</f>
        <v>27.212374565943158</v>
      </c>
      <c r="S7" s="1">
        <f>IF(COUNT(Q7:R7)=2,R7-Q7,"")</f>
        <v>-11.206869553761727</v>
      </c>
    </row>
    <row r="8" spans="1:19">
      <c r="A8" s="1">
        <v>6</v>
      </c>
      <c r="B8" s="1">
        <v>5</v>
      </c>
      <c r="C8" s="1">
        <f>IF(1481795&gt;0,100*384291/1481795,"")</f>
        <v>25.93415418462068</v>
      </c>
      <c r="D8" s="1">
        <f>IF(1392034&gt;0,100*231558/1392034,"")</f>
        <v>16.63450749047796</v>
      </c>
      <c r="E8" s="1">
        <f>IF(COUNT(C8:D8)=2,D8-C8,"")</f>
        <v>-9.29964669414272</v>
      </c>
      <c r="H8" s="1">
        <v>6</v>
      </c>
      <c r="I8" s="1">
        <v>5</v>
      </c>
      <c r="J8" s="1">
        <f>IF(1363284&gt;0,100*338111/1363284,"")</f>
        <v>24.801215300700367</v>
      </c>
      <c r="K8" s="1">
        <f>IF(1353022&gt;0,100*272043/1353022,"")</f>
        <v>20.106324952587617</v>
      </c>
      <c r="L8" s="1">
        <f>IF(COUNT(J8:K8)=2,K8-J8,"")</f>
        <v>-4.69489034811275</v>
      </c>
      <c r="O8" s="1">
        <v>6</v>
      </c>
      <c r="P8" s="1">
        <v>5</v>
      </c>
      <c r="Q8" s="1">
        <f>IF(1496153&gt;0,100*372992/1496153,"")</f>
        <v>24.930070654538675</v>
      </c>
      <c r="R8" s="1">
        <f>IF(1454117&gt;0,100*280865/1454117,"")</f>
        <v>19.31515827130829</v>
      </c>
      <c r="S8" s="1">
        <f>IF(COUNT(Q8:R8)=2,R8-Q8,"")</f>
        <v>-5.614912383230383</v>
      </c>
    </row>
    <row r="9" spans="1:19">
      <c r="A9" s="1">
        <v>7</v>
      </c>
      <c r="B9" s="1">
        <v>6</v>
      </c>
      <c r="C9" s="1">
        <f>IF(1693230&gt;0,100*659152/1693230,"")</f>
        <v>38.92867478133508</v>
      </c>
      <c r="D9" s="1">
        <f>IF(1080186&gt;0,100*247021/1080186,"")</f>
        <v>22.868376372217377</v>
      </c>
      <c r="E9" s="1">
        <f>IF(COUNT(C9:D9)=2,D9-C9,"")</f>
        <v>-16.060298409117706</v>
      </c>
      <c r="H9" s="1">
        <v>7</v>
      </c>
      <c r="I9" s="1">
        <v>6</v>
      </c>
      <c r="J9" s="1">
        <f>IF(681918&gt;0,100*6217/681918,"")</f>
        <v>0.9116931947829504</v>
      </c>
      <c r="K9" s="1">
        <f>IF(663115&gt;0,100*5025/663115,"")</f>
        <v>0.7577871108329626</v>
      </c>
      <c r="L9" s="1">
        <f>IF(COUNT(J9:K9)=2,K9-J9,"")</f>
        <v>-0.15390608394998784</v>
      </c>
      <c r="O9" s="1">
        <v>7</v>
      </c>
      <c r="P9" s="1">
        <v>6</v>
      </c>
      <c r="Q9" s="1">
        <f>IF(1286739&gt;0,100*333741/1286739,"")</f>
        <v>25.93696157495809</v>
      </c>
      <c r="R9" s="1">
        <f>IF(1009397&gt;0,100*143084/1009397,"")</f>
        <v>14.175195686137368</v>
      </c>
      <c r="S9" s="1">
        <f>IF(COUNT(Q9:R9)=2,R9-Q9,"")</f>
        <v>-11.761765888820722</v>
      </c>
    </row>
    <row r="10" spans="1:19">
      <c r="A10" s="1">
        <v>8</v>
      </c>
      <c r="B10" s="1">
        <v>7</v>
      </c>
      <c r="C10" s="1">
        <f>IF(1832737&gt;0,100*772049/1832737,"")</f>
        <v>42.12546590154506</v>
      </c>
      <c r="D10" s="1">
        <f>IF(1633555&gt;0,100*492816/1633555,"")</f>
        <v>30.168313892094236</v>
      </c>
      <c r="E10" s="1">
        <f>IF(COUNT(C10:D10)=2,D10-C10,"")</f>
        <v>-11.957152009450827</v>
      </c>
      <c r="H10" s="1">
        <v>8</v>
      </c>
      <c r="I10" s="1">
        <v>7</v>
      </c>
      <c r="J10" s="1">
        <f>IF(655547&gt;0,100*1454/655547,"")</f>
        <v>0.2217995048409954</v>
      </c>
      <c r="K10" s="1">
        <f>IF(655547&gt;0,100*1454/655547,"")</f>
        <v>0.2217995048409954</v>
      </c>
      <c r="L10" s="1">
        <f>IF(COUNT(J10:K10)=2,K10-J10,"")</f>
        <v>0.0</v>
      </c>
      <c r="O10" s="1">
        <v>8</v>
      </c>
      <c r="P10" s="1">
        <v>7</v>
      </c>
      <c r="Q10" s="1">
        <f>IF(589319&gt;0,100*4560/589319,"")</f>
        <v>0.773774475284184</v>
      </c>
      <c r="R10" s="1">
        <f>IF(589319&gt;0,100*4560/589319,"")</f>
        <v>0.773774475284184</v>
      </c>
      <c r="S10" s="1">
        <f>IF(COUNT(Q10:R10)=2,R10-Q10,"")</f>
        <v>0.0</v>
      </c>
    </row>
    <row r="11" spans="1:19">
      <c r="A11" s="1">
        <v>9</v>
      </c>
      <c r="B11" s="1">
        <v>8</v>
      </c>
      <c r="C11" s="1">
        <f>IF(1595971&gt;0,100*597472/1595971,"")</f>
        <v>37.43626920539283</v>
      </c>
      <c r="D11" s="1">
        <f>IF(1069193&gt;0,100*284060/1069193,"")</f>
        <v>26.567701060519475</v>
      </c>
      <c r="E11" s="1">
        <f>IF(COUNT(C11:D11)=2,D11-C11,"")</f>
        <v>-10.868568144873358</v>
      </c>
      <c r="H11" s="1">
        <v>9</v>
      </c>
      <c r="I11" s="1">
        <v>8</v>
      </c>
      <c r="J11" s="1">
        <f>IF(1710121&gt;0,100*526664/1710121,"")</f>
        <v>30.79688513268944</v>
      </c>
      <c r="K11" s="1">
        <f>IF(1140140&gt;0,100*159814/1140140,"")</f>
        <v>14.01705053765327</v>
      </c>
      <c r="L11" s="1">
        <f>IF(COUNT(J11:K11)=2,K11-J11,"")</f>
        <v>-16.77983459503617</v>
      </c>
      <c r="O11" s="1">
        <v>9</v>
      </c>
      <c r="P11" s="1">
        <v>8</v>
      </c>
      <c r="Q11" s="1">
        <f>IF(1425170&gt;0,100*455531/1425170,"")</f>
        <v>31.96327455671955</v>
      </c>
      <c r="R11" s="1">
        <f>IF(1614527&gt;0,100*390732/1614527,"")</f>
        <v>24.201019865260847</v>
      </c>
      <c r="S11" s="1">
        <f>IF(COUNT(Q11:R11)=2,R11-Q11,"")</f>
        <v>-7.762254691458704</v>
      </c>
    </row>
    <row r="12" spans="1:19">
      <c r="A12" s="1">
        <v>10</v>
      </c>
      <c r="B12" s="1">
        <v>9</v>
      </c>
      <c r="C12" s="1">
        <f>IF(1793318&gt;0,100*560859/1793318,"")</f>
        <v>31.27493283399821</v>
      </c>
      <c r="D12" s="1">
        <f>IF(800886&gt;0,100*14110/800886,"")</f>
        <v>1.761798807820339</v>
      </c>
      <c r="E12" s="1">
        <f>IF(COUNT(C12:D12)=2,D12-C12,"")</f>
        <v>-29.513134026177873</v>
      </c>
      <c r="H12" s="1">
        <v>10</v>
      </c>
      <c r="I12" s="1">
        <v>9</v>
      </c>
      <c r="J12" s="1">
        <f>IF(1173418&gt;0,100*250711/1173418,"")</f>
        <v>21.365873030752894</v>
      </c>
      <c r="K12" s="1">
        <f>IF(1106594&gt;0,100*129686/1106594,"")</f>
        <v>11.71938398364712</v>
      </c>
      <c r="L12" s="1">
        <f>IF(COUNT(J12:K12)=2,K12-J12,"")</f>
        <v>-9.646489047105774</v>
      </c>
      <c r="O12" s="1">
        <v>10</v>
      </c>
      <c r="P12" s="1">
        <v>9</v>
      </c>
      <c r="Q12" s="1">
        <f>IF(1151234&gt;0,100*222783/1151234,"")</f>
        <v>19.351669599751222</v>
      </c>
      <c r="R12" s="1">
        <f>IF(897094&gt;0,100*42435/897094,"")</f>
        <v>4.730273527634785</v>
      </c>
      <c r="S12" s="1">
        <f>IF(COUNT(Q12:R12)=2,R12-Q12,"")</f>
        <v>-14.621396072116436</v>
      </c>
    </row>
    <row r="13" spans="1:19">
      <c r="A13" s="1">
        <v>11</v>
      </c>
      <c r="B13" s="1">
        <v>10</v>
      </c>
      <c r="C13" s="1">
        <f>IF(1514166&gt;0,100*450931/1514166,"")</f>
        <v>29.78081663437166</v>
      </c>
      <c r="D13" s="1">
        <f>IF(1707476&gt;0,100*523550/1707476,"")</f>
        <v>30.662217214180462</v>
      </c>
      <c r="E13" s="1">
        <f>IF(COUNT(C13:D13)=2,D13-C13,"")</f>
        <v>0.8814005798088012</v>
      </c>
      <c r="H13" s="1">
        <v>11</v>
      </c>
      <c r="I13" s="1">
        <v>10</v>
      </c>
      <c r="J13" s="1">
        <f>IF(1146506&gt;0,100*57993/1146506,"")</f>
        <v>5.058237811228201</v>
      </c>
      <c r="K13" s="1">
        <f>IF(1073710&gt;0,100*61113/1073710,"")</f>
        <v>5.691760344972106</v>
      </c>
      <c r="L13" s="1">
        <f>IF(COUNT(J13:K13)=2,K13-J13,"")</f>
        <v>0.6335225337439052</v>
      </c>
      <c r="O13" s="1">
        <v>11</v>
      </c>
      <c r="P13" s="1">
        <v>10</v>
      </c>
      <c r="Q13" s="1">
        <f>IF(1057778&gt;0,100*7899/1057778,"")</f>
        <v>0.7467540447995704</v>
      </c>
      <c r="R13" s="1">
        <f>IF(1057778&gt;0,100*7899/1057778,"")</f>
        <v>0.7467540447995704</v>
      </c>
      <c r="S13" s="1">
        <f>IF(COUNT(Q13:R13)=2,R13-Q13,"")</f>
        <v>0.0</v>
      </c>
    </row>
    <row r="14" spans="1:19">
      <c r="A14" s="1">
        <v>12</v>
      </c>
      <c r="B14" s="1">
        <v>11</v>
      </c>
      <c r="C14" s="1">
        <f>IF(1480420&gt;0,100*530595/1480420,"")</f>
        <v>35.84084246362519</v>
      </c>
      <c r="D14" s="1">
        <f>IF(1510259&gt;0,100*433520/1510259,"")</f>
        <v>28.70501020023718</v>
      </c>
      <c r="E14" s="1">
        <f>IF(COUNT(C14:D14)=2,D14-C14,"")</f>
        <v>-7.135832263388007</v>
      </c>
      <c r="H14" s="1">
        <v>12</v>
      </c>
      <c r="I14" s="1">
        <v>11</v>
      </c>
      <c r="J14" s="1">
        <f>IF(979595&gt;0,100*35929/979595,"")</f>
        <v>3.6677402395888095</v>
      </c>
      <c r="K14" s="1">
        <f>IF(1307116&gt;0,100*145744/1307116,"")</f>
        <v>11.150043301436138</v>
      </c>
      <c r="L14" s="1">
        <f>IF(COUNT(J14:K14)=2,K14-J14,"")</f>
        <v>7.482303061847329</v>
      </c>
      <c r="O14" s="1">
        <v>12</v>
      </c>
      <c r="P14" s="1">
        <v>11</v>
      </c>
      <c r="Q14" s="1">
        <f>IF(1932101&gt;0,100*714622/1932101,"")</f>
        <v>36.98678278205953</v>
      </c>
      <c r="R14" s="1">
        <f>IF(1281920&gt;0,100*93198/1281920,"")</f>
        <v>7.270188467299051</v>
      </c>
      <c r="S14" s="1">
        <f>IF(COUNT(Q14:R14)=2,R14-Q14,"")</f>
        <v>-29.716594314760478</v>
      </c>
    </row>
    <row r="15" spans="1:19">
      <c r="A15" s="1">
        <v>13</v>
      </c>
      <c r="B15" s="1">
        <v>12</v>
      </c>
      <c r="C15" s="1">
        <f>IF(1625411&gt;0,100*523021/1625411,"")</f>
        <v>32.177769191915154</v>
      </c>
      <c r="D15" s="1">
        <f>IF(967907&gt;0,100*44089/967907,"")</f>
        <v>4.55508638743185</v>
      </c>
      <c r="E15" s="1">
        <f>IF(COUNT(C15:D15)=2,D15-C15,"")</f>
        <v>-27.622682804483304</v>
      </c>
      <c r="H15" s="1">
        <v>13</v>
      </c>
      <c r="I15" s="1">
        <v>12</v>
      </c>
      <c r="J15" s="1">
        <f>IF(1997433&gt;0,100*770522/1997433,"")</f>
        <v>38.575611797742404</v>
      </c>
      <c r="K15" s="1">
        <f>IF(1814460&gt;0,100*473859/1814460,"")</f>
        <v>26.115703845772295</v>
      </c>
      <c r="L15" s="1">
        <f>IF(COUNT(J15:K15)=2,K15-J15,"")</f>
        <v>-12.45990795197011</v>
      </c>
      <c r="O15" s="1">
        <v>13</v>
      </c>
      <c r="P15" s="1">
        <v>12</v>
      </c>
      <c r="Q15" s="1">
        <f>IF(931018&gt;0,100*79093/931018,"")</f>
        <v>8.495324472781407</v>
      </c>
      <c r="R15" s="1">
        <f>IF(905010&gt;0,100*70603/905010,"")</f>
        <v>7.801350261323079</v>
      </c>
      <c r="S15" s="1">
        <f>IF(COUNT(Q15:R15)=2,R15-Q15,"")</f>
        <v>-0.693974211458328</v>
      </c>
    </row>
    <row r="16" spans="1:19">
      <c r="A16" s="1">
        <v>14</v>
      </c>
      <c r="B16" s="1">
        <v>13</v>
      </c>
      <c r="C16" s="1">
        <f>IF(929730&gt;0,100*189375/929730,"")</f>
        <v>20.368816753250943</v>
      </c>
      <c r="D16" s="1">
        <f>IF(842062&gt;0,100*97372/842062,"")</f>
        <v>11.563519075792518</v>
      </c>
      <c r="E16" s="1">
        <f>IF(COUNT(C16:D16)=2,D16-C16,"")</f>
        <v>-8.805297677458425</v>
      </c>
      <c r="H16" s="1">
        <v>14</v>
      </c>
      <c r="I16" s="1">
        <v>13</v>
      </c>
      <c r="J16" s="1">
        <f>IF(1084239&gt;0,100*226536/1084239,"")</f>
        <v>20.893548378171232</v>
      </c>
      <c r="K16" s="1">
        <f>IF(1118491&gt;0,100*230872/1118491,"")</f>
        <v>20.641382004861907</v>
      </c>
      <c r="L16" s="1">
        <f>IF(COUNT(J16:K16)=2,K16-J16,"")</f>
        <v>-0.25216637330932556</v>
      </c>
      <c r="O16" s="1">
        <v>14</v>
      </c>
      <c r="P16" s="1">
        <v>13</v>
      </c>
      <c r="Q16" s="1">
        <f>IF(670550&gt;0,100*11588/670550,"")</f>
        <v>1.7281336216538663</v>
      </c>
      <c r="R16" s="1">
        <f>IF(670550&gt;0,100*11588/670550,"")</f>
        <v>1.7281336216538663</v>
      </c>
      <c r="S16" s="1">
        <f>IF(COUNT(Q16:R16)=2,R16-Q16,"")</f>
        <v>0.0</v>
      </c>
    </row>
    <row r="17" spans="1:19">
      <c r="A17" s="1">
        <v>15</v>
      </c>
      <c r="B17" s="1">
        <v>14</v>
      </c>
      <c r="C17" s="1">
        <f>IF(1540895&gt;0,100*542667/1540895,"")</f>
        <v>35.217649482930376</v>
      </c>
      <c r="D17" s="1">
        <f>IF(1164137&gt;0,100*231056/1164137,"")</f>
        <v>19.847835778778613</v>
      </c>
      <c r="E17" s="1">
        <f>IF(COUNT(C17:D17)=2,D17-C17,"")</f>
        <v>-15.369813704151763</v>
      </c>
      <c r="H17" s="1">
        <v>15</v>
      </c>
      <c r="I17" s="1">
        <v>14</v>
      </c>
      <c r="J17" s="1">
        <f>IF(1976548&gt;0,100*795333/1976548,"")</f>
        <v>40.238486492612374</v>
      </c>
      <c r="K17" s="1">
        <f>IF(1816025&gt;0,100*361026/1816025,"")</f>
        <v>19.880012665023884</v>
      </c>
      <c r="L17" s="1">
        <f>IF(COUNT(J17:K17)=2,K17-J17,"")</f>
        <v>-20.35847382758849</v>
      </c>
      <c r="O17" s="1">
        <v>15</v>
      </c>
      <c r="P17" s="1">
        <v>14</v>
      </c>
      <c r="Q17" s="1">
        <f>IF(1789842&gt;0,100*586809/1789842,"")</f>
        <v>32.78551961569792</v>
      </c>
      <c r="R17" s="1">
        <f>IF(1632990&gt;0,100*294737/1632990,"")</f>
        <v>18.048916404876945</v>
      </c>
      <c r="S17" s="1">
        <f>IF(COUNT(Q17:R17)=2,R17-Q17,"")</f>
        <v>-14.736603210820977</v>
      </c>
    </row>
    <row r="18" spans="1:19">
      <c r="A18" s="1">
        <v>16</v>
      </c>
      <c r="B18" s="1">
        <v>15</v>
      </c>
      <c r="C18" s="1">
        <f>IF(1507412&gt;0,100*534395/1507412,"")</f>
        <v>35.45115734782528</v>
      </c>
      <c r="D18" s="1">
        <f>IF(1458969&gt;0,100*381560/1458969,"")</f>
        <v>26.152714690990692</v>
      </c>
      <c r="E18" s="1">
        <f>IF(COUNT(C18:D18)=2,D18-C18,"")</f>
        <v>-9.298442656834588</v>
      </c>
      <c r="H18" s="1">
        <v>16</v>
      </c>
      <c r="I18" s="1">
        <v>15</v>
      </c>
      <c r="J18" s="1">
        <f>IF(1507965&gt;0,100*427666/1507965,"")</f>
        <v>28.36047255738694</v>
      </c>
      <c r="K18" s="1">
        <f>IF(1296076&gt;0,100*234701/1296076,"")</f>
        <v>18.108583138643105</v>
      </c>
      <c r="L18" s="1">
        <f>IF(COUNT(J18:K18)=2,K18-J18,"")</f>
        <v>-10.251889418743836</v>
      </c>
      <c r="O18" s="1">
        <v>16</v>
      </c>
      <c r="P18" s="1">
        <v>15</v>
      </c>
      <c r="Q18" s="1">
        <f>IF(1644242&gt;0,100*542962/1644242,"")</f>
        <v>33.02202473845091</v>
      </c>
      <c r="R18" s="1">
        <f>IF(1048145&gt;0,100*36271/1048145,"")</f>
        <v>3.460494492651303</v>
      </c>
      <c r="S18" s="1">
        <f>IF(COUNT(Q18:R18)=2,R18-Q18,"")</f>
        <v>-29.561530245799606</v>
      </c>
    </row>
    <row r="19" spans="1:19">
      <c r="A19" s="1">
        <v>17</v>
      </c>
      <c r="B19" s="1">
        <v>16</v>
      </c>
      <c r="C19" s="1">
        <f>IF(642367&gt;0,100*51947/642367,"")</f>
        <v>8.08681018794552</v>
      </c>
      <c r="D19" s="1">
        <f>IF(632686&gt;0,100*24497/632686,"")</f>
        <v>3.871904862759726</v>
      </c>
      <c r="E19" s="1">
        <f>IF(COUNT(C19:D19)=2,D19-C19,"")</f>
        <v>-4.214905325185795</v>
      </c>
      <c r="H19" s="1">
        <v>17</v>
      </c>
      <c r="I19" s="1">
        <v>16</v>
      </c>
      <c r="J19" s="1">
        <f>IF(1858121&gt;0,100*695653/1858121,"")</f>
        <v>37.4385198811057</v>
      </c>
      <c r="K19" s="1">
        <f>IF(1422385&gt;0,100*313866/1422385,"")</f>
        <v>22.066177582018934</v>
      </c>
      <c r="L19" s="1">
        <f>IF(COUNT(J19:K19)=2,K19-J19,"")</f>
        <v>-15.372342299086764</v>
      </c>
      <c r="O19" s="1">
        <v>17</v>
      </c>
      <c r="P19" s="1">
        <v>16</v>
      </c>
      <c r="Q19" s="1">
        <f>IF(1134999&gt;0,100*244255/1134999,"")</f>
        <v>21.520283277782625</v>
      </c>
      <c r="R19" s="1">
        <f>IF(1288672&gt;0,100*228089/1288672,"")</f>
        <v>17.699538749968962</v>
      </c>
      <c r="S19" s="1">
        <f>IF(COUNT(Q19:R19)=2,R19-Q19,"")</f>
        <v>-3.8207445278136625</v>
      </c>
    </row>
    <row r="20" spans="1:19">
      <c r="A20" s="1">
        <v>18</v>
      </c>
      <c r="B20" s="1">
        <v>17</v>
      </c>
      <c r="C20" s="1">
        <f>IF(594640&gt;0,100*3581/594640,"")</f>
        <v>0.6022131037266245</v>
      </c>
      <c r="D20" s="1">
        <f>IF(594640&gt;0,100*3581/594640,"")</f>
        <v>0.6022131037266245</v>
      </c>
      <c r="E20" s="1">
        <f>IF(COUNT(C20:D20)=2,D20-C20,"")</f>
        <v>0.0</v>
      </c>
      <c r="H20" s="1">
        <v>18</v>
      </c>
      <c r="I20" s="1">
        <v>17</v>
      </c>
      <c r="J20" s="1">
        <f>IF(1593567&gt;0,100*381148/1593567,"")</f>
        <v>23.917914966863645</v>
      </c>
      <c r="K20" s="1">
        <f>IF(1185580&gt;0,100*134541/1185580,"")</f>
        <v>11.348116533679718</v>
      </c>
      <c r="L20" s="1">
        <f>IF(COUNT(J20:K20)=2,K20-J20,"")</f>
        <v>-12.569798433183927</v>
      </c>
      <c r="O20" s="1">
        <v>18</v>
      </c>
      <c r="P20" s="1">
        <v>17</v>
      </c>
      <c r="Q20" s="1">
        <f>IF(1362366&gt;0,100*418939/1362366,"")</f>
        <v>30.750840816638114</v>
      </c>
      <c r="R20" s="1">
        <f>IF(1398743&gt;0,100*218160/1398743,"")</f>
        <v>15.596860895818603</v>
      </c>
      <c r="S20" s="1">
        <f>IF(COUNT(Q20:R20)=2,R20-Q20,"")</f>
        <v>-15.153979920819511</v>
      </c>
    </row>
    <row r="21" spans="1:19">
      <c r="A21" s="1">
        <v>19</v>
      </c>
      <c r="B21" s="1">
        <v>18</v>
      </c>
      <c r="C21" s="1">
        <f>IF(1610751&gt;0,100*584870/1610751,"")</f>
        <v>36.31039186069107</v>
      </c>
      <c r="D21" s="1">
        <f>IF(1696466&gt;0,100*492973/1696466,"")</f>
        <v>29.058819923299378</v>
      </c>
      <c r="E21" s="1">
        <f>IF(COUNT(C21:D21)=2,D21-C21,"")</f>
        <v>-7.251571937391692</v>
      </c>
      <c r="H21" s="1">
        <v>19</v>
      </c>
      <c r="I21" s="1">
        <v>18</v>
      </c>
      <c r="J21" s="1">
        <f>IF(959902&gt;0,100*142934/959902,"")</f>
        <v>14.89047840300364</v>
      </c>
      <c r="K21" s="1">
        <f>IF(939621&gt;0,100*104700/939621,"")</f>
        <v>11.14279055065819</v>
      </c>
      <c r="L21" s="1">
        <f>IF(COUNT(J21:K21)=2,K21-J21,"")</f>
        <v>-3.7476878523454484</v>
      </c>
      <c r="O21" s="1">
        <v>19</v>
      </c>
      <c r="P21" s="1">
        <v>18</v>
      </c>
      <c r="Q21" s="1">
        <f>IF(1024717&gt;0,100*193814/1024717,"")</f>
        <v>18.91390500987102</v>
      </c>
      <c r="R21" s="1">
        <f>IF(1041223&gt;0,100*192393/1041223,"")</f>
        <v>18.477597978531016</v>
      </c>
      <c r="S21" s="1">
        <f>IF(COUNT(Q21:R21)=2,R21-Q21,"")</f>
        <v>-0.4363070313400037</v>
      </c>
    </row>
    <row r="22" spans="1:19">
      <c r="A22" s="1">
        <v>20</v>
      </c>
      <c r="B22" s="1">
        <v>19</v>
      </c>
      <c r="C22" s="1">
        <f>IF(1151574&gt;0,100*385861/1151574,"")</f>
        <v>33.50726918113816</v>
      </c>
      <c r="D22" s="1">
        <f>IF(1079999&gt;0,100*74855/1079999,"")</f>
        <v>6.9310249361342</v>
      </c>
      <c r="E22" s="1">
        <f>IF(COUNT(C22:D22)=2,D22-C22,"")</f>
        <v>-26.576244245003963</v>
      </c>
      <c r="H22" s="1">
        <v>20</v>
      </c>
      <c r="I22" s="1">
        <v>19</v>
      </c>
      <c r="J22" s="1">
        <f>IF(795490&gt;0,100*93263/795490,"")</f>
        <v>11.723968874530163</v>
      </c>
      <c r="K22" s="1">
        <f>IF(1491243&gt;0,100*258594/1491243,"")</f>
        <v>17.340835799396878</v>
      </c>
      <c r="L22" s="1">
        <f>IF(COUNT(J22:K22)=2,K22-J22,"")</f>
        <v>5.616866924866715</v>
      </c>
      <c r="O22" s="1">
        <v>20</v>
      </c>
      <c r="P22" s="1">
        <v>19</v>
      </c>
      <c r="Q22" s="1">
        <f>IF(1318480&gt;0,100*350952/1318480,"")</f>
        <v>26.617923669680238</v>
      </c>
      <c r="R22" s="1">
        <f>IF(1275773&gt;0,100*170240/1275773,"")</f>
        <v>13.344066695250644</v>
      </c>
      <c r="S22" s="1">
        <f>IF(COUNT(Q22:R22)=2,R22-Q22,"")</f>
        <v>-13.273856974429593</v>
      </c>
    </row>
    <row r="23" spans="1:19">
      <c r="A23" s="1">
        <v>21</v>
      </c>
      <c r="B23" s="1">
        <v>20</v>
      </c>
      <c r="C23" s="1">
        <f>IF(1068079&gt;0,100*233010/1068079,"")</f>
        <v>21.815802014644984</v>
      </c>
      <c r="D23" s="1">
        <f>IF(764815&gt;0,100*59467/764815,"")</f>
        <v>7.775344364323399</v>
      </c>
      <c r="E23" s="1">
        <f>IF(COUNT(C23:D23)=2,D23-C23,"")</f>
        <v>-14.040457650321585</v>
      </c>
      <c r="H23" s="1">
        <v>21</v>
      </c>
      <c r="I23" s="1">
        <v>20</v>
      </c>
      <c r="J23" s="1">
        <f>IF(2064525&gt;0,100*814911/2064525,"")</f>
        <v>39.47208195589785</v>
      </c>
      <c r="K23" s="1">
        <f>IF(1354735&gt;0,100*268168/1354735,"")</f>
        <v>19.794867630938892</v>
      </c>
      <c r="L23" s="1">
        <f>IF(COUNT(J23:K23)=2,K23-J23,"")</f>
        <v>-19.677214324958957</v>
      </c>
      <c r="O23" s="1">
        <v>21</v>
      </c>
      <c r="P23" s="1">
        <v>20</v>
      </c>
      <c r="Q23" s="1">
        <f>IF(988289&gt;0,100*243580/988289,"")</f>
        <v>24.646636763133053</v>
      </c>
      <c r="R23" s="1">
        <f>IF(1493768&gt;0,100*338111/1493768,"")</f>
        <v>22.634773271351374</v>
      </c>
      <c r="S23" s="1">
        <f>IF(COUNT(Q23:R23)=2,R23-Q23,"")</f>
        <v>-2.0118634917816784</v>
      </c>
    </row>
    <row r="24" spans="1:19">
      <c r="A24" s="1">
        <v>22</v>
      </c>
      <c r="B24" s="1">
        <v>21</v>
      </c>
      <c r="C24" s="1">
        <f>IF(1338290&gt;0,100*468761/1338290,"")</f>
        <v>35.0268626381427</v>
      </c>
      <c r="D24" s="1">
        <f>IF(1247013&gt;0,100*346425/1247013,"")</f>
        <v>27.78038400561983</v>
      </c>
      <c r="E24" s="1">
        <f>IF(COUNT(C24:D24)=2,D24-C24,"")</f>
        <v>-7.246478632522873</v>
      </c>
      <c r="H24" s="1">
        <v>22</v>
      </c>
      <c r="I24" s="1">
        <v>21</v>
      </c>
      <c r="J24" s="1">
        <f>IF(1478082&gt;0,100*446963/1478082,"")</f>
        <v>30.23939131929081</v>
      </c>
      <c r="K24" s="1">
        <f>IF(1718834&gt;0,100*485190/1718834,"")</f>
        <v>28.22785679128991</v>
      </c>
      <c r="L24" s="1">
        <f>IF(COUNT(J24:K24)=2,K24-J24,"")</f>
        <v>-2.011534528000901</v>
      </c>
      <c r="O24" s="1">
        <v>22</v>
      </c>
      <c r="P24" s="1">
        <v>21</v>
      </c>
      <c r="Q24" s="1">
        <f>IF(1372655&gt;0,100*332190/1372655,"")</f>
        <v>24.20054565786742</v>
      </c>
      <c r="R24" s="1">
        <f>IF(1139618&gt;0,100*205143/1139618,"")</f>
        <v>18.001031924732672</v>
      </c>
      <c r="S24" s="1">
        <f>IF(COUNT(Q24:R24)=2,R24-Q24,"")</f>
        <v>-6.199513733134747</v>
      </c>
    </row>
    <row r="25" spans="1:19">
      <c r="A25" s="1">
        <v>23</v>
      </c>
      <c r="B25" s="1">
        <v>22</v>
      </c>
      <c r="C25" s="1">
        <f>IF(509320&gt;0,100*1248/509320,"")</f>
        <v>0.24503259247624284</v>
      </c>
      <c r="D25" s="1">
        <f>IF(509320&gt;0,100*1248/509320,"")</f>
        <v>0.24503259247624284</v>
      </c>
      <c r="E25" s="1">
        <f>IF(COUNT(C25:D25)=2,D25-C25,"")</f>
        <v>0.0</v>
      </c>
      <c r="H25" s="1">
        <v>23</v>
      </c>
      <c r="I25" s="1">
        <v>22</v>
      </c>
      <c r="J25" s="1">
        <f>IF(1340391&gt;0,100*238132/1340391,"")</f>
        <v>17.765860857018588</v>
      </c>
      <c r="K25" s="1">
        <f>IF(1487217&gt;0,100*183211/1487217,"")</f>
        <v>12.319049607421109</v>
      </c>
      <c r="L25" s="1">
        <f>IF(COUNT(J25:K25)=2,K25-J25,"")</f>
        <v>-5.446811249597479</v>
      </c>
      <c r="O25" s="1">
        <v>23</v>
      </c>
      <c r="P25" s="1">
        <v>22</v>
      </c>
      <c r="Q25" s="1">
        <f>IF(1673110&gt;0,100*548899/1673110,"")</f>
        <v>32.80710772154849</v>
      </c>
      <c r="R25" s="1">
        <f>IF(1711889&gt;0,100*347087/1711889,"")</f>
        <v>20.275087929182323</v>
      </c>
      <c r="S25" s="1">
        <f>IF(COUNT(Q25:R25)=2,R25-Q25,"")</f>
        <v>-12.532019792366167</v>
      </c>
    </row>
    <row r="26" spans="1:19">
      <c r="A26" s="1">
        <v>24</v>
      </c>
      <c r="B26" s="1">
        <v>23</v>
      </c>
      <c r="C26" s="1">
        <f>IF(914755&gt;0,100*175077/914755,"")</f>
        <v>19.139223070658264</v>
      </c>
      <c r="D26" s="1">
        <f>IF(1317300&gt;0,100*205613/1317300,"")</f>
        <v>15.608669247703636</v>
      </c>
      <c r="E26" s="1">
        <f>IF(COUNT(C26:D26)=2,D26-C26,"")</f>
        <v>-3.5305538229546283</v>
      </c>
      <c r="H26" s="1">
        <v>24</v>
      </c>
      <c r="I26" s="1">
        <v>23</v>
      </c>
      <c r="J26" s="1">
        <f>IF(1715105&gt;0,100*545055/1715105,"")</f>
        <v>31.77968695794135</v>
      </c>
      <c r="K26" s="1">
        <f>IF(1082103&gt;0,100*68437/1082103,"")</f>
        <v>6.324444161045667</v>
      </c>
      <c r="L26" s="1">
        <f>IF(COUNT(J26:K26)=2,K26-J26,"")</f>
        <v>-25.455242796895682</v>
      </c>
      <c r="O26" s="1">
        <v>24</v>
      </c>
      <c r="P26" s="1">
        <v>23</v>
      </c>
      <c r="Q26" s="1">
        <f>IF(1476074&gt;0,100*377502/1476074,"")</f>
        <v>25.57473405804858</v>
      </c>
      <c r="R26" s="1">
        <f>IF(1124305&gt;0,100*102890/1124305,"")</f>
        <v>9.1514313286875</v>
      </c>
      <c r="S26" s="1">
        <f>IF(COUNT(Q26:R26)=2,R26-Q26,"")</f>
        <v>-16.42330272936108</v>
      </c>
    </row>
    <row r="27" spans="1:19">
      <c r="A27" s="1">
        <v>25</v>
      </c>
      <c r="B27" s="1">
        <v>24</v>
      </c>
      <c r="C27" s="1">
        <f>IF(1691255&gt;0,100*656381/1691255,"")</f>
        <v>38.81029176558236</v>
      </c>
      <c r="D27" s="1">
        <f>IF(1531018&gt;0,100*435836/1531018,"")</f>
        <v>28.46707223559749</v>
      </c>
      <c r="E27" s="1">
        <f>IF(COUNT(C27:D27)=2,D27-C27,"")</f>
        <v>-10.343219529984871</v>
      </c>
      <c r="H27" s="1">
        <v>25</v>
      </c>
      <c r="I27" s="1">
        <v>24</v>
      </c>
      <c r="J27" s="1">
        <f>IF(1222508&gt;0,100*246917/1222508,"")</f>
        <v>20.197577439166043</v>
      </c>
      <c r="K27" s="1">
        <f>IF(1099447&gt;0,100*160437/1099447,"")</f>
        <v>14.592517874895288</v>
      </c>
      <c r="L27" s="1">
        <f>IF(COUNT(J27:K27)=2,K27-J27,"")</f>
        <v>-5.605059564270755</v>
      </c>
      <c r="O27" s="1">
        <v>25</v>
      </c>
      <c r="P27" s="1">
        <v>24</v>
      </c>
      <c r="Q27" s="1">
        <f>IF(1190475&gt;0,100*83215/1190475,"")</f>
        <v>6.99006699006699</v>
      </c>
      <c r="R27" s="1">
        <f>IF(981228&gt;0,100*104721/981228,"")</f>
        <v>10.672443101909037</v>
      </c>
      <c r="S27" s="1">
        <f>IF(COUNT(Q27:R27)=2,R27-Q27,"")</f>
        <v>3.6823761118420473</v>
      </c>
    </row>
    <row r="28" spans="1:19">
      <c r="A28" s="1">
        <v>26</v>
      </c>
      <c r="B28" s="1">
        <v>25</v>
      </c>
      <c r="C28" s="1">
        <f>IF(1683042&gt;0,100*681416/1683042,"")</f>
        <v>40.48716550151452</v>
      </c>
      <c r="D28" s="1">
        <f>IF(1645166&gt;0,100*457833/1645166,"")</f>
        <v>27.82898503859185</v>
      </c>
      <c r="E28" s="1">
        <f>IF(COUNT(C28:D28)=2,D28-C28,"")</f>
        <v>-12.658180462922669</v>
      </c>
      <c r="H28" s="1">
        <v>26</v>
      </c>
      <c r="I28" s="1">
        <v>25</v>
      </c>
      <c r="J28" s="1">
        <f>IF(1827352&gt;0,100*581318/1827352,"")</f>
        <v>31.8120427810296</v>
      </c>
      <c r="K28" s="1">
        <f>IF(1230524&gt;0,100*233464/1230524,"")</f>
        <v>18.972730316515566</v>
      </c>
      <c r="L28" s="1">
        <f>IF(COUNT(J28:K28)=2,K28-J28,"")</f>
        <v>-12.839312464514034</v>
      </c>
      <c r="O28" s="1">
        <v>26</v>
      </c>
      <c r="P28" s="1">
        <v>25</v>
      </c>
      <c r="Q28" s="1">
        <f>IF(1679034&gt;0,100*488863/1679034,"")</f>
        <v>29.11572963978097</v>
      </c>
      <c r="R28" s="1">
        <f>IF(1269358&gt;0,100*170848/1269358,"")</f>
        <v>13.459402312034904</v>
      </c>
      <c r="S28" s="1">
        <f>IF(COUNT(Q28:R28)=2,R28-Q28,"")</f>
        <v>-15.656327327746066</v>
      </c>
    </row>
    <row r="29" spans="1:19">
      <c r="A29" s="1">
        <v>27</v>
      </c>
      <c r="B29" s="1">
        <v>26</v>
      </c>
      <c r="C29" s="1">
        <f>IF(1557766&gt;0,100*464581/1557766,"")</f>
        <v>29.823542175140553</v>
      </c>
      <c r="D29" s="1">
        <f>IF(1658075&gt;0,100*431001/1658075,"")</f>
        <v>25.99405937608371</v>
      </c>
      <c r="E29" s="1">
        <f>IF(COUNT(C29:D29)=2,D29-C29,"")</f>
        <v>-3.8294827990568407</v>
      </c>
      <c r="H29" s="1">
        <v>27</v>
      </c>
      <c r="I29" s="1">
        <v>26</v>
      </c>
      <c r="J29" s="1">
        <f>IF(1255658&gt;0,100*171678/1255658,"")</f>
        <v>13.672353459301815</v>
      </c>
      <c r="K29" s="1">
        <f>IF(1600273&gt;0,100*345643/1600273,"")</f>
        <v>21.5990021702547</v>
      </c>
      <c r="L29" s="1">
        <f>IF(COUNT(J29:K29)=2,K29-J29,"")</f>
        <v>7.926648710952884</v>
      </c>
      <c r="O29" s="1">
        <v>27</v>
      </c>
      <c r="P29" s="1">
        <v>26</v>
      </c>
      <c r="Q29" s="1">
        <f>IF(2118549&gt;0,100*871261/2118549,"")</f>
        <v>41.12536457735931</v>
      </c>
      <c r="R29" s="1">
        <f>IF(1496036&gt;0,100*243311/1496036,"")</f>
        <v>16.263712905304416</v>
      </c>
      <c r="S29" s="1">
        <f>IF(COUNT(Q29:R29)=2,R29-Q29,"")</f>
        <v>-24.861651672054897</v>
      </c>
    </row>
    <row r="30" spans="1:19">
      <c r="A30" s="1">
        <v>28</v>
      </c>
      <c r="B30" s="1">
        <v>27</v>
      </c>
      <c r="C30" s="1">
        <f>IF(506350&gt;0,100*449/506350,"")</f>
        <v>0.08867384220400909</v>
      </c>
      <c r="D30" s="1">
        <f>IF(506350&gt;0,100*449/506350,"")</f>
        <v>0.08867384220400909</v>
      </c>
      <c r="E30" s="1">
        <f>IF(COUNT(C30:D30)=2,D30-C30,"")</f>
        <v>0.0</v>
      </c>
      <c r="H30" s="1">
        <v>28</v>
      </c>
      <c r="I30" s="1">
        <v>27</v>
      </c>
      <c r="J30" s="1">
        <f>IF(1718872&gt;0,100*583484/1718872,"")</f>
        <v>33.94575046891217</v>
      </c>
      <c r="K30" s="1">
        <f>IF(1512589&gt;0,100*358888/1512589,"")</f>
        <v>23.72673607966209</v>
      </c>
      <c r="L30" s="1">
        <f>IF(COUNT(J30:K30)=2,K30-J30,"")</f>
        <v>-10.219014389250084</v>
      </c>
      <c r="O30" s="1">
        <v>28</v>
      </c>
      <c r="P30" s="1">
        <v>27</v>
      </c>
      <c r="Q30" s="1">
        <f>IF(1202604&gt;0,100*322949/1202604,"")</f>
        <v>26.8541431759748</v>
      </c>
      <c r="R30" s="1">
        <f>IF(1319653&gt;0,100*307529/1319653,"")</f>
        <v>23.30377758395578</v>
      </c>
      <c r="S30" s="1">
        <f>IF(COUNT(Q30:R30)=2,R30-Q30,"")</f>
        <v>-3.55036559201902</v>
      </c>
    </row>
    <row r="31" spans="1:19">
      <c r="A31" s="1">
        <v>29</v>
      </c>
      <c r="B31" s="1">
        <v>28</v>
      </c>
      <c r="C31" s="1">
        <f>IF(1614535&gt;0,100*599059/1614535,"")</f>
        <v>37.104119762036746</v>
      </c>
      <c r="D31" s="1">
        <f>IF(1648504&gt;0,100*491810/1648504,"")</f>
        <v>29.83371590241819</v>
      </c>
      <c r="E31" s="1">
        <f>IF(COUNT(C31:D31)=2,D31-C31,"")</f>
        <v>-7.270403859618554</v>
      </c>
      <c r="H31" s="1">
        <v>29</v>
      </c>
      <c r="I31" s="1">
        <v>28</v>
      </c>
      <c r="J31" s="1">
        <f>IF(1707787&gt;0,100*644845/1707787,"")</f>
        <v>37.75909993459371</v>
      </c>
      <c r="K31" s="1">
        <f>IF(1354375&gt;0,100*284780/1354375,"")</f>
        <v>21.02667281956622</v>
      </c>
      <c r="L31" s="1">
        <f>IF(COUNT(J31:K31)=2,K31-J31,"")</f>
        <v>-16.732427115027495</v>
      </c>
      <c r="O31" s="1">
        <v>29</v>
      </c>
      <c r="P31" s="1">
        <v>28</v>
      </c>
      <c r="Q31" s="1">
        <f>IF(1781585&gt;0,100*685393/1781585,"")</f>
        <v>38.47096826702066</v>
      </c>
      <c r="R31" s="1">
        <f>IF(2230026&gt;0,100*688233/2230026,"")</f>
        <v>30.86210654046186</v>
      </c>
      <c r="S31" s="1">
        <f>IF(COUNT(Q31:R31)=2,R31-Q31,"")</f>
        <v>-7.6088617265588</v>
      </c>
    </row>
    <row r="32" spans="1:19">
      <c r="A32" s="1">
        <v>30</v>
      </c>
      <c r="B32" s="1">
        <v>29</v>
      </c>
      <c r="C32" s="1">
        <f>IF(1722125&gt;0,100*685666/1722125,"")</f>
        <v>39.81511214342745</v>
      </c>
      <c r="D32" s="1">
        <f>IF(1285548&gt;0,100*268079/1285548,"")</f>
        <v>20.853285913867083</v>
      </c>
      <c r="E32" s="1">
        <f>IF(COUNT(C32:D32)=2,D32-C32,"")</f>
        <v>-18.961826229560366</v>
      </c>
      <c r="H32" s="1">
        <v>30</v>
      </c>
      <c r="I32" s="1">
        <v>29</v>
      </c>
      <c r="J32" s="1">
        <f>IF(1183903&gt;0,100*336267/1183903,"")</f>
        <v>28.403256009994063</v>
      </c>
      <c r="K32" s="1">
        <f>IF(1114799&gt;0,100*238560/1114799,"")</f>
        <v>21.39937333994738</v>
      </c>
      <c r="L32" s="1">
        <f>IF(COUNT(J32:K32)=2,K32-J32,"")</f>
        <v>-7.003882670046682</v>
      </c>
      <c r="O32" s="1">
        <v>30</v>
      </c>
      <c r="P32" s="1">
        <v>29</v>
      </c>
      <c r="Q32" s="1">
        <f>IF(1267752&gt;0,100*304833/1267752,"")</f>
        <v>24.045160252162884</v>
      </c>
      <c r="R32" s="1">
        <f>IF(1456158&gt;0,100*257786/1456158,"")</f>
        <v>17.70316133276746</v>
      </c>
      <c r="S32" s="1">
        <f>IF(COUNT(Q32:R32)=2,R32-Q32,"")</f>
        <v>-6.341998919395422</v>
      </c>
    </row>
    <row r="33" spans="1:19">
      <c r="A33" s="1">
        <v>31</v>
      </c>
      <c r="B33" s="1">
        <v>30</v>
      </c>
      <c r="C33" s="1">
        <f>IF(758539&gt;0,100*11909/758539,"")</f>
        <v>1.569991786842865</v>
      </c>
      <c r="D33" s="1">
        <f>IF(758539&gt;0,100*11909/758539,"")</f>
        <v>1.569991786842865</v>
      </c>
      <c r="E33" s="1">
        <f>IF(COUNT(C33:D33)=2,D33-C33,"")</f>
        <v>0.0</v>
      </c>
      <c r="H33" s="1">
        <v>31</v>
      </c>
      <c r="I33" s="1">
        <v>30</v>
      </c>
      <c r="J33" s="1">
        <f>IF(1372764&gt;0,100*366154/1372764,"")</f>
        <v>26.67275656995667</v>
      </c>
      <c r="K33" s="1">
        <f>IF(1493290&gt;0,100*338803/1493290,"")</f>
        <v>22.688359260424967</v>
      </c>
      <c r="L33" s="1">
        <f>IF(COUNT(J33:K33)=2,K33-J33,"")</f>
        <v>-3.9843973095317047</v>
      </c>
      <c r="O33" s="1">
        <v>31</v>
      </c>
      <c r="P33" s="1">
        <v>30</v>
      </c>
      <c r="Q33" s="1">
        <f>IF(1698653&gt;0,100*588007/1698653,"")</f>
        <v>34.616075207826434</v>
      </c>
      <c r="R33" s="1">
        <f>IF(1595609&gt;0,100*383652/1595609,"")</f>
        <v>24.044236401273746</v>
      </c>
      <c r="S33" s="1">
        <f>IF(COUNT(Q33:R33)=2,R33-Q33,"")</f>
        <v>-10.571838806552687</v>
      </c>
    </row>
    <row r="34" spans="1:19">
      <c r="A34" s="2" t="s">
        <v>6</v>
      </c>
      <c r="B34" s="1"/>
      <c r="C34" s="1">
        <f>IF(COUNT(C3:C33)&gt;0,AVERAGE(C3:C33),"")</f>
        <v>28.37755704515853</v>
      </c>
      <c r="D34" s="1">
        <f>IF(COUNT(D3:D33)&gt;0,AVERAGE(D3:D33),"")</f>
        <v>17.62298619661922</v>
      </c>
      <c r="E34" s="1">
        <f>IF(COUNT(E3:E33)&gt;0,AVERAGE(E3:E33),"")</f>
        <v>-10.75457084853931</v>
      </c>
      <c r="H34" s="2" t="s">
        <v>6</v>
      </c>
      <c r="I34" s="1"/>
      <c r="J34" s="1">
        <f>IF(COUNT(J3:J33)&gt;0,AVERAGE(J3:J33),"")</f>
        <v>23.048785214991636</v>
      </c>
      <c r="K34" s="1">
        <f>IF(COUNT(K3:K33)&gt;0,AVERAGE(K3:K33),"")</f>
        <v>16.56334177280754</v>
      </c>
      <c r="L34" s="1">
        <f>IF(COUNT(L3:L33)&gt;0,AVERAGE(L3:L33),"")</f>
        <v>-6.4854434421840965</v>
      </c>
      <c r="O34" s="2" t="s">
        <v>6</v>
      </c>
      <c r="P34" s="1"/>
      <c r="Q34" s="1">
        <f>IF(COUNT(Q3:Q33)&gt;0,AVERAGE(Q3:Q33),"")</f>
        <v>24.644136830215917</v>
      </c>
      <c r="R34" s="1">
        <f>IF(COUNT(R3:R33)&gt;0,AVERAGE(R3:R33),"")</f>
        <v>15.873064331886784</v>
      </c>
      <c r="S34" s="1">
        <f>IF(COUNT(S3:S33)&gt;0,AVERAGE(S3:S33),"")</f>
        <v>-8.771072498329133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IF(1093423&gt;0,100*121600/1093423,"")</f>
        <v>11.121039158678755</v>
      </c>
      <c r="D39" s="1">
        <f>IF(1148124&gt;0,100*145343/1148124,"")</f>
        <v>12.659172702600067</v>
      </c>
      <c r="E39" s="1">
        <f>IF(COUNT(C39:D39)=2,D39-C39,"")</f>
        <v>1.5381335439213117</v>
      </c>
      <c r="H39" s="1">
        <v>1</v>
      </c>
      <c r="I39" s="1">
        <v>0</v>
      </c>
      <c r="J39" s="1">
        <f>IF(2001661&gt;0,100*613984/2001661,"")</f>
        <v>30.673725470996338</v>
      </c>
      <c r="K39" s="1">
        <f>IF(1433735&gt;0,100*264715/1433735,"")</f>
        <v>18.46331435028091</v>
      </c>
      <c r="L39" s="1">
        <f>IF(COUNT(J39:K39)=2,K39-J39,"")</f>
        <v>-12.210411120715428</v>
      </c>
      <c r="O39" s="1">
        <v>1</v>
      </c>
      <c r="P39" s="1">
        <v>0</v>
      </c>
      <c r="Q39" s="1">
        <f>IF(1572820&gt;0,100*273004/1572820,"")</f>
        <v>17.35761244134739</v>
      </c>
      <c r="R39" s="1">
        <f>IF(1329605&gt;0,100*191222/1329605,"")</f>
        <v>14.381865290819453</v>
      </c>
      <c r="S39" s="1">
        <f>IF(COUNT(Q39:R39)=2,R39-Q39,"")</f>
        <v>-2.975747150527935</v>
      </c>
    </row>
    <row r="40" spans="1:19">
      <c r="A40" s="1">
        <v>2</v>
      </c>
      <c r="B40" s="1">
        <v>1</v>
      </c>
      <c r="C40" s="1">
        <f>IF(1205676&gt;0,100*374828/1205676,"")</f>
        <v>31.08861750586393</v>
      </c>
      <c r="D40" s="1">
        <f>IF(1181292&gt;0,100*358441/1181292,"")</f>
        <v>30.34313277326859</v>
      </c>
      <c r="E40" s="1">
        <f>IF(COUNT(C40:D40)=2,D40-C40,"")</f>
        <v>-0.7454847325953402</v>
      </c>
      <c r="H40" s="1">
        <v>2</v>
      </c>
      <c r="I40" s="1">
        <v>1</v>
      </c>
      <c r="J40" s="1">
        <f>IF(2100504&gt;0,100*794890/2100504,"")</f>
        <v>37.84282248450848</v>
      </c>
      <c r="K40" s="1">
        <f>IF(2085564&gt;0,100*586469/2085564,"")</f>
        <v>28.12040292218316</v>
      </c>
      <c r="L40" s="1">
        <f>IF(COUNT(J40:K40)=2,K40-J40,"")</f>
        <v>-9.722419562325321</v>
      </c>
      <c r="O40" s="1">
        <v>2</v>
      </c>
      <c r="P40" s="1">
        <v>1</v>
      </c>
      <c r="Q40" s="1">
        <f>IF(2271111&gt;0,100*972080/2271111,"")</f>
        <v>42.801959041191736</v>
      </c>
      <c r="R40" s="1">
        <f>IF(2040526&gt;0,100*472796/2040526,"")</f>
        <v>23.170300206907434</v>
      </c>
      <c r="S40" s="1">
        <f>IF(COUNT(Q40:R40)=2,R40-Q40,"")</f>
        <v>-19.631658834284302</v>
      </c>
    </row>
    <row r="41" spans="1:19">
      <c r="A41" s="1">
        <v>3</v>
      </c>
      <c r="B41" s="1">
        <v>2</v>
      </c>
      <c r="C41" s="1">
        <f>IF(1607803&gt;0,100*670978/1607803,"")</f>
        <v>41.732600324791036</v>
      </c>
      <c r="D41" s="1">
        <f>IF(1188712&gt;0,100*319947/1188712,"")</f>
        <v>26.915434520724954</v>
      </c>
      <c r="E41" s="1">
        <f>IF(COUNT(C41:D41)=2,D41-C41,"")</f>
        <v>-14.817165804066082</v>
      </c>
      <c r="H41" s="1">
        <v>3</v>
      </c>
      <c r="I41" s="1">
        <v>2</v>
      </c>
      <c r="J41" s="1">
        <f>IF(2703819&gt;0,100*975381/2703819,"")</f>
        <v>36.0741972742998</v>
      </c>
      <c r="K41" s="1">
        <f>IF(2352185&gt;0,100*303009/2352185,"")</f>
        <v>12.882022459968072</v>
      </c>
      <c r="L41" s="1">
        <f>IF(COUNT(J41:K41)=2,K41-J41,"")</f>
        <v>-23.19217481433173</v>
      </c>
      <c r="O41" s="1">
        <v>3</v>
      </c>
      <c r="P41" s="1">
        <v>2</v>
      </c>
      <c r="Q41" s="1">
        <f>IF(2333406&gt;0,100*950771/2333406,"")</f>
        <v>40.746059622714604</v>
      </c>
      <c r="R41" s="1">
        <f>IF(2213169&gt;0,100*561891/2213169,"")</f>
        <v>25.388526587892745</v>
      </c>
      <c r="S41" s="1">
        <f>IF(COUNT(Q41:R41)=2,R41-Q41,"")</f>
        <v>-15.35753303482186</v>
      </c>
    </row>
    <row r="42" spans="1:19">
      <c r="A42" s="1">
        <v>4</v>
      </c>
      <c r="B42" s="1">
        <v>3</v>
      </c>
      <c r="C42" s="1">
        <f>IF(2016766&gt;0,100*855389/2016766,"")</f>
        <v>42.41389432388289</v>
      </c>
      <c r="D42" s="1">
        <f>IF(2335950&gt;0,100*769099/2335950,"")</f>
        <v>32.92446328046405</v>
      </c>
      <c r="E42" s="1">
        <f>IF(COUNT(C42:D42)=2,D42-C42,"")</f>
        <v>-9.48943104341884</v>
      </c>
      <c r="H42" s="1">
        <v>4</v>
      </c>
      <c r="I42" s="1">
        <v>3</v>
      </c>
      <c r="J42" s="1">
        <f>IF(1363146&gt;0,100*83089/1363146,"")</f>
        <v>6.09538523386343</v>
      </c>
      <c r="K42" s="1">
        <f>IF(1367520&gt;0,100*97125/1367520,"")</f>
        <v>7.1022727272727275</v>
      </c>
      <c r="L42" s="1">
        <f>IF(COUNT(J42:K42)=2,K42-J42,"")</f>
        <v>1.0068874934092973</v>
      </c>
      <c r="O42" s="1">
        <v>4</v>
      </c>
      <c r="P42" s="1">
        <v>3</v>
      </c>
      <c r="Q42" s="1">
        <f>IF(1406270&gt;0,100*83129/1406270,"")</f>
        <v>5.911311483570011</v>
      </c>
      <c r="R42" s="1">
        <f>IF(1612683&gt;0,100*32624/1612683,"")</f>
        <v>2.022964215533989</v>
      </c>
      <c r="S42" s="1">
        <f>IF(COUNT(Q42:R42)=2,R42-Q42,"")</f>
        <v>-3.8883472680360223</v>
      </c>
    </row>
    <row r="43" spans="1:19">
      <c r="A43" s="1">
        <v>5</v>
      </c>
      <c r="B43" s="1">
        <v>4</v>
      </c>
      <c r="C43" s="1">
        <f>IF(1270456&gt;0,100*222216/1270456,"")</f>
        <v>17.49104258628398</v>
      </c>
      <c r="D43" s="1">
        <f>IF(1227141&gt;0,100*135710/1227141,"")</f>
        <v>11.05903885535566</v>
      </c>
      <c r="E43" s="1">
        <f>IF(COUNT(C43:D43)=2,D43-C43,"")</f>
        <v>-6.432003730928322</v>
      </c>
      <c r="H43" s="1">
        <v>5</v>
      </c>
      <c r="I43" s="1">
        <v>4</v>
      </c>
      <c r="J43" s="1">
        <f>IF(2437241&gt;0,100*1028598/2437241,"")</f>
        <v>42.20337668699977</v>
      </c>
      <c r="K43" s="1">
        <f>IF(2700182&gt;0,100*782193/2700182,"")</f>
        <v>28.968158442653124</v>
      </c>
      <c r="L43" s="1">
        <f>IF(COUNT(J43:K43)=2,K43-J43,"")</f>
        <v>-13.235218244346644</v>
      </c>
      <c r="O43" s="1">
        <v>5</v>
      </c>
      <c r="P43" s="1">
        <v>4</v>
      </c>
      <c r="Q43" s="1">
        <f>IF(2401097&gt;0,100*1112784/2401097,"")</f>
        <v>46.344816556765515</v>
      </c>
      <c r="R43" s="1">
        <f>IF(2886762&gt;0,100*1005168/2886762,"")</f>
        <v>34.81991241397802</v>
      </c>
      <c r="S43" s="1">
        <f>IF(COUNT(Q43:R43)=2,R43-Q43,"")</f>
        <v>-11.524904142787499</v>
      </c>
    </row>
    <row r="44" spans="1:19">
      <c r="A44" s="1">
        <v>6</v>
      </c>
      <c r="B44" s="1">
        <v>5</v>
      </c>
      <c r="C44" s="1">
        <f>IF(2068143&gt;0,100*935980/2068143,"")</f>
        <v>45.25702526372693</v>
      </c>
      <c r="D44" s="1">
        <f>IF(1845340&gt;0,100*426450/1845340,"")</f>
        <v>23.10956246545352</v>
      </c>
      <c r="E44" s="1">
        <f>IF(COUNT(C44:D44)=2,D44-C44,"")</f>
        <v>-22.14746279827341</v>
      </c>
      <c r="H44" s="1">
        <v>6</v>
      </c>
      <c r="I44" s="1">
        <v>5</v>
      </c>
      <c r="J44" s="1">
        <f>IF(2170385&gt;0,100*855280/2170385,"")</f>
        <v>39.40683334984346</v>
      </c>
      <c r="K44" s="1">
        <f>IF(2139470&gt;0,100*552324/2139470,"")</f>
        <v>25.81592637428896</v>
      </c>
      <c r="L44" s="1">
        <f>IF(COUNT(J44:K44)=2,K44-J44,"")</f>
        <v>-13.5909069755545</v>
      </c>
      <c r="O44" s="1">
        <v>6</v>
      </c>
      <c r="P44" s="1">
        <v>5</v>
      </c>
      <c r="Q44" s="1">
        <f>IF(1758860&gt;0,100*252810/1758860,"")</f>
        <v>14.373514662906656</v>
      </c>
      <c r="R44" s="1">
        <f>IF(1812306&gt;0,100*181147/1812306,"")</f>
        <v>9.995387092466725</v>
      </c>
      <c r="S44" s="1">
        <f>IF(COUNT(Q44:R44)=2,R44-Q44,"")</f>
        <v>-4.378127570439931</v>
      </c>
    </row>
    <row r="45" spans="1:19">
      <c r="A45" s="1">
        <v>7</v>
      </c>
      <c r="B45" s="1">
        <v>6</v>
      </c>
      <c r="C45" s="1">
        <f>IF(1955799&gt;0,100*927153/1955799,"")</f>
        <v>47.405331529466984</v>
      </c>
      <c r="D45" s="1">
        <f>IF(1959105&gt;0,100*612487/1959105,"")</f>
        <v>31.263612721115</v>
      </c>
      <c r="E45" s="1">
        <f>IF(COUNT(C45:D45)=2,D45-C45,"")</f>
        <v>-16.141718808351985</v>
      </c>
      <c r="H45" s="1">
        <v>7</v>
      </c>
      <c r="I45" s="1">
        <v>6</v>
      </c>
      <c r="J45" s="1">
        <f>IF(1062155&gt;0,100*3098/1062155,"")</f>
        <v>0.29167117793542374</v>
      </c>
      <c r="K45" s="1">
        <f>IF(1062155&gt;0,100*3098/1062155,"")</f>
        <v>0.29167117793542374</v>
      </c>
      <c r="L45" s="1">
        <f>IF(COUNT(J45:K45)=2,K45-J45,"")</f>
        <v>0.0</v>
      </c>
      <c r="O45" s="1">
        <v>7</v>
      </c>
      <c r="P45" s="1">
        <v>6</v>
      </c>
      <c r="Q45" s="1">
        <f>IF(1340065&gt;0,100*31783/1340065,"")</f>
        <v>2.3717506240368937</v>
      </c>
      <c r="R45" s="1">
        <f>IF(1182795&gt;0,100*155472/1182795,"")</f>
        <v>13.144458676271036</v>
      </c>
      <c r="S45" s="1">
        <f>IF(COUNT(Q45:R45)=2,R45-Q45,"")</f>
        <v>10.772708052234142</v>
      </c>
    </row>
    <row r="46" spans="1:19">
      <c r="A46" s="1">
        <v>8</v>
      </c>
      <c r="B46" s="1">
        <v>7</v>
      </c>
      <c r="C46" s="1">
        <f>IF(2103376&gt;0,100*877826/2103376,"")</f>
        <v>41.73414548801546</v>
      </c>
      <c r="D46" s="1">
        <f>IF(1650175&gt;0,100*448345/1650175,"")</f>
        <v>27.169542624267123</v>
      </c>
      <c r="E46" s="1">
        <f>IF(COUNT(C46:D46)=2,D46-C46,"")</f>
        <v>-14.564602863748334</v>
      </c>
      <c r="H46" s="1">
        <v>8</v>
      </c>
      <c r="I46" s="1">
        <v>7</v>
      </c>
      <c r="J46" s="1">
        <f>IF(875780&gt;0,100*4451/875780,"")</f>
        <v>0.5082326611706136</v>
      </c>
      <c r="K46" s="1">
        <f>IF(875780&gt;0,100*4451/875780,"")</f>
        <v>0.5082326611706136</v>
      </c>
      <c r="L46" s="1">
        <f>IF(COUNT(J46:K46)=2,K46-J46,"")</f>
        <v>0.0</v>
      </c>
      <c r="O46" s="1">
        <v>8</v>
      </c>
      <c r="P46" s="1">
        <v>7</v>
      </c>
      <c r="Q46" s="1">
        <f>IF(953770&gt;0,100*30543/953770,"")</f>
        <v>3.202344380720719</v>
      </c>
      <c r="R46" s="1">
        <f>IF(1669165&gt;0,100*56221/1669165,"")</f>
        <v>3.368211051633601</v>
      </c>
      <c r="S46" s="1">
        <f>IF(COUNT(Q46:R46)=2,R46-Q46,"")</f>
        <v>0.16586667091288199</v>
      </c>
    </row>
    <row r="47" spans="1:19">
      <c r="A47" s="1">
        <v>9</v>
      </c>
      <c r="B47" s="1">
        <v>8</v>
      </c>
      <c r="C47" s="1">
        <f>IF(1775689&gt;0,100*854041/1775689,"")</f>
        <v>48.096316415768754</v>
      </c>
      <c r="D47" s="1">
        <f>IF(2121450&gt;0,100*714096/2121450,"")</f>
        <v>33.66075090150605</v>
      </c>
      <c r="E47" s="1">
        <f>IF(COUNT(C47:D47)=2,D47-C47,"")</f>
        <v>-14.435565514262706</v>
      </c>
      <c r="H47" s="1">
        <v>9</v>
      </c>
      <c r="I47" s="1">
        <v>8</v>
      </c>
      <c r="J47" s="1">
        <f>IF(2261107&gt;0,100*975052/2261107,"")</f>
        <v>43.122771279731566</v>
      </c>
      <c r="K47" s="1">
        <f>IF(1857698&gt;0,100*423431/1857698,"")</f>
        <v>22.793317320683986</v>
      </c>
      <c r="L47" s="1">
        <f>IF(COUNT(J47:K47)=2,K47-J47,"")</f>
        <v>-20.32945395904758</v>
      </c>
      <c r="O47" s="1">
        <v>9</v>
      </c>
      <c r="P47" s="1">
        <v>8</v>
      </c>
      <c r="Q47" s="1">
        <f>IF(2405152&gt;0,100*1125762/2405152,"")</f>
        <v>46.80627253495829</v>
      </c>
      <c r="R47" s="1">
        <f>IF(2419243&gt;0,100*698784/2419243,"")</f>
        <v>28.88440722986488</v>
      </c>
      <c r="S47" s="1">
        <f>IF(COUNT(Q47:R47)=2,R47-Q47,"")</f>
        <v>-17.92186530509341</v>
      </c>
    </row>
    <row r="48" spans="1:19">
      <c r="A48" s="1">
        <v>10</v>
      </c>
      <c r="B48" s="1">
        <v>9</v>
      </c>
      <c r="C48" s="1">
        <f>IF(1746180&gt;0,100*461985/1746180,"")</f>
        <v>26.456894478232485</v>
      </c>
      <c r="D48" s="1">
        <f>IF(1638952&gt;0,100*300700/1638952,"")</f>
        <v>18.347090091717146</v>
      </c>
      <c r="E48" s="1">
        <f>IF(COUNT(C48:D48)=2,D48-C48,"")</f>
        <v>-8.10980438651534</v>
      </c>
      <c r="H48" s="1">
        <v>10</v>
      </c>
      <c r="I48" s="1">
        <v>9</v>
      </c>
      <c r="J48" s="1">
        <f>IF(2706863&gt;0,100*1192100/2706863,"")</f>
        <v>44.03990892778837</v>
      </c>
      <c r="K48" s="1">
        <f>IF(2087463&gt;0,100*454172/2087463,"")</f>
        <v>21.757128150295358</v>
      </c>
      <c r="L48" s="1">
        <f>IF(COUNT(J48:K48)=2,K48-J48,"")</f>
        <v>-22.28278077749301</v>
      </c>
      <c r="O48" s="1">
        <v>10</v>
      </c>
      <c r="P48" s="1">
        <v>9</v>
      </c>
      <c r="Q48" s="1">
        <f>IF(1922653&gt;0,100*523894/1922653,"")</f>
        <v>27.248494658162446</v>
      </c>
      <c r="R48" s="1">
        <f>IF(959572&gt;0,100*84367/959572,"")</f>
        <v>8.792148999762395</v>
      </c>
      <c r="S48" s="1">
        <f>IF(COUNT(Q48:R48)=2,R48-Q48,"")</f>
        <v>-18.456345658400053</v>
      </c>
    </row>
    <row r="49" spans="1:19">
      <c r="A49" s="1">
        <v>11</v>
      </c>
      <c r="B49" s="1">
        <v>10</v>
      </c>
      <c r="C49" s="1">
        <f>IF(1971439&gt;0,100*862784/1971439,"")</f>
        <v>43.76417429096208</v>
      </c>
      <c r="D49" s="1">
        <f>IF(2110194&gt;0,100*709751/2110194,"")</f>
        <v>33.634395700110986</v>
      </c>
      <c r="E49" s="1">
        <f>IF(COUNT(C49:D49)=2,D49-C49,"")</f>
        <v>-10.129778590851096</v>
      </c>
      <c r="H49" s="1">
        <v>11</v>
      </c>
      <c r="I49" s="1">
        <v>10</v>
      </c>
      <c r="J49" s="1">
        <f>IF(2596797&gt;0,100*880971/2596797,"")</f>
        <v>33.92529335177143</v>
      </c>
      <c r="K49" s="1">
        <f>IF(1960212&gt;0,100*226999/1960212,"")</f>
        <v>11.580329066447915</v>
      </c>
      <c r="L49" s="1">
        <f>IF(COUNT(J49:K49)=2,K49-J49,"")</f>
        <v>-22.344964285323513</v>
      </c>
      <c r="O49" s="1">
        <v>11</v>
      </c>
      <c r="P49" s="1">
        <v>10</v>
      </c>
      <c r="Q49" s="1">
        <f>IF(2537267&gt;0,100*1086404/2537267,"")</f>
        <v>42.817882390777164</v>
      </c>
      <c r="R49" s="1">
        <f>IF(2340634&gt;0,100*528351/2340634,"")</f>
        <v>22.57298663524498</v>
      </c>
      <c r="S49" s="1">
        <f>IF(COUNT(Q49:R49)=2,R49-Q49,"")</f>
        <v>-20.244895755532184</v>
      </c>
    </row>
    <row r="50" spans="1:19">
      <c r="A50" s="1">
        <v>12</v>
      </c>
      <c r="B50" s="1">
        <v>11</v>
      </c>
      <c r="C50" s="1">
        <f>IF(1769042&gt;0,100*718057/1769042,"")</f>
        <v>40.59016122850673</v>
      </c>
      <c r="D50" s="1">
        <f>IF(1238390&gt;0,100*303269/1238390,"")</f>
        <v>24.48897358667302</v>
      </c>
      <c r="E50" s="1">
        <f>IF(COUNT(C50:D50)=2,D50-C50,"")</f>
        <v>-16.10118764183371</v>
      </c>
      <c r="H50" s="1">
        <v>12</v>
      </c>
      <c r="I50" s="1">
        <v>11</v>
      </c>
      <c r="J50" s="1">
        <f>IF(16409&gt;0,100*2109/16409,"")</f>
        <v>12.85270278505698</v>
      </c>
      <c r="K50" s="1">
        <f>IF(16409&gt;0,100*2109/16409,"")</f>
        <v>12.85270278505698</v>
      </c>
      <c r="L50" s="1">
        <f>IF(COUNT(J50:K50)=2,K50-J50,"")</f>
        <v>0.0</v>
      </c>
      <c r="O50" s="1">
        <v>12</v>
      </c>
      <c r="P50" s="1">
        <v>11</v>
      </c>
      <c r="Q50" s="1">
        <f>IF(2609889&gt;0,100*1051883/2609889,"")</f>
        <v>40.30374471864512</v>
      </c>
      <c r="R50" s="1">
        <f>IF(1302877&gt;0,100*74055/1302877,"")</f>
        <v>5.683959422109685</v>
      </c>
      <c r="S50" s="1">
        <f>IF(COUNT(Q50:R50)=2,R50-Q50,"")</f>
        <v>-34.61978529653543</v>
      </c>
    </row>
    <row r="51" spans="1:19">
      <c r="A51" s="1">
        <v>13</v>
      </c>
      <c r="B51" s="1">
        <v>12</v>
      </c>
      <c r="C51" s="1">
        <f>IF(2168985&gt;0,100*980233/2168985,"")</f>
        <v>45.193166388886965</v>
      </c>
      <c r="D51" s="1">
        <f>IF(1401331&gt;0,100*63836/1401331,"")</f>
        <v>4.555383417622246</v>
      </c>
      <c r="E51" s="1">
        <f>IF(COUNT(C51:D51)=2,D51-C51,"")</f>
        <v>-40.63778297126472</v>
      </c>
      <c r="H51" s="1">
        <v>13</v>
      </c>
      <c r="I51" s="1">
        <v>12</v>
      </c>
      <c r="J51" s="1">
        <f>IF(1392134&gt;0,100*142847/1392134,"")</f>
        <v>10.261009356857889</v>
      </c>
      <c r="K51" s="1">
        <f>IF(1225777&gt;0,100*60152/1225777,"")</f>
        <v>4.9072547453574344</v>
      </c>
      <c r="L51" s="1">
        <f>IF(COUNT(J51:K51)=2,K51-J51,"")</f>
        <v>-5.353754611500454</v>
      </c>
      <c r="O51" s="1">
        <v>13</v>
      </c>
      <c r="P51" s="1">
        <v>12</v>
      </c>
      <c r="Q51" s="1">
        <f>IF(1129838&gt;0,100*24638/1129838,"")</f>
        <v>2.1806666088412676</v>
      </c>
      <c r="R51" s="1">
        <f>IF(1787125&gt;0,100*103072/1787125,"")</f>
        <v>5.767475694201581</v>
      </c>
      <c r="S51" s="1">
        <f>IF(COUNT(Q51:R51)=2,R51-Q51,"")</f>
        <v>3.586809085360313</v>
      </c>
    </row>
    <row r="52" spans="1:19">
      <c r="A52" s="1">
        <v>14</v>
      </c>
      <c r="B52" s="1">
        <v>13</v>
      </c>
      <c r="C52" s="1">
        <f>IF(1030639&gt;0,100*3971/1030639,"")</f>
        <v>0.38529494808560516</v>
      </c>
      <c r="D52" s="1">
        <f>IF(1030639&gt;0,100*3971/1030639,"")</f>
        <v>0.38529494808560516</v>
      </c>
      <c r="E52" s="1">
        <f>IF(COUNT(C52:D52)=2,D52-C52,"")</f>
        <v>0.0</v>
      </c>
      <c r="H52" s="1">
        <v>14</v>
      </c>
      <c r="I52" s="1">
        <v>13</v>
      </c>
      <c r="J52" s="1">
        <f>IF(1631278&gt;0,100*497437/1631278,"")</f>
        <v>30.49369880547644</v>
      </c>
      <c r="K52" s="1">
        <f>IF(1861119&gt;0,100*456706/1861119,"")</f>
        <v>24.53932284824345</v>
      </c>
      <c r="L52" s="1">
        <f>IF(COUNT(J52:K52)=2,K52-J52,"")</f>
        <v>-5.95437595723299</v>
      </c>
      <c r="O52" s="1">
        <v>14</v>
      </c>
      <c r="P52" s="1">
        <v>13</v>
      </c>
      <c r="Q52" s="1">
        <f>IF(1227769&gt;0,100*230841/1227769,"")</f>
        <v>18.801663830899788</v>
      </c>
      <c r="R52" s="1">
        <f>IF(1355598&gt;0,100*205830/1355598,"")</f>
        <v>15.183704903666131</v>
      </c>
      <c r="S52" s="1">
        <f>IF(COUNT(Q52:R52)=2,R52-Q52,"")</f>
        <v>-3.6179589272336568</v>
      </c>
    </row>
    <row r="53" spans="1:19">
      <c r="A53" s="1">
        <v>15</v>
      </c>
      <c r="B53" s="1">
        <v>14</v>
      </c>
      <c r="C53" s="1">
        <f>IF(1555406&gt;0,100*520362/1555406,"")</f>
        <v>33.45505932213197</v>
      </c>
      <c r="D53" s="1">
        <f>IF(2150010&gt;0,100*711889/2150010,"")</f>
        <v>33.11096227459407</v>
      </c>
      <c r="E53" s="1">
        <f>IF(COUNT(C53:D53)=2,D53-C53,"")</f>
        <v>-0.3440970475379004</v>
      </c>
      <c r="H53" s="1">
        <v>15</v>
      </c>
      <c r="I53" s="1">
        <v>14</v>
      </c>
      <c r="J53" s="1">
        <f>IF(1857255&gt;0,100*556621/1857255,"")</f>
        <v>29.970090267626148</v>
      </c>
      <c r="K53" s="1">
        <f>IF(2098819&gt;0,100*426357/2098819,"")</f>
        <v>20.314138570310256</v>
      </c>
      <c r="L53" s="1">
        <f>IF(COUNT(J53:K53)=2,K53-J53,"")</f>
        <v>-9.655951697315892</v>
      </c>
      <c r="O53" s="1">
        <v>15</v>
      </c>
      <c r="P53" s="1">
        <v>14</v>
      </c>
      <c r="Q53" s="1">
        <f>IF(2240147&gt;0,100*1104566/2240147,"")</f>
        <v>49.30774632200476</v>
      </c>
      <c r="R53" s="1">
        <f>IF(2472640&gt;0,100*605250/2472640,"")</f>
        <v>24.47788598421121</v>
      </c>
      <c r="S53" s="1">
        <f>IF(COUNT(Q53:R53)=2,R53-Q53,"")</f>
        <v>-24.82986033779355</v>
      </c>
    </row>
    <row r="54" spans="1:19">
      <c r="A54" s="1">
        <v>16</v>
      </c>
      <c r="B54" s="1">
        <v>15</v>
      </c>
      <c r="C54" s="1">
        <f>IF(1761441&gt;0,100*757460/1761441,"")</f>
        <v>43.00229187352855</v>
      </c>
      <c r="D54" s="1">
        <f>IF(1922721&gt;0,100*605427/1922721,"")</f>
        <v>31.488031804926457</v>
      </c>
      <c r="E54" s="1">
        <f>IF(COUNT(C54:D54)=2,D54-C54,"")</f>
        <v>-11.514260068602091</v>
      </c>
      <c r="H54" s="1">
        <v>16</v>
      </c>
      <c r="I54" s="1">
        <v>15</v>
      </c>
      <c r="J54" s="1">
        <f>IF(1920903&gt;0,100*863441/1920903,"")</f>
        <v>44.949744989726184</v>
      </c>
      <c r="K54" s="1">
        <f>IF(1528929&gt;0,100*161442/1528929,"")</f>
        <v>10.559156115162967</v>
      </c>
      <c r="L54" s="1">
        <f>IF(COUNT(J54:K54)=2,K54-J54,"")</f>
        <v>-34.39058887456322</v>
      </c>
      <c r="O54" s="1">
        <v>16</v>
      </c>
      <c r="P54" s="1">
        <v>15</v>
      </c>
      <c r="Q54" s="1">
        <f>IF(2594091&gt;0,100*1215002/2594091,"")</f>
        <v>46.837292909153916</v>
      </c>
      <c r="R54" s="1">
        <f>IF(1528917&gt;0,100*208902/1528917,"")</f>
        <v>13.66339703201678</v>
      </c>
      <c r="S54" s="1">
        <f>IF(COUNT(Q54:R54)=2,R54-Q54,"")</f>
        <v>-33.173895877137134</v>
      </c>
    </row>
    <row r="55" spans="1:19">
      <c r="A55" s="1">
        <v>17</v>
      </c>
      <c r="B55" s="1">
        <v>16</v>
      </c>
      <c r="C55" s="1">
        <f>IF(844646&gt;0,100*17331/844646,"")</f>
        <v>2.0518655152572793</v>
      </c>
      <c r="D55" s="1">
        <f>IF(846472&gt;0,100*14375/846472,"")</f>
        <v>1.6982251037246359</v>
      </c>
      <c r="E55" s="1">
        <f>IF(COUNT(C55:D55)=2,D55-C55,"")</f>
        <v>-0.3536404115326435</v>
      </c>
      <c r="H55" s="1">
        <v>17</v>
      </c>
      <c r="I55" s="1">
        <v>16</v>
      </c>
      <c r="J55" s="1">
        <f>IF(2198372&gt;0,100*828948/2198372,"")</f>
        <v>37.70735799036742</v>
      </c>
      <c r="K55" s="1">
        <f>IF(2376193&gt;0,100*659843/2376193,"")</f>
        <v>27.768914393738218</v>
      </c>
      <c r="L55" s="1">
        <f>IF(COUNT(J55:K55)=2,K55-J55,"")</f>
        <v>-9.938443596629202</v>
      </c>
      <c r="O55" s="1">
        <v>17</v>
      </c>
      <c r="P55" s="1">
        <v>16</v>
      </c>
      <c r="Q55" s="1">
        <f>IF(2139602&gt;0,100*724511/2139602,"")</f>
        <v>33.8619518957264</v>
      </c>
      <c r="R55" s="1">
        <f>IF(1984503&gt;0,100*367704/1984503,"")</f>
        <v>18.528770175706462</v>
      </c>
      <c r="S55" s="1">
        <f>IF(COUNT(Q55:R55)=2,R55-Q55,"")</f>
        <v>-15.333181720019937</v>
      </c>
    </row>
    <row r="56" spans="1:19">
      <c r="A56" s="1">
        <v>18</v>
      </c>
      <c r="B56" s="1">
        <v>17</v>
      </c>
      <c r="C56" s="1">
        <f>IF(913631&gt;0,100*114254/913631,"")</f>
        <v>12.505486350616387</v>
      </c>
      <c r="D56" s="1">
        <f>IF(1009207&gt;0,100*108684/1009207,"")</f>
        <v>10.769247537918385</v>
      </c>
      <c r="E56" s="1">
        <f>IF(COUNT(C56:D56)=2,D56-C56,"")</f>
        <v>-1.7362388126980015</v>
      </c>
      <c r="H56" s="1">
        <v>18</v>
      </c>
      <c r="I56" s="1">
        <v>17</v>
      </c>
      <c r="J56" s="1">
        <f>IF(2215&gt;0,100*355/2215,"")</f>
        <v>16.02708803611738</v>
      </c>
      <c r="K56" s="1">
        <f>IF(2215&gt;0,100*355/2215,"")</f>
        <v>16.02708803611738</v>
      </c>
      <c r="L56" s="1">
        <f>IF(COUNT(J56:K56)=2,K56-J56,"")</f>
        <v>0.0</v>
      </c>
      <c r="O56" s="1">
        <v>18</v>
      </c>
      <c r="P56" s="1">
        <v>17</v>
      </c>
      <c r="Q56" s="1">
        <f>IF(2597163&gt;0,100*1238582/2597163,"")</f>
        <v>47.68980614616795</v>
      </c>
      <c r="R56" s="1">
        <f>IF(2039106&gt;0,100*365545/2039106,"")</f>
        <v>17.926728674232727</v>
      </c>
      <c r="S56" s="1">
        <f>IF(COUNT(Q56:R56)=2,R56-Q56,"")</f>
        <v>-29.763077471935226</v>
      </c>
    </row>
    <row r="57" spans="1:19">
      <c r="A57" s="1">
        <v>19</v>
      </c>
      <c r="B57" s="1">
        <v>18</v>
      </c>
      <c r="C57" s="1">
        <f>IF(2015196&gt;0,100*813734/2015196,"")</f>
        <v>40.37989356866528</v>
      </c>
      <c r="D57" s="1">
        <f>IF(2127399&gt;0,100*666941/2127399,"")</f>
        <v>31.350066442637228</v>
      </c>
      <c r="E57" s="1">
        <f>IF(COUNT(C57:D57)=2,D57-C57,"")</f>
        <v>-9.029827126028053</v>
      </c>
      <c r="H57" s="1">
        <v>19</v>
      </c>
      <c r="I57" s="1">
        <v>18</v>
      </c>
      <c r="J57" s="1">
        <f>IF(1892358&gt;0,100*622212/1892358,"")</f>
        <v>32.880247817801916</v>
      </c>
      <c r="K57" s="1">
        <f>IF(1760329&gt;0,100*365585/1760329,"")</f>
        <v>20.767992801345656</v>
      </c>
      <c r="L57" s="1">
        <f>IF(COUNT(J57:K57)=2,K57-J57,"")</f>
        <v>-12.11225501645626</v>
      </c>
      <c r="O57" s="1">
        <v>19</v>
      </c>
      <c r="P57" s="1">
        <v>18</v>
      </c>
      <c r="Q57" s="1">
        <f>IF(1995148&gt;0,100*689134/1995148,"")</f>
        <v>34.54049524145577</v>
      </c>
      <c r="R57" s="1">
        <f>IF(1408309&gt;0,100*67733/1408309,"")</f>
        <v>4.809526886500051</v>
      </c>
      <c r="S57" s="1">
        <f>IF(COUNT(Q57:R57)=2,R57-Q57,"")</f>
        <v>-29.73096835495572</v>
      </c>
    </row>
    <row r="58" spans="1:19">
      <c r="A58" s="1">
        <v>20</v>
      </c>
      <c r="B58" s="1">
        <v>19</v>
      </c>
      <c r="C58" s="1">
        <f>IF(2178136&gt;0,100*944455/2178136,"")</f>
        <v>43.36069924008418</v>
      </c>
      <c r="D58" s="1">
        <f>IF(1890683&gt;0,100*332071/1890683,"")</f>
        <v>17.563547141429844</v>
      </c>
      <c r="E58" s="1">
        <f>IF(COUNT(C58:D58)=2,D58-C58,"")</f>
        <v>-25.797152098654337</v>
      </c>
      <c r="H58" s="1">
        <v>20</v>
      </c>
      <c r="I58" s="1">
        <v>19</v>
      </c>
      <c r="J58" s="1">
        <f>IF(2533784&gt;0,100*1139277/2533784,"")</f>
        <v>44.96346176311793</v>
      </c>
      <c r="K58" s="1">
        <f>IF(1598036&gt;0,100*195453/1598036,"")</f>
        <v>12.230825838717026</v>
      </c>
      <c r="L58" s="1">
        <f>IF(COUNT(J58:K58)=2,K58-J58,"")</f>
        <v>-32.7326359244009</v>
      </c>
      <c r="O58" s="1">
        <v>20</v>
      </c>
      <c r="P58" s="1">
        <v>19</v>
      </c>
      <c r="Q58" s="1">
        <f>IF(2139229&gt;0,100*899475/2139229,"")</f>
        <v>42.0466906535018</v>
      </c>
      <c r="R58" s="1">
        <f>IF(1645600&gt;0,100*310293/1645600,"")</f>
        <v>18.855918813806515</v>
      </c>
      <c r="S58" s="1">
        <f>IF(COUNT(Q58:R58)=2,R58-Q58,"")</f>
        <v>-23.190771839695284</v>
      </c>
    </row>
    <row r="59" spans="1:19">
      <c r="A59" s="1">
        <v>21</v>
      </c>
      <c r="B59" s="1">
        <v>20</v>
      </c>
      <c r="C59" s="1">
        <f>IF(1558100&gt;0,100*473205/1558100,"")</f>
        <v>30.37064373275143</v>
      </c>
      <c r="D59" s="1">
        <f>IF(1741883&gt;0,100*415145/1741883,"")</f>
        <v>23.833116231113113</v>
      </c>
      <c r="E59" s="1">
        <f>IF(COUNT(C59:D59)=2,D59-C59,"")</f>
        <v>-6.537527501638316</v>
      </c>
      <c r="H59" s="1">
        <v>21</v>
      </c>
      <c r="I59" s="1">
        <v>20</v>
      </c>
      <c r="J59" s="1">
        <f>IF(2773746&gt;0,100*1088927/2773746,"")</f>
        <v>39.25835314408745</v>
      </c>
      <c r="K59" s="1">
        <f>IF(3276833&gt;0,100*668149/3276833,"")</f>
        <v>20.39008396216713</v>
      </c>
      <c r="L59" s="1">
        <f>IF(COUNT(J59:K59)=2,K59-J59,"")</f>
        <v>-18.868269181920322</v>
      </c>
      <c r="O59" s="1">
        <v>21</v>
      </c>
      <c r="P59" s="1">
        <v>20</v>
      </c>
      <c r="Q59" s="1">
        <f>IF(2422246&gt;0,100*1045754/2422246,"")</f>
        <v>43.172906467798896</v>
      </c>
      <c r="R59" s="1">
        <f>IF(2711586&gt;0,100*344071/2711586,"")</f>
        <v>12.688920801331767</v>
      </c>
      <c r="S59" s="1">
        <f>IF(COUNT(Q59:R59)=2,R59-Q59,"")</f>
        <v>-30.483985666467127</v>
      </c>
    </row>
    <row r="60" spans="1:19">
      <c r="A60" s="1">
        <v>22</v>
      </c>
      <c r="B60" s="1">
        <v>21</v>
      </c>
      <c r="C60" s="1">
        <f>IF(1857644&gt;0,100*847880/1857644,"")</f>
        <v>45.64276039973213</v>
      </c>
      <c r="D60" s="1">
        <f>IF(1424451&gt;0,100*399961/1424451,"")</f>
        <v>28.078256114109927</v>
      </c>
      <c r="E60" s="1">
        <f>IF(COUNT(C60:D60)=2,D60-C60,"")</f>
        <v>-17.564504285622206</v>
      </c>
      <c r="H60" s="1">
        <v>22</v>
      </c>
      <c r="I60" s="1">
        <v>21</v>
      </c>
      <c r="J60" s="1">
        <f>IF(2183759&gt;0,100*997955/2183759,"")</f>
        <v>45.69895304381115</v>
      </c>
      <c r="K60" s="1">
        <f>IF(2204224&gt;0,100*654271/2204224,"")</f>
        <v>29.68260031648326</v>
      </c>
      <c r="L60" s="1">
        <f>IF(COUNT(J60:K60)=2,K60-J60,"")</f>
        <v>-16.01635272732789</v>
      </c>
      <c r="O60" s="1">
        <v>22</v>
      </c>
      <c r="P60" s="1">
        <v>21</v>
      </c>
      <c r="Q60" s="1">
        <f>IF(2052914&gt;0,100*716282/2052914,"")</f>
        <v>34.890989101345696</v>
      </c>
      <c r="R60" s="1">
        <f>IF(1836249&gt;0,100*443868/1836249,"")</f>
        <v>24.17253869164803</v>
      </c>
      <c r="S60" s="1">
        <f>IF(COUNT(Q60:R60)=2,R60-Q60,"")</f>
        <v>-10.718450409697667</v>
      </c>
    </row>
    <row r="61" spans="1:19">
      <c r="A61" s="1">
        <v>23</v>
      </c>
      <c r="B61" s="1">
        <v>22</v>
      </c>
      <c r="C61" s="1">
        <f>IF(696517&gt;0,100*2264/696517,"")</f>
        <v>0.325045906991502</v>
      </c>
      <c r="D61" s="1">
        <f>IF(696517&gt;0,100*2264/696517,"")</f>
        <v>0.325045906991502</v>
      </c>
      <c r="E61" s="1">
        <f>IF(COUNT(C61:D61)=2,D61-C61,"")</f>
        <v>0.0</v>
      </c>
      <c r="H61" s="1">
        <v>23</v>
      </c>
      <c r="I61" s="1">
        <v>22</v>
      </c>
      <c r="J61" s="1">
        <f>IF(2492569&gt;0,100*1249101/2492569,"")</f>
        <v>50.11299586892078</v>
      </c>
      <c r="K61" s="1">
        <f>IF(1740872&gt;0,100*224892/1740872,"")</f>
        <v>12.91835356074427</v>
      </c>
      <c r="L61" s="1">
        <f>IF(COUNT(J61:K61)=2,K61-J61,"")</f>
        <v>-37.194642308176505</v>
      </c>
      <c r="O61" s="1">
        <v>23</v>
      </c>
      <c r="P61" s="1">
        <v>22</v>
      </c>
      <c r="Q61" s="1">
        <f>IF(2322764&gt;0,100*881160/2322764,"")</f>
        <v>37.935838509637655</v>
      </c>
      <c r="R61" s="1">
        <f>IF(2428740&gt;0,100*625264/2428740,"")</f>
        <v>25.744377743191944</v>
      </c>
      <c r="S61" s="1">
        <f>IF(COUNT(Q61:R61)=2,R61-Q61,"")</f>
        <v>-12.191460766445712</v>
      </c>
    </row>
    <row r="62" spans="1:19">
      <c r="A62" s="1">
        <v>24</v>
      </c>
      <c r="B62" s="1">
        <v>23</v>
      </c>
      <c r="C62" s="1">
        <f>IF(1622857&gt;0,100*324323/1622857,"")</f>
        <v>19.98469366062444</v>
      </c>
      <c r="D62" s="1">
        <f>IF(993795&gt;0,100*45147/993795,"")</f>
        <v>4.54288862391137</v>
      </c>
      <c r="E62" s="1">
        <f>IF(COUNT(C62:D62)=2,D62-C62,"")</f>
        <v>-15.44180503671307</v>
      </c>
      <c r="H62" s="1">
        <v>24</v>
      </c>
      <c r="I62" s="1">
        <v>23</v>
      </c>
      <c r="J62" s="1">
        <f>IF(2618354&gt;0,100*1195641/2618354,"")</f>
        <v>45.663840718252764</v>
      </c>
      <c r="K62" s="1">
        <f>IF(2272161&gt;0,100*478689/2272161,"")</f>
        <v>21.06756519454387</v>
      </c>
      <c r="L62" s="1">
        <f>IF(COUNT(J62:K62)=2,K62-J62,"")</f>
        <v>-24.596275523708893</v>
      </c>
      <c r="O62" s="1">
        <v>24</v>
      </c>
      <c r="P62" s="1">
        <v>23</v>
      </c>
      <c r="Q62" s="1">
        <f>IF(1862901&gt;0,100*489468/1862901,"")</f>
        <v>26.27450412018674</v>
      </c>
      <c r="R62" s="1">
        <f>IF(2104113&gt;0,100*348192/2104113,"")</f>
        <v>16.548160673880158</v>
      </c>
      <c r="S62" s="1">
        <f>IF(COUNT(Q62:R62)=2,R62-Q62,"")</f>
        <v>-9.726343446306583</v>
      </c>
    </row>
    <row r="63" spans="1:19">
      <c r="A63" s="1">
        <v>25</v>
      </c>
      <c r="B63" s="1">
        <v>24</v>
      </c>
      <c r="C63" s="1">
        <f>IF(1310506&gt;0,100*408672/1310506,"")</f>
        <v>31.184290648039763</v>
      </c>
      <c r="D63" s="1">
        <f>IF(2265134&gt;0,100*751533/2265134,"")</f>
        <v>33.17830203422844</v>
      </c>
      <c r="E63" s="1">
        <f>IF(COUNT(C63:D63)=2,D63-C63,"")</f>
        <v>1.9940113861886744</v>
      </c>
      <c r="H63" s="1">
        <v>25</v>
      </c>
      <c r="I63" s="1">
        <v>24</v>
      </c>
      <c r="J63" s="1">
        <f>IF(2421034&gt;0,100*1042416/2421034,"")</f>
        <v>43.05664439243728</v>
      </c>
      <c r="K63" s="1">
        <f>IF(1241156&gt;0,100*103961/1241156,"")</f>
        <v>8.376142886148076</v>
      </c>
      <c r="L63" s="1">
        <f>IF(COUNT(J63:K63)=2,K63-J63,"")</f>
        <v>-34.680501506289204</v>
      </c>
      <c r="O63" s="1">
        <v>25</v>
      </c>
      <c r="P63" s="1">
        <v>24</v>
      </c>
      <c r="Q63" s="1">
        <f>IF(2310152&gt;0,100*1014877/2310152,"")</f>
        <v>43.931178554484724</v>
      </c>
      <c r="R63" s="1">
        <f>IF(2748519&gt;0,100*857247/2748519,"")</f>
        <v>31.189415099549976</v>
      </c>
      <c r="S63" s="1">
        <f>IF(COUNT(Q63:R63)=2,R63-Q63,"")</f>
        <v>-12.741763454934748</v>
      </c>
    </row>
    <row r="64" spans="1:19">
      <c r="A64" s="1">
        <v>26</v>
      </c>
      <c r="B64" s="1">
        <v>25</v>
      </c>
      <c r="C64" s="1">
        <f>IF(2238694&gt;0,100*1062953/2238694,"")</f>
        <v>47.480942013513236</v>
      </c>
      <c r="D64" s="1">
        <f>IF(1974843&gt;0,100*624188/1974843,"")</f>
        <v>31.606968250134315</v>
      </c>
      <c r="E64" s="1">
        <f>IF(COUNT(C64:D64)=2,D64-C64,"")</f>
        <v>-15.87397376337892</v>
      </c>
      <c r="H64" s="1">
        <v>26</v>
      </c>
      <c r="I64" s="1">
        <v>25</v>
      </c>
      <c r="J64" s="1">
        <f>IF(1745904&gt;0,100*492009/1745904,"")</f>
        <v>28.18075907953702</v>
      </c>
      <c r="K64" s="1">
        <f>IF(1294713&gt;0,100*113565/1294713,"")</f>
        <v>8.771442010700442</v>
      </c>
      <c r="L64" s="1">
        <f>IF(COUNT(J64:K64)=2,K64-J64,"")</f>
        <v>-19.40931706883658</v>
      </c>
      <c r="O64" s="1">
        <v>26</v>
      </c>
      <c r="P64" s="1">
        <v>25</v>
      </c>
      <c r="Q64" s="1">
        <f>IF(2669118&gt;0,100*1197813/2669118,"")</f>
        <v>44.876734561754105</v>
      </c>
      <c r="R64" s="1">
        <f>IF(2040921&gt;0,100*408956/2040921,"")</f>
        <v>20.037816260404004</v>
      </c>
      <c r="S64" s="1">
        <f>IF(COUNT(Q64:R64)=2,R64-Q64,"")</f>
        <v>-24.838918301350102</v>
      </c>
    </row>
    <row r="65" spans="1:19">
      <c r="A65" s="1">
        <v>27</v>
      </c>
      <c r="B65" s="1">
        <v>26</v>
      </c>
      <c r="C65" s="1">
        <f>IF(1647328&gt;0,100*574346/1647328,"")</f>
        <v>34.86530915518949</v>
      </c>
      <c r="D65" s="1">
        <f>IF(1769671&gt;0,100*407854/1769671,"")</f>
        <v>23.046882725659177</v>
      </c>
      <c r="E65" s="1">
        <f>IF(COUNT(C65:D65)=2,D65-C65,"")</f>
        <v>-11.818426429530316</v>
      </c>
      <c r="H65" s="1">
        <v>27</v>
      </c>
      <c r="I65" s="1">
        <v>26</v>
      </c>
      <c r="J65" s="1">
        <f>IF(2195965&gt;0,100*781488/2195965,"")</f>
        <v>35.587452441181895</v>
      </c>
      <c r="K65" s="1">
        <f>IF(1793302&gt;0,100*278811/1793302,"")</f>
        <v>15.547353429595239</v>
      </c>
      <c r="L65" s="1">
        <f>IF(COUNT(J65:K65)=2,K65-J65,"")</f>
        <v>-20.040099011586655</v>
      </c>
      <c r="O65" s="1">
        <v>27</v>
      </c>
      <c r="P65" s="1">
        <v>26</v>
      </c>
      <c r="Q65" s="1">
        <f>IF(2415042&gt;0,100*766118/2415042,"")</f>
        <v>31.722760929209514</v>
      </c>
      <c r="R65" s="1">
        <f>IF(1865054&gt;0,100*285435/1865054,"")</f>
        <v>15.30438260768857</v>
      </c>
      <c r="S65" s="1">
        <f>IF(COUNT(Q65:R65)=2,R65-Q65,"")</f>
        <v>-16.418378321520944</v>
      </c>
    </row>
    <row r="66" spans="1:19">
      <c r="A66" s="1">
        <v>28</v>
      </c>
      <c r="B66" s="1">
        <v>27</v>
      </c>
      <c r="C66" s="1">
        <f>IF(665364&gt;0,100*675/665364,"")</f>
        <v>0.10144822984110953</v>
      </c>
      <c r="D66" s="1">
        <f>IF(665364&gt;0,100*675/665364,"")</f>
        <v>0.10144822984110953</v>
      </c>
      <c r="E66" s="1">
        <f>IF(COUNT(C66:D66)=2,D66-C66,"")</f>
        <v>0.0</v>
      </c>
      <c r="H66" s="1">
        <v>28</v>
      </c>
      <c r="I66" s="1">
        <v>27</v>
      </c>
      <c r="J66" s="1">
        <f>IF(1703605&gt;0,100*670593/1703605,"")</f>
        <v>39.36317397518791</v>
      </c>
      <c r="K66" s="1">
        <f>IF(2380381&gt;0,100*690569/2380381,"")</f>
        <v>29.010860026189086</v>
      </c>
      <c r="L66" s="1">
        <f>IF(COUNT(J66:K66)=2,K66-J66,"")</f>
        <v>-10.352313948998827</v>
      </c>
      <c r="O66" s="1">
        <v>28</v>
      </c>
      <c r="P66" s="1">
        <v>27</v>
      </c>
      <c r="Q66" s="1">
        <f>IF(1500981&gt;0,100*448455/1500981,"")</f>
        <v>29.877460141067743</v>
      </c>
      <c r="R66" s="1">
        <f>IF(1713589&gt;0,100*396199/1713589,"")</f>
        <v>23.12100509515409</v>
      </c>
      <c r="S66" s="1">
        <f>IF(COUNT(Q66:R66)=2,R66-Q66,"")</f>
        <v>-6.756455045913654</v>
      </c>
    </row>
    <row r="67" spans="1:19">
      <c r="A67" s="1">
        <v>29</v>
      </c>
      <c r="B67" s="1">
        <v>28</v>
      </c>
      <c r="C67" s="1">
        <f>IF(1808091&gt;0,100*652193/1808091,"")</f>
        <v>36.070806170707115</v>
      </c>
      <c r="D67" s="1">
        <f>IF(1834107&gt;0,100*563205/1834107,"")</f>
        <v>30.707314240663166</v>
      </c>
      <c r="E67" s="1">
        <f>IF(COUNT(C67:D67)=2,D67-C67,"")</f>
        <v>-5.363491930043949</v>
      </c>
      <c r="H67" s="1">
        <v>29</v>
      </c>
      <c r="I67" s="1">
        <v>28</v>
      </c>
      <c r="J67" s="1">
        <f>IF(2391442&gt;0,100*1116314/2391442,"")</f>
        <v>46.67953477441644</v>
      </c>
      <c r="K67" s="1">
        <f>IF(2495176&gt;0,100*708673/2495176,"")</f>
        <v>28.401723966565886</v>
      </c>
      <c r="L67" s="1">
        <f>IF(COUNT(J67:K67)=2,K67-J67,"")</f>
        <v>-18.277810807850553</v>
      </c>
      <c r="O67" s="1">
        <v>29</v>
      </c>
      <c r="P67" s="1">
        <v>28</v>
      </c>
      <c r="Q67" s="1">
        <f>IF(2050506&gt;0,100*857322/2050506,"")</f>
        <v>41.810265368645595</v>
      </c>
      <c r="R67" s="1">
        <f>IF(2295520&gt;0,100*607065/2295520,"")</f>
        <v>26.44564194605144</v>
      </c>
      <c r="S67" s="1">
        <f>IF(COUNT(Q67:R67)=2,R67-Q67,"")</f>
        <v>-15.364623422594157</v>
      </c>
    </row>
    <row r="68" spans="1:19">
      <c r="A68" s="1">
        <v>30</v>
      </c>
      <c r="B68" s="1">
        <v>29</v>
      </c>
      <c r="C68" s="1">
        <f>IF(1942903&gt;0,100*844208/1942903,"")</f>
        <v>43.45085678492441</v>
      </c>
      <c r="D68" s="1">
        <f>IF(1855927&gt;0,100*470114/1855927,"")</f>
        <v>25.33041439668694</v>
      </c>
      <c r="E68" s="1">
        <f>IF(COUNT(C68:D68)=2,D68-C68,"")</f>
        <v>-18.12044238823747</v>
      </c>
      <c r="H68" s="1">
        <v>30</v>
      </c>
      <c r="I68" s="1">
        <v>29</v>
      </c>
      <c r="J68" s="1">
        <f>IF(1886067&gt;0,100*615825/1886067,"")</f>
        <v>32.65127909029743</v>
      </c>
      <c r="K68" s="1">
        <f>IF(2101702&gt;0,100*478030/2101702,"")</f>
        <v>22.74489913413034</v>
      </c>
      <c r="L68" s="1">
        <f>IF(COUNT(J68:K68)=2,K68-J68,"")</f>
        <v>-9.90637995616709</v>
      </c>
      <c r="O68" s="1">
        <v>30</v>
      </c>
      <c r="P68" s="1">
        <v>29</v>
      </c>
      <c r="Q68" s="1">
        <f>IF(1124834&gt;0,100*57569/1124834,"")</f>
        <v>5.1179996337237315</v>
      </c>
      <c r="R68" s="1">
        <f>IF(1505718&gt;0,100*52438/1505718,"")</f>
        <v>3.4825910296615965</v>
      </c>
      <c r="S68" s="1">
        <f>IF(COUNT(Q68:R68)=2,R68-Q68,"")</f>
        <v>-1.635408604062135</v>
      </c>
    </row>
    <row r="69" spans="1:19">
      <c r="A69" s="1">
        <v>31</v>
      </c>
      <c r="B69" s="1">
        <v>30</v>
      </c>
      <c r="C69" s="1">
        <f>IF(1247391&gt;0,100*5792/1247391,"")</f>
        <v>0.4643291477972825</v>
      </c>
      <c r="D69" s="1">
        <f>IF(1247391&gt;0,100*5792/1247391,"")</f>
        <v>0.4643291477972825</v>
      </c>
      <c r="E69" s="1">
        <f>IF(COUNT(C69:D69)=2,D69-C69,"")</f>
        <v>0.0</v>
      </c>
      <c r="H69" s="1">
        <v>31</v>
      </c>
      <c r="I69" s="1">
        <v>30</v>
      </c>
      <c r="J69" s="1">
        <f>IF(2131633&gt;0,100*739570/2131633,"")</f>
        <v>34.69499674662571</v>
      </c>
      <c r="K69" s="1">
        <f>IF(2315643&gt;0,100*568029/2315643,"")</f>
        <v>24.530076527340356</v>
      </c>
      <c r="L69" s="1">
        <f>IF(COUNT(J69:K69)=2,K69-J69,"")</f>
        <v>-10.164920219285356</v>
      </c>
      <c r="O69" s="1">
        <v>31</v>
      </c>
      <c r="P69" s="1">
        <v>30</v>
      </c>
      <c r="Q69" s="1">
        <f>IF(1670334&gt;0,100*513883/1670334,"")</f>
        <v>30.765284068934715</v>
      </c>
      <c r="R69" s="1">
        <f>IF(2079031&gt;0,100*419475/2079031,"")</f>
        <v>20.176466825169996</v>
      </c>
      <c r="S69" s="1">
        <f>IF(COUNT(Q69:R69)=2,R69-Q69,"")</f>
        <v>-10.58881724376472</v>
      </c>
    </row>
    <row r="70" spans="1:19">
      <c r="A70" s="2" t="s">
        <v>6</v>
      </c>
      <c r="B70" s="1"/>
      <c r="C70" s="1">
        <f>IF(COUNT(C39:C69)&gt;0,AVERAGE(C39:C69),"")</f>
        <v>30.562133085533812</v>
      </c>
      <c r="D70" s="1">
        <f>IF(COUNT(D39:D69)&gt;0,AVERAGE(D39:D69),"")</f>
        <v>20.571319186946162</v>
      </c>
      <c r="E70" s="1">
        <f>IF(COUNT(E39:E69)&gt;0,AVERAGE(E39:E69),"")</f>
        <v>-9.99081389858765</v>
      </c>
      <c r="H70" s="2" t="s">
        <v>6</v>
      </c>
      <c r="I70" s="1"/>
      <c r="J70" s="1">
        <f>IF(COUNT(J39:J69)&gt;0,AVERAGE(J39:J69),"")</f>
        <v>32.74960009631654</v>
      </c>
      <c r="K70" s="1">
        <f>IF(COUNT(K39:K69)&gt;0,AVERAGE(K39:K69),"")</f>
        <v>17.73197654199476</v>
      </c>
      <c r="L70" s="1">
        <f>IF(COUNT(L39:L69)&gt;0,AVERAGE(L39:L69),"")</f>
        <v>-15.017623554321782</v>
      </c>
      <c r="O70" s="2" t="s">
        <v>6</v>
      </c>
      <c r="P70" s="1"/>
      <c r="Q70" s="1">
        <f>IF(COUNT(Q39:Q69)&gt;0,AVERAGE(Q39:Q69),"")</f>
        <v>31.481548328397977</v>
      </c>
      <c r="R70" s="1">
        <f>IF(COUNT(R39:R69)&gt;0,AVERAGE(R39:R69),"")</f>
        <v>17.108059766469612</v>
      </c>
      <c r="S70" s="1">
        <f>IF(COUNT(S39:S69)&gt;0,AVERAGE(S39:S69),"")</f>
        <v>-14.373488561928365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IF(1227574&gt;0,100*38510/1227574,"")</f>
        <v>3.1370817563747684</v>
      </c>
      <c r="D75" s="1">
        <f>IF(1297431&gt;0,100*93269/1297431,"")</f>
        <v>7.188744526683886</v>
      </c>
      <c r="E75" s="1">
        <f>IF(COUNT(C75:D75)=2,D75-C75,"")</f>
        <v>4.051662770309117</v>
      </c>
      <c r="H75" s="1">
        <v>1</v>
      </c>
      <c r="I75" s="1">
        <v>0</v>
      </c>
      <c r="J75" s="1">
        <f>IF(2974908&gt;0,100*1593753/2974908,"")</f>
        <v>53.573186128781124</v>
      </c>
      <c r="K75" s="1">
        <f>IF(1531413&gt;0,100*142114/1531413,"")</f>
        <v>9.279926447013313</v>
      </c>
      <c r="L75" s="1">
        <f>IF(COUNT(J75:K75)=2,K75-J75,"")</f>
        <v>-44.29325968176781</v>
      </c>
      <c r="O75" s="1">
        <v>1</v>
      </c>
      <c r="P75" s="1">
        <v>0</v>
      </c>
      <c r="Q75" s="1">
        <f>IF(2673895&gt;0,100*1212503/2673895,"")</f>
        <v>45.34594664337979</v>
      </c>
      <c r="R75" s="1">
        <f>IF(2484258&gt;0,100*680471/2484258,"")</f>
        <v>27.39131764897205</v>
      </c>
      <c r="S75" s="1">
        <f>IF(COUNT(Q75:R75)=2,R75-Q75,"")</f>
        <v>-17.95462899440774</v>
      </c>
    </row>
    <row r="76" spans="1:19">
      <c r="A76" s="1">
        <v>2</v>
      </c>
      <c r="B76" s="1">
        <v>1</v>
      </c>
      <c r="C76" s="1">
        <f>IF(1624357&gt;0,100*617829/1624357,"")</f>
        <v>38.03529642806353</v>
      </c>
      <c r="D76" s="1">
        <f>IF(1789468&gt;0,100*515316/1789468,"")</f>
        <v>28.79716206157361</v>
      </c>
      <c r="E76" s="1">
        <f>IF(COUNT(C76:D76)=2,D76-C76,"")</f>
        <v>-9.238134366489923</v>
      </c>
      <c r="H76" s="1">
        <v>2</v>
      </c>
      <c r="I76" s="1">
        <v>1</v>
      </c>
      <c r="J76" s="1">
        <f>IF(2706515&gt;0,100*1225890/2706515,"")</f>
        <v>45.29404049118516</v>
      </c>
      <c r="K76" s="1">
        <f>IF(3655310&gt;0,100*975116/3655310,"")</f>
        <v>26.67669773562297</v>
      </c>
      <c r="L76" s="1">
        <f>IF(COUNT(J76:K76)=2,K76-J76,"")</f>
        <v>-18.617342755562188</v>
      </c>
      <c r="O76" s="1">
        <v>2</v>
      </c>
      <c r="P76" s="1">
        <v>1</v>
      </c>
      <c r="Q76" s="1">
        <f>IF(2467592&gt;0,100*1063705/2467592,"")</f>
        <v>43.1070047236334</v>
      </c>
      <c r="R76" s="1">
        <f>IF(2526250&gt;0,100*638340/2526250,"")</f>
        <v>25.26828302820386</v>
      </c>
      <c r="S76" s="1">
        <f>IF(COUNT(Q76:R76)=2,R76-Q76,"")</f>
        <v>-17.83872169542954</v>
      </c>
    </row>
    <row r="77" spans="1:19">
      <c r="A77" s="1">
        <v>3</v>
      </c>
      <c r="B77" s="1">
        <v>2</v>
      </c>
      <c r="C77" s="1">
        <f>IF(1673401&gt;0,100*672518/1673401,"")</f>
        <v>40.18869356478214</v>
      </c>
      <c r="D77" s="1">
        <f>IF(1254500&gt;0,100*154241/1254500,"")</f>
        <v>12.295017935432444</v>
      </c>
      <c r="E77" s="1">
        <f>IF(COUNT(C77:D77)=2,D77-C77,"")</f>
        <v>-27.893675629349698</v>
      </c>
      <c r="H77" s="1">
        <v>3</v>
      </c>
      <c r="I77" s="1">
        <v>2</v>
      </c>
      <c r="J77" s="1">
        <f>IF(2238301&gt;0,100*947036/2238301,"")</f>
        <v>42.31048460417075</v>
      </c>
      <c r="K77" s="1">
        <f>IF(2727022&gt;0,100*665267/2727022,"")</f>
        <v>24.395366080655016</v>
      </c>
      <c r="L77" s="1">
        <f>IF(COUNT(J77:K77)=2,K77-J77,"")</f>
        <v>-17.915118523515737</v>
      </c>
      <c r="O77" s="1">
        <v>3</v>
      </c>
      <c r="P77" s="1">
        <v>2</v>
      </c>
      <c r="Q77" s="1">
        <f>IF(2033898&gt;0,100*82955/2033898,"")</f>
        <v>4.07862144512655</v>
      </c>
      <c r="R77" s="1">
        <f>IF(2033978&gt;0,100*30280/2033978,"")</f>
        <v>1.488708334111775</v>
      </c>
      <c r="S77" s="1">
        <f>IF(COUNT(Q77:R77)=2,R77-Q77,"")</f>
        <v>-2.589913111014775</v>
      </c>
    </row>
    <row r="78" spans="1:19">
      <c r="A78" s="1">
        <v>4</v>
      </c>
      <c r="B78" s="1">
        <v>3</v>
      </c>
      <c r="C78" s="1">
        <f>IF(1853726&gt;0,100*857824/1853726,"")</f>
        <v>46.2756631778375</v>
      </c>
      <c r="D78" s="1">
        <f>IF(2374321&gt;0,100*687150/2374321,"")</f>
        <v>28.940905631546872</v>
      </c>
      <c r="E78" s="1">
        <f>IF(COUNT(C78:D78)=2,D78-C78,"")</f>
        <v>-17.33475754629063</v>
      </c>
      <c r="H78" s="1">
        <v>4</v>
      </c>
      <c r="I78" s="1">
        <v>3</v>
      </c>
      <c r="J78" s="1">
        <f>IF(2473338&gt;0,100*1144203/2473338,"")</f>
        <v>46.2614895335777</v>
      </c>
      <c r="K78" s="1">
        <f>IF(2086747&gt;0,100*449325/2086747,"")</f>
        <v>21.53231800500971</v>
      </c>
      <c r="L78" s="1">
        <f>IF(COUNT(J78:K78)=2,K78-J78,"")</f>
        <v>-24.729171528567992</v>
      </c>
      <c r="O78" s="1">
        <v>4</v>
      </c>
      <c r="P78" s="1">
        <v>3</v>
      </c>
      <c r="Q78" s="1">
        <f>IF(2535025&gt;0,100*1351101/2535025,"")</f>
        <v>53.29734420765081</v>
      </c>
      <c r="R78" s="1">
        <f>IF(2457596&gt;0,100*639769/2457596,"")</f>
        <v>26.032309622899778</v>
      </c>
      <c r="S78" s="1">
        <f>IF(COUNT(Q78:R78)=2,R78-Q78,"")</f>
        <v>-27.26503458475103</v>
      </c>
    </row>
    <row r="79" spans="1:19">
      <c r="A79" s="1">
        <v>5</v>
      </c>
      <c r="B79" s="1">
        <v>4</v>
      </c>
      <c r="C79" s="1">
        <f>IF(2574341&gt;0,100*1256270/2574341,"")</f>
        <v>48.79967339214191</v>
      </c>
      <c r="D79" s="1">
        <f>IF(1220882&gt;0,100*103199/1220882,"")</f>
        <v>8.452823450587362</v>
      </c>
      <c r="E79" s="1">
        <f>IF(COUNT(C79:D79)=2,D79-C79,"")</f>
        <v>-40.34684994155455</v>
      </c>
      <c r="H79" s="1">
        <v>5</v>
      </c>
      <c r="I79" s="1">
        <v>4</v>
      </c>
      <c r="J79" s="1">
        <f>IF(2594432&gt;0,100*1209716/2594432,"")</f>
        <v>46.627392816616506</v>
      </c>
      <c r="K79" s="1">
        <f>IF(2569922&gt;0,100*603257/2569922,"")</f>
        <v>23.473747452257307</v>
      </c>
      <c r="L79" s="1">
        <f>IF(COUNT(J79:K79)=2,K79-J79,"")</f>
        <v>-23.1536453643592</v>
      </c>
      <c r="O79" s="1">
        <v>5</v>
      </c>
      <c r="P79" s="1">
        <v>4</v>
      </c>
      <c r="Q79" s="1">
        <f>IF(2505160&gt;0,100*1184605/2505160,"")</f>
        <v>47.28660045665746</v>
      </c>
      <c r="R79" s="1">
        <f>IF(2345373&gt;0,100*606052/2345373,"")</f>
        <v>25.840324758577847</v>
      </c>
      <c r="S79" s="1">
        <f>IF(COUNT(Q79:R79)=2,R79-Q79,"")</f>
        <v>-21.446275698079614</v>
      </c>
    </row>
    <row r="80" spans="1:19">
      <c r="A80" s="1">
        <v>6</v>
      </c>
      <c r="B80" s="1">
        <v>5</v>
      </c>
      <c r="C80" s="1">
        <f>IF(2161281&gt;0,100*837619/2161281,"")</f>
        <v>38.75567314014235</v>
      </c>
      <c r="D80" s="1">
        <f>IF(2107157&gt;0,100*562923/2107157,"")</f>
        <v>26.714810524322584</v>
      </c>
      <c r="E80" s="1">
        <f>IF(COUNT(C80:D80)=2,D80-C80,"")</f>
        <v>-12.040862615819766</v>
      </c>
      <c r="H80" s="1">
        <v>6</v>
      </c>
      <c r="I80" s="1">
        <v>5</v>
      </c>
      <c r="J80" s="1">
        <f>IF(2014532&gt;0,100*751916/2014532,"")</f>
        <v>37.3245994603213</v>
      </c>
      <c r="K80" s="1">
        <f>IF(2020881&gt;0,100*539248/2020881,"")</f>
        <v>26.68380770564917</v>
      </c>
      <c r="L80" s="1">
        <f>IF(COUNT(J80:K80)=2,K80-J80,"")</f>
        <v>-10.640791754672133</v>
      </c>
      <c r="O80" s="1">
        <v>6</v>
      </c>
      <c r="P80" s="1">
        <v>5</v>
      </c>
      <c r="Q80" s="1">
        <f>IF(2374865&gt;0,100*978839/2374865,"")</f>
        <v>41.21661652346555</v>
      </c>
      <c r="R80" s="1">
        <f>IF(1836327&gt;0,100*226349/1836327,"")</f>
        <v>12.32618155698849</v>
      </c>
      <c r="S80" s="1">
        <f>IF(COUNT(Q80:R80)=2,R80-Q80,"")</f>
        <v>-28.89043496647706</v>
      </c>
    </row>
    <row r="81" spans="1:19">
      <c r="A81" s="1">
        <v>7</v>
      </c>
      <c r="B81" s="1">
        <v>6</v>
      </c>
      <c r="C81" s="1">
        <f>IF(2322649&gt;0,100*1026425/2322649,"")</f>
        <v>44.19199801605839</v>
      </c>
      <c r="D81" s="1">
        <f>IF(1891339&gt;0,100*513517/1891339,"")</f>
        <v>27.150976107403274</v>
      </c>
      <c r="E81" s="1">
        <f>IF(COUNT(C81:D81)=2,D81-C81,"")</f>
        <v>-17.041021908655118</v>
      </c>
      <c r="H81" s="1">
        <v>7</v>
      </c>
      <c r="I81" s="1">
        <v>6</v>
      </c>
      <c r="J81" s="1">
        <f>IF(1377831&gt;0,100*8479/1377831,"")</f>
        <v>0.6153875184982773</v>
      </c>
      <c r="K81" s="1">
        <f>IF(1333552&gt;0,100*9336/1333552,"")</f>
        <v>0.7000851860294912</v>
      </c>
      <c r="L81" s="1">
        <f>IF(COUNT(J81:K81)=2,K81-J81,"")</f>
        <v>0.08469766753121388</v>
      </c>
      <c r="O81" s="1">
        <v>7</v>
      </c>
      <c r="P81" s="1">
        <v>6</v>
      </c>
      <c r="Q81" s="1">
        <f>IF(985046&gt;0,100*15738/985046,"")</f>
        <v>1.5976918844399144</v>
      </c>
      <c r="R81" s="1">
        <f>IF(1244821&gt;0,100*57478/1244821,"")</f>
        <v>4.617370690243818</v>
      </c>
      <c r="S81" s="1">
        <f>IF(COUNT(Q81:R81)=2,R81-Q81,"")</f>
        <v>3.0196788058039035</v>
      </c>
    </row>
    <row r="82" spans="1:19">
      <c r="A82" s="1">
        <v>8</v>
      </c>
      <c r="B82" s="1">
        <v>7</v>
      </c>
      <c r="C82" s="1">
        <f>IF(2162199&gt;0,100*1011109/2162199,"")</f>
        <v>46.76299452548077</v>
      </c>
      <c r="D82" s="1">
        <f>IF(2212902&gt;0,100*653754/2212902,"")</f>
        <v>29.542835606818556</v>
      </c>
      <c r="E82" s="1">
        <f>IF(COUNT(C82:D82)=2,D82-C82,"")</f>
        <v>-17.220158918662214</v>
      </c>
      <c r="H82" s="1">
        <v>8</v>
      </c>
      <c r="I82" s="1">
        <v>7</v>
      </c>
      <c r="J82" s="1">
        <f>IF(1201041&gt;0,100*14947/1201041,"")</f>
        <v>1.2445037263507241</v>
      </c>
      <c r="K82" s="1">
        <f>IF(1047810&gt;0,100*10127/1047810,"")</f>
        <v>0.9664920166824138</v>
      </c>
      <c r="L82" s="1">
        <f>IF(COUNT(J82:K82)=2,K82-J82,"")</f>
        <v>-0.27801170966831035</v>
      </c>
      <c r="O82" s="1">
        <v>8</v>
      </c>
      <c r="P82" s="1">
        <v>7</v>
      </c>
      <c r="Q82" s="1">
        <f>IF(1244696&gt;0,100*14076/1244696,"")</f>
        <v>1.13087854383721</v>
      </c>
      <c r="R82" s="1">
        <f>IF(1282717&gt;0,100*33049/1282717,"")</f>
        <v>2.5764841348481387</v>
      </c>
      <c r="S82" s="1">
        <f>IF(COUNT(Q82:R82)=2,R82-Q82,"")</f>
        <v>1.4456055910109287</v>
      </c>
    </row>
    <row r="83" spans="1:19">
      <c r="A83" s="1">
        <v>9</v>
      </c>
      <c r="B83" s="1">
        <v>8</v>
      </c>
      <c r="C83" s="1">
        <f>IF(1440745&gt;0,100*484807/1440745,"")</f>
        <v>33.64974370898389</v>
      </c>
      <c r="D83" s="1">
        <f>IF(2338602&gt;0,100*725595/2338602,"")</f>
        <v>31.026869899196186</v>
      </c>
      <c r="E83" s="1">
        <f>IF(COUNT(C83:D83)=2,D83-C83,"")</f>
        <v>-2.6228738097877056</v>
      </c>
      <c r="H83" s="1">
        <v>9</v>
      </c>
      <c r="I83" s="1">
        <v>8</v>
      </c>
      <c r="J83" s="1">
        <f>IF(2605328&gt;0,100*1210537/2605328,"")</f>
        <v>46.46390013080887</v>
      </c>
      <c r="K83" s="1">
        <f>IF(3012287&gt;0,100*846811/3012287,"")</f>
        <v>28.111896376407692</v>
      </c>
      <c r="L83" s="1">
        <f>IF(COUNT(J83:K83)=2,K83-J83,"")</f>
        <v>-18.352003754401174</v>
      </c>
      <c r="O83" s="1">
        <v>9</v>
      </c>
      <c r="P83" s="1">
        <v>8</v>
      </c>
      <c r="Q83" s="1">
        <f>IF(2369232&gt;0,100*974673/2369232,"")</f>
        <v>41.138774083753724</v>
      </c>
      <c r="R83" s="1">
        <f>IF(2524702&gt;0,100*754523/2524702,"")</f>
        <v>29.885626105576023</v>
      </c>
      <c r="S83" s="1">
        <f>IF(COUNT(Q83:R83)=2,R83-Q83,"")</f>
        <v>-11.2531479781777</v>
      </c>
    </row>
    <row r="84" spans="1:19">
      <c r="A84" s="1">
        <v>10</v>
      </c>
      <c r="B84" s="1">
        <v>9</v>
      </c>
      <c r="C84" s="1">
        <f>IF(1168622&gt;0,100*16823/1168622,"")</f>
        <v>1.4395587281430609</v>
      </c>
      <c r="D84" s="1">
        <f>IF(1168622&gt;0,100*16823/1168622,"")</f>
        <v>1.4395587281430609</v>
      </c>
      <c r="E84" s="1">
        <f>IF(COUNT(C84:D84)=2,D84-C84,"")</f>
        <v>0.0</v>
      </c>
      <c r="H84" s="1">
        <v>10</v>
      </c>
      <c r="I84" s="1">
        <v>9</v>
      </c>
      <c r="J84" s="1">
        <f>IF(3065832&gt;0,100*1566994/3065832,"")</f>
        <v>51.11154166307873</v>
      </c>
      <c r="K84" s="1">
        <f>IF(2236273&gt;0,100*314777/2236273,"")</f>
        <v>14.075964786052507</v>
      </c>
      <c r="L84" s="1">
        <f>IF(COUNT(J84:K84)=2,K84-J84,"")</f>
        <v>-37.03557687702622</v>
      </c>
      <c r="O84" s="1">
        <v>10</v>
      </c>
      <c r="P84" s="1">
        <v>9</v>
      </c>
      <c r="Q84" s="1">
        <f>IF(2063235&gt;0,100*325107/2063235,"")</f>
        <v>15.757148361674748</v>
      </c>
      <c r="R84" s="1">
        <f>IF(1765598&gt;0,100*22587/1765598,"")</f>
        <v>1.2792832796593563</v>
      </c>
      <c r="S84" s="1">
        <f>IF(COUNT(Q84:R84)=2,R84-Q84,"")</f>
        <v>-14.477865082015391</v>
      </c>
    </row>
    <row r="85" spans="1:19">
      <c r="A85" s="1">
        <v>11</v>
      </c>
      <c r="B85" s="1">
        <v>10</v>
      </c>
      <c r="C85" s="1">
        <f>IF(2209395&gt;0,100*1084873/2209395,"")</f>
        <v>49.1027181649275</v>
      </c>
      <c r="D85" s="1">
        <f>IF(2226834&gt;0,100*700306/2226834,"")</f>
        <v>31.448504917744206</v>
      </c>
      <c r="E85" s="1">
        <f>IF(COUNT(C85:D85)=2,D85-C85,"")</f>
        <v>-17.654213247183296</v>
      </c>
      <c r="H85" s="1">
        <v>11</v>
      </c>
      <c r="I85" s="1">
        <v>10</v>
      </c>
      <c r="J85" s="1">
        <f>IF(2870543&gt;0,100*1618419/2870543,"")</f>
        <v>56.380238860731225</v>
      </c>
      <c r="K85" s="1">
        <f>IF(1682248&gt;0,100*89203/1682248,"")</f>
        <v>5.302606987792525</v>
      </c>
      <c r="L85" s="1">
        <f>IF(COUNT(J85:K85)=2,K85-J85,"")</f>
        <v>-51.0776318729387</v>
      </c>
      <c r="O85" s="1">
        <v>11</v>
      </c>
      <c r="P85" s="1">
        <v>10</v>
      </c>
      <c r="Q85" s="1">
        <f>IF(2712419&gt;0,100*1335644/2712419,"")</f>
        <v>49.241802243679906</v>
      </c>
      <c r="R85" s="1">
        <f>IF(1510145&gt;0,100*26812/1510145,"")</f>
        <v>1.7754586480106216</v>
      </c>
      <c r="S85" s="1">
        <f>IF(COUNT(Q85:R85)=2,R85-Q85,"")</f>
        <v>-47.46634359566929</v>
      </c>
    </row>
    <row r="86" spans="1:19">
      <c r="A86" s="1">
        <v>12</v>
      </c>
      <c r="B86" s="1">
        <v>11</v>
      </c>
      <c r="C86" s="1">
        <f>IF(2101751&gt;0,100*916475/2101751,"")</f>
        <v>43.605308145446344</v>
      </c>
      <c r="D86" s="1">
        <f>IF(2334082&gt;0,100*787186/2334082,"")</f>
        <v>33.72572171843149</v>
      </c>
      <c r="E86" s="1">
        <f>IF(COUNT(C86:D86)=2,D86-C86,"")</f>
        <v>-9.879586427014857</v>
      </c>
      <c r="H86" s="1">
        <v>12</v>
      </c>
      <c r="I86" s="1">
        <v>11</v>
      </c>
      <c r="J86" s="1">
        <f>IF(2321486&gt;0,100*1150766/2321486,"")</f>
        <v>49.57023217025647</v>
      </c>
      <c r="K86" s="1">
        <f>IF(2242509&gt;0,100*583412/2242509,"")</f>
        <v>26.01603828568804</v>
      </c>
      <c r="L86" s="1">
        <f>IF(COUNT(J86:K86)=2,K86-J86,"")</f>
        <v>-23.554193884568427</v>
      </c>
      <c r="O86" s="1">
        <v>12</v>
      </c>
      <c r="P86" s="1">
        <v>11</v>
      </c>
      <c r="Q86" s="1">
        <f>IF(2923066&gt;0,100*1456418/2923066,"")</f>
        <v>49.825012503994095</v>
      </c>
      <c r="R86" s="1">
        <f>IF(1992307&gt;0,100*164100/1992307,"")</f>
        <v>8.236682398847165</v>
      </c>
      <c r="S86" s="1">
        <f>IF(COUNT(Q86:R86)=2,R86-Q86,"")</f>
        <v>-41.58833010514693</v>
      </c>
    </row>
    <row r="87" spans="1:19">
      <c r="A87" s="1">
        <v>13</v>
      </c>
      <c r="B87" s="1">
        <v>12</v>
      </c>
      <c r="C87" s="1">
        <f>IF(2087661&gt;0,100*558523/2087661,"")</f>
        <v>26.753529428388998</v>
      </c>
      <c r="D87" s="1">
        <f>IF(1487666&gt;0,100*303081/1487666,"")</f>
        <v>20.372919727949686</v>
      </c>
      <c r="E87" s="1">
        <f>IF(COUNT(C87:D87)=2,D87-C87,"")</f>
        <v>-6.380609700439312</v>
      </c>
      <c r="H87" s="1">
        <v>13</v>
      </c>
      <c r="I87" s="1">
        <v>12</v>
      </c>
      <c r="J87" s="1">
        <f>IF(2390190&gt;0,100*1069032/2390190,"")</f>
        <v>44.72581677607219</v>
      </c>
      <c r="K87" s="1">
        <f>IF(2012504&gt;0,100*250448/2012504,"")</f>
        <v>12.444596383410914</v>
      </c>
      <c r="L87" s="1">
        <f>IF(COUNT(J87:K87)=2,K87-J87,"")</f>
        <v>-32.28122039266128</v>
      </c>
      <c r="O87" s="1">
        <v>13</v>
      </c>
      <c r="P87" s="1">
        <v>12</v>
      </c>
      <c r="Q87" s="1">
        <f>IF(1557676&gt;0,100*18730/1557676,"")</f>
        <v>1.2024323415138964</v>
      </c>
      <c r="R87" s="1">
        <f>IF(1557676&gt;0,100*18730/1557676,"")</f>
        <v>1.2024323415138964</v>
      </c>
      <c r="S87" s="1">
        <f>IF(COUNT(Q87:R87)=2,R87-Q87,"")</f>
        <v>0.0</v>
      </c>
    </row>
    <row r="88" spans="1:19">
      <c r="A88" s="1">
        <v>14</v>
      </c>
      <c r="B88" s="1">
        <v>13</v>
      </c>
      <c r="C88" s="1">
        <f>IF(1496156&gt;0,100*261177/1496156,"")</f>
        <v>17.456535281080313</v>
      </c>
      <c r="D88" s="1">
        <f>IF(1897986&gt;0,100*378531/1897986,"")</f>
        <v>19.943824664670867</v>
      </c>
      <c r="E88" s="1">
        <f>IF(COUNT(C88:D88)=2,D88-C88,"")</f>
        <v>2.4872893835905536</v>
      </c>
      <c r="H88" s="1">
        <v>14</v>
      </c>
      <c r="I88" s="1">
        <v>13</v>
      </c>
      <c r="J88" s="1">
        <f>IF(1799691&gt;0,100*550790/1799691,"")</f>
        <v>30.604698250977528</v>
      </c>
      <c r="K88" s="1">
        <f>IF(1988302&gt;0,100*369760/1988302,"")</f>
        <v>18.59677252248401</v>
      </c>
      <c r="L88" s="1">
        <f>IF(COUNT(J88:K88)=2,K88-J88,"")</f>
        <v>-12.007925728493518</v>
      </c>
      <c r="O88" s="1">
        <v>14</v>
      </c>
      <c r="P88" s="1">
        <v>13</v>
      </c>
      <c r="Q88" s="1">
        <f>IF(1217487&gt;0,100*119562/1217487,"")</f>
        <v>9.820392332731274</v>
      </c>
      <c r="R88" s="1">
        <f>IF(1104252&gt;0,100*53575/1104252,"")</f>
        <v>4.851700517635467</v>
      </c>
      <c r="S88" s="1">
        <f>IF(COUNT(Q88:R88)=2,R88-Q88,"")</f>
        <v>-4.968691815095807</v>
      </c>
    </row>
    <row r="89" spans="1:19">
      <c r="A89" s="1">
        <v>15</v>
      </c>
      <c r="B89" s="1">
        <v>14</v>
      </c>
      <c r="C89" s="1">
        <f>IF(1933985&gt;0,100*847555/1933985,"")</f>
        <v>43.82427991944095</v>
      </c>
      <c r="D89" s="1">
        <f>IF(2318243&gt;0,100*745415/2318243,"")</f>
        <v>32.15430824119818</v>
      </c>
      <c r="E89" s="1">
        <f>IF(COUNT(C89:D89)=2,D89-C89,"")</f>
        <v>-11.669971678242767</v>
      </c>
      <c r="H89" s="1">
        <v>15</v>
      </c>
      <c r="I89" s="1">
        <v>14</v>
      </c>
      <c r="J89" s="1">
        <f>IF(2456423&gt;0,100*458635/2456423,"")</f>
        <v>18.670847814077625</v>
      </c>
      <c r="K89" s="1">
        <f>IF(2573458&gt;0,100*621469/2573458,"")</f>
        <v>24.14917981952688</v>
      </c>
      <c r="L89" s="1">
        <f>IF(COUNT(J89:K89)=2,K89-J89,"")</f>
        <v>5.4783320054492535</v>
      </c>
      <c r="O89" s="1">
        <v>15</v>
      </c>
      <c r="P89" s="1">
        <v>14</v>
      </c>
      <c r="Q89" s="1">
        <f>IF(2356524&gt;0,100*573959/2356524,"")</f>
        <v>24.35617035939375</v>
      </c>
      <c r="R89" s="1">
        <f>IF(2001829&gt;0,100*173314/2001829,"")</f>
        <v>8.657782457942211</v>
      </c>
      <c r="S89" s="1">
        <f>IF(COUNT(Q89:R89)=2,R89-Q89,"")</f>
        <v>-15.69838790145154</v>
      </c>
    </row>
    <row r="90" spans="1:19">
      <c r="A90" s="1">
        <v>16</v>
      </c>
      <c r="B90" s="1">
        <v>15</v>
      </c>
      <c r="C90" s="1">
        <f>IF(2016018&gt;0,100*829052/2016018,"")</f>
        <v>41.12324393929023</v>
      </c>
      <c r="D90" s="1">
        <f>IF(2411667&gt;0,100*911108/2411667,"")</f>
        <v>37.77917929797107</v>
      </c>
      <c r="E90" s="1">
        <f>IF(COUNT(C90:D90)=2,D90-C90,"")</f>
        <v>-3.3440646413191573</v>
      </c>
      <c r="H90" s="1">
        <v>16</v>
      </c>
      <c r="I90" s="1">
        <v>15</v>
      </c>
      <c r="J90" s="1">
        <f>IF(2410914&gt;0,100*1100716/2410914,"")</f>
        <v>45.65554806185538</v>
      </c>
      <c r="K90" s="1">
        <f>IF(1851753&gt;0,100*263397/1851753,"")</f>
        <v>14.224197287651215</v>
      </c>
      <c r="L90" s="1">
        <f>IF(COUNT(J90:K90)=2,K90-J90,"")</f>
        <v>-31.431350774204162</v>
      </c>
      <c r="O90" s="1">
        <v>16</v>
      </c>
      <c r="P90" s="1">
        <v>15</v>
      </c>
      <c r="Q90" s="1">
        <f>IF(2715811&gt;0,100*1420140/2715811,"")</f>
        <v>52.29156226261695</v>
      </c>
      <c r="R90" s="1">
        <f>IF(2686941&gt;0,100*709217/2686941,"")</f>
        <v>26.394959919105034</v>
      </c>
      <c r="S90" s="1">
        <f>IF(COUNT(Q90:R90)=2,R90-Q90,"")</f>
        <v>-25.896602343511915</v>
      </c>
    </row>
    <row r="91" spans="1:19">
      <c r="A91" s="1">
        <v>17</v>
      </c>
      <c r="B91" s="1">
        <v>16</v>
      </c>
      <c r="C91" s="1">
        <f>IF(830136&gt;0,100*34541/830136,"")</f>
        <v>4.160884481578922</v>
      </c>
      <c r="D91" s="1">
        <f>IF(951695&gt;0,100*53727/951695,"")</f>
        <v>5.645401100142378</v>
      </c>
      <c r="E91" s="1">
        <f>IF(COUNT(C91:D91)=2,D91-C91,"")</f>
        <v>1.4845166185634557</v>
      </c>
      <c r="H91" s="1">
        <v>17</v>
      </c>
      <c r="I91" s="1">
        <v>16</v>
      </c>
      <c r="J91" s="1">
        <f>IF(196031&gt;0,100*5823/196031,"")</f>
        <v>2.970448551504609</v>
      </c>
      <c r="K91" s="1">
        <f>IF(196031&gt;0,100*5823/196031,"")</f>
        <v>2.970448551504609</v>
      </c>
      <c r="L91" s="1">
        <f>IF(COUNT(J91:K91)=2,K91-J91,"")</f>
        <v>0.0</v>
      </c>
      <c r="O91" s="1">
        <v>17</v>
      </c>
      <c r="P91" s="1">
        <v>16</v>
      </c>
      <c r="Q91" s="1">
        <f>IF(2285076&gt;0,100*953900/2285076,"")</f>
        <v>41.74478223043785</v>
      </c>
      <c r="R91" s="1">
        <f>IF(3086134&gt;0,100*894760/3086134,"")</f>
        <v>28.992908279420142</v>
      </c>
      <c r="S91" s="1">
        <f>IF(COUNT(Q91:R91)=2,R91-Q91,"")</f>
        <v>-12.751873951017707</v>
      </c>
    </row>
    <row r="92" spans="1:19">
      <c r="A92" s="1">
        <v>18</v>
      </c>
      <c r="B92" s="1">
        <v>17</v>
      </c>
      <c r="C92" s="1">
        <f>IF(1194547&gt;0,100*244244/1194547,"")</f>
        <v>20.446579330909543</v>
      </c>
      <c r="D92" s="1">
        <f>IF(1380041&gt;0,100*227230/1380041,"")</f>
        <v>16.465452837995393</v>
      </c>
      <c r="E92" s="1">
        <f>IF(COUNT(C92:D92)=2,D92-C92,"")</f>
        <v>-3.98112649291415</v>
      </c>
      <c r="H92" s="1">
        <v>18</v>
      </c>
      <c r="I92" s="1">
        <v>17</v>
      </c>
      <c r="J92" s="4"/>
      <c r="K92" s="1">
        <f>IF(1681128&gt;0,100*155217/1681128,"")</f>
        <v>9.232907904692564</v>
      </c>
      <c r="L92" s="1">
        <f>IF(COUNT(J92:K92)=2,K92-J92,"")</f>
        <v/>
      </c>
      <c r="O92" s="1">
        <v>18</v>
      </c>
      <c r="P92" s="1">
        <v>17</v>
      </c>
      <c r="Q92" s="1">
        <f>IF(2825816&gt;0,100*1323547/2825816,"")</f>
        <v>46.83769219227296</v>
      </c>
      <c r="R92" s="1">
        <f>IF(2553363&gt;0,100*445013/2553363,"")</f>
        <v>17.428505073505022</v>
      </c>
      <c r="S92" s="1">
        <f>IF(COUNT(Q92:R92)=2,R92-Q92,"")</f>
        <v>-29.40918711876794</v>
      </c>
    </row>
    <row r="93" spans="1:19">
      <c r="A93" s="1">
        <v>19</v>
      </c>
      <c r="B93" s="1">
        <v>18</v>
      </c>
      <c r="C93" s="1">
        <f>IF(1931560&gt;0,100*912771/1931560,"")</f>
        <v>47.25563792996335</v>
      </c>
      <c r="D93" s="1">
        <f>IF(1731365&gt;0,100*568742/1731365,"")</f>
        <v>32.84934141558828</v>
      </c>
      <c r="E93" s="1">
        <f>IF(COUNT(C93:D93)=2,D93-C93,"")</f>
        <v>-14.406296514375072</v>
      </c>
      <c r="H93" s="1">
        <v>19</v>
      </c>
      <c r="I93" s="1">
        <v>18</v>
      </c>
      <c r="J93" s="1">
        <f>IF(1855523&gt;0,100*552371/1855523,"")</f>
        <v>29.76901930075779</v>
      </c>
      <c r="K93" s="1">
        <f>IF(1630060&gt;0,100*130415/1630060,"")</f>
        <v>8.00062574383765</v>
      </c>
      <c r="L93" s="1">
        <f>IF(COUNT(J93:K93)=2,K93-J93,"")</f>
        <v>-21.768393556920138</v>
      </c>
      <c r="O93" s="1">
        <v>19</v>
      </c>
      <c r="P93" s="1">
        <v>18</v>
      </c>
      <c r="Q93" s="1">
        <f>IF(2510684&gt;0,100*1031580/2510684,"")</f>
        <v>41.08760799845779</v>
      </c>
      <c r="R93" s="1">
        <f>IF(2394041&gt;0,100*405059/2394041,"")</f>
        <v>16.91946796232813</v>
      </c>
      <c r="S93" s="1">
        <f>IF(COUNT(Q93:R93)=2,R93-Q93,"")</f>
        <v>-24.16814003612966</v>
      </c>
    </row>
    <row r="94" spans="1:19">
      <c r="A94" s="1">
        <v>20</v>
      </c>
      <c r="B94" s="1">
        <v>19</v>
      </c>
      <c r="C94" s="1">
        <f>IF(2025286&gt;0,100*867239/2025286,"")</f>
        <v>42.82056953931445</v>
      </c>
      <c r="D94" s="1">
        <f>IF(1619258&gt;0,100*432353/1619258,"")</f>
        <v>26.70068636375426</v>
      </c>
      <c r="E94" s="1">
        <f>IF(COUNT(C94:D94)=2,D94-C94,"")</f>
        <v>-16.119883175560187</v>
      </c>
      <c r="H94" s="1">
        <v>20</v>
      </c>
      <c r="I94" s="1">
        <v>19</v>
      </c>
      <c r="J94" s="1">
        <f>IF(2440076&gt;0,100*960305/2440076,"")</f>
        <v>39.355536466896936</v>
      </c>
      <c r="K94" s="1">
        <f>IF(1777980&gt;0,100*347938/1777980,"")</f>
        <v>19.569286493661345</v>
      </c>
      <c r="L94" s="1">
        <f>IF(COUNT(J94:K94)=2,K94-J94,"")</f>
        <v>-19.78624997323559</v>
      </c>
      <c r="O94" s="1">
        <v>20</v>
      </c>
      <c r="P94" s="1">
        <v>19</v>
      </c>
      <c r="Q94" s="1">
        <f>IF(3041216&gt;0,100*1439290/3041216,"")</f>
        <v>47.32613533533955</v>
      </c>
      <c r="R94" s="1">
        <f>IF(3050149&gt;0,100*766178/3050149,"")</f>
        <v>25.11936302128191</v>
      </c>
      <c r="S94" s="1">
        <f>IF(COUNT(Q94:R94)=2,R94-Q94,"")</f>
        <v>-22.20677231405764</v>
      </c>
    </row>
    <row r="95" spans="1:19">
      <c r="A95" s="1">
        <v>21</v>
      </c>
      <c r="B95" s="1">
        <v>20</v>
      </c>
      <c r="C95" s="1">
        <f>IF(2094148&gt;0,100*1039154/2094148,"")</f>
        <v>49.62180323453739</v>
      </c>
      <c r="D95" s="1">
        <f>IF(1753264&gt;0,100*369449/1753264,"")</f>
        <v>21.072069009573003</v>
      </c>
      <c r="E95" s="1">
        <f>IF(COUNT(C95:D95)=2,D95-C95,"")</f>
        <v>-28.549734224964386</v>
      </c>
      <c r="H95" s="1">
        <v>21</v>
      </c>
      <c r="I95" s="1">
        <v>20</v>
      </c>
      <c r="J95" s="1">
        <f>IF(2683747&gt;0,100*1388722/2683747,"")</f>
        <v>51.74563772218469</v>
      </c>
      <c r="K95" s="1">
        <f>IF(2364583&gt;0,100*494834/2364583,"")</f>
        <v>20.92690339057669</v>
      </c>
      <c r="L95" s="1">
        <f>IF(COUNT(J95:K95)=2,K95-J95,"")</f>
        <v>-30.818734331608</v>
      </c>
      <c r="O95" s="1">
        <v>21</v>
      </c>
      <c r="P95" s="1">
        <v>20</v>
      </c>
      <c r="Q95" s="1">
        <f>IF(2268817&gt;0,100*1102753/2268817,"")</f>
        <v>48.60475745730044</v>
      </c>
      <c r="R95" s="1">
        <f>IF(2396581&gt;0,100*561269/2396581,"")</f>
        <v>23.419571464515492</v>
      </c>
      <c r="S95" s="1">
        <f>IF(COUNT(Q95:R95)=2,R95-Q95,"")</f>
        <v>-25.185185992784945</v>
      </c>
    </row>
    <row r="96" spans="1:19">
      <c r="A96" s="1">
        <v>22</v>
      </c>
      <c r="B96" s="1">
        <v>21</v>
      </c>
      <c r="C96" s="1">
        <f>IF(1002018&gt;0,100*273571/1002018,"")</f>
        <v>27.302004554808395</v>
      </c>
      <c r="D96" s="1">
        <f>IF(2009490&gt;0,100*601956/2009490,"")</f>
        <v>29.955660391442606</v>
      </c>
      <c r="E96" s="1">
        <f>IF(COUNT(C96:D96)=2,D96-C96,"")</f>
        <v>2.6536558366342113</v>
      </c>
      <c r="H96" s="1">
        <v>22</v>
      </c>
      <c r="I96" s="1">
        <v>21</v>
      </c>
      <c r="J96" s="1">
        <f>IF(2557965&gt;0,100*1179736/2557965,"")</f>
        <v>46.12009937587106</v>
      </c>
      <c r="K96" s="1">
        <f>IF(2340502&gt;0,100*675819/2340502,"")</f>
        <v>28.874959303602388</v>
      </c>
      <c r="L96" s="1">
        <f>IF(COUNT(J96:K96)=2,K96-J96,"")</f>
        <v>-17.24514007226867</v>
      </c>
      <c r="O96" s="1">
        <v>22</v>
      </c>
      <c r="P96" s="1">
        <v>21</v>
      </c>
      <c r="Q96" s="1">
        <f>IF(1946233&gt;0,100*656202/1946233,"")</f>
        <v>33.71651801197493</v>
      </c>
      <c r="R96" s="1">
        <f>IF(2454477&gt;0,100*631321/2454477,"")</f>
        <v>25.72120252094438</v>
      </c>
      <c r="S96" s="1">
        <f>IF(COUNT(Q96:R96)=2,R96-Q96,"")</f>
        <v>-7.995315491030546</v>
      </c>
    </row>
    <row r="97" spans="1:19">
      <c r="A97" s="1">
        <v>23</v>
      </c>
      <c r="B97" s="1">
        <v>22</v>
      </c>
      <c r="C97" s="1">
        <f>IF(795260&gt;0,100*1236/795260,"")</f>
        <v>0.15542086864673188</v>
      </c>
      <c r="D97" s="1">
        <f>IF(795260&gt;0,100*1236/795260,"")</f>
        <v>0.15542086864673188</v>
      </c>
      <c r="E97" s="1">
        <f>IF(COUNT(C97:D97)=2,D97-C97,"")</f>
        <v>0.0</v>
      </c>
      <c r="H97" s="1">
        <v>23</v>
      </c>
      <c r="I97" s="1">
        <v>22</v>
      </c>
      <c r="J97" s="1">
        <f>IF(2773812&gt;0,100*1410215/2773812,"")</f>
        <v>50.84032371335909</v>
      </c>
      <c r="K97" s="1">
        <f>IF(3323061&gt;0,100*932013/3323061,"")</f>
        <v>28.046821891021562</v>
      </c>
      <c r="L97" s="1">
        <f>IF(COUNT(J97:K97)=2,K97-J97,"")</f>
        <v>-22.79350182233753</v>
      </c>
      <c r="O97" s="1">
        <v>23</v>
      </c>
      <c r="P97" s="1">
        <v>22</v>
      </c>
      <c r="Q97" s="1">
        <f>IF(2188846&gt;0,100*938113/2188846,"")</f>
        <v>42.858794086016104</v>
      </c>
      <c r="R97" s="1">
        <f>IF(2644962&gt;0,100*631226/2644962,"")</f>
        <v>23.865219991818407</v>
      </c>
      <c r="S97" s="1">
        <f>IF(COUNT(Q97:R97)=2,R97-Q97,"")</f>
        <v>-18.993574094197697</v>
      </c>
    </row>
    <row r="98" spans="1:19">
      <c r="A98" s="1">
        <v>24</v>
      </c>
      <c r="B98" s="1">
        <v>23</v>
      </c>
      <c r="C98" s="1">
        <f>IF(1888679&gt;0,100*755365/1888679,"")</f>
        <v>39.99435584342284</v>
      </c>
      <c r="D98" s="1">
        <f>IF(1311648&gt;0,100*18160/1311648,"")</f>
        <v>1.3845177974578546</v>
      </c>
      <c r="E98" s="1">
        <f>IF(COUNT(C98:D98)=2,D98-C98,"")</f>
        <v>-38.609838045964985</v>
      </c>
      <c r="H98" s="1">
        <v>24</v>
      </c>
      <c r="I98" s="1">
        <v>23</v>
      </c>
      <c r="J98" s="1">
        <f>IF(2330232&gt;0,100*1039149/2330232,"")</f>
        <v>44.594229244126765</v>
      </c>
      <c r="K98" s="1">
        <f>IF(2007388&gt;0,100*161598/2007388,"")</f>
        <v>8.050162698989931</v>
      </c>
      <c r="L98" s="1">
        <f>IF(COUNT(J98:K98)=2,K98-J98,"")</f>
        <v>-36.544066545136836</v>
      </c>
      <c r="O98" s="1">
        <v>24</v>
      </c>
      <c r="P98" s="1">
        <v>23</v>
      </c>
      <c r="Q98" s="1">
        <f>IF(2075098&gt;0,100*737576/2075098,"")</f>
        <v>35.544152613515124</v>
      </c>
      <c r="R98" s="1">
        <f>IF(2823753&gt;0,100*677369/2823753,"")</f>
        <v>23.988252513587415</v>
      </c>
      <c r="S98" s="1">
        <f>IF(COUNT(Q98:R98)=2,R98-Q98,"")</f>
        <v>-11.555900099927708</v>
      </c>
    </row>
    <row r="99" spans="1:19">
      <c r="A99" s="1">
        <v>25</v>
      </c>
      <c r="B99" s="1">
        <v>24</v>
      </c>
      <c r="C99" s="1">
        <f>IF(2046231&gt;0,100*862149/2046231,"")</f>
        <v>42.1335127852134</v>
      </c>
      <c r="D99" s="1">
        <f>IF(2042068&gt;0,100*618648/2042068,"")</f>
        <v>30.295171365498113</v>
      </c>
      <c r="E99" s="1">
        <f>IF(COUNT(C99:D99)=2,D99-C99,"")</f>
        <v>-11.838341419715285</v>
      </c>
      <c r="H99" s="1">
        <v>25</v>
      </c>
      <c r="I99" s="1">
        <v>24</v>
      </c>
      <c r="J99" s="1">
        <f>IF(2687496&gt;0,100*1356682/2687496,"")</f>
        <v>50.481265832581705</v>
      </c>
      <c r="K99" s="1">
        <f>IF(2036201&gt;0,100*434044/2036201,"")</f>
        <v>21.316363168469124</v>
      </c>
      <c r="L99" s="1">
        <f>IF(COUNT(J99:K99)=2,K99-J99,"")</f>
        <v>-29.16490266411258</v>
      </c>
      <c r="O99" s="1">
        <v>25</v>
      </c>
      <c r="P99" s="1">
        <v>24</v>
      </c>
      <c r="Q99" s="1">
        <f>IF(2348758&gt;0,100*912656/2348758,"")</f>
        <v>38.856961849624355</v>
      </c>
      <c r="R99" s="1">
        <f>IF(1996090&gt;0,100*275002/1996090,"")</f>
        <v>13.777034101668763</v>
      </c>
      <c r="S99" s="1">
        <f>IF(COUNT(Q99:R99)=2,R99-Q99,"")</f>
        <v>-25.079927747955594</v>
      </c>
    </row>
    <row r="100" spans="1:19">
      <c r="A100" s="1">
        <v>26</v>
      </c>
      <c r="B100" s="1">
        <v>25</v>
      </c>
      <c r="C100" s="1">
        <f>IF(2173027&gt;0,100*1021557/2173027,"")</f>
        <v>47.01078265479444</v>
      </c>
      <c r="D100" s="1">
        <f>IF(2414263&gt;0,100*770966/2414263,"")</f>
        <v>31.933803400872232</v>
      </c>
      <c r="E100" s="1">
        <f>IF(COUNT(C100:D100)=2,D100-C100,"")</f>
        <v>-15.076979253922207</v>
      </c>
      <c r="H100" s="1">
        <v>26</v>
      </c>
      <c r="I100" s="1">
        <v>25</v>
      </c>
      <c r="J100" s="1">
        <f>IF(1369843&gt;0,100*81159/1369843,"")</f>
        <v>5.9246935597729085</v>
      </c>
      <c r="K100" s="1">
        <f>IF(1820493&gt;0,100*259346/1820493,"")</f>
        <v>14.245921297143136</v>
      </c>
      <c r="L100" s="1">
        <f>IF(COUNT(J100:K100)=2,K100-J100,"")</f>
        <v>8.321227737370227</v>
      </c>
      <c r="O100" s="1">
        <v>26</v>
      </c>
      <c r="P100" s="1">
        <v>25</v>
      </c>
      <c r="Q100" s="1">
        <f>IF(2790743&gt;0,100*1533326/2790743,"")</f>
        <v>54.94328929607635</v>
      </c>
      <c r="R100" s="1">
        <f>IF(2801671&gt;0,100*657112/2801671,"")</f>
        <v>23.454288529952304</v>
      </c>
      <c r="S100" s="1">
        <f>IF(COUNT(Q100:R100)=2,R100-Q100,"")</f>
        <v>-31.489000766124047</v>
      </c>
    </row>
    <row r="101" spans="1:19">
      <c r="A101" s="1">
        <v>27</v>
      </c>
      <c r="B101" s="1">
        <v>26</v>
      </c>
      <c r="C101" s="1">
        <f>IF(2068375&gt;0,100*1076315/2068375,"")</f>
        <v>52.03674382063214</v>
      </c>
      <c r="D101" s="1">
        <f>IF(2085996&gt;0,100*699379/2085996,"")</f>
        <v>33.52734137553475</v>
      </c>
      <c r="E101" s="1">
        <f>IF(COUNT(C101:D101)=2,D101-C101,"")</f>
        <v>-18.509402445097386</v>
      </c>
      <c r="H101" s="1">
        <v>27</v>
      </c>
      <c r="I101" s="1">
        <v>26</v>
      </c>
      <c r="J101" s="1">
        <f>IF(1770443&gt;0,100*418105/1770443,"")</f>
        <v>23.615840781092643</v>
      </c>
      <c r="K101" s="1">
        <f>IF(1980218&gt;0,100*483468/1980218,"")</f>
        <v>24.414887653783573</v>
      </c>
      <c r="L101" s="1">
        <f>IF(COUNT(J101:K101)=2,K101-J101,"")</f>
        <v>0.7990468726909299</v>
      </c>
      <c r="O101" s="1">
        <v>27</v>
      </c>
      <c r="P101" s="1">
        <v>26</v>
      </c>
      <c r="Q101" s="1">
        <f>IF(2101248&gt;0,100*444433/2101248,"")</f>
        <v>21.150906508893762</v>
      </c>
      <c r="R101" s="1">
        <f>IF(2569976&gt;0,100*543815/2569976,"")</f>
        <v>21.160314337565797</v>
      </c>
      <c r="S101" s="1">
        <f>IF(COUNT(Q101:R101)=2,R101-Q101,"")</f>
        <v>0.009407828672035379</v>
      </c>
    </row>
    <row r="102" spans="1:19">
      <c r="A102" s="1">
        <v>28</v>
      </c>
      <c r="B102" s="1">
        <v>27</v>
      </c>
      <c r="C102" s="1">
        <f>IF(1174000&gt;0,100*3059/1174000,"")</f>
        <v>0.2605621805792164</v>
      </c>
      <c r="D102" s="1">
        <f>IF(1174000&gt;0,100*3059/1174000,"")</f>
        <v>0.2605621805792164</v>
      </c>
      <c r="E102" s="1">
        <f>IF(COUNT(C102:D102)=2,D102-C102,"")</f>
        <v>0.0</v>
      </c>
      <c r="H102" s="1">
        <v>28</v>
      </c>
      <c r="I102" s="1">
        <v>27</v>
      </c>
      <c r="J102" s="1">
        <f>IF(2046482&gt;0,100*638275/2046482,"")</f>
        <v>31.18888903005255</v>
      </c>
      <c r="K102" s="1">
        <f>IF(2126512&gt;0,100*616811/2126512,"")</f>
        <v>29.005761547548286</v>
      </c>
      <c r="L102" s="1">
        <f>IF(COUNT(J102:K102)=2,K102-J102,"")</f>
        <v>-2.183127482504265</v>
      </c>
      <c r="O102" s="1">
        <v>28</v>
      </c>
      <c r="P102" s="1">
        <v>27</v>
      </c>
      <c r="Q102" s="1">
        <f>IF(2324907&gt;0,100*896618/2324907,"")</f>
        <v>38.5657576840708</v>
      </c>
      <c r="R102" s="1">
        <f>IF(1112674&gt;0,100*157421/1112674,"")</f>
        <v>14.14798943805643</v>
      </c>
      <c r="S102" s="1">
        <f>IF(COUNT(Q102:R102)=2,R102-Q102,"")</f>
        <v>-24.417768246014376</v>
      </c>
    </row>
    <row r="103" spans="1:19">
      <c r="A103" s="1">
        <v>29</v>
      </c>
      <c r="B103" s="1">
        <v>28</v>
      </c>
      <c r="C103" s="1">
        <f>IF(2083503&gt;0,100*1007639/2083503,"")</f>
        <v>48.362733338996875</v>
      </c>
      <c r="D103" s="1">
        <f>IF(2455678&gt;0,100*791648/2455678,"")</f>
        <v>32.23745132708767</v>
      </c>
      <c r="E103" s="1">
        <f>IF(COUNT(C103:D103)=2,D103-C103,"")</f>
        <v>-16.125282011909206</v>
      </c>
      <c r="H103" s="1">
        <v>29</v>
      </c>
      <c r="I103" s="1">
        <v>28</v>
      </c>
      <c r="J103" s="1">
        <f>IF(2576958&gt;0,100*1290348/2576958,"")</f>
        <v>50.072527375300645</v>
      </c>
      <c r="K103" s="1">
        <f>IF(3403831&gt;0,100*1067404/3403831,"")</f>
        <v>31.35890119104033</v>
      </c>
      <c r="L103" s="1">
        <f>IF(COUNT(J103:K103)=2,K103-J103,"")</f>
        <v>-18.713626184260313</v>
      </c>
      <c r="O103" s="1">
        <v>29</v>
      </c>
      <c r="P103" s="1">
        <v>28</v>
      </c>
      <c r="Q103" s="1">
        <f>IF(2240165&gt;0,100*1016922/2240165,"")</f>
        <v>45.39495974626869</v>
      </c>
      <c r="R103" s="1">
        <f>IF(2606686&gt;0,100*684897/2606686,"")</f>
        <v>26.274626096123583</v>
      </c>
      <c r="S103" s="1">
        <f>IF(COUNT(Q103:R103)=2,R103-Q103,"")</f>
        <v>-19.120333650145106</v>
      </c>
    </row>
    <row r="104" spans="1:19">
      <c r="A104" s="1">
        <v>30</v>
      </c>
      <c r="B104" s="1">
        <v>29</v>
      </c>
      <c r="C104" s="1">
        <f>IF(2234870&gt;0,100*1080496/2234870,"")</f>
        <v>48.34715218334847</v>
      </c>
      <c r="D104" s="1">
        <f>IF(2579931&gt;0,100*826254/2579931,"")</f>
        <v>32.0262053520036</v>
      </c>
      <c r="E104" s="1">
        <f>IF(COUNT(C104:D104)=2,D104-C104,"")</f>
        <v>-16.32094683134487</v>
      </c>
      <c r="H104" s="1">
        <v>30</v>
      </c>
      <c r="I104" s="1">
        <v>29</v>
      </c>
      <c r="J104" s="1">
        <f>IF(1911633&gt;0,100*586958/1911633,"")</f>
        <v>30.704533767726335</v>
      </c>
      <c r="K104" s="1">
        <f>IF(1960039&gt;0,100*441690/1960039,"")</f>
        <v>22.5347556859838</v>
      </c>
      <c r="L104" s="1">
        <f>IF(COUNT(J104:K104)=2,K104-J104,"")</f>
        <v>-8.169778081742535</v>
      </c>
      <c r="O104" s="1">
        <v>30</v>
      </c>
      <c r="P104" s="1">
        <v>29</v>
      </c>
      <c r="Q104" s="1">
        <f>IF(1054742&gt;0,100*14563/1054742,"")</f>
        <v>1.3807168008859039</v>
      </c>
      <c r="R104" s="1">
        <f>IF(1061083&gt;0,100*15621/1061083,"")</f>
        <v>1.472175126733724</v>
      </c>
      <c r="S104" s="1">
        <f>IF(COUNT(Q104:R104)=2,R104-Q104,"")</f>
        <v>0.0914583258478201</v>
      </c>
    </row>
    <row r="105" spans="1:19">
      <c r="A105" s="1">
        <v>31</v>
      </c>
      <c r="B105" s="1">
        <v>30</v>
      </c>
      <c r="C105" s="1">
        <f>IF(1611966&gt;0,100*408242/1611966,"")</f>
        <v>25.32572026953422</v>
      </c>
      <c r="D105" s="1">
        <f>IF(1324960&gt;0,100*32770/1324960,"")</f>
        <v>2.4732822122932014</v>
      </c>
      <c r="E105" s="1">
        <f>IF(COUNT(C105:D105)=2,D105-C105,"")</f>
        <v>-22.852438057241017</v>
      </c>
      <c r="H105" s="1">
        <v>31</v>
      </c>
      <c r="I105" s="1">
        <v>30</v>
      </c>
      <c r="J105" s="1">
        <f>IF(1813572&gt;0,100*419503/1813572,"")</f>
        <v>23.131312128771288</v>
      </c>
      <c r="K105" s="1">
        <f>IF(1728605&gt;0,100*92691/1728605,"")</f>
        <v>5.362185114586618</v>
      </c>
      <c r="L105" s="1">
        <f>IF(COUNT(J105:K105)=2,K105-J105,"")</f>
        <v>-17.76912701418467</v>
      </c>
      <c r="O105" s="1">
        <v>31</v>
      </c>
      <c r="P105" s="1">
        <v>30</v>
      </c>
      <c r="Q105" s="1">
        <f>IF(2344140&gt;0,100*1034103/2344140,"")</f>
        <v>44.11438736594231</v>
      </c>
      <c r="R105" s="1">
        <f>IF(2277003&gt;0,100*549218/2277003,"")</f>
        <v>24.120214158698957</v>
      </c>
      <c r="S105" s="1">
        <f>IF(COUNT(Q105:R105)=2,R105-Q105,"")</f>
        <v>-19.99417320724335</v>
      </c>
    </row>
    <row r="106" spans="1:19">
      <c r="A106" s="2" t="s">
        <v>6</v>
      </c>
      <c r="B106" s="1"/>
      <c r="C106" s="1">
        <f>IF(COUNT(C75:C105)&gt;0,AVERAGE(C75:C105),"")</f>
        <v>34.139885623640744</v>
      </c>
      <c r="D106" s="1">
        <f>IF(COUNT(D75:D105)&gt;0,AVERAGE(D75:D105),"")</f>
        <v>21.74053322703686</v>
      </c>
      <c r="E106" s="1">
        <f>IF(COUNT(E75:E105)&gt;0,AVERAGE(E75:E105),"")</f>
        <v>-12.399352396603884</v>
      </c>
      <c r="H106" s="2" t="s">
        <v>6</v>
      </c>
      <c r="I106" s="1"/>
      <c r="J106" s="1">
        <f>IF(COUNT(J75:J105)&gt;0,AVERAGE(J75:J105),"")</f>
        <v>36.56494216191195</v>
      </c>
      <c r="K106" s="1">
        <f>IF(COUNT(K75:K105)&gt;0,AVERAGE(K75:K105),"")</f>
        <v>17.7593737004637</v>
      </c>
      <c r="L106" s="1">
        <f>IF(COUNT(L75:L105)&gt;0,AVERAGE(L75:L105),"")</f>
        <v>-18.521352934922547</v>
      </c>
      <c r="O106" s="2" t="s">
        <v>6</v>
      </c>
      <c r="P106" s="1"/>
      <c r="Q106" s="1">
        <f>IF(COUNT(Q75:Q105)&gt;0,AVERAGE(Q75:Q105),"")</f>
        <v>34.28456187402019</v>
      </c>
      <c r="R106" s="1">
        <f>IF(COUNT(R75:R105)&gt;0,AVERAGE(R75:R105),"")</f>
        <v>16.69954961481729</v>
      </c>
      <c r="S106" s="1">
        <f>IF(COUNT(S75:S105)&gt;0,AVERAGE(S75:S105),"")</f>
        <v>-17.5850122592029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IF(1025565&gt;0,100*254231/1025565,"")</f>
        <v>24.789360011310837</v>
      </c>
      <c r="D3" s="1">
        <f>IF(826429&gt;0,100*75863/826429,"")</f>
        <v>9.179614945748515</v>
      </c>
      <c r="E3" s="1">
        <f>IF(COUNT(C3:D3)=2,D3-C3,"")</f>
        <v>-15.609745065562322</v>
      </c>
      <c r="H3" s="1">
        <v>1</v>
      </c>
      <c r="I3" s="1">
        <v>0</v>
      </c>
      <c r="J3" s="1">
        <f>IF(1360559&gt;0,100*350066/1360559,"")</f>
        <v>25.729571448206215</v>
      </c>
      <c r="K3" s="1">
        <f>IF(1148175&gt;0,100*223486/1148175,"")</f>
        <v>19.464454460339233</v>
      </c>
      <c r="L3" s="1">
        <f>IF(COUNT(J3:K3)=2,K3-J3,"")</f>
        <v>-6.265116987866982</v>
      </c>
      <c r="O3" s="1">
        <v>1</v>
      </c>
      <c r="P3" s="1">
        <v>0</v>
      </c>
      <c r="Q3" s="1">
        <f>IF(1611169&gt;0,100*528552/1611169,"")</f>
        <v>32.80549712662049</v>
      </c>
      <c r="R3" s="1">
        <f>IF(1396041&gt;0,100*275077/1396041,"")</f>
        <v>19.70407745904311</v>
      </c>
      <c r="S3" s="1">
        <f>IF(COUNT(Q3:R3)=2,R3-Q3,"")</f>
        <v>-13.101419667577378</v>
      </c>
    </row>
    <row r="4" spans="1:19">
      <c r="A4" s="1">
        <v>2</v>
      </c>
      <c r="B4" s="1">
        <v>1</v>
      </c>
      <c r="C4" s="1">
        <f>IF(1608611&gt;0,100*585743/1608611,"")</f>
        <v>36.41296746074719</v>
      </c>
      <c r="D4" s="1">
        <f>IF(690502&gt;0,100*178648/690502,"")</f>
        <v>25.87219153601293</v>
      </c>
      <c r="E4" s="1">
        <f>IF(COUNT(C4:D4)=2,D4-C4,"")</f>
        <v>-10.540775924734259</v>
      </c>
      <c r="H4" s="1">
        <v>2</v>
      </c>
      <c r="I4" s="1">
        <v>1</v>
      </c>
      <c r="J4" s="1">
        <f>IF(1080061&gt;0,100*195305/1080061,"")</f>
        <v>18.082774954377577</v>
      </c>
      <c r="K4" s="1">
        <f>IF(1496069&gt;0,100*285942/1496069,"")</f>
        <v>19.112888509821406</v>
      </c>
      <c r="L4" s="1">
        <f>IF(COUNT(J4:K4)=2,K4-J4,"")</f>
        <v>1.0301135554438297</v>
      </c>
      <c r="O4" s="1">
        <v>2</v>
      </c>
      <c r="P4" s="1">
        <v>1</v>
      </c>
      <c r="Q4" s="1">
        <f>IF(1467133&gt;0,100*488009/1467133,"")</f>
        <v>33.26276486180871</v>
      </c>
      <c r="R4" s="1">
        <f>IF(1296147&gt;0,100*297128/1296147,"")</f>
        <v>22.923943040411313</v>
      </c>
      <c r="S4" s="1">
        <f>IF(COUNT(Q4:R4)=2,R4-Q4,"")</f>
        <v>-10.3388218213974</v>
      </c>
    </row>
    <row r="5" spans="1:19">
      <c r="A5" s="1">
        <v>3</v>
      </c>
      <c r="B5" s="1">
        <v>2</v>
      </c>
      <c r="C5" s="1">
        <f>IF(1615726&gt;0,100*621491/1615726,"")</f>
        <v>38.46512341820333</v>
      </c>
      <c r="D5" s="1">
        <f>IF(1561418&gt;0,100*436207/1561418,"")</f>
        <v>27.93659353228924</v>
      </c>
      <c r="E5" s="1">
        <f>IF(COUNT(C5:D5)=2,D5-C5,"")</f>
        <v>-10.528529885914093</v>
      </c>
      <c r="H5" s="1">
        <v>3</v>
      </c>
      <c r="I5" s="1">
        <v>2</v>
      </c>
      <c r="J5" s="1">
        <f>IF(1770666&gt;0,100*210556/1770666,"")</f>
        <v>11.891344838608749</v>
      </c>
      <c r="K5" s="1">
        <f>IF(1327636&gt;0,100*209849/1327636,"")</f>
        <v>15.806214956509164</v>
      </c>
      <c r="L5" s="1">
        <f>IF(COUNT(J5:K5)=2,K5-J5,"")</f>
        <v>3.9148701179004153</v>
      </c>
      <c r="O5" s="1">
        <v>3</v>
      </c>
      <c r="P5" s="1">
        <v>2</v>
      </c>
      <c r="Q5" s="1">
        <f>IF(1770413&gt;0,100*588287/1770413,"")</f>
        <v>33.228800285583084</v>
      </c>
      <c r="R5" s="1">
        <f>IF(1074043&gt;0,100*151360/1074043,"")</f>
        <v>14.092545642958429</v>
      </c>
      <c r="S5" s="1">
        <f>IF(COUNT(Q5:R5)=2,R5-Q5,"")</f>
        <v>-19.136254642624657</v>
      </c>
    </row>
    <row r="6" spans="1:19">
      <c r="A6" s="1">
        <v>4</v>
      </c>
      <c r="B6" s="1">
        <v>3</v>
      </c>
      <c r="C6" s="1">
        <f>IF(1681360&gt;0,100*632235/1681360,"")</f>
        <v>37.60259551791407</v>
      </c>
      <c r="D6" s="1">
        <f>IF(1724461&gt;0,100*510640/1724461,"")</f>
        <v>29.61157138375411</v>
      </c>
      <c r="E6" s="1">
        <f>IF(COUNT(C6:D6)=2,D6-C6,"")</f>
        <v>-7.991024134159957</v>
      </c>
      <c r="H6" s="1">
        <v>4</v>
      </c>
      <c r="I6" s="1">
        <v>3</v>
      </c>
      <c r="J6" s="1">
        <f>IF(1249184&gt;0,100*192969/1249184,"")</f>
        <v>15.447604196019162</v>
      </c>
      <c r="K6" s="1">
        <f>IF(978766&gt;0,100*41049/978766,"")</f>
        <v>4.1939544283311845</v>
      </c>
      <c r="L6" s="1">
        <f>IF(COUNT(J6:K6)=2,K6-J6,"")</f>
        <v>-11.253649767687978</v>
      </c>
      <c r="O6" s="1">
        <v>4</v>
      </c>
      <c r="P6" s="1">
        <v>3</v>
      </c>
      <c r="Q6" s="1">
        <f>IF(851878&gt;0,100*27960/851878,"")</f>
        <v>3.2821601215197482</v>
      </c>
      <c r="R6" s="1">
        <f>IF(1087845&gt;0,100*188079/1087845,"")</f>
        <v>17.289135860347752</v>
      </c>
      <c r="S6" s="1">
        <f>IF(COUNT(Q6:R6)=2,R6-Q6,"")</f>
        <v>14.006975738828004</v>
      </c>
    </row>
    <row r="7" spans="1:19">
      <c r="A7" s="1">
        <v>5</v>
      </c>
      <c r="B7" s="1">
        <v>4</v>
      </c>
      <c r="C7" s="1">
        <f>IF(1534810&gt;0,100*544323/1534810,"")</f>
        <v>35.46517158475642</v>
      </c>
      <c r="D7" s="1">
        <f>IF(1121138&gt;0,100*165453/1121138,"")</f>
        <v>14.75759451557257</v>
      </c>
      <c r="E7" s="1">
        <f>IF(COUNT(C7:D7)=2,D7-C7,"")</f>
        <v>-20.70757706918385</v>
      </c>
      <c r="H7" s="1">
        <v>5</v>
      </c>
      <c r="I7" s="1">
        <v>4</v>
      </c>
      <c r="J7" s="1">
        <f>IF(1559950&gt;0,100*448934/1559950,"")</f>
        <v>28.77874290842655</v>
      </c>
      <c r="K7" s="1">
        <f>IF(938676&gt;0,100*194322/938676,"")</f>
        <v>20.701711772752258</v>
      </c>
      <c r="L7" s="1">
        <f>IF(COUNT(J7:K7)=2,K7-J7,"")</f>
        <v>-8.077031135674293</v>
      </c>
      <c r="O7" s="1">
        <v>5</v>
      </c>
      <c r="P7" s="1">
        <v>4</v>
      </c>
      <c r="Q7" s="1">
        <f>IF(1545033&gt;0,100*593590/1545033,"")</f>
        <v>38.419244119704885</v>
      </c>
      <c r="R7" s="1">
        <f>IF(1781294&gt;0,100*530284/1781294,"")</f>
        <v>29.7695944633508</v>
      </c>
      <c r="S7" s="1">
        <f>IF(COUNT(Q7:R7)=2,R7-Q7,"")</f>
        <v>-8.649649656354086</v>
      </c>
    </row>
    <row r="8" spans="1:19">
      <c r="A8" s="1">
        <v>6</v>
      </c>
      <c r="B8" s="1">
        <v>5</v>
      </c>
      <c r="C8" s="1">
        <f>IF(1481795&gt;0,100*384291/1481795,"")</f>
        <v>25.93415418462068</v>
      </c>
      <c r="D8" s="1">
        <f>IF(1486458&gt;0,100*326677/1486458,"")</f>
        <v>21.976873884092253</v>
      </c>
      <c r="E8" s="1">
        <f>IF(COUNT(C8:D8)=2,D8-C8,"")</f>
        <v>-3.957280300528428</v>
      </c>
      <c r="H8" s="1">
        <v>6</v>
      </c>
      <c r="I8" s="1">
        <v>5</v>
      </c>
      <c r="J8" s="1">
        <f>IF(1363284&gt;0,100*338111/1363284,"")</f>
        <v>24.801215300700367</v>
      </c>
      <c r="K8" s="1">
        <f>IF(976656&gt;0,100*161754/976656,"")</f>
        <v>16.5620238855851</v>
      </c>
      <c r="L8" s="1">
        <f>IF(COUNT(J8:K8)=2,K8-J8,"")</f>
        <v>-8.239191415115268</v>
      </c>
      <c r="O8" s="1">
        <v>6</v>
      </c>
      <c r="P8" s="1">
        <v>5</v>
      </c>
      <c r="Q8" s="1">
        <f>IF(1496153&gt;0,100*372992/1496153,"")</f>
        <v>24.930070654538675</v>
      </c>
      <c r="R8" s="1">
        <f>IF(1448704&gt;0,100*327923/1448704,"")</f>
        <v>22.63561086322672</v>
      </c>
      <c r="S8" s="1">
        <f>IF(COUNT(Q8:R8)=2,R8-Q8,"")</f>
        <v>-2.2944597913119544</v>
      </c>
    </row>
    <row r="9" spans="1:19">
      <c r="A9" s="1">
        <v>7</v>
      </c>
      <c r="B9" s="1">
        <v>6</v>
      </c>
      <c r="C9" s="1">
        <f>IF(1693230&gt;0,100*659152/1693230,"")</f>
        <v>38.92867478133508</v>
      </c>
      <c r="D9" s="1">
        <f>IF(1628118&gt;0,100*465798/1628118,"")</f>
        <v>28.60959709308539</v>
      </c>
      <c r="E9" s="1">
        <f>IF(COUNT(C9:D9)=2,D9-C9,"")</f>
        <v>-10.319077688249692</v>
      </c>
      <c r="H9" s="1">
        <v>7</v>
      </c>
      <c r="I9" s="1">
        <v>6</v>
      </c>
      <c r="J9" s="1">
        <f>IF(681918&gt;0,100*6217/681918,"")</f>
        <v>0.9116931947829504</v>
      </c>
      <c r="K9" s="1">
        <f>IF(863021&gt;0,100*39720/863021,"")</f>
        <v>4.602437252395944</v>
      </c>
      <c r="L9" s="1">
        <f>IF(COUNT(J9:K9)=2,K9-J9,"")</f>
        <v>3.690744057612994</v>
      </c>
      <c r="O9" s="1">
        <v>7</v>
      </c>
      <c r="P9" s="1">
        <v>6</v>
      </c>
      <c r="Q9" s="1">
        <f>IF(1286739&gt;0,100*333741/1286739,"")</f>
        <v>25.93696157495809</v>
      </c>
      <c r="R9" s="1">
        <f>IF(679487&gt;0,100*41030/679487,"")</f>
        <v>6.038378953534063</v>
      </c>
      <c r="S9" s="1">
        <f>IF(COUNT(Q9:R9)=2,R9-Q9,"")</f>
        <v>-19.898582621424026</v>
      </c>
    </row>
    <row r="10" spans="1:19">
      <c r="A10" s="1">
        <v>8</v>
      </c>
      <c r="B10" s="1">
        <v>7</v>
      </c>
      <c r="C10" s="1">
        <f>IF(1832737&gt;0,100*772049/1832737,"")</f>
        <v>42.12546590154506</v>
      </c>
      <c r="D10" s="1">
        <f>IF(1176291&gt;0,100*282830/1176291,"")</f>
        <v>24.044220350236465</v>
      </c>
      <c r="E10" s="1">
        <f>IF(COUNT(C10:D10)=2,D10-C10,"")</f>
        <v>-18.081245551308598</v>
      </c>
      <c r="H10" s="1">
        <v>8</v>
      </c>
      <c r="I10" s="1">
        <v>7</v>
      </c>
      <c r="J10" s="1">
        <f>IF(655547&gt;0,100*1454/655547,"")</f>
        <v>0.2217995048409954</v>
      </c>
      <c r="K10" s="1">
        <f>IF(845200&gt;0,100*59653/845200,"")</f>
        <v>7.057856128726929</v>
      </c>
      <c r="L10" s="1">
        <f>IF(COUNT(J10:K10)=2,K10-J10,"")</f>
        <v>6.836056623885933</v>
      </c>
      <c r="O10" s="1">
        <v>8</v>
      </c>
      <c r="P10" s="1">
        <v>7</v>
      </c>
      <c r="Q10" s="1">
        <f>IF(589319&gt;0,100*4560/589319,"")</f>
        <v>0.773774475284184</v>
      </c>
      <c r="R10" s="1">
        <f>IF(714857&gt;0,100*42563/714857,"")</f>
        <v>5.954057944456024</v>
      </c>
      <c r="S10" s="1">
        <f>IF(COUNT(Q10:R10)=2,R10-Q10,"")</f>
        <v>5.18028346917184</v>
      </c>
    </row>
    <row r="11" spans="1:19">
      <c r="A11" s="1">
        <v>9</v>
      </c>
      <c r="B11" s="1">
        <v>8</v>
      </c>
      <c r="C11" s="1">
        <f>IF(1595971&gt;0,100*597472/1595971,"")</f>
        <v>37.43626920539283</v>
      </c>
      <c r="D11" s="1">
        <f>IF(713172&gt;0,100*158837/713172,"")</f>
        <v>22.271906356390886</v>
      </c>
      <c r="E11" s="1">
        <f>IF(COUNT(C11:D11)=2,D11-C11,"")</f>
        <v>-15.164362849001947</v>
      </c>
      <c r="H11" s="1">
        <v>9</v>
      </c>
      <c r="I11" s="1">
        <v>8</v>
      </c>
      <c r="J11" s="1">
        <f>IF(1710121&gt;0,100*526664/1710121,"")</f>
        <v>30.79688513268944</v>
      </c>
      <c r="K11" s="1">
        <f>IF(1870972&gt;0,100*549649/1870972,"")</f>
        <v>29.377724519661438</v>
      </c>
      <c r="L11" s="1">
        <f>IF(COUNT(J11:K11)=2,K11-J11,"")</f>
        <v>-1.4191606130280014</v>
      </c>
      <c r="O11" s="1">
        <v>9</v>
      </c>
      <c r="P11" s="1">
        <v>8</v>
      </c>
      <c r="Q11" s="1">
        <f>IF(1425170&gt;0,100*455531/1425170,"")</f>
        <v>31.96327455671955</v>
      </c>
      <c r="R11" s="1">
        <f>IF(542062&gt;0,100*29834/542062,"")</f>
        <v>5.5037984584789195</v>
      </c>
      <c r="S11" s="1">
        <f>IF(COUNT(Q11:R11)=2,R11-Q11,"")</f>
        <v>-26.459476098240632</v>
      </c>
    </row>
    <row r="12" spans="1:19">
      <c r="A12" s="1">
        <v>10</v>
      </c>
      <c r="B12" s="1">
        <v>9</v>
      </c>
      <c r="C12" s="1">
        <f>IF(1793318&gt;0,100*560859/1793318,"")</f>
        <v>31.27493283399821</v>
      </c>
      <c r="D12" s="1">
        <f>IF(872260&gt;0,100*8482/872260,"")</f>
        <v>0.9724164813243757</v>
      </c>
      <c r="E12" s="1">
        <f>IF(COUNT(C12:D12)=2,D12-C12,"")</f>
        <v>-30.302516352673834</v>
      </c>
      <c r="H12" s="1">
        <v>10</v>
      </c>
      <c r="I12" s="1">
        <v>9</v>
      </c>
      <c r="J12" s="1">
        <f>IF(1173418&gt;0,100*250711/1173418,"")</f>
        <v>21.365873030752894</v>
      </c>
      <c r="K12" s="1">
        <f>IF(1311500&gt;0,100*240383/1311500,"")</f>
        <v>18.328860083873426</v>
      </c>
      <c r="L12" s="1">
        <f>IF(COUNT(J12:K12)=2,K12-J12,"")</f>
        <v>-3.037012946879468</v>
      </c>
      <c r="O12" s="1">
        <v>10</v>
      </c>
      <c r="P12" s="1">
        <v>9</v>
      </c>
      <c r="Q12" s="1">
        <f>IF(1151234&gt;0,100*222783/1151234,"")</f>
        <v>19.351669599751222</v>
      </c>
      <c r="R12" s="1">
        <f>IF(1396854&gt;0,100*346613/1396854,"")</f>
        <v>24.813831653129103</v>
      </c>
      <c r="S12" s="1">
        <f>IF(COUNT(Q12:R12)=2,R12-Q12,"")</f>
        <v>5.462162053377881</v>
      </c>
    </row>
    <row r="13" spans="1:19">
      <c r="A13" s="1">
        <v>11</v>
      </c>
      <c r="B13" s="1">
        <v>10</v>
      </c>
      <c r="C13" s="1">
        <f>IF(1514166&gt;0,100*450931/1514166,"")</f>
        <v>29.78081663437166</v>
      </c>
      <c r="D13" s="1">
        <f>IF(1464098&gt;0,100*432578/1464098,"")</f>
        <v>29.54569980971219</v>
      </c>
      <c r="E13" s="1">
        <f>IF(COUNT(C13:D13)=2,D13-C13,"")</f>
        <v>-0.23511682465947104</v>
      </c>
      <c r="H13" s="1">
        <v>11</v>
      </c>
      <c r="I13" s="1">
        <v>10</v>
      </c>
      <c r="J13" s="1">
        <f>IF(1146506&gt;0,100*57993/1146506,"")</f>
        <v>5.058237811228201</v>
      </c>
      <c r="K13" s="1">
        <f>IF(1380817&gt;0,100*146131/1380817,"")</f>
        <v>10.582937492803174</v>
      </c>
      <c r="L13" s="1">
        <f>IF(COUNT(J13:K13)=2,K13-J13,"")</f>
        <v>5.5246996815749725</v>
      </c>
      <c r="O13" s="1">
        <v>11</v>
      </c>
      <c r="P13" s="1">
        <v>10</v>
      </c>
      <c r="Q13" s="1">
        <f>IF(1057778&gt;0,100*7899/1057778,"")</f>
        <v>0.7467540447995704</v>
      </c>
      <c r="R13" s="1">
        <f>IF(1360775&gt;0,100*195099/1360775,"")</f>
        <v>14.33734452793445</v>
      </c>
      <c r="S13" s="1">
        <f>IF(COUNT(Q13:R13)=2,R13-Q13,"")</f>
        <v>13.590590483134878</v>
      </c>
    </row>
    <row r="14" spans="1:19">
      <c r="A14" s="1">
        <v>12</v>
      </c>
      <c r="B14" s="1">
        <v>11</v>
      </c>
      <c r="C14" s="1">
        <f>IF(1480420&gt;0,100*530595/1480420,"")</f>
        <v>35.84084246362519</v>
      </c>
      <c r="D14" s="1">
        <f>IF(833959&gt;0,100*170651/833959,"")</f>
        <v>20.46275656237297</v>
      </c>
      <c r="E14" s="1">
        <f>IF(COUNT(C14:D14)=2,D14-C14,"")</f>
        <v>-15.378085901252216</v>
      </c>
      <c r="H14" s="1">
        <v>12</v>
      </c>
      <c r="I14" s="1">
        <v>11</v>
      </c>
      <c r="J14" s="1">
        <f>IF(979595&gt;0,100*35929/979595,"")</f>
        <v>3.6677402395888095</v>
      </c>
      <c r="K14" s="1">
        <f>IF(1069568&gt;0,100*72959/1069568,"")</f>
        <v>6.82135217209191</v>
      </c>
      <c r="L14" s="1">
        <f>IF(COUNT(J14:K14)=2,K14-J14,"")</f>
        <v>3.1536119325031002</v>
      </c>
      <c r="O14" s="1">
        <v>12</v>
      </c>
      <c r="P14" s="1">
        <v>11</v>
      </c>
      <c r="Q14" s="1">
        <f>IF(1932101&gt;0,100*714622/1932101,"")</f>
        <v>36.98678278205953</v>
      </c>
      <c r="R14" s="1">
        <f>IF(909887&gt;0,100*51598/909887,"")</f>
        <v>5.670814068120547</v>
      </c>
      <c r="S14" s="1">
        <f>IF(COUNT(Q14:R14)=2,R14-Q14,"")</f>
        <v>-31.315968713938982</v>
      </c>
    </row>
    <row r="15" spans="1:19">
      <c r="A15" s="1">
        <v>13</v>
      </c>
      <c r="B15" s="1">
        <v>12</v>
      </c>
      <c r="C15" s="1">
        <f>IF(1625411&gt;0,100*523021/1625411,"")</f>
        <v>32.177769191915154</v>
      </c>
      <c r="D15" s="1">
        <f>IF(939060&gt;0,100*34779/939060,"")</f>
        <v>3.7035972142355122</v>
      </c>
      <c r="E15" s="1">
        <f>IF(COUNT(C15:D15)=2,D15-C15,"")</f>
        <v>-28.474171977679642</v>
      </c>
      <c r="H15" s="1">
        <v>13</v>
      </c>
      <c r="I15" s="1">
        <v>12</v>
      </c>
      <c r="J15" s="1">
        <f>IF(1997433&gt;0,100*770522/1997433,"")</f>
        <v>38.575611797742404</v>
      </c>
      <c r="K15" s="1">
        <f>IF(1303039&gt;0,100*287411/1303039,"")</f>
        <v>22.05697603832272</v>
      </c>
      <c r="L15" s="1">
        <f>IF(COUNT(J15:K15)=2,K15-J15,"")</f>
        <v>-16.518635759419684</v>
      </c>
      <c r="O15" s="1">
        <v>13</v>
      </c>
      <c r="P15" s="1">
        <v>12</v>
      </c>
      <c r="Q15" s="1">
        <f>IF(931018&gt;0,100*79093/931018,"")</f>
        <v>8.495324472781407</v>
      </c>
      <c r="R15" s="1">
        <f>IF(1039379&gt;0,100*110140/1039379,"")</f>
        <v>10.596712075191052</v>
      </c>
      <c r="S15" s="1">
        <f>IF(COUNT(Q15:R15)=2,R15-Q15,"")</f>
        <v>2.1013876024096447</v>
      </c>
    </row>
    <row r="16" spans="1:19">
      <c r="A16" s="1">
        <v>14</v>
      </c>
      <c r="B16" s="1">
        <v>13</v>
      </c>
      <c r="C16" s="1">
        <f>IF(929730&gt;0,100*189375/929730,"")</f>
        <v>20.368816753250943</v>
      </c>
      <c r="D16" s="1">
        <f>IF(852314&gt;0,100*54971/852314,"")</f>
        <v>6.44961833314952</v>
      </c>
      <c r="E16" s="1">
        <f>IF(COUNT(C16:D16)=2,D16-C16,"")</f>
        <v>-13.919198420101424</v>
      </c>
      <c r="H16" s="1">
        <v>14</v>
      </c>
      <c r="I16" s="1">
        <v>13</v>
      </c>
      <c r="J16" s="1">
        <f>IF(1084239&gt;0,100*226536/1084239,"")</f>
        <v>20.893548378171232</v>
      </c>
      <c r="K16" s="1">
        <f>IF(1185230&gt;0,100*263727/1185230,"")</f>
        <v>22.251124254364132</v>
      </c>
      <c r="L16" s="1">
        <f>IF(COUNT(J16:K16)=2,K16-J16,"")</f>
        <v>1.3575758761929002</v>
      </c>
      <c r="O16" s="1">
        <v>14</v>
      </c>
      <c r="P16" s="1">
        <v>13</v>
      </c>
      <c r="Q16" s="1">
        <f>IF(670550&gt;0,100*11588/670550,"")</f>
        <v>1.7281336216538663</v>
      </c>
      <c r="R16" s="1">
        <f>IF(807949&gt;0,100*84528/807949,"")</f>
        <v>10.46204649055819</v>
      </c>
      <c r="S16" s="1">
        <f>IF(COUNT(Q16:R16)=2,R16-Q16,"")</f>
        <v>8.733912868904325</v>
      </c>
    </row>
    <row r="17" spans="1:19">
      <c r="A17" s="1">
        <v>15</v>
      </c>
      <c r="B17" s="1">
        <v>14</v>
      </c>
      <c r="C17" s="1">
        <f>IF(1540895&gt;0,100*542667/1540895,"")</f>
        <v>35.217649482930376</v>
      </c>
      <c r="D17" s="1">
        <f>IF(1481527&gt;0,100*407760/1481527,"")</f>
        <v>27.522954357227373</v>
      </c>
      <c r="E17" s="1">
        <f>IF(COUNT(C17:D17)=2,D17-C17,"")</f>
        <v>-7.694695125703003</v>
      </c>
      <c r="H17" s="1">
        <v>15</v>
      </c>
      <c r="I17" s="1">
        <v>14</v>
      </c>
      <c r="J17" s="1">
        <f>IF(1976548&gt;0,100*795333/1976548,"")</f>
        <v>40.238486492612374</v>
      </c>
      <c r="K17" s="1">
        <f>IF(4911&gt;0,100*674/4911,"")</f>
        <v>13.724292404805539</v>
      </c>
      <c r="L17" s="1">
        <f>IF(COUNT(J17:K17)=2,K17-J17,"")</f>
        <v>-26.514194087806835</v>
      </c>
      <c r="O17" s="1">
        <v>15</v>
      </c>
      <c r="P17" s="1">
        <v>14</v>
      </c>
      <c r="Q17" s="1">
        <f>IF(1789842&gt;0,100*586809/1789842,"")</f>
        <v>32.78551961569792</v>
      </c>
      <c r="R17" s="1">
        <f>IF(2065060&gt;0,100*545334/2065060,"")</f>
        <v>26.40765885736976</v>
      </c>
      <c r="S17" s="1">
        <f>IF(COUNT(Q17:R17)=2,R17-Q17,"")</f>
        <v>-6.377860758328161</v>
      </c>
    </row>
    <row r="18" spans="1:19">
      <c r="A18" s="1">
        <v>16</v>
      </c>
      <c r="B18" s="1">
        <v>15</v>
      </c>
      <c r="C18" s="1">
        <f>IF(1507412&gt;0,100*534395/1507412,"")</f>
        <v>35.45115734782528</v>
      </c>
      <c r="D18" s="1">
        <f>IF(1662930&gt;0,100*507569/1662930,"")</f>
        <v>30.52257160553962</v>
      </c>
      <c r="E18" s="1">
        <f>IF(COUNT(C18:D18)=2,D18-C18,"")</f>
        <v>-4.928585742285659</v>
      </c>
      <c r="H18" s="1">
        <v>16</v>
      </c>
      <c r="I18" s="1">
        <v>15</v>
      </c>
      <c r="J18" s="1">
        <f>IF(1507965&gt;0,100*427666/1507965,"")</f>
        <v>28.36047255738694</v>
      </c>
      <c r="K18" s="1">
        <f>IF(1389989&gt;0,100*202904/1389989,"")</f>
        <v>14.597525591929145</v>
      </c>
      <c r="L18" s="1">
        <f>IF(COUNT(J18:K18)=2,K18-J18,"")</f>
        <v>-13.762946965457797</v>
      </c>
      <c r="O18" s="1">
        <v>16</v>
      </c>
      <c r="P18" s="1">
        <v>15</v>
      </c>
      <c r="Q18" s="1">
        <f>IF(1644242&gt;0,100*542962/1644242,"")</f>
        <v>33.02202473845091</v>
      </c>
      <c r="R18" s="1">
        <f>IF(1379579&gt;0,100*210862/1379579,"")</f>
        <v>15.284517958014728</v>
      </c>
      <c r="S18" s="1">
        <f>IF(COUNT(Q18:R18)=2,R18-Q18,"")</f>
        <v>-17.73750678043618</v>
      </c>
    </row>
    <row r="19" spans="1:19">
      <c r="A19" s="1">
        <v>17</v>
      </c>
      <c r="B19" s="1">
        <v>16</v>
      </c>
      <c r="C19" s="1">
        <f>IF(642367&gt;0,100*51947/642367,"")</f>
        <v>8.08681018794552</v>
      </c>
      <c r="D19" s="1">
        <f>IF(545834&gt;0,100*8345/545834,"")</f>
        <v>1.5288530945305716</v>
      </c>
      <c r="E19" s="1">
        <f>IF(COUNT(C19:D19)=2,D19-C19,"")</f>
        <v>-6.557957093414949</v>
      </c>
      <c r="H19" s="1">
        <v>17</v>
      </c>
      <c r="I19" s="1">
        <v>16</v>
      </c>
      <c r="J19" s="1">
        <f>IF(1858121&gt;0,100*695653/1858121,"")</f>
        <v>37.4385198811057</v>
      </c>
      <c r="K19" s="1">
        <f>IF(1835372&gt;0,100*535431/1835372,"")</f>
        <v>29.17288702235841</v>
      </c>
      <c r="L19" s="1">
        <f>IF(COUNT(J19:K19)=2,K19-J19,"")</f>
        <v>-8.265632858747288</v>
      </c>
      <c r="O19" s="1">
        <v>17</v>
      </c>
      <c r="P19" s="1">
        <v>16</v>
      </c>
      <c r="Q19" s="1">
        <f>IF(1134999&gt;0,100*244255/1134999,"")</f>
        <v>21.520283277782625</v>
      </c>
      <c r="R19" s="1">
        <f>IF(1568915&gt;0,100*426877/1568915,"")</f>
        <v>27.208421106305952</v>
      </c>
      <c r="S19" s="1">
        <f>IF(COUNT(Q19:R19)=2,R19-Q19,"")</f>
        <v>5.6881378285233275</v>
      </c>
    </row>
    <row r="20" spans="1:19">
      <c r="A20" s="1">
        <v>18</v>
      </c>
      <c r="B20" s="1">
        <v>17</v>
      </c>
      <c r="C20" s="1">
        <f>IF(594640&gt;0,100*3581/594640,"")</f>
        <v>0.6022131037266245</v>
      </c>
      <c r="D20" s="1">
        <f>IF(627883&gt;0,100*6347/627883,"")</f>
        <v>1.010857118284776</v>
      </c>
      <c r="E20" s="1">
        <f>IF(COUNT(C20:D20)=2,D20-C20,"")</f>
        <v>0.4086440145581516</v>
      </c>
      <c r="H20" s="1">
        <v>18</v>
      </c>
      <c r="I20" s="1">
        <v>17</v>
      </c>
      <c r="J20" s="1">
        <f>IF(1593567&gt;0,100*381148/1593567,"")</f>
        <v>23.917914966863645</v>
      </c>
      <c r="K20" s="1">
        <f>IF(1244426&gt;0,100*209613/1244426,"")</f>
        <v>16.8441514401017</v>
      </c>
      <c r="L20" s="1">
        <f>IF(COUNT(J20:K20)=2,K20-J20,"")</f>
        <v>-7.073763526761944</v>
      </c>
      <c r="O20" s="1">
        <v>18</v>
      </c>
      <c r="P20" s="1">
        <v>17</v>
      </c>
      <c r="Q20" s="1">
        <f>IF(1362366&gt;0,100*418939/1362366,"")</f>
        <v>30.750840816638114</v>
      </c>
      <c r="R20" s="1">
        <f>IF(1094787&gt;0,100*87435/1094787,"")</f>
        <v>7.986485042295898</v>
      </c>
      <c r="S20" s="1">
        <f>IF(COUNT(Q20:R20)=2,R20-Q20,"")</f>
        <v>-22.764355774342214</v>
      </c>
    </row>
    <row r="21" spans="1:19">
      <c r="A21" s="1">
        <v>19</v>
      </c>
      <c r="B21" s="1">
        <v>18</v>
      </c>
      <c r="C21" s="1">
        <f>IF(1610751&gt;0,100*584870/1610751,"")</f>
        <v>36.31039186069107</v>
      </c>
      <c r="D21" s="1">
        <f>IF(482742&gt;0,100*100360/482742,"")</f>
        <v>20.789572898152635</v>
      </c>
      <c r="E21" s="1">
        <f>IF(COUNT(C21:D21)=2,D21-C21,"")</f>
        <v>-15.520818962538435</v>
      </c>
      <c r="H21" s="1">
        <v>19</v>
      </c>
      <c r="I21" s="1">
        <v>18</v>
      </c>
      <c r="J21" s="1">
        <f>IF(959902&gt;0,100*142934/959902,"")</f>
        <v>14.89047840300364</v>
      </c>
      <c r="K21" s="1">
        <f>IF(679763&gt;0,100*41700/679763,"")</f>
        <v>6.134490991713288</v>
      </c>
      <c r="L21" s="1">
        <f>IF(COUNT(J21:K21)=2,K21-J21,"")</f>
        <v>-8.755987411290352</v>
      </c>
      <c r="O21" s="1">
        <v>19</v>
      </c>
      <c r="P21" s="1">
        <v>18</v>
      </c>
      <c r="Q21" s="1">
        <f>IF(1024717&gt;0,100*193814/1024717,"")</f>
        <v>18.91390500987102</v>
      </c>
      <c r="R21" s="1">
        <f>IF(870483&gt;0,100*106864/870483,"")</f>
        <v>12.276402870590235</v>
      </c>
      <c r="S21" s="1">
        <f>IF(COUNT(Q21:R21)=2,R21-Q21,"")</f>
        <v>-6.637502139280784</v>
      </c>
    </row>
    <row r="22" spans="1:19">
      <c r="A22" s="1">
        <v>20</v>
      </c>
      <c r="B22" s="1">
        <v>19</v>
      </c>
      <c r="C22" s="1">
        <f>IF(1151574&gt;0,100*385861/1151574,"")</f>
        <v>33.50726918113816</v>
      </c>
      <c r="D22" s="1">
        <f>IF(1510955&gt;0,100*368286/1510955,"")</f>
        <v>24.37438573617348</v>
      </c>
      <c r="E22" s="1">
        <f>IF(COUNT(C22:D22)=2,D22-C22,"")</f>
        <v>-9.132883444964683</v>
      </c>
      <c r="H22" s="1">
        <v>20</v>
      </c>
      <c r="I22" s="1">
        <v>19</v>
      </c>
      <c r="J22" s="1">
        <f>IF(795490&gt;0,100*93263/795490,"")</f>
        <v>11.723968874530163</v>
      </c>
      <c r="K22" s="1">
        <f>IF(1280626&gt;0,100*223185/1280626,"")</f>
        <v>17.42780483919583</v>
      </c>
      <c r="L22" s="1">
        <f>IF(COUNT(J22:K22)=2,K22-J22,"")</f>
        <v>5.703835964665666</v>
      </c>
      <c r="O22" s="1">
        <v>20</v>
      </c>
      <c r="P22" s="1">
        <v>19</v>
      </c>
      <c r="Q22" s="1">
        <f>IF(1318480&gt;0,100*350952/1318480,"")</f>
        <v>26.617923669680238</v>
      </c>
      <c r="R22" s="1">
        <f>IF(239590&gt;0,100*12224/239590,"")</f>
        <v>5.1020493342793936</v>
      </c>
      <c r="S22" s="1">
        <f>IF(COUNT(Q22:R22)=2,R22-Q22,"")</f>
        <v>-21.515874335400845</v>
      </c>
    </row>
    <row r="23" spans="1:19">
      <c r="A23" s="1">
        <v>21</v>
      </c>
      <c r="B23" s="1">
        <v>20</v>
      </c>
      <c r="C23" s="1">
        <f>IF(1068079&gt;0,100*233010/1068079,"")</f>
        <v>21.815802014644984</v>
      </c>
      <c r="D23" s="1">
        <f>IF(1073567&gt;0,100*185498/1073567,"")</f>
        <v>17.27866076360395</v>
      </c>
      <c r="E23" s="1">
        <f>IF(COUNT(C23:D23)=2,D23-C23,"")</f>
        <v>-4.537141251041035</v>
      </c>
      <c r="H23" s="1">
        <v>21</v>
      </c>
      <c r="I23" s="1">
        <v>20</v>
      </c>
      <c r="J23" s="1">
        <f>IF(2064525&gt;0,100*814911/2064525,"")</f>
        <v>39.47208195589785</v>
      </c>
      <c r="K23" s="1">
        <f>IF(1326077&gt;0,100*304702/1326077,"")</f>
        <v>22.97770038994719</v>
      </c>
      <c r="L23" s="1">
        <f>IF(COUNT(J23:K23)=2,K23-J23,"")</f>
        <v>-16.494381565950658</v>
      </c>
      <c r="O23" s="1">
        <v>21</v>
      </c>
      <c r="P23" s="1">
        <v>20</v>
      </c>
      <c r="Q23" s="1">
        <f>IF(988289&gt;0,100*243580/988289,"")</f>
        <v>24.646636763133053</v>
      </c>
      <c r="R23" s="1">
        <f>IF(1691010&gt;0,100*495706/1691010,"")</f>
        <v>29.314196840941214</v>
      </c>
      <c r="S23" s="1">
        <f>IF(COUNT(Q23:R23)=2,R23-Q23,"")</f>
        <v>4.667560077808162</v>
      </c>
    </row>
    <row r="24" spans="1:19">
      <c r="A24" s="1">
        <v>22</v>
      </c>
      <c r="B24" s="1">
        <v>21</v>
      </c>
      <c r="C24" s="1">
        <f>IF(1338290&gt;0,100*468761/1338290,"")</f>
        <v>35.0268626381427</v>
      </c>
      <c r="D24" s="1">
        <f>IF(261521&gt;0,100*22437/261521,"")</f>
        <v>8.579425744012909</v>
      </c>
      <c r="E24" s="1">
        <f>IF(COUNT(C24:D24)=2,D24-C24,"")</f>
        <v>-26.447436894129794</v>
      </c>
      <c r="H24" s="1">
        <v>22</v>
      </c>
      <c r="I24" s="1">
        <v>21</v>
      </c>
      <c r="J24" s="1">
        <f>IF(1478082&gt;0,100*446963/1478082,"")</f>
        <v>30.23939131929081</v>
      </c>
      <c r="K24" s="1">
        <f>IF(1648191&gt;0,100*420561/1648191,"")</f>
        <v>25.51652084012108</v>
      </c>
      <c r="L24" s="1">
        <f>IF(COUNT(J24:K24)=2,K24-J24,"")</f>
        <v>-4.722870479169732</v>
      </c>
      <c r="O24" s="1">
        <v>22</v>
      </c>
      <c r="P24" s="1">
        <v>21</v>
      </c>
      <c r="Q24" s="1">
        <f>IF(1372655&gt;0,100*332190/1372655,"")</f>
        <v>24.20054565786742</v>
      </c>
      <c r="R24" s="1">
        <f>IF(1295270&gt;0,100*347975/1295270,"")</f>
        <v>26.865055162244165</v>
      </c>
      <c r="S24" s="1">
        <f>IF(COUNT(Q24:R24)=2,R24-Q24,"")</f>
        <v>2.6645095043767455</v>
      </c>
    </row>
    <row r="25" spans="1:19">
      <c r="A25" s="1">
        <v>23</v>
      </c>
      <c r="B25" s="1">
        <v>22</v>
      </c>
      <c r="C25" s="1">
        <f>IF(509320&gt;0,100*1248/509320,"")</f>
        <v>0.24503259247624284</v>
      </c>
      <c r="D25" s="1">
        <f>IF(541838&gt;0,100*8790/541838,"")</f>
        <v>1.6222560986863233</v>
      </c>
      <c r="E25" s="1">
        <f>IF(COUNT(C25:D25)=2,D25-C25,"")</f>
        <v>1.3772235062100804</v>
      </c>
      <c r="H25" s="1">
        <v>23</v>
      </c>
      <c r="I25" s="1">
        <v>22</v>
      </c>
      <c r="J25" s="1">
        <f>IF(1340391&gt;0,100*238132/1340391,"")</f>
        <v>17.765860857018588</v>
      </c>
      <c r="K25" s="1">
        <f>IF(1447771&gt;0,100*264921/1447771,"")</f>
        <v>18.29854307069281</v>
      </c>
      <c r="L25" s="1">
        <f>IF(COUNT(J25:K25)=2,K25-J25,"")</f>
        <v>0.5326822136742209</v>
      </c>
      <c r="O25" s="1">
        <v>23</v>
      </c>
      <c r="P25" s="1">
        <v>22</v>
      </c>
      <c r="Q25" s="1">
        <f>IF(1673110&gt;0,100*548899/1673110,"")</f>
        <v>32.80710772154849</v>
      </c>
      <c r="R25" s="1">
        <f>IF(1160750&gt;0,100*131472/1160750,"")</f>
        <v>11.326469954770623</v>
      </c>
      <c r="S25" s="1">
        <f>IF(COUNT(Q25:R25)=2,R25-Q25,"")</f>
        <v>-21.480637766777868</v>
      </c>
    </row>
    <row r="26" spans="1:19">
      <c r="A26" s="1">
        <v>24</v>
      </c>
      <c r="B26" s="1">
        <v>23</v>
      </c>
      <c r="C26" s="1">
        <f>IF(914755&gt;0,100*175077/914755,"")</f>
        <v>19.139223070658264</v>
      </c>
      <c r="D26" s="1">
        <f>IF(1207255&gt;0,100*177024/1207255,"")</f>
        <v>14.663347842833536</v>
      </c>
      <c r="E26" s="1">
        <f>IF(COUNT(C26:D26)=2,D26-C26,"")</f>
        <v>-4.475875227824728</v>
      </c>
      <c r="H26" s="1">
        <v>24</v>
      </c>
      <c r="I26" s="1">
        <v>23</v>
      </c>
      <c r="J26" s="1">
        <f>IF(1715105&gt;0,100*545055/1715105,"")</f>
        <v>31.77968695794135</v>
      </c>
      <c r="K26" s="1">
        <f>IF(1034330&gt;0,100*79275/1034330,"")</f>
        <v>7.664381773708584</v>
      </c>
      <c r="L26" s="1">
        <f>IF(COUNT(J26:K26)=2,K26-J26,"")</f>
        <v>-24.115305184232767</v>
      </c>
      <c r="O26" s="1">
        <v>24</v>
      </c>
      <c r="P26" s="1">
        <v>23</v>
      </c>
      <c r="Q26" s="1">
        <f>IF(1476074&gt;0,100*377502/1476074,"")</f>
        <v>25.57473405804858</v>
      </c>
      <c r="R26" s="1">
        <f>IF(930289&gt;0,100*21468/930289,"")</f>
        <v>2.3076699821238345</v>
      </c>
      <c r="S26" s="1">
        <f>IF(COUNT(Q26:R26)=2,R26-Q26,"")</f>
        <v>-23.267064075924747</v>
      </c>
    </row>
    <row r="27" spans="1:19">
      <c r="A27" s="1">
        <v>25</v>
      </c>
      <c r="B27" s="1">
        <v>24</v>
      </c>
      <c r="C27" s="1">
        <f>IF(1691255&gt;0,100*656381/1691255,"")</f>
        <v>38.81029176558236</v>
      </c>
      <c r="D27" s="1">
        <f>IF(1859473&gt;0,100*639444/1859473,"")</f>
        <v>34.38845307245655</v>
      </c>
      <c r="E27" s="1">
        <f>IF(COUNT(C27:D27)=2,D27-C27,"")</f>
        <v>-4.421838693125814</v>
      </c>
      <c r="H27" s="1">
        <v>25</v>
      </c>
      <c r="I27" s="1">
        <v>24</v>
      </c>
      <c r="J27" s="1">
        <f>IF(1222508&gt;0,100*246917/1222508,"")</f>
        <v>20.197577439166043</v>
      </c>
      <c r="K27" s="1">
        <f>IF(702550&gt;0,100*6110/702550,"")</f>
        <v>0.8696889901074657</v>
      </c>
      <c r="L27" s="1">
        <f>IF(COUNT(J27:K27)=2,K27-J27,"")</f>
        <v>-19.327888449058577</v>
      </c>
      <c r="O27" s="1">
        <v>25</v>
      </c>
      <c r="P27" s="1">
        <v>24</v>
      </c>
      <c r="Q27" s="1">
        <f>IF(1190475&gt;0,100*83215/1190475,"")</f>
        <v>6.99006699006699</v>
      </c>
      <c r="R27" s="1">
        <f>IF(1200846&gt;0,100*101440/1200846,"")</f>
        <v>8.44737793189135</v>
      </c>
      <c r="S27" s="1">
        <f>IF(COUNT(Q27:R27)=2,R27-Q27,"")</f>
        <v>1.4573109418243595</v>
      </c>
    </row>
    <row r="28" spans="1:19">
      <c r="A28" s="1">
        <v>26</v>
      </c>
      <c r="B28" s="1">
        <v>25</v>
      </c>
      <c r="C28" s="1">
        <f>IF(1683042&gt;0,100*681416/1683042,"")</f>
        <v>40.48716550151452</v>
      </c>
      <c r="D28" s="1">
        <f>IF(1620038&gt;0,100*491543/1620038,"")</f>
        <v>30.341448780831065</v>
      </c>
      <c r="E28" s="1">
        <f>IF(COUNT(C28:D28)=2,D28-C28,"")</f>
        <v>-10.145716720683453</v>
      </c>
      <c r="H28" s="1">
        <v>26</v>
      </c>
      <c r="I28" s="1">
        <v>25</v>
      </c>
      <c r="J28" s="1">
        <f>IF(1827352&gt;0,100*581318/1827352,"")</f>
        <v>31.8120427810296</v>
      </c>
      <c r="K28" s="1">
        <f>IF(1544037&gt;0,100*315719/1544037,"")</f>
        <v>20.447631760119737</v>
      </c>
      <c r="L28" s="1">
        <f>IF(COUNT(J28:K28)=2,K28-J28,"")</f>
        <v>-11.364411020909863</v>
      </c>
      <c r="O28" s="1">
        <v>26</v>
      </c>
      <c r="P28" s="1">
        <v>25</v>
      </c>
      <c r="Q28" s="1">
        <f>IF(1679034&gt;0,100*488863/1679034,"")</f>
        <v>29.11572963978097</v>
      </c>
      <c r="R28" s="1">
        <f>IF(1305877&gt;0,100*275386/1305877,"")</f>
        <v>21.08820355975333</v>
      </c>
      <c r="S28" s="1">
        <f>IF(COUNT(Q28:R28)=2,R28-Q28,"")</f>
        <v>-8.027526080027638</v>
      </c>
    </row>
    <row r="29" spans="1:19">
      <c r="A29" s="1">
        <v>27</v>
      </c>
      <c r="B29" s="1">
        <v>26</v>
      </c>
      <c r="C29" s="1">
        <f>IF(1557766&gt;0,100*464581/1557766,"")</f>
        <v>29.823542175140553</v>
      </c>
      <c r="D29" s="1">
        <f>IF(1598860&gt;0,100*500416/1598860,"")</f>
        <v>31.29830003877763</v>
      </c>
      <c r="E29" s="1">
        <f>IF(COUNT(C29:D29)=2,D29-C29,"")</f>
        <v>1.4747578636370768</v>
      </c>
      <c r="H29" s="1">
        <v>27</v>
      </c>
      <c r="I29" s="1">
        <v>26</v>
      </c>
      <c r="J29" s="1">
        <f>IF(1255658&gt;0,100*171678/1255658,"")</f>
        <v>13.672353459301815</v>
      </c>
      <c r="K29" s="1">
        <f>IF(1405201&gt;0,100*227496/1405201,"")</f>
        <v>16.189570033041537</v>
      </c>
      <c r="L29" s="1">
        <f>IF(COUNT(J29:K29)=2,K29-J29,"")</f>
        <v>2.517216573739722</v>
      </c>
      <c r="O29" s="1">
        <v>27</v>
      </c>
      <c r="P29" s="1">
        <v>26</v>
      </c>
      <c r="Q29" s="1">
        <f>IF(2118549&gt;0,100*871261/2118549,"")</f>
        <v>41.12536457735931</v>
      </c>
      <c r="R29" s="1">
        <f>IF(1050188&gt;0,100*121878/1050188,"")</f>
        <v>11.605350661024502</v>
      </c>
      <c r="S29" s="1">
        <f>IF(COUNT(Q29:R29)=2,R29-Q29,"")</f>
        <v>-29.52001391633481</v>
      </c>
    </row>
    <row r="30" spans="1:19">
      <c r="A30" s="1">
        <v>28</v>
      </c>
      <c r="B30" s="1">
        <v>27</v>
      </c>
      <c r="C30" s="1">
        <f>IF(506350&gt;0,100*449/506350,"")</f>
        <v>0.08867384220400909</v>
      </c>
      <c r="D30" s="1">
        <f>IF(503398&gt;0,100*590/503398,"")</f>
        <v>0.1172034851151574</v>
      </c>
      <c r="E30" s="1">
        <f>IF(COUNT(C30:D30)=2,D30-C30,"")</f>
        <v>0.028529642911148304</v>
      </c>
      <c r="H30" s="1">
        <v>28</v>
      </c>
      <c r="I30" s="1">
        <v>27</v>
      </c>
      <c r="J30" s="1">
        <f>IF(1718872&gt;0,100*583484/1718872,"")</f>
        <v>33.94575046891217</v>
      </c>
      <c r="K30" s="1">
        <f>IF(1359500&gt;0,100*298586/1359500,"")</f>
        <v>21.96292754689224</v>
      </c>
      <c r="L30" s="1">
        <f>IF(COUNT(J30:K30)=2,K30-J30,"")</f>
        <v>-11.982822922019935</v>
      </c>
      <c r="O30" s="1">
        <v>28</v>
      </c>
      <c r="P30" s="1">
        <v>27</v>
      </c>
      <c r="Q30" s="1">
        <f>IF(1202604&gt;0,100*322949/1202604,"")</f>
        <v>26.8541431759748</v>
      </c>
      <c r="R30" s="1">
        <f>IF(784444&gt;0,100*114256/784444,"")</f>
        <v>14.565220716838933</v>
      </c>
      <c r="S30" s="1">
        <f>IF(COUNT(Q30:R30)=2,R30-Q30,"")</f>
        <v>-12.288922459135868</v>
      </c>
    </row>
    <row r="31" spans="1:19">
      <c r="A31" s="1">
        <v>29</v>
      </c>
      <c r="B31" s="1">
        <v>28</v>
      </c>
      <c r="C31" s="1">
        <f>IF(1614535&gt;0,100*599059/1614535,"")</f>
        <v>37.104119762036746</v>
      </c>
      <c r="D31" s="1">
        <f>IF(1417735&gt;0,100*429385/1417735,"")</f>
        <v>30.286689684602553</v>
      </c>
      <c r="E31" s="1">
        <f>IF(COUNT(C31:D31)=2,D31-C31,"")</f>
        <v>-6.817430077434192</v>
      </c>
      <c r="H31" s="1">
        <v>29</v>
      </c>
      <c r="I31" s="1">
        <v>28</v>
      </c>
      <c r="J31" s="1">
        <f>IF(1707787&gt;0,100*644845/1707787,"")</f>
        <v>37.75909993459371</v>
      </c>
      <c r="K31" s="1">
        <f>IF(1719257&gt;0,100*506051/1719257,"")</f>
        <v>29.43428469391138</v>
      </c>
      <c r="L31" s="1">
        <f>IF(COUNT(J31:K31)=2,K31-J31,"")</f>
        <v>-8.324815240682334</v>
      </c>
      <c r="O31" s="1">
        <v>29</v>
      </c>
      <c r="P31" s="1">
        <v>28</v>
      </c>
      <c r="Q31" s="1">
        <f>IF(1781585&gt;0,100*685393/1781585,"")</f>
        <v>38.47096826702066</v>
      </c>
      <c r="R31" s="1">
        <f>IF(1627623&gt;0,100*539756/1627623,"")</f>
        <v>33.16222491326308</v>
      </c>
      <c r="S31" s="1">
        <f>IF(COUNT(Q31:R31)=2,R31-Q31,"")</f>
        <v>-5.308743353757578</v>
      </c>
    </row>
    <row r="32" spans="1:19">
      <c r="A32" s="1">
        <v>30</v>
      </c>
      <c r="B32" s="1">
        <v>29</v>
      </c>
      <c r="C32" s="1">
        <f>IF(1722125&gt;0,100*685666/1722125,"")</f>
        <v>39.81511214342745</v>
      </c>
      <c r="D32" s="1">
        <f>IF(1300273&gt;0,100*278240/1300273,"")</f>
        <v>21.398583220600596</v>
      </c>
      <c r="E32" s="1">
        <f>IF(COUNT(C32:D32)=2,D32-C32,"")</f>
        <v>-18.416528922826853</v>
      </c>
      <c r="H32" s="1">
        <v>30</v>
      </c>
      <c r="I32" s="1">
        <v>29</v>
      </c>
      <c r="J32" s="1">
        <f>IF(1183903&gt;0,100*336267/1183903,"")</f>
        <v>28.403256009994063</v>
      </c>
      <c r="K32" s="1">
        <f>IF(828812&gt;0,100*43543/828812,"")</f>
        <v>5.253664280922574</v>
      </c>
      <c r="L32" s="1">
        <f>IF(COUNT(J32:K32)=2,K32-J32,"")</f>
        <v>-23.14959172907149</v>
      </c>
      <c r="O32" s="1">
        <v>30</v>
      </c>
      <c r="P32" s="1">
        <v>29</v>
      </c>
      <c r="Q32" s="1">
        <f>IF(1267752&gt;0,100*304833/1267752,"")</f>
        <v>24.045160252162884</v>
      </c>
      <c r="R32" s="1">
        <f>IF(923590&gt;0,100*69918/923590,"")</f>
        <v>7.570242207039921</v>
      </c>
      <c r="S32" s="1">
        <f>IF(COUNT(Q32:R32)=2,R32-Q32,"")</f>
        <v>-16.474918045122962</v>
      </c>
    </row>
    <row r="33" spans="1:19">
      <c r="A33" s="1">
        <v>31</v>
      </c>
      <c r="B33" s="1">
        <v>30</v>
      </c>
      <c r="C33" s="1">
        <f>IF(758539&gt;0,100*11909/758539,"")</f>
        <v>1.569991786842865</v>
      </c>
      <c r="D33" s="1">
        <f>IF(1197972&gt;0,100*56692/1197972,"")</f>
        <v>4.732330972677158</v>
      </c>
      <c r="E33" s="1">
        <f>IF(COUNT(C33:D33)=2,D33-C33,"")</f>
        <v>3.1623391858342926</v>
      </c>
      <c r="H33" s="1">
        <v>31</v>
      </c>
      <c r="I33" s="1">
        <v>30</v>
      </c>
      <c r="J33" s="1">
        <f>IF(1372764&gt;0,100*366154/1372764,"")</f>
        <v>26.67275656995667</v>
      </c>
      <c r="K33" s="1">
        <f>IF(1439072&gt;0,100*342567/1439072,"")</f>
        <v>23.804715816859755</v>
      </c>
      <c r="L33" s="1">
        <f>IF(COUNT(J33:K33)=2,K33-J33,"")</f>
        <v>-2.868040753096917</v>
      </c>
      <c r="O33" s="1">
        <v>31</v>
      </c>
      <c r="P33" s="1">
        <v>30</v>
      </c>
      <c r="Q33" s="1">
        <f>IF(1698653&gt;0,100*588007/1698653,"")</f>
        <v>34.616075207826434</v>
      </c>
      <c r="R33" s="1">
        <f>IF(1392032&gt;0,100*318594/1392032,"")</f>
        <v>22.886973862669823</v>
      </c>
      <c r="S33" s="1">
        <f>IF(COUNT(Q33:R33)=2,R33-Q33,"")</f>
        <v>-11.72910134515661</v>
      </c>
    </row>
    <row r="34" spans="1:19">
      <c r="A34" s="2" t="s">
        <v>6</v>
      </c>
      <c r="B34" s="1"/>
      <c r="C34" s="1">
        <f>IF(COUNT(C3:C33)&gt;0,AVERAGE(C3:C33),"")</f>
        <v>28.37755704515853</v>
      </c>
      <c r="D34" s="1">
        <f>IF(COUNT(D3:D33)&gt;0,AVERAGE(D3:D33),"")</f>
        <v>18.253230532647834</v>
      </c>
      <c r="E34" s="1">
        <f>IF(COUNT(E3:E33)&gt;0,AVERAGE(E3:E33),"")</f>
        <v>-10.124326512510697</v>
      </c>
      <c r="H34" s="2" t="s">
        <v>6</v>
      </c>
      <c r="I34" s="1"/>
      <c r="J34" s="1">
        <f>IF(COUNT(J3:J33)&gt;0,AVERAGE(J3:J33),"")</f>
        <v>23.048785214991636</v>
      </c>
      <c r="K34" s="1">
        <f>IF(COUNT(K3:K33)&gt;0,AVERAGE(K3:K33),"")</f>
        <v>16.362622498129234</v>
      </c>
      <c r="L34" s="1">
        <f>IF(COUNT(L3:L33)&gt;0,AVERAGE(L3:L33),"")</f>
        <v>-6.686162716862401</v>
      </c>
      <c r="O34" s="2" t="s">
        <v>6</v>
      </c>
      <c r="P34" s="1"/>
      <c r="Q34" s="1">
        <f>IF(COUNT(Q3:Q33)&gt;0,AVERAGE(Q3:Q33),"")</f>
        <v>24.644136830215917</v>
      </c>
      <c r="R34" s="1">
        <f>IF(COUNT(R3:R33)&gt;0,AVERAGE(R3:R33),"")</f>
        <v>15.909561692327653</v>
      </c>
      <c r="S34" s="1">
        <f>IF(COUNT(S3:S33)&gt;0,AVERAGE(S3:S33),"")</f>
        <v>-8.734575137888266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IF(1093423&gt;0,100*121600/1093423,"")</f>
        <v>11.121039158678755</v>
      </c>
      <c r="D39" s="1">
        <f>IF(937043&gt;0,100*56583/937043,"")</f>
        <v>6.03846354969836</v>
      </c>
      <c r="E39" s="1">
        <f>IF(COUNT(C39:D39)=2,D39-C39,"")</f>
        <v>-5.082575608980395</v>
      </c>
      <c r="H39" s="1">
        <v>1</v>
      </c>
      <c r="I39" s="1">
        <v>0</v>
      </c>
      <c r="J39" s="1">
        <f>IF(2001661&gt;0,100*613984/2001661,"")</f>
        <v>30.673725470996338</v>
      </c>
      <c r="K39" s="1">
        <f>IF(2004497&gt;0,100*562157/2004497,"")</f>
        <v>28.04479128679165</v>
      </c>
      <c r="L39" s="1">
        <f>IF(COUNT(J39:K39)=2,K39-J39,"")</f>
        <v>-2.628934184204688</v>
      </c>
      <c r="O39" s="1">
        <v>1</v>
      </c>
      <c r="P39" s="1">
        <v>0</v>
      </c>
      <c r="Q39" s="1">
        <f>IF(1572820&gt;0,100*273004/1572820,"")</f>
        <v>17.35761244134739</v>
      </c>
      <c r="R39" s="1">
        <f>IF(2731312&gt;0,100*944973/2731312,"")</f>
        <v>34.59776839848395</v>
      </c>
      <c r="S39" s="1">
        <f>IF(COUNT(Q39:R39)=2,R39-Q39,"")</f>
        <v>17.24015595713656</v>
      </c>
    </row>
    <row r="40" spans="1:19">
      <c r="A40" s="1">
        <v>2</v>
      </c>
      <c r="B40" s="1">
        <v>1</v>
      </c>
      <c r="C40" s="1">
        <f>IF(1205676&gt;0,100*374828/1205676,"")</f>
        <v>31.08861750586393</v>
      </c>
      <c r="D40" s="1">
        <f>IF(1012662&gt;0,100*272158/1012662,"")</f>
        <v>26.875502388753603</v>
      </c>
      <c r="E40" s="1">
        <f>IF(COUNT(C40:D40)=2,D40-C40,"")</f>
        <v>-4.213115117110327</v>
      </c>
      <c r="H40" s="1">
        <v>2</v>
      </c>
      <c r="I40" s="1">
        <v>1</v>
      </c>
      <c r="J40" s="1">
        <f>IF(2100504&gt;0,100*794890/2100504,"")</f>
        <v>37.84282248450848</v>
      </c>
      <c r="K40" s="1">
        <f>IF(1477941&gt;0,100*348929/1477941,"")</f>
        <v>23.609129187159702</v>
      </c>
      <c r="L40" s="1">
        <f>IF(COUNT(J40:K40)=2,K40-J40,"")</f>
        <v>-14.233693297348779</v>
      </c>
      <c r="O40" s="1">
        <v>2</v>
      </c>
      <c r="P40" s="1">
        <v>1</v>
      </c>
      <c r="Q40" s="1">
        <f>IF(2271111&gt;0,100*972080/2271111,"")</f>
        <v>42.801959041191736</v>
      </c>
      <c r="R40" s="1">
        <f>IF(2398273&gt;0,100*786771/2398273,"")</f>
        <v>32.805731457594696</v>
      </c>
      <c r="S40" s="1">
        <f>IF(COUNT(Q40:R40)=2,R40-Q40,"")</f>
        <v>-9.99622758359704</v>
      </c>
    </row>
    <row r="41" spans="1:19">
      <c r="A41" s="1">
        <v>3</v>
      </c>
      <c r="B41" s="1">
        <v>2</v>
      </c>
      <c r="C41" s="1">
        <f>IF(1607803&gt;0,100*670978/1607803,"")</f>
        <v>41.732600324791036</v>
      </c>
      <c r="D41" s="1">
        <f>IF(1907204&gt;0,100*621033/1907204,"")</f>
        <v>32.56248413908528</v>
      </c>
      <c r="E41" s="1">
        <f>IF(COUNT(C41:D41)=2,D41-C41,"")</f>
        <v>-9.170116185705758</v>
      </c>
      <c r="H41" s="1">
        <v>3</v>
      </c>
      <c r="I41" s="1">
        <v>2</v>
      </c>
      <c r="J41" s="1">
        <f>IF(2703819&gt;0,100*975381/2703819,"")</f>
        <v>36.0741972742998</v>
      </c>
      <c r="K41" s="1">
        <f>IF(733459&gt;0,100*22666/733459,"")</f>
        <v>3.0902886187230645</v>
      </c>
      <c r="L41" s="1">
        <f>IF(COUNT(J41:K41)=2,K41-J41,"")</f>
        <v>-32.983908655576734</v>
      </c>
      <c r="O41" s="1">
        <v>3</v>
      </c>
      <c r="P41" s="1">
        <v>2</v>
      </c>
      <c r="Q41" s="1">
        <f>IF(2333406&gt;0,100*950771/2333406,"")</f>
        <v>40.746059622714604</v>
      </c>
      <c r="R41" s="1">
        <f>IF(2061811&gt;0,100*395455/2061811,"")</f>
        <v>19.179983034332437</v>
      </c>
      <c r="S41" s="1">
        <f>IF(COUNT(Q41:R41)=2,R41-Q41,"")</f>
        <v>-21.566076588382167</v>
      </c>
    </row>
    <row r="42" spans="1:19">
      <c r="A42" s="1">
        <v>4</v>
      </c>
      <c r="B42" s="1">
        <v>3</v>
      </c>
      <c r="C42" s="1">
        <f>IF(2016766&gt;0,100*855389/2016766,"")</f>
        <v>42.41389432388289</v>
      </c>
      <c r="D42" s="1">
        <f>IF(2334&gt;0,100*792/2334,"")</f>
        <v>33.933161953727506</v>
      </c>
      <c r="E42" s="1">
        <f>IF(COUNT(C42:D42)=2,D42-C42,"")</f>
        <v>-8.480732370155387</v>
      </c>
      <c r="H42" s="1">
        <v>4</v>
      </c>
      <c r="I42" s="1">
        <v>3</v>
      </c>
      <c r="J42" s="1">
        <f>IF(1363146&gt;0,100*83089/1363146,"")</f>
        <v>6.09538523386343</v>
      </c>
      <c r="K42" s="1">
        <f>IF(1434592&gt;0,100*209548/1434592,"")</f>
        <v>14.606801097454886</v>
      </c>
      <c r="L42" s="1">
        <f>IF(COUNT(J42:K42)=2,K42-J42,"")</f>
        <v>8.511415863591456</v>
      </c>
      <c r="O42" s="1">
        <v>4</v>
      </c>
      <c r="P42" s="1">
        <v>3</v>
      </c>
      <c r="Q42" s="1">
        <f>IF(1406270&gt;0,100*83129/1406270,"")</f>
        <v>5.911311483570011</v>
      </c>
      <c r="R42" s="1">
        <f>IF(1628469&gt;0,100*338577/1628469,"")</f>
        <v>20.791123441711203</v>
      </c>
      <c r="S42" s="1">
        <f>IF(COUNT(Q42:R42)=2,R42-Q42,"")</f>
        <v>14.879811958141193</v>
      </c>
    </row>
    <row r="43" spans="1:19">
      <c r="A43" s="1">
        <v>5</v>
      </c>
      <c r="B43" s="1">
        <v>4</v>
      </c>
      <c r="C43" s="1">
        <f>IF(1270456&gt;0,100*222216/1270456,"")</f>
        <v>17.49104258628398</v>
      </c>
      <c r="D43" s="1">
        <f>IF(2881911&gt;0,100*678282/2881911,"")</f>
        <v>23.53584132195616</v>
      </c>
      <c r="E43" s="1">
        <f>IF(COUNT(C43:D43)=2,D43-C43,"")</f>
        <v>6.0447987356721775</v>
      </c>
      <c r="H43" s="1">
        <v>5</v>
      </c>
      <c r="I43" s="1">
        <v>4</v>
      </c>
      <c r="J43" s="1">
        <f>IF(2437241&gt;0,100*1028598/2437241,"")</f>
        <v>42.20337668699977</v>
      </c>
      <c r="K43" s="1">
        <f>IF(2660504&gt;0,100*838853/2660504,"")</f>
        <v>31.52985299026049</v>
      </c>
      <c r="L43" s="1">
        <f>IF(COUNT(J43:K43)=2,K43-J43,"")</f>
        <v>-10.673523696739277</v>
      </c>
      <c r="O43" s="1">
        <v>5</v>
      </c>
      <c r="P43" s="1">
        <v>4</v>
      </c>
      <c r="Q43" s="1">
        <f>IF(2401097&gt;0,100*1112784/2401097,"")</f>
        <v>46.344816556765515</v>
      </c>
      <c r="R43" s="1">
        <f>IF(2494679&gt;0,100*797262/2494679,"")</f>
        <v>31.95850047240547</v>
      </c>
      <c r="S43" s="1">
        <f>IF(COUNT(Q43:R43)=2,R43-Q43,"")</f>
        <v>-14.386316084360047</v>
      </c>
    </row>
    <row r="44" spans="1:19">
      <c r="A44" s="1">
        <v>6</v>
      </c>
      <c r="B44" s="1">
        <v>5</v>
      </c>
      <c r="C44" s="1">
        <f>IF(2068143&gt;0,100*935980/2068143,"")</f>
        <v>45.25702526372693</v>
      </c>
      <c r="D44" s="1">
        <f>IF(1927711&gt;0,100*491772/1927711,"")</f>
        <v>25.510670427258027</v>
      </c>
      <c r="E44" s="1">
        <f>IF(COUNT(C44:D44)=2,D44-C44,"")</f>
        <v>-19.746354836468903</v>
      </c>
      <c r="H44" s="1">
        <v>6</v>
      </c>
      <c r="I44" s="1">
        <v>5</v>
      </c>
      <c r="J44" s="1">
        <f>IF(2170385&gt;0,100*855280/2170385,"")</f>
        <v>39.40683334984346</v>
      </c>
      <c r="K44" s="1">
        <f>IF(899541&gt;0,100*111483/899541,"")</f>
        <v>12.393320593502686</v>
      </c>
      <c r="L44" s="1">
        <f>IF(COUNT(J44:K44)=2,K44-J44,"")</f>
        <v>-27.013512756340774</v>
      </c>
      <c r="O44" s="1">
        <v>6</v>
      </c>
      <c r="P44" s="1">
        <v>5</v>
      </c>
      <c r="Q44" s="1">
        <f>IF(1758860&gt;0,100*252810/1758860,"")</f>
        <v>14.373514662906656</v>
      </c>
      <c r="R44" s="1">
        <f>IF(1855648&gt;0,100*349530/1855648,"")</f>
        <v>18.83600769111383</v>
      </c>
      <c r="S44" s="1">
        <f>IF(COUNT(Q44:R44)=2,R44-Q44,"")</f>
        <v>4.4624930282071755</v>
      </c>
    </row>
    <row r="45" spans="1:19">
      <c r="A45" s="1">
        <v>7</v>
      </c>
      <c r="B45" s="1">
        <v>6</v>
      </c>
      <c r="C45" s="1">
        <f>IF(1955799&gt;0,100*927153/1955799,"")</f>
        <v>47.405331529466984</v>
      </c>
      <c r="D45" s="1">
        <f>IF(1976812&gt;0,100*506207/1976812,"")</f>
        <v>25.607240344554768</v>
      </c>
      <c r="E45" s="1">
        <f>IF(COUNT(C45:D45)=2,D45-C45,"")</f>
        <v>-21.798091184912217</v>
      </c>
      <c r="H45" s="1">
        <v>7</v>
      </c>
      <c r="I45" s="1">
        <v>6</v>
      </c>
      <c r="J45" s="1">
        <f>IF(1062155&gt;0,100*3098/1062155,"")</f>
        <v>0.29167117793542374</v>
      </c>
      <c r="K45" s="1">
        <f>IF(1236410&gt;0,100*66764/1236410,"")</f>
        <v>5.399826918255271</v>
      </c>
      <c r="L45" s="1">
        <f>IF(COUNT(J45:K45)=2,K45-J45,"")</f>
        <v>5.108155740319847</v>
      </c>
      <c r="O45" s="1">
        <v>7</v>
      </c>
      <c r="P45" s="1">
        <v>6</v>
      </c>
      <c r="Q45" s="1">
        <f>IF(1340065&gt;0,100*31783/1340065,"")</f>
        <v>2.3717506240368937</v>
      </c>
      <c r="R45" s="1">
        <f>IF(945158&gt;0,100*24164/945158,"")</f>
        <v>2.5566095827364315</v>
      </c>
      <c r="S45" s="1">
        <f>IF(COUNT(Q45:R45)=2,R45-Q45,"")</f>
        <v>0.18485895869953772</v>
      </c>
    </row>
    <row r="46" spans="1:19">
      <c r="A46" s="1">
        <v>8</v>
      </c>
      <c r="B46" s="1">
        <v>7</v>
      </c>
      <c r="C46" s="1">
        <f>IF(2103376&gt;0,100*877826/2103376,"")</f>
        <v>41.73414548801546</v>
      </c>
      <c r="D46" s="1">
        <f>IF(1434126&gt;0,100*272742/1434126,"")</f>
        <v>19.01799423481619</v>
      </c>
      <c r="E46" s="1">
        <f>IF(COUNT(C46:D46)=2,D46-C46,"")</f>
        <v>-22.716151253199268</v>
      </c>
      <c r="H46" s="1">
        <v>8</v>
      </c>
      <c r="I46" s="1">
        <v>7</v>
      </c>
      <c r="J46" s="1">
        <f>IF(875780&gt;0,100*4451/875780,"")</f>
        <v>0.5082326611706136</v>
      </c>
      <c r="K46" s="1">
        <f>IF(1161223&gt;0,100*288/1161223,"")</f>
        <v>0.02480143779446325</v>
      </c>
      <c r="L46" s="1">
        <f>IF(COUNT(J46:K46)=2,K46-J46,"")</f>
        <v>-0.48343122337615035</v>
      </c>
      <c r="O46" s="1">
        <v>8</v>
      </c>
      <c r="P46" s="1">
        <v>7</v>
      </c>
      <c r="Q46" s="1">
        <f>IF(953770&gt;0,100*30543/953770,"")</f>
        <v>3.202344380720719</v>
      </c>
      <c r="R46" s="1">
        <f>IF(864448&gt;0,100*8113/864448,"")</f>
        <v>0.9385179906715037</v>
      </c>
      <c r="S46" s="1">
        <f>IF(COUNT(Q46:R46)=2,R46-Q46,"")</f>
        <v>-2.2638263900492155</v>
      </c>
    </row>
    <row r="47" spans="1:19">
      <c r="A47" s="1">
        <v>9</v>
      </c>
      <c r="B47" s="1">
        <v>8</v>
      </c>
      <c r="C47" s="1">
        <f>IF(1775689&gt;0,100*854041/1775689,"")</f>
        <v>48.096316415768754</v>
      </c>
      <c r="D47" s="1">
        <f>IF(1019035&gt;0,100*151630/1019035,"")</f>
        <v>14.87976369800841</v>
      </c>
      <c r="E47" s="1">
        <f>IF(COUNT(C47:D47)=2,D47-C47,"")</f>
        <v>-33.216552717760344</v>
      </c>
      <c r="H47" s="1">
        <v>9</v>
      </c>
      <c r="I47" s="1">
        <v>8</v>
      </c>
      <c r="J47" s="1">
        <f>IF(2261107&gt;0,100*975052/2261107,"")</f>
        <v>43.122771279731566</v>
      </c>
      <c r="K47" s="1">
        <f>IF(2667141&gt;0,100*909489/2667141,"")</f>
        <v>34.09977200305496</v>
      </c>
      <c r="L47" s="1">
        <f>IF(COUNT(J47:K47)=2,K47-J47,"")</f>
        <v>-9.022999276676607</v>
      </c>
      <c r="O47" s="1">
        <v>9</v>
      </c>
      <c r="P47" s="1">
        <v>8</v>
      </c>
      <c r="Q47" s="1">
        <f>IF(2405152&gt;0,100*1125762/2405152,"")</f>
        <v>46.80627253495829</v>
      </c>
      <c r="R47" s="1">
        <f>IF(1732287&gt;0,100*383039/1732287,"")</f>
        <v>22.11175169010678</v>
      </c>
      <c r="S47" s="1">
        <f>IF(COUNT(Q47:R47)=2,R47-Q47,"")</f>
        <v>-24.69452084485151</v>
      </c>
    </row>
    <row r="48" spans="1:19">
      <c r="A48" s="1">
        <v>10</v>
      </c>
      <c r="B48" s="1">
        <v>9</v>
      </c>
      <c r="C48" s="1">
        <f>IF(1746180&gt;0,100*461985/1746180,"")</f>
        <v>26.456894478232485</v>
      </c>
      <c r="D48" s="1">
        <f>IF(958307&gt;0,100*30493/958307,"")</f>
        <v>3.181965695753031</v>
      </c>
      <c r="E48" s="1">
        <f>IF(COUNT(C48:D48)=2,D48-C48,"")</f>
        <v>-23.274928782479453</v>
      </c>
      <c r="H48" s="1">
        <v>10</v>
      </c>
      <c r="I48" s="1">
        <v>9</v>
      </c>
      <c r="J48" s="1">
        <f>IF(2706863&gt;0,100*1192100/2706863,"")</f>
        <v>44.03990892778837</v>
      </c>
      <c r="K48" s="1">
        <f>IF(1370729&gt;0,100*31526/1370729,"")</f>
        <v>2.2999440443734684</v>
      </c>
      <c r="L48" s="1">
        <f>IF(COUNT(J48:K48)=2,K48-J48,"")</f>
        <v>-41.7399648834149</v>
      </c>
      <c r="O48" s="1">
        <v>10</v>
      </c>
      <c r="P48" s="1">
        <v>9</v>
      </c>
      <c r="Q48" s="1">
        <f>IF(1922653&gt;0,100*523894/1922653,"")</f>
        <v>27.248494658162446</v>
      </c>
      <c r="R48" s="1">
        <f>IF(1659266&gt;0,100*274097/1659266,"")</f>
        <v>16.51917173015056</v>
      </c>
      <c r="S48" s="1">
        <f>IF(COUNT(Q48:R48)=2,R48-Q48,"")</f>
        <v>-10.729322928011886</v>
      </c>
    </row>
    <row r="49" spans="1:19">
      <c r="A49" s="1">
        <v>11</v>
      </c>
      <c r="B49" s="1">
        <v>10</v>
      </c>
      <c r="C49" s="1">
        <f>IF(1971439&gt;0,100*862784/1971439,"")</f>
        <v>43.76417429096208</v>
      </c>
      <c r="D49" s="1">
        <f>IF(1964100&gt;0,100*595472/1964100,"")</f>
        <v>30.317804592434193</v>
      </c>
      <c r="E49" s="1">
        <f>IF(COUNT(C49:D49)=2,D49-C49,"")</f>
        <v>-13.446369698527889</v>
      </c>
      <c r="H49" s="1">
        <v>11</v>
      </c>
      <c r="I49" s="1">
        <v>10</v>
      </c>
      <c r="J49" s="1">
        <f>IF(2596797&gt;0,100*880971/2596797,"")</f>
        <v>33.92529335177143</v>
      </c>
      <c r="K49" s="1">
        <f>IF(1288713&gt;0,100*52847/1288713,"")</f>
        <v>4.100757887908324</v>
      </c>
      <c r="L49" s="1">
        <f>IF(COUNT(J49:K49)=2,K49-J49,"")</f>
        <v>-29.824535463863107</v>
      </c>
      <c r="O49" s="1">
        <v>11</v>
      </c>
      <c r="P49" s="1">
        <v>10</v>
      </c>
      <c r="Q49" s="1">
        <f>IF(2537267&gt;0,100*1086404/2537267,"")</f>
        <v>42.817882390777164</v>
      </c>
      <c r="R49" s="1">
        <f>IF(1490454&gt;0,100*86496/1490454,"")</f>
        <v>5.803332407440954</v>
      </c>
      <c r="S49" s="1">
        <f>IF(COUNT(Q49:R49)=2,R49-Q49,"")</f>
        <v>-37.01454998333621</v>
      </c>
    </row>
    <row r="50" spans="1:19">
      <c r="A50" s="1">
        <v>12</v>
      </c>
      <c r="B50" s="1">
        <v>11</v>
      </c>
      <c r="C50" s="1">
        <f>IF(1769042&gt;0,100*718057/1769042,"")</f>
        <v>40.59016122850673</v>
      </c>
      <c r="D50" s="1">
        <f>IF(816995&gt;0,100*171636/816995,"")</f>
        <v>21.00820690457102</v>
      </c>
      <c r="E50" s="1">
        <f>IF(COUNT(C50:D50)=2,D50-C50,"")</f>
        <v>-19.58195432393571</v>
      </c>
      <c r="H50" s="1">
        <v>12</v>
      </c>
      <c r="I50" s="1">
        <v>11</v>
      </c>
      <c r="J50" s="1">
        <f>IF(16409&gt;0,100*2109/16409,"")</f>
        <v>12.85270278505698</v>
      </c>
      <c r="K50" s="1">
        <f>IF(1323731&gt;0,100*44762/1323731,"")</f>
        <v>3.3815027373386286</v>
      </c>
      <c r="L50" s="1">
        <f>IF(COUNT(J50:K50)=2,K50-J50,"")</f>
        <v>-9.471200047718352</v>
      </c>
      <c r="O50" s="1">
        <v>12</v>
      </c>
      <c r="P50" s="1">
        <v>11</v>
      </c>
      <c r="Q50" s="1">
        <f>IF(2609889&gt;0,100*1051883/2609889,"")</f>
        <v>40.30374471864512</v>
      </c>
      <c r="R50" s="1">
        <f>IF(2008869&gt;0,100*230847/2008869,"")</f>
        <v>11.491391424727048</v>
      </c>
      <c r="S50" s="1">
        <f>IF(COUNT(Q50:R50)=2,R50-Q50,"")</f>
        <v>-28.812353293918072</v>
      </c>
    </row>
    <row r="51" spans="1:19">
      <c r="A51" s="1">
        <v>13</v>
      </c>
      <c r="B51" s="1">
        <v>12</v>
      </c>
      <c r="C51" s="1">
        <f>IF(2168985&gt;0,100*980233/2168985,"")</f>
        <v>45.193166388886965</v>
      </c>
      <c r="D51" s="1">
        <f>IF(2119872&gt;0,100*598713/2119872,"")</f>
        <v>28.242884476043837</v>
      </c>
      <c r="E51" s="1">
        <f>IF(COUNT(C51:D51)=2,D51-C51,"")</f>
        <v>-16.950281912843128</v>
      </c>
      <c r="H51" s="1">
        <v>13</v>
      </c>
      <c r="I51" s="1">
        <v>12</v>
      </c>
      <c r="J51" s="1">
        <f>IF(1392134&gt;0,100*142847/1392134,"")</f>
        <v>10.261009356857889</v>
      </c>
      <c r="K51" s="1">
        <f>IF(1333567&gt;0,100*108035/1333567,"")</f>
        <v>8.101205263777523</v>
      </c>
      <c r="L51" s="1">
        <f>IF(COUNT(J51:K51)=2,K51-J51,"")</f>
        <v>-2.159804093080366</v>
      </c>
      <c r="O51" s="1">
        <v>13</v>
      </c>
      <c r="P51" s="1">
        <v>12</v>
      </c>
      <c r="Q51" s="1">
        <f>IF(1129838&gt;0,100*24638/1129838,"")</f>
        <v>2.1806666088412676</v>
      </c>
      <c r="R51" s="1">
        <f>IF(1191894&gt;0,100*33532/1191894,"")</f>
        <v>2.8133374276571574</v>
      </c>
      <c r="S51" s="1">
        <f>IF(COUNT(Q51:R51)=2,R51-Q51,"")</f>
        <v>0.6326708188158898</v>
      </c>
    </row>
    <row r="52" spans="1:19">
      <c r="A52" s="1">
        <v>14</v>
      </c>
      <c r="B52" s="1">
        <v>13</v>
      </c>
      <c r="C52" s="1">
        <f>IF(1030639&gt;0,100*3971/1030639,"")</f>
        <v>0.38529494808560516</v>
      </c>
      <c r="D52" s="1">
        <f>IF(799616&gt;0,100*28936/799616,"")</f>
        <v>3.6187369937570035</v>
      </c>
      <c r="E52" s="1">
        <f>IF(COUNT(C52:D52)=2,D52-C52,"")</f>
        <v>3.2334420456713984</v>
      </c>
      <c r="H52" s="1">
        <v>14</v>
      </c>
      <c r="I52" s="1">
        <v>13</v>
      </c>
      <c r="J52" s="1">
        <f>IF(1631278&gt;0,100*497437/1631278,"")</f>
        <v>30.49369880547644</v>
      </c>
      <c r="K52" s="1">
        <f>IF(1595997&gt;0,100*331397/1595997,"")</f>
        <v>20.764262088211947</v>
      </c>
      <c r="L52" s="1">
        <f>IF(COUNT(J52:K52)=2,K52-J52,"")</f>
        <v>-9.729436717264495</v>
      </c>
      <c r="O52" s="1">
        <v>14</v>
      </c>
      <c r="P52" s="1">
        <v>13</v>
      </c>
      <c r="Q52" s="1">
        <f>IF(1227769&gt;0,100*230841/1227769,"")</f>
        <v>18.801663830899788</v>
      </c>
      <c r="R52" s="1">
        <f>IF(837770&gt;0,100*8532/837770,"")</f>
        <v>1.0184179428721487</v>
      </c>
      <c r="S52" s="1">
        <f>IF(COUNT(Q52:R52)=2,R52-Q52,"")</f>
        <v>-17.78324588802764</v>
      </c>
    </row>
    <row r="53" spans="1:19">
      <c r="A53" s="1">
        <v>15</v>
      </c>
      <c r="B53" s="1">
        <v>14</v>
      </c>
      <c r="C53" s="1">
        <f>IF(1555406&gt;0,100*520362/1555406,"")</f>
        <v>33.45505932213197</v>
      </c>
      <c r="D53" s="1">
        <f>IF(981956&gt;0,100*256156/981956,"")</f>
        <v>26.086301219199232</v>
      </c>
      <c r="E53" s="1">
        <f>IF(COUNT(C53:D53)=2,D53-C53,"")</f>
        <v>-7.368758102932741</v>
      </c>
      <c r="H53" s="1">
        <v>15</v>
      </c>
      <c r="I53" s="1">
        <v>14</v>
      </c>
      <c r="J53" s="1">
        <f>IF(1857255&gt;0,100*556621/1857255,"")</f>
        <v>29.970090267626148</v>
      </c>
      <c r="K53" s="1">
        <f>IF(2070246&gt;0,100*400739/2070246,"")</f>
        <v>19.357071575068858</v>
      </c>
      <c r="L53" s="1">
        <f>IF(COUNT(J53:K53)=2,K53-J53,"")</f>
        <v>-10.61301869255729</v>
      </c>
      <c r="O53" s="1">
        <v>15</v>
      </c>
      <c r="P53" s="1">
        <v>14</v>
      </c>
      <c r="Q53" s="1">
        <f>IF(2240147&gt;0,100*1104566/2240147,"")</f>
        <v>49.30774632200476</v>
      </c>
      <c r="R53" s="1">
        <f>IF(2383424&gt;0,100*663420/2383424,"")</f>
        <v>27.834745307591096</v>
      </c>
      <c r="S53" s="1">
        <f>IF(COUNT(Q53:R53)=2,R53-Q53,"")</f>
        <v>-21.473001014413665</v>
      </c>
    </row>
    <row r="54" spans="1:19">
      <c r="A54" s="1">
        <v>16</v>
      </c>
      <c r="B54" s="1">
        <v>15</v>
      </c>
      <c r="C54" s="1">
        <f>IF(1761441&gt;0,100*757460/1761441,"")</f>
        <v>43.00229187352855</v>
      </c>
      <c r="D54" s="1">
        <f>IF(2202248&gt;0,100*826234/2202248,"")</f>
        <v>37.51775458531464</v>
      </c>
      <c r="E54" s="1">
        <f>IF(COUNT(C54:D54)=2,D54-C54,"")</f>
        <v>-5.484537288213907</v>
      </c>
      <c r="H54" s="1">
        <v>16</v>
      </c>
      <c r="I54" s="1">
        <v>15</v>
      </c>
      <c r="J54" s="1">
        <f>IF(1920903&gt;0,100*863441/1920903,"")</f>
        <v>44.949744989726184</v>
      </c>
      <c r="K54" s="1">
        <f>IF(2133073&gt;0,100*537042/2133073,"")</f>
        <v>25.176916120545336</v>
      </c>
      <c r="L54" s="1">
        <f>IF(COUNT(J54:K54)=2,K54-J54,"")</f>
        <v>-19.77282886918085</v>
      </c>
      <c r="O54" s="1">
        <v>16</v>
      </c>
      <c r="P54" s="1">
        <v>15</v>
      </c>
      <c r="Q54" s="1">
        <f>IF(2594091&gt;0,100*1215002/2594091,"")</f>
        <v>46.837292909153916</v>
      </c>
      <c r="R54" s="1">
        <f>IF(1792559&gt;0,100*246199/1792559,"")</f>
        <v>13.734499115510284</v>
      </c>
      <c r="S54" s="1">
        <f>IF(COUNT(Q54:R54)=2,R54-Q54,"")</f>
        <v>-33.102793793643635</v>
      </c>
    </row>
    <row r="55" spans="1:19">
      <c r="A55" s="1">
        <v>17</v>
      </c>
      <c r="B55" s="1">
        <v>16</v>
      </c>
      <c r="C55" s="1">
        <f>IF(844646&gt;0,100*17331/844646,"")</f>
        <v>2.0518655152572793</v>
      </c>
      <c r="D55" s="1">
        <f>IF(779005&gt;0,100*29667/779005,"")</f>
        <v>3.808319587165679</v>
      </c>
      <c r="E55" s="1">
        <f>IF(COUNT(C55:D55)=2,D55-C55,"")</f>
        <v>1.7564540719083999</v>
      </c>
      <c r="H55" s="1">
        <v>17</v>
      </c>
      <c r="I55" s="1">
        <v>16</v>
      </c>
      <c r="J55" s="1">
        <f>IF(2198372&gt;0,100*828948/2198372,"")</f>
        <v>37.70735799036742</v>
      </c>
      <c r="K55" s="1">
        <f>IF(944034&gt;0,100*65245/944034,"")</f>
        <v>6.911297686312145</v>
      </c>
      <c r="L55" s="1">
        <f>IF(COUNT(J55:K55)=2,K55-J55,"")</f>
        <v>-30.796060304055274</v>
      </c>
      <c r="O55" s="1">
        <v>17</v>
      </c>
      <c r="P55" s="1">
        <v>16</v>
      </c>
      <c r="Q55" s="1">
        <f>IF(2139602&gt;0,100*724511/2139602,"")</f>
        <v>33.8619518957264</v>
      </c>
      <c r="R55" s="1">
        <f>IF(2491302&gt;0,100*661676/2491302,"")</f>
        <v>26.55944562321228</v>
      </c>
      <c r="S55" s="1">
        <f>IF(COUNT(Q55:R55)=2,R55-Q55,"")</f>
        <v>-7.302506272514119</v>
      </c>
    </row>
    <row r="56" spans="1:19">
      <c r="A56" s="1">
        <v>18</v>
      </c>
      <c r="B56" s="1">
        <v>17</v>
      </c>
      <c r="C56" s="1">
        <f>IF(913631&gt;0,100*114254/913631,"")</f>
        <v>12.505486350616387</v>
      </c>
      <c r="D56" s="1">
        <f>IF(797392&gt;0,100*8707/797392,"")</f>
        <v>1.0919347071452936</v>
      </c>
      <c r="E56" s="1">
        <f>IF(COUNT(C56:D56)=2,D56-C56,"")</f>
        <v>-11.413551643471093</v>
      </c>
      <c r="H56" s="1">
        <v>18</v>
      </c>
      <c r="I56" s="1">
        <v>17</v>
      </c>
      <c r="J56" s="1">
        <f>IF(2215&gt;0,100*355/2215,"")</f>
        <v>16.02708803611738</v>
      </c>
      <c r="K56" s="1">
        <f>IF(2157866&gt;0,100*476553/2157866,"")</f>
        <v>22.084457514970808</v>
      </c>
      <c r="L56" s="1">
        <f>IF(COUNT(J56:K56)=2,K56-J56,"")</f>
        <v>6.057369478853428</v>
      </c>
      <c r="O56" s="1">
        <v>18</v>
      </c>
      <c r="P56" s="1">
        <v>17</v>
      </c>
      <c r="Q56" s="1">
        <f>IF(2597163&gt;0,100*1238582/2597163,"")</f>
        <v>47.68980614616795</v>
      </c>
      <c r="R56" s="1">
        <f>IF(1480011&gt;0,100*87499/1480011,"")</f>
        <v>5.912050653677574</v>
      </c>
      <c r="S56" s="1">
        <f>IF(COUNT(Q56:R56)=2,R56-Q56,"")</f>
        <v>-41.77775549249038</v>
      </c>
    </row>
    <row r="57" spans="1:19">
      <c r="A57" s="1">
        <v>19</v>
      </c>
      <c r="B57" s="1">
        <v>18</v>
      </c>
      <c r="C57" s="1">
        <f>IF(2015196&gt;0,100*813734/2015196,"")</f>
        <v>40.37989356866528</v>
      </c>
      <c r="D57" s="1">
        <f>IF(2382328&gt;0,100*849026/2382328,"")</f>
        <v>35.638501499373724</v>
      </c>
      <c r="E57" s="1">
        <f>IF(COUNT(C57:D57)=2,D57-C57,"")</f>
        <v>-4.741392069291557</v>
      </c>
      <c r="H57" s="1">
        <v>19</v>
      </c>
      <c r="I57" s="1">
        <v>18</v>
      </c>
      <c r="J57" s="1">
        <f>IF(1892358&gt;0,100*622212/1892358,"")</f>
        <v>32.880247817801916</v>
      </c>
      <c r="K57" s="1">
        <f>IF(1808161&gt;0,100*414289/1808161,"")</f>
        <v>22.912174303062613</v>
      </c>
      <c r="L57" s="1">
        <f>IF(COUNT(J57:K57)=2,K57-J57,"")</f>
        <v>-9.968073514739302</v>
      </c>
      <c r="O57" s="1">
        <v>19</v>
      </c>
      <c r="P57" s="1">
        <v>18</v>
      </c>
      <c r="Q57" s="1">
        <f>IF(1995148&gt;0,100*689134/1995148,"")</f>
        <v>34.54049524145577</v>
      </c>
      <c r="R57" s="1">
        <f>IF(1585901&gt;0,100*232456/1585901,"")</f>
        <v>14.65766148076078</v>
      </c>
      <c r="S57" s="1">
        <f>IF(COUNT(Q57:R57)=2,R57-Q57,"")</f>
        <v>-19.882833760694993</v>
      </c>
    </row>
    <row r="58" spans="1:19">
      <c r="A58" s="1">
        <v>20</v>
      </c>
      <c r="B58" s="1">
        <v>19</v>
      </c>
      <c r="C58" s="1">
        <f>IF(2178136&gt;0,100*944455/2178136,"")</f>
        <v>43.36069924008418</v>
      </c>
      <c r="D58" s="1">
        <f>IF(1957717&gt;0,100*461076/1957717,"")</f>
        <v>23.551718660051478</v>
      </c>
      <c r="E58" s="1">
        <f>IF(COUNT(C58:D58)=2,D58-C58,"")</f>
        <v>-19.808980580032703</v>
      </c>
      <c r="H58" s="1">
        <v>20</v>
      </c>
      <c r="I58" s="1">
        <v>19</v>
      </c>
      <c r="J58" s="1">
        <f>IF(2533784&gt;0,100*1139277/2533784,"")</f>
        <v>44.96346176311793</v>
      </c>
      <c r="K58" s="1">
        <f>IF(2085744&gt;0,100*417612/2085744,"")</f>
        <v>20.02220790279152</v>
      </c>
      <c r="L58" s="1">
        <f>IF(COUNT(J58:K58)=2,K58-J58,"")</f>
        <v>-24.941253860326405</v>
      </c>
      <c r="O58" s="1">
        <v>20</v>
      </c>
      <c r="P58" s="1">
        <v>19</v>
      </c>
      <c r="Q58" s="1">
        <f>IF(2139229&gt;0,100*899475/2139229,"")</f>
        <v>42.0466906535018</v>
      </c>
      <c r="R58" s="1">
        <f>IF(2272823&gt;0,100*580880/2272823,"")</f>
        <v>25.55764351205527</v>
      </c>
      <c r="S58" s="1">
        <f>IF(COUNT(Q58:R58)=2,R58-Q58,"")</f>
        <v>-16.489047141446527</v>
      </c>
    </row>
    <row r="59" spans="1:19">
      <c r="A59" s="1">
        <v>21</v>
      </c>
      <c r="B59" s="1">
        <v>20</v>
      </c>
      <c r="C59" s="1">
        <f>IF(1558100&gt;0,100*473205/1558100,"")</f>
        <v>30.37064373275143</v>
      </c>
      <c r="D59" s="1">
        <f>IF(1495472&gt;0,100*384841/1495472,"")</f>
        <v>25.733748274792173</v>
      </c>
      <c r="E59" s="1">
        <f>IF(COUNT(C59:D59)=2,D59-C59,"")</f>
        <v>-4.636895457959255</v>
      </c>
      <c r="H59" s="1">
        <v>21</v>
      </c>
      <c r="I59" s="1">
        <v>20</v>
      </c>
      <c r="J59" s="1">
        <f>IF(2773746&gt;0,100*1088927/2773746,"")</f>
        <v>39.25835314408745</v>
      </c>
      <c r="K59" s="1">
        <f>IF(1496997&gt;0,100*248114/1496997,"")</f>
        <v>16.574114710984723</v>
      </c>
      <c r="L59" s="1">
        <f>IF(COUNT(J59:K59)=2,K59-J59,"")</f>
        <v>-22.684238433102728</v>
      </c>
      <c r="O59" s="1">
        <v>21</v>
      </c>
      <c r="P59" s="1">
        <v>20</v>
      </c>
      <c r="Q59" s="1">
        <f>IF(2422246&gt;0,100*1045754/2422246,"")</f>
        <v>43.172906467798896</v>
      </c>
      <c r="R59" s="1">
        <f>IF(2982856&gt;0,100*917925/2982856,"")</f>
        <v>30.773359491708618</v>
      </c>
      <c r="S59" s="1">
        <f>IF(COUNT(Q59:R59)=2,R59-Q59,"")</f>
        <v>-12.399546976090278</v>
      </c>
    </row>
    <row r="60" spans="1:19">
      <c r="A60" s="1">
        <v>22</v>
      </c>
      <c r="B60" s="1">
        <v>21</v>
      </c>
      <c r="C60" s="1">
        <f>IF(1857644&gt;0,100*847880/1857644,"")</f>
        <v>45.64276039973213</v>
      </c>
      <c r="D60" s="1">
        <f>IF(1653534&gt;0,100*541520/1653534,"")</f>
        <v>32.749250998165145</v>
      </c>
      <c r="E60" s="1">
        <f>IF(COUNT(C60:D60)=2,D60-C60,"")</f>
        <v>-12.893509401566988</v>
      </c>
      <c r="H60" s="1">
        <v>22</v>
      </c>
      <c r="I60" s="1">
        <v>21</v>
      </c>
      <c r="J60" s="1">
        <f>IF(2183759&gt;0,100*997955/2183759,"")</f>
        <v>45.69895304381115</v>
      </c>
      <c r="K60" s="1">
        <f>IF(1741505&gt;0,100*453631/1741505,"")</f>
        <v>26.04821691582855</v>
      </c>
      <c r="L60" s="1">
        <f>IF(COUNT(J60:K60)=2,K60-J60,"")</f>
        <v>-19.6507361279826</v>
      </c>
      <c r="O60" s="1">
        <v>22</v>
      </c>
      <c r="P60" s="1">
        <v>21</v>
      </c>
      <c r="Q60" s="1">
        <f>IF(2052914&gt;0,100*716282/2052914,"")</f>
        <v>34.890989101345696</v>
      </c>
      <c r="R60" s="1">
        <f>IF(2020&gt;0,100*615/2020,"")</f>
        <v>30.445544554455445</v>
      </c>
      <c r="S60" s="1">
        <f>IF(COUNT(Q60:R60)=2,R60-Q60,"")</f>
        <v>-4.445444546890251</v>
      </c>
    </row>
    <row r="61" spans="1:19">
      <c r="A61" s="1">
        <v>23</v>
      </c>
      <c r="B61" s="1">
        <v>22</v>
      </c>
      <c r="C61" s="1">
        <f>IF(696517&gt;0,100*2264/696517,"")</f>
        <v>0.325045906991502</v>
      </c>
      <c r="D61" s="1">
        <f>IF(964144&gt;0,100*5421/964144,"")</f>
        <v>0.5622604092334755</v>
      </c>
      <c r="E61" s="1">
        <f>IF(COUNT(C61:D61)=2,D61-C61,"")</f>
        <v>0.23721450224197355</v>
      </c>
      <c r="H61" s="1">
        <v>23</v>
      </c>
      <c r="I61" s="1">
        <v>22</v>
      </c>
      <c r="J61" s="1">
        <f>IF(2492569&gt;0,100*1249101/2492569,"")</f>
        <v>50.11299586892078</v>
      </c>
      <c r="K61" s="1">
        <f>IF(3035063&gt;0,100*1048383/3035063,"")</f>
        <v>34.542380174645466</v>
      </c>
      <c r="L61" s="1">
        <f>IF(COUNT(J61:K61)=2,K61-J61,"")</f>
        <v>-15.570615694275311</v>
      </c>
      <c r="O61" s="1">
        <v>23</v>
      </c>
      <c r="P61" s="1">
        <v>22</v>
      </c>
      <c r="Q61" s="1">
        <f>IF(2322764&gt;0,100*881160/2322764,"")</f>
        <v>37.935838509637655</v>
      </c>
      <c r="R61" s="1">
        <f>IF(2655749&gt;0,100*792645/2655749,"")</f>
        <v>29.846382320015934</v>
      </c>
      <c r="S61" s="1">
        <f>IF(COUNT(Q61:R61)=2,R61-Q61,"")</f>
        <v>-8.089456189621721</v>
      </c>
    </row>
    <row r="62" spans="1:19">
      <c r="A62" s="1">
        <v>24</v>
      </c>
      <c r="B62" s="1">
        <v>23</v>
      </c>
      <c r="C62" s="1">
        <f>IF(1622857&gt;0,100*324323/1622857,"")</f>
        <v>19.98469366062444</v>
      </c>
      <c r="D62" s="1">
        <f>IF(1083384&gt;0,100*65775/1083384,"")</f>
        <v>6.071254513635054</v>
      </c>
      <c r="E62" s="1">
        <f>IF(COUNT(C62:D62)=2,D62-C62,"")</f>
        <v>-13.913439146989386</v>
      </c>
      <c r="H62" s="1">
        <v>24</v>
      </c>
      <c r="I62" s="1">
        <v>23</v>
      </c>
      <c r="J62" s="1">
        <f>IF(2618354&gt;0,100*1195641/2618354,"")</f>
        <v>45.663840718252764</v>
      </c>
      <c r="K62" s="1">
        <f>IF(263501&gt;0,100*7160/263501,"")</f>
        <v>2.717257240010474</v>
      </c>
      <c r="L62" s="1">
        <f>IF(COUNT(J62:K62)=2,K62-J62,"")</f>
        <v>-42.94658347824229</v>
      </c>
      <c r="O62" s="1">
        <v>24</v>
      </c>
      <c r="P62" s="1">
        <v>23</v>
      </c>
      <c r="Q62" s="1">
        <f>IF(1862901&gt;0,100*489468/1862901,"")</f>
        <v>26.27450412018674</v>
      </c>
      <c r="R62" s="1">
        <f>IF(2090801&gt;0,100*413663/2090801,"")</f>
        <v>19.784905402283623</v>
      </c>
      <c r="S62" s="1">
        <f>IF(COUNT(Q62:R62)=2,R62-Q62,"")</f>
        <v>-6.489598717903117</v>
      </c>
    </row>
    <row r="63" spans="1:19">
      <c r="A63" s="1">
        <v>25</v>
      </c>
      <c r="B63" s="1">
        <v>24</v>
      </c>
      <c r="C63" s="1">
        <f>IF(1310506&gt;0,100*408672/1310506,"")</f>
        <v>31.184290648039763</v>
      </c>
      <c r="D63" s="1">
        <f>IF(2028310&gt;0,100*717270/2028310,"")</f>
        <v>35.36293761801697</v>
      </c>
      <c r="E63" s="1">
        <f>IF(COUNT(C63:D63)=2,D63-C63,"")</f>
        <v>4.178646969977208</v>
      </c>
      <c r="H63" s="1">
        <v>25</v>
      </c>
      <c r="I63" s="1">
        <v>24</v>
      </c>
      <c r="J63" s="1">
        <f>IF(2421034&gt;0,100*1042416/2421034,"")</f>
        <v>43.05664439243728</v>
      </c>
      <c r="K63" s="1">
        <f>IF(1999702&gt;0,100*334362/1999702,"")</f>
        <v>16.720591368113848</v>
      </c>
      <c r="L63" s="1">
        <f>IF(COUNT(J63:K63)=2,K63-J63,"")</f>
        <v>-26.33605302432343</v>
      </c>
      <c r="O63" s="1">
        <v>25</v>
      </c>
      <c r="P63" s="1">
        <v>24</v>
      </c>
      <c r="Q63" s="1">
        <f>IF(2310152&gt;0,100*1014877/2310152,"")</f>
        <v>43.931178554484724</v>
      </c>
      <c r="R63" s="1">
        <f>IF(2075879&gt;0,100*543596/2075879,"")</f>
        <v>26.186304693096275</v>
      </c>
      <c r="S63" s="1">
        <f>IF(COUNT(Q63:R63)=2,R63-Q63,"")</f>
        <v>-17.74487386138845</v>
      </c>
    </row>
    <row r="64" spans="1:19">
      <c r="A64" s="1">
        <v>26</v>
      </c>
      <c r="B64" s="1">
        <v>25</v>
      </c>
      <c r="C64" s="1">
        <f>IF(2238694&gt;0,100*1062953/2238694,"")</f>
        <v>47.480942013513236</v>
      </c>
      <c r="D64" s="1">
        <f>IF(1509400&gt;0,100*328206/1509400,"")</f>
        <v>21.74413674307672</v>
      </c>
      <c r="E64" s="1">
        <f>IF(COUNT(C64:D64)=2,D64-C64,"")</f>
        <v>-25.736805270436516</v>
      </c>
      <c r="H64" s="1">
        <v>26</v>
      </c>
      <c r="I64" s="1">
        <v>25</v>
      </c>
      <c r="J64" s="1">
        <f>IF(1745904&gt;0,100*492009/1745904,"")</f>
        <v>28.18075907953702</v>
      </c>
      <c r="K64" s="1">
        <f>IF(1837813&gt;0,100*458939/1837813,"")</f>
        <v>24.972018371836526</v>
      </c>
      <c r="L64" s="1">
        <f>IF(COUNT(J64:K64)=2,K64-J64,"")</f>
        <v>-3.2087407077004926</v>
      </c>
      <c r="O64" s="1">
        <v>26</v>
      </c>
      <c r="P64" s="1">
        <v>25</v>
      </c>
      <c r="Q64" s="1">
        <f>IF(2669118&gt;0,100*1197813/2669118,"")</f>
        <v>44.876734561754105</v>
      </c>
      <c r="R64" s="1">
        <f>IF(2119005&gt;0,100*489023/2119005,"")</f>
        <v>23.077954039749788</v>
      </c>
      <c r="S64" s="1">
        <f>IF(COUNT(Q64:R64)=2,R64-Q64,"")</f>
        <v>-21.798780522004318</v>
      </c>
    </row>
    <row r="65" spans="1:19">
      <c r="A65" s="1">
        <v>27</v>
      </c>
      <c r="B65" s="1">
        <v>26</v>
      </c>
      <c r="C65" s="1">
        <f>IF(1647328&gt;0,100*574346/1647328,"")</f>
        <v>34.86530915518949</v>
      </c>
      <c r="D65" s="1">
        <f>IF(1918572&gt;0,100*488417/1918572,"")</f>
        <v>25.457319297894475</v>
      </c>
      <c r="E65" s="1">
        <f>IF(COUNT(C65:D65)=2,D65-C65,"")</f>
        <v>-9.407989857295018</v>
      </c>
      <c r="H65" s="1">
        <v>27</v>
      </c>
      <c r="I65" s="1">
        <v>26</v>
      </c>
      <c r="J65" s="1">
        <f>IF(2195965&gt;0,100*781488/2195965,"")</f>
        <v>35.587452441181895</v>
      </c>
      <c r="K65" s="1">
        <f>IF(2311120&gt;0,100*549916/2311120,"")</f>
        <v>23.794350790958497</v>
      </c>
      <c r="L65" s="1">
        <f>IF(COUNT(J65:K65)=2,K65-J65,"")</f>
        <v>-11.793101650223399</v>
      </c>
      <c r="O65" s="1">
        <v>27</v>
      </c>
      <c r="P65" s="1">
        <v>26</v>
      </c>
      <c r="Q65" s="1">
        <f>IF(2415042&gt;0,100*766118/2415042,"")</f>
        <v>31.722760929209514</v>
      </c>
      <c r="R65" s="1">
        <f>IF(1951715&gt;0,100*317342/1951715,"")</f>
        <v>16.2596485654924</v>
      </c>
      <c r="S65" s="1">
        <f>IF(COUNT(Q65:R65)=2,R65-Q65,"")</f>
        <v>-15.463112363717112</v>
      </c>
    </row>
    <row r="66" spans="1:19">
      <c r="A66" s="1">
        <v>28</v>
      </c>
      <c r="B66" s="1">
        <v>27</v>
      </c>
      <c r="C66" s="1">
        <f>IF(665364&gt;0,100*675/665364,"")</f>
        <v>0.10144822984110953</v>
      </c>
      <c r="D66" s="1">
        <f>IF(679424&gt;0,100*3777/679424,"")</f>
        <v>0.5559120666917859</v>
      </c>
      <c r="E66" s="1">
        <f>IF(COUNT(C66:D66)=2,D66-C66,"")</f>
        <v>0.45446383685067643</v>
      </c>
      <c r="H66" s="1">
        <v>28</v>
      </c>
      <c r="I66" s="1">
        <v>27</v>
      </c>
      <c r="J66" s="1">
        <f>IF(1703605&gt;0,100*670593/1703605,"")</f>
        <v>39.36317397518791</v>
      </c>
      <c r="K66" s="1">
        <f>IF(2110887&gt;0,100*526147/2110887,"")</f>
        <v>24.925398659426108</v>
      </c>
      <c r="L66" s="1">
        <f>IF(COUNT(J66:K66)=2,K66-J66,"")</f>
        <v>-14.437775315761805</v>
      </c>
      <c r="O66" s="1">
        <v>28</v>
      </c>
      <c r="P66" s="1">
        <v>27</v>
      </c>
      <c r="Q66" s="1">
        <f>IF(1500981&gt;0,100*448455/1500981,"")</f>
        <v>29.877460141067743</v>
      </c>
      <c r="R66" s="1">
        <f>IF(1944673&gt;0,100*547844/1944673,"")</f>
        <v>28.171522924419683</v>
      </c>
      <c r="S66" s="1">
        <f>IF(COUNT(Q66:R66)=2,R66-Q66,"")</f>
        <v>-1.70593721664806</v>
      </c>
    </row>
    <row r="67" spans="1:19">
      <c r="A67" s="1">
        <v>29</v>
      </c>
      <c r="B67" s="1">
        <v>28</v>
      </c>
      <c r="C67" s="1">
        <f>IF(1808091&gt;0,100*652193/1808091,"")</f>
        <v>36.070806170707115</v>
      </c>
      <c r="D67" s="1">
        <f>IF(1863848&gt;0,100*608632/1863848,"")</f>
        <v>32.65459415145441</v>
      </c>
      <c r="E67" s="1">
        <f>IF(COUNT(C67:D67)=2,D67-C67,"")</f>
        <v>-3.416212019252704</v>
      </c>
      <c r="H67" s="1">
        <v>29</v>
      </c>
      <c r="I67" s="1">
        <v>28</v>
      </c>
      <c r="J67" s="1">
        <f>IF(2391442&gt;0,100*1116314/2391442,"")</f>
        <v>46.67953477441644</v>
      </c>
      <c r="K67" s="1">
        <f>IF(2031898&gt;0,100*494667/2031898,"")</f>
        <v>24.34507047105711</v>
      </c>
      <c r="L67" s="1">
        <f>IF(COUNT(J67:K67)=2,K67-J67,"")</f>
        <v>-22.33446430335933</v>
      </c>
      <c r="O67" s="1">
        <v>29</v>
      </c>
      <c r="P67" s="1">
        <v>28</v>
      </c>
      <c r="Q67" s="1">
        <f>IF(2050506&gt;0,100*857322/2050506,"")</f>
        <v>41.810265368645595</v>
      </c>
      <c r="R67" s="1">
        <f>IF(2819615&gt;0,100*951064/2819615,"")</f>
        <v>33.73027877919503</v>
      </c>
      <c r="S67" s="1">
        <f>IF(COUNT(Q67:R67)=2,R67-Q67,"")</f>
        <v>-8.079986589450563</v>
      </c>
    </row>
    <row r="68" spans="1:19">
      <c r="A68" s="1">
        <v>30</v>
      </c>
      <c r="B68" s="1">
        <v>29</v>
      </c>
      <c r="C68" s="1">
        <f>IF(1942903&gt;0,100*844208/1942903,"")</f>
        <v>43.45085678492441</v>
      </c>
      <c r="D68" s="1">
        <f>IF(2088968&gt;0,100*591105/2088968,"")</f>
        <v>28.296508132245204</v>
      </c>
      <c r="E68" s="1">
        <f>IF(COUNT(C68:D68)=2,D68-C68,"")</f>
        <v>-15.154348652679207</v>
      </c>
      <c r="H68" s="1">
        <v>30</v>
      </c>
      <c r="I68" s="1">
        <v>29</v>
      </c>
      <c r="J68" s="1">
        <f>IF(1886067&gt;0,100*615825/1886067,"")</f>
        <v>32.65127909029743</v>
      </c>
      <c r="K68" s="1">
        <f>IF(1658147&gt;0,100*282937/1658147,"")</f>
        <v>17.063444917730454</v>
      </c>
      <c r="L68" s="1">
        <f>IF(COUNT(J68:K68)=2,K68-J68,"")</f>
        <v>-15.587834172566975</v>
      </c>
      <c r="O68" s="1">
        <v>30</v>
      </c>
      <c r="P68" s="1">
        <v>29</v>
      </c>
      <c r="Q68" s="1">
        <f>IF(1124834&gt;0,100*57569/1124834,"")</f>
        <v>5.1179996337237315</v>
      </c>
      <c r="R68" s="1">
        <f>IF(1528829&gt;0,100*318063/1528829,"")</f>
        <v>20.804354182187804</v>
      </c>
      <c r="S68" s="1">
        <f>IF(COUNT(Q68:R68)=2,R68-Q68,"")</f>
        <v>15.686354548464074</v>
      </c>
    </row>
    <row r="69" spans="1:19">
      <c r="A69" s="1">
        <v>31</v>
      </c>
      <c r="B69" s="1">
        <v>30</v>
      </c>
      <c r="C69" s="1">
        <f>IF(1247391&gt;0,100*5792/1247391,"")</f>
        <v>0.4643291477972825</v>
      </c>
      <c r="D69" s="1">
        <f>IF(895208&gt;0,100*75180/895208,"")</f>
        <v>8.398048274814345</v>
      </c>
      <c r="E69" s="1">
        <f>IF(COUNT(C69:D69)=2,D69-C69,"")</f>
        <v>7.933719127017063</v>
      </c>
      <c r="H69" s="1">
        <v>31</v>
      </c>
      <c r="I69" s="1">
        <v>30</v>
      </c>
      <c r="J69" s="1">
        <f>IF(2131633&gt;0,100*739570/2131633,"")</f>
        <v>34.69499674662571</v>
      </c>
      <c r="K69" s="1">
        <f>IF(1657357&gt;0,100*155982/1657357,"")</f>
        <v>9.411490704778753</v>
      </c>
      <c r="L69" s="1">
        <f>IF(COUNT(J69:K69)=2,K69-J69,"")</f>
        <v>-25.28350604184696</v>
      </c>
      <c r="O69" s="1">
        <v>31</v>
      </c>
      <c r="P69" s="1">
        <v>30</v>
      </c>
      <c r="Q69" s="1">
        <f>IF(1670334&gt;0,100*513883/1670334,"")</f>
        <v>30.765284068934715</v>
      </c>
      <c r="R69" s="1">
        <f>IF(2206101&gt;0,100*606471/2206101,"")</f>
        <v>27.49062712903897</v>
      </c>
      <c r="S69" s="1">
        <f>IF(COUNT(Q69:R69)=2,R69-Q69,"")</f>
        <v>-3.2746569398957455</v>
      </c>
    </row>
    <row r="70" spans="1:19">
      <c r="A70" s="2" t="s">
        <v>6</v>
      </c>
      <c r="B70" s="1"/>
      <c r="C70" s="1">
        <f>IF(COUNT(C39:C69)&gt;0,AVERAGE(C39:C69),"")</f>
        <v>30.562133085533812</v>
      </c>
      <c r="D70" s="1">
        <f>IF(COUNT(D39:D69)&gt;0,AVERAGE(D39:D69),"")</f>
        <v>20.632620047054424</v>
      </c>
      <c r="E70" s="1">
        <f>IF(COUNT(E39:E69)&gt;0,AVERAGE(E39:E69),"")</f>
        <v>-9.929513038479387</v>
      </c>
      <c r="H70" s="2" t="s">
        <v>6</v>
      </c>
      <c r="I70" s="1"/>
      <c r="J70" s="1">
        <f>IF(COUNT(J39:J69)&gt;0,AVERAGE(J39:J69),"")</f>
        <v>32.74960009631654</v>
      </c>
      <c r="K70" s="1">
        <f>IF(COUNT(K39:K69)&gt;0,AVERAGE(K39:K69),"")</f>
        <v>17.06531340589448</v>
      </c>
      <c r="L70" s="1">
        <f>IF(COUNT(L39:L69)&gt;0,AVERAGE(L39:L69),"")</f>
        <v>-15.684286690422063</v>
      </c>
      <c r="O70" s="2" t="s">
        <v>6</v>
      </c>
      <c r="P70" s="1"/>
      <c r="Q70" s="1">
        <f>IF(COUNT(Q39:Q69)&gt;0,AVERAGE(Q39:Q69),"")</f>
        <v>31.481548328397977</v>
      </c>
      <c r="R70" s="1">
        <f>IF(COUNT(R39:R69)&gt;0,AVERAGE(R39:R69),"")</f>
        <v>20.072534595692098</v>
      </c>
      <c r="S70" s="1">
        <f>IF(COUNT(S39:S69)&gt;0,AVERAGE(S39:S69),"")</f>
        <v>-11.40901373270588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IF(1227574&gt;0,100*38510/1227574,"")</f>
        <v>3.1370817563747684</v>
      </c>
      <c r="D75" s="1">
        <f>IF(1360641&gt;0,100*297966/1360641,"")</f>
        <v>21.89894321867414</v>
      </c>
      <c r="E75" s="1">
        <f>IF(COUNT(C75:D75)=2,D75-C75,"")</f>
        <v>18.761861462299372</v>
      </c>
      <c r="H75" s="1">
        <v>1</v>
      </c>
      <c r="I75" s="1">
        <v>0</v>
      </c>
      <c r="J75" s="1">
        <f>IF(2974908&gt;0,100*1593753/2974908,"")</f>
        <v>53.573186128781124</v>
      </c>
      <c r="K75" s="1">
        <f>IF(1467272&gt;0,100*133700/1467272,"")</f>
        <v>9.112148258809546</v>
      </c>
      <c r="L75" s="1">
        <f>IF(COUNT(J75:K75)=2,K75-J75,"")</f>
        <v>-44.46103786997158</v>
      </c>
      <c r="O75" s="1">
        <v>1</v>
      </c>
      <c r="P75" s="1">
        <v>0</v>
      </c>
      <c r="Q75" s="1">
        <f>IF(2673895&gt;0,100*1212503/2673895,"")</f>
        <v>45.34594664337979</v>
      </c>
      <c r="R75" s="1">
        <f>IF(2895620&gt;0,100*721167/2895620,"")</f>
        <v>24.905443393815485</v>
      </c>
      <c r="S75" s="1">
        <f>IF(COUNT(Q75:R75)=2,R75-Q75,"")</f>
        <v>-20.440503249564305</v>
      </c>
    </row>
    <row r="76" spans="1:19">
      <c r="A76" s="1">
        <v>2</v>
      </c>
      <c r="B76" s="1">
        <v>1</v>
      </c>
      <c r="C76" s="1">
        <f>IF(1624357&gt;0,100*617829/1624357,"")</f>
        <v>38.03529642806353</v>
      </c>
      <c r="D76" s="1">
        <f>IF(1834956&gt;0,100*596516/1834956,"")</f>
        <v>32.508463418196406</v>
      </c>
      <c r="E76" s="1">
        <f>IF(COUNT(C76:D76)=2,D76-C76,"")</f>
        <v>-5.526833009867126</v>
      </c>
      <c r="H76" s="1">
        <v>2</v>
      </c>
      <c r="I76" s="1">
        <v>1</v>
      </c>
      <c r="J76" s="1">
        <f>IF(2706515&gt;0,100*1225890/2706515,"")</f>
        <v>45.29404049118516</v>
      </c>
      <c r="K76" s="1">
        <f>IF(2071791&gt;0,100*641891/2071791,"")</f>
        <v>30.98242052407796</v>
      </c>
      <c r="L76" s="1">
        <f>IF(COUNT(J76:K76)=2,K76-J76,"")</f>
        <v>-14.311619967107198</v>
      </c>
      <c r="O76" s="1">
        <v>2</v>
      </c>
      <c r="P76" s="1">
        <v>1</v>
      </c>
      <c r="Q76" s="1">
        <f>IF(2467592&gt;0,100*1063705/2467592,"")</f>
        <v>43.1070047236334</v>
      </c>
      <c r="R76" s="1">
        <f>IF(3011433&gt;0,100*1166194/3011433,"")</f>
        <v>38.725550261287566</v>
      </c>
      <c r="S76" s="1">
        <f>IF(COUNT(Q76:R76)=2,R76-Q76,"")</f>
        <v>-4.381454462345836</v>
      </c>
    </row>
    <row r="77" spans="1:19">
      <c r="A77" s="1">
        <v>3</v>
      </c>
      <c r="B77" s="1">
        <v>2</v>
      </c>
      <c r="C77" s="1">
        <f>IF(1673401&gt;0,100*672518/1673401,"")</f>
        <v>40.18869356478214</v>
      </c>
      <c r="D77" s="1">
        <f>IF(738350&gt;0,100*128855/738350,"")</f>
        <v>17.451750524818852</v>
      </c>
      <c r="E77" s="1">
        <f>IF(COUNT(C77:D77)=2,D77-C77,"")</f>
        <v>-22.73694303996329</v>
      </c>
      <c r="H77" s="1">
        <v>3</v>
      </c>
      <c r="I77" s="1">
        <v>2</v>
      </c>
      <c r="J77" s="1">
        <f>IF(2238301&gt;0,100*947036/2238301,"")</f>
        <v>42.31048460417075</v>
      </c>
      <c r="K77" s="1">
        <f>IF(3277608&gt;0,100*1191284/3277608,"")</f>
        <v>36.34614023397551</v>
      </c>
      <c r="L77" s="1">
        <f>IF(COUNT(J77:K77)=2,K77-J77,"")</f>
        <v>-5.964344370195242</v>
      </c>
      <c r="O77" s="1">
        <v>3</v>
      </c>
      <c r="P77" s="1">
        <v>2</v>
      </c>
      <c r="Q77" s="1">
        <f>IF(2033898&gt;0,100*82955/2033898,"")</f>
        <v>4.07862144512655</v>
      </c>
      <c r="R77" s="1">
        <f>IF(2866858&gt;0,100*777083/2866858,"")</f>
        <v>27.10573736125054</v>
      </c>
      <c r="S77" s="1">
        <f>IF(COUNT(Q77:R77)=2,R77-Q77,"")</f>
        <v>23.02711591612399</v>
      </c>
    </row>
    <row r="78" spans="1:19">
      <c r="A78" s="1">
        <v>4</v>
      </c>
      <c r="B78" s="1">
        <v>3</v>
      </c>
      <c r="C78" s="1">
        <f>IF(1853726&gt;0,100*857824/1853726,"")</f>
        <v>46.2756631778375</v>
      </c>
      <c r="D78" s="1">
        <f>IF(2102813&gt;0,100*730355/2102813,"")</f>
        <v>34.732284801358944</v>
      </c>
      <c r="E78" s="1">
        <f>IF(COUNT(C78:D78)=2,D78-C78,"")</f>
        <v>-11.543378376478557</v>
      </c>
      <c r="H78" s="1">
        <v>4</v>
      </c>
      <c r="I78" s="1">
        <v>3</v>
      </c>
      <c r="J78" s="1">
        <f>IF(2473338&gt;0,100*1144203/2473338,"")</f>
        <v>46.2614895335777</v>
      </c>
      <c r="K78" s="1">
        <f>IF(1297136&gt;0,100*144983/1297136,"")</f>
        <v>11.177162610551246</v>
      </c>
      <c r="L78" s="1">
        <f>IF(COUNT(J78:K78)=2,K78-J78,"")</f>
        <v>-35.08432692302645</v>
      </c>
      <c r="O78" s="1">
        <v>4</v>
      </c>
      <c r="P78" s="1">
        <v>3</v>
      </c>
      <c r="Q78" s="1">
        <f>IF(2535025&gt;0,100*1351101/2535025,"")</f>
        <v>53.29734420765081</v>
      </c>
      <c r="R78" s="1">
        <f>IF(1618131&gt;0,100*57551/1618131,"")</f>
        <v>3.556634166207804</v>
      </c>
      <c r="S78" s="1">
        <f>IF(COUNT(Q78:R78)=2,R78-Q78,"")</f>
        <v>-49.74071004144301</v>
      </c>
    </row>
    <row r="79" spans="1:19">
      <c r="A79" s="1">
        <v>5</v>
      </c>
      <c r="B79" s="1">
        <v>4</v>
      </c>
      <c r="C79" s="1">
        <f>IF(2574341&gt;0,100*1256270/2574341,"")</f>
        <v>48.79967339214191</v>
      </c>
      <c r="D79" s="1">
        <f>IF(1807289&gt;0,100*298227/1807289,"")</f>
        <v>16.501345385270426</v>
      </c>
      <c r="E79" s="1">
        <f>IF(COUNT(C79:D79)=2,D79-C79,"")</f>
        <v>-32.298328006871486</v>
      </c>
      <c r="H79" s="1">
        <v>5</v>
      </c>
      <c r="I79" s="1">
        <v>4</v>
      </c>
      <c r="J79" s="1">
        <f>IF(2594432&gt;0,100*1209716/2594432,"")</f>
        <v>46.627392816616506</v>
      </c>
      <c r="K79" s="1">
        <f>IF(3405292&gt;0,100*1332028/3405292,"")</f>
        <v>39.11641057506963</v>
      </c>
      <c r="L79" s="1">
        <f>IF(COUNT(J79:K79)=2,K79-J79,"")</f>
        <v>-7.510982241546877</v>
      </c>
      <c r="O79" s="1">
        <v>5</v>
      </c>
      <c r="P79" s="1">
        <v>4</v>
      </c>
      <c r="Q79" s="1">
        <f>IF(2505160&gt;0,100*1184605/2505160,"")</f>
        <v>47.28660045665746</v>
      </c>
      <c r="R79" s="1">
        <f>IF(3241180&gt;0,100*1218059/3241180,"")</f>
        <v>37.58072677234834</v>
      </c>
      <c r="S79" s="1">
        <f>IF(COUNT(Q79:R79)=2,R79-Q79,"")</f>
        <v>-9.705873684309118</v>
      </c>
    </row>
    <row r="80" spans="1:19">
      <c r="A80" s="1">
        <v>6</v>
      </c>
      <c r="B80" s="1">
        <v>5</v>
      </c>
      <c r="C80" s="1">
        <f>IF(2161281&gt;0,100*837619/2161281,"")</f>
        <v>38.75567314014235</v>
      </c>
      <c r="D80" s="1">
        <f>IF(2118602&gt;0,100*508521/2118602,"")</f>
        <v>24.002667796971778</v>
      </c>
      <c r="E80" s="1">
        <f>IF(COUNT(C80:D80)=2,D80-C80,"")</f>
        <v>-14.753005343170571</v>
      </c>
      <c r="H80" s="1">
        <v>6</v>
      </c>
      <c r="I80" s="1">
        <v>5</v>
      </c>
      <c r="J80" s="1">
        <f>IF(2014532&gt;0,100*751916/2014532,"")</f>
        <v>37.3245994603213</v>
      </c>
      <c r="K80" s="1">
        <f>IF(2172038&gt;0,100*517669/2172038,"")</f>
        <v>23.833330724416424</v>
      </c>
      <c r="L80" s="1">
        <f>IF(COUNT(J80:K80)=2,K80-J80,"")</f>
        <v>-13.491268735904878</v>
      </c>
      <c r="O80" s="1">
        <v>6</v>
      </c>
      <c r="P80" s="1">
        <v>5</v>
      </c>
      <c r="Q80" s="1">
        <f>IF(2374865&gt;0,100*978839/2374865,"")</f>
        <v>41.21661652346555</v>
      </c>
      <c r="R80" s="1">
        <f>IF(2244057&gt;0,100*555417/2244057,"")</f>
        <v>24.750574517492204</v>
      </c>
      <c r="S80" s="1">
        <f>IF(COUNT(Q80:R80)=2,R80-Q80,"")</f>
        <v>-16.466042005973343</v>
      </c>
    </row>
    <row r="81" spans="1:19">
      <c r="A81" s="1">
        <v>7</v>
      </c>
      <c r="B81" s="1">
        <v>6</v>
      </c>
      <c r="C81" s="1">
        <f>IF(2322649&gt;0,100*1026425/2322649,"")</f>
        <v>44.19199801605839</v>
      </c>
      <c r="D81" s="1">
        <f>IF(2006934&gt;0,100*521788/2006934,"")</f>
        <v>25.99926056362591</v>
      </c>
      <c r="E81" s="1">
        <f>IF(COUNT(C81:D81)=2,D81-C81,"")</f>
        <v>-18.192737452432482</v>
      </c>
      <c r="H81" s="1">
        <v>7</v>
      </c>
      <c r="I81" s="1">
        <v>6</v>
      </c>
      <c r="J81" s="1">
        <f>IF(1377831&gt;0,100*8479/1377831,"")</f>
        <v>0.6153875184982773</v>
      </c>
      <c r="K81" s="1">
        <f>IF(1694034&gt;0,100*193002/1694034,"")</f>
        <v>11.393041698100511</v>
      </c>
      <c r="L81" s="1">
        <f>IF(COUNT(J81:K81)=2,K81-J81,"")</f>
        <v>10.777654179602234</v>
      </c>
      <c r="O81" s="1">
        <v>7</v>
      </c>
      <c r="P81" s="1">
        <v>6</v>
      </c>
      <c r="Q81" s="1">
        <f>IF(985046&gt;0,100*15738/985046,"")</f>
        <v>1.5976918844399144</v>
      </c>
      <c r="R81" s="1">
        <f>IF(2090292&gt;0,100*455934/2090292,"")</f>
        <v>21.811976508545218</v>
      </c>
      <c r="S81" s="1">
        <f>IF(COUNT(Q81:R81)=2,R81-Q81,"")</f>
        <v>20.214284624105304</v>
      </c>
    </row>
    <row r="82" spans="1:19">
      <c r="A82" s="1">
        <v>8</v>
      </c>
      <c r="B82" s="1">
        <v>7</v>
      </c>
      <c r="C82" s="1">
        <f>IF(2162199&gt;0,100*1011109/2162199,"")</f>
        <v>46.76299452548077</v>
      </c>
      <c r="D82" s="1">
        <f>IF(2094318&gt;0,100*726516/2094318,"")</f>
        <v>34.689860852076905</v>
      </c>
      <c r="E82" s="1">
        <f>IF(COUNT(C82:D82)=2,D82-C82,"")</f>
        <v>-12.073133673403866</v>
      </c>
      <c r="H82" s="1">
        <v>8</v>
      </c>
      <c r="I82" s="1">
        <v>7</v>
      </c>
      <c r="J82" s="1">
        <f>IF(1201041&gt;0,100*14947/1201041,"")</f>
        <v>1.2445037263507241</v>
      </c>
      <c r="K82" s="1">
        <f>IF(941232&gt;0,100*2791/941232,"")</f>
        <v>0.2965262549509579</v>
      </c>
      <c r="L82" s="1">
        <f>IF(COUNT(J82:K82)=2,K82-J82,"")</f>
        <v>-0.9479774713997662</v>
      </c>
      <c r="O82" s="1">
        <v>8</v>
      </c>
      <c r="P82" s="1">
        <v>7</v>
      </c>
      <c r="Q82" s="1">
        <f>IF(1244696&gt;0,100*14076/1244696,"")</f>
        <v>1.13087854383721</v>
      </c>
      <c r="R82" s="1">
        <f>IF(965515&gt;0,100*3879/965515,"")</f>
        <v>0.4017545040729559</v>
      </c>
      <c r="S82" s="1">
        <f>IF(COUNT(Q82:R82)=2,R82-Q82,"")</f>
        <v>-0.7291240397642541</v>
      </c>
    </row>
    <row r="83" spans="1:19">
      <c r="A83" s="1">
        <v>9</v>
      </c>
      <c r="B83" s="1">
        <v>8</v>
      </c>
      <c r="C83" s="1">
        <f>IF(1440745&gt;0,100*484807/1440745,"")</f>
        <v>33.64974370898389</v>
      </c>
      <c r="D83" s="1">
        <f>IF(1901128&gt;0,100*571198/1901128,"")</f>
        <v>30.045215261676226</v>
      </c>
      <c r="E83" s="1">
        <f>IF(COUNT(C83:D83)=2,D83-C83,"")</f>
        <v>-3.604528447307665</v>
      </c>
      <c r="H83" s="1">
        <v>9</v>
      </c>
      <c r="I83" s="1">
        <v>8</v>
      </c>
      <c r="J83" s="1">
        <f>IF(2605328&gt;0,100*1210537/2605328,"")</f>
        <v>46.46390013080887</v>
      </c>
      <c r="K83" s="1">
        <f>IF(3224994&gt;0,100*1185351/3224994,"")</f>
        <v>36.75513814909423</v>
      </c>
      <c r="L83" s="1">
        <f>IF(COUNT(J83:K83)=2,K83-J83,"")</f>
        <v>-9.708761981714638</v>
      </c>
      <c r="O83" s="1">
        <v>9</v>
      </c>
      <c r="P83" s="1">
        <v>8</v>
      </c>
      <c r="Q83" s="1">
        <f>IF(2369232&gt;0,100*974673/2369232,"")</f>
        <v>41.138774083753724</v>
      </c>
      <c r="R83" s="1">
        <f>IF(3273257&gt;0,100*1204369/3273257,"")</f>
        <v>36.794208337444935</v>
      </c>
      <c r="S83" s="1">
        <f>IF(COUNT(Q83:R83)=2,R83-Q83,"")</f>
        <v>-4.344565746308788</v>
      </c>
    </row>
    <row r="84" spans="1:19">
      <c r="A84" s="1">
        <v>10</v>
      </c>
      <c r="B84" s="1">
        <v>9</v>
      </c>
      <c r="C84" s="1">
        <f>IF(1168622&gt;0,100*16823/1168622,"")</f>
        <v>1.4395587281430609</v>
      </c>
      <c r="D84" s="1">
        <f>IF(160767&gt;0,100*12268/160767,"")</f>
        <v>7.630919280698153</v>
      </c>
      <c r="E84" s="1">
        <f>IF(COUNT(C84:D84)=2,D84-C84,"")</f>
        <v>6.191360552555093</v>
      </c>
      <c r="H84" s="1">
        <v>10</v>
      </c>
      <c r="I84" s="1">
        <v>9</v>
      </c>
      <c r="J84" s="1">
        <f>IF(3065832&gt;0,100*1566994/3065832,"")</f>
        <v>51.11154166307873</v>
      </c>
      <c r="K84" s="1">
        <f>IF(1639024&gt;0,100*137015/1639024,"")</f>
        <v>8.359548121320982</v>
      </c>
      <c r="L84" s="1">
        <f>IF(COUNT(J84:K84)=2,K84-J84,"")</f>
        <v>-42.75199354175775</v>
      </c>
      <c r="O84" s="1">
        <v>10</v>
      </c>
      <c r="P84" s="1">
        <v>9</v>
      </c>
      <c r="Q84" s="1">
        <f>IF(2063235&gt;0,100*325107/2063235,"")</f>
        <v>15.757148361674748</v>
      </c>
      <c r="R84" s="1">
        <f>IF(1687068&gt;0,100*149637/1687068,"")</f>
        <v>8.869648407770168</v>
      </c>
      <c r="S84" s="1">
        <f>IF(COUNT(Q84:R84)=2,R84-Q84,"")</f>
        <v>-6.88749995390458</v>
      </c>
    </row>
    <row r="85" spans="1:19">
      <c r="A85" s="1">
        <v>11</v>
      </c>
      <c r="B85" s="1">
        <v>10</v>
      </c>
      <c r="C85" s="1">
        <f>IF(2209395&gt;0,100*1084873/2209395,"")</f>
        <v>49.1027181649275</v>
      </c>
      <c r="D85" s="1">
        <f>IF(2491332&gt;0,100*878996/2491332,"")</f>
        <v>35.282170341006335</v>
      </c>
      <c r="E85" s="1">
        <f>IF(COUNT(C85:D85)=2,D85-C85,"")</f>
        <v>-13.820547823921167</v>
      </c>
      <c r="H85" s="1">
        <v>11</v>
      </c>
      <c r="I85" s="1">
        <v>10</v>
      </c>
      <c r="J85" s="1">
        <f>IF(2870543&gt;0,100*1618419/2870543,"")</f>
        <v>56.380238860731225</v>
      </c>
      <c r="K85" s="1">
        <f>IF(2581606&gt;0,100*534749/2581606,"")</f>
        <v>20.713811480140656</v>
      </c>
      <c r="L85" s="1">
        <f>IF(COUNT(J85:K85)=2,K85-J85,"")</f>
        <v>-35.66642738059057</v>
      </c>
      <c r="O85" s="1">
        <v>11</v>
      </c>
      <c r="P85" s="1">
        <v>10</v>
      </c>
      <c r="Q85" s="1">
        <f>IF(2712419&gt;0,100*1335644/2712419,"")</f>
        <v>49.241802243679906</v>
      </c>
      <c r="R85" s="1">
        <f>IF(3445049&gt;0,100*1119084/3445049,"")</f>
        <v>32.4838340470629</v>
      </c>
      <c r="S85" s="1">
        <f>IF(COUNT(Q85:R85)=2,R85-Q85,"")</f>
        <v>-16.757968196617007</v>
      </c>
    </row>
    <row r="86" spans="1:19">
      <c r="A86" s="1">
        <v>12</v>
      </c>
      <c r="B86" s="1">
        <v>11</v>
      </c>
      <c r="C86" s="1">
        <f>IF(2101751&gt;0,100*916475/2101751,"")</f>
        <v>43.605308145446344</v>
      </c>
      <c r="D86" s="1">
        <f>IF(2285205&gt;0,100*805477/2285205,"")</f>
        <v>35.24747232742796</v>
      </c>
      <c r="E86" s="1">
        <f>IF(COUNT(C86:D86)=2,D86-C86,"")</f>
        <v>-8.357835818018387</v>
      </c>
      <c r="H86" s="1">
        <v>12</v>
      </c>
      <c r="I86" s="1">
        <v>11</v>
      </c>
      <c r="J86" s="1">
        <f>IF(2321486&gt;0,100*1150766/2321486,"")</f>
        <v>49.57023217025647</v>
      </c>
      <c r="K86" s="1">
        <f>IF(2077306&gt;0,100*104095/2077306,"")</f>
        <v>5.011057590937493</v>
      </c>
      <c r="L86" s="1">
        <f>IF(COUNT(J86:K86)=2,K86-J86,"")</f>
        <v>-44.55917457931898</v>
      </c>
      <c r="O86" s="1">
        <v>12</v>
      </c>
      <c r="P86" s="1">
        <v>11</v>
      </c>
      <c r="Q86" s="1">
        <f>IF(2923066&gt;0,100*1456418/2923066,"")</f>
        <v>49.825012503994095</v>
      </c>
      <c r="R86" s="1">
        <f>IF(2561154&gt;0,100*613053/2561154,"")</f>
        <v>23.93659264534659</v>
      </c>
      <c r="S86" s="1">
        <f>IF(COUNT(Q86:R86)=2,R86-Q86,"")</f>
        <v>-25.888419858647506</v>
      </c>
    </row>
    <row r="87" spans="1:19">
      <c r="A87" s="1">
        <v>13</v>
      </c>
      <c r="B87" s="1">
        <v>12</v>
      </c>
      <c r="C87" s="1">
        <f>IF(2087661&gt;0,100*558523/2087661,"")</f>
        <v>26.753529428388998</v>
      </c>
      <c r="D87" s="1">
        <f>IF(1351271&gt;0,100*12345/1351271,"")</f>
        <v>0.9135843217237697</v>
      </c>
      <c r="E87" s="1">
        <f>IF(COUNT(C87:D87)=2,D87-C87,"")</f>
        <v>-25.839945106665226</v>
      </c>
      <c r="H87" s="1">
        <v>13</v>
      </c>
      <c r="I87" s="1">
        <v>12</v>
      </c>
      <c r="J87" s="1">
        <f>IF(2390190&gt;0,100*1069032/2390190,"")</f>
        <v>44.72581677607219</v>
      </c>
      <c r="K87" s="1">
        <f>IF(3228583&gt;0,100*1064817/3228583,"")</f>
        <v>32.98093931610245</v>
      </c>
      <c r="L87" s="1">
        <f>IF(COUNT(J87:K87)=2,K87-J87,"")</f>
        <v>-11.744877459969743</v>
      </c>
      <c r="O87" s="1">
        <v>13</v>
      </c>
      <c r="P87" s="1">
        <v>12</v>
      </c>
      <c r="Q87" s="1">
        <f>IF(1557676&gt;0,100*18730/1557676,"")</f>
        <v>1.2024323415138964</v>
      </c>
      <c r="R87" s="1">
        <f>IF(2039966&gt;0,100*188567/2039966,"")</f>
        <v>9.243634452731074</v>
      </c>
      <c r="S87" s="1">
        <f>IF(COUNT(Q87:R87)=2,R87-Q87,"")</f>
        <v>8.041202111217178</v>
      </c>
    </row>
    <row r="88" spans="1:19">
      <c r="A88" s="1">
        <v>14</v>
      </c>
      <c r="B88" s="1">
        <v>13</v>
      </c>
      <c r="C88" s="1">
        <f>IF(1496156&gt;0,100*261177/1496156,"")</f>
        <v>17.456535281080313</v>
      </c>
      <c r="D88" s="1">
        <f>IF(1483828&gt;0,100*213068/1483828,"")</f>
        <v>14.35934623150392</v>
      </c>
      <c r="E88" s="1">
        <f>IF(COUNT(C88:D88)=2,D88-C88,"")</f>
        <v>-3.097189049576393</v>
      </c>
      <c r="H88" s="1">
        <v>14</v>
      </c>
      <c r="I88" s="1">
        <v>13</v>
      </c>
      <c r="J88" s="1">
        <f>IF(1799691&gt;0,100*550790/1799691,"")</f>
        <v>30.604698250977528</v>
      </c>
      <c r="K88" s="1">
        <f>IF(1035266&gt;0,100*4357/1035266,"")</f>
        <v>0.42085802103034387</v>
      </c>
      <c r="L88" s="1">
        <f>IF(COUNT(J88:K88)=2,K88-J88,"")</f>
        <v>-30.183840229947183</v>
      </c>
      <c r="O88" s="1">
        <v>14</v>
      </c>
      <c r="P88" s="1">
        <v>13</v>
      </c>
      <c r="Q88" s="1">
        <f>IF(1217487&gt;0,100*119562/1217487,"")</f>
        <v>9.820392332731274</v>
      </c>
      <c r="R88" s="1">
        <f>IF(1504831&gt;0,100*214590/1504831,"")</f>
        <v>14.260073058037747</v>
      </c>
      <c r="S88" s="1">
        <f>IF(COUNT(Q88:R88)=2,R88-Q88,"")</f>
        <v>4.439680725306474</v>
      </c>
    </row>
    <row r="89" spans="1:19">
      <c r="A89" s="1">
        <v>15</v>
      </c>
      <c r="B89" s="1">
        <v>14</v>
      </c>
      <c r="C89" s="1">
        <f>IF(1933985&gt;0,100*847555/1933985,"")</f>
        <v>43.82427991944095</v>
      </c>
      <c r="D89" s="1">
        <f>IF(2629054&gt;0,100*937529/2629054,"")</f>
        <v>35.66031736130182</v>
      </c>
      <c r="E89" s="1">
        <f>IF(COUNT(C89:D89)=2,D89-C89,"")</f>
        <v>-8.163962558139126</v>
      </c>
      <c r="H89" s="1">
        <v>15</v>
      </c>
      <c r="I89" s="1">
        <v>14</v>
      </c>
      <c r="J89" s="1">
        <f>IF(2456423&gt;0,100*458635/2456423,"")</f>
        <v>18.670847814077625</v>
      </c>
      <c r="K89" s="1">
        <f>IF(2148746&gt;0,100*533452/2148746,"")</f>
        <v>24.826200956278687</v>
      </c>
      <c r="L89" s="1">
        <f>IF(COUNT(J89:K89)=2,K89-J89,"")</f>
        <v>6.1553531422010614</v>
      </c>
      <c r="O89" s="1">
        <v>15</v>
      </c>
      <c r="P89" s="1">
        <v>14</v>
      </c>
      <c r="Q89" s="1">
        <f>IF(2356524&gt;0,100*573959/2356524,"")</f>
        <v>24.35617035939375</v>
      </c>
      <c r="R89" s="1">
        <f>IF(3368520&gt;0,100*1170867/3368520,"")</f>
        <v>34.75909301414271</v>
      </c>
      <c r="S89" s="1">
        <f>IF(COUNT(Q89:R89)=2,R89-Q89,"")</f>
        <v>10.402922654748956</v>
      </c>
    </row>
    <row r="90" spans="1:19">
      <c r="A90" s="1">
        <v>16</v>
      </c>
      <c r="B90" s="1">
        <v>15</v>
      </c>
      <c r="C90" s="1">
        <f>IF(2016018&gt;0,100*829052/2016018,"")</f>
        <v>41.12324393929023</v>
      </c>
      <c r="D90" s="1">
        <f>IF(2887425&gt;0,100*1098798/2887425,"")</f>
        <v>38.05459882074859</v>
      </c>
      <c r="E90" s="1">
        <f>IF(COUNT(C90:D90)=2,D90-C90,"")</f>
        <v>-3.068645118541639</v>
      </c>
      <c r="H90" s="1">
        <v>16</v>
      </c>
      <c r="I90" s="1">
        <v>15</v>
      </c>
      <c r="J90" s="1">
        <f>IF(2410914&gt;0,100*1100716/2410914,"")</f>
        <v>45.65554806185538</v>
      </c>
      <c r="K90" s="1">
        <f>IF(3392213&gt;0,100*1208307/3392213,"")</f>
        <v>35.62002150218751</v>
      </c>
      <c r="L90" s="1">
        <f>IF(COUNT(J90:K90)=2,K90-J90,"")</f>
        <v>-10.035526559667865</v>
      </c>
      <c r="O90" s="1">
        <v>16</v>
      </c>
      <c r="P90" s="1">
        <v>15</v>
      </c>
      <c r="Q90" s="1">
        <f>IF(2715811&gt;0,100*1420140/2715811,"")</f>
        <v>52.29156226261695</v>
      </c>
      <c r="R90" s="1">
        <f>IF(2284174&gt;0,100*418395/2284174,"")</f>
        <v>18.317124702408837</v>
      </c>
      <c r="S90" s="1">
        <f>IF(COUNT(Q90:R90)=2,R90-Q90,"")</f>
        <v>-33.974437560208116</v>
      </c>
    </row>
    <row r="91" spans="1:19">
      <c r="A91" s="1">
        <v>17</v>
      </c>
      <c r="B91" s="1">
        <v>16</v>
      </c>
      <c r="C91" s="1">
        <f>IF(830136&gt;0,100*34541/830136,"")</f>
        <v>4.160884481578922</v>
      </c>
      <c r="D91" s="1">
        <f>IF(933778&gt;0,100*17692/933778,"")</f>
        <v>1.8946687542435139</v>
      </c>
      <c r="E91" s="1">
        <f>IF(COUNT(C91:D91)=2,D91-C91,"")</f>
        <v>-2.2662157273354078</v>
      </c>
      <c r="H91" s="1">
        <v>17</v>
      </c>
      <c r="I91" s="1">
        <v>16</v>
      </c>
      <c r="J91" s="1">
        <f>IF(196031&gt;0,100*5823/196031,"")</f>
        <v>2.970448551504609</v>
      </c>
      <c r="K91" s="1">
        <f>IF(2322872&gt;0,100*520876/2322872,"")</f>
        <v>22.423792615348585</v>
      </c>
      <c r="L91" s="1">
        <f>IF(COUNT(J91:K91)=2,K91-J91,"")</f>
        <v>19.453344063843975</v>
      </c>
      <c r="O91" s="1">
        <v>17</v>
      </c>
      <c r="P91" s="1">
        <v>16</v>
      </c>
      <c r="Q91" s="1">
        <f>IF(2285076&gt;0,100*953900/2285076,"")</f>
        <v>41.74478223043785</v>
      </c>
      <c r="R91" s="1">
        <f>IF(2180152&gt;0,100*551986/2180152,"")</f>
        <v>25.318693375507763</v>
      </c>
      <c r="S91" s="1">
        <f>IF(COUNT(Q91:R91)=2,R91-Q91,"")</f>
        <v>-16.426088854930086</v>
      </c>
    </row>
    <row r="92" spans="1:19">
      <c r="A92" s="1">
        <v>18</v>
      </c>
      <c r="B92" s="1">
        <v>17</v>
      </c>
      <c r="C92" s="1">
        <f>IF(1194547&gt;0,100*244244/1194547,"")</f>
        <v>20.446579330909543</v>
      </c>
      <c r="D92" s="1">
        <f>IF(1364602&gt;0,100*169204/1364602,"")</f>
        <v>12.399512824984868</v>
      </c>
      <c r="E92" s="1">
        <f>IF(COUNT(C92:D92)=2,D92-C92,"")</f>
        <v>-8.047066505924676</v>
      </c>
      <c r="H92" s="1">
        <v>18</v>
      </c>
      <c r="I92" s="1">
        <v>17</v>
      </c>
      <c r="J92" s="4"/>
      <c r="K92" s="1">
        <f>IF(2670862&gt;0,100*547176/2670862,"")</f>
        <v>20.48686903329337</v>
      </c>
      <c r="L92" s="1">
        <f>IF(COUNT(J92:K92)=2,K92-J92,"")</f>
        <v/>
      </c>
      <c r="O92" s="1">
        <v>18</v>
      </c>
      <c r="P92" s="1">
        <v>17</v>
      </c>
      <c r="Q92" s="1">
        <f>IF(2825816&gt;0,100*1323547/2825816,"")</f>
        <v>46.83769219227296</v>
      </c>
      <c r="R92" s="1">
        <f>IF(1434432&gt;0,100*101230/1434432,"")</f>
        <v>7.057148752955873</v>
      </c>
      <c r="S92" s="1">
        <f>IF(COUNT(Q92:R92)=2,R92-Q92,"")</f>
        <v>-39.780543439317086</v>
      </c>
    </row>
    <row r="93" spans="1:19">
      <c r="A93" s="1">
        <v>19</v>
      </c>
      <c r="B93" s="1">
        <v>18</v>
      </c>
      <c r="C93" s="1">
        <f>IF(1931560&gt;0,100*912771/1931560,"")</f>
        <v>47.25563792996335</v>
      </c>
      <c r="D93" s="1">
        <f>IF(2442813&gt;0,100*848714/2442813,"")</f>
        <v>34.74330618021109</v>
      </c>
      <c r="E93" s="1">
        <f>IF(COUNT(C93:D93)=2,D93-C93,"")</f>
        <v>-12.512331749752256</v>
      </c>
      <c r="H93" s="1">
        <v>19</v>
      </c>
      <c r="I93" s="1">
        <v>18</v>
      </c>
      <c r="J93" s="1">
        <f>IF(1855523&gt;0,100*552371/1855523,"")</f>
        <v>29.76901930075779</v>
      </c>
      <c r="K93" s="1">
        <f>IF(1480106&gt;0,100*177207/1480106,"")</f>
        <v>11.972588449746167</v>
      </c>
      <c r="L93" s="1">
        <f>IF(COUNT(J93:K93)=2,K93-J93,"")</f>
        <v>-17.79643085101162</v>
      </c>
      <c r="O93" s="1">
        <v>19</v>
      </c>
      <c r="P93" s="1">
        <v>18</v>
      </c>
      <c r="Q93" s="1">
        <f>IF(2510684&gt;0,100*1031580/2510684,"")</f>
        <v>41.08760799845779</v>
      </c>
      <c r="R93" s="1">
        <f>IF(1640841&gt;0,100*191531/1640841,"")</f>
        <v>11.672733677425175</v>
      </c>
      <c r="S93" s="1">
        <f>IF(COUNT(Q93:R93)=2,R93-Q93,"")</f>
        <v>-29.414874321032617</v>
      </c>
    </row>
    <row r="94" spans="1:19">
      <c r="A94" s="1">
        <v>20</v>
      </c>
      <c r="B94" s="1">
        <v>19</v>
      </c>
      <c r="C94" s="1">
        <f>IF(2025286&gt;0,100*867239/2025286,"")</f>
        <v>42.82056953931445</v>
      </c>
      <c r="D94" s="1">
        <f>IF(2573291&gt;0,100*786567/2573291,"")</f>
        <v>30.56657797349775</v>
      </c>
      <c r="E94" s="1">
        <f>IF(COUNT(C94:D94)=2,D94-C94,"")</f>
        <v>-12.253991565816698</v>
      </c>
      <c r="H94" s="1">
        <v>20</v>
      </c>
      <c r="I94" s="1">
        <v>19</v>
      </c>
      <c r="J94" s="1">
        <f>IF(2440076&gt;0,100*960305/2440076,"")</f>
        <v>39.355536466896936</v>
      </c>
      <c r="K94" s="1">
        <f>IF(2185268&gt;0,100*559124/2185268,"")</f>
        <v>25.58606084013494</v>
      </c>
      <c r="L94" s="1">
        <f>IF(COUNT(J94:K94)=2,K94-J94,"")</f>
        <v>-13.769475626761995</v>
      </c>
      <c r="O94" s="1">
        <v>20</v>
      </c>
      <c r="P94" s="1">
        <v>19</v>
      </c>
      <c r="Q94" s="1">
        <f>IF(3041216&gt;0,100*1439290/3041216,"")</f>
        <v>47.32613533533955</v>
      </c>
      <c r="R94" s="1">
        <f>IF(2285299&gt;0,100*506944/2285299,"")</f>
        <v>22.18283034298794</v>
      </c>
      <c r="S94" s="1">
        <f>IF(COUNT(Q94:R94)=2,R94-Q94,"")</f>
        <v>-25.14330499235161</v>
      </c>
    </row>
    <row r="95" spans="1:19">
      <c r="A95" s="1">
        <v>21</v>
      </c>
      <c r="B95" s="1">
        <v>20</v>
      </c>
      <c r="C95" s="1">
        <f>IF(2094148&gt;0,100*1039154/2094148,"")</f>
        <v>49.62180323453739</v>
      </c>
      <c r="D95" s="1">
        <f>IF(1674903&gt;0,100*374986/1674903,"")</f>
        <v>22.38852040983866</v>
      </c>
      <c r="E95" s="1">
        <f>IF(COUNT(C95:D95)=2,D95-C95,"")</f>
        <v>-27.23328282469873</v>
      </c>
      <c r="H95" s="1">
        <v>21</v>
      </c>
      <c r="I95" s="1">
        <v>20</v>
      </c>
      <c r="J95" s="1">
        <f>IF(2683747&gt;0,100*1388722/2683747,"")</f>
        <v>51.74563772218469</v>
      </c>
      <c r="K95" s="1">
        <f>IF(1579827&gt;0,100*346545/1579827,"")</f>
        <v>21.935629660716014</v>
      </c>
      <c r="L95" s="1">
        <f>IF(COUNT(J95:K95)=2,K95-J95,"")</f>
        <v>-29.810008061468675</v>
      </c>
      <c r="O95" s="1">
        <v>21</v>
      </c>
      <c r="P95" s="1">
        <v>20</v>
      </c>
      <c r="Q95" s="1">
        <f>IF(2268817&gt;0,100*1102753/2268817,"")</f>
        <v>48.60475745730044</v>
      </c>
      <c r="R95" s="1">
        <f>IF(1039476&gt;0,100*50828/1039476,"")</f>
        <v>4.889771384813117</v>
      </c>
      <c r="S95" s="1">
        <f>IF(COUNT(Q95:R95)=2,R95-Q95,"")</f>
        <v>-43.71498607248732</v>
      </c>
    </row>
    <row r="96" spans="1:19">
      <c r="A96" s="1">
        <v>22</v>
      </c>
      <c r="B96" s="1">
        <v>21</v>
      </c>
      <c r="C96" s="1">
        <f>IF(1002018&gt;0,100*273571/1002018,"")</f>
        <v>27.302004554808395</v>
      </c>
      <c r="D96" s="1">
        <f>IF(1042696&gt;0,100*279615/1042696,"")</f>
        <v>26.81654096687817</v>
      </c>
      <c r="E96" s="1">
        <f>IF(COUNT(C96:D96)=2,D96-C96,"")</f>
        <v>-0.4854635879302265</v>
      </c>
      <c r="H96" s="1">
        <v>22</v>
      </c>
      <c r="I96" s="1">
        <v>21</v>
      </c>
      <c r="J96" s="1">
        <f>IF(2557965&gt;0,100*1179736/2557965,"")</f>
        <v>46.12009937587106</v>
      </c>
      <c r="K96" s="1">
        <f>IF(2630410&gt;0,100*690334/2630410,"")</f>
        <v>26.244349740154576</v>
      </c>
      <c r="L96" s="1">
        <f>IF(COUNT(J96:K96)=2,K96-J96,"")</f>
        <v>-19.87574963571648</v>
      </c>
      <c r="O96" s="1">
        <v>22</v>
      </c>
      <c r="P96" s="1">
        <v>21</v>
      </c>
      <c r="Q96" s="1">
        <f>IF(1946233&gt;0,100*656202/1946233,"")</f>
        <v>33.71651801197493</v>
      </c>
      <c r="R96" s="1">
        <f>IF(2201026&gt;0,100*683684/2201026,"")</f>
        <v>31.06205923964551</v>
      </c>
      <c r="S96" s="1">
        <f>IF(COUNT(Q96:R96)=2,R96-Q96,"")</f>
        <v>-2.6544587723294164</v>
      </c>
    </row>
    <row r="97" spans="1:19">
      <c r="A97" s="1">
        <v>23</v>
      </c>
      <c r="B97" s="1">
        <v>22</v>
      </c>
      <c r="C97" s="1">
        <f>IF(795260&gt;0,100*1236/795260,"")</f>
        <v>0.15542086864673188</v>
      </c>
      <c r="D97" s="1">
        <f>IF(1081577&gt;0,100*6995/1081577,"")</f>
        <v>0.6467408238155952</v>
      </c>
      <c r="E97" s="1">
        <f>IF(COUNT(C97:D97)=2,D97-C97,"")</f>
        <v>0.4913199551688633</v>
      </c>
      <c r="H97" s="1">
        <v>23</v>
      </c>
      <c r="I97" s="1">
        <v>22</v>
      </c>
      <c r="J97" s="1">
        <f>IF(2773812&gt;0,100*1410215/2773812,"")</f>
        <v>50.84032371335909</v>
      </c>
      <c r="K97" s="1">
        <f>IF(2609196&gt;0,100*522121/2609196,"")</f>
        <v>20.010800261843112</v>
      </c>
      <c r="L97" s="1">
        <f>IF(COUNT(J97:K97)=2,K97-J97,"")</f>
        <v>-30.82952345151598</v>
      </c>
      <c r="O97" s="1">
        <v>23</v>
      </c>
      <c r="P97" s="1">
        <v>22</v>
      </c>
      <c r="Q97" s="1">
        <f>IF(2188846&gt;0,100*938113/2188846,"")</f>
        <v>42.858794086016104</v>
      </c>
      <c r="R97" s="1">
        <f>IF(3305373&gt;0,100*1129897/3305373,"")</f>
        <v>34.18364583966772</v>
      </c>
      <c r="S97" s="1">
        <f>IF(COUNT(Q97:R97)=2,R97-Q97,"")</f>
        <v>-8.675148246348385</v>
      </c>
    </row>
    <row r="98" spans="1:19">
      <c r="A98" s="1">
        <v>24</v>
      </c>
      <c r="B98" s="1">
        <v>23</v>
      </c>
      <c r="C98" s="1">
        <f>IF(1888679&gt;0,100*755365/1888679,"")</f>
        <v>39.99435584342284</v>
      </c>
      <c r="D98" s="1">
        <f>IF(1768236&gt;0,100*372491/1768236,"")</f>
        <v>21.065683539979958</v>
      </c>
      <c r="E98" s="1">
        <f>IF(COUNT(C98:D98)=2,D98-C98,"")</f>
        <v>-18.92867230344288</v>
      </c>
      <c r="H98" s="1">
        <v>24</v>
      </c>
      <c r="I98" s="1">
        <v>23</v>
      </c>
      <c r="J98" s="1">
        <f>IF(2330232&gt;0,100*1039149/2330232,"")</f>
        <v>44.594229244126765</v>
      </c>
      <c r="K98" s="1">
        <f>IF(1645140&gt;0,100*40975/1645140,"")</f>
        <v>2.490669487095323</v>
      </c>
      <c r="L98" s="1">
        <f>IF(COUNT(J98:K98)=2,K98-J98,"")</f>
        <v>-42.10355975703144</v>
      </c>
      <c r="O98" s="1">
        <v>24</v>
      </c>
      <c r="P98" s="1">
        <v>23</v>
      </c>
      <c r="Q98" s="1">
        <f>IF(2075098&gt;0,100*737576/2075098,"")</f>
        <v>35.544152613515124</v>
      </c>
      <c r="R98" s="1">
        <f>IF(2016537&gt;0,100*410793/2016537,"")</f>
        <v>20.371210644783606</v>
      </c>
      <c r="S98" s="1">
        <f>IF(COUNT(Q98:R98)=2,R98-Q98,"")</f>
        <v>-15.172941968731518</v>
      </c>
    </row>
    <row r="99" spans="1:19">
      <c r="A99" s="1">
        <v>25</v>
      </c>
      <c r="B99" s="1">
        <v>24</v>
      </c>
      <c r="C99" s="1">
        <f>IF(2046231&gt;0,100*862149/2046231,"")</f>
        <v>42.1335127852134</v>
      </c>
      <c r="D99" s="1">
        <f>IF(2307432&gt;0,100*848101/2307432,"")</f>
        <v>36.75518931868848</v>
      </c>
      <c r="E99" s="1">
        <f>IF(COUNT(C99:D99)=2,D99-C99,"")</f>
        <v>-5.378323466524918</v>
      </c>
      <c r="H99" s="1">
        <v>25</v>
      </c>
      <c r="I99" s="1">
        <v>24</v>
      </c>
      <c r="J99" s="1">
        <f>IF(2687496&gt;0,100*1356682/2687496,"")</f>
        <v>50.481265832581705</v>
      </c>
      <c r="K99" s="1">
        <f>IF(2082413&gt;0,100*230281/2082413,"")</f>
        <v>11.058373146921385</v>
      </c>
      <c r="L99" s="1">
        <f>IF(COUNT(J99:K99)=2,K99-J99,"")</f>
        <v>-39.42289268566032</v>
      </c>
      <c r="O99" s="1">
        <v>25</v>
      </c>
      <c r="P99" s="1">
        <v>24</v>
      </c>
      <c r="Q99" s="1">
        <f>IF(2348758&gt;0,100*912656/2348758,"")</f>
        <v>38.856961849624355</v>
      </c>
      <c r="R99" s="1">
        <f>IF(1327228&gt;0,100*123631/1327228,"")</f>
        <v>9.314978285569623</v>
      </c>
      <c r="S99" s="1">
        <f>IF(COUNT(Q99:R99)=2,R99-Q99,"")</f>
        <v>-29.541983564054732</v>
      </c>
    </row>
    <row r="100" spans="1:19">
      <c r="A100" s="1">
        <v>26</v>
      </c>
      <c r="B100" s="1">
        <v>25</v>
      </c>
      <c r="C100" s="1">
        <f>IF(2173027&gt;0,100*1021557/2173027,"")</f>
        <v>47.01078265479444</v>
      </c>
      <c r="D100" s="1">
        <f>IF(2535860&gt;0,100*986095/2535860,"")</f>
        <v>38.88601894426348</v>
      </c>
      <c r="E100" s="1">
        <f>IF(COUNT(C100:D100)=2,D100-C100,"")</f>
        <v>-8.124763710530956</v>
      </c>
      <c r="H100" s="1">
        <v>26</v>
      </c>
      <c r="I100" s="1">
        <v>25</v>
      </c>
      <c r="J100" s="1">
        <f>IF(1369843&gt;0,100*81159/1369843,"")</f>
        <v>5.9246935597729085</v>
      </c>
      <c r="K100" s="1">
        <f>IF(2558944&gt;0,100*729067/2558944,"")</f>
        <v>28.490932197031274</v>
      </c>
      <c r="L100" s="1">
        <f>IF(COUNT(J100:K100)=2,K100-J100,"")</f>
        <v>22.566238637258365</v>
      </c>
      <c r="O100" s="1">
        <v>26</v>
      </c>
      <c r="P100" s="1">
        <v>25</v>
      </c>
      <c r="Q100" s="1">
        <f>IF(2790743&gt;0,100*1533326/2790743,"")</f>
        <v>54.94328929607635</v>
      </c>
      <c r="R100" s="1">
        <f>IF(2669307&gt;0,100*767118/2669307,"")</f>
        <v>28.73847032207236</v>
      </c>
      <c r="S100" s="1">
        <f>IF(COUNT(Q100:R100)=2,R100-Q100,"")</f>
        <v>-26.20481897400399</v>
      </c>
    </row>
    <row r="101" spans="1:19">
      <c r="A101" s="1">
        <v>27</v>
      </c>
      <c r="B101" s="1">
        <v>26</v>
      </c>
      <c r="C101" s="1">
        <f>IF(2068375&gt;0,100*1076315/2068375,"")</f>
        <v>52.03674382063214</v>
      </c>
      <c r="D101" s="1">
        <f>IF(2715845&gt;0,100*1015367/2715845,"")</f>
        <v>37.386780173389866</v>
      </c>
      <c r="E101" s="1">
        <f>IF(COUNT(C101:D101)=2,D101-C101,"")</f>
        <v>-14.649963647242274</v>
      </c>
      <c r="H101" s="1">
        <v>27</v>
      </c>
      <c r="I101" s="1">
        <v>26</v>
      </c>
      <c r="J101" s="1">
        <f>IF(1770443&gt;0,100*418105/1770443,"")</f>
        <v>23.615840781092643</v>
      </c>
      <c r="K101" s="1">
        <f>IF(3546240&gt;0,100*841902/3546240,"")</f>
        <v>23.74069436924743</v>
      </c>
      <c r="L101" s="1">
        <f>IF(COUNT(J101:K101)=2,K101-J101,"")</f>
        <v>0.1248535881547852</v>
      </c>
      <c r="O101" s="1">
        <v>27</v>
      </c>
      <c r="P101" s="1">
        <v>26</v>
      </c>
      <c r="Q101" s="1">
        <f>IF(2101248&gt;0,100*444433/2101248,"")</f>
        <v>21.150906508893762</v>
      </c>
      <c r="R101" s="1">
        <f>IF(3089911&gt;0,100*963906/3089911,"")</f>
        <v>31.195267436505453</v>
      </c>
      <c r="S101" s="1">
        <f>IF(COUNT(Q101:R101)=2,R101-Q101,"")</f>
        <v>10.044360927611692</v>
      </c>
    </row>
    <row r="102" spans="1:19">
      <c r="A102" s="1">
        <v>28</v>
      </c>
      <c r="B102" s="1">
        <v>27</v>
      </c>
      <c r="C102" s="1">
        <f>IF(1174000&gt;0,100*3059/1174000,"")</f>
        <v>0.2605621805792164</v>
      </c>
      <c r="D102" s="1">
        <f>IF(783578&gt;0,100*1013/783578,"")</f>
        <v>0.12927876995015175</v>
      </c>
      <c r="E102" s="1">
        <f>IF(COUNT(C102:D102)=2,D102-C102,"")</f>
        <v>-0.13128341062906462</v>
      </c>
      <c r="H102" s="1">
        <v>28</v>
      </c>
      <c r="I102" s="1">
        <v>27</v>
      </c>
      <c r="J102" s="1">
        <f>IF(2046482&gt;0,100*638275/2046482,"")</f>
        <v>31.18888903005255</v>
      </c>
      <c r="K102" s="1">
        <f>IF(3115303&gt;0,100*1099812/3115303,"")</f>
        <v>35.30353227278374</v>
      </c>
      <c r="L102" s="1">
        <f>IF(COUNT(J102:K102)=2,K102-J102,"")</f>
        <v>4.114643242731191</v>
      </c>
      <c r="O102" s="1">
        <v>28</v>
      </c>
      <c r="P102" s="1">
        <v>27</v>
      </c>
      <c r="Q102" s="1">
        <f>IF(2324907&gt;0,100*896618/2324907,"")</f>
        <v>38.5657576840708</v>
      </c>
      <c r="R102" s="1">
        <f>IF(2566528&gt;0,100*777160/2566528,"")</f>
        <v>30.280596977706846</v>
      </c>
      <c r="S102" s="1">
        <f>IF(COUNT(Q102:R102)=2,R102-Q102,"")</f>
        <v>-8.285160706363957</v>
      </c>
    </row>
    <row r="103" spans="1:19">
      <c r="A103" s="1">
        <v>29</v>
      </c>
      <c r="B103" s="1">
        <v>28</v>
      </c>
      <c r="C103" s="1">
        <f>IF(2083503&gt;0,100*1007639/2083503,"")</f>
        <v>48.362733338996875</v>
      </c>
      <c r="D103" s="1">
        <f>IF(2378415&gt;0,100*924250/2378415,"")</f>
        <v>38.859913009294004</v>
      </c>
      <c r="E103" s="1">
        <f>IF(COUNT(C103:D103)=2,D103-C103,"")</f>
        <v>-9.502820329702871</v>
      </c>
      <c r="H103" s="1">
        <v>29</v>
      </c>
      <c r="I103" s="1">
        <v>28</v>
      </c>
      <c r="J103" s="1">
        <f>IF(2576958&gt;0,100*1290348/2576958,"")</f>
        <v>50.072527375300645</v>
      </c>
      <c r="K103" s="1">
        <f>IF(2929521&gt;0,100*1014931/2929521,"")</f>
        <v>34.6449470749655</v>
      </c>
      <c r="L103" s="1">
        <f>IF(COUNT(J103:K103)=2,K103-J103,"")</f>
        <v>-15.427580300335144</v>
      </c>
      <c r="O103" s="1">
        <v>29</v>
      </c>
      <c r="P103" s="1">
        <v>28</v>
      </c>
      <c r="Q103" s="1">
        <f>IF(2240165&gt;0,100*1016922/2240165,"")</f>
        <v>45.39495974626869</v>
      </c>
      <c r="R103" s="1">
        <f>IF(2774259&gt;0,100*898634/2774259,"")</f>
        <v>32.391856708403935</v>
      </c>
      <c r="S103" s="1">
        <f>IF(COUNT(Q103:R103)=2,R103-Q103,"")</f>
        <v>-13.003103037864754</v>
      </c>
    </row>
    <row r="104" spans="1:19">
      <c r="A104" s="1">
        <v>30</v>
      </c>
      <c r="B104" s="1">
        <v>29</v>
      </c>
      <c r="C104" s="1">
        <f>IF(2234870&gt;0,100*1080496/2234870,"")</f>
        <v>48.34715218334847</v>
      </c>
      <c r="D104" s="1">
        <f>IF(2315267&gt;0,100*874131/2315267,"")</f>
        <v>37.75508397087679</v>
      </c>
      <c r="E104" s="1">
        <f>IF(COUNT(C104:D104)=2,D104-C104,"")</f>
        <v>-10.59206821247168</v>
      </c>
      <c r="H104" s="1">
        <v>30</v>
      </c>
      <c r="I104" s="1">
        <v>29</v>
      </c>
      <c r="J104" s="1">
        <f>IF(1911633&gt;0,100*586958/1911633,"")</f>
        <v>30.704533767726335</v>
      </c>
      <c r="K104" s="1">
        <f>IF(1279542&gt;0,100*74816/1279542,"")</f>
        <v>5.847092162664453</v>
      </c>
      <c r="L104" s="1">
        <f>IF(COUNT(J104:K104)=2,K104-J104,"")</f>
        <v>-24.857441605061883</v>
      </c>
      <c r="O104" s="1">
        <v>30</v>
      </c>
      <c r="P104" s="1">
        <v>29</v>
      </c>
      <c r="Q104" s="1">
        <f>IF(1054742&gt;0,100*14563/1054742,"")</f>
        <v>1.3807168008859039</v>
      </c>
      <c r="R104" s="1">
        <f>IF(971972&gt;0,100*6864/971972,"")</f>
        <v>0.706193182519661</v>
      </c>
      <c r="S104" s="1">
        <f>IF(COUNT(Q104:R104)=2,R104-Q104,"")</f>
        <v>-0.6745236183662429</v>
      </c>
    </row>
    <row r="105" spans="1:19">
      <c r="A105" s="1">
        <v>31</v>
      </c>
      <c r="B105" s="1">
        <v>30</v>
      </c>
      <c r="C105" s="1">
        <f>IF(1611966&gt;0,100*408242/1611966,"")</f>
        <v>25.32572026953422</v>
      </c>
      <c r="D105" s="1">
        <f>IF(1110469&gt;0,100*21163/1110469,"")</f>
        <v>1.905771345260426</v>
      </c>
      <c r="E105" s="1">
        <f>IF(COUNT(C105:D105)=2,D105-C105,"")</f>
        <v>-23.419948924273793</v>
      </c>
      <c r="H105" s="1">
        <v>31</v>
      </c>
      <c r="I105" s="1">
        <v>30</v>
      </c>
      <c r="J105" s="1">
        <f>IF(1813572&gt;0,100*419503/1813572,"")</f>
        <v>23.131312128771288</v>
      </c>
      <c r="K105" s="1">
        <f>IF(2812168&gt;0,100*880947/2812168,"")</f>
        <v>31.326257890709233</v>
      </c>
      <c r="L105" s="1">
        <f>IF(COUNT(J105:K105)=2,K105-J105,"")</f>
        <v>8.194945761937944</v>
      </c>
      <c r="O105" s="1">
        <v>31</v>
      </c>
      <c r="P105" s="1">
        <v>30</v>
      </c>
      <c r="Q105" s="1">
        <f>IF(2344140&gt;0,100*1034103/2344140,"")</f>
        <v>44.11438736594231</v>
      </c>
      <c r="R105" s="1">
        <f>IF(1711609&gt;0,100*286722/1711609,"")</f>
        <v>16.751606237172158</v>
      </c>
      <c r="S105" s="1">
        <f>IF(COUNT(Q105:R105)=2,R105-Q105,"")</f>
        <v>-27.36278112877015</v>
      </c>
    </row>
    <row r="106" spans="1:19">
      <c r="A106" s="2" t="s">
        <v>6</v>
      </c>
      <c r="B106" s="1"/>
      <c r="C106" s="1">
        <f>IF(COUNT(C75:C105)&gt;0,AVERAGE(C75:C105),"")</f>
        <v>34.139885623640744</v>
      </c>
      <c r="D106" s="1">
        <f>IF(COUNT(D75:D105)&gt;0,AVERAGE(D75:D105),"")</f>
        <v>24.102509274588805</v>
      </c>
      <c r="E106" s="1">
        <f>IF(COUNT(E75:E105)&gt;0,AVERAGE(E75:E105),"")</f>
        <v>-10.03737634905194</v>
      </c>
      <c r="H106" s="2" t="s">
        <v>6</v>
      </c>
      <c r="I106" s="1"/>
      <c r="J106" s="1">
        <f>IF(COUNT(J75:J105)&gt;0,AVERAGE(J75:J105),"")</f>
        <v>36.56494216191195</v>
      </c>
      <c r="K106" s="1">
        <f>IF(COUNT(K75:K105)&gt;0,AVERAGE(K75:K105),"")</f>
        <v>20.91959178128062</v>
      </c>
      <c r="L106" s="1">
        <f>IF(COUNT(L75:L105)&gt;0,AVERAGE(L75:L105),"")</f>
        <v>-15.630926289031756</v>
      </c>
      <c r="O106" s="2" t="s">
        <v>6</v>
      </c>
      <c r="P106" s="1"/>
      <c r="Q106" s="1">
        <f>IF(COUNT(Q75:Q105)&gt;0,AVERAGE(Q75:Q105),"")</f>
        <v>34.28456187402019</v>
      </c>
      <c r="R106" s="1">
        <f>IF(COUNT(R75:R105)&gt;0,AVERAGE(R75:R105),"")</f>
        <v>21.407086082506513</v>
      </c>
      <c r="S106" s="1">
        <f>IF(COUNT(S75:S105)&gt;0,AVERAGE(S75:S105),"")</f>
        <v>-12.877475791513682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IF(1025565&gt;0,100*254231/1025565,"")</f>
        <v>24.789360011310837</v>
      </c>
      <c r="D3" s="1">
        <f>IF(744789&gt;0,100*18341/744789,"")</f>
        <v>2.4625766492254852</v>
      </c>
      <c r="E3" s="1">
        <f>IF(COUNT(C3:D3)=2,D3-C3,"")</f>
        <v>-22.32678336208535</v>
      </c>
      <c r="H3" s="1">
        <v>1</v>
      </c>
      <c r="I3" s="1">
        <v>0</v>
      </c>
      <c r="J3" s="1">
        <f>IF(1360559&gt;0,100*350066/1360559,"")</f>
        <v>25.729571448206215</v>
      </c>
      <c r="K3" s="1">
        <f>IF(1007410&gt;0,100*182130/1007410,"")</f>
        <v>18.07903435542629</v>
      </c>
      <c r="L3" s="1">
        <f>IF(COUNT(J3:K3)=2,K3-J3,"")</f>
        <v>-7.650537092779924</v>
      </c>
      <c r="O3" s="1">
        <v>1</v>
      </c>
      <c r="P3" s="1">
        <v>0</v>
      </c>
      <c r="Q3" s="1">
        <f>IF(1611169&gt;0,100*528552/1611169,"")</f>
        <v>32.80549712662049</v>
      </c>
      <c r="R3" s="1">
        <f>IF(824771&gt;0,100*74037/824771,"")</f>
        <v>8.976673525136068</v>
      </c>
      <c r="S3" s="1">
        <f>IF(COUNT(Q3:R3)=2,R3-Q3,"")</f>
        <v>-23.82882360148442</v>
      </c>
    </row>
    <row r="4" spans="1:19">
      <c r="A4" s="1">
        <v>2</v>
      </c>
      <c r="B4" s="1">
        <v>1</v>
      </c>
      <c r="C4" s="1">
        <f>IF(1608611&gt;0,100*585743/1608611,"")</f>
        <v>36.41296746074719</v>
      </c>
      <c r="D4" s="1">
        <f>IF(1110354&gt;0,100*245872/1110354,"")</f>
        <v>22.14356862766289</v>
      </c>
      <c r="E4" s="1">
        <f>IF(COUNT(C4:D4)=2,D4-C4,"")</f>
        <v>-14.2693988330843</v>
      </c>
      <c r="H4" s="1">
        <v>2</v>
      </c>
      <c r="I4" s="1">
        <v>1</v>
      </c>
      <c r="J4" s="1">
        <f>IF(1080061&gt;0,100*195305/1080061,"")</f>
        <v>18.082774954377577</v>
      </c>
      <c r="K4" s="1">
        <f>IF(1469096&gt;0,100*362393/1469096,"")</f>
        <v>24.667754864215816</v>
      </c>
      <c r="L4" s="1">
        <f>IF(COUNT(J4:K4)=2,K4-J4,"")</f>
        <v>6.584979909838239</v>
      </c>
      <c r="O4" s="1">
        <v>2</v>
      </c>
      <c r="P4" s="1">
        <v>1</v>
      </c>
      <c r="Q4" s="1">
        <f>IF(1467133&gt;0,100*488009/1467133,"")</f>
        <v>33.26276486180871</v>
      </c>
      <c r="R4" s="1">
        <f>IF(1234268&gt;0,100*282307/1234268,"")</f>
        <v>22.87242316903622</v>
      </c>
      <c r="S4" s="1">
        <f>IF(COUNT(Q4:R4)=2,R4-Q4,"")</f>
        <v>-10.390341692772491</v>
      </c>
    </row>
    <row r="5" spans="1:19">
      <c r="A5" s="1">
        <v>3</v>
      </c>
      <c r="B5" s="1">
        <v>2</v>
      </c>
      <c r="C5" s="1">
        <f>IF(1615726&gt;0,100*621491/1615726,"")</f>
        <v>38.46512341820333</v>
      </c>
      <c r="D5" s="1">
        <f>IF(1040699&gt;0,100*198333/1040699,"")</f>
        <v>19.057671814809083</v>
      </c>
      <c r="E5" s="1">
        <f>IF(COUNT(C5:D5)=2,D5-C5,"")</f>
        <v>-19.40745160339425</v>
      </c>
      <c r="H5" s="1">
        <v>3</v>
      </c>
      <c r="I5" s="1">
        <v>2</v>
      </c>
      <c r="J5" s="1">
        <f>IF(1770666&gt;0,100*210556/1770666,"")</f>
        <v>11.891344838608749</v>
      </c>
      <c r="K5" s="1">
        <f>IF(1375087&gt;0,100*271330/1375087,"")</f>
        <v>19.73184242160678</v>
      </c>
      <c r="L5" s="1">
        <f>IF(COUNT(J5:K5)=2,K5-J5,"")</f>
        <v>7.8404975829980295</v>
      </c>
      <c r="O5" s="1">
        <v>3</v>
      </c>
      <c r="P5" s="1">
        <v>2</v>
      </c>
      <c r="Q5" s="1">
        <f>IF(1770413&gt;0,100*588287/1770413,"")</f>
        <v>33.228800285583084</v>
      </c>
      <c r="R5" s="1">
        <f>IF(1347703&gt;0,100*223046/1347703,"")</f>
        <v>16.55008559007437</v>
      </c>
      <c r="S5" s="1">
        <f>IF(COUNT(Q5:R5)=2,R5-Q5,"")</f>
        <v>-16.678714695508713</v>
      </c>
    </row>
    <row r="6" spans="1:19">
      <c r="A6" s="1">
        <v>4</v>
      </c>
      <c r="B6" s="1">
        <v>3</v>
      </c>
      <c r="C6" s="1">
        <f>IF(1681360&gt;0,100*632235/1681360,"")</f>
        <v>37.60259551791407</v>
      </c>
      <c r="D6" s="1">
        <f>IF(1638516&gt;0,100*441217/1638516,"")</f>
        <v>26.92784202290365</v>
      </c>
      <c r="E6" s="1">
        <f>IF(COUNT(C6:D6)=2,D6-C6,"")</f>
        <v>-10.674753495010417</v>
      </c>
      <c r="H6" s="1">
        <v>4</v>
      </c>
      <c r="I6" s="1">
        <v>3</v>
      </c>
      <c r="J6" s="1">
        <f>IF(1249184&gt;0,100*192969/1249184,"")</f>
        <v>15.447604196019162</v>
      </c>
      <c r="K6" s="1">
        <f>IF(1030071&gt;0,100*112718/1030071,"")</f>
        <v>10.94274084019451</v>
      </c>
      <c r="L6" s="1">
        <f>IF(COUNT(J6:K6)=2,K6-J6,"")</f>
        <v>-4.504863355824652</v>
      </c>
      <c r="O6" s="1">
        <v>4</v>
      </c>
      <c r="P6" s="1">
        <v>3</v>
      </c>
      <c r="Q6" s="1">
        <f>IF(851878&gt;0,100*27960/851878,"")</f>
        <v>3.2821601215197482</v>
      </c>
      <c r="R6" s="1">
        <f>IF(1182891&gt;0,100*118514/1182891,"")</f>
        <v>10.019012740818892</v>
      </c>
      <c r="S6" s="1">
        <f>IF(COUNT(Q6:R6)=2,R6-Q6,"")</f>
        <v>6.736852619299144</v>
      </c>
    </row>
    <row r="7" spans="1:19">
      <c r="A7" s="1">
        <v>5</v>
      </c>
      <c r="B7" s="1">
        <v>4</v>
      </c>
      <c r="C7" s="1">
        <f>IF(1534810&gt;0,100*544323/1534810,"")</f>
        <v>35.46517158475642</v>
      </c>
      <c r="D7" s="1">
        <f>IF(850764&gt;0,100*52640/850764,"")</f>
        <v>6.18737981390844</v>
      </c>
      <c r="E7" s="1">
        <f>IF(COUNT(C7:D7)=2,D7-C7,"")</f>
        <v>-29.27779177084798</v>
      </c>
      <c r="H7" s="1">
        <v>5</v>
      </c>
      <c r="I7" s="1">
        <v>4</v>
      </c>
      <c r="J7" s="1">
        <f>IF(1559950&gt;0,100*448934/1559950,"")</f>
        <v>28.77874290842655</v>
      </c>
      <c r="K7" s="1">
        <f>IF(1466340&gt;0,100*308464/1466340,"")</f>
        <v>21.036321726202655</v>
      </c>
      <c r="L7" s="1">
        <f>IF(COUNT(J7:K7)=2,K7-J7,"")</f>
        <v>-7.742421182223897</v>
      </c>
      <c r="O7" s="1">
        <v>5</v>
      </c>
      <c r="P7" s="1">
        <v>4</v>
      </c>
      <c r="Q7" s="1">
        <f>IF(1545033&gt;0,100*593590/1545033,"")</f>
        <v>38.419244119704885</v>
      </c>
      <c r="R7" s="1">
        <f>IF(1535436&gt;0,100*365482/1535436,"")</f>
        <v>23.80314125759719</v>
      </c>
      <c r="S7" s="1">
        <f>IF(COUNT(Q7:R7)=2,R7-Q7,"")</f>
        <v>-14.616102862107695</v>
      </c>
    </row>
    <row r="8" spans="1:19">
      <c r="A8" s="1">
        <v>6</v>
      </c>
      <c r="B8" s="1">
        <v>5</v>
      </c>
      <c r="C8" s="1">
        <f>IF(1481795&gt;0,100*384291/1481795,"")</f>
        <v>25.93415418462068</v>
      </c>
      <c r="D8" s="1">
        <f>IF(909513&gt;0,100*70771/909513,"")</f>
        <v>7.781197190144616</v>
      </c>
      <c r="E8" s="1">
        <f>IF(COUNT(C8:D8)=2,D8-C8,"")</f>
        <v>-18.152956994476064</v>
      </c>
      <c r="H8" s="1">
        <v>6</v>
      </c>
      <c r="I8" s="1">
        <v>5</v>
      </c>
      <c r="J8" s="1">
        <f>IF(1363284&gt;0,100*338111/1363284,"")</f>
        <v>24.801215300700367</v>
      </c>
      <c r="K8" s="1">
        <f>IF(1241736&gt;0,100*241084/1241736,"")</f>
        <v>19.41507695677664</v>
      </c>
      <c r="L8" s="1">
        <f>IF(COUNT(J8:K8)=2,K8-J8,"")</f>
        <v>-5.386138343923726</v>
      </c>
      <c r="O8" s="1">
        <v>6</v>
      </c>
      <c r="P8" s="1">
        <v>5</v>
      </c>
      <c r="Q8" s="1">
        <f>IF(1496153&gt;0,100*372992/1496153,"")</f>
        <v>24.930070654538675</v>
      </c>
      <c r="R8" s="1">
        <f>IF(1466681&gt;0,100*304297/1466681,"")</f>
        <v>20.747319969373027</v>
      </c>
      <c r="S8" s="1">
        <f>IF(COUNT(Q8:R8)=2,R8-Q8,"")</f>
        <v>-4.182750685165647</v>
      </c>
    </row>
    <row r="9" spans="1:19">
      <c r="A9" s="1">
        <v>7</v>
      </c>
      <c r="B9" s="1">
        <v>6</v>
      </c>
      <c r="C9" s="1">
        <f>IF(1693230&gt;0,100*659152/1693230,"")</f>
        <v>38.92867478133508</v>
      </c>
      <c r="D9" s="1">
        <f>IF(1387173&gt;0,100*332074/1387173,"")</f>
        <v>23.9389030784192</v>
      </c>
      <c r="E9" s="1">
        <f>IF(COUNT(C9:D9)=2,D9-C9,"")</f>
        <v>-14.989771702915881</v>
      </c>
      <c r="H9" s="1">
        <v>7</v>
      </c>
      <c r="I9" s="1">
        <v>6</v>
      </c>
      <c r="J9" s="1">
        <f>IF(681918&gt;0,100*6217/681918,"")</f>
        <v>0.9116931947829504</v>
      </c>
      <c r="K9" s="1">
        <f>IF(834800&gt;0,100*19630/834800,"")</f>
        <v>2.351461427886919</v>
      </c>
      <c r="L9" s="1">
        <f>IF(COUNT(J9:K9)=2,K9-J9,"")</f>
        <v>1.4397682331039685</v>
      </c>
      <c r="O9" s="1">
        <v>7</v>
      </c>
      <c r="P9" s="1">
        <v>6</v>
      </c>
      <c r="Q9" s="1">
        <f>IF(1286739&gt;0,100*333741/1286739,"")</f>
        <v>25.93696157495809</v>
      </c>
      <c r="R9" s="1">
        <f>IF(1075658&gt;0,100*116201/1075658,"")</f>
        <v>10.802783040706247</v>
      </c>
      <c r="S9" s="1">
        <f>IF(COUNT(Q9:R9)=2,R9-Q9,"")</f>
        <v>-15.134178534251843</v>
      </c>
    </row>
    <row r="10" spans="1:19">
      <c r="A10" s="1">
        <v>8</v>
      </c>
      <c r="B10" s="1">
        <v>7</v>
      </c>
      <c r="C10" s="1">
        <f>IF(1832737&gt;0,100*772049/1832737,"")</f>
        <v>42.12546590154506</v>
      </c>
      <c r="D10" s="1">
        <f>IF(1477681&gt;0,100*459776/1477681,"")</f>
        <v>31.114699316022875</v>
      </c>
      <c r="E10" s="1">
        <f>IF(COUNT(C10:D10)=2,D10-C10,"")</f>
        <v>-11.010766585522187</v>
      </c>
      <c r="H10" s="1">
        <v>8</v>
      </c>
      <c r="I10" s="1">
        <v>7</v>
      </c>
      <c r="J10" s="1">
        <f>IF(655547&gt;0,100*1454/655547,"")</f>
        <v>0.2217995048409954</v>
      </c>
      <c r="K10" s="1">
        <f>IF(799885&gt;0,100*34522/799885,"")</f>
        <v>4.315870406370916</v>
      </c>
      <c r="L10" s="1">
        <f>IF(COUNT(J10:K10)=2,K10-J10,"")</f>
        <v>4.09407090152992</v>
      </c>
      <c r="O10" s="1">
        <v>8</v>
      </c>
      <c r="P10" s="1">
        <v>7</v>
      </c>
      <c r="Q10" s="1">
        <f>IF(589319&gt;0,100*4560/589319,"")</f>
        <v>0.773774475284184</v>
      </c>
      <c r="R10" s="1">
        <f>IF(603365&gt;0,100*4950/603365,"")</f>
        <v>0.8203989293379629</v>
      </c>
      <c r="S10" s="1">
        <f>IF(COUNT(Q10:R10)=2,R10-Q10,"")</f>
        <v>0.04662445405377891</v>
      </c>
    </row>
    <row r="11" spans="1:19">
      <c r="A11" s="1">
        <v>9</v>
      </c>
      <c r="B11" s="1">
        <v>8</v>
      </c>
      <c r="C11" s="1">
        <f>IF(1595971&gt;0,100*597472/1595971,"")</f>
        <v>37.43626920539283</v>
      </c>
      <c r="D11" s="1">
        <f>IF(1315665&gt;0,100*409722/1315665,"")</f>
        <v>31.141818015984313</v>
      </c>
      <c r="E11" s="1">
        <f>IF(COUNT(C11:D11)=2,D11-C11,"")</f>
        <v>-6.2944511894085196</v>
      </c>
      <c r="H11" s="1">
        <v>9</v>
      </c>
      <c r="I11" s="1">
        <v>8</v>
      </c>
      <c r="J11" s="1">
        <f>IF(1710121&gt;0,100*526664/1710121,"")</f>
        <v>30.79688513268944</v>
      </c>
      <c r="K11" s="1">
        <f>IF(1606367&gt;0,100*384393/1606367,"")</f>
        <v>23.929338687859</v>
      </c>
      <c r="L11" s="1">
        <f>IF(COUNT(J11:K11)=2,K11-J11,"")</f>
        <v>-6.867546444830438</v>
      </c>
      <c r="O11" s="1">
        <v>9</v>
      </c>
      <c r="P11" s="1">
        <v>8</v>
      </c>
      <c r="Q11" s="1">
        <f>IF(1425170&gt;0,100*455531/1425170,"")</f>
        <v>31.96327455671955</v>
      </c>
      <c r="R11" s="1">
        <f>IF(1645662&gt;0,100*408070/1645662,"")</f>
        <v>24.796707950964414</v>
      </c>
      <c r="S11" s="1">
        <f>IF(COUNT(Q11:R11)=2,R11-Q11,"")</f>
        <v>-7.166566605755136</v>
      </c>
    </row>
    <row r="12" spans="1:19">
      <c r="A12" s="1">
        <v>10</v>
      </c>
      <c r="B12" s="1">
        <v>9</v>
      </c>
      <c r="C12" s="1">
        <f>IF(1793318&gt;0,100*560859/1793318,"")</f>
        <v>31.27493283399821</v>
      </c>
      <c r="D12" s="1">
        <f>IF(979907&gt;0,100*64648/979907,"")</f>
        <v>6.597360769950618</v>
      </c>
      <c r="E12" s="1">
        <f>IF(COUNT(C12:D12)=2,D12-C12,"")</f>
        <v>-24.67757206404759</v>
      </c>
      <c r="H12" s="1">
        <v>10</v>
      </c>
      <c r="I12" s="1">
        <v>9</v>
      </c>
      <c r="J12" s="1">
        <f>IF(1173418&gt;0,100*250711/1173418,"")</f>
        <v>21.365873030752894</v>
      </c>
      <c r="K12" s="1">
        <f>IF(825623&gt;0,100*57663/825623,"")</f>
        <v>6.984180431019969</v>
      </c>
      <c r="L12" s="1">
        <f>IF(COUNT(J12:K12)=2,K12-J12,"")</f>
        <v>-14.381692599732926</v>
      </c>
      <c r="O12" s="1">
        <v>10</v>
      </c>
      <c r="P12" s="1">
        <v>9</v>
      </c>
      <c r="Q12" s="1">
        <f>IF(1151234&gt;0,100*222783/1151234,"")</f>
        <v>19.351669599751222</v>
      </c>
      <c r="R12" s="1">
        <f>IF(1139688&gt;0,100*194075/1139688,"")</f>
        <v>17.028783316135645</v>
      </c>
      <c r="S12" s="1">
        <f>IF(COUNT(Q12:R12)=2,R12-Q12,"")</f>
        <v>-2.3228862836155777</v>
      </c>
    </row>
    <row r="13" spans="1:19">
      <c r="A13" s="1">
        <v>11</v>
      </c>
      <c r="B13" s="1">
        <v>10</v>
      </c>
      <c r="C13" s="1">
        <f>IF(1514166&gt;0,100*450931/1514166,"")</f>
        <v>29.78081663437166</v>
      </c>
      <c r="D13" s="1">
        <f>IF(1723011&gt;0,100*530721/1723011,"")</f>
        <v>30.801950771062984</v>
      </c>
      <c r="E13" s="1">
        <f>IF(COUNT(C13:D13)=2,D13-C13,"")</f>
        <v>1.0211341366913231</v>
      </c>
      <c r="H13" s="1">
        <v>11</v>
      </c>
      <c r="I13" s="1">
        <v>10</v>
      </c>
      <c r="J13" s="1">
        <f>IF(1146506&gt;0,100*57993/1146506,"")</f>
        <v>5.058237811228201</v>
      </c>
      <c r="K13" s="1">
        <f>IF(1145325&gt;0,100*81876/1145325,"")</f>
        <v>7.148713247331544</v>
      </c>
      <c r="L13" s="1">
        <f>IF(COUNT(J13:K13)=2,K13-J13,"")</f>
        <v>2.0904754361033424</v>
      </c>
      <c r="O13" s="1">
        <v>11</v>
      </c>
      <c r="P13" s="1">
        <v>10</v>
      </c>
      <c r="Q13" s="1">
        <f>IF(1057778&gt;0,100*7899/1057778,"")</f>
        <v>0.7467540447995704</v>
      </c>
      <c r="R13" s="1">
        <f>IF(1542467&gt;0,100*354084/1542467,"")</f>
        <v>22.955693703657843</v>
      </c>
      <c r="S13" s="1">
        <f>IF(COUNT(Q13:R13)=2,R13-Q13,"")</f>
        <v>22.208939658858274</v>
      </c>
    </row>
    <row r="14" spans="1:19">
      <c r="A14" s="1">
        <v>12</v>
      </c>
      <c r="B14" s="1">
        <v>11</v>
      </c>
      <c r="C14" s="1">
        <f>IF(1480420&gt;0,100*530595/1480420,"")</f>
        <v>35.84084246362519</v>
      </c>
      <c r="D14" s="1">
        <f>IF(1554643&gt;0,100*449290/1554643,"")</f>
        <v>28.899882481058352</v>
      </c>
      <c r="E14" s="1">
        <f>IF(COUNT(C14:D14)=2,D14-C14,"")</f>
        <v>-6.940959982566834</v>
      </c>
      <c r="H14" s="1">
        <v>12</v>
      </c>
      <c r="I14" s="1">
        <v>11</v>
      </c>
      <c r="J14" s="1">
        <f>IF(979595&gt;0,100*35929/979595,"")</f>
        <v>3.6677402395888095</v>
      </c>
      <c r="K14" s="1">
        <f>IF(1113143&gt;0,100*18575/1113143,"")</f>
        <v>1.668698451142396</v>
      </c>
      <c r="L14" s="1">
        <f>IF(COUNT(J14:K14)=2,K14-J14,"")</f>
        <v>-1.9990417884464136</v>
      </c>
      <c r="O14" s="1">
        <v>12</v>
      </c>
      <c r="P14" s="1">
        <v>11</v>
      </c>
      <c r="Q14" s="1">
        <f>IF(1932101&gt;0,100*714622/1932101,"")</f>
        <v>36.98678278205953</v>
      </c>
      <c r="R14" s="1">
        <f>IF(1714162&gt;0,100*387990/1714162,"")</f>
        <v>22.634383448005497</v>
      </c>
      <c r="S14" s="1">
        <f>IF(COUNT(Q14:R14)=2,R14-Q14,"")</f>
        <v>-14.35239933405403</v>
      </c>
    </row>
    <row r="15" spans="1:19">
      <c r="A15" s="1">
        <v>13</v>
      </c>
      <c r="B15" s="1">
        <v>12</v>
      </c>
      <c r="C15" s="1">
        <f>IF(1625411&gt;0,100*523021/1625411,"")</f>
        <v>32.177769191915154</v>
      </c>
      <c r="D15" s="1">
        <f>IF(1246662&gt;0,100*151752/1246662,"")</f>
        <v>12.172665886984603</v>
      </c>
      <c r="E15" s="1">
        <f>IF(COUNT(C15:D15)=2,D15-C15,"")</f>
        <v>-20.00510330493055</v>
      </c>
      <c r="H15" s="1">
        <v>13</v>
      </c>
      <c r="I15" s="1">
        <v>12</v>
      </c>
      <c r="J15" s="1">
        <f>IF(1997433&gt;0,100*770522/1997433,"")</f>
        <v>38.575611797742404</v>
      </c>
      <c r="K15" s="1">
        <f>IF(1342802&gt;0,100*229579/1342802,"")</f>
        <v>17.0970105793706</v>
      </c>
      <c r="L15" s="1">
        <f>IF(COUNT(J15:K15)=2,K15-J15,"")</f>
        <v>-21.478601218371804</v>
      </c>
      <c r="O15" s="1">
        <v>13</v>
      </c>
      <c r="P15" s="1">
        <v>12</v>
      </c>
      <c r="Q15" s="1">
        <f>IF(931018&gt;0,100*79093/931018,"")</f>
        <v>8.495324472781407</v>
      </c>
      <c r="R15" s="1">
        <f>IF(927448&gt;0,100*58859/927448,"")</f>
        <v>6.346339633057594</v>
      </c>
      <c r="S15" s="1">
        <f>IF(COUNT(Q15:R15)=2,R15-Q15,"")</f>
        <v>-2.1489848397238127</v>
      </c>
    </row>
    <row r="16" spans="1:19">
      <c r="A16" s="1">
        <v>14</v>
      </c>
      <c r="B16" s="1">
        <v>13</v>
      </c>
      <c r="C16" s="1">
        <f>IF(929730&gt;0,100*189375/929730,"")</f>
        <v>20.368816753250943</v>
      </c>
      <c r="D16" s="1">
        <f>IF(904060&gt;0,100*3017/904060,"")</f>
        <v>0.333716788708714</v>
      </c>
      <c r="E16" s="1">
        <f>IF(COUNT(C16:D16)=2,D16-C16,"")</f>
        <v>-20.03509996454223</v>
      </c>
      <c r="H16" s="1">
        <v>14</v>
      </c>
      <c r="I16" s="1">
        <v>13</v>
      </c>
      <c r="J16" s="1">
        <f>IF(1084239&gt;0,100*226536/1084239,"")</f>
        <v>20.893548378171232</v>
      </c>
      <c r="K16" s="1">
        <f>IF(219040&gt;0,100*754/219040,"")</f>
        <v>0.34422936449963476</v>
      </c>
      <c r="L16" s="1">
        <f>IF(COUNT(J16:K16)=2,K16-J16,"")</f>
        <v>-20.549319013671596</v>
      </c>
      <c r="O16" s="1">
        <v>14</v>
      </c>
      <c r="P16" s="1">
        <v>13</v>
      </c>
      <c r="Q16" s="1">
        <f>IF(670550&gt;0,100*11588/670550,"")</f>
        <v>1.7281336216538663</v>
      </c>
      <c r="R16" s="1">
        <f>IF(571176&gt;0,100*69409/571176,"")</f>
        <v>12.15194616020281</v>
      </c>
      <c r="S16" s="1">
        <f>IF(COUNT(Q16:R16)=2,R16-Q16,"")</f>
        <v>10.423812538548944</v>
      </c>
    </row>
    <row r="17" spans="1:19">
      <c r="A17" s="1">
        <v>15</v>
      </c>
      <c r="B17" s="1">
        <v>14</v>
      </c>
      <c r="C17" s="1">
        <f>IF(1540895&gt;0,100*542667/1540895,"")</f>
        <v>35.217649482930376</v>
      </c>
      <c r="D17" s="1">
        <f>IF(1853394&gt;0,100*339205/1853394,"")</f>
        <v>18.301828968907852</v>
      </c>
      <c r="E17" s="1">
        <f>IF(COUNT(C17:D17)=2,D17-C17,"")</f>
        <v>-16.915820514022524</v>
      </c>
      <c r="H17" s="1">
        <v>15</v>
      </c>
      <c r="I17" s="1">
        <v>14</v>
      </c>
      <c r="J17" s="1">
        <f>IF(1976548&gt;0,100*795333/1976548,"")</f>
        <v>40.238486492612374</v>
      </c>
      <c r="K17" s="1">
        <f>IF(1385622&gt;0,100*290525/1385622,"")</f>
        <v>20.96711801631325</v>
      </c>
      <c r="L17" s="1">
        <f>IF(COUNT(J17:K17)=2,K17-J17,"")</f>
        <v>-19.271368476299124</v>
      </c>
      <c r="O17" s="1">
        <v>15</v>
      </c>
      <c r="P17" s="1">
        <v>14</v>
      </c>
      <c r="Q17" s="1">
        <f>IF(1789842&gt;0,100*586809/1789842,"")</f>
        <v>32.78551961569792</v>
      </c>
      <c r="R17" s="1">
        <f>IF(1565463&gt;0,100*436450/1565463,"")</f>
        <v>27.879930729758545</v>
      </c>
      <c r="S17" s="1">
        <f>IF(COUNT(Q17:R17)=2,R17-Q17,"")</f>
        <v>-4.905588885939377</v>
      </c>
    </row>
    <row r="18" spans="1:19">
      <c r="A18" s="1">
        <v>16</v>
      </c>
      <c r="B18" s="1">
        <v>15</v>
      </c>
      <c r="C18" s="1">
        <f>IF(1507412&gt;0,100*534395/1507412,"")</f>
        <v>35.45115734782528</v>
      </c>
      <c r="D18" s="1">
        <f>IF(1199513&gt;0,100*337091/1199513,"")</f>
        <v>28.10232152548576</v>
      </c>
      <c r="E18" s="1">
        <f>IF(COUNT(C18:D18)=2,D18-C18,"")</f>
        <v>-7.34883582233952</v>
      </c>
      <c r="H18" s="1">
        <v>16</v>
      </c>
      <c r="I18" s="1">
        <v>15</v>
      </c>
      <c r="J18" s="1">
        <f>IF(1507965&gt;0,100*427666/1507965,"")</f>
        <v>28.36047255738694</v>
      </c>
      <c r="K18" s="1">
        <f>IF(1357406&gt;0,100*250834/1357406,"")</f>
        <v>18.478922297381917</v>
      </c>
      <c r="L18" s="1">
        <f>IF(COUNT(J18:K18)=2,K18-J18,"")</f>
        <v>-9.881550260005024</v>
      </c>
      <c r="O18" s="1">
        <v>16</v>
      </c>
      <c r="P18" s="1">
        <v>15</v>
      </c>
      <c r="Q18" s="1">
        <f>IF(1644242&gt;0,100*542962/1644242,"")</f>
        <v>33.02202473845091</v>
      </c>
      <c r="R18" s="1">
        <f>IF(959437&gt;0,100*138948/959437,"")</f>
        <v>14.482243232228901</v>
      </c>
      <c r="S18" s="1">
        <f>IF(COUNT(Q18:R18)=2,R18-Q18,"")</f>
        <v>-18.539781506222006</v>
      </c>
    </row>
    <row r="19" spans="1:19">
      <c r="A19" s="1">
        <v>17</v>
      </c>
      <c r="B19" s="1">
        <v>16</v>
      </c>
      <c r="C19" s="1">
        <f>IF(642367&gt;0,100*51947/642367,"")</f>
        <v>8.08681018794552</v>
      </c>
      <c r="D19" s="1">
        <f>IF(548151&gt;0,100*3475/548151,"")</f>
        <v>0.6339494044524228</v>
      </c>
      <c r="E19" s="1">
        <f>IF(COUNT(C19:D19)=2,D19-C19,"")</f>
        <v>-7.452860783493097</v>
      </c>
      <c r="H19" s="1">
        <v>17</v>
      </c>
      <c r="I19" s="1">
        <v>16</v>
      </c>
      <c r="J19" s="1">
        <f>IF(1858121&gt;0,100*695653/1858121,"")</f>
        <v>37.4385198811057</v>
      </c>
      <c r="K19" s="1">
        <f>IF(1542256&gt;0,100*338052/1542256,"")</f>
        <v>21.919318193607285</v>
      </c>
      <c r="L19" s="1">
        <f>IF(COUNT(J19:K19)=2,K19-J19,"")</f>
        <v>-15.519201687498413</v>
      </c>
      <c r="O19" s="1">
        <v>17</v>
      </c>
      <c r="P19" s="1">
        <v>16</v>
      </c>
      <c r="Q19" s="1">
        <f>IF(1134999&gt;0,100*244255/1134999,"")</f>
        <v>21.520283277782625</v>
      </c>
      <c r="R19" s="1">
        <f>IF(1282161&gt;0,100*247123/1282161,"")</f>
        <v>19.273944535826622</v>
      </c>
      <c r="S19" s="1">
        <f>IF(COUNT(Q19:R19)=2,R19-Q19,"")</f>
        <v>-2.246338741956002</v>
      </c>
    </row>
    <row r="20" spans="1:19">
      <c r="A20" s="1">
        <v>18</v>
      </c>
      <c r="B20" s="1">
        <v>17</v>
      </c>
      <c r="C20" s="1">
        <f>IF(594640&gt;0,100*3581/594640,"")</f>
        <v>0.6022131037266245</v>
      </c>
      <c r="D20" s="1">
        <f>IF(607024&gt;0,100*10301/607024,"")</f>
        <v>1.6969675004612668</v>
      </c>
      <c r="E20" s="1">
        <f>IF(COUNT(C20:D20)=2,D20-C20,"")</f>
        <v>1.0947543967346423</v>
      </c>
      <c r="H20" s="1">
        <v>18</v>
      </c>
      <c r="I20" s="1">
        <v>17</v>
      </c>
      <c r="J20" s="1">
        <f>IF(1593567&gt;0,100*381148/1593567,"")</f>
        <v>23.917914966863645</v>
      </c>
      <c r="K20" s="1">
        <f>IF(1064160&gt;0,100*39104/1064160,"")</f>
        <v>3.6746353931739586</v>
      </c>
      <c r="L20" s="1">
        <f>IF(COUNT(J20:K20)=2,K20-J20,"")</f>
        <v>-20.243279573689687</v>
      </c>
      <c r="O20" s="1">
        <v>18</v>
      </c>
      <c r="P20" s="1">
        <v>17</v>
      </c>
      <c r="Q20" s="1">
        <f>IF(1362366&gt;0,100*418939/1362366,"")</f>
        <v>30.750840816638114</v>
      </c>
      <c r="R20" s="1">
        <f>IF(1198729&gt;0,100*40427/1198729,"")</f>
        <v>3.3724886942753534</v>
      </c>
      <c r="S20" s="1">
        <f>IF(COUNT(Q20:R20)=2,R20-Q20,"")</f>
        <v>-27.37835212236276</v>
      </c>
    </row>
    <row r="21" spans="1:19">
      <c r="A21" s="1">
        <v>19</v>
      </c>
      <c r="B21" s="1">
        <v>18</v>
      </c>
      <c r="C21" s="1">
        <f>IF(1610751&gt;0,100*584870/1610751,"")</f>
        <v>36.31039186069107</v>
      </c>
      <c r="D21" s="1">
        <f>IF(1402463&gt;0,100*379747/1402463,"")</f>
        <v>27.07714927238722</v>
      </c>
      <c r="E21" s="1">
        <f>IF(COUNT(C21:D21)=2,D21-C21,"")</f>
        <v>-9.233242588303849</v>
      </c>
      <c r="H21" s="1">
        <v>19</v>
      </c>
      <c r="I21" s="1">
        <v>18</v>
      </c>
      <c r="J21" s="1">
        <f>IF(959902&gt;0,100*142934/959902,"")</f>
        <v>14.89047840300364</v>
      </c>
      <c r="K21" s="1">
        <f>IF(1071363&gt;0,100*129448/1071363,"")</f>
        <v>12.08255278556381</v>
      </c>
      <c r="L21" s="1">
        <f>IF(COUNT(J21:K21)=2,K21-J21,"")</f>
        <v>-2.80792561743983</v>
      </c>
      <c r="O21" s="1">
        <v>19</v>
      </c>
      <c r="P21" s="1">
        <v>18</v>
      </c>
      <c r="Q21" s="1">
        <f>IF(1024717&gt;0,100*193814/1024717,"")</f>
        <v>18.91390500987102</v>
      </c>
      <c r="R21" s="1">
        <f>IF(1239151&gt;0,100*134335/1239151,"")</f>
        <v>10.84089025469858</v>
      </c>
      <c r="S21" s="1">
        <f>IF(COUNT(Q21:R21)=2,R21-Q21,"")</f>
        <v>-8.073014755172439</v>
      </c>
    </row>
    <row r="22" spans="1:19">
      <c r="A22" s="1">
        <v>20</v>
      </c>
      <c r="B22" s="1">
        <v>19</v>
      </c>
      <c r="C22" s="1">
        <f>IF(1151574&gt;0,100*385861/1151574,"")</f>
        <v>33.50726918113816</v>
      </c>
      <c r="D22" s="1">
        <f>IF(1114556&gt;0,100*178590/1114556,"")</f>
        <v>16.02342098557632</v>
      </c>
      <c r="E22" s="1">
        <f>IF(COUNT(C22:D22)=2,D22-C22,"")</f>
        <v>-17.483848195561844</v>
      </c>
      <c r="H22" s="1">
        <v>20</v>
      </c>
      <c r="I22" s="1">
        <v>19</v>
      </c>
      <c r="J22" s="1">
        <f>IF(795490&gt;0,100*93263/795490,"")</f>
        <v>11.723968874530163</v>
      </c>
      <c r="K22" s="1">
        <f>IF(1002394&gt;0,100*179271/1002394,"")</f>
        <v>17.88428502165815</v>
      </c>
      <c r="L22" s="1">
        <f>IF(COUNT(J22:K22)=2,K22-J22,"")</f>
        <v>6.160316147127988</v>
      </c>
      <c r="O22" s="1">
        <v>20</v>
      </c>
      <c r="P22" s="1">
        <v>19</v>
      </c>
      <c r="Q22" s="1">
        <f>IF(1318480&gt;0,100*350952/1318480,"")</f>
        <v>26.617923669680238</v>
      </c>
      <c r="R22" s="1">
        <f>IF(872797&gt;0,100*55585/872797,"")</f>
        <v>6.368605758269105</v>
      </c>
      <c r="S22" s="1">
        <f>IF(COUNT(Q22:R22)=2,R22-Q22,"")</f>
        <v>-20.249317911411133</v>
      </c>
    </row>
    <row r="23" spans="1:19">
      <c r="A23" s="1">
        <v>21</v>
      </c>
      <c r="B23" s="1">
        <v>20</v>
      </c>
      <c r="C23" s="1">
        <f>IF(1068079&gt;0,100*233010/1068079,"")</f>
        <v>21.815802014644984</v>
      </c>
      <c r="D23" s="1">
        <f>IF(1112423&gt;0,100*165008/1112423,"")</f>
        <v>14.833206433164364</v>
      </c>
      <c r="E23" s="1">
        <f>IF(COUNT(C23:D23)=2,D23-C23,"")</f>
        <v>-6.98259558148062</v>
      </c>
      <c r="H23" s="1">
        <v>21</v>
      </c>
      <c r="I23" s="1">
        <v>20</v>
      </c>
      <c r="J23" s="1">
        <f>IF(2064525&gt;0,100*814911/2064525,"")</f>
        <v>39.47208195589785</v>
      </c>
      <c r="K23" s="1">
        <f>IF(978363&gt;0,100*115091/978363,"")</f>
        <v>11.763629654841813</v>
      </c>
      <c r="L23" s="1">
        <f>IF(COUNT(J23:K23)=2,K23-J23,"")</f>
        <v>-27.708452301056035</v>
      </c>
      <c r="O23" s="1">
        <v>21</v>
      </c>
      <c r="P23" s="1">
        <v>20</v>
      </c>
      <c r="Q23" s="1">
        <f>IF(988289&gt;0,100*243580/988289,"")</f>
        <v>24.646636763133053</v>
      </c>
      <c r="R23" s="1">
        <f>IF(888650&gt;0,100*138718/888650,"")</f>
        <v>15.609970179485737</v>
      </c>
      <c r="S23" s="1">
        <f>IF(COUNT(Q23:R23)=2,R23-Q23,"")</f>
        <v>-9.036666583647316</v>
      </c>
    </row>
    <row r="24" spans="1:19">
      <c r="A24" s="1">
        <v>22</v>
      </c>
      <c r="B24" s="1">
        <v>21</v>
      </c>
      <c r="C24" s="1">
        <f>IF(1338290&gt;0,100*468761/1338290,"")</f>
        <v>35.0268626381427</v>
      </c>
      <c r="D24" s="1">
        <f>IF(578294&gt;0,100*99295/578294,"")</f>
        <v>17.170332045637686</v>
      </c>
      <c r="E24" s="1">
        <f>IF(COUNT(C24:D24)=2,D24-C24,"")</f>
        <v>-17.856530592505017</v>
      </c>
      <c r="H24" s="1">
        <v>22</v>
      </c>
      <c r="I24" s="1">
        <v>21</v>
      </c>
      <c r="J24" s="1">
        <f>IF(1478082&gt;0,100*446963/1478082,"")</f>
        <v>30.23939131929081</v>
      </c>
      <c r="K24" s="1">
        <f>IF(1401242&gt;0,100*332989/1401242,"")</f>
        <v>23.76384664461956</v>
      </c>
      <c r="L24" s="1">
        <f>IF(COUNT(J24:K24)=2,K24-J24,"")</f>
        <v>-6.4755446746712515</v>
      </c>
      <c r="O24" s="1">
        <v>22</v>
      </c>
      <c r="P24" s="1">
        <v>21</v>
      </c>
      <c r="Q24" s="1">
        <f>IF(1372655&gt;0,100*332190/1372655,"")</f>
        <v>24.20054565786742</v>
      </c>
      <c r="R24" s="1">
        <f>IF(1700667&gt;0,100*468707/1700667,"")</f>
        <v>27.560186679696848</v>
      </c>
      <c r="S24" s="1">
        <f>IF(COUNT(Q24:R24)=2,R24-Q24,"")</f>
        <v>3.359641021829429</v>
      </c>
    </row>
    <row r="25" spans="1:19">
      <c r="A25" s="1">
        <v>23</v>
      </c>
      <c r="B25" s="1">
        <v>22</v>
      </c>
      <c r="C25" s="1">
        <f>IF(509320&gt;0,100*1248/509320,"")</f>
        <v>0.24503259247624284</v>
      </c>
      <c r="D25" s="1">
        <f>IF(519169&gt;0,100*1139/519169,"")</f>
        <v>0.2193890621358363</v>
      </c>
      <c r="E25" s="1">
        <f>IF(COUNT(C25:D25)=2,D25-C25,"")</f>
        <v>-0.025643530340406534</v>
      </c>
      <c r="H25" s="1">
        <v>23</v>
      </c>
      <c r="I25" s="1">
        <v>22</v>
      </c>
      <c r="J25" s="1">
        <f>IF(1340391&gt;0,100*238132/1340391,"")</f>
        <v>17.765860857018588</v>
      </c>
      <c r="K25" s="1">
        <f>IF(1057256&gt;0,100*86836/1057256,"")</f>
        <v>8.213337167157245</v>
      </c>
      <c r="L25" s="1">
        <f>IF(COUNT(J25:K25)=2,K25-J25,"")</f>
        <v>-9.552523689861342</v>
      </c>
      <c r="O25" s="1">
        <v>23</v>
      </c>
      <c r="P25" s="1">
        <v>22</v>
      </c>
      <c r="Q25" s="1">
        <f>IF(1673110&gt;0,100*548899/1673110,"")</f>
        <v>32.80710772154849</v>
      </c>
      <c r="R25" s="1">
        <f>IF(1179801&gt;0,100*234004/1179801,"")</f>
        <v>19.834192376510956</v>
      </c>
      <c r="S25" s="1">
        <f>IF(COUNT(Q25:R25)=2,R25-Q25,"")</f>
        <v>-12.972915345037535</v>
      </c>
    </row>
    <row r="26" spans="1:19">
      <c r="A26" s="1">
        <v>24</v>
      </c>
      <c r="B26" s="1">
        <v>23</v>
      </c>
      <c r="C26" s="1">
        <f>IF(914755&gt;0,100*175077/914755,"")</f>
        <v>19.139223070658264</v>
      </c>
      <c r="D26" s="1">
        <f>IF(1034478&gt;0,100*40158/1034478,"")</f>
        <v>3.8819578570061424</v>
      </c>
      <c r="E26" s="1">
        <f>IF(COUNT(C26:D26)=2,D26-C26,"")</f>
        <v>-15.257265213652122</v>
      </c>
      <c r="H26" s="1">
        <v>24</v>
      </c>
      <c r="I26" s="1">
        <v>23</v>
      </c>
      <c r="J26" s="1">
        <f>IF(1715105&gt;0,100*545055/1715105,"")</f>
        <v>31.77968695794135</v>
      </c>
      <c r="K26" s="1">
        <f>IF(1487636&gt;0,100*250670/1487636,"")</f>
        <v>16.85022411396336</v>
      </c>
      <c r="L26" s="1">
        <f>IF(COUNT(J26:K26)=2,K26-J26,"")</f>
        <v>-14.92946284397799</v>
      </c>
      <c r="O26" s="1">
        <v>24</v>
      </c>
      <c r="P26" s="1">
        <v>23</v>
      </c>
      <c r="Q26" s="1">
        <f>IF(1476074&gt;0,100*377502/1476074,"")</f>
        <v>25.57473405804858</v>
      </c>
      <c r="R26" s="1">
        <f>IF(1174175&gt;0,100*145884/1174175,"")</f>
        <v>12.424383077479932</v>
      </c>
      <c r="S26" s="1">
        <f>IF(COUNT(Q26:R26)=2,R26-Q26,"")</f>
        <v>-13.150350980568648</v>
      </c>
    </row>
    <row r="27" spans="1:19">
      <c r="A27" s="1">
        <v>25</v>
      </c>
      <c r="B27" s="1">
        <v>24</v>
      </c>
      <c r="C27" s="1">
        <f>IF(1691255&gt;0,100*656381/1691255,"")</f>
        <v>38.81029176558236</v>
      </c>
      <c r="D27" s="1">
        <f>IF(1225829&gt;0,100*345341/1225829,"")</f>
        <v>28.172037045950127</v>
      </c>
      <c r="E27" s="1">
        <f>IF(COUNT(C27:D27)=2,D27-C27,"")</f>
        <v>-10.638254719632236</v>
      </c>
      <c r="H27" s="1">
        <v>25</v>
      </c>
      <c r="I27" s="1">
        <v>24</v>
      </c>
      <c r="J27" s="1">
        <f>IF(1222508&gt;0,100*246917/1222508,"")</f>
        <v>20.197577439166043</v>
      </c>
      <c r="K27" s="1">
        <f>IF(1228163&gt;0,100*153324/1228163,"")</f>
        <v>12.484010672850427</v>
      </c>
      <c r="L27" s="1">
        <f>IF(COUNT(J27:K27)=2,K27-J27,"")</f>
        <v>-7.7135667663156156</v>
      </c>
      <c r="O27" s="1">
        <v>25</v>
      </c>
      <c r="P27" s="1">
        <v>24</v>
      </c>
      <c r="Q27" s="1">
        <f>IF(1190475&gt;0,100*83215/1190475,"")</f>
        <v>6.99006699006699</v>
      </c>
      <c r="R27" s="1">
        <f>IF(1454838&gt;0,100*313265/1454838,"")</f>
        <v>21.532637998182615</v>
      </c>
      <c r="S27" s="1">
        <f>IF(COUNT(Q27:R27)=2,R27-Q27,"")</f>
        <v>14.542571008115626</v>
      </c>
    </row>
    <row r="28" spans="1:19">
      <c r="A28" s="1">
        <v>26</v>
      </c>
      <c r="B28" s="1">
        <v>25</v>
      </c>
      <c r="C28" s="1">
        <f>IF(1683042&gt;0,100*681416/1683042,"")</f>
        <v>40.48716550151452</v>
      </c>
      <c r="D28" s="1">
        <f>IF(1626692&gt;0,100*507652/1626692,"")</f>
        <v>31.207628733650868</v>
      </c>
      <c r="E28" s="1">
        <f>IF(COUNT(C28:D28)=2,D28-C28,"")</f>
        <v>-9.27953676786365</v>
      </c>
      <c r="H28" s="1">
        <v>26</v>
      </c>
      <c r="I28" s="1">
        <v>25</v>
      </c>
      <c r="J28" s="1">
        <f>IF(1827352&gt;0,100*581318/1827352,"")</f>
        <v>31.8120427810296</v>
      </c>
      <c r="K28" s="1">
        <f>IF(1661350&gt;0,100*509287/1661350,"")</f>
        <v>30.655009480241972</v>
      </c>
      <c r="L28" s="1">
        <f>IF(COUNT(J28:K28)=2,K28-J28,"")</f>
        <v>-1.157033300787628</v>
      </c>
      <c r="O28" s="1">
        <v>26</v>
      </c>
      <c r="P28" s="1">
        <v>25</v>
      </c>
      <c r="Q28" s="1">
        <f>IF(1679034&gt;0,100*488863/1679034,"")</f>
        <v>29.11572963978097</v>
      </c>
      <c r="R28" s="1">
        <f>IF(6003&gt;0,100*787/6003,"")</f>
        <v>13.110111610861235</v>
      </c>
      <c r="S28" s="1">
        <f>IF(COUNT(Q28:R28)=2,R28-Q28,"")</f>
        <v>-16.005618028919734</v>
      </c>
    </row>
    <row r="29" spans="1:19">
      <c r="A29" s="1">
        <v>27</v>
      </c>
      <c r="B29" s="1">
        <v>26</v>
      </c>
      <c r="C29" s="1">
        <f>IF(1557766&gt;0,100*464581/1557766,"")</f>
        <v>29.823542175140553</v>
      </c>
      <c r="D29" s="1">
        <f>IF(1427358&gt;0,100*348419/1427358,"")</f>
        <v>24.410063908283696</v>
      </c>
      <c r="E29" s="1">
        <f>IF(COUNT(C29:D29)=2,D29-C29,"")</f>
        <v>-5.413478266856856</v>
      </c>
      <c r="H29" s="1">
        <v>27</v>
      </c>
      <c r="I29" s="1">
        <v>26</v>
      </c>
      <c r="J29" s="1">
        <f>IF(1255658&gt;0,100*171678/1255658,"")</f>
        <v>13.672353459301815</v>
      </c>
      <c r="K29" s="1">
        <f>IF(1260651&gt;0,100*242717/1260651,"")</f>
        <v>19.253306426600226</v>
      </c>
      <c r="L29" s="1">
        <f>IF(COUNT(J29:K29)=2,K29-J29,"")</f>
        <v>5.58095296729841</v>
      </c>
      <c r="O29" s="1">
        <v>27</v>
      </c>
      <c r="P29" s="1">
        <v>26</v>
      </c>
      <c r="Q29" s="1">
        <f>IF(2118549&gt;0,100*871261/2118549,"")</f>
        <v>41.12536457735931</v>
      </c>
      <c r="R29" s="1">
        <f>IF(1154910&gt;0,100*164379/1154910,"")</f>
        <v>14.23305712133413</v>
      </c>
      <c r="S29" s="1">
        <f>IF(COUNT(Q29:R29)=2,R29-Q29,"")</f>
        <v>-26.892307456025183</v>
      </c>
    </row>
    <row r="30" spans="1:19">
      <c r="A30" s="1">
        <v>28</v>
      </c>
      <c r="B30" s="1">
        <v>27</v>
      </c>
      <c r="C30" s="1">
        <f>IF(506350&gt;0,100*449/506350,"")</f>
        <v>0.08867384220400909</v>
      </c>
      <c r="D30" s="1">
        <f>IF(503108&gt;0,100*657/503108,"")</f>
        <v>0.1305882633549854</v>
      </c>
      <c r="E30" s="1">
        <f>IF(COUNT(C30:D30)=2,D30-C30,"")</f>
        <v>0.04191442115097632</v>
      </c>
      <c r="H30" s="1">
        <v>28</v>
      </c>
      <c r="I30" s="1">
        <v>27</v>
      </c>
      <c r="J30" s="1">
        <f>IF(1718872&gt;0,100*583484/1718872,"")</f>
        <v>33.94575046891217</v>
      </c>
      <c r="K30" s="1">
        <f>IF(733024&gt;0,100*79737/733024,"")</f>
        <v>10.877815733181997</v>
      </c>
      <c r="L30" s="1">
        <f>IF(COUNT(J30:K30)=2,K30-J30,"")</f>
        <v>-23.067934735730176</v>
      </c>
      <c r="O30" s="1">
        <v>28</v>
      </c>
      <c r="P30" s="1">
        <v>27</v>
      </c>
      <c r="Q30" s="1">
        <f>IF(1202604&gt;0,100*322949/1202604,"")</f>
        <v>26.8541431759748</v>
      </c>
      <c r="R30" s="1">
        <f>IF(872647&gt;0,100*133534/872647,"")</f>
        <v>15.302178314942926</v>
      </c>
      <c r="S30" s="1">
        <f>IF(COUNT(Q30:R30)=2,R30-Q30,"")</f>
        <v>-11.551964861031875</v>
      </c>
    </row>
    <row r="31" spans="1:19">
      <c r="A31" s="1">
        <v>29</v>
      </c>
      <c r="B31" s="1">
        <v>28</v>
      </c>
      <c r="C31" s="1">
        <f>IF(1614535&gt;0,100*599059/1614535,"")</f>
        <v>37.104119762036746</v>
      </c>
      <c r="D31" s="1">
        <f>IF(1540478&gt;0,100*445760/1540478,"")</f>
        <v>28.936472964884924</v>
      </c>
      <c r="E31" s="1">
        <f>IF(COUNT(C31:D31)=2,D31-C31,"")</f>
        <v>-8.167646797151821</v>
      </c>
      <c r="H31" s="1">
        <v>29</v>
      </c>
      <c r="I31" s="1">
        <v>28</v>
      </c>
      <c r="J31" s="1">
        <f>IF(1707787&gt;0,100*644845/1707787,"")</f>
        <v>37.75909993459371</v>
      </c>
      <c r="K31" s="1">
        <f>IF(1219480&gt;0,100*185508/1219480,"")</f>
        <v>15.212057598320596</v>
      </c>
      <c r="L31" s="1">
        <f>IF(COUNT(J31:K31)=2,K31-J31,"")</f>
        <v>-22.547042336273115</v>
      </c>
      <c r="O31" s="1">
        <v>29</v>
      </c>
      <c r="P31" s="1">
        <v>28</v>
      </c>
      <c r="Q31" s="1">
        <f>IF(1781585&gt;0,100*685393/1781585,"")</f>
        <v>38.47096826702066</v>
      </c>
      <c r="R31" s="1">
        <f>IF(1457034&gt;0,100*259649/1457034,"")</f>
        <v>17.82038030684253</v>
      </c>
      <c r="S31" s="1">
        <f>IF(COUNT(Q31:R31)=2,R31-Q31,"")</f>
        <v>-20.65058796017813</v>
      </c>
    </row>
    <row r="32" spans="1:19">
      <c r="A32" s="1">
        <v>30</v>
      </c>
      <c r="B32" s="1">
        <v>29</v>
      </c>
      <c r="C32" s="1">
        <f>IF(1722125&gt;0,100*685666/1722125,"")</f>
        <v>39.81511214342745</v>
      </c>
      <c r="D32" s="1">
        <f>IF(1300757&gt;0,100*336174/1300757,"")</f>
        <v>25.84448901678023</v>
      </c>
      <c r="E32" s="1">
        <f>IF(COUNT(C32:D32)=2,D32-C32,"")</f>
        <v>-13.970623126647219</v>
      </c>
      <c r="H32" s="1">
        <v>30</v>
      </c>
      <c r="I32" s="1">
        <v>29</v>
      </c>
      <c r="J32" s="1">
        <f>IF(1183903&gt;0,100*336267/1183903,"")</f>
        <v>28.403256009994063</v>
      </c>
      <c r="K32" s="1">
        <f>IF(972513&gt;0,100*120967/972513,"")</f>
        <v>12.438599792496348</v>
      </c>
      <c r="L32" s="1">
        <f>IF(COUNT(J32:K32)=2,K32-J32,"")</f>
        <v>-15.964656217497716</v>
      </c>
      <c r="O32" s="1">
        <v>30</v>
      </c>
      <c r="P32" s="1">
        <v>29</v>
      </c>
      <c r="Q32" s="1">
        <f>IF(1267752&gt;0,100*304833/1267752,"")</f>
        <v>24.045160252162884</v>
      </c>
      <c r="R32" s="1">
        <f>IF(825285&gt;0,100*102555/825285,"")</f>
        <v>12.42661625983751</v>
      </c>
      <c r="S32" s="1">
        <f>IF(COUNT(Q32:R32)=2,R32-Q32,"")</f>
        <v>-11.618543992325373</v>
      </c>
    </row>
    <row r="33" spans="1:19">
      <c r="A33" s="1">
        <v>31</v>
      </c>
      <c r="B33" s="1">
        <v>30</v>
      </c>
      <c r="C33" s="1">
        <f>IF(758539&gt;0,100*11909/758539,"")</f>
        <v>1.569991786842865</v>
      </c>
      <c r="D33" s="1">
        <f>IF(838724&gt;0,100*5506/838724,"")</f>
        <v>0.6564734048387789</v>
      </c>
      <c r="E33" s="1">
        <f>IF(COUNT(C33:D33)=2,D33-C33,"")</f>
        <v>-0.9135183820040861</v>
      </c>
      <c r="H33" s="1">
        <v>31</v>
      </c>
      <c r="I33" s="1">
        <v>30</v>
      </c>
      <c r="J33" s="1">
        <f>IF(1372764&gt;0,100*366154/1372764,"")</f>
        <v>26.67275656995667</v>
      </c>
      <c r="K33" s="1">
        <f>IF(1373165&gt;0,100*341333/1373165,"")</f>
        <v>24.85739150065724</v>
      </c>
      <c r="L33" s="1">
        <f>IF(COUNT(J33:K33)=2,K33-J33,"")</f>
        <v>-1.8153650692994319</v>
      </c>
      <c r="O33" s="1">
        <v>31</v>
      </c>
      <c r="P33" s="1">
        <v>30</v>
      </c>
      <c r="Q33" s="1">
        <f>IF(1698653&gt;0,100*588007/1698653,"")</f>
        <v>34.616075207826434</v>
      </c>
      <c r="R33" s="1">
        <f>IF(1293203&gt;0,100*310198/1293203,"")</f>
        <v>23.986798669659752</v>
      </c>
      <c r="S33" s="1">
        <f>IF(COUNT(Q33:R33)=2,R33-Q33,"")</f>
        <v>-10.629276538166682</v>
      </c>
    </row>
    <row r="34" spans="1:19">
      <c r="A34" s="2" t="s">
        <v>6</v>
      </c>
      <c r="B34" s="1"/>
      <c r="C34" s="1">
        <f>IF(COUNT(C3:C33)&gt;0,AVERAGE(C3:C33),"")</f>
        <v>28.37755704515853</v>
      </c>
      <c r="D34" s="1">
        <f>IF(COUNT(D3:D33)&gt;0,AVERAGE(D3:D33),"")</f>
        <v>16.67288740709046</v>
      </c>
      <c r="E34" s="1">
        <f>IF(COUNT(E3:E33)&gt;0,AVERAGE(E3:E33),"")</f>
        <v>-11.704669638068067</v>
      </c>
      <c r="H34" s="2" t="s">
        <v>6</v>
      </c>
      <c r="I34" s="1"/>
      <c r="J34" s="1">
        <f>IF(COUNT(J3:J33)&gt;0,AVERAGE(J3:J33),"")</f>
        <v>23.048785214991636</v>
      </c>
      <c r="K34" s="1">
        <f>IF(COUNT(K3:K33)&gt;0,AVERAGE(K3:K33),"")</f>
        <v>14.809301104920413</v>
      </c>
      <c r="L34" s="1">
        <f>IF(COUNT(L3:L33)&gt;0,AVERAGE(L3:L33),"")</f>
        <v>-8.23948411007122</v>
      </c>
      <c r="O34" s="2" t="s">
        <v>6</v>
      </c>
      <c r="P34" s="1"/>
      <c r="Q34" s="1">
        <f>IF(COUNT(Q3:Q33)&gt;0,AVERAGE(Q3:Q33),"")</f>
        <v>24.644136830215917</v>
      </c>
      <c r="R34" s="1">
        <f>IF(COUNT(R3:R33)&gt;0,AVERAGE(R3:R33),"")</f>
        <v>16.018203491419197</v>
      </c>
      <c r="S34" s="1">
        <f>IF(COUNT(S3:S33)&gt;0,AVERAGE(S3:S33),"")</f>
        <v>-8.62593333879672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IF(1093423&gt;0,100*121600/1093423,"")</f>
        <v>11.121039158678755</v>
      </c>
      <c r="D39" s="1">
        <f>IF(946088&gt;0,100*105793/946088,"")</f>
        <v>11.182152188802734</v>
      </c>
      <c r="E39" s="1">
        <f>IF(COUNT(C39:D39)=2,D39-C39,"")</f>
        <v>0.06111303012397862</v>
      </c>
      <c r="H39" s="1">
        <v>1</v>
      </c>
      <c r="I39" s="1">
        <v>0</v>
      </c>
      <c r="J39" s="1">
        <f>IF(2001661&gt;0,100*613984/2001661,"")</f>
        <v>30.673725470996338</v>
      </c>
      <c r="K39" s="1">
        <f>IF(1718269&gt;0,100*167968/1718269,"")</f>
        <v>9.775419331897393</v>
      </c>
      <c r="L39" s="1">
        <f>IF(COUNT(J39:K39)=2,K39-J39,"")</f>
        <v>-20.898306139098946</v>
      </c>
      <c r="O39" s="1">
        <v>1</v>
      </c>
      <c r="P39" s="1">
        <v>0</v>
      </c>
      <c r="Q39" s="1">
        <f>IF(1572820&gt;0,100*273004/1572820,"")</f>
        <v>17.35761244134739</v>
      </c>
      <c r="R39" s="1">
        <f>IF(24556&gt;0,100*5065/24556,"")</f>
        <v>20.626323505456917</v>
      </c>
      <c r="S39" s="1">
        <f>IF(COUNT(Q39:R39)=2,R39-Q39,"")</f>
        <v>3.268711064109528</v>
      </c>
    </row>
    <row r="40" spans="1:19">
      <c r="A40" s="1">
        <v>2</v>
      </c>
      <c r="B40" s="1">
        <v>1</v>
      </c>
      <c r="C40" s="1">
        <f>IF(1205676&gt;0,100*374828/1205676,"")</f>
        <v>31.08861750586393</v>
      </c>
      <c r="D40" s="1">
        <f>IF(1386247&gt;0,100*411103/1386247,"")</f>
        <v>29.65582612622426</v>
      </c>
      <c r="E40" s="1">
        <f>IF(COUNT(C40:D40)=2,D40-C40,"")</f>
        <v>-1.4327913796396707</v>
      </c>
      <c r="H40" s="1">
        <v>2</v>
      </c>
      <c r="I40" s="1">
        <v>1</v>
      </c>
      <c r="J40" s="1">
        <f>IF(2100504&gt;0,100*794890/2100504,"")</f>
        <v>37.84282248450848</v>
      </c>
      <c r="K40" s="1">
        <f>IF(2231394&gt;0,100*644846/2231394,"")</f>
        <v>28.898795999272203</v>
      </c>
      <c r="L40" s="1">
        <f>IF(COUNT(J40:K40)=2,K40-J40,"")</f>
        <v>-8.944026485236279</v>
      </c>
      <c r="O40" s="1">
        <v>2</v>
      </c>
      <c r="P40" s="1">
        <v>1</v>
      </c>
      <c r="Q40" s="1">
        <f>IF(2271111&gt;0,100*972080/2271111,"")</f>
        <v>42.801959041191736</v>
      </c>
      <c r="R40" s="1">
        <f>IF(25899&gt;0,100*6912/25899,"")</f>
        <v>26.68828912313217</v>
      </c>
      <c r="S40" s="1">
        <f>IF(COUNT(Q40:R40)=2,R40-Q40,"")</f>
        <v>-16.113669918059568</v>
      </c>
    </row>
    <row r="41" spans="1:19">
      <c r="A41" s="1">
        <v>3</v>
      </c>
      <c r="B41" s="1">
        <v>2</v>
      </c>
      <c r="C41" s="1">
        <f>IF(1607803&gt;0,100*670978/1607803,"")</f>
        <v>41.732600324791036</v>
      </c>
      <c r="D41" s="1">
        <f>IF(1866880&gt;0,100*452785/1866880,"")</f>
        <v>24.25356744943435</v>
      </c>
      <c r="E41" s="1">
        <f>IF(COUNT(C41:D41)=2,D41-C41,"")</f>
        <v>-17.479032875356687</v>
      </c>
      <c r="H41" s="1">
        <v>3</v>
      </c>
      <c r="I41" s="1">
        <v>2</v>
      </c>
      <c r="J41" s="1">
        <f>IF(2703819&gt;0,100*975381/2703819,"")</f>
        <v>36.0741972742998</v>
      </c>
      <c r="K41" s="1">
        <f>IF(2749079&gt;0,100*834111/2749079,"")</f>
        <v>30.34147072528654</v>
      </c>
      <c r="L41" s="1">
        <f>IF(COUNT(J41:K41)=2,K41-J41,"")</f>
        <v>-5.7327265490132575</v>
      </c>
      <c r="O41" s="1">
        <v>3</v>
      </c>
      <c r="P41" s="1">
        <v>2</v>
      </c>
      <c r="Q41" s="1">
        <f>IF(2333406&gt;0,100*950771/2333406,"")</f>
        <v>40.746059622714604</v>
      </c>
      <c r="R41" s="1">
        <f>IF(926092&gt;0,100*91501/926092,"")</f>
        <v>9.880335862959619</v>
      </c>
      <c r="S41" s="1">
        <f>IF(COUNT(Q41:R41)=2,R41-Q41,"")</f>
        <v>-30.865723759754985</v>
      </c>
    </row>
    <row r="42" spans="1:19">
      <c r="A42" s="1">
        <v>4</v>
      </c>
      <c r="B42" s="1">
        <v>3</v>
      </c>
      <c r="C42" s="1">
        <f>IF(2016766&gt;0,100*855389/2016766,"")</f>
        <v>42.41389432388289</v>
      </c>
      <c r="D42" s="1">
        <f>IF(2365506&gt;0,100*803035/2365506,"")</f>
        <v>33.94770505760712</v>
      </c>
      <c r="E42" s="1">
        <f>IF(COUNT(C42:D42)=2,D42-C42,"")</f>
        <v>-8.46618926627577</v>
      </c>
      <c r="H42" s="1">
        <v>4</v>
      </c>
      <c r="I42" s="1">
        <v>3</v>
      </c>
      <c r="J42" s="1">
        <f>IF(1363146&gt;0,100*83089/1363146,"")</f>
        <v>6.09538523386343</v>
      </c>
      <c r="K42" s="1">
        <f>IF(1059682&gt;0,100*53160/1059682,"")</f>
        <v>5.016599319418467</v>
      </c>
      <c r="L42" s="1">
        <f>IF(COUNT(J42:K42)=2,K42-J42,"")</f>
        <v>-1.0787859144449632</v>
      </c>
      <c r="O42" s="1">
        <v>4</v>
      </c>
      <c r="P42" s="1">
        <v>3</v>
      </c>
      <c r="Q42" s="1">
        <f>IF(1406270&gt;0,100*83129/1406270,"")</f>
        <v>5.911311483570011</v>
      </c>
      <c r="R42" s="1">
        <f>IF(1312362&gt;0,100*12937/1312362,"")</f>
        <v>0.985779838184891</v>
      </c>
      <c r="S42" s="1">
        <f>IF(COUNT(Q42:R42)=2,R42-Q42,"")</f>
        <v>-4.92553164538512</v>
      </c>
    </row>
    <row r="43" spans="1:19">
      <c r="A43" s="1">
        <v>5</v>
      </c>
      <c r="B43" s="1">
        <v>4</v>
      </c>
      <c r="C43" s="1">
        <f>IF(1270456&gt;0,100*222216/1270456,"")</f>
        <v>17.49104258628398</v>
      </c>
      <c r="D43" s="1">
        <f>IF(1159600&gt;0,100*58644/1159600,"")</f>
        <v>5.057261124525699</v>
      </c>
      <c r="E43" s="1">
        <f>IF(COUNT(C43:D43)=2,D43-C43,"")</f>
        <v>-12.433781461758283</v>
      </c>
      <c r="H43" s="1">
        <v>5</v>
      </c>
      <c r="I43" s="1">
        <v>4</v>
      </c>
      <c r="J43" s="1">
        <f>IF(2437241&gt;0,100*1028598/2437241,"")</f>
        <v>42.20337668699977</v>
      </c>
      <c r="K43" s="1">
        <f>IF(1904966&gt;0,100*426898/1904966,"")</f>
        <v>22.409743795952263</v>
      </c>
      <c r="L43" s="1">
        <f>IF(COUNT(J43:K43)=2,K43-J43,"")</f>
        <v>-19.793632891047505</v>
      </c>
      <c r="O43" s="1">
        <v>5</v>
      </c>
      <c r="P43" s="1">
        <v>4</v>
      </c>
      <c r="Q43" s="1">
        <f>IF(2401097&gt;0,100*1112784/2401097,"")</f>
        <v>46.344816556765515</v>
      </c>
      <c r="R43" s="1">
        <f>IF(2493629&gt;0,100*790616/2493629,"")</f>
        <v>31.705438138552285</v>
      </c>
      <c r="S43" s="1">
        <f>IF(COUNT(Q43:R43)=2,R43-Q43,"")</f>
        <v>-14.63937841821323</v>
      </c>
    </row>
    <row r="44" spans="1:19">
      <c r="A44" s="1">
        <v>6</v>
      </c>
      <c r="B44" s="1">
        <v>5</v>
      </c>
      <c r="C44" s="1">
        <f>IF(2068143&gt;0,100*935980/2068143,"")</f>
        <v>45.25702526372693</v>
      </c>
      <c r="D44" s="1">
        <f>IF(1367071&gt;0,100*223006/1367071,"")</f>
        <v>16.312686027280222</v>
      </c>
      <c r="E44" s="1">
        <f>IF(COUNT(C44:D44)=2,D44-C44,"")</f>
        <v>-28.94433923644671</v>
      </c>
      <c r="H44" s="1">
        <v>6</v>
      </c>
      <c r="I44" s="1">
        <v>5</v>
      </c>
      <c r="J44" s="1">
        <f>IF(2170385&gt;0,100*855280/2170385,"")</f>
        <v>39.40683334984346</v>
      </c>
      <c r="K44" s="4"/>
      <c r="L44" s="1">
        <f>IF(COUNT(J44:K44)=2,K44-J44,"")</f>
        <v/>
      </c>
      <c r="O44" s="1">
        <v>6</v>
      </c>
      <c r="P44" s="1">
        <v>5</v>
      </c>
      <c r="Q44" s="1">
        <f>IF(1758860&gt;0,100*252810/1758860,"")</f>
        <v>14.373514662906656</v>
      </c>
      <c r="R44" s="1">
        <f>IF(1446961&gt;0,100*239008/1446961,"")</f>
        <v>16.51792964703264</v>
      </c>
      <c r="S44" s="1">
        <f>IF(COUNT(Q44:R44)=2,R44-Q44,"")</f>
        <v>2.1444149841259854</v>
      </c>
    </row>
    <row r="45" spans="1:19">
      <c r="A45" s="1">
        <v>7</v>
      </c>
      <c r="B45" s="1">
        <v>6</v>
      </c>
      <c r="C45" s="1">
        <f>IF(1955799&gt;0,100*927153/1955799,"")</f>
        <v>47.405331529466984</v>
      </c>
      <c r="D45" s="1">
        <f>IF(2047744&gt;0,100*630012/2047744,"")</f>
        <v>30.766150456307038</v>
      </c>
      <c r="E45" s="1">
        <f>IF(COUNT(C45:D45)=2,D45-C45,"")</f>
        <v>-16.639181073159946</v>
      </c>
      <c r="H45" s="1">
        <v>7</v>
      </c>
      <c r="I45" s="1">
        <v>6</v>
      </c>
      <c r="J45" s="1">
        <f>IF(1062155&gt;0,100*3098/1062155,"")</f>
        <v>0.29167117793542374</v>
      </c>
      <c r="K45" s="1">
        <f>IF(1597990&gt;0,100*25979/1597990,"")</f>
        <v>1.625729823090257</v>
      </c>
      <c r="L45" s="1">
        <f>IF(COUNT(J45:K45)=2,K45-J45,"")</f>
        <v>1.3340586451548333</v>
      </c>
      <c r="O45" s="1">
        <v>7</v>
      </c>
      <c r="P45" s="1">
        <v>6</v>
      </c>
      <c r="Q45" s="1">
        <f>IF(1340065&gt;0,100*31783/1340065,"")</f>
        <v>2.3717506240368937</v>
      </c>
      <c r="R45" s="1">
        <f>IF(1252744&gt;0,100*98362/1252744,"")</f>
        <v>7.851723895704151</v>
      </c>
      <c r="S45" s="1">
        <f>IF(COUNT(Q45:R45)=2,R45-Q45,"")</f>
        <v>5.479973271667257</v>
      </c>
    </row>
    <row r="46" spans="1:19">
      <c r="A46" s="1">
        <v>8</v>
      </c>
      <c r="B46" s="1">
        <v>7</v>
      </c>
      <c r="C46" s="1">
        <f>IF(2103376&gt;0,100*877826/2103376,"")</f>
        <v>41.73414548801546</v>
      </c>
      <c r="D46" s="1">
        <f>IF(2242631&gt;0,100*713893/2242631,"")</f>
        <v>31.83283384560367</v>
      </c>
      <c r="E46" s="1">
        <f>IF(COUNT(C46:D46)=2,D46-C46,"")</f>
        <v>-9.901311642411788</v>
      </c>
      <c r="H46" s="1">
        <v>8</v>
      </c>
      <c r="I46" s="1">
        <v>7</v>
      </c>
      <c r="J46" s="1">
        <f>IF(875780&gt;0,100*4451/875780,"")</f>
        <v>0.5082326611706136</v>
      </c>
      <c r="K46" s="1">
        <f>IF(782077&gt;0,100*977/782077,"")</f>
        <v>0.12492376070386932</v>
      </c>
      <c r="L46" s="1">
        <f>IF(COUNT(J46:K46)=2,K46-J46,"")</f>
        <v>-0.38330890046674426</v>
      </c>
      <c r="O46" s="1">
        <v>8</v>
      </c>
      <c r="P46" s="1">
        <v>7</v>
      </c>
      <c r="Q46" s="1">
        <f>IF(953770&gt;0,100*30543/953770,"")</f>
        <v>3.202344380720719</v>
      </c>
      <c r="R46" s="1">
        <f>IF(901006&gt;0,100*10219/901006,"")</f>
        <v>1.1341766869477006</v>
      </c>
      <c r="S46" s="1">
        <f>IF(COUNT(Q46:R46)=2,R46-Q46,"")</f>
        <v>-2.0681676937730185</v>
      </c>
    </row>
    <row r="47" spans="1:19">
      <c r="A47" s="1">
        <v>9</v>
      </c>
      <c r="B47" s="1">
        <v>8</v>
      </c>
      <c r="C47" s="1">
        <f>IF(1775689&gt;0,100*854041/1775689,"")</f>
        <v>48.096316415768754</v>
      </c>
      <c r="D47" s="1">
        <f>IF(1960053&gt;0,100*593630/1960053,"")</f>
        <v>30.28642592827847</v>
      </c>
      <c r="E47" s="1">
        <f>IF(COUNT(C47:D47)=2,D47-C47,"")</f>
        <v>-17.809890487490286</v>
      </c>
      <c r="H47" s="1">
        <v>9</v>
      </c>
      <c r="I47" s="1">
        <v>8</v>
      </c>
      <c r="J47" s="1">
        <f>IF(2261107&gt;0,100*975052/2261107,"")</f>
        <v>43.122771279731566</v>
      </c>
      <c r="K47" s="1">
        <f>IF(2906308&gt;0,100*1089181/2906308,"")</f>
        <v>37.47644778185932</v>
      </c>
      <c r="L47" s="1">
        <f>IF(COUNT(J47:K47)=2,K47-J47,"")</f>
        <v>-5.646323497872245</v>
      </c>
      <c r="O47" s="1">
        <v>9</v>
      </c>
      <c r="P47" s="1">
        <v>8</v>
      </c>
      <c r="Q47" s="1">
        <f>IF(2405152&gt;0,100*1125762/2405152,"")</f>
        <v>46.80627253495829</v>
      </c>
      <c r="R47" s="1">
        <f>IF(2127270&gt;0,100*706293/2127270,"")</f>
        <v>33.201850258782386</v>
      </c>
      <c r="S47" s="1">
        <f>IF(COUNT(Q47:R47)=2,R47-Q47,"")</f>
        <v>-13.604422276175903</v>
      </c>
    </row>
    <row r="48" spans="1:19">
      <c r="A48" s="1">
        <v>10</v>
      </c>
      <c r="B48" s="1">
        <v>9</v>
      </c>
      <c r="C48" s="1">
        <f>IF(1746180&gt;0,100*461985/1746180,"")</f>
        <v>26.456894478232485</v>
      </c>
      <c r="D48" s="1">
        <f>IF(931441&gt;0,100*13015/931441,"")</f>
        <v>1.3972973060022051</v>
      </c>
      <c r="E48" s="1">
        <f>IF(COUNT(C48:D48)=2,D48-C48,"")</f>
        <v>-25.05959717223028</v>
      </c>
      <c r="H48" s="1">
        <v>10</v>
      </c>
      <c r="I48" s="1">
        <v>9</v>
      </c>
      <c r="J48" s="1">
        <f>IF(2706863&gt;0,100*1192100/2706863,"")</f>
        <v>44.03990892778837</v>
      </c>
      <c r="K48" s="1">
        <f>IF(1357020&gt;0,100*40130/1357020,"")</f>
        <v>2.957215074206718</v>
      </c>
      <c r="L48" s="1">
        <f>IF(COUNT(J48:K48)=2,K48-J48,"")</f>
        <v>-41.08269385358165</v>
      </c>
      <c r="O48" s="1">
        <v>10</v>
      </c>
      <c r="P48" s="1">
        <v>9</v>
      </c>
      <c r="Q48" s="1">
        <f>IF(1922653&gt;0,100*523894/1922653,"")</f>
        <v>27.248494658162446</v>
      </c>
      <c r="R48" s="1">
        <f>IF(1803783&gt;0,100*286221/1803783,"")</f>
        <v>15.867817802917536</v>
      </c>
      <c r="S48" s="1">
        <f>IF(COUNT(Q48:R48)=2,R48-Q48,"")</f>
        <v>-11.38067685524491</v>
      </c>
    </row>
    <row r="49" spans="1:19">
      <c r="A49" s="1">
        <v>11</v>
      </c>
      <c r="B49" s="1">
        <v>10</v>
      </c>
      <c r="C49" s="1">
        <f>IF(1971439&gt;0,100*862784/1971439,"")</f>
        <v>43.76417429096208</v>
      </c>
      <c r="D49" s="1">
        <f>IF(1887288&gt;0,100*530612/1887288,"")</f>
        <v>28.11505186277876</v>
      </c>
      <c r="E49" s="1">
        <f>IF(COUNT(C49:D49)=2,D49-C49,"")</f>
        <v>-15.649122428183322</v>
      </c>
      <c r="H49" s="1">
        <v>11</v>
      </c>
      <c r="I49" s="1">
        <v>10</v>
      </c>
      <c r="J49" s="1">
        <f>IF(2596797&gt;0,100*880971/2596797,"")</f>
        <v>33.92529335177143</v>
      </c>
      <c r="K49" s="1">
        <f>IF(1487538&gt;0,100*61848/1487538,"")</f>
        <v>4.157742524896843</v>
      </c>
      <c r="L49" s="1">
        <f>IF(COUNT(J49:K49)=2,K49-J49,"")</f>
        <v>-29.767550826874587</v>
      </c>
      <c r="O49" s="1">
        <v>11</v>
      </c>
      <c r="P49" s="1">
        <v>10</v>
      </c>
      <c r="Q49" s="1">
        <f>IF(2537267&gt;0,100*1086404/2537267,"")</f>
        <v>42.817882390777164</v>
      </c>
      <c r="R49" s="1">
        <f>IF(1899791&gt;0,100*437513/1899791,"")</f>
        <v>23.02953324865735</v>
      </c>
      <c r="S49" s="1">
        <f>IF(COUNT(Q49:R49)=2,R49-Q49,"")</f>
        <v>-19.788349142119813</v>
      </c>
    </row>
    <row r="50" spans="1:19">
      <c r="A50" s="1">
        <v>12</v>
      </c>
      <c r="B50" s="1">
        <v>11</v>
      </c>
      <c r="C50" s="1">
        <f>IF(1769042&gt;0,100*718057/1769042,"")</f>
        <v>40.59016122850673</v>
      </c>
      <c r="D50" s="1">
        <f>IF(2317551&gt;0,100*875574/2317551,"")</f>
        <v>37.780139466186505</v>
      </c>
      <c r="E50" s="1">
        <f>IF(COUNT(C50:D50)=2,D50-C50,"")</f>
        <v>-2.8100217623202255</v>
      </c>
      <c r="H50" s="1">
        <v>12</v>
      </c>
      <c r="I50" s="1">
        <v>11</v>
      </c>
      <c r="J50" s="1">
        <f>IF(16409&gt;0,100*2109/16409,"")</f>
        <v>12.85270278505698</v>
      </c>
      <c r="K50" s="1">
        <f>IF(28281&gt;0,100*4900/28281,"")</f>
        <v>17.32612000990064</v>
      </c>
      <c r="L50" s="1">
        <f>IF(COUNT(J50:K50)=2,K50-J50,"")</f>
        <v>4.473417224843661</v>
      </c>
      <c r="O50" s="1">
        <v>12</v>
      </c>
      <c r="P50" s="1">
        <v>11</v>
      </c>
      <c r="Q50" s="1">
        <f>IF(2609889&gt;0,100*1051883/2609889,"")</f>
        <v>40.30374471864512</v>
      </c>
      <c r="R50" s="1">
        <f>IF(1288461&gt;0,100*68208/1288461,"")</f>
        <v>5.293757436197137</v>
      </c>
      <c r="S50" s="1">
        <f>IF(COUNT(Q50:R50)=2,R50-Q50,"")</f>
        <v>-35.00998728244798</v>
      </c>
    </row>
    <row r="51" spans="1:19">
      <c r="A51" s="1">
        <v>13</v>
      </c>
      <c r="B51" s="1">
        <v>12</v>
      </c>
      <c r="C51" s="1">
        <f>IF(2168985&gt;0,100*980233/2168985,"")</f>
        <v>45.193166388886965</v>
      </c>
      <c r="D51" s="1">
        <f>IF(1317124&gt;0,100*65581/1317124,"")</f>
        <v>4.979105991539141</v>
      </c>
      <c r="E51" s="1">
        <f>IF(COUNT(C51:D51)=2,D51-C51,"")</f>
        <v>-40.21406039734782</v>
      </c>
      <c r="H51" s="1">
        <v>13</v>
      </c>
      <c r="I51" s="1">
        <v>12</v>
      </c>
      <c r="J51" s="1">
        <f>IF(1392134&gt;0,100*142847/1392134,"")</f>
        <v>10.261009356857889</v>
      </c>
      <c r="K51" s="1">
        <f>IF(2223034&gt;0,100*460679/2223034,"")</f>
        <v>20.72298489361836</v>
      </c>
      <c r="L51" s="1">
        <f>IF(COUNT(J51:K51)=2,K51-J51,"")</f>
        <v>10.461975536760471</v>
      </c>
      <c r="O51" s="1">
        <v>13</v>
      </c>
      <c r="P51" s="1">
        <v>12</v>
      </c>
      <c r="Q51" s="1">
        <f>IF(1129838&gt;0,100*24638/1129838,"")</f>
        <v>2.1806666088412676</v>
      </c>
      <c r="R51" s="1">
        <f>IF(1861930&gt;0,100*94798/1861930,"")</f>
        <v>5.091383671781431</v>
      </c>
      <c r="S51" s="1">
        <f>IF(COUNT(Q51:R51)=2,R51-Q51,"")</f>
        <v>2.9107170629401633</v>
      </c>
    </row>
    <row r="52" spans="1:19">
      <c r="A52" s="1">
        <v>14</v>
      </c>
      <c r="B52" s="1">
        <v>13</v>
      </c>
      <c r="C52" s="1">
        <f>IF(1030639&gt;0,100*3971/1030639,"")</f>
        <v>0.38529494808560516</v>
      </c>
      <c r="D52" s="1">
        <f>IF(979177&gt;0,100*6895/979177,"")</f>
        <v>0.7041627816012835</v>
      </c>
      <c r="E52" s="1">
        <f>IF(COUNT(C52:D52)=2,D52-C52,"")</f>
        <v>0.3188678335156784</v>
      </c>
      <c r="H52" s="1">
        <v>14</v>
      </c>
      <c r="I52" s="1">
        <v>13</v>
      </c>
      <c r="J52" s="1">
        <f>IF(1631278&gt;0,100*497437/1631278,"")</f>
        <v>30.49369880547644</v>
      </c>
      <c r="K52" s="1">
        <f>IF(1816434&gt;0,100*456332/1816434,"")</f>
        <v>25.122410172899208</v>
      </c>
      <c r="L52" s="1">
        <f>IF(COUNT(J52:K52)=2,K52-J52,"")</f>
        <v>-5.371288632577233</v>
      </c>
      <c r="O52" s="1">
        <v>14</v>
      </c>
      <c r="P52" s="1">
        <v>13</v>
      </c>
      <c r="Q52" s="1">
        <f>IF(1227769&gt;0,100*230841/1227769,"")</f>
        <v>18.801663830899788</v>
      </c>
      <c r="R52" s="1">
        <f>IF(904185&gt;0,100*11406/904185,"")</f>
        <v>1.2614675094145555</v>
      </c>
      <c r="S52" s="1">
        <f>IF(COUNT(Q52:R52)=2,R52-Q52,"")</f>
        <v>-17.540196321485233</v>
      </c>
    </row>
    <row r="53" spans="1:19">
      <c r="A53" s="1">
        <v>15</v>
      </c>
      <c r="B53" s="1">
        <v>14</v>
      </c>
      <c r="C53" s="1">
        <f>IF(1555406&gt;0,100*520362/1555406,"")</f>
        <v>33.45505932213197</v>
      </c>
      <c r="D53" s="1">
        <f>IF(1926461&gt;0,100*630149/1926461,"")</f>
        <v>32.7101872293288</v>
      </c>
      <c r="E53" s="1">
        <f>IF(COUNT(C53:D53)=2,D53-C53,"")</f>
        <v>-0.7448720928031705</v>
      </c>
      <c r="H53" s="1">
        <v>15</v>
      </c>
      <c r="I53" s="1">
        <v>14</v>
      </c>
      <c r="J53" s="1">
        <f>IF(1857255&gt;0,100*556621/1857255,"")</f>
        <v>29.970090267626148</v>
      </c>
      <c r="K53" s="1">
        <f>IF(2405732&gt;0,100*720968/2405732,"")</f>
        <v>29.968757949763315</v>
      </c>
      <c r="L53" s="1">
        <f>IF(COUNT(J53:K53)=2,K53-J53,"")</f>
        <v>-0.0013323178628326104</v>
      </c>
      <c r="O53" s="1">
        <v>15</v>
      </c>
      <c r="P53" s="1">
        <v>14</v>
      </c>
      <c r="Q53" s="1">
        <f>IF(2240147&gt;0,100*1104566/2240147,"")</f>
        <v>49.30774632200476</v>
      </c>
      <c r="R53" s="1">
        <f>IF(1775058&gt;0,100*445532/1775058,"")</f>
        <v>25.0995742110962</v>
      </c>
      <c r="S53" s="1">
        <f>IF(COUNT(Q53:R53)=2,R53-Q53,"")</f>
        <v>-24.20817211090856</v>
      </c>
    </row>
    <row r="54" spans="1:19">
      <c r="A54" s="1">
        <v>16</v>
      </c>
      <c r="B54" s="1">
        <v>15</v>
      </c>
      <c r="C54" s="1">
        <f>IF(1761441&gt;0,100*757460/1761441,"")</f>
        <v>43.00229187352855</v>
      </c>
      <c r="D54" s="1">
        <f>IF(1104192&gt;0,100*278603/1104192,"")</f>
        <v>25.23139091752159</v>
      </c>
      <c r="E54" s="1">
        <f>IF(COUNT(C54:D54)=2,D54-C54,"")</f>
        <v>-17.770900956006958</v>
      </c>
      <c r="H54" s="1">
        <v>16</v>
      </c>
      <c r="I54" s="1">
        <v>15</v>
      </c>
      <c r="J54" s="1">
        <f>IF(1920903&gt;0,100*863441/1920903,"")</f>
        <v>44.949744989726184</v>
      </c>
      <c r="K54" s="1">
        <f>IF(1285247&gt;0,100*177735/1285247,"")</f>
        <v>13.828859355439072</v>
      </c>
      <c r="L54" s="1">
        <f>IF(COUNT(J54:K54)=2,K54-J54,"")</f>
        <v>-31.120885634287113</v>
      </c>
      <c r="O54" s="1">
        <v>16</v>
      </c>
      <c r="P54" s="1">
        <v>15</v>
      </c>
      <c r="Q54" s="1">
        <f>IF(2594091&gt;0,100*1215002/2594091,"")</f>
        <v>46.837292909153916</v>
      </c>
      <c r="R54" s="1">
        <f>IF(1897079&gt;0,100*294258/1897079,"")</f>
        <v>15.511109447735176</v>
      </c>
      <c r="S54" s="1">
        <f>IF(COUNT(Q54:R54)=2,R54-Q54,"")</f>
        <v>-31.32618346141874</v>
      </c>
    </row>
    <row r="55" spans="1:19">
      <c r="A55" s="1">
        <v>17</v>
      </c>
      <c r="B55" s="1">
        <v>16</v>
      </c>
      <c r="C55" s="1">
        <f>IF(844646&gt;0,100*17331/844646,"")</f>
        <v>2.0518655152572793</v>
      </c>
      <c r="D55" s="4"/>
      <c r="E55" s="1">
        <f>IF(COUNT(C55:D55)=2,D55-C55,"")</f>
        <v/>
      </c>
      <c r="H55" s="1">
        <v>17</v>
      </c>
      <c r="I55" s="1">
        <v>16</v>
      </c>
      <c r="J55" s="1">
        <f>IF(2198372&gt;0,100*828948/2198372,"")</f>
        <v>37.70735799036742</v>
      </c>
      <c r="K55" s="1">
        <f>IF(2311717&gt;0,100*564642/2311717,"")</f>
        <v>24.425221599356668</v>
      </c>
      <c r="L55" s="1">
        <f>IF(COUNT(J55:K55)=2,K55-J55,"")</f>
        <v>-13.282136391010752</v>
      </c>
      <c r="O55" s="1">
        <v>17</v>
      </c>
      <c r="P55" s="1">
        <v>16</v>
      </c>
      <c r="Q55" s="1">
        <f>IF(2139602&gt;0,100*724511/2139602,"")</f>
        <v>33.8619518957264</v>
      </c>
      <c r="R55" s="1">
        <f>IF(2454209&gt;0,100*681981/2454209,"")</f>
        <v>27.788220155659115</v>
      </c>
      <c r="S55" s="1">
        <f>IF(COUNT(Q55:R55)=2,R55-Q55,"")</f>
        <v>-6.073731740067284</v>
      </c>
    </row>
    <row r="56" spans="1:19">
      <c r="A56" s="1">
        <v>18</v>
      </c>
      <c r="B56" s="1">
        <v>17</v>
      </c>
      <c r="C56" s="1">
        <f>IF(913631&gt;0,100*114254/913631,"")</f>
        <v>12.505486350616387</v>
      </c>
      <c r="D56" s="1">
        <f>IF(949387&gt;0,100*87111/949387,"")</f>
        <v>9.175499559189245</v>
      </c>
      <c r="E56" s="1">
        <f>IF(COUNT(C56:D56)=2,D56-C56,"")</f>
        <v>-3.3299867914271424</v>
      </c>
      <c r="H56" s="1">
        <v>18</v>
      </c>
      <c r="I56" s="1">
        <v>17</v>
      </c>
      <c r="J56" s="1">
        <f>IF(2215&gt;0,100*355/2215,"")</f>
        <v>16.02708803611738</v>
      </c>
      <c r="K56" s="1">
        <f>IF(1131843&gt;0,100*64270/1131843,"")</f>
        <v>5.678349382379005</v>
      </c>
      <c r="L56" s="1">
        <f>IF(COUNT(J56:K56)=2,K56-J56,"")</f>
        <v>-10.348738653738376</v>
      </c>
      <c r="O56" s="1">
        <v>18</v>
      </c>
      <c r="P56" s="1">
        <v>17</v>
      </c>
      <c r="Q56" s="1">
        <f>IF(2597163&gt;0,100*1238582/2597163,"")</f>
        <v>47.68980614616795</v>
      </c>
      <c r="R56" s="1">
        <f>IF(1024262&gt;0,100*75385/1024262,"")</f>
        <v>7.3599332983162515</v>
      </c>
      <c r="S56" s="1">
        <f>IF(COUNT(Q56:R56)=2,R56-Q56,"")</f>
        <v>-40.3298728478517</v>
      </c>
    </row>
    <row r="57" spans="1:19">
      <c r="A57" s="1">
        <v>19</v>
      </c>
      <c r="B57" s="1">
        <v>18</v>
      </c>
      <c r="C57" s="1">
        <f>IF(2015196&gt;0,100*813734/2015196,"")</f>
        <v>40.37989356866528</v>
      </c>
      <c r="D57" s="1">
        <f>IF(2032767&gt;0,100*656865/2032767,"")</f>
        <v>32.31383626357571</v>
      </c>
      <c r="E57" s="1">
        <f>IF(COUNT(C57:D57)=2,D57-C57,"")</f>
        <v>-8.066057305089572</v>
      </c>
      <c r="H57" s="1">
        <v>19</v>
      </c>
      <c r="I57" s="1">
        <v>18</v>
      </c>
      <c r="J57" s="1">
        <f>IF(1892358&gt;0,100*622212/1892358,"")</f>
        <v>32.880247817801916</v>
      </c>
      <c r="K57" s="1">
        <f>IF(2221521&gt;0,100*591487/2221521,"")</f>
        <v>26.625316618659017</v>
      </c>
      <c r="L57" s="1">
        <f>IF(COUNT(J57:K57)=2,K57-J57,"")</f>
        <v>-6.254931199142899</v>
      </c>
      <c r="O57" s="1">
        <v>19</v>
      </c>
      <c r="P57" s="1">
        <v>18</v>
      </c>
      <c r="Q57" s="1">
        <f>IF(1995148&gt;0,100*689134/1995148,"")</f>
        <v>34.54049524145577</v>
      </c>
      <c r="R57" s="1">
        <f>IF(1233632&gt;0,100*109998/1233632,"")</f>
        <v>8.916597494228425</v>
      </c>
      <c r="S57" s="1">
        <f>IF(COUNT(Q57:R57)=2,R57-Q57,"")</f>
        <v>-25.623897747227346</v>
      </c>
    </row>
    <row r="58" spans="1:19">
      <c r="A58" s="1">
        <v>20</v>
      </c>
      <c r="B58" s="1">
        <v>19</v>
      </c>
      <c r="C58" s="1">
        <f>IF(2178136&gt;0,100*944455/2178136,"")</f>
        <v>43.36069924008418</v>
      </c>
      <c r="D58" s="1">
        <f>IF(2118401&gt;0,100*616039/2118401,"")</f>
        <v>29.080377133507774</v>
      </c>
      <c r="E58" s="1">
        <f>IF(COUNT(C58:D58)=2,D58-C58,"")</f>
        <v>-14.280322106576406</v>
      </c>
      <c r="H58" s="1">
        <v>20</v>
      </c>
      <c r="I58" s="1">
        <v>19</v>
      </c>
      <c r="J58" s="1">
        <f>IF(2533784&gt;0,100*1139277/2533784,"")</f>
        <v>44.96346176311793</v>
      </c>
      <c r="K58" s="1">
        <f>IF(2289902&gt;0,100*603439/2289902,"")</f>
        <v>26.35217576996745</v>
      </c>
      <c r="L58" s="1">
        <f>IF(COUNT(J58:K58)=2,K58-J58,"")</f>
        <v>-18.611285993150478</v>
      </c>
      <c r="O58" s="1">
        <v>20</v>
      </c>
      <c r="P58" s="1">
        <v>19</v>
      </c>
      <c r="Q58" s="1">
        <f>IF(2139229&gt;0,100*899475/2139229,"")</f>
        <v>42.0466906535018</v>
      </c>
      <c r="R58" s="1">
        <f>IF(2273878&gt;0,100*503039/2273878,"")</f>
        <v>22.122514928241532</v>
      </c>
      <c r="S58" s="1">
        <f>IF(COUNT(Q58:R58)=2,R58-Q58,"")</f>
        <v>-19.924175725260266</v>
      </c>
    </row>
    <row r="59" spans="1:19">
      <c r="A59" s="1">
        <v>21</v>
      </c>
      <c r="B59" s="1">
        <v>20</v>
      </c>
      <c r="C59" s="1">
        <f>IF(1558100&gt;0,100*473205/1558100,"")</f>
        <v>30.37064373275143</v>
      </c>
      <c r="D59" s="1">
        <f>IF(1221622&gt;0,100*190335/1221622,"")</f>
        <v>15.580515085681169</v>
      </c>
      <c r="E59" s="1">
        <f>IF(COUNT(C59:D59)=2,D59-C59,"")</f>
        <v>-14.79012864707026</v>
      </c>
      <c r="H59" s="1">
        <v>21</v>
      </c>
      <c r="I59" s="1">
        <v>20</v>
      </c>
      <c r="J59" s="1">
        <f>IF(2773746&gt;0,100*1088927/2773746,"")</f>
        <v>39.25835314408745</v>
      </c>
      <c r="K59" s="1">
        <f>IF(1855637&gt;0,100*157474/1855637,"")</f>
        <v>8.486250274164613</v>
      </c>
      <c r="L59" s="1">
        <f>IF(COUNT(J59:K59)=2,K59-J59,"")</f>
        <v>-30.77210286992284</v>
      </c>
      <c r="O59" s="1">
        <v>21</v>
      </c>
      <c r="P59" s="1">
        <v>20</v>
      </c>
      <c r="Q59" s="1">
        <f>IF(2422246&gt;0,100*1045754/2422246,"")</f>
        <v>43.172906467798896</v>
      </c>
      <c r="R59" s="1">
        <f>IF(1586621&gt;0,100*258257/1586621,"")</f>
        <v>16.277170162250467</v>
      </c>
      <c r="S59" s="1">
        <f>IF(COUNT(Q59:R59)=2,R59-Q59,"")</f>
        <v>-26.89573630554843</v>
      </c>
    </row>
    <row r="60" spans="1:19">
      <c r="A60" s="1">
        <v>22</v>
      </c>
      <c r="B60" s="1">
        <v>21</v>
      </c>
      <c r="C60" s="1">
        <f>IF(1857644&gt;0,100*847880/1857644,"")</f>
        <v>45.64276039973213</v>
      </c>
      <c r="D60" s="1">
        <f>IF(1360659&gt;0,100*375186/1360659,"")</f>
        <v>27.573844732589134</v>
      </c>
      <c r="E60" s="1">
        <f>IF(COUNT(C60:D60)=2,D60-C60,"")</f>
        <v>-18.068915667143</v>
      </c>
      <c r="H60" s="1">
        <v>22</v>
      </c>
      <c r="I60" s="1">
        <v>21</v>
      </c>
      <c r="J60" s="1">
        <f>IF(2183759&gt;0,100*997955/2183759,"")</f>
        <v>45.69895304381115</v>
      </c>
      <c r="K60" s="1">
        <f>IF(2539638&gt;0,100*779163/2539638,"")</f>
        <v>30.68008117692364</v>
      </c>
      <c r="L60" s="1">
        <f>IF(COUNT(J60:K60)=2,K60-J60,"")</f>
        <v>-15.018871866887512</v>
      </c>
      <c r="O60" s="1">
        <v>22</v>
      </c>
      <c r="P60" s="1">
        <v>21</v>
      </c>
      <c r="Q60" s="1">
        <f>IF(2052914&gt;0,100*716282/2052914,"")</f>
        <v>34.890989101345696</v>
      </c>
      <c r="R60" s="1">
        <f>IF(452730&gt;0,100*16708/452730,"")</f>
        <v>3.690499856426568</v>
      </c>
      <c r="S60" s="1">
        <f>IF(COUNT(Q60:R60)=2,R60-Q60,"")</f>
        <v>-31.200489244919126</v>
      </c>
    </row>
    <row r="61" spans="1:19">
      <c r="A61" s="1">
        <v>23</v>
      </c>
      <c r="B61" s="1">
        <v>22</v>
      </c>
      <c r="C61" s="1">
        <f>IF(696517&gt;0,100*2264/696517,"")</f>
        <v>0.325045906991502</v>
      </c>
      <c r="D61" s="1">
        <f>IF(680234&gt;0,100*1830/680234,"")</f>
        <v>0.26902507078446536</v>
      </c>
      <c r="E61" s="1">
        <f>IF(COUNT(C61:D61)=2,D61-C61,"")</f>
        <v>-0.05602083620703663</v>
      </c>
      <c r="H61" s="1">
        <v>23</v>
      </c>
      <c r="I61" s="1">
        <v>22</v>
      </c>
      <c r="J61" s="1">
        <f>IF(2492569&gt;0,100*1249101/2492569,"")</f>
        <v>50.11299586892078</v>
      </c>
      <c r="K61" s="1">
        <f>IF(1689214&gt;0,100*301382/1689214,"")</f>
        <v>17.841552343279183</v>
      </c>
      <c r="L61" s="1">
        <f>IF(COUNT(J61:K61)=2,K61-J61,"")</f>
        <v>-32.271443525641594</v>
      </c>
      <c r="O61" s="1">
        <v>23</v>
      </c>
      <c r="P61" s="1">
        <v>22</v>
      </c>
      <c r="Q61" s="1">
        <f>IF(2322764&gt;0,100*881160/2322764,"")</f>
        <v>37.935838509637655</v>
      </c>
      <c r="R61" s="1">
        <f>IF(2655913&gt;0,100*852836/2655913,"")</f>
        <v>32.110840980107405</v>
      </c>
      <c r="S61" s="1">
        <f>IF(COUNT(Q61:R61)=2,R61-Q61,"")</f>
        <v>-5.8249975295302505</v>
      </c>
    </row>
    <row r="62" spans="1:19">
      <c r="A62" s="1">
        <v>24</v>
      </c>
      <c r="B62" s="1">
        <v>23</v>
      </c>
      <c r="C62" s="1">
        <f>IF(1622857&gt;0,100*324323/1622857,"")</f>
        <v>19.98469366062444</v>
      </c>
      <c r="D62" s="1">
        <f>IF(1037655&gt;0,100*151816/1037655,"")</f>
        <v>14.630681681290987</v>
      </c>
      <c r="E62" s="1">
        <f>IF(COUNT(C62:D62)=2,D62-C62,"")</f>
        <v>-5.354011979333453</v>
      </c>
      <c r="H62" s="1">
        <v>24</v>
      </c>
      <c r="I62" s="1">
        <v>23</v>
      </c>
      <c r="J62" s="1">
        <f>IF(2618354&gt;0,100*1195641/2618354,"")</f>
        <v>45.663840718252764</v>
      </c>
      <c r="K62" s="1">
        <f>IF(2318846&gt;0,100*697508/2318846,"")</f>
        <v>30.079962188088384</v>
      </c>
      <c r="L62" s="1">
        <f>IF(COUNT(J62:K62)=2,K62-J62,"")</f>
        <v>-15.58387853016438</v>
      </c>
      <c r="O62" s="1">
        <v>24</v>
      </c>
      <c r="P62" s="1">
        <v>23</v>
      </c>
      <c r="Q62" s="1">
        <f>IF(1862901&gt;0,100*489468/1862901,"")</f>
        <v>26.27450412018674</v>
      </c>
      <c r="R62" s="1">
        <f>IF(1185025&gt;0,100*20866/1185025,"")</f>
        <v>1.760806734035147</v>
      </c>
      <c r="S62" s="1">
        <f>IF(COUNT(Q62:R62)=2,R62-Q62,"")</f>
        <v>-24.513697386151595</v>
      </c>
    </row>
    <row r="63" spans="1:19">
      <c r="A63" s="1">
        <v>25</v>
      </c>
      <c r="B63" s="1">
        <v>24</v>
      </c>
      <c r="C63" s="1">
        <f>IF(1310506&gt;0,100*408672/1310506,"")</f>
        <v>31.184290648039763</v>
      </c>
      <c r="D63" s="1">
        <f>IF(1672716&gt;0,100*514607/1672716,"")</f>
        <v>30.76475624074858</v>
      </c>
      <c r="E63" s="1">
        <f>IF(COUNT(C63:D63)=2,D63-C63,"")</f>
        <v>-0.4195344072911844</v>
      </c>
      <c r="H63" s="1">
        <v>25</v>
      </c>
      <c r="I63" s="1">
        <v>24</v>
      </c>
      <c r="J63" s="1">
        <f>IF(2421034&gt;0,100*1042416/2421034,"")</f>
        <v>43.05664439243728</v>
      </c>
      <c r="K63" s="1">
        <f>IF(1279408&gt;0,100*57043/1279408,"")</f>
        <v>4.45854645273439</v>
      </c>
      <c r="L63" s="1">
        <f>IF(COUNT(J63:K63)=2,K63-J63,"")</f>
        <v>-38.59809793970289</v>
      </c>
      <c r="O63" s="1">
        <v>25</v>
      </c>
      <c r="P63" s="1">
        <v>24</v>
      </c>
      <c r="Q63" s="1">
        <f>IF(2310152&gt;0,100*1014877/2310152,"")</f>
        <v>43.931178554484724</v>
      </c>
      <c r="R63" s="1">
        <f>IF(1498147&gt;0,100*174246/1498147,"")</f>
        <v>11.630767875248557</v>
      </c>
      <c r="S63" s="1">
        <f>IF(COUNT(Q63:R63)=2,R63-Q63,"")</f>
        <v>-32.300410679236165</v>
      </c>
    </row>
    <row r="64" spans="1:19">
      <c r="A64" s="1">
        <v>26</v>
      </c>
      <c r="B64" s="1">
        <v>25</v>
      </c>
      <c r="C64" s="1">
        <f>IF(2238694&gt;0,100*1062953/2238694,"")</f>
        <v>47.480942013513236</v>
      </c>
      <c r="D64" s="1">
        <f>IF(20369&gt;0,100*6282/20369,"")</f>
        <v>30.84098384800432</v>
      </c>
      <c r="E64" s="1">
        <f>IF(COUNT(C64:D64)=2,D64-C64,"")</f>
        <v>-16.639958165508915</v>
      </c>
      <c r="H64" s="1">
        <v>26</v>
      </c>
      <c r="I64" s="1">
        <v>25</v>
      </c>
      <c r="J64" s="1">
        <f>IF(1745904&gt;0,100*492009/1745904,"")</f>
        <v>28.18075907953702</v>
      </c>
      <c r="K64" s="1">
        <f>IF(2600117&gt;0,100*838183/2600117,"")</f>
        <v>32.23635705624016</v>
      </c>
      <c r="L64" s="1">
        <f>IF(COUNT(J64:K64)=2,K64-J64,"")</f>
        <v>4.05559797670314</v>
      </c>
      <c r="O64" s="1">
        <v>26</v>
      </c>
      <c r="P64" s="1">
        <v>25</v>
      </c>
      <c r="Q64" s="1">
        <f>IF(2669118&gt;0,100*1197813/2669118,"")</f>
        <v>44.876734561754105</v>
      </c>
      <c r="R64" s="1">
        <f>IF(2019980&gt;0,100*588602/2019980,"")</f>
        <v>29.13900137625125</v>
      </c>
      <c r="S64" s="1">
        <f>IF(COUNT(Q64:R64)=2,R64-Q64,"")</f>
        <v>-15.737733185502854</v>
      </c>
    </row>
    <row r="65" spans="1:19">
      <c r="A65" s="1">
        <v>27</v>
      </c>
      <c r="B65" s="1">
        <v>26</v>
      </c>
      <c r="C65" s="1">
        <f>IF(1647328&gt;0,100*574346/1647328,"")</f>
        <v>34.86530915518949</v>
      </c>
      <c r="D65" s="1">
        <f>IF(1771589&gt;0,100*472277/1771589,"")</f>
        <v>26.658384083441476</v>
      </c>
      <c r="E65" s="1">
        <f>IF(COUNT(C65:D65)=2,D65-C65,"")</f>
        <v>-8.206925071748017</v>
      </c>
      <c r="H65" s="1">
        <v>27</v>
      </c>
      <c r="I65" s="1">
        <v>26</v>
      </c>
      <c r="J65" s="1">
        <f>IF(2195965&gt;0,100*781488/2195965,"")</f>
        <v>35.587452441181895</v>
      </c>
      <c r="K65" s="1">
        <f>IF(1651541&gt;0,100*368366/1651541,"")</f>
        <v>22.304381180969774</v>
      </c>
      <c r="L65" s="1">
        <f>IF(COUNT(J65:K65)=2,K65-J65,"")</f>
        <v>-13.283071260212122</v>
      </c>
      <c r="O65" s="1">
        <v>27</v>
      </c>
      <c r="P65" s="1">
        <v>26</v>
      </c>
      <c r="Q65" s="1">
        <f>IF(2415042&gt;0,100*766118/2415042,"")</f>
        <v>31.722760929209514</v>
      </c>
      <c r="R65" s="1">
        <f>IF(1949691&gt;0,100*339343/1949691,"")</f>
        <v>17.40496314544202</v>
      </c>
      <c r="S65" s="1">
        <f>IF(COUNT(Q65:R65)=2,R65-Q65,"")</f>
        <v>-14.317797783767492</v>
      </c>
    </row>
    <row r="66" spans="1:19">
      <c r="A66" s="1">
        <v>28</v>
      </c>
      <c r="B66" s="1">
        <v>27</v>
      </c>
      <c r="C66" s="1">
        <f>IF(665364&gt;0,100*675/665364,"")</f>
        <v>0.10144822984110953</v>
      </c>
      <c r="D66" s="1">
        <f>IF(713829&gt;0,100*9632/713829,"")</f>
        <v>1.349342769766989</v>
      </c>
      <c r="E66" s="1">
        <f>IF(COUNT(C66:D66)=2,D66-C66,"")</f>
        <v>1.2478945399258796</v>
      </c>
      <c r="H66" s="1">
        <v>28</v>
      </c>
      <c r="I66" s="1">
        <v>27</v>
      </c>
      <c r="J66" s="1">
        <f>IF(1703605&gt;0,100*670593/1703605,"")</f>
        <v>39.36317397518791</v>
      </c>
      <c r="K66" s="1">
        <f>IF(2597816&gt;0,100*911202/2597816,"")</f>
        <v>35.075694352486856</v>
      </c>
      <c r="L66" s="1">
        <f>IF(COUNT(J66:K66)=2,K66-J66,"")</f>
        <v>-4.287479622701056</v>
      </c>
      <c r="O66" s="1">
        <v>28</v>
      </c>
      <c r="P66" s="1">
        <v>27</v>
      </c>
      <c r="Q66" s="1">
        <f>IF(1500981&gt;0,100*448455/1500981,"")</f>
        <v>29.877460141067743</v>
      </c>
      <c r="R66" s="1">
        <f>IF(1729910&gt;0,100*337507/1729910,"")</f>
        <v>19.510090120295274</v>
      </c>
      <c r="S66" s="1">
        <f>IF(COUNT(Q66:R66)=2,R66-Q66,"")</f>
        <v>-10.36737002077247</v>
      </c>
    </row>
    <row r="67" spans="1:19">
      <c r="A67" s="1">
        <v>29</v>
      </c>
      <c r="B67" s="1">
        <v>28</v>
      </c>
      <c r="C67" s="1">
        <f>IF(1808091&gt;0,100*652193/1808091,"")</f>
        <v>36.070806170707115</v>
      </c>
      <c r="D67" s="4"/>
      <c r="E67" s="1">
        <f>IF(COUNT(C67:D67)=2,D67-C67,"")</f>
        <v/>
      </c>
      <c r="H67" s="1">
        <v>29</v>
      </c>
      <c r="I67" s="1">
        <v>28</v>
      </c>
      <c r="J67" s="1">
        <f>IF(2391442&gt;0,100*1116314/2391442,"")</f>
        <v>46.67953477441644</v>
      </c>
      <c r="K67" s="1">
        <f>IF(2643169&gt;0,100*871794/2643169,"")</f>
        <v>32.98290801685401</v>
      </c>
      <c r="L67" s="1">
        <f>IF(COUNT(J67:K67)=2,K67-J67,"")</f>
        <v>-13.696626757562427</v>
      </c>
      <c r="O67" s="1">
        <v>29</v>
      </c>
      <c r="P67" s="1">
        <v>28</v>
      </c>
      <c r="Q67" s="1">
        <f>IF(2050506&gt;0,100*857322/2050506,"")</f>
        <v>41.810265368645595</v>
      </c>
      <c r="R67" s="1">
        <f>IF(2064856&gt;0,100*651820/2064856,"")</f>
        <v>31.56733447756163</v>
      </c>
      <c r="S67" s="1">
        <f>IF(COUNT(Q67:R67)=2,R67-Q67,"")</f>
        <v>-10.242930891083965</v>
      </c>
    </row>
    <row r="68" spans="1:19">
      <c r="A68" s="1">
        <v>30</v>
      </c>
      <c r="B68" s="1">
        <v>29</v>
      </c>
      <c r="C68" s="1">
        <f>IF(1942903&gt;0,100*844208/1942903,"")</f>
        <v>43.45085678492441</v>
      </c>
      <c r="D68" s="4"/>
      <c r="E68" s="1">
        <f>IF(COUNT(C68:D68)=2,D68-C68,"")</f>
        <v/>
      </c>
      <c r="H68" s="1">
        <v>30</v>
      </c>
      <c r="I68" s="1">
        <v>29</v>
      </c>
      <c r="J68" s="1">
        <f>IF(1886067&gt;0,100*615825/1886067,"")</f>
        <v>32.65127909029743</v>
      </c>
      <c r="K68" s="1">
        <f>IF(1971725&gt;0,100*543640/1971725,"")</f>
        <v>27.571796269763787</v>
      </c>
      <c r="L68" s="1">
        <f>IF(COUNT(J68:K68)=2,K68-J68,"")</f>
        <v>-5.0794828205336415</v>
      </c>
      <c r="O68" s="1">
        <v>30</v>
      </c>
      <c r="P68" s="1">
        <v>29</v>
      </c>
      <c r="Q68" s="1">
        <f>IF(1124834&gt;0,100*57569/1124834,"")</f>
        <v>5.1179996337237315</v>
      </c>
      <c r="R68" s="1">
        <f>IF(921201&gt;0,100*18771/921201,"")</f>
        <v>2.0376660468236576</v>
      </c>
      <c r="S68" s="1">
        <f>IF(COUNT(Q68:R68)=2,R68-Q68,"")</f>
        <v>-3.080333586900074</v>
      </c>
    </row>
    <row r="69" spans="1:19">
      <c r="A69" s="1">
        <v>31</v>
      </c>
      <c r="B69" s="1">
        <v>30</v>
      </c>
      <c r="C69" s="1">
        <f>IF(1247391&gt;0,100*5792/1247391,"")</f>
        <v>0.4643291477972825</v>
      </c>
      <c r="D69" s="1">
        <f>IF(1138723&gt;0,100*50098/1138723,"")</f>
        <v>4.399489603705203</v>
      </c>
      <c r="E69" s="1">
        <f>IF(COUNT(C69:D69)=2,D69-C69,"")</f>
        <v>3.9351604559079205</v>
      </c>
      <c r="H69" s="1">
        <v>31</v>
      </c>
      <c r="I69" s="1">
        <v>30</v>
      </c>
      <c r="J69" s="1">
        <f>IF(2131633&gt;0,100*739570/2131633,"")</f>
        <v>34.69499674662571</v>
      </c>
      <c r="K69" s="1">
        <f>IF(1526434&gt;0,100*184516/1526434,"")</f>
        <v>12.088043112247238</v>
      </c>
      <c r="L69" s="1">
        <f>IF(COUNT(J69:K69)=2,K69-J69,"")</f>
        <v>-22.606953634378474</v>
      </c>
      <c r="O69" s="1">
        <v>31</v>
      </c>
      <c r="P69" s="1">
        <v>30</v>
      </c>
      <c r="Q69" s="1">
        <f>IF(1670334&gt;0,100*513883/1670334,"")</f>
        <v>30.765284068934715</v>
      </c>
      <c r="R69" s="1">
        <f>IF(2019678&gt;0,100*648920/2019678,"")</f>
        <v>32.129874168060454</v>
      </c>
      <c r="S69" s="1">
        <f>IF(COUNT(Q69:R69)=2,R69-Q69,"")</f>
        <v>1.3645900991257385</v>
      </c>
    </row>
    <row r="70" spans="1:19">
      <c r="A70" s="2" t="s">
        <v>6</v>
      </c>
      <c r="B70" s="1"/>
      <c r="C70" s="1">
        <f>IF(COUNT(C39:C69)&gt;0,AVERAGE(C39:C69),"")</f>
        <v>30.562133085533812</v>
      </c>
      <c r="D70" s="1">
        <f>IF(COUNT(D39:D69)&gt;0,AVERAGE(D39:D69),"")</f>
        <v>20.24459570826096</v>
      </c>
      <c r="E70" s="1">
        <f>IF(COUNT(E39:E69)&gt;0,AVERAGE(E39:E69),"")</f>
        <v>-10.678711333905444</v>
      </c>
      <c r="H70" s="2" t="s">
        <v>6</v>
      </c>
      <c r="I70" s="1"/>
      <c r="J70" s="1">
        <f>IF(COUNT(J39:J69)&gt;0,AVERAGE(J39:J69),"")</f>
        <v>32.74960009631654</v>
      </c>
      <c r="K70" s="1">
        <f>IF(COUNT(K39:K69)&gt;0,AVERAGE(K39:K69),"")</f>
        <v>19.55466187707729</v>
      </c>
      <c r="L70" s="1">
        <f>IF(COUNT(L39:L69)&gt;0,AVERAGE(L39:L69),"")</f>
        <v>-12.97303044412169</v>
      </c>
      <c r="O70" s="2" t="s">
        <v>6</v>
      </c>
      <c r="P70" s="1"/>
      <c r="Q70" s="1">
        <f>IF(COUNT(Q39:Q69)&gt;0,AVERAGE(Q39:Q69),"")</f>
        <v>31.481548328397977</v>
      </c>
      <c r="R70" s="1">
        <f>IF(COUNT(R39:R69)&gt;0,AVERAGE(R39:R69),"")</f>
        <v>16.23202487430645</v>
      </c>
      <c r="S70" s="1">
        <f>IF(COUNT(S39:S69)&gt;0,AVERAGE(S39:S69),"")</f>
        <v>-15.249523454091529</v>
      </c>
    </row>
    <row r="71" spans="1:19">
      <c r="A71" s="2" t="s">
        <v>7</v>
      </c>
      <c r="C71" s="3">
        <f>COUNT(C39:C69)</f>
        <v>31</v>
      </c>
      <c r="D71" s="3">
        <f>COUNT(D39:D69)</f>
        <v>28</v>
      </c>
      <c r="E71" s="3">
        <f>COUNT(E39:E69)</f>
        <v>28</v>
      </c>
      <c r="H71" s="2" t="s">
        <v>7</v>
      </c>
      <c r="J71" s="3">
        <f>COUNT(J39:J69)</f>
        <v>31</v>
      </c>
      <c r="K71" s="3">
        <f>COUNT(K39:K69)</f>
        <v>30</v>
      </c>
      <c r="L71" s="3">
        <f>COUNT(L39:L69)</f>
        <v>30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IF(1227574&gt;0,100*38510/1227574,"")</f>
        <v>3.1370817563747684</v>
      </c>
      <c r="D75" s="1">
        <f>IF(1621948&gt;0,100*267556/1621948,"")</f>
        <v>16.495966578459974</v>
      </c>
      <c r="E75" s="1">
        <f>IF(COUNT(C75:D75)=2,D75-C75,"")</f>
        <v>13.358884822085205</v>
      </c>
      <c r="H75" s="1">
        <v>1</v>
      </c>
      <c r="I75" s="1">
        <v>0</v>
      </c>
      <c r="J75" s="1">
        <f>IF(2974908&gt;0,100*1593753/2974908,"")</f>
        <v>53.573186128781124</v>
      </c>
      <c r="K75" s="1">
        <f>IF(2343922&gt;0,100*454172/2343922,"")</f>
        <v>19.376583350469854</v>
      </c>
      <c r="L75" s="1">
        <f>IF(COUNT(J75:K75)=2,K75-J75,"")</f>
        <v>-34.196602778311274</v>
      </c>
      <c r="O75" s="1">
        <v>1</v>
      </c>
      <c r="P75" s="1">
        <v>0</v>
      </c>
      <c r="Q75" s="1">
        <f>IF(2673895&gt;0,100*1212503/2673895,"")</f>
        <v>45.34594664337979</v>
      </c>
      <c r="R75" s="1">
        <f>IF(2280957&gt;0,100*432408/2280957,"")</f>
        <v>18.95730607810669</v>
      </c>
      <c r="S75" s="1">
        <f>IF(COUNT(Q75:R75)=2,R75-Q75,"")</f>
        <v>-26.3886405652731</v>
      </c>
    </row>
    <row r="76" spans="1:19">
      <c r="A76" s="1">
        <v>2</v>
      </c>
      <c r="B76" s="1">
        <v>1</v>
      </c>
      <c r="C76" s="1">
        <f>IF(1624357&gt;0,100*617829/1624357,"")</f>
        <v>38.03529642806353</v>
      </c>
      <c r="D76" s="1">
        <f>IF(1601565&gt;0,100*493197/1601565,"")</f>
        <v>30.79469144243287</v>
      </c>
      <c r="E76" s="1">
        <f>IF(COUNT(C76:D76)=2,D76-C76,"")</f>
        <v>-7.240604985630661</v>
      </c>
      <c r="H76" s="1">
        <v>2</v>
      </c>
      <c r="I76" s="1">
        <v>1</v>
      </c>
      <c r="J76" s="1">
        <f>IF(2706515&gt;0,100*1225890/2706515,"")</f>
        <v>45.29404049118516</v>
      </c>
      <c r="K76" s="1">
        <f>IF(2478930&gt;0,100*685249/2478930,"")</f>
        <v>27.642934653257655</v>
      </c>
      <c r="L76" s="1">
        <f>IF(COUNT(J76:K76)=2,K76-J76,"")</f>
        <v>-17.651105837927503</v>
      </c>
      <c r="O76" s="1">
        <v>2</v>
      </c>
      <c r="P76" s="1">
        <v>1</v>
      </c>
      <c r="Q76" s="1">
        <f>IF(2467592&gt;0,100*1063705/2467592,"")</f>
        <v>43.1070047236334</v>
      </c>
      <c r="R76" s="1">
        <f>IF(2619995&gt;0,100*667585/2619995,"")</f>
        <v>25.480392138152936</v>
      </c>
      <c r="S76" s="1">
        <f>IF(COUNT(Q76:R76)=2,R76-Q76,"")</f>
        <v>-17.626612585480466</v>
      </c>
    </row>
    <row r="77" spans="1:19">
      <c r="A77" s="1">
        <v>3</v>
      </c>
      <c r="B77" s="1">
        <v>2</v>
      </c>
      <c r="C77" s="1">
        <f>IF(1673401&gt;0,100*672518/1673401,"")</f>
        <v>40.18869356478214</v>
      </c>
      <c r="D77" s="1">
        <f>IF(1809009&gt;0,100*536846/1809009,"")</f>
        <v>29.67624815575821</v>
      </c>
      <c r="E77" s="1">
        <f>IF(COUNT(C77:D77)=2,D77-C77,"")</f>
        <v>-10.512445409023933</v>
      </c>
      <c r="H77" s="1">
        <v>3</v>
      </c>
      <c r="I77" s="1">
        <v>2</v>
      </c>
      <c r="J77" s="1">
        <f>IF(2238301&gt;0,100*947036/2238301,"")</f>
        <v>42.31048460417075</v>
      </c>
      <c r="K77" s="1">
        <f>IF(1677878&gt;0,100*155087/1677878,"")</f>
        <v>9.243043892344973</v>
      </c>
      <c r="L77" s="1">
        <f>IF(COUNT(J77:K77)=2,K77-J77,"")</f>
        <v>-33.06744071182578</v>
      </c>
      <c r="O77" s="1">
        <v>3</v>
      </c>
      <c r="P77" s="1">
        <v>2</v>
      </c>
      <c r="Q77" s="1">
        <f>IF(2033898&gt;0,100*82955/2033898,"")</f>
        <v>4.07862144512655</v>
      </c>
      <c r="R77" s="1">
        <f>IF(2510639&gt;0,100*724198/2510639,"")</f>
        <v>28.845166509402585</v>
      </c>
      <c r="S77" s="1">
        <f>IF(COUNT(Q77:R77)=2,R77-Q77,"")</f>
        <v>24.766545064276034</v>
      </c>
    </row>
    <row r="78" spans="1:19">
      <c r="A78" s="1">
        <v>4</v>
      </c>
      <c r="B78" s="1">
        <v>3</v>
      </c>
      <c r="C78" s="1">
        <f>IF(1853726&gt;0,100*857824/1853726,"")</f>
        <v>46.2756631778375</v>
      </c>
      <c r="D78" s="1">
        <f>IF(2140961&gt;0,100*618974/2140961,"")</f>
        <v>28.911035745163037</v>
      </c>
      <c r="E78" s="1">
        <f>IF(COUNT(C78:D78)=2,D78-C78,"")</f>
        <v>-17.364627432674464</v>
      </c>
      <c r="H78" s="1">
        <v>4</v>
      </c>
      <c r="I78" s="1">
        <v>3</v>
      </c>
      <c r="J78" s="1">
        <f>IF(2473338&gt;0,100*1144203/2473338,"")</f>
        <v>46.2614895335777</v>
      </c>
      <c r="K78" s="1">
        <f>IF(1678971&gt;0,100*38477/1678971,"")</f>
        <v>2.2917012860853463</v>
      </c>
      <c r="L78" s="1">
        <f>IF(COUNT(J78:K78)=2,K78-J78,"")</f>
        <v>-43.96978824749235</v>
      </c>
      <c r="O78" s="1">
        <v>4</v>
      </c>
      <c r="P78" s="1">
        <v>3</v>
      </c>
      <c r="Q78" s="1">
        <f>IF(2535025&gt;0,100*1351101/2535025,"")</f>
        <v>53.29734420765081</v>
      </c>
      <c r="R78" s="1">
        <f>IF(2603161&gt;0,100*689453/2603161,"")</f>
        <v>26.485223157538087</v>
      </c>
      <c r="S78" s="1">
        <f>IF(COUNT(Q78:R78)=2,R78-Q78,"")</f>
        <v>-26.812121050112722</v>
      </c>
    </row>
    <row r="79" spans="1:19">
      <c r="A79" s="1">
        <v>5</v>
      </c>
      <c r="B79" s="1">
        <v>4</v>
      </c>
      <c r="C79" s="1">
        <f>IF(2574341&gt;0,100*1256270/2574341,"")</f>
        <v>48.79967339214191</v>
      </c>
      <c r="D79" s="1">
        <f>IF(1374528&gt;0,100*128059/1374528,"")</f>
        <v>9.316579945988732</v>
      </c>
      <c r="E79" s="1">
        <f>IF(COUNT(C79:D79)=2,D79-C79,"")</f>
        <v>-39.48309344615318</v>
      </c>
      <c r="H79" s="1">
        <v>5</v>
      </c>
      <c r="I79" s="1">
        <v>4</v>
      </c>
      <c r="J79" s="1">
        <f>IF(2594432&gt;0,100*1209716/2594432,"")</f>
        <v>46.627392816616506</v>
      </c>
      <c r="K79" s="1">
        <f>IF(2842679&gt;0,100*925700/2842679,"")</f>
        <v>32.564352148096916</v>
      </c>
      <c r="L79" s="1">
        <f>IF(COUNT(J79:K79)=2,K79-J79,"")</f>
        <v>-14.06304066851959</v>
      </c>
      <c r="O79" s="1">
        <v>5</v>
      </c>
      <c r="P79" s="1">
        <v>4</v>
      </c>
      <c r="Q79" s="1">
        <f>IF(2505160&gt;0,100*1184605/2505160,"")</f>
        <v>47.28660045665746</v>
      </c>
      <c r="R79" s="1">
        <f>IF(1488584&gt;0,100*332673/1488584,"")</f>
        <v>22.348285350373242</v>
      </c>
      <c r="S79" s="1">
        <f>IF(COUNT(Q79:R79)=2,R79-Q79,"")</f>
        <v>-24.938315106284218</v>
      </c>
    </row>
    <row r="80" spans="1:19">
      <c r="A80" s="1">
        <v>6</v>
      </c>
      <c r="B80" s="1">
        <v>5</v>
      </c>
      <c r="C80" s="1">
        <f>IF(2161281&gt;0,100*837619/2161281,"")</f>
        <v>38.75567314014235</v>
      </c>
      <c r="D80" s="1">
        <f>IF(2220333&gt;0,100*485567/2220333,"")</f>
        <v>21.869107021334187</v>
      </c>
      <c r="E80" s="1">
        <f>IF(COUNT(C80:D80)=2,D80-C80,"")</f>
        <v>-16.88656611880816</v>
      </c>
      <c r="H80" s="1">
        <v>6</v>
      </c>
      <c r="I80" s="1">
        <v>5</v>
      </c>
      <c r="J80" s="1">
        <f>IF(2014532&gt;0,100*751916/2014532,"")</f>
        <v>37.3245994603213</v>
      </c>
      <c r="K80" s="1">
        <f>IF(2579909&gt;0,100*686708/2579909,"")</f>
        <v>26.617527982576128</v>
      </c>
      <c r="L80" s="1">
        <f>IF(COUNT(J80:K80)=2,K80-J80,"")</f>
        <v>-10.707071477745174</v>
      </c>
      <c r="O80" s="1">
        <v>6</v>
      </c>
      <c r="P80" s="1">
        <v>5</v>
      </c>
      <c r="Q80" s="1">
        <f>IF(2374865&gt;0,100*978839/2374865,"")</f>
        <v>41.21661652346555</v>
      </c>
      <c r="R80" s="1">
        <f>IF(1860632&gt;0,100*255720/1860632,"")</f>
        <v>13.743717188568185</v>
      </c>
      <c r="S80" s="1">
        <f>IF(COUNT(Q80:R80)=2,R80-Q80,"")</f>
        <v>-27.472899334897363</v>
      </c>
    </row>
    <row r="81" spans="1:19">
      <c r="A81" s="1">
        <v>7</v>
      </c>
      <c r="B81" s="1">
        <v>6</v>
      </c>
      <c r="C81" s="1">
        <f>IF(2322649&gt;0,100*1026425/2322649,"")</f>
        <v>44.19199801605839</v>
      </c>
      <c r="D81" s="1">
        <f>IF(1803228&gt;0,100*606667/1803228,"")</f>
        <v>33.6433884123361</v>
      </c>
      <c r="E81" s="1">
        <f>IF(COUNT(C81:D81)=2,D81-C81,"")</f>
        <v>-10.54860960372229</v>
      </c>
      <c r="H81" s="1">
        <v>7</v>
      </c>
      <c r="I81" s="1">
        <v>6</v>
      </c>
      <c r="J81" s="1">
        <f>IF(1377831&gt;0,100*8479/1377831,"")</f>
        <v>0.6153875184982773</v>
      </c>
      <c r="K81" s="1">
        <f>IF(1092011&gt;0,100*20005/1092011,"")</f>
        <v>1.8319412533390231</v>
      </c>
      <c r="L81" s="1">
        <f>IF(COUNT(J81:K81)=2,K81-J81,"")</f>
        <v>1.2165537348407458</v>
      </c>
      <c r="O81" s="1">
        <v>7</v>
      </c>
      <c r="P81" s="1">
        <v>6</v>
      </c>
      <c r="Q81" s="1">
        <f>IF(985046&gt;0,100*15738/985046,"")</f>
        <v>1.5976918844399144</v>
      </c>
      <c r="R81" s="1">
        <f>IF(1817753&gt;0,100*79121/1817753,"")</f>
        <v>4.352681579950631</v>
      </c>
      <c r="S81" s="1">
        <f>IF(COUNT(Q81:R81)=2,R81-Q81,"")</f>
        <v>2.7549896955107167</v>
      </c>
    </row>
    <row r="82" spans="1:19">
      <c r="A82" s="1">
        <v>8</v>
      </c>
      <c r="B82" s="1">
        <v>7</v>
      </c>
      <c r="C82" s="1">
        <f>IF(2162199&gt;0,100*1011109/2162199,"")</f>
        <v>46.76299452548077</v>
      </c>
      <c r="D82" s="1">
        <f>IF(1924642&gt;0,100*590664/1924642,"")</f>
        <v>30.689551615313395</v>
      </c>
      <c r="E82" s="1">
        <f>IF(COUNT(C82:D82)=2,D82-C82,"")</f>
        <v>-16.073442910167376</v>
      </c>
      <c r="H82" s="1">
        <v>8</v>
      </c>
      <c r="I82" s="1">
        <v>7</v>
      </c>
      <c r="J82" s="1">
        <f>IF(1201041&gt;0,100*14947/1201041,"")</f>
        <v>1.2445037263507241</v>
      </c>
      <c r="K82" s="1">
        <f>IF(1443448&gt;0,100*5165/1443448,"")</f>
        <v>0.35782376642594677</v>
      </c>
      <c r="L82" s="1">
        <f>IF(COUNT(J82:K82)=2,K82-J82,"")</f>
        <v>-0.8866799599247774</v>
      </c>
      <c r="O82" s="1">
        <v>8</v>
      </c>
      <c r="P82" s="1">
        <v>7</v>
      </c>
      <c r="Q82" s="1">
        <f>IF(1244696&gt;0,100*14076/1244696,"")</f>
        <v>1.13087854383721</v>
      </c>
      <c r="R82" s="1">
        <f>IF(941682&gt;0,100*19610/941682,"")</f>
        <v>2.0824439672840724</v>
      </c>
      <c r="S82" s="1">
        <f>IF(COUNT(Q82:R82)=2,R82-Q82,"")</f>
        <v>0.9515654234468625</v>
      </c>
    </row>
    <row r="83" spans="1:19">
      <c r="A83" s="1">
        <v>9</v>
      </c>
      <c r="B83" s="1">
        <v>8</v>
      </c>
      <c r="C83" s="1">
        <f>IF(1440745&gt;0,100*484807/1440745,"")</f>
        <v>33.64974370898389</v>
      </c>
      <c r="D83" s="1">
        <f>IF(1615166&gt;0,100*471154/1615166,"")</f>
        <v>29.17062394825052</v>
      </c>
      <c r="E83" s="1">
        <f>IF(COUNT(C83:D83)=2,D83-C83,"")</f>
        <v>-4.479119760733372</v>
      </c>
      <c r="H83" s="1">
        <v>9</v>
      </c>
      <c r="I83" s="1">
        <v>8</v>
      </c>
      <c r="J83" s="1">
        <f>IF(2605328&gt;0,100*1210537/2605328,"")</f>
        <v>46.46390013080887</v>
      </c>
      <c r="K83" s="1">
        <f>IF(3096776&gt;0,100*971998/3096776,"")</f>
        <v>31.38741710734002</v>
      </c>
      <c r="L83" s="1">
        <f>IF(COUNT(J83:K83)=2,K83-J83,"")</f>
        <v>-15.076483023468846</v>
      </c>
      <c r="O83" s="1">
        <v>9</v>
      </c>
      <c r="P83" s="1">
        <v>8</v>
      </c>
      <c r="Q83" s="1">
        <f>IF(2369232&gt;0,100*974673/2369232,"")</f>
        <v>41.138774083753724</v>
      </c>
      <c r="R83" s="1">
        <f>IF(2470883&gt;0,100*811124/2470883,"")</f>
        <v>32.82729291512386</v>
      </c>
      <c r="S83" s="1">
        <f>IF(COUNT(Q83:R83)=2,R83-Q83,"")</f>
        <v>-8.31148116862986</v>
      </c>
    </row>
    <row r="84" spans="1:19">
      <c r="A84" s="1">
        <v>10</v>
      </c>
      <c r="B84" s="1">
        <v>9</v>
      </c>
      <c r="C84" s="1">
        <f>IF(1168622&gt;0,100*16823/1168622,"")</f>
        <v>1.4395587281430609</v>
      </c>
      <c r="D84" s="1">
        <f>IF(1676393&gt;0,100*97277/1676393,"")</f>
        <v>5.8027562749307595</v>
      </c>
      <c r="E84" s="1">
        <f>IF(COUNT(C84:D84)=2,D84-C84,"")</f>
        <v>4.363197546787699</v>
      </c>
      <c r="H84" s="1">
        <v>10</v>
      </c>
      <c r="I84" s="1">
        <v>9</v>
      </c>
      <c r="J84" s="1">
        <f>IF(3065832&gt;0,100*1566994/3065832,"")</f>
        <v>51.11154166307873</v>
      </c>
      <c r="K84" s="1">
        <f>IF(2791378&gt;0,100*729456/2791378,"")</f>
        <v>26.13246933951618</v>
      </c>
      <c r="L84" s="1">
        <f>IF(COUNT(J84:K84)=2,K84-J84,"")</f>
        <v>-24.97907232356255</v>
      </c>
      <c r="O84" s="1">
        <v>10</v>
      </c>
      <c r="P84" s="1">
        <v>9</v>
      </c>
      <c r="Q84" s="1">
        <f>IF(2063235&gt;0,100*325107/2063235,"")</f>
        <v>15.757148361674748</v>
      </c>
      <c r="R84" s="1">
        <f>IF(2003088&gt;0,100*459834/2003088,"")</f>
        <v>22.956255541444012</v>
      </c>
      <c r="S84" s="1">
        <f>IF(COUNT(Q84:R84)=2,R84-Q84,"")</f>
        <v>7.199107179769264</v>
      </c>
    </row>
    <row r="85" spans="1:19">
      <c r="A85" s="1">
        <v>11</v>
      </c>
      <c r="B85" s="1">
        <v>10</v>
      </c>
      <c r="C85" s="1">
        <f>IF(2209395&gt;0,100*1084873/2209395,"")</f>
        <v>49.1027181649275</v>
      </c>
      <c r="D85" s="1">
        <f>IF(2694253&gt;0,100*863808/2694253,"")</f>
        <v>32.06113160122676</v>
      </c>
      <c r="E85" s="1">
        <f>IF(COUNT(C85:D85)=2,D85-C85,"")</f>
        <v>-17.04158656370074</v>
      </c>
      <c r="H85" s="1">
        <v>11</v>
      </c>
      <c r="I85" s="1">
        <v>10</v>
      </c>
      <c r="J85" s="1">
        <f>IF(2870543&gt;0,100*1618419/2870543,"")</f>
        <v>56.380238860731225</v>
      </c>
      <c r="K85" s="1">
        <f>IF(1991019&gt;0,100*204912/1991019,"")</f>
        <v>10.29181539704041</v>
      </c>
      <c r="L85" s="1">
        <f>IF(COUNT(J85:K85)=2,K85-J85,"")</f>
        <v>-46.088423463690816</v>
      </c>
      <c r="O85" s="1">
        <v>11</v>
      </c>
      <c r="P85" s="1">
        <v>10</v>
      </c>
      <c r="Q85" s="1">
        <f>IF(2712419&gt;0,100*1335644/2712419,"")</f>
        <v>49.241802243679906</v>
      </c>
      <c r="R85" s="1">
        <f>IF(2588902&gt;0,100*350374/2588902,"")</f>
        <v>13.533691116929107</v>
      </c>
      <c r="S85" s="1">
        <f>IF(COUNT(Q85:R85)=2,R85-Q85,"")</f>
        <v>-35.7081111267508</v>
      </c>
    </row>
    <row r="86" spans="1:19">
      <c r="A86" s="1">
        <v>12</v>
      </c>
      <c r="B86" s="1">
        <v>11</v>
      </c>
      <c r="C86" s="1">
        <f>IF(2101751&gt;0,100*916475/2101751,"")</f>
        <v>43.605308145446344</v>
      </c>
      <c r="D86" s="1">
        <f>IF(1960434&gt;0,100*581236/1960434,"")</f>
        <v>29.648332971168628</v>
      </c>
      <c r="E86" s="1">
        <f>IF(COUNT(C86:D86)=2,D86-C86,"")</f>
        <v>-13.956975174277716</v>
      </c>
      <c r="H86" s="1">
        <v>12</v>
      </c>
      <c r="I86" s="1">
        <v>11</v>
      </c>
      <c r="J86" s="1">
        <f>IF(2321486&gt;0,100*1150766/2321486,"")</f>
        <v>49.57023217025647</v>
      </c>
      <c r="K86" s="1">
        <f>IF(2470161&gt;0,100*657639/2470161,"")</f>
        <v>26.62332536219299</v>
      </c>
      <c r="L86" s="1">
        <f>IF(COUNT(J86:K86)=2,K86-J86,"")</f>
        <v>-22.946906808063478</v>
      </c>
      <c r="O86" s="1">
        <v>12</v>
      </c>
      <c r="P86" s="1">
        <v>11</v>
      </c>
      <c r="Q86" s="1">
        <f>IF(2923066&gt;0,100*1456418/2923066,"")</f>
        <v>49.825012503994095</v>
      </c>
      <c r="R86" s="1">
        <f>IF(2100219&gt;0,100*371273/2100219,"")</f>
        <v>17.677823122255347</v>
      </c>
      <c r="S86" s="1">
        <f>IF(COUNT(Q86:R86)=2,R86-Q86,"")</f>
        <v>-32.14718938173875</v>
      </c>
    </row>
    <row r="87" spans="1:19">
      <c r="A87" s="1">
        <v>13</v>
      </c>
      <c r="B87" s="1">
        <v>12</v>
      </c>
      <c r="C87" s="1">
        <f>IF(2087661&gt;0,100*558523/2087661,"")</f>
        <v>26.753529428388998</v>
      </c>
      <c r="D87" s="1">
        <f>IF(1267248&gt;0,100*149010/1267248,"")</f>
        <v>11.758550812469224</v>
      </c>
      <c r="E87" s="1">
        <f>IF(COUNT(C87:D87)=2,D87-C87,"")</f>
        <v>-14.994978615919774</v>
      </c>
      <c r="H87" s="1">
        <v>13</v>
      </c>
      <c r="I87" s="1">
        <v>12</v>
      </c>
      <c r="J87" s="1">
        <f>IF(2390190&gt;0,100*1069032/2390190,"")</f>
        <v>44.72581677607219</v>
      </c>
      <c r="K87" s="1">
        <f>IF(1505456&gt;0,100*33281/1505456,"")</f>
        <v>2.210692308509847</v>
      </c>
      <c r="L87" s="1">
        <f>IF(COUNT(J87:K87)=2,K87-J87,"")</f>
        <v>-42.515124467562345</v>
      </c>
      <c r="O87" s="1">
        <v>13</v>
      </c>
      <c r="P87" s="1">
        <v>12</v>
      </c>
      <c r="Q87" s="1">
        <f>IF(1557676&gt;0,100*18730/1557676,"")</f>
        <v>1.2024323415138964</v>
      </c>
      <c r="R87" s="1">
        <f>IF(1454748&gt;0,100*24501/1454748,"")</f>
        <v>1.6842092238655768</v>
      </c>
      <c r="S87" s="1">
        <f>IF(COUNT(Q87:R87)=2,R87-Q87,"")</f>
        <v>0.48177688235168037</v>
      </c>
    </row>
    <row r="88" spans="1:19">
      <c r="A88" s="1">
        <v>14</v>
      </c>
      <c r="B88" s="1">
        <v>13</v>
      </c>
      <c r="C88" s="1">
        <f>IF(1496156&gt;0,100*261177/1496156,"")</f>
        <v>17.456535281080313</v>
      </c>
      <c r="D88" s="1">
        <f>IF(1291314&gt;0,100*40476/1291314,"")</f>
        <v>3.134481621046469</v>
      </c>
      <c r="E88" s="1">
        <f>IF(COUNT(C88:D88)=2,D88-C88,"")</f>
        <v>-14.322053660033845</v>
      </c>
      <c r="H88" s="1">
        <v>14</v>
      </c>
      <c r="I88" s="1">
        <v>13</v>
      </c>
      <c r="J88" s="1">
        <f>IF(1799691&gt;0,100*550790/1799691,"")</f>
        <v>30.604698250977528</v>
      </c>
      <c r="K88" s="1">
        <f>IF(1846569&gt;0,100*397193/1846569,"")</f>
        <v>21.509783820696654</v>
      </c>
      <c r="L88" s="1">
        <f>IF(COUNT(J88:K88)=2,K88-J88,"")</f>
        <v>-9.094914430280873</v>
      </c>
      <c r="O88" s="1">
        <v>14</v>
      </c>
      <c r="P88" s="1">
        <v>13</v>
      </c>
      <c r="Q88" s="1">
        <f>IF(1217487&gt;0,100*119562/1217487,"")</f>
        <v>9.820392332731274</v>
      </c>
      <c r="R88" s="1">
        <f>IF(1637039&gt;0,100*287753/1637039,"")</f>
        <v>17.577650868427693</v>
      </c>
      <c r="S88" s="1">
        <f>IF(COUNT(Q88:R88)=2,R88-Q88,"")</f>
        <v>7.757258535696419</v>
      </c>
    </row>
    <row r="89" spans="1:19">
      <c r="A89" s="1">
        <v>15</v>
      </c>
      <c r="B89" s="1">
        <v>14</v>
      </c>
      <c r="C89" s="1">
        <f>IF(1933985&gt;0,100*847555/1933985,"")</f>
        <v>43.82427991944095</v>
      </c>
      <c r="D89" s="1">
        <f>IF(2385113&gt;0,100*774281/2385113,"")</f>
        <v>32.46307407657415</v>
      </c>
      <c r="E89" s="1">
        <f>IF(COUNT(C89:D89)=2,D89-C89,"")</f>
        <v>-11.361205842866795</v>
      </c>
      <c r="H89" s="1">
        <v>15</v>
      </c>
      <c r="I89" s="1">
        <v>14</v>
      </c>
      <c r="J89" s="1">
        <f>IF(2456423&gt;0,100*458635/2456423,"")</f>
        <v>18.670847814077625</v>
      </c>
      <c r="K89" s="1">
        <f>IF(2411113&gt;0,100*507262/2411113,"")</f>
        <v>21.03849964725834</v>
      </c>
      <c r="L89" s="1">
        <f>IF(COUNT(J89:K89)=2,K89-J89,"")</f>
        <v>2.367651833180716</v>
      </c>
      <c r="O89" s="1">
        <v>15</v>
      </c>
      <c r="P89" s="1">
        <v>14</v>
      </c>
      <c r="Q89" s="1">
        <f>IF(2356524&gt;0,100*573959/2356524,"")</f>
        <v>24.35617035939375</v>
      </c>
      <c r="R89" s="1">
        <f>IF(2123121&gt;0,100*513292/2123121,"")</f>
        <v>24.17629518053846</v>
      </c>
      <c r="S89" s="1">
        <f>IF(COUNT(Q89:R89)=2,R89-Q89,"")</f>
        <v>-0.17987517885529059</v>
      </c>
    </row>
    <row r="90" spans="1:19">
      <c r="A90" s="1">
        <v>16</v>
      </c>
      <c r="B90" s="1">
        <v>15</v>
      </c>
      <c r="C90" s="1">
        <f>IF(2016018&gt;0,100*829052/2016018,"")</f>
        <v>41.12324393929023</v>
      </c>
      <c r="D90" s="1">
        <f>IF(2049611&gt;0,100*537265/2049611,"")</f>
        <v>26.213022861411265</v>
      </c>
      <c r="E90" s="1">
        <f>IF(COUNT(C90:D90)=2,D90-C90,"")</f>
        <v>-14.910221077878962</v>
      </c>
      <c r="H90" s="1">
        <v>16</v>
      </c>
      <c r="I90" s="1">
        <v>15</v>
      </c>
      <c r="J90" s="1">
        <f>IF(2410914&gt;0,100*1100716/2410914,"")</f>
        <v>45.65554806185538</v>
      </c>
      <c r="K90" s="1">
        <f>IF(2044566&gt;0,100*149677/2044566,"")</f>
        <v>7.32072234400846</v>
      </c>
      <c r="L90" s="1">
        <f>IF(COUNT(J90:K90)=2,K90-J90,"")</f>
        <v>-38.33482571784692</v>
      </c>
      <c r="O90" s="1">
        <v>16</v>
      </c>
      <c r="P90" s="1">
        <v>15</v>
      </c>
      <c r="Q90" s="1">
        <f>IF(2715811&gt;0,100*1420140/2715811,"")</f>
        <v>52.29156226261695</v>
      </c>
      <c r="R90" s="1">
        <f>IF(2255846&gt;0,100*364442/2255846,"")</f>
        <v>16.1554467813849</v>
      </c>
      <c r="S90" s="1">
        <f>IF(COUNT(Q90:R90)=2,R90-Q90,"")</f>
        <v>-36.13611548123205</v>
      </c>
    </row>
    <row r="91" spans="1:19">
      <c r="A91" s="1">
        <v>17</v>
      </c>
      <c r="B91" s="1">
        <v>16</v>
      </c>
      <c r="C91" s="1">
        <f>IF(830136&gt;0,100*34541/830136,"")</f>
        <v>4.160884481578922</v>
      </c>
      <c r="D91" s="1">
        <f>IF(942184&gt;0,100*13219/942184,"")</f>
        <v>1.4030168204936615</v>
      </c>
      <c r="E91" s="1">
        <f>IF(COUNT(C91:D91)=2,D91-C91,"")</f>
        <v>-2.7578676610852604</v>
      </c>
      <c r="H91" s="1">
        <v>17</v>
      </c>
      <c r="I91" s="1">
        <v>16</v>
      </c>
      <c r="J91" s="1">
        <f>IF(196031&gt;0,100*5823/196031,"")</f>
        <v>2.970448551504609</v>
      </c>
      <c r="K91" s="1">
        <f>IF(1881792&gt;0,100*574170/1881792,"")</f>
        <v>30.51187378838894</v>
      </c>
      <c r="L91" s="1">
        <f>IF(COUNT(J91:K91)=2,K91-J91,"")</f>
        <v>27.54142523688433</v>
      </c>
      <c r="O91" s="1">
        <v>17</v>
      </c>
      <c r="P91" s="1">
        <v>16</v>
      </c>
      <c r="Q91" s="1">
        <f>IF(2285076&gt;0,100*953900/2285076,"")</f>
        <v>41.74478223043785</v>
      </c>
      <c r="R91" s="1">
        <f>IF(3312321&gt;0,100*1246997/3312321,"")</f>
        <v>37.64722682372874</v>
      </c>
      <c r="S91" s="1">
        <f>IF(COUNT(Q91:R91)=2,R91-Q91,"")</f>
        <v>-4.0975554067091124</v>
      </c>
    </row>
    <row r="92" spans="1:19">
      <c r="A92" s="1">
        <v>18</v>
      </c>
      <c r="B92" s="1">
        <v>17</v>
      </c>
      <c r="C92" s="1">
        <f>IF(1194547&gt;0,100*244244/1194547,"")</f>
        <v>20.446579330909543</v>
      </c>
      <c r="D92" s="1">
        <f>IF(1013696&gt;0,100*94105/1013696,"")</f>
        <v>9.283355167624219</v>
      </c>
      <c r="E92" s="1">
        <f>IF(COUNT(C92:D92)=2,D92-C92,"")</f>
        <v>-11.163224163285324</v>
      </c>
      <c r="H92" s="1">
        <v>18</v>
      </c>
      <c r="I92" s="1">
        <v>17</v>
      </c>
      <c r="J92" s="4"/>
      <c r="K92" s="1">
        <f>IF(1553715&gt;0,100*96877/1553715,"")</f>
        <v>6.235184702471174</v>
      </c>
      <c r="L92" s="1">
        <f>IF(COUNT(J92:K92)=2,K92-J92,"")</f>
        <v/>
      </c>
      <c r="O92" s="1">
        <v>18</v>
      </c>
      <c r="P92" s="1">
        <v>17</v>
      </c>
      <c r="Q92" s="1">
        <f>IF(2825816&gt;0,100*1323547/2825816,"")</f>
        <v>46.83769219227296</v>
      </c>
      <c r="R92" s="1">
        <f>IF(2697288&gt;0,100*673047/2697288,"")</f>
        <v>24.9527302979882</v>
      </c>
      <c r="S92" s="1">
        <f>IF(COUNT(Q92:R92)=2,R92-Q92,"")</f>
        <v>-21.88496189428476</v>
      </c>
    </row>
    <row r="93" spans="1:19">
      <c r="A93" s="1">
        <v>19</v>
      </c>
      <c r="B93" s="1">
        <v>18</v>
      </c>
      <c r="C93" s="1">
        <f>IF(1931560&gt;0,100*912771/1931560,"")</f>
        <v>47.25563792996335</v>
      </c>
      <c r="D93" s="1">
        <f>IF(1974666&gt;0,100*646930/1974666,"")</f>
        <v>32.76148979118494</v>
      </c>
      <c r="E93" s="1">
        <f>IF(COUNT(C93:D93)=2,D93-C93,"")</f>
        <v>-14.494148138778407</v>
      </c>
      <c r="H93" s="1">
        <v>19</v>
      </c>
      <c r="I93" s="1">
        <v>18</v>
      </c>
      <c r="J93" s="1">
        <f>IF(1855523&gt;0,100*552371/1855523,"")</f>
        <v>29.76901930075779</v>
      </c>
      <c r="K93" s="1">
        <f>IF(1151357&gt;0,100*53757/1151357,"")</f>
        <v>4.669012304610994</v>
      </c>
      <c r="L93" s="1">
        <f>IF(COUNT(J93:K93)=2,K93-J93,"")</f>
        <v>-25.100006996146796</v>
      </c>
      <c r="O93" s="1">
        <v>19</v>
      </c>
      <c r="P93" s="1">
        <v>18</v>
      </c>
      <c r="Q93" s="1">
        <f>IF(2510684&gt;0,100*1031580/2510684,"")</f>
        <v>41.08760799845779</v>
      </c>
      <c r="R93" s="1">
        <f>IF(2371136&gt;0,100*350180/2371136,"")</f>
        <v>14.768448541121218</v>
      </c>
      <c r="S93" s="1">
        <f>IF(COUNT(Q93:R93)=2,R93-Q93,"")</f>
        <v>-26.319159457336575</v>
      </c>
    </row>
    <row r="94" spans="1:19">
      <c r="A94" s="1">
        <v>20</v>
      </c>
      <c r="B94" s="1">
        <v>19</v>
      </c>
      <c r="C94" s="1">
        <f>IF(2025286&gt;0,100*867239/2025286,"")</f>
        <v>42.82056953931445</v>
      </c>
      <c r="D94" s="1">
        <f>IF(2749020&gt;0,100*937575/2749020,"")</f>
        <v>34.10579042713403</v>
      </c>
      <c r="E94" s="1">
        <f>IF(COUNT(C94:D94)=2,D94-C94,"")</f>
        <v>-8.714779112180416</v>
      </c>
      <c r="H94" s="1">
        <v>20</v>
      </c>
      <c r="I94" s="1">
        <v>19</v>
      </c>
      <c r="J94" s="1">
        <f>IF(2440076&gt;0,100*960305/2440076,"")</f>
        <v>39.355536466896936</v>
      </c>
      <c r="K94" s="1">
        <f>IF(2864955&gt;0,100*809987/2864955,"")</f>
        <v>28.27224162334138</v>
      </c>
      <c r="L94" s="1">
        <f>IF(COUNT(J94:K94)=2,K94-J94,"")</f>
        <v>-11.083294843555556</v>
      </c>
      <c r="O94" s="1">
        <v>20</v>
      </c>
      <c r="P94" s="1">
        <v>19</v>
      </c>
      <c r="Q94" s="1">
        <f>IF(3041216&gt;0,100*1439290/3041216,"")</f>
        <v>47.32613533533955</v>
      </c>
      <c r="R94" s="1">
        <f>IF(2352508&gt;0,100*423670/2352508,"")</f>
        <v>18.00929051038296</v>
      </c>
      <c r="S94" s="1">
        <f>IF(COUNT(Q94:R94)=2,R94-Q94,"")</f>
        <v>-29.31684482495659</v>
      </c>
    </row>
    <row r="95" spans="1:19">
      <c r="A95" s="1">
        <v>21</v>
      </c>
      <c r="B95" s="1">
        <v>20</v>
      </c>
      <c r="C95" s="1">
        <f>IF(2094148&gt;0,100*1039154/2094148,"")</f>
        <v>49.62180323453739</v>
      </c>
      <c r="D95" s="1">
        <f>IF(1528803&gt;0,100*266685/1528803,"")</f>
        <v>17.444039552512653</v>
      </c>
      <c r="E95" s="1">
        <f>IF(COUNT(C95:D95)=2,D95-C95,"")</f>
        <v>-32.17776368202473</v>
      </c>
      <c r="H95" s="1">
        <v>21</v>
      </c>
      <c r="I95" s="1">
        <v>20</v>
      </c>
      <c r="J95" s="1">
        <f>IF(2683747&gt;0,100*1388722/2683747,"")</f>
        <v>51.74563772218469</v>
      </c>
      <c r="K95" s="1">
        <f>IF(1796271&gt;0,100*258774/1796271,"")</f>
        <v>14.406178132364214</v>
      </c>
      <c r="L95" s="1">
        <f>IF(COUNT(J95:K95)=2,K95-J95,"")</f>
        <v>-37.33945958982048</v>
      </c>
      <c r="O95" s="1">
        <v>21</v>
      </c>
      <c r="P95" s="1">
        <v>20</v>
      </c>
      <c r="Q95" s="1">
        <f>IF(2268817&gt;0,100*1102753/2268817,"")</f>
        <v>48.60475745730044</v>
      </c>
      <c r="R95" s="1">
        <f>IF(873144&gt;0,100*137692/873144,"")</f>
        <v>15.769678311939382</v>
      </c>
      <c r="S95" s="1">
        <f>IF(COUNT(Q95:R95)=2,R95-Q95,"")</f>
        <v>-32.83507914536106</v>
      </c>
    </row>
    <row r="96" spans="1:19">
      <c r="A96" s="1">
        <v>22</v>
      </c>
      <c r="B96" s="1">
        <v>21</v>
      </c>
      <c r="C96" s="1">
        <f>IF(1002018&gt;0,100*273571/1002018,"")</f>
        <v>27.302004554808395</v>
      </c>
      <c r="D96" s="1">
        <f>IF(2242559&gt;0,100*761847/2242559,"")</f>
        <v>33.972216561526366</v>
      </c>
      <c r="E96" s="1">
        <f>IF(COUNT(C96:D96)=2,D96-C96,"")</f>
        <v>6.670212006717971</v>
      </c>
      <c r="H96" s="1">
        <v>22</v>
      </c>
      <c r="I96" s="1">
        <v>21</v>
      </c>
      <c r="J96" s="1">
        <f>IF(2557965&gt;0,100*1179736/2557965,"")</f>
        <v>46.12009937587106</v>
      </c>
      <c r="K96" s="1">
        <f>IF(2060674&gt;0,100*486954/2060674,"")</f>
        <v>23.630812054696666</v>
      </c>
      <c r="L96" s="1">
        <f>IF(COUNT(J96:K96)=2,K96-J96,"")</f>
        <v>-22.48928732117439</v>
      </c>
      <c r="O96" s="1">
        <v>22</v>
      </c>
      <c r="P96" s="1">
        <v>21</v>
      </c>
      <c r="Q96" s="1">
        <f>IF(1946233&gt;0,100*656202/1946233,"")</f>
        <v>33.71651801197493</v>
      </c>
      <c r="R96" s="1">
        <f>IF(1926897&gt;0,100*435980/1926897,"")</f>
        <v>22.626014779202002</v>
      </c>
      <c r="S96" s="1">
        <f>IF(COUNT(Q96:R96)=2,R96-Q96,"")</f>
        <v>-11.090503232772924</v>
      </c>
    </row>
    <row r="97" spans="1:19">
      <c r="A97" s="1">
        <v>23</v>
      </c>
      <c r="B97" s="1">
        <v>22</v>
      </c>
      <c r="C97" s="1">
        <f>IF(795260&gt;0,100*1236/795260,"")</f>
        <v>0.15542086864673188</v>
      </c>
      <c r="D97" s="1">
        <f>IF(837521&gt;0,100*8124/837521,"")</f>
        <v>0.970005528219591</v>
      </c>
      <c r="E97" s="1">
        <f>IF(COUNT(C97:D97)=2,D97-C97,"")</f>
        <v>0.8145846595728591</v>
      </c>
      <c r="H97" s="1">
        <v>23</v>
      </c>
      <c r="I97" s="1">
        <v>22</v>
      </c>
      <c r="J97" s="1">
        <f>IF(2773812&gt;0,100*1410215/2773812,"")</f>
        <v>50.84032371335909</v>
      </c>
      <c r="K97" s="1">
        <f>IF(2258197&gt;0,100*710112/2258197,"")</f>
        <v>31.445972162747537</v>
      </c>
      <c r="L97" s="1">
        <f>IF(COUNT(J97:K97)=2,K97-J97,"")</f>
        <v>-19.394351550611553</v>
      </c>
      <c r="O97" s="1">
        <v>23</v>
      </c>
      <c r="P97" s="1">
        <v>22</v>
      </c>
      <c r="Q97" s="1">
        <f>IF(2188846&gt;0,100*938113/2188846,"")</f>
        <v>42.858794086016104</v>
      </c>
      <c r="R97" s="1">
        <f>IF(2639413&gt;0,100*884378/2639413,"")</f>
        <v>33.50661681214724</v>
      </c>
      <c r="S97" s="1">
        <f>IF(COUNT(Q97:R97)=2,R97-Q97,"")</f>
        <v>-9.352177273868861</v>
      </c>
    </row>
    <row r="98" spans="1:19">
      <c r="A98" s="1">
        <v>24</v>
      </c>
      <c r="B98" s="1">
        <v>23</v>
      </c>
      <c r="C98" s="1">
        <f>IF(1888679&gt;0,100*755365/1888679,"")</f>
        <v>39.99435584342284</v>
      </c>
      <c r="D98" s="1">
        <f>IF(1898335&gt;0,100*384904/1898335,"")</f>
        <v>20.27587333110331</v>
      </c>
      <c r="E98" s="1">
        <f>IF(COUNT(C98:D98)=2,D98-C98,"")</f>
        <v>-19.71848251231953</v>
      </c>
      <c r="H98" s="1">
        <v>24</v>
      </c>
      <c r="I98" s="1">
        <v>23</v>
      </c>
      <c r="J98" s="1">
        <f>IF(2330232&gt;0,100*1039149/2330232,"")</f>
        <v>44.594229244126765</v>
      </c>
      <c r="K98" s="1">
        <f>IF(2773617&gt;0,100*755389/2773617,"")</f>
        <v>27.23479845991714</v>
      </c>
      <c r="L98" s="1">
        <f>IF(COUNT(J98:K98)=2,K98-J98,"")</f>
        <v>-17.359430784209625</v>
      </c>
      <c r="O98" s="1">
        <v>24</v>
      </c>
      <c r="P98" s="1">
        <v>23</v>
      </c>
      <c r="Q98" s="1">
        <f>IF(2075098&gt;0,100*737576/2075098,"")</f>
        <v>35.544152613515124</v>
      </c>
      <c r="R98" s="1">
        <f>IF(2904920&gt;0,100*701389/2904920,"")</f>
        <v>24.14486457458381</v>
      </c>
      <c r="S98" s="1">
        <f>IF(COUNT(Q98:R98)=2,R98-Q98,"")</f>
        <v>-11.399288038931314</v>
      </c>
    </row>
    <row r="99" spans="1:19">
      <c r="A99" s="1">
        <v>25</v>
      </c>
      <c r="B99" s="1">
        <v>24</v>
      </c>
      <c r="C99" s="1">
        <f>IF(2046231&gt;0,100*862149/2046231,"")</f>
        <v>42.1335127852134</v>
      </c>
      <c r="D99" s="1">
        <f>IF(3396727&gt;0,100*666355/3396727,"")</f>
        <v>19.617561258234765</v>
      </c>
      <c r="E99" s="1">
        <f>IF(COUNT(C99:D99)=2,D99-C99,"")</f>
        <v>-22.515951526978633</v>
      </c>
      <c r="H99" s="1">
        <v>25</v>
      </c>
      <c r="I99" s="1">
        <v>24</v>
      </c>
      <c r="J99" s="1">
        <f>IF(2687496&gt;0,100*1356682/2687496,"")</f>
        <v>50.481265832581705</v>
      </c>
      <c r="K99" s="1">
        <f>IF(1901836&gt;0,100*64293/1901836,"")</f>
        <v>3.38057540187482</v>
      </c>
      <c r="L99" s="1">
        <f>IF(COUNT(J99:K99)=2,K99-J99,"")</f>
        <v>-47.100690430706884</v>
      </c>
      <c r="O99" s="1">
        <v>25</v>
      </c>
      <c r="P99" s="1">
        <v>24</v>
      </c>
      <c r="Q99" s="1">
        <f>IF(2348758&gt;0,100*912656/2348758,"")</f>
        <v>38.856961849624355</v>
      </c>
      <c r="R99" s="1">
        <f>IF(2443233&gt;0,100*498410/2443233,"")</f>
        <v>20.39960986119621</v>
      </c>
      <c r="S99" s="1">
        <f>IF(COUNT(Q99:R99)=2,R99-Q99,"")</f>
        <v>-18.457351988428144</v>
      </c>
    </row>
    <row r="100" spans="1:19">
      <c r="A100" s="1">
        <v>26</v>
      </c>
      <c r="B100" s="1">
        <v>25</v>
      </c>
      <c r="C100" s="1">
        <f>IF(2173027&gt;0,100*1021557/2173027,"")</f>
        <v>47.01078265479444</v>
      </c>
      <c r="D100" s="1">
        <f>IF(2064207&gt;0,100*685740/2064207,"")</f>
        <v>33.22050550162847</v>
      </c>
      <c r="E100" s="1">
        <f>IF(COUNT(C100:D100)=2,D100-C100,"")</f>
        <v>-13.790277153165967</v>
      </c>
      <c r="H100" s="1">
        <v>26</v>
      </c>
      <c r="I100" s="1">
        <v>25</v>
      </c>
      <c r="J100" s="1">
        <f>IF(1369843&gt;0,100*81159/1369843,"")</f>
        <v>5.9246935597729085</v>
      </c>
      <c r="K100" s="1">
        <f>IF(2224378&gt;0,100*322983/2224378,"")</f>
        <v>14.52014900345175</v>
      </c>
      <c r="L100" s="1">
        <f>IF(COUNT(J100:K100)=2,K100-J100,"")</f>
        <v>8.595455443678842</v>
      </c>
      <c r="O100" s="1">
        <v>26</v>
      </c>
      <c r="P100" s="1">
        <v>25</v>
      </c>
      <c r="Q100" s="1">
        <f>IF(2790743&gt;0,100*1533326/2790743,"")</f>
        <v>54.94328929607635</v>
      </c>
      <c r="R100" s="1">
        <f>IF(2353357&gt;0,100*530934/2353357,"")</f>
        <v>22.560707958885967</v>
      </c>
      <c r="S100" s="1">
        <f>IF(COUNT(Q100:R100)=2,R100-Q100,"")</f>
        <v>-32.38258133719039</v>
      </c>
    </row>
    <row r="101" spans="1:19">
      <c r="A101" s="1">
        <v>27</v>
      </c>
      <c r="B101" s="1">
        <v>26</v>
      </c>
      <c r="C101" s="1">
        <f>IF(2068375&gt;0,100*1076315/2068375,"")</f>
        <v>52.03674382063214</v>
      </c>
      <c r="D101" s="1">
        <f>IF(2502746&gt;0,100*833207/2502746,"")</f>
        <v>33.29171238311838</v>
      </c>
      <c r="E101" s="1">
        <f>IF(COUNT(C101:D101)=2,D101-C101,"")</f>
        <v>-18.74503143751376</v>
      </c>
      <c r="H101" s="1">
        <v>27</v>
      </c>
      <c r="I101" s="1">
        <v>26</v>
      </c>
      <c r="J101" s="1">
        <f>IF(1770443&gt;0,100*418105/1770443,"")</f>
        <v>23.615840781092643</v>
      </c>
      <c r="K101" s="1">
        <f>IF(1779863&gt;0,100*199087/1779863,"")</f>
        <v>11.185523829643069</v>
      </c>
      <c r="L101" s="1">
        <f>IF(COUNT(J101:K101)=2,K101-J101,"")</f>
        <v>-12.430316951449575</v>
      </c>
      <c r="O101" s="1">
        <v>27</v>
      </c>
      <c r="P101" s="1">
        <v>26</v>
      </c>
      <c r="Q101" s="1">
        <f>IF(2101248&gt;0,100*444433/2101248,"")</f>
        <v>21.150906508893762</v>
      </c>
      <c r="R101" s="1">
        <f>IF(2525376&gt;0,100*652886/2525376,"")</f>
        <v>25.85302149066119</v>
      </c>
      <c r="S101" s="1">
        <f>IF(COUNT(Q101:R101)=2,R101-Q101,"")</f>
        <v>4.70211498176743</v>
      </c>
    </row>
    <row r="102" spans="1:19">
      <c r="A102" s="1">
        <v>28</v>
      </c>
      <c r="B102" s="1">
        <v>27</v>
      </c>
      <c r="C102" s="1">
        <f>IF(1174000&gt;0,100*3059/1174000,"")</f>
        <v>0.2605621805792164</v>
      </c>
      <c r="D102" s="1">
        <f>IF(1168463&gt;0,100*4570/1168463,"")</f>
        <v>0.39111208484992677</v>
      </c>
      <c r="E102" s="1">
        <f>IF(COUNT(C102:D102)=2,D102-C102,"")</f>
        <v>0.1305499042707104</v>
      </c>
      <c r="H102" s="1">
        <v>28</v>
      </c>
      <c r="I102" s="1">
        <v>27</v>
      </c>
      <c r="J102" s="1">
        <f>IF(2046482&gt;0,100*638275/2046482,"")</f>
        <v>31.18888903005255</v>
      </c>
      <c r="K102" s="1">
        <f>IF(2021025&gt;0,100*408328/2021025,"")</f>
        <v>20.204005393302904</v>
      </c>
      <c r="L102" s="1">
        <f>IF(COUNT(J102:K102)=2,K102-J102,"")</f>
        <v>-10.984883636749647</v>
      </c>
      <c r="O102" s="1">
        <v>28</v>
      </c>
      <c r="P102" s="1">
        <v>27</v>
      </c>
      <c r="Q102" s="1">
        <f>IF(2324907&gt;0,100*896618/2324907,"")</f>
        <v>38.5657576840708</v>
      </c>
      <c r="R102" s="1">
        <f>IF(2394250&gt;0,100*767740/2394250,"")</f>
        <v>32.065991437819775</v>
      </c>
      <c r="S102" s="1">
        <f>IF(COUNT(Q102:R102)=2,R102-Q102,"")</f>
        <v>-6.499766246251028</v>
      </c>
    </row>
    <row r="103" spans="1:19">
      <c r="A103" s="1">
        <v>29</v>
      </c>
      <c r="B103" s="1">
        <v>28</v>
      </c>
      <c r="C103" s="1">
        <f>IF(2083503&gt;0,100*1007639/2083503,"")</f>
        <v>48.362733338996875</v>
      </c>
      <c r="D103" s="1">
        <f>IF(2446191&gt;0,100*1009162/2446191,"")</f>
        <v>41.25442371425616</v>
      </c>
      <c r="E103" s="1">
        <f>IF(COUNT(C103:D103)=2,D103-C103,"")</f>
        <v>-7.108309624740713</v>
      </c>
      <c r="H103" s="1">
        <v>29</v>
      </c>
      <c r="I103" s="1">
        <v>28</v>
      </c>
      <c r="J103" s="1">
        <f>IF(2576958&gt;0,100*1290348/2576958,"")</f>
        <v>50.072527375300645</v>
      </c>
      <c r="K103" s="1">
        <f>IF(2839150&gt;0,100*979239/2839150,"")</f>
        <v>34.49056936054805</v>
      </c>
      <c r="L103" s="1">
        <f>IF(COUNT(J103:K103)=2,K103-J103,"")</f>
        <v>-15.581958014752594</v>
      </c>
      <c r="O103" s="1">
        <v>29</v>
      </c>
      <c r="P103" s="1">
        <v>28</v>
      </c>
      <c r="Q103" s="1">
        <f>IF(2240165&gt;0,100*1016922/2240165,"")</f>
        <v>45.39495974626869</v>
      </c>
      <c r="R103" s="1">
        <f>IF(3035293&gt;0,100*1206834/3035293,"")</f>
        <v>39.76004952404924</v>
      </c>
      <c r="S103" s="1">
        <f>IF(COUNT(Q103:R103)=2,R103-Q103,"")</f>
        <v>-5.634910222219446</v>
      </c>
    </row>
    <row r="104" spans="1:19">
      <c r="A104" s="1">
        <v>30</v>
      </c>
      <c r="B104" s="1">
        <v>29</v>
      </c>
      <c r="C104" s="1">
        <f>IF(2234870&gt;0,100*1080496/2234870,"")</f>
        <v>48.34715218334847</v>
      </c>
      <c r="D104" s="1">
        <f>IF(2344642&gt;0,100*689153/2344642,"")</f>
        <v>29.392674873178933</v>
      </c>
      <c r="E104" s="1">
        <f>IF(COUNT(C104:D104)=2,D104-C104,"")</f>
        <v>-18.954477310169537</v>
      </c>
      <c r="H104" s="1">
        <v>30</v>
      </c>
      <c r="I104" s="1">
        <v>29</v>
      </c>
      <c r="J104" s="1">
        <f>IF(1911633&gt;0,100*586958/1911633,"")</f>
        <v>30.704533767726335</v>
      </c>
      <c r="K104" s="1">
        <f>IF(1532753&gt;0,100*31354/1532753,"")</f>
        <v>2.045600302201333</v>
      </c>
      <c r="L104" s="1">
        <f>IF(COUNT(J104:K104)=2,K104-J104,"")</f>
        <v>-28.658933465525003</v>
      </c>
      <c r="O104" s="1">
        <v>30</v>
      </c>
      <c r="P104" s="1">
        <v>29</v>
      </c>
      <c r="Q104" s="1">
        <f>IF(1054742&gt;0,100*14563/1054742,"")</f>
        <v>1.3807168008859039</v>
      </c>
      <c r="R104" s="1">
        <f>IF(1222681&gt;0,100*18770/1222681,"")</f>
        <v>1.5351510328532136</v>
      </c>
      <c r="S104" s="1">
        <f>IF(COUNT(Q104:R104)=2,R104-Q104,"")</f>
        <v>0.15443423196730977</v>
      </c>
    </row>
    <row r="105" spans="1:19">
      <c r="A105" s="1">
        <v>31</v>
      </c>
      <c r="B105" s="1">
        <v>30</v>
      </c>
      <c r="C105" s="1">
        <f>IF(1611966&gt;0,100*408242/1611966,"")</f>
        <v>25.32572026953422</v>
      </c>
      <c r="D105" s="1">
        <f>IF(1070154&gt;0,100*8053/1070154,"")</f>
        <v>0.7525085174657106</v>
      </c>
      <c r="E105" s="1">
        <f>IF(COUNT(C105:D105)=2,D105-C105,"")</f>
        <v>-24.57321175206851</v>
      </c>
      <c r="H105" s="1">
        <v>31</v>
      </c>
      <c r="I105" s="1">
        <v>30</v>
      </c>
      <c r="J105" s="1">
        <f>IF(1813572&gt;0,100*419503/1813572,"")</f>
        <v>23.131312128771288</v>
      </c>
      <c r="K105" s="1">
        <f>IF(2219193&gt;0,100*609153/2219193,"")</f>
        <v>27.449302516725673</v>
      </c>
      <c r="L105" s="1">
        <f>IF(COUNT(J105:K105)=2,K105-J105,"")</f>
        <v>4.317990387954385</v>
      </c>
      <c r="O105" s="1">
        <v>31</v>
      </c>
      <c r="P105" s="1">
        <v>30</v>
      </c>
      <c r="Q105" s="1">
        <f>IF(2344140&gt;0,100*1034103/2344140,"")</f>
        <v>44.11438736594231</v>
      </c>
      <c r="R105" s="1">
        <f>IF(2438769&gt;0,100*684975/2438769,"")</f>
        <v>28.086915980972368</v>
      </c>
      <c r="S105" s="1">
        <f>IF(COUNT(Q105:R105)=2,R105-Q105,"")</f>
        <v>-16.02747138496994</v>
      </c>
    </row>
    <row r="106" spans="1:19">
      <c r="A106" s="2" t="s">
        <v>6</v>
      </c>
      <c r="B106" s="1"/>
      <c r="C106" s="1">
        <f>IF(COUNT(C75:C105)&gt;0,AVERAGE(C75:C105),"")</f>
        <v>34.139885623640744</v>
      </c>
      <c r="D106" s="1">
        <f>IF(COUNT(D75:D105)&gt;0,AVERAGE(D75:D105),"")</f>
        <v>21.92854285794824</v>
      </c>
      <c r="E106" s="1">
        <f>IF(COUNT(E75:E105)&gt;0,AVERAGE(E75:E105),"")</f>
        <v>-12.211342765692503</v>
      </c>
      <c r="H106" s="2" t="s">
        <v>6</v>
      </c>
      <c r="I106" s="1"/>
      <c r="J106" s="1">
        <f>IF(COUNT(J75:J105)&gt;0,AVERAGE(J75:J105),"")</f>
        <v>36.56494216191195</v>
      </c>
      <c r="K106" s="1">
        <f>IF(COUNT(K75:K105)&gt;0,AVERAGE(K75:K105),"")</f>
        <v>17.616852667594983</v>
      </c>
      <c r="L106" s="1">
        <f>IF(COUNT(L75:L105)&gt;0,AVERAGE(L75:L105),"")</f>
        <v>-18.56870056214618</v>
      </c>
      <c r="O106" s="2" t="s">
        <v>6</v>
      </c>
      <c r="P106" s="1"/>
      <c r="Q106" s="1">
        <f>IF(COUNT(Q75:Q105)&gt;0,AVERAGE(Q75:Q105),"")</f>
        <v>34.28456187402019</v>
      </c>
      <c r="R106" s="1">
        <f>IF(COUNT(R75:R105)&gt;0,AVERAGE(R75:R105),"")</f>
        <v>20.986135440544416</v>
      </c>
      <c r="S106" s="1">
        <f>IF(COUNT(S75:S105)&gt;0,AVERAGE(S75:S105),"")</f>
        <v>-13.298426433475775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IF(1025565&gt;0,100*254231/1025565,"")</f>
        <v>24.789360011310837</v>
      </c>
      <c r="D3" s="1">
        <f>IF(1075229&gt;0,100*206253/1075229,"")</f>
        <v>19.182239318321958</v>
      </c>
      <c r="E3" s="1">
        <f>IF(COUNT(C3:D3)=2,D3-C3,"")</f>
        <v>-5.607120692988879</v>
      </c>
      <c r="H3" s="1">
        <v>1</v>
      </c>
      <c r="I3" s="1">
        <v>0</v>
      </c>
      <c r="J3" s="1">
        <f>IF(1360559&gt;0,100*350066/1360559,"")</f>
        <v>25.729571448206215</v>
      </c>
      <c r="K3" s="1">
        <f>IF(1413750&gt;0,100*317335/1413750,"")</f>
        <v>22.44633068081344</v>
      </c>
      <c r="L3" s="1">
        <f>IF(COUNT(J3:K3)=2,K3-J3,"")</f>
        <v>-3.283240767392776</v>
      </c>
      <c r="O3" s="1">
        <v>1</v>
      </c>
      <c r="P3" s="1">
        <v>0</v>
      </c>
      <c r="Q3" s="1">
        <f>IF(1611169&gt;0,100*528552/1611169,"")</f>
        <v>32.80549712662049</v>
      </c>
      <c r="R3" s="1">
        <f>IF(1405854&gt;0,100*241535/1405854,"")</f>
        <v>17.180660296161623</v>
      </c>
      <c r="S3" s="1">
        <f>IF(COUNT(Q3:R3)=2,R3-Q3,"")</f>
        <v>-15.624836830458865</v>
      </c>
    </row>
    <row r="4" spans="1:19">
      <c r="A4" s="1">
        <v>2</v>
      </c>
      <c r="B4" s="1">
        <v>1</v>
      </c>
      <c r="C4" s="1">
        <f>IF(1608611&gt;0,100*585743/1608611,"")</f>
        <v>36.41296746074719</v>
      </c>
      <c r="D4" s="1">
        <f>IF(1192805&gt;0,100*304478/1192805,"")</f>
        <v>25.526217613105242</v>
      </c>
      <c r="E4" s="1">
        <f>IF(COUNT(C4:D4)=2,D4-C4,"")</f>
        <v>-10.886749847641948</v>
      </c>
      <c r="H4" s="1">
        <v>2</v>
      </c>
      <c r="I4" s="1">
        <v>1</v>
      </c>
      <c r="J4" s="1">
        <f>IF(1080061&gt;0,100*195305/1080061,"")</f>
        <v>18.082774954377577</v>
      </c>
      <c r="K4" s="1">
        <f>IF(544942&gt;0,100*38087/544942,"")</f>
        <v>6.989184170058465</v>
      </c>
      <c r="L4" s="1">
        <f>IF(COUNT(J4:K4)=2,K4-J4,"")</f>
        <v>-11.093590784319112</v>
      </c>
      <c r="O4" s="1">
        <v>2</v>
      </c>
      <c r="P4" s="1">
        <v>1</v>
      </c>
      <c r="Q4" s="1">
        <f>IF(1467133&gt;0,100*488009/1467133,"")</f>
        <v>33.26276486180871</v>
      </c>
      <c r="R4" s="1">
        <f>IF(1144509&gt;0,100*213837/1144509,"")</f>
        <v>18.683732500137612</v>
      </c>
      <c r="S4" s="1">
        <f>IF(COUNT(Q4:R4)=2,R4-Q4,"")</f>
        <v>-14.5790323616711</v>
      </c>
    </row>
    <row r="5" spans="1:19">
      <c r="A5" s="1">
        <v>3</v>
      </c>
      <c r="B5" s="1">
        <v>2</v>
      </c>
      <c r="C5" s="1">
        <f>IF(1615726&gt;0,100*621491/1615726,"")</f>
        <v>38.46512341820333</v>
      </c>
      <c r="D5" s="1">
        <f>IF(1133821&gt;0,100*309091/1133821,"")</f>
        <v>27.261005044006065</v>
      </c>
      <c r="E5" s="1">
        <f>IF(COUNT(C5:D5)=2,D5-C5,"")</f>
        <v>-11.204118374197268</v>
      </c>
      <c r="H5" s="1">
        <v>3</v>
      </c>
      <c r="I5" s="1">
        <v>2</v>
      </c>
      <c r="J5" s="1">
        <f>IF(1770666&gt;0,100*210556/1770666,"")</f>
        <v>11.891344838608749</v>
      </c>
      <c r="K5" s="1">
        <f>IF(1954673&gt;0,100*520611/1954673,"")</f>
        <v>26.634173593230173</v>
      </c>
      <c r="L5" s="1">
        <f>IF(COUNT(J5:K5)=2,K5-J5,"")</f>
        <v>14.742828754621424</v>
      </c>
      <c r="O5" s="1">
        <v>3</v>
      </c>
      <c r="P5" s="1">
        <v>2</v>
      </c>
      <c r="Q5" s="1">
        <f>IF(1770413&gt;0,100*588287/1770413,"")</f>
        <v>33.228800285583084</v>
      </c>
      <c r="R5" s="1">
        <f>IF(1539322&gt;0,100*342023/1539322,"")</f>
        <v>22.219067875337323</v>
      </c>
      <c r="S5" s="1">
        <f>IF(COUNT(Q5:R5)=2,R5-Q5,"")</f>
        <v>-11.00973241024576</v>
      </c>
    </row>
    <row r="6" spans="1:19">
      <c r="A6" s="1">
        <v>4</v>
      </c>
      <c r="B6" s="1">
        <v>3</v>
      </c>
      <c r="C6" s="1">
        <f>IF(1681360&gt;0,100*632235/1681360,"")</f>
        <v>37.60259551791407</v>
      </c>
      <c r="D6" s="1">
        <f>IF(1266296&gt;0,100*331918/1266296,"")</f>
        <v>26.21172300947014</v>
      </c>
      <c r="E6" s="1">
        <f>IF(COUNT(C6:D6)=2,D6-C6,"")</f>
        <v>-11.390872508443927</v>
      </c>
      <c r="H6" s="1">
        <v>4</v>
      </c>
      <c r="I6" s="1">
        <v>3</v>
      </c>
      <c r="J6" s="1">
        <f>IF(1249184&gt;0,100*192969/1249184,"")</f>
        <v>15.447604196019162</v>
      </c>
      <c r="K6" s="1">
        <f>IF(1096276&gt;0,100*140424/1096276,"")</f>
        <v>12.80918308893016</v>
      </c>
      <c r="L6" s="1">
        <f>IF(COUNT(J6:K6)=2,K6-J6,"")</f>
        <v>-2.638421107089002</v>
      </c>
      <c r="O6" s="1">
        <v>4</v>
      </c>
      <c r="P6" s="1">
        <v>3</v>
      </c>
      <c r="Q6" s="1">
        <f>IF(851878&gt;0,100*27960/851878,"")</f>
        <v>3.2821601215197482</v>
      </c>
      <c r="R6" s="1">
        <f>IF(942651&gt;0,100*60481/942651,"")</f>
        <v>6.416054297932108</v>
      </c>
      <c r="S6" s="1">
        <f>IF(COUNT(Q6:R6)=2,R6-Q6,"")</f>
        <v>3.13389417641236</v>
      </c>
    </row>
    <row r="7" spans="1:19">
      <c r="A7" s="1">
        <v>5</v>
      </c>
      <c r="B7" s="1">
        <v>4</v>
      </c>
      <c r="C7" s="1">
        <f>IF(1534810&gt;0,100*544323/1534810,"")</f>
        <v>35.46517158475642</v>
      </c>
      <c r="D7" s="1">
        <f>IF(1558911&gt;0,100*371505/1558911,"")</f>
        <v>23.83105898925596</v>
      </c>
      <c r="E7" s="1">
        <f>IF(COUNT(C7:D7)=2,D7-C7,"")</f>
        <v>-11.634112595500458</v>
      </c>
      <c r="H7" s="1">
        <v>5</v>
      </c>
      <c r="I7" s="1">
        <v>4</v>
      </c>
      <c r="J7" s="1">
        <f>IF(1559950&gt;0,100*448934/1559950,"")</f>
        <v>28.77874290842655</v>
      </c>
      <c r="K7" s="1">
        <f>IF(892552&gt;0,100*155919/892552,"")</f>
        <v>17.4688981706388</v>
      </c>
      <c r="L7" s="1">
        <f>IF(COUNT(J7:K7)=2,K7-J7,"")</f>
        <v>-11.309844737787753</v>
      </c>
      <c r="O7" s="1">
        <v>5</v>
      </c>
      <c r="P7" s="1">
        <v>4</v>
      </c>
      <c r="Q7" s="1">
        <f>IF(1545033&gt;0,100*593590/1545033,"")</f>
        <v>38.419244119704885</v>
      </c>
      <c r="R7" s="1">
        <f>IF(1429923&gt;0,100*331362/1429923,"")</f>
        <v>23.173415631471066</v>
      </c>
      <c r="S7" s="1">
        <f>IF(COUNT(Q7:R7)=2,R7-Q7,"")</f>
        <v>-15.245828488233819</v>
      </c>
    </row>
    <row r="8" spans="1:19">
      <c r="A8" s="1">
        <v>6</v>
      </c>
      <c r="B8" s="1">
        <v>5</v>
      </c>
      <c r="C8" s="1">
        <f>IF(1481795&gt;0,100*384291/1481795,"")</f>
        <v>25.93415418462068</v>
      </c>
      <c r="D8" s="1">
        <f>IF(1218404&gt;0,100*233971/1218404,"")</f>
        <v>19.203072215783926</v>
      </c>
      <c r="E8" s="1">
        <f>IF(COUNT(C8:D8)=2,D8-C8,"")</f>
        <v>-6.7310819688367545</v>
      </c>
      <c r="H8" s="1">
        <v>6</v>
      </c>
      <c r="I8" s="1">
        <v>5</v>
      </c>
      <c r="J8" s="1">
        <f>IF(1363284&gt;0,100*338111/1363284,"")</f>
        <v>24.801215300700367</v>
      </c>
      <c r="K8" s="1">
        <f>IF(1718292&gt;0,100*263849/1718292,"")</f>
        <v>15.355306315806626</v>
      </c>
      <c r="L8" s="1">
        <f>IF(COUNT(J8:K8)=2,K8-J8,"")</f>
        <v>-9.445908984893741</v>
      </c>
      <c r="O8" s="1">
        <v>6</v>
      </c>
      <c r="P8" s="1">
        <v>5</v>
      </c>
      <c r="Q8" s="1">
        <f>IF(1496153&gt;0,100*372992/1496153,"")</f>
        <v>24.930070654538675</v>
      </c>
      <c r="R8" s="1">
        <f>IF(1399949&gt;0,100*249648/1399949,"")</f>
        <v>17.83264961795037</v>
      </c>
      <c r="S8" s="1">
        <f>IF(COUNT(Q8:R8)=2,R8-Q8,"")</f>
        <v>-7.097421036588305</v>
      </c>
    </row>
    <row r="9" spans="1:19">
      <c r="A9" s="1">
        <v>7</v>
      </c>
      <c r="B9" s="1">
        <v>6</v>
      </c>
      <c r="C9" s="1">
        <f>IF(1693230&gt;0,100*659152/1693230,"")</f>
        <v>38.92867478133508</v>
      </c>
      <c r="D9" s="1">
        <f>IF(1536687&gt;0,100*360511/1536687,"")</f>
        <v>23.460275254492295</v>
      </c>
      <c r="E9" s="1">
        <f>IF(COUNT(C9:D9)=2,D9-C9,"")</f>
        <v>-15.468399526842788</v>
      </c>
      <c r="H9" s="1">
        <v>7</v>
      </c>
      <c r="I9" s="1">
        <v>6</v>
      </c>
      <c r="J9" s="1">
        <f>IF(681918&gt;0,100*6217/681918,"")</f>
        <v>0.9116931947829504</v>
      </c>
      <c r="K9" s="1">
        <f>IF(774148&gt;0,100*43862/774148,"")</f>
        <v>5.665841673685136</v>
      </c>
      <c r="L9" s="1">
        <f>IF(COUNT(J9:K9)=2,K9-J9,"")</f>
        <v>4.754148478902185</v>
      </c>
      <c r="O9" s="1">
        <v>7</v>
      </c>
      <c r="P9" s="1">
        <v>6</v>
      </c>
      <c r="Q9" s="1">
        <f>IF(1286739&gt;0,100*333741/1286739,"")</f>
        <v>25.93696157495809</v>
      </c>
      <c r="R9" s="1">
        <f>IF(900193&gt;0,100*48114/900193,"")</f>
        <v>5.3448538257906915</v>
      </c>
      <c r="S9" s="1">
        <f>IF(COUNT(Q9:R9)=2,R9-Q9,"")</f>
        <v>-20.592107749167397</v>
      </c>
    </row>
    <row r="10" spans="1:19">
      <c r="A10" s="1">
        <v>8</v>
      </c>
      <c r="B10" s="1">
        <v>7</v>
      </c>
      <c r="C10" s="1">
        <f>IF(1832737&gt;0,100*772049/1832737,"")</f>
        <v>42.12546590154506</v>
      </c>
      <c r="D10" s="1">
        <f>IF(1558224&gt;0,100*457560/1558224,"")</f>
        <v>29.364199242214212</v>
      </c>
      <c r="E10" s="1">
        <f>IF(COUNT(C10:D10)=2,D10-C10,"")</f>
        <v>-12.76126665933085</v>
      </c>
      <c r="H10" s="1">
        <v>8</v>
      </c>
      <c r="I10" s="1">
        <v>7</v>
      </c>
      <c r="J10" s="1">
        <f>IF(655547&gt;0,100*1454/655547,"")</f>
        <v>0.2217995048409954</v>
      </c>
      <c r="K10" s="1">
        <f>IF(558223&gt;0,100*592/558223,"")</f>
        <v>0.10605080765213902</v>
      </c>
      <c r="L10" s="1">
        <f>IF(COUNT(J10:K10)=2,K10-J10,"")</f>
        <v>-0.11574869718885637</v>
      </c>
      <c r="O10" s="1">
        <v>8</v>
      </c>
      <c r="P10" s="1">
        <v>7</v>
      </c>
      <c r="Q10" s="1">
        <f>IF(589319&gt;0,100*4560/589319,"")</f>
        <v>0.773774475284184</v>
      </c>
      <c r="R10" s="1">
        <f>IF(650145&gt;0,100*23282/650145,"")</f>
        <v>3.581047304831999</v>
      </c>
      <c r="S10" s="1">
        <f>IF(COUNT(Q10:R10)=2,R10-Q10,"")</f>
        <v>2.807272829547815</v>
      </c>
    </row>
    <row r="11" spans="1:19">
      <c r="A11" s="1">
        <v>9</v>
      </c>
      <c r="B11" s="1">
        <v>8</v>
      </c>
      <c r="C11" s="1">
        <f>IF(1595971&gt;0,100*597472/1595971,"")</f>
        <v>37.43626920539283</v>
      </c>
      <c r="D11" s="1">
        <f>IF(1202354&gt;0,100*297363/1202354,"")</f>
        <v>24.731734580664263</v>
      </c>
      <c r="E11" s="1">
        <f>IF(COUNT(C11:D11)=2,D11-C11,"")</f>
        <v>-12.70453462472857</v>
      </c>
      <c r="H11" s="1">
        <v>9</v>
      </c>
      <c r="I11" s="1">
        <v>8</v>
      </c>
      <c r="J11" s="1">
        <f>IF(1710121&gt;0,100*526664/1710121,"")</f>
        <v>30.79688513268944</v>
      </c>
      <c r="K11" s="1">
        <f>IF(1720556&gt;0,100*482690/1720556,"")</f>
        <v>28.054303376350436</v>
      </c>
      <c r="L11" s="1">
        <f>IF(COUNT(J11:K11)=2,K11-J11,"")</f>
        <v>-2.7425817563390034</v>
      </c>
      <c r="O11" s="1">
        <v>9</v>
      </c>
      <c r="P11" s="1">
        <v>8</v>
      </c>
      <c r="Q11" s="1">
        <f>IF(1425170&gt;0,100*455531/1425170,"")</f>
        <v>31.96327455671955</v>
      </c>
      <c r="R11" s="1">
        <f>IF(1428649&gt;0,100*387573/1428649,"")</f>
        <v>27.128636915015516</v>
      </c>
      <c r="S11" s="1">
        <f>IF(COUNT(Q11:R11)=2,R11-Q11,"")</f>
        <v>-4.834637641704035</v>
      </c>
    </row>
    <row r="12" spans="1:19">
      <c r="A12" s="1">
        <v>10</v>
      </c>
      <c r="B12" s="1">
        <v>9</v>
      </c>
      <c r="C12" s="1">
        <f>IF(1793318&gt;0,100*560859/1793318,"")</f>
        <v>31.27493283399821</v>
      </c>
      <c r="D12" s="1">
        <f>IF(1066325&gt;0,100*35908/1066325,"")</f>
        <v>3.3674536374932598</v>
      </c>
      <c r="E12" s="1">
        <f>IF(COUNT(C12:D12)=2,D12-C12,"")</f>
        <v>-27.90747919650495</v>
      </c>
      <c r="H12" s="1">
        <v>10</v>
      </c>
      <c r="I12" s="1">
        <v>9</v>
      </c>
      <c r="J12" s="1">
        <f>IF(1173418&gt;0,100*250711/1173418,"")</f>
        <v>21.365873030752894</v>
      </c>
      <c r="K12" s="1">
        <f>IF(828807&gt;0,100*55429/828807,"")</f>
        <v>6.687805484268352</v>
      </c>
      <c r="L12" s="1">
        <f>IF(COUNT(J12:K12)=2,K12-J12,"")</f>
        <v>-14.678067546484542</v>
      </c>
      <c r="O12" s="1">
        <v>10</v>
      </c>
      <c r="P12" s="1">
        <v>9</v>
      </c>
      <c r="Q12" s="1">
        <f>IF(1151234&gt;0,100*222783/1151234,"")</f>
        <v>19.351669599751222</v>
      </c>
      <c r="R12" s="1">
        <f>IF(1087660&gt;0,100*40241/1087660,"")</f>
        <v>3.6997775039994116</v>
      </c>
      <c r="S12" s="1">
        <f>IF(COUNT(Q12:R12)=2,R12-Q12,"")</f>
        <v>-15.65189209575181</v>
      </c>
    </row>
    <row r="13" spans="1:19">
      <c r="A13" s="1">
        <v>11</v>
      </c>
      <c r="B13" s="1">
        <v>10</v>
      </c>
      <c r="C13" s="1">
        <f>IF(1514166&gt;0,100*450931/1514166,"")</f>
        <v>29.78081663437166</v>
      </c>
      <c r="D13" s="1">
        <f>IF(1603933&gt;0,100*464714/1603933,"")</f>
        <v>28.973404749450257</v>
      </c>
      <c r="E13" s="1">
        <f>IF(COUNT(C13:D13)=2,D13-C13,"")</f>
        <v>-0.8074118849214038</v>
      </c>
      <c r="H13" s="1">
        <v>11</v>
      </c>
      <c r="I13" s="1">
        <v>10</v>
      </c>
      <c r="J13" s="1">
        <f>IF(1146506&gt;0,100*57993/1146506,"")</f>
        <v>5.058237811228201</v>
      </c>
      <c r="K13" s="1">
        <f>IF(903897&gt;0,100*82294/903897,"")</f>
        <v>9.104355916658646</v>
      </c>
      <c r="L13" s="1">
        <f>IF(COUNT(J13:K13)=2,K13-J13,"")</f>
        <v>4.046118105430445</v>
      </c>
      <c r="O13" s="1">
        <v>11</v>
      </c>
      <c r="P13" s="1">
        <v>10</v>
      </c>
      <c r="Q13" s="1">
        <f>IF(1057778&gt;0,100*7899/1057778,"")</f>
        <v>0.7467540447995704</v>
      </c>
      <c r="R13" s="1">
        <f>IF(1374723&gt;0,100*145189/1374723,"")</f>
        <v>10.561327627456587</v>
      </c>
      <c r="S13" s="1">
        <f>IF(COUNT(Q13:R13)=2,R13-Q13,"")</f>
        <v>9.814573582657015</v>
      </c>
    </row>
    <row r="14" spans="1:19">
      <c r="A14" s="1">
        <v>12</v>
      </c>
      <c r="B14" s="1">
        <v>11</v>
      </c>
      <c r="C14" s="1">
        <f>IF(1480420&gt;0,100*530595/1480420,"")</f>
        <v>35.84084246362519</v>
      </c>
      <c r="D14" s="1">
        <f>IF(1658689&gt;0,100*476378/1658689,"")</f>
        <v>28.720151878983945</v>
      </c>
      <c r="E14" s="1">
        <f>IF(COUNT(C14:D14)=2,D14-C14,"")</f>
        <v>-7.120690584641242</v>
      </c>
      <c r="H14" s="1">
        <v>12</v>
      </c>
      <c r="I14" s="1">
        <v>11</v>
      </c>
      <c r="J14" s="1">
        <f>IF(979595&gt;0,100*35929/979595,"")</f>
        <v>3.6677402395888095</v>
      </c>
      <c r="K14" s="1">
        <f>IF(1111384&gt;0,100*105247/1111384,"")</f>
        <v>9.46990419153056</v>
      </c>
      <c r="L14" s="1">
        <f>IF(COUNT(J14:K14)=2,K14-J14,"")</f>
        <v>5.8021639519417505</v>
      </c>
      <c r="O14" s="1">
        <v>12</v>
      </c>
      <c r="P14" s="1">
        <v>11</v>
      </c>
      <c r="Q14" s="1">
        <f>IF(1932101&gt;0,100*714622/1932101,"")</f>
        <v>36.98678278205953</v>
      </c>
      <c r="R14" s="1">
        <f>IF(1147372&gt;0,100*60031/1147372,"")</f>
        <v>5.232043312892419</v>
      </c>
      <c r="S14" s="1">
        <f>IF(COUNT(Q14:R14)=2,R14-Q14,"")</f>
        <v>-31.75473946916711</v>
      </c>
    </row>
    <row r="15" spans="1:19">
      <c r="A15" s="1">
        <v>13</v>
      </c>
      <c r="B15" s="1">
        <v>12</v>
      </c>
      <c r="C15" s="1">
        <f>IF(1625411&gt;0,100*523021/1625411,"")</f>
        <v>32.177769191915154</v>
      </c>
      <c r="D15" s="1">
        <f>IF(1246571&gt;0,100*168847/1246571,"")</f>
        <v>13.54491641470883</v>
      </c>
      <c r="E15" s="1">
        <f>IF(COUNT(C15:D15)=2,D15-C15,"")</f>
        <v>-18.632852777206324</v>
      </c>
      <c r="H15" s="1">
        <v>13</v>
      </c>
      <c r="I15" s="1">
        <v>12</v>
      </c>
      <c r="J15" s="1">
        <f>IF(1997433&gt;0,100*770522/1997433,"")</f>
        <v>38.575611797742404</v>
      </c>
      <c r="K15" s="1">
        <f>IF(1375817&gt;0,100*269969/1375817,"")</f>
        <v>19.622449788016866</v>
      </c>
      <c r="L15" s="1">
        <f>IF(COUNT(J15:K15)=2,K15-J15,"")</f>
        <v>-18.95316200972554</v>
      </c>
      <c r="O15" s="1">
        <v>13</v>
      </c>
      <c r="P15" s="1">
        <v>12</v>
      </c>
      <c r="Q15" s="1">
        <f>IF(931018&gt;0,100*79093/931018,"")</f>
        <v>8.495324472781407</v>
      </c>
      <c r="R15" s="1">
        <f>IF(1652100&gt;0,100*430036/1652100,"")</f>
        <v>26.029659221596756</v>
      </c>
      <c r="S15" s="1">
        <f>IF(COUNT(Q15:R15)=2,R15-Q15,"")</f>
        <v>17.534334748815347</v>
      </c>
    </row>
    <row r="16" spans="1:19">
      <c r="A16" s="1">
        <v>14</v>
      </c>
      <c r="B16" s="1">
        <v>13</v>
      </c>
      <c r="C16" s="1">
        <f>IF(929730&gt;0,100*189375/929730,"")</f>
        <v>20.368816753250943</v>
      </c>
      <c r="D16" s="1">
        <f>IF(828239&gt;0,100*66951/828239,"")</f>
        <v>8.08353627394991</v>
      </c>
      <c r="E16" s="1">
        <f>IF(COUNT(C16:D16)=2,D16-C16,"")</f>
        <v>-12.285280479301033</v>
      </c>
      <c r="H16" s="1">
        <v>14</v>
      </c>
      <c r="I16" s="1">
        <v>13</v>
      </c>
      <c r="J16" s="1">
        <f>IF(1084239&gt;0,100*226536/1084239,"")</f>
        <v>20.893548378171232</v>
      </c>
      <c r="K16" s="1">
        <f>IF(954509&gt;0,100*145984/954509,"")</f>
        <v>15.294145995480399</v>
      </c>
      <c r="L16" s="1">
        <f>IF(COUNT(J16:K16)=2,K16-J16,"")</f>
        <v>-5.599402382690833</v>
      </c>
      <c r="O16" s="1">
        <v>14</v>
      </c>
      <c r="P16" s="1">
        <v>13</v>
      </c>
      <c r="Q16" s="1">
        <f>IF(670550&gt;0,100*11588/670550,"")</f>
        <v>1.7281336216538663</v>
      </c>
      <c r="R16" s="1">
        <f>IF(978269&gt;0,100*148545/978269,"")</f>
        <v>15.184473800151084</v>
      </c>
      <c r="S16" s="1">
        <f>IF(COUNT(Q16:R16)=2,R16-Q16,"")</f>
        <v>13.456340178497218</v>
      </c>
    </row>
    <row r="17" spans="1:19">
      <c r="A17" s="1">
        <v>15</v>
      </c>
      <c r="B17" s="1">
        <v>14</v>
      </c>
      <c r="C17" s="1">
        <f>IF(1540895&gt;0,100*542667/1540895,"")</f>
        <v>35.217649482930376</v>
      </c>
      <c r="D17" s="1">
        <f>IF(1131941&gt;0,100*258098/1131941,"")</f>
        <v>22.801365088816468</v>
      </c>
      <c r="E17" s="1">
        <f>IF(COUNT(C17:D17)=2,D17-C17,"")</f>
        <v>-12.416284394113909</v>
      </c>
      <c r="H17" s="1">
        <v>15</v>
      </c>
      <c r="I17" s="1">
        <v>14</v>
      </c>
      <c r="J17" s="1">
        <f>IF(1976548&gt;0,100*795333/1976548,"")</f>
        <v>40.238486492612374</v>
      </c>
      <c r="K17" s="1">
        <f>IF(1463878&gt;0,100*285634/1463878,"")</f>
        <v>19.512145137777875</v>
      </c>
      <c r="L17" s="1">
        <f>IF(COUNT(J17:K17)=2,K17-J17,"")</f>
        <v>-20.7263413548345</v>
      </c>
      <c r="O17" s="1">
        <v>15</v>
      </c>
      <c r="P17" s="1">
        <v>14</v>
      </c>
      <c r="Q17" s="1">
        <f>IF(1789842&gt;0,100*586809/1789842,"")</f>
        <v>32.78551961569792</v>
      </c>
      <c r="R17" s="1">
        <f>IF(1712018&gt;0,100*382258/1712018,"")</f>
        <v>22.32791944944504</v>
      </c>
      <c r="S17" s="1">
        <f>IF(COUNT(Q17:R17)=2,R17-Q17,"")</f>
        <v>-10.457600166252881</v>
      </c>
    </row>
    <row r="18" spans="1:19">
      <c r="A18" s="1">
        <v>16</v>
      </c>
      <c r="B18" s="1">
        <v>15</v>
      </c>
      <c r="C18" s="1">
        <f>IF(1507412&gt;0,100*534395/1507412,"")</f>
        <v>35.45115734782528</v>
      </c>
      <c r="D18" s="1">
        <f>IF(1759954&gt;0,100*571715/1759954,"")</f>
        <v>32.48465584895969</v>
      </c>
      <c r="E18" s="1">
        <f>IF(COUNT(C18:D18)=2,D18-C18,"")</f>
        <v>-2.96650149886559</v>
      </c>
      <c r="H18" s="1">
        <v>16</v>
      </c>
      <c r="I18" s="1">
        <v>15</v>
      </c>
      <c r="J18" s="1">
        <f>IF(1507965&gt;0,100*427666/1507965,"")</f>
        <v>28.36047255738694</v>
      </c>
      <c r="K18" s="1">
        <f>IF(829151&gt;0,100*51701/829151,"")</f>
        <v>6.235414297275165</v>
      </c>
      <c r="L18" s="1">
        <f>IF(COUNT(J18:K18)=2,K18-J18,"")</f>
        <v>-22.12505826011178</v>
      </c>
      <c r="O18" s="1">
        <v>16</v>
      </c>
      <c r="P18" s="1">
        <v>15</v>
      </c>
      <c r="Q18" s="1">
        <f>IF(1644242&gt;0,100*542962/1644242,"")</f>
        <v>33.02202473845091</v>
      </c>
      <c r="R18" s="1">
        <f>IF(1546119&gt;0,100*386067/1546119,"")</f>
        <v>24.970070220985576</v>
      </c>
      <c r="S18" s="1">
        <f>IF(COUNT(Q18:R18)=2,R18-Q18,"")</f>
        <v>-8.051954517465333</v>
      </c>
    </row>
    <row r="19" spans="1:19">
      <c r="A19" s="1">
        <v>17</v>
      </c>
      <c r="B19" s="1">
        <v>16</v>
      </c>
      <c r="C19" s="1">
        <f>IF(642367&gt;0,100*51947/642367,"")</f>
        <v>8.08681018794552</v>
      </c>
      <c r="D19" s="1">
        <f>IF(611245&gt;0,100*20924/611245,"")</f>
        <v>3.4231772857037686</v>
      </c>
      <c r="E19" s="1">
        <f>IF(COUNT(C19:D19)=2,D19-C19,"")</f>
        <v>-4.663632902241751</v>
      </c>
      <c r="H19" s="1">
        <v>17</v>
      </c>
      <c r="I19" s="1">
        <v>16</v>
      </c>
      <c r="J19" s="1">
        <f>IF(1858121&gt;0,100*695653/1858121,"")</f>
        <v>37.4385198811057</v>
      </c>
      <c r="K19" s="1">
        <f>IF(1169994&gt;0,100*322769/1169994,"")</f>
        <v>27.587235490096532</v>
      </c>
      <c r="L19" s="1">
        <f>IF(COUNT(J19:K19)=2,K19-J19,"")</f>
        <v>-9.851284391009166</v>
      </c>
      <c r="O19" s="1">
        <v>17</v>
      </c>
      <c r="P19" s="1">
        <v>16</v>
      </c>
      <c r="Q19" s="1">
        <f>IF(1134999&gt;0,100*244255/1134999,"")</f>
        <v>21.520283277782625</v>
      </c>
      <c r="R19" s="1">
        <f>IF(1228542&gt;0,100*256560/1228542,"")</f>
        <v>20.88329092534077</v>
      </c>
      <c r="S19" s="1">
        <f>IF(COUNT(Q19:R19)=2,R19-Q19,"")</f>
        <v>-0.6369923524418546</v>
      </c>
    </row>
    <row r="20" spans="1:19">
      <c r="A20" s="1">
        <v>18</v>
      </c>
      <c r="B20" s="1">
        <v>17</v>
      </c>
      <c r="C20" s="1">
        <f>IF(594640&gt;0,100*3581/594640,"")</f>
        <v>0.6022131037266245</v>
      </c>
      <c r="D20" s="1">
        <f>IF(626504&gt;0,100*15092/626504,"")</f>
        <v>2.408923167290233</v>
      </c>
      <c r="E20" s="1">
        <f>IF(COUNT(C20:D20)=2,D20-C20,"")</f>
        <v>1.8067100635636084</v>
      </c>
      <c r="H20" s="1">
        <v>18</v>
      </c>
      <c r="I20" s="1">
        <v>17</v>
      </c>
      <c r="J20" s="1">
        <f>IF(1593567&gt;0,100*381148/1593567,"")</f>
        <v>23.917914966863645</v>
      </c>
      <c r="K20" s="1">
        <f>IF(1108891&gt;0,100*83534/1108891,"")</f>
        <v>7.533111910909188</v>
      </c>
      <c r="L20" s="1">
        <f>IF(COUNT(J20:K20)=2,K20-J20,"")</f>
        <v>-16.384803055954457</v>
      </c>
      <c r="O20" s="1">
        <v>18</v>
      </c>
      <c r="P20" s="1">
        <v>17</v>
      </c>
      <c r="Q20" s="1">
        <f>IF(1362366&gt;0,100*418939/1362366,"")</f>
        <v>30.750840816638114</v>
      </c>
      <c r="R20" s="1">
        <f>IF(1425375&gt;0,100*234247/1425375,"")</f>
        <v>16.434061211961765</v>
      </c>
      <c r="S20" s="1">
        <f>IF(COUNT(Q20:R20)=2,R20-Q20,"")</f>
        <v>-14.316779604676348</v>
      </c>
    </row>
    <row r="21" spans="1:19">
      <c r="A21" s="1">
        <v>19</v>
      </c>
      <c r="B21" s="1">
        <v>18</v>
      </c>
      <c r="C21" s="1">
        <f>IF(1610751&gt;0,100*584870/1610751,"")</f>
        <v>36.31039186069107</v>
      </c>
      <c r="D21" s="1">
        <f>IF(1432701&gt;0,100*358603/1432701,"")</f>
        <v>25.029856194697988</v>
      </c>
      <c r="E21" s="1">
        <f>IF(COUNT(C21:D21)=2,D21-C21,"")</f>
        <v>-11.280535665993082</v>
      </c>
      <c r="H21" s="1">
        <v>19</v>
      </c>
      <c r="I21" s="1">
        <v>18</v>
      </c>
      <c r="J21" s="1">
        <f>IF(959902&gt;0,100*142934/959902,"")</f>
        <v>14.89047840300364</v>
      </c>
      <c r="K21" s="1">
        <f>IF(2050941&gt;0,100*98311/2050941,"")</f>
        <v>4.793458222347693</v>
      </c>
      <c r="L21" s="1">
        <f>IF(COUNT(J21:K21)=2,K21-J21,"")</f>
        <v>-10.097020180655946</v>
      </c>
      <c r="O21" s="1">
        <v>19</v>
      </c>
      <c r="P21" s="1">
        <v>18</v>
      </c>
      <c r="Q21" s="1">
        <f>IF(1024717&gt;0,100*193814/1024717,"")</f>
        <v>18.91390500987102</v>
      </c>
      <c r="R21" s="1">
        <f>IF(1309997&gt;0,100*292717/1309997,"")</f>
        <v>22.344860331741216</v>
      </c>
      <c r="S21" s="1">
        <f>IF(COUNT(Q21:R21)=2,R21-Q21,"")</f>
        <v>3.430955321870197</v>
      </c>
    </row>
    <row r="22" spans="1:19">
      <c r="A22" s="1">
        <v>20</v>
      </c>
      <c r="B22" s="1">
        <v>19</v>
      </c>
      <c r="C22" s="1">
        <f>IF(1151574&gt;0,100*385861/1151574,"")</f>
        <v>33.50726918113816</v>
      </c>
      <c r="D22" s="1">
        <f>IF(1378514&gt;0,100*236689/1378514,"")</f>
        <v>17.169865521859045</v>
      </c>
      <c r="E22" s="1">
        <f>IF(COUNT(C22:D22)=2,D22-C22,"")</f>
        <v>-16.33740365927912</v>
      </c>
      <c r="H22" s="1">
        <v>20</v>
      </c>
      <c r="I22" s="1">
        <v>19</v>
      </c>
      <c r="J22" s="1">
        <f>IF(795490&gt;0,100*93263/795490,"")</f>
        <v>11.723968874530163</v>
      </c>
      <c r="K22" s="1">
        <f>IF(1163350&gt;0,100*195857/1163350,"")</f>
        <v>16.835604074440194</v>
      </c>
      <c r="L22" s="1">
        <f>IF(COUNT(J22:K22)=2,K22-J22,"")</f>
        <v>5.111635199910031</v>
      </c>
      <c r="O22" s="1">
        <v>20</v>
      </c>
      <c r="P22" s="1">
        <v>19</v>
      </c>
      <c r="Q22" s="1">
        <f>IF(1318480&gt;0,100*350952/1318480,"")</f>
        <v>26.617923669680238</v>
      </c>
      <c r="R22" s="1">
        <f>IF(1788941&gt;0,100*245416/1788941,"")</f>
        <v>13.718507206218652</v>
      </c>
      <c r="S22" s="1">
        <f>IF(COUNT(Q22:R22)=2,R22-Q22,"")</f>
        <v>-12.899416463461586</v>
      </c>
    </row>
    <row r="23" spans="1:19">
      <c r="A23" s="1">
        <v>21</v>
      </c>
      <c r="B23" s="1">
        <v>20</v>
      </c>
      <c r="C23" s="1">
        <f>IF(1068079&gt;0,100*233010/1068079,"")</f>
        <v>21.815802014644984</v>
      </c>
      <c r="D23" s="1">
        <f>IF(942932&gt;0,100*132621/942932,"")</f>
        <v>14.06474698069426</v>
      </c>
      <c r="E23" s="1">
        <f>IF(COUNT(C23:D23)=2,D23-C23,"")</f>
        <v>-7.751055033950724</v>
      </c>
      <c r="H23" s="1">
        <v>21</v>
      </c>
      <c r="I23" s="1">
        <v>20</v>
      </c>
      <c r="J23" s="1">
        <f>IF(2064525&gt;0,100*814911/2064525,"")</f>
        <v>39.47208195589785</v>
      </c>
      <c r="K23" s="1">
        <f>IF(1063071&gt;0,100*160247/1063071,"")</f>
        <v>15.073969659599406</v>
      </c>
      <c r="L23" s="1">
        <f>IF(COUNT(J23:K23)=2,K23-J23,"")</f>
        <v>-24.398112296298443</v>
      </c>
      <c r="O23" s="1">
        <v>21</v>
      </c>
      <c r="P23" s="1">
        <v>20</v>
      </c>
      <c r="Q23" s="1">
        <f>IF(988289&gt;0,100*243580/988289,"")</f>
        <v>24.646636763133053</v>
      </c>
      <c r="R23" s="1">
        <f>IF(1600944&gt;0,100*369016/1600944,"")</f>
        <v>23.049900558670384</v>
      </c>
      <c r="S23" s="1">
        <f>IF(COUNT(Q23:R23)=2,R23-Q23,"")</f>
        <v>-1.596736204462669</v>
      </c>
    </row>
    <row r="24" spans="1:19">
      <c r="A24" s="1">
        <v>22</v>
      </c>
      <c r="B24" s="1">
        <v>21</v>
      </c>
      <c r="C24" s="1">
        <f>IF(1338290&gt;0,100*468761/1338290,"")</f>
        <v>35.0268626381427</v>
      </c>
      <c r="D24" s="1">
        <f>IF(1015379&gt;0,100*229385/1015379,"")</f>
        <v>22.591071905170384</v>
      </c>
      <c r="E24" s="1">
        <f>IF(COUNT(C24:D24)=2,D24-C24,"")</f>
        <v>-12.435790732972318</v>
      </c>
      <c r="H24" s="1">
        <v>22</v>
      </c>
      <c r="I24" s="1">
        <v>21</v>
      </c>
      <c r="J24" s="1">
        <f>IF(1478082&gt;0,100*446963/1478082,"")</f>
        <v>30.23939131929081</v>
      </c>
      <c r="K24" s="1">
        <f>IF(1317191&gt;0,100*344059/1317191,"")</f>
        <v>26.12066131639223</v>
      </c>
      <c r="L24" s="1">
        <f>IF(COUNT(J24:K24)=2,K24-J24,"")</f>
        <v>-4.11873000289858</v>
      </c>
      <c r="O24" s="1">
        <v>22</v>
      </c>
      <c r="P24" s="1">
        <v>21</v>
      </c>
      <c r="Q24" s="1">
        <f>IF(1372655&gt;0,100*332190/1372655,"")</f>
        <v>24.20054565786742</v>
      </c>
      <c r="R24" s="1">
        <f>IF(1089369&gt;0,100*281488/1089369,"")</f>
        <v>25.839545645231322</v>
      </c>
      <c r="S24" s="1">
        <f>IF(COUNT(Q24:R24)=2,R24-Q24,"")</f>
        <v>1.6389999873639027</v>
      </c>
    </row>
    <row r="25" spans="1:19">
      <c r="A25" s="1">
        <v>23</v>
      </c>
      <c r="B25" s="1">
        <v>22</v>
      </c>
      <c r="C25" s="1">
        <f>IF(509320&gt;0,100*1248/509320,"")</f>
        <v>0.24503259247624284</v>
      </c>
      <c r="D25" s="1">
        <f>IF(512260&gt;0,100*1074/512260,"")</f>
        <v>0.2096591574591028</v>
      </c>
      <c r="E25" s="1">
        <f>IF(COUNT(C25:D25)=2,D25-C25,"")</f>
        <v>-0.03537343501714005</v>
      </c>
      <c r="H25" s="1">
        <v>23</v>
      </c>
      <c r="I25" s="1">
        <v>22</v>
      </c>
      <c r="J25" s="1">
        <f>IF(1340391&gt;0,100*238132/1340391,"")</f>
        <v>17.765860857018588</v>
      </c>
      <c r="K25" s="1">
        <f>IF(1325509&gt;0,100*295301/1325509,"")</f>
        <v>22.27830969084329</v>
      </c>
      <c r="L25" s="1">
        <f>IF(COUNT(J25:K25)=2,K25-J25,"")</f>
        <v>4.512448833824703</v>
      </c>
      <c r="O25" s="1">
        <v>23</v>
      </c>
      <c r="P25" s="1">
        <v>22</v>
      </c>
      <c r="Q25" s="1">
        <f>IF(1673110&gt;0,100*548899/1673110,"")</f>
        <v>32.80710772154849</v>
      </c>
      <c r="R25" s="1">
        <f>IF(805079&gt;0,100*78146/805079,"")</f>
        <v>9.706625064124141</v>
      </c>
      <c r="S25" s="1">
        <f>IF(COUNT(Q25:R25)=2,R25-Q25,"")</f>
        <v>-23.10048265742435</v>
      </c>
    </row>
    <row r="26" spans="1:19">
      <c r="A26" s="1">
        <v>24</v>
      </c>
      <c r="B26" s="1">
        <v>23</v>
      </c>
      <c r="C26" s="1">
        <f>IF(914755&gt;0,100*175077/914755,"")</f>
        <v>19.139223070658264</v>
      </c>
      <c r="D26" s="1">
        <f>IF(862987&gt;0,100*7760/862987,"")</f>
        <v>0.899202421357448</v>
      </c>
      <c r="E26" s="1">
        <f>IF(COUNT(C26:D26)=2,D26-C26,"")</f>
        <v>-18.240020649300817</v>
      </c>
      <c r="H26" s="1">
        <v>24</v>
      </c>
      <c r="I26" s="1">
        <v>23</v>
      </c>
      <c r="J26" s="1">
        <f>IF(1715105&gt;0,100*545055/1715105,"")</f>
        <v>31.77968695794135</v>
      </c>
      <c r="K26" s="1">
        <f>IF(1247364&gt;0,100*155048/1247364,"")</f>
        <v>12.430052494700826</v>
      </c>
      <c r="L26" s="1">
        <f>IF(COUNT(J26:K26)=2,K26-J26,"")</f>
        <v>-19.349634463240527</v>
      </c>
      <c r="O26" s="1">
        <v>24</v>
      </c>
      <c r="P26" s="1">
        <v>23</v>
      </c>
      <c r="Q26" s="1">
        <f>IF(1476074&gt;0,100*377502/1476074,"")</f>
        <v>25.57473405804858</v>
      </c>
      <c r="R26" s="1">
        <f>IF(1716097&gt;0,100*482521/1716097,"")</f>
        <v>28.117350009935336</v>
      </c>
      <c r="S26" s="1">
        <f>IF(COUNT(Q26:R26)=2,R26-Q26,"")</f>
        <v>2.5426159518867557</v>
      </c>
    </row>
    <row r="27" spans="1:19">
      <c r="A27" s="1">
        <v>25</v>
      </c>
      <c r="B27" s="1">
        <v>24</v>
      </c>
      <c r="C27" s="1">
        <f>IF(1691255&gt;0,100*656381/1691255,"")</f>
        <v>38.81029176558236</v>
      </c>
      <c r="D27" s="1">
        <f>IF(1366055&gt;0,100*346553/1366055,"")</f>
        <v>25.368890710842535</v>
      </c>
      <c r="E27" s="1">
        <f>IF(COUNT(C27:D27)=2,D27-C27,"")</f>
        <v>-13.441401054739828</v>
      </c>
      <c r="H27" s="1">
        <v>25</v>
      </c>
      <c r="I27" s="1">
        <v>24</v>
      </c>
      <c r="J27" s="1">
        <f>IF(1222508&gt;0,100*246917/1222508,"")</f>
        <v>20.197577439166043</v>
      </c>
      <c r="K27" s="1">
        <f>IF(846467&gt;0,100*22752/846467,"")</f>
        <v>2.687877968071998</v>
      </c>
      <c r="L27" s="1">
        <f>IF(COUNT(J27:K27)=2,K27-J27,"")</f>
        <v>-17.509699471094045</v>
      </c>
      <c r="O27" s="1">
        <v>25</v>
      </c>
      <c r="P27" s="1">
        <v>24</v>
      </c>
      <c r="Q27" s="1">
        <f>IF(1190475&gt;0,100*83215/1190475,"")</f>
        <v>6.99006699006699</v>
      </c>
      <c r="R27" s="1">
        <f>IF(989142&gt;0,100*132941/989142,"")</f>
        <v>13.44003186600104</v>
      </c>
      <c r="S27" s="1">
        <f>IF(COUNT(Q27:R27)=2,R27-Q27,"")</f>
        <v>6.449964875934049</v>
      </c>
    </row>
    <row r="28" spans="1:19">
      <c r="A28" s="1">
        <v>26</v>
      </c>
      <c r="B28" s="1">
        <v>25</v>
      </c>
      <c r="C28" s="1">
        <f>IF(1683042&gt;0,100*681416/1683042,"")</f>
        <v>40.48716550151452</v>
      </c>
      <c r="D28" s="1">
        <f>IF(1267375&gt;0,100*318708/1267375,"")</f>
        <v>25.14709537429727</v>
      </c>
      <c r="E28" s="1">
        <f>IF(COUNT(C28:D28)=2,D28-C28,"")</f>
        <v>-15.340070127217249</v>
      </c>
      <c r="H28" s="1">
        <v>26</v>
      </c>
      <c r="I28" s="1">
        <v>25</v>
      </c>
      <c r="J28" s="1">
        <f>IF(1827352&gt;0,100*581318/1827352,"")</f>
        <v>31.8120427810296</v>
      </c>
      <c r="K28" s="1">
        <f>IF(1311767&gt;0,100*267031/1311767,"")</f>
        <v>20.35658771717843</v>
      </c>
      <c r="L28" s="1">
        <f>IF(COUNT(J28:K28)=2,K28-J28,"")</f>
        <v>-11.455455063851169</v>
      </c>
      <c r="O28" s="1">
        <v>26</v>
      </c>
      <c r="P28" s="1">
        <v>25</v>
      </c>
      <c r="Q28" s="1">
        <f>IF(1679034&gt;0,100*488863/1679034,"")</f>
        <v>29.11572963978097</v>
      </c>
      <c r="R28" s="1">
        <f>IF(1253939&gt;0,100*190333/1253939,"")</f>
        <v>15.178808538533374</v>
      </c>
      <c r="S28" s="1">
        <f>IF(COUNT(Q28:R28)=2,R28-Q28,"")</f>
        <v>-13.936921101247595</v>
      </c>
    </row>
    <row r="29" spans="1:19">
      <c r="A29" s="1">
        <v>27</v>
      </c>
      <c r="B29" s="1">
        <v>26</v>
      </c>
      <c r="C29" s="1">
        <f>IF(1557766&gt;0,100*464581/1557766,"")</f>
        <v>29.823542175140553</v>
      </c>
      <c r="D29" s="1">
        <f>IF(1569618&gt;0,100*445874/1569618,"")</f>
        <v>28.406529486792326</v>
      </c>
      <c r="E29" s="1">
        <f>IF(COUNT(C29:D29)=2,D29-C29,"")</f>
        <v>-1.4170126883482261</v>
      </c>
      <c r="H29" s="1">
        <v>27</v>
      </c>
      <c r="I29" s="1">
        <v>26</v>
      </c>
      <c r="J29" s="1">
        <f>IF(1255658&gt;0,100*171678/1255658,"")</f>
        <v>13.672353459301815</v>
      </c>
      <c r="K29" s="1">
        <f>IF(1126045&gt;0,100*156122/1126045,"")</f>
        <v>13.86463240811868</v>
      </c>
      <c r="L29" s="1">
        <f>IF(COUNT(J29:K29)=2,K29-J29,"")</f>
        <v>0.19227894881686503</v>
      </c>
      <c r="O29" s="1">
        <v>27</v>
      </c>
      <c r="P29" s="1">
        <v>26</v>
      </c>
      <c r="Q29" s="1">
        <f>IF(2118549&gt;0,100*871261/2118549,"")</f>
        <v>41.12536457735931</v>
      </c>
      <c r="R29" s="1">
        <f>IF(1649528&gt;0,100*382820/1649528,"")</f>
        <v>23.20785097312686</v>
      </c>
      <c r="S29" s="1">
        <f>IF(COUNT(Q29:R29)=2,R29-Q29,"")</f>
        <v>-17.917513604232454</v>
      </c>
    </row>
    <row r="30" spans="1:19">
      <c r="A30" s="1">
        <v>28</v>
      </c>
      <c r="B30" s="1">
        <v>27</v>
      </c>
      <c r="C30" s="1">
        <f>IF(506350&gt;0,100*449/506350,"")</f>
        <v>0.08867384220400909</v>
      </c>
      <c r="D30" s="1">
        <f>IF(507421&gt;0,100*599/507421,"")</f>
        <v>0.11804793258457967</v>
      </c>
      <c r="E30" s="1">
        <f>IF(COUNT(C30:D30)=2,D30-C30,"")</f>
        <v>0.02937409038057058</v>
      </c>
      <c r="H30" s="1">
        <v>28</v>
      </c>
      <c r="I30" s="1">
        <v>27</v>
      </c>
      <c r="J30" s="1">
        <f>IF(1718872&gt;0,100*583484/1718872,"")</f>
        <v>33.94575046891217</v>
      </c>
      <c r="K30" s="1">
        <f>IF(1114625&gt;0,100*142817/1114625,"")</f>
        <v>12.813008859481888</v>
      </c>
      <c r="L30" s="1">
        <f>IF(COUNT(J30:K30)=2,K30-J30,"")</f>
        <v>-21.132741609430283</v>
      </c>
      <c r="O30" s="1">
        <v>28</v>
      </c>
      <c r="P30" s="1">
        <v>27</v>
      </c>
      <c r="Q30" s="1">
        <f>IF(1202604&gt;0,100*322949/1202604,"")</f>
        <v>26.8541431759748</v>
      </c>
      <c r="R30" s="1">
        <f>IF(1173168&gt;0,100*190551/1173168,"")</f>
        <v>16.24243075160591</v>
      </c>
      <c r="S30" s="1">
        <f>IF(COUNT(Q30:R30)=2,R30-Q30,"")</f>
        <v>-10.611712424368893</v>
      </c>
    </row>
    <row r="31" spans="1:19">
      <c r="A31" s="1">
        <v>29</v>
      </c>
      <c r="B31" s="1">
        <v>28</v>
      </c>
      <c r="C31" s="1">
        <f>IF(1614535&gt;0,100*599059/1614535,"")</f>
        <v>37.104119762036746</v>
      </c>
      <c r="D31" s="1">
        <f>IF(1659673&gt;0,100*432758/1659673,"")</f>
        <v>26.074895476398062</v>
      </c>
      <c r="E31" s="1">
        <f>IF(COUNT(C31:D31)=2,D31-C31,"")</f>
        <v>-11.029224285638684</v>
      </c>
      <c r="H31" s="1">
        <v>29</v>
      </c>
      <c r="I31" s="1">
        <v>28</v>
      </c>
      <c r="J31" s="1">
        <f>IF(1707787&gt;0,100*644845/1707787,"")</f>
        <v>37.75909993459371</v>
      </c>
      <c r="K31" s="1">
        <f>IF(1691281&gt;0,100*409968/1691281,"")</f>
        <v>24.240087838744714</v>
      </c>
      <c r="L31" s="1">
        <f>IF(COUNT(J31:K31)=2,K31-J31,"")</f>
        <v>-13.519012095849</v>
      </c>
      <c r="O31" s="1">
        <v>29</v>
      </c>
      <c r="P31" s="1">
        <v>28</v>
      </c>
      <c r="Q31" s="1">
        <f>IF(1781585&gt;0,100*685393/1781585,"")</f>
        <v>38.47096826702066</v>
      </c>
      <c r="R31" s="1">
        <f>IF(1342852&gt;0,100*266078/1342852,"")</f>
        <v>19.81439503385332</v>
      </c>
      <c r="S31" s="1">
        <f>IF(COUNT(Q31:R31)=2,R31-Q31,"")</f>
        <v>-18.65657323316734</v>
      </c>
    </row>
    <row r="32" spans="1:19">
      <c r="A32" s="1">
        <v>30</v>
      </c>
      <c r="B32" s="1">
        <v>29</v>
      </c>
      <c r="C32" s="1">
        <f>IF(1722125&gt;0,100*685666/1722125,"")</f>
        <v>39.81511214342745</v>
      </c>
      <c r="D32" s="1">
        <f>IF(407479&gt;0,100*75538/407479,"")</f>
        <v>18.537887842072845</v>
      </c>
      <c r="E32" s="1">
        <f>IF(COUNT(C32:D32)=2,D32-C32,"")</f>
        <v>-21.277224301354604</v>
      </c>
      <c r="H32" s="1">
        <v>30</v>
      </c>
      <c r="I32" s="1">
        <v>29</v>
      </c>
      <c r="J32" s="1">
        <f>IF(1183903&gt;0,100*336267/1183903,"")</f>
        <v>28.403256009994063</v>
      </c>
      <c r="K32" s="1">
        <f>IF(1148726&gt;0,100*169488/1148726,"")</f>
        <v>14.7544323015236</v>
      </c>
      <c r="L32" s="1">
        <f>IF(COUNT(J32:K32)=2,K32-J32,"")</f>
        <v>-13.648823708470463</v>
      </c>
      <c r="O32" s="1">
        <v>30</v>
      </c>
      <c r="P32" s="1">
        <v>29</v>
      </c>
      <c r="Q32" s="1">
        <f>IF(1267752&gt;0,100*304833/1267752,"")</f>
        <v>24.045160252162884</v>
      </c>
      <c r="R32" s="1">
        <f>IF(1224994&gt;0,100*124781/1224994,"")</f>
        <v>10.18625397348885</v>
      </c>
      <c r="S32" s="1">
        <f>IF(COUNT(Q32:R32)=2,R32-Q32,"")</f>
        <v>-13.858906278674034</v>
      </c>
    </row>
    <row r="33" spans="1:19">
      <c r="A33" s="1">
        <v>31</v>
      </c>
      <c r="B33" s="1">
        <v>30</v>
      </c>
      <c r="C33" s="1">
        <f>IF(758539&gt;0,100*11909/758539,"")</f>
        <v>1.569991786842865</v>
      </c>
      <c r="D33" s="1">
        <f>IF(953975&gt;0,100*2857/953975,"")</f>
        <v>0.2994837390916953</v>
      </c>
      <c r="E33" s="1">
        <f>IF(COUNT(C33:D33)=2,D33-C33,"")</f>
        <v>-1.2705080477511697</v>
      </c>
      <c r="H33" s="1">
        <v>31</v>
      </c>
      <c r="I33" s="1">
        <v>30</v>
      </c>
      <c r="J33" s="1">
        <f>IF(1372764&gt;0,100*366154/1372764,"")</f>
        <v>26.67275656995667</v>
      </c>
      <c r="K33" s="1">
        <f>IF(1450751&gt;0,100*399443/1450751,"")</f>
        <v>27.533532632409006</v>
      </c>
      <c r="L33" s="1">
        <f>IF(COUNT(J33:K33)=2,K33-J33,"")</f>
        <v>0.8607760624523344</v>
      </c>
      <c r="O33" s="1">
        <v>31</v>
      </c>
      <c r="P33" s="1">
        <v>30</v>
      </c>
      <c r="Q33" s="1">
        <f>IF(1698653&gt;0,100*588007/1698653,"")</f>
        <v>34.616075207826434</v>
      </c>
      <c r="R33" s="1">
        <f>IF(1512448&gt;0,100*336927/1512448,"")</f>
        <v>22.276931173832093</v>
      </c>
      <c r="S33" s="1">
        <f>IF(COUNT(Q33:R33)=2,R33-Q33,"")</f>
        <v>-12.33914403399434</v>
      </c>
    </row>
    <row r="34" spans="1:19">
      <c r="A34" s="2" t="s">
        <v>6</v>
      </c>
      <c r="B34" s="1"/>
      <c r="C34" s="1">
        <f>IF(COUNT(C3:C33)&gt;0,AVERAGE(C3:C33),"")</f>
        <v>28.37755704515853</v>
      </c>
      <c r="D34" s="1">
        <f>IF(COUNT(D3:D33)&gt;0,AVERAGE(D3:D33),"")</f>
        <v>18.274075559870578</v>
      </c>
      <c r="E34" s="1">
        <f>IF(COUNT(E3:E33)&gt;0,AVERAGE(E3:E33),"")</f>
        <v>-10.103481485287949</v>
      </c>
      <c r="H34" s="2" t="s">
        <v>6</v>
      </c>
      <c r="I34" s="1"/>
      <c r="J34" s="1">
        <f>IF(COUNT(J3:J33)&gt;0,AVERAGE(J3:J33),"")</f>
        <v>23.048785214991636</v>
      </c>
      <c r="K34" s="1">
        <f>IF(COUNT(K3:K33)&gt;0,AVERAGE(K3:K33),"")</f>
        <v>15.172840492678416</v>
      </c>
      <c r="L34" s="1">
        <f>IF(COUNT(L3:L33)&gt;0,AVERAGE(L3:L33),"")</f>
        <v>-7.875944722313219</v>
      </c>
      <c r="O34" s="2" t="s">
        <v>6</v>
      </c>
      <c r="P34" s="1"/>
      <c r="Q34" s="1">
        <f>IF(COUNT(Q3:Q33)&gt;0,AVERAGE(Q3:Q33),"")</f>
        <v>24.644136830215917</v>
      </c>
      <c r="R34" s="1">
        <f>IF(COUNT(R3:R33)&gt;0,AVERAGE(R3:R33),"")</f>
        <v>17.096975247252267</v>
      </c>
      <c r="S34" s="1">
        <f>IF(COUNT(S3:S33)&gt;0,AVERAGE(S3:S33),"")</f>
        <v>-7.547161582963652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IF(1093423&gt;0,100*121600/1093423,"")</f>
        <v>11.121039158678755</v>
      </c>
      <c r="D39" s="1">
        <f>IF(1075221&gt;0,100*58809/1075221,"")</f>
        <v>5.46948022778573</v>
      </c>
      <c r="E39" s="1">
        <f>IF(COUNT(C39:D39)=2,D39-C39,"")</f>
        <v>-5.651558930893025</v>
      </c>
      <c r="H39" s="1">
        <v>1</v>
      </c>
      <c r="I39" s="1">
        <v>0</v>
      </c>
      <c r="J39" s="1">
        <f>IF(2001661&gt;0,100*613984/2001661,"")</f>
        <v>30.673725470996338</v>
      </c>
      <c r="K39" s="1">
        <f>IF(1973206&gt;0,100*529541/1973206,"")</f>
        <v>26.836579657673855</v>
      </c>
      <c r="L39" s="1">
        <f>IF(COUNT(J39:K39)=2,K39-J39,"")</f>
        <v>-3.8371458133224827</v>
      </c>
      <c r="O39" s="1">
        <v>1</v>
      </c>
      <c r="P39" s="1">
        <v>0</v>
      </c>
      <c r="Q39" s="1">
        <f>IF(1572820&gt;0,100*273004/1572820,"")</f>
        <v>17.35761244134739</v>
      </c>
      <c r="R39" s="1">
        <f>IF(2221455&gt;0,100*594942/2221455,"")</f>
        <v>26.781636359953275</v>
      </c>
      <c r="S39" s="1">
        <f>IF(COUNT(Q39:R39)=2,R39-Q39,"")</f>
        <v>9.424023918605887</v>
      </c>
    </row>
    <row r="40" spans="1:19">
      <c r="A40" s="1">
        <v>2</v>
      </c>
      <c r="B40" s="1">
        <v>1</v>
      </c>
      <c r="C40" s="1">
        <f>IF(1205676&gt;0,100*374828/1205676,"")</f>
        <v>31.08861750586393</v>
      </c>
      <c r="D40" s="1">
        <f>IF(1979439&gt;0,100*300986/1979439,"")</f>
        <v>15.205621390707165</v>
      </c>
      <c r="E40" s="1">
        <f>IF(COUNT(C40:D40)=2,D40-C40,"")</f>
        <v>-15.882996115156764</v>
      </c>
      <c r="H40" s="1">
        <v>2</v>
      </c>
      <c r="I40" s="1">
        <v>1</v>
      </c>
      <c r="J40" s="1">
        <f>IF(2100504&gt;0,100*794890/2100504,"")</f>
        <v>37.84282248450848</v>
      </c>
      <c r="K40" s="1">
        <f>IF(2462760&gt;0,100*749283/2462760,"")</f>
        <v>30.424523705111337</v>
      </c>
      <c r="L40" s="1">
        <f>IF(COUNT(J40:K40)=2,K40-J40,"")</f>
        <v>-7.418298779397144</v>
      </c>
      <c r="O40" s="1">
        <v>2</v>
      </c>
      <c r="P40" s="1">
        <v>1</v>
      </c>
      <c r="Q40" s="1">
        <f>IF(2271111&gt;0,100*972080/2271111,"")</f>
        <v>42.801959041191736</v>
      </c>
      <c r="R40" s="1">
        <f>IF(1729495&gt;0,100*356997/1729495,"")</f>
        <v>20.641690204366014</v>
      </c>
      <c r="S40" s="1">
        <f>IF(COUNT(Q40:R40)=2,R40-Q40,"")</f>
        <v>-22.160268836825722</v>
      </c>
    </row>
    <row r="41" spans="1:19">
      <c r="A41" s="1">
        <v>3</v>
      </c>
      <c r="B41" s="1">
        <v>2</v>
      </c>
      <c r="C41" s="1">
        <f>IF(1607803&gt;0,100*670978/1607803,"")</f>
        <v>41.732600324791036</v>
      </c>
      <c r="D41" s="1">
        <f>IF(2195198&gt;0,100*757967/2195198,"")</f>
        <v>34.52841156014173</v>
      </c>
      <c r="E41" s="1">
        <f>IF(COUNT(C41:D41)=2,D41-C41,"")</f>
        <v>-7.2041887646493095</v>
      </c>
      <c r="H41" s="1">
        <v>3</v>
      </c>
      <c r="I41" s="1">
        <v>2</v>
      </c>
      <c r="J41" s="1">
        <f>IF(2703819&gt;0,100*975381/2703819,"")</f>
        <v>36.0741972742998</v>
      </c>
      <c r="K41" s="1">
        <f>IF(976345&gt;0,100*34451/976345,"")</f>
        <v>3.528568282727929</v>
      </c>
      <c r="L41" s="1">
        <f>IF(COUNT(J41:K41)=2,K41-J41,"")</f>
        <v>-32.54562899157187</v>
      </c>
      <c r="O41" s="1">
        <v>3</v>
      </c>
      <c r="P41" s="1">
        <v>2</v>
      </c>
      <c r="Q41" s="1">
        <f>IF(2333406&gt;0,100*950771/2333406,"")</f>
        <v>40.746059622714604</v>
      </c>
      <c r="R41" s="1">
        <f>IF(2061127&gt;0,100*431070/2061127,"")</f>
        <v>20.91428621331922</v>
      </c>
      <c r="S41" s="1">
        <f>IF(COUNT(Q41:R41)=2,R41-Q41,"")</f>
        <v>-19.831773409395385</v>
      </c>
    </row>
    <row r="42" spans="1:19">
      <c r="A42" s="1">
        <v>4</v>
      </c>
      <c r="B42" s="1">
        <v>3</v>
      </c>
      <c r="C42" s="1">
        <f>IF(2016766&gt;0,100*855389/2016766,"")</f>
        <v>42.41389432388289</v>
      </c>
      <c r="D42" s="1">
        <f>IF(1854300&gt;0,100*424241/1854300,"")</f>
        <v>22.87876826834924</v>
      </c>
      <c r="E42" s="1">
        <f>IF(COUNT(C42:D42)=2,D42-C42,"")</f>
        <v>-19.535126055533652</v>
      </c>
      <c r="H42" s="1">
        <v>4</v>
      </c>
      <c r="I42" s="1">
        <v>3</v>
      </c>
      <c r="J42" s="1">
        <f>IF(1363146&gt;0,100*83089/1363146,"")</f>
        <v>6.09538523386343</v>
      </c>
      <c r="K42" s="1">
        <f>IF(1113626&gt;0,100*42339/1113626,"")</f>
        <v>3.8019047687464194</v>
      </c>
      <c r="L42" s="1">
        <f>IF(COUNT(J42:K42)=2,K42-J42,"")</f>
        <v>-2.293480465117011</v>
      </c>
      <c r="O42" s="1">
        <v>4</v>
      </c>
      <c r="P42" s="1">
        <v>3</v>
      </c>
      <c r="Q42" s="1">
        <f>IF(1406270&gt;0,100*83129/1406270,"")</f>
        <v>5.911311483570011</v>
      </c>
      <c r="R42" s="1">
        <f>IF(1309143&gt;0,100*77258/1309143,"")</f>
        <v>5.90141795052183</v>
      </c>
      <c r="S42" s="1">
        <f>IF(COUNT(Q42:R42)=2,R42-Q42,"")</f>
        <v>-0.009893533048181524</v>
      </c>
    </row>
    <row r="43" spans="1:19">
      <c r="A43" s="1">
        <v>5</v>
      </c>
      <c r="B43" s="1">
        <v>4</v>
      </c>
      <c r="C43" s="1">
        <f>IF(1270456&gt;0,100*222216/1270456,"")</f>
        <v>17.49104258628398</v>
      </c>
      <c r="D43" s="1">
        <f>IF(1729303&gt;0,100*227671/1729303,"")</f>
        <v>13.165477651978861</v>
      </c>
      <c r="E43" s="1">
        <f>IF(COUNT(C43:D43)=2,D43-C43,"")</f>
        <v>-4.32556493430512</v>
      </c>
      <c r="H43" s="1">
        <v>5</v>
      </c>
      <c r="I43" s="1">
        <v>4</v>
      </c>
      <c r="J43" s="1">
        <f>IF(2437241&gt;0,100*1028598/2437241,"")</f>
        <v>42.20337668699977</v>
      </c>
      <c r="K43" s="1">
        <f>IF(2561112&gt;0,100*718616/2561112,"")</f>
        <v>28.058749480694324</v>
      </c>
      <c r="L43" s="1">
        <f>IF(COUNT(J43:K43)=2,K43-J43,"")</f>
        <v>-14.144627206305444</v>
      </c>
      <c r="O43" s="1">
        <v>5</v>
      </c>
      <c r="P43" s="1">
        <v>4</v>
      </c>
      <c r="Q43" s="1">
        <f>IF(2401097&gt;0,100*1112784/2401097,"")</f>
        <v>46.344816556765515</v>
      </c>
      <c r="R43" s="1">
        <f>IF(2617671&gt;0,100*793608/2617671,"")</f>
        <v>30.31733170440441</v>
      </c>
      <c r="S43" s="1">
        <f>IF(COUNT(Q43:R43)=2,R43-Q43,"")</f>
        <v>-16.027484852361106</v>
      </c>
    </row>
    <row r="44" spans="1:19">
      <c r="A44" s="1">
        <v>6</v>
      </c>
      <c r="B44" s="1">
        <v>5</v>
      </c>
      <c r="C44" s="1">
        <f>IF(2068143&gt;0,100*935980/2068143,"")</f>
        <v>45.25702526372693</v>
      </c>
      <c r="D44" s="1">
        <f>IF(1617440&gt;0,100*321615/1617440,"")</f>
        <v>19.88419972301909</v>
      </c>
      <c r="E44" s="1">
        <f>IF(COUNT(C44:D44)=2,D44-C44,"")</f>
        <v>-25.37282554070784</v>
      </c>
      <c r="H44" s="1">
        <v>6</v>
      </c>
      <c r="I44" s="1">
        <v>5</v>
      </c>
      <c r="J44" s="1">
        <f>IF(2170385&gt;0,100*855280/2170385,"")</f>
        <v>39.40683334984346</v>
      </c>
      <c r="K44" s="1">
        <f>IF(2139715&gt;0,100*538804/2139715,"")</f>
        <v>25.181110568463556</v>
      </c>
      <c r="L44" s="1">
        <f>IF(COUNT(J44:K44)=2,K44-J44,"")</f>
        <v>-14.225722781379904</v>
      </c>
      <c r="O44" s="1">
        <v>6</v>
      </c>
      <c r="P44" s="1">
        <v>5</v>
      </c>
      <c r="Q44" s="1">
        <f>IF(1758860&gt;0,100*252810/1758860,"")</f>
        <v>14.373514662906656</v>
      </c>
      <c r="R44" s="1">
        <f>IF(1762127&gt;0,100*331420/1762127,"")</f>
        <v>18.807951980759615</v>
      </c>
      <c r="S44" s="1">
        <f>IF(COUNT(Q44:R44)=2,R44-Q44,"")</f>
        <v>4.434437317852959</v>
      </c>
    </row>
    <row r="45" spans="1:19">
      <c r="A45" s="1">
        <v>7</v>
      </c>
      <c r="B45" s="1">
        <v>6</v>
      </c>
      <c r="C45" s="1">
        <f>IF(1955799&gt;0,100*927153/1955799,"")</f>
        <v>47.405331529466984</v>
      </c>
      <c r="D45" s="1">
        <f>IF(2205309&gt;0,100*712546/2205309,"")</f>
        <v>32.310483474197945</v>
      </c>
      <c r="E45" s="1">
        <f>IF(COUNT(C45:D45)=2,D45-C45,"")</f>
        <v>-15.09484805526904</v>
      </c>
      <c r="H45" s="1">
        <v>7</v>
      </c>
      <c r="I45" s="1">
        <v>6</v>
      </c>
      <c r="J45" s="1">
        <f>IF(1062155&gt;0,100*3098/1062155,"")</f>
        <v>0.29167117793542374</v>
      </c>
      <c r="K45" s="1">
        <f>IF(1068720&gt;0,100*7661/1068720,"")</f>
        <v>0.7168388352421589</v>
      </c>
      <c r="L45" s="1">
        <f>IF(COUNT(J45:K45)=2,K45-J45,"")</f>
        <v>0.4251676573067351</v>
      </c>
      <c r="O45" s="1">
        <v>7</v>
      </c>
      <c r="P45" s="1">
        <v>6</v>
      </c>
      <c r="Q45" s="1">
        <f>IF(1340065&gt;0,100*31783/1340065,"")</f>
        <v>2.3717506240368937</v>
      </c>
      <c r="R45" s="1">
        <f>IF(1215285&gt;0,100*130769/1215285,"")</f>
        <v>10.760356624166349</v>
      </c>
      <c r="S45" s="1">
        <f>IF(COUNT(Q45:R45)=2,R45-Q45,"")</f>
        <v>8.388606000129455</v>
      </c>
    </row>
    <row r="46" spans="1:19">
      <c r="A46" s="1">
        <v>8</v>
      </c>
      <c r="B46" s="1">
        <v>7</v>
      </c>
      <c r="C46" s="1">
        <f>IF(2103376&gt;0,100*877826/2103376,"")</f>
        <v>41.73414548801546</v>
      </c>
      <c r="D46" s="1">
        <f>IF(1349814&gt;0,100*306855/1349814,"")</f>
        <v>22.73313212042548</v>
      </c>
      <c r="E46" s="1">
        <f>IF(COUNT(C46:D46)=2,D46-C46,"")</f>
        <v>-19.001013367589977</v>
      </c>
      <c r="H46" s="1">
        <v>8</v>
      </c>
      <c r="I46" s="1">
        <v>7</v>
      </c>
      <c r="J46" s="1">
        <f>IF(875780&gt;0,100*4451/875780,"")</f>
        <v>0.5082326611706136</v>
      </c>
      <c r="K46" s="1">
        <f>IF(892865&gt;0,100*6618/892865,"")</f>
        <v>0.7412094773565993</v>
      </c>
      <c r="L46" s="1">
        <f>IF(COUNT(J46:K46)=2,K46-J46,"")</f>
        <v>0.23297681618598565</v>
      </c>
      <c r="O46" s="1">
        <v>8</v>
      </c>
      <c r="P46" s="1">
        <v>7</v>
      </c>
      <c r="Q46" s="1">
        <f>IF(953770&gt;0,100*30543/953770,"")</f>
        <v>3.202344380720719</v>
      </c>
      <c r="R46" s="1">
        <f>IF(938407&gt;0,100*43419/938407,"")</f>
        <v>4.626883644303591</v>
      </c>
      <c r="S46" s="1">
        <f>IF(COUNT(Q46:R46)=2,R46-Q46,"")</f>
        <v>1.4245392635828722</v>
      </c>
    </row>
    <row r="47" spans="1:19">
      <c r="A47" s="1">
        <v>9</v>
      </c>
      <c r="B47" s="1">
        <v>8</v>
      </c>
      <c r="C47" s="1">
        <f>IF(1775689&gt;0,100*854041/1775689,"")</f>
        <v>48.096316415768754</v>
      </c>
      <c r="D47" s="1">
        <f>IF(1547788&gt;0,100*410983/1547788,"")</f>
        <v>26.55292585289458</v>
      </c>
      <c r="E47" s="1">
        <f>IF(COUNT(C47:D47)=2,D47-C47,"")</f>
        <v>-21.543390562874173</v>
      </c>
      <c r="H47" s="1">
        <v>9</v>
      </c>
      <c r="I47" s="1">
        <v>8</v>
      </c>
      <c r="J47" s="1">
        <f>IF(2261107&gt;0,100*975052/2261107,"")</f>
        <v>43.122771279731566</v>
      </c>
      <c r="K47" s="1">
        <f>IF(2628451&gt;0,100*948907/2628451,"")</f>
        <v>36.10137681851402</v>
      </c>
      <c r="L47" s="1">
        <f>IF(COUNT(J47:K47)=2,K47-J47,"")</f>
        <v>-7.021394461217547</v>
      </c>
      <c r="O47" s="1">
        <v>9</v>
      </c>
      <c r="P47" s="1">
        <v>8</v>
      </c>
      <c r="Q47" s="1">
        <f>IF(2405152&gt;0,100*1125762/2405152,"")</f>
        <v>46.80627253495829</v>
      </c>
      <c r="R47" s="1">
        <f>IF(2301805&gt;0,100*728807/2301805,"")</f>
        <v>31.66241275868286</v>
      </c>
      <c r="S47" s="1">
        <f>IF(COUNT(Q47:R47)=2,R47-Q47,"")</f>
        <v>-15.14385977627543</v>
      </c>
    </row>
    <row r="48" spans="1:19">
      <c r="A48" s="1">
        <v>10</v>
      </c>
      <c r="B48" s="1">
        <v>9</v>
      </c>
      <c r="C48" s="1">
        <f>IF(1746180&gt;0,100*461985/1746180,"")</f>
        <v>26.456894478232485</v>
      </c>
      <c r="D48" s="1">
        <f>IF(1405190&gt;0,100*79722/1405190,"")</f>
        <v>5.673396480191291</v>
      </c>
      <c r="E48" s="1">
        <f>IF(COUNT(C48:D48)=2,D48-C48,"")</f>
        <v>-20.783497998041195</v>
      </c>
      <c r="H48" s="1">
        <v>10</v>
      </c>
      <c r="I48" s="1">
        <v>9</v>
      </c>
      <c r="J48" s="1">
        <f>IF(2706863&gt;0,100*1192100/2706863,"")</f>
        <v>44.03990892778837</v>
      </c>
      <c r="K48" s="1">
        <f>IF(1626214&gt;0,100*79382/1626214,"")</f>
        <v>4.881399373022247</v>
      </c>
      <c r="L48" s="1">
        <f>IF(COUNT(J48:K48)=2,K48-J48,"")</f>
        <v>-39.15850955476612</v>
      </c>
      <c r="O48" s="1">
        <v>10</v>
      </c>
      <c r="P48" s="1">
        <v>9</v>
      </c>
      <c r="Q48" s="1">
        <f>IF(1922653&gt;0,100*523894/1922653,"")</f>
        <v>27.248494658162446</v>
      </c>
      <c r="R48" s="1">
        <f>IF(1107449&gt;0,100*23258/1107449,"")</f>
        <v>2.1001418575482935</v>
      </c>
      <c r="S48" s="1">
        <f>IF(COUNT(Q48:R48)=2,R48-Q48,"")</f>
        <v>-25.148352800614152</v>
      </c>
    </row>
    <row r="49" spans="1:19">
      <c r="A49" s="1">
        <v>11</v>
      </c>
      <c r="B49" s="1">
        <v>10</v>
      </c>
      <c r="C49" s="1">
        <f>IF(1971439&gt;0,100*862784/1971439,"")</f>
        <v>43.76417429096208</v>
      </c>
      <c r="D49" s="1">
        <f>IF(1531425&gt;0,100*308950/1531425,"")</f>
        <v>20.174020928220447</v>
      </c>
      <c r="E49" s="1">
        <f>IF(COUNT(C49:D49)=2,D49-C49,"")</f>
        <v>-23.590153362741635</v>
      </c>
      <c r="H49" s="1">
        <v>11</v>
      </c>
      <c r="I49" s="1">
        <v>10</v>
      </c>
      <c r="J49" s="1">
        <f>IF(2596797&gt;0,100*880971/2596797,"")</f>
        <v>33.92529335177143</v>
      </c>
      <c r="K49" s="1">
        <f>IF(1843085&gt;0,100*46343/1843085,"")</f>
        <v>2.5144255419581842</v>
      </c>
      <c r="L49" s="1">
        <f>IF(COUNT(J49:K49)=2,K49-J49,"")</f>
        <v>-31.410867809813247</v>
      </c>
      <c r="O49" s="1">
        <v>11</v>
      </c>
      <c r="P49" s="1">
        <v>10</v>
      </c>
      <c r="Q49" s="1">
        <f>IF(2537267&gt;0,100*1086404/2537267,"")</f>
        <v>42.817882390777164</v>
      </c>
      <c r="R49" s="1">
        <f>IF(2064483&gt;0,100*407005/2064483,"")</f>
        <v>19.71462104555959</v>
      </c>
      <c r="S49" s="1">
        <f>IF(COUNT(Q49:R49)=2,R49-Q49,"")</f>
        <v>-23.103261345217575</v>
      </c>
    </row>
    <row r="50" spans="1:19">
      <c r="A50" s="1">
        <v>12</v>
      </c>
      <c r="B50" s="1">
        <v>11</v>
      </c>
      <c r="C50" s="1">
        <f>IF(1769042&gt;0,100*718057/1769042,"")</f>
        <v>40.59016122850673</v>
      </c>
      <c r="D50" s="1">
        <f>IF(2234561&gt;0,100*793533/2234561,"")</f>
        <v>35.51180746464294</v>
      </c>
      <c r="E50" s="1">
        <f>IF(COUNT(C50:D50)=2,D50-C50,"")</f>
        <v>-5.078353763863788</v>
      </c>
      <c r="H50" s="1">
        <v>12</v>
      </c>
      <c r="I50" s="1">
        <v>11</v>
      </c>
      <c r="J50" s="1">
        <f>IF(16409&gt;0,100*2109/16409,"")</f>
        <v>12.85270278505698</v>
      </c>
      <c r="K50" s="1">
        <f>IF(2287167&gt;0,100*553420/2287167,"")</f>
        <v>24.196746455330985</v>
      </c>
      <c r="L50" s="1">
        <f>IF(COUNT(J50:K50)=2,K50-J50,"")</f>
        <v>11.344043670274004</v>
      </c>
      <c r="O50" s="1">
        <v>12</v>
      </c>
      <c r="P50" s="1">
        <v>11</v>
      </c>
      <c r="Q50" s="1">
        <f>IF(2609889&gt;0,100*1051883/2609889,"")</f>
        <v>40.30374471864512</v>
      </c>
      <c r="R50" s="1">
        <f>IF(1150554&gt;0,100*100822/1150554,"")</f>
        <v>8.762908998621533</v>
      </c>
      <c r="S50" s="1">
        <f>IF(COUNT(Q50:R50)=2,R50-Q50,"")</f>
        <v>-31.540835720023587</v>
      </c>
    </row>
    <row r="51" spans="1:19">
      <c r="A51" s="1">
        <v>13</v>
      </c>
      <c r="B51" s="1">
        <v>12</v>
      </c>
      <c r="C51" s="1">
        <f>IF(2168985&gt;0,100*980233/2168985,"")</f>
        <v>45.193166388886965</v>
      </c>
      <c r="D51" s="1">
        <f>IF(1822383&gt;0,100*371832/1822383,"")</f>
        <v>20.403614388413413</v>
      </c>
      <c r="E51" s="1">
        <f>IF(COUNT(C51:D51)=2,D51-C51,"")</f>
        <v>-24.789552000473552</v>
      </c>
      <c r="H51" s="1">
        <v>13</v>
      </c>
      <c r="I51" s="1">
        <v>12</v>
      </c>
      <c r="J51" s="1">
        <f>IF(1392134&gt;0,100*142847/1392134,"")</f>
        <v>10.261009356857889</v>
      </c>
      <c r="K51" s="1">
        <f>IF(1427514&gt;0,100*28784/1427514,"")</f>
        <v>2.0163725189385184</v>
      </c>
      <c r="L51" s="1">
        <f>IF(COUNT(J51:K51)=2,K51-J51,"")</f>
        <v>-8.24463683791937</v>
      </c>
      <c r="O51" s="1">
        <v>13</v>
      </c>
      <c r="P51" s="1">
        <v>12</v>
      </c>
      <c r="Q51" s="1">
        <f>IF(1129838&gt;0,100*24638/1129838,"")</f>
        <v>2.1806666088412676</v>
      </c>
      <c r="R51" s="1">
        <f>IF(1378149&gt;0,100*72879/1378149,"")</f>
        <v>5.2881800153684395</v>
      </c>
      <c r="S51" s="1">
        <f>IF(COUNT(Q51:R51)=2,R51-Q51,"")</f>
        <v>3.107513406527172</v>
      </c>
    </row>
    <row r="52" spans="1:19">
      <c r="A52" s="1">
        <v>14</v>
      </c>
      <c r="B52" s="1">
        <v>13</v>
      </c>
      <c r="C52" s="1">
        <f>IF(1030639&gt;0,100*3971/1030639,"")</f>
        <v>0.38529494808560516</v>
      </c>
      <c r="D52" s="1">
        <f>IF(1285114&gt;0,100*24500/1285114,"")</f>
        <v>1.906445653848608</v>
      </c>
      <c r="E52" s="1">
        <f>IF(COUNT(C52:D52)=2,D52-C52,"")</f>
        <v>1.521150705763003</v>
      </c>
      <c r="H52" s="1">
        <v>14</v>
      </c>
      <c r="I52" s="1">
        <v>13</v>
      </c>
      <c r="J52" s="1">
        <f>IF(1631278&gt;0,100*497437/1631278,"")</f>
        <v>30.49369880547644</v>
      </c>
      <c r="K52" s="1">
        <f>IF(1485452&gt;0,100*356860/1485452,"")</f>
        <v>24.023664177637514</v>
      </c>
      <c r="L52" s="1">
        <f>IF(COUNT(J52:K52)=2,K52-J52,"")</f>
        <v>-6.470034627838928</v>
      </c>
      <c r="O52" s="1">
        <v>14</v>
      </c>
      <c r="P52" s="1">
        <v>13</v>
      </c>
      <c r="Q52" s="1">
        <f>IF(1227769&gt;0,100*230841/1227769,"")</f>
        <v>18.801663830899788</v>
      </c>
      <c r="R52" s="1">
        <f>IF(1481658&gt;0,100*304327/1481658,"")</f>
        <v>20.539625203656986</v>
      </c>
      <c r="S52" s="1">
        <f>IF(COUNT(Q52:R52)=2,R52-Q52,"")</f>
        <v>1.7379613727571979</v>
      </c>
    </row>
    <row r="53" spans="1:19">
      <c r="A53" s="1">
        <v>15</v>
      </c>
      <c r="B53" s="1">
        <v>14</v>
      </c>
      <c r="C53" s="1">
        <f>IF(1555406&gt;0,100*520362/1555406,"")</f>
        <v>33.45505932213197</v>
      </c>
      <c r="D53" s="1">
        <f>IF(2165713&gt;0,100*697730/2165713,"")</f>
        <v>32.21710355896649</v>
      </c>
      <c r="E53" s="1">
        <f>IF(COUNT(C53:D53)=2,D53-C53,"")</f>
        <v>-1.2379557631654805</v>
      </c>
      <c r="H53" s="1">
        <v>15</v>
      </c>
      <c r="I53" s="1">
        <v>14</v>
      </c>
      <c r="J53" s="1">
        <f>IF(1857255&gt;0,100*556621/1857255,"")</f>
        <v>29.970090267626148</v>
      </c>
      <c r="K53" s="1">
        <f>IF(2472944&gt;0,100*723038/2472944,"")</f>
        <v>29.237944733079278</v>
      </c>
      <c r="L53" s="1">
        <f>IF(COUNT(J53:K53)=2,K53-J53,"")</f>
        <v>-0.7321455345468699</v>
      </c>
      <c r="O53" s="1">
        <v>15</v>
      </c>
      <c r="P53" s="1">
        <v>14</v>
      </c>
      <c r="Q53" s="1">
        <f>IF(2240147&gt;0,100*1104566/2240147,"")</f>
        <v>49.30774632200476</v>
      </c>
      <c r="R53" s="1">
        <f>IF(2281956&gt;0,100*616069/2281956,"")</f>
        <v>26.997409240143107</v>
      </c>
      <c r="S53" s="1">
        <f>IF(COUNT(Q53:R53)=2,R53-Q53,"")</f>
        <v>-22.310337081861654</v>
      </c>
    </row>
    <row r="54" spans="1:19">
      <c r="A54" s="1">
        <v>16</v>
      </c>
      <c r="B54" s="1">
        <v>15</v>
      </c>
      <c r="C54" s="1">
        <f>IF(1761441&gt;0,100*757460/1761441,"")</f>
        <v>43.00229187352855</v>
      </c>
      <c r="D54" s="1">
        <f>IF(1175331&gt;0,100*239226/1175331,"")</f>
        <v>20.353925830255477</v>
      </c>
      <c r="E54" s="1">
        <f>IF(COUNT(C54:D54)=2,D54-C54,"")</f>
        <v>-22.64836604327307</v>
      </c>
      <c r="H54" s="1">
        <v>16</v>
      </c>
      <c r="I54" s="1">
        <v>15</v>
      </c>
      <c r="J54" s="1">
        <f>IF(1920903&gt;0,100*863441/1920903,"")</f>
        <v>44.949744989726184</v>
      </c>
      <c r="K54" s="1">
        <f>IF(738956&gt;0,100*8849/738956,"")</f>
        <v>1.1975002571195037</v>
      </c>
      <c r="L54" s="1">
        <f>IF(COUNT(J54:K54)=2,K54-J54,"")</f>
        <v>-43.752244732606684</v>
      </c>
      <c r="O54" s="1">
        <v>16</v>
      </c>
      <c r="P54" s="1">
        <v>15</v>
      </c>
      <c r="Q54" s="1">
        <f>IF(2594091&gt;0,100*1215002/2594091,"")</f>
        <v>46.837292909153916</v>
      </c>
      <c r="R54" s="1">
        <f>IF(1678399&gt;0,100*219171/1678399,"")</f>
        <v>13.058337141525943</v>
      </c>
      <c r="S54" s="1">
        <f>IF(COUNT(Q54:R54)=2,R54-Q54,"")</f>
        <v>-33.77895576762798</v>
      </c>
    </row>
    <row r="55" spans="1:19">
      <c r="A55" s="1">
        <v>17</v>
      </c>
      <c r="B55" s="1">
        <v>16</v>
      </c>
      <c r="C55" s="1">
        <f>IF(844646&gt;0,100*17331/844646,"")</f>
        <v>2.0518655152572793</v>
      </c>
      <c r="D55" s="1">
        <f>IF(710534&gt;0,100*7453/710534,"")</f>
        <v>1.048929396763561</v>
      </c>
      <c r="E55" s="1">
        <f>IF(COUNT(C55:D55)=2,D55-C55,"")</f>
        <v>-1.0029361184937184</v>
      </c>
      <c r="H55" s="1">
        <v>17</v>
      </c>
      <c r="I55" s="1">
        <v>16</v>
      </c>
      <c r="J55" s="1">
        <f>IF(2198372&gt;0,100*828948/2198372,"")</f>
        <v>37.70735799036742</v>
      </c>
      <c r="K55" s="1">
        <f>IF(1990439&gt;0,100*424882/1990439,"")</f>
        <v>21.34614524735498</v>
      </c>
      <c r="L55" s="1">
        <f>IF(COUNT(J55:K55)=2,K55-J55,"")</f>
        <v>-16.36121274301244</v>
      </c>
      <c r="O55" s="1">
        <v>17</v>
      </c>
      <c r="P55" s="1">
        <v>16</v>
      </c>
      <c r="Q55" s="1">
        <f>IF(2139602&gt;0,100*724511/2139602,"")</f>
        <v>33.8619518957264</v>
      </c>
      <c r="R55" s="1">
        <f>IF(2279041&gt;0,100*694475/2279041,"")</f>
        <v>30.472246879279485</v>
      </c>
      <c r="S55" s="1">
        <f>IF(COUNT(Q55:R55)=2,R55-Q55,"")</f>
        <v>-3.3897050164469142</v>
      </c>
    </row>
    <row r="56" spans="1:19">
      <c r="A56" s="1">
        <v>18</v>
      </c>
      <c r="B56" s="1">
        <v>17</v>
      </c>
      <c r="C56" s="1">
        <f>IF(913631&gt;0,100*114254/913631,"")</f>
        <v>12.505486350616387</v>
      </c>
      <c r="D56" s="1">
        <f>IF(760957&gt;0,100*35995/760957,"")</f>
        <v>4.730227857815882</v>
      </c>
      <c r="E56" s="1">
        <f>IF(COUNT(C56:D56)=2,D56-C56,"")</f>
        <v>-7.775258492800505</v>
      </c>
      <c r="H56" s="1">
        <v>18</v>
      </c>
      <c r="I56" s="1">
        <v>17</v>
      </c>
      <c r="J56" s="1">
        <f>IF(2215&gt;0,100*355/2215,"")</f>
        <v>16.02708803611738</v>
      </c>
      <c r="K56" s="1">
        <f>IF(2808886&gt;0,100*898001/2808886,"")</f>
        <v>31.970005190669895</v>
      </c>
      <c r="L56" s="1">
        <f>IF(COUNT(J56:K56)=2,K56-J56,"")</f>
        <v>15.942917154552514</v>
      </c>
      <c r="O56" s="1">
        <v>18</v>
      </c>
      <c r="P56" s="1">
        <v>17</v>
      </c>
      <c r="Q56" s="1">
        <f>IF(2597163&gt;0,100*1238582/2597163,"")</f>
        <v>47.68980614616795</v>
      </c>
      <c r="R56" s="1">
        <f>IF(2530573&gt;0,100*775998/2530573,"")</f>
        <v>30.664912650217953</v>
      </c>
      <c r="S56" s="1">
        <f>IF(COUNT(Q56:R56)=2,R56-Q56,"")</f>
        <v>-17.02489349595</v>
      </c>
    </row>
    <row r="57" spans="1:19">
      <c r="A57" s="1">
        <v>19</v>
      </c>
      <c r="B57" s="1">
        <v>18</v>
      </c>
      <c r="C57" s="1">
        <f>IF(2015196&gt;0,100*813734/2015196,"")</f>
        <v>40.37989356866528</v>
      </c>
      <c r="D57" s="1">
        <f>IF(2106334&gt;0,100*720472/2106334,"")</f>
        <v>34.20502161575514</v>
      </c>
      <c r="E57" s="1">
        <f>IF(COUNT(C57:D57)=2,D57-C57,"")</f>
        <v>-6.174871952910138</v>
      </c>
      <c r="H57" s="1">
        <v>19</v>
      </c>
      <c r="I57" s="1">
        <v>18</v>
      </c>
      <c r="J57" s="1">
        <f>IF(1892358&gt;0,100*622212/1892358,"")</f>
        <v>32.880247817801916</v>
      </c>
      <c r="K57" s="1">
        <f>IF(1508073&gt;0,100*208015/1508073,"")</f>
        <v>13.79343042412403</v>
      </c>
      <c r="L57" s="1">
        <f>IF(COUNT(J57:K57)=2,K57-J57,"")</f>
        <v>-19.086817393677883</v>
      </c>
      <c r="O57" s="1">
        <v>19</v>
      </c>
      <c r="P57" s="1">
        <v>18</v>
      </c>
      <c r="Q57" s="1">
        <f>IF(1995148&gt;0,100*689134/1995148,"")</f>
        <v>34.54049524145577</v>
      </c>
      <c r="R57" s="1">
        <f>IF(1823918&gt;0,100*417170/1823918,"")</f>
        <v>22.87219052610918</v>
      </c>
      <c r="S57" s="1">
        <f>IF(COUNT(Q57:R57)=2,R57-Q57,"")</f>
        <v>-11.668304715346594</v>
      </c>
    </row>
    <row r="58" spans="1:19">
      <c r="A58" s="1">
        <v>20</v>
      </c>
      <c r="B58" s="1">
        <v>19</v>
      </c>
      <c r="C58" s="1">
        <f>IF(2178136&gt;0,100*944455/2178136,"")</f>
        <v>43.36069924008418</v>
      </c>
      <c r="D58" s="1">
        <f>IF(1433612&gt;0,100*122320/1433612,"")</f>
        <v>8.532294651551465</v>
      </c>
      <c r="E58" s="1">
        <f>IF(COUNT(C58:D58)=2,D58-C58,"")</f>
        <v>-34.82840458853271</v>
      </c>
      <c r="H58" s="1">
        <v>20</v>
      </c>
      <c r="I58" s="1">
        <v>19</v>
      </c>
      <c r="J58" s="1">
        <f>IF(2533784&gt;0,100*1139277/2533784,"")</f>
        <v>44.96346176311793</v>
      </c>
      <c r="K58" s="1">
        <f>IF(2323146&gt;0,100*595033/2323146,"")</f>
        <v>25.613241698971997</v>
      </c>
      <c r="L58" s="1">
        <f>IF(COUNT(J58:K58)=2,K58-J58,"")</f>
        <v>-19.35022006414593</v>
      </c>
      <c r="O58" s="1">
        <v>20</v>
      </c>
      <c r="P58" s="1">
        <v>19</v>
      </c>
      <c r="Q58" s="1">
        <f>IF(2139229&gt;0,100*899475/2139229,"")</f>
        <v>42.0466906535018</v>
      </c>
      <c r="R58" s="1">
        <f>IF(1614327&gt;0,100*86200/1614327,"")</f>
        <v>5.339686445187375</v>
      </c>
      <c r="S58" s="1">
        <f>IF(COUNT(Q58:R58)=2,R58-Q58,"")</f>
        <v>-36.70700420831442</v>
      </c>
    </row>
    <row r="59" spans="1:19">
      <c r="A59" s="1">
        <v>21</v>
      </c>
      <c r="B59" s="1">
        <v>20</v>
      </c>
      <c r="C59" s="1">
        <f>IF(1558100&gt;0,100*473205/1558100,"")</f>
        <v>30.37064373275143</v>
      </c>
      <c r="D59" s="1">
        <f>IF(1441987&gt;0,100*289402/1441987,"")</f>
        <v>20.069667757060223</v>
      </c>
      <c r="E59" s="1">
        <f>IF(COUNT(C59:D59)=2,D59-C59,"")</f>
        <v>-10.300975975691205</v>
      </c>
      <c r="H59" s="1">
        <v>21</v>
      </c>
      <c r="I59" s="1">
        <v>20</v>
      </c>
      <c r="J59" s="1">
        <f>IF(2773746&gt;0,100*1088927/2773746,"")</f>
        <v>39.25835314408745</v>
      </c>
      <c r="K59" s="1">
        <f>IF(2099007&gt;0,100*487062/2099007,"")</f>
        <v>23.2044009381579</v>
      </c>
      <c r="L59" s="1">
        <f>IF(COUNT(J59:K59)=2,K59-J59,"")</f>
        <v>-16.05395220592955</v>
      </c>
      <c r="O59" s="1">
        <v>21</v>
      </c>
      <c r="P59" s="1">
        <v>20</v>
      </c>
      <c r="Q59" s="1">
        <f>IF(2422246&gt;0,100*1045754/2422246,"")</f>
        <v>43.172906467798896</v>
      </c>
      <c r="R59" s="1">
        <f>IF(1381461&gt;0,100*222727/1381461,"")</f>
        <v>16.122568787682027</v>
      </c>
      <c r="S59" s="1">
        <f>IF(COUNT(Q59:R59)=2,R59-Q59,"")</f>
        <v>-27.05033768011687</v>
      </c>
    </row>
    <row r="60" spans="1:19">
      <c r="A60" s="1">
        <v>22</v>
      </c>
      <c r="B60" s="1">
        <v>21</v>
      </c>
      <c r="C60" s="1">
        <f>IF(1857644&gt;0,100*847880/1857644,"")</f>
        <v>45.64276039973213</v>
      </c>
      <c r="D60" s="1">
        <f>IF(1966429&gt;0,100*633483/1966429,"")</f>
        <v>32.21489308792741</v>
      </c>
      <c r="E60" s="1">
        <f>IF(COUNT(C60:D60)=2,D60-C60,"")</f>
        <v>-13.427867311804725</v>
      </c>
      <c r="H60" s="1">
        <v>22</v>
      </c>
      <c r="I60" s="1">
        <v>21</v>
      </c>
      <c r="J60" s="1">
        <f>IF(2183759&gt;0,100*997955/2183759,"")</f>
        <v>45.69895304381115</v>
      </c>
      <c r="K60" s="1">
        <f>IF(1931946&gt;0,100*515711/1931946,"")</f>
        <v>26.69386204376313</v>
      </c>
      <c r="L60" s="1">
        <f>IF(COUNT(J60:K60)=2,K60-J60,"")</f>
        <v>-19.005091000048022</v>
      </c>
      <c r="O60" s="1">
        <v>22</v>
      </c>
      <c r="P60" s="1">
        <v>21</v>
      </c>
      <c r="Q60" s="1">
        <f>IF(2052914&gt;0,100*716282/2052914,"")</f>
        <v>34.890989101345696</v>
      </c>
      <c r="R60" s="1">
        <f>IF(1582603&gt;0,100*334268/1582603,"")</f>
        <v>21.1214056841798</v>
      </c>
      <c r="S60" s="1">
        <f>IF(COUNT(Q60:R60)=2,R60-Q60,"")</f>
        <v>-13.769583417165897</v>
      </c>
    </row>
    <row r="61" spans="1:19">
      <c r="A61" s="1">
        <v>23</v>
      </c>
      <c r="B61" s="1">
        <v>22</v>
      </c>
      <c r="C61" s="1">
        <f>IF(696517&gt;0,100*2264/696517,"")</f>
        <v>0.325045906991502</v>
      </c>
      <c r="D61" s="1">
        <f>IF(787735&gt;0,100*957/787735,"")</f>
        <v>0.12148755609437184</v>
      </c>
      <c r="E61" s="1">
        <f>IF(COUNT(C61:D61)=2,D61-C61,"")</f>
        <v>-0.20355835089713015</v>
      </c>
      <c r="H61" s="1">
        <v>23</v>
      </c>
      <c r="I61" s="1">
        <v>22</v>
      </c>
      <c r="J61" s="1">
        <f>IF(2492569&gt;0,100*1249101/2492569,"")</f>
        <v>50.11299586892078</v>
      </c>
      <c r="K61" s="1">
        <f>IF(1715306&gt;0,100*179357/1715306,"")</f>
        <v>10.456268444230941</v>
      </c>
      <c r="L61" s="1">
        <f>IF(COUNT(J61:K61)=2,K61-J61,"")</f>
        <v>-39.656727424689834</v>
      </c>
      <c r="O61" s="1">
        <v>23</v>
      </c>
      <c r="P61" s="1">
        <v>22</v>
      </c>
      <c r="Q61" s="1">
        <f>IF(2322764&gt;0,100*881160/2322764,"")</f>
        <v>37.935838509637655</v>
      </c>
      <c r="R61" s="1">
        <f>IF(2446647&gt;0,100*901683/2446647,"")</f>
        <v>36.85382484682098</v>
      </c>
      <c r="S61" s="1">
        <f>IF(COUNT(Q61:R61)=2,R61-Q61,"")</f>
        <v>-1.0820136628166779</v>
      </c>
    </row>
    <row r="62" spans="1:19">
      <c r="A62" s="1">
        <v>24</v>
      </c>
      <c r="B62" s="1">
        <v>23</v>
      </c>
      <c r="C62" s="1">
        <f>IF(1622857&gt;0,100*324323/1622857,"")</f>
        <v>19.98469366062444</v>
      </c>
      <c r="D62" s="1">
        <f>IF(1425802&gt;0,100*22254/1425802,"")</f>
        <v>1.5608057780813887</v>
      </c>
      <c r="E62" s="1">
        <f>IF(COUNT(C62:D62)=2,D62-C62,"")</f>
        <v>-18.423887882543053</v>
      </c>
      <c r="H62" s="1">
        <v>24</v>
      </c>
      <c r="I62" s="1">
        <v>23</v>
      </c>
      <c r="J62" s="1">
        <f>IF(2618354&gt;0,100*1195641/2618354,"")</f>
        <v>45.663840718252764</v>
      </c>
      <c r="K62" s="1">
        <f>IF(1429999&gt;0,100*16321/1429999,"")</f>
        <v>1.1413294694611675</v>
      </c>
      <c r="L62" s="1">
        <f>IF(COUNT(J62:K62)=2,K62-J62,"")</f>
        <v>-44.522511248791595</v>
      </c>
      <c r="O62" s="1">
        <v>24</v>
      </c>
      <c r="P62" s="1">
        <v>23</v>
      </c>
      <c r="Q62" s="1">
        <f>IF(1862901&gt;0,100*489468/1862901,"")</f>
        <v>26.27450412018674</v>
      </c>
      <c r="R62" s="1">
        <f>IF(1668908&gt;0,100*147277/1668908,"")</f>
        <v>8.82475247287448</v>
      </c>
      <c r="S62" s="1">
        <f>IF(COUNT(Q62:R62)=2,R62-Q62,"")</f>
        <v>-17.44975164731226</v>
      </c>
    </row>
    <row r="63" spans="1:19">
      <c r="A63" s="1">
        <v>25</v>
      </c>
      <c r="B63" s="1">
        <v>24</v>
      </c>
      <c r="C63" s="1">
        <f>IF(1310506&gt;0,100*408672/1310506,"")</f>
        <v>31.184290648039763</v>
      </c>
      <c r="D63" s="1">
        <f>IF(1719988&gt;0,100*486261/1719988,"")</f>
        <v>28.27118561292288</v>
      </c>
      <c r="E63" s="1">
        <f>IF(COUNT(C63:D63)=2,D63-C63,"")</f>
        <v>-2.9131050351168817</v>
      </c>
      <c r="H63" s="1">
        <v>25</v>
      </c>
      <c r="I63" s="1">
        <v>24</v>
      </c>
      <c r="J63" s="1">
        <f>IF(2421034&gt;0,100*1042416/2421034,"")</f>
        <v>43.05664439243728</v>
      </c>
      <c r="K63" s="1">
        <f>IF(1220212&gt;0,100*66528/1220212,"")</f>
        <v>5.4521673283003285</v>
      </c>
      <c r="L63" s="1">
        <f>IF(COUNT(J63:K63)=2,K63-J63,"")</f>
        <v>-37.60447706413695</v>
      </c>
      <c r="O63" s="1">
        <v>25</v>
      </c>
      <c r="P63" s="1">
        <v>24</v>
      </c>
      <c r="Q63" s="1">
        <f>IF(2310152&gt;0,100*1014877/2310152,"")</f>
        <v>43.931178554484724</v>
      </c>
      <c r="R63" s="1">
        <f>IF(1439942&gt;0,100*72504/1439942,"")</f>
        <v>5.035202806779718</v>
      </c>
      <c r="S63" s="1">
        <f>IF(COUNT(Q63:R63)=2,R63-Q63,"")</f>
        <v>-38.89597574770501</v>
      </c>
    </row>
    <row r="64" spans="1:19">
      <c r="A64" s="1">
        <v>26</v>
      </c>
      <c r="B64" s="1">
        <v>25</v>
      </c>
      <c r="C64" s="1">
        <f>IF(2238694&gt;0,100*1062953/2238694,"")</f>
        <v>47.480942013513236</v>
      </c>
      <c r="D64" s="1">
        <f>IF(2034388&gt;0,100*625844/2034388,"")</f>
        <v>30.763256566593984</v>
      </c>
      <c r="E64" s="1">
        <f>IF(COUNT(C64:D64)=2,D64-C64,"")</f>
        <v>-16.71768544691925</v>
      </c>
      <c r="H64" s="1">
        <v>26</v>
      </c>
      <c r="I64" s="1">
        <v>25</v>
      </c>
      <c r="J64" s="1">
        <f>IF(1745904&gt;0,100*492009/1745904,"")</f>
        <v>28.18075907953702</v>
      </c>
      <c r="K64" s="1">
        <f>IF(1768460&gt;0,100*327737/1768460,"")</f>
        <v>18.532338871108195</v>
      </c>
      <c r="L64" s="1">
        <f>IF(COUNT(J64:K64)=2,K64-J64,"")</f>
        <v>-9.648420208428824</v>
      </c>
      <c r="O64" s="1">
        <v>26</v>
      </c>
      <c r="P64" s="1">
        <v>25</v>
      </c>
      <c r="Q64" s="1">
        <f>IF(2669118&gt;0,100*1197813/2669118,"")</f>
        <v>44.876734561754105</v>
      </c>
      <c r="R64" s="1">
        <f>IF(2230252&gt;0,100*467744/2230252,"")</f>
        <v>20.972697255736122</v>
      </c>
      <c r="S64" s="1">
        <f>IF(COUNT(Q64:R64)=2,R64-Q64,"")</f>
        <v>-23.904037306017983</v>
      </c>
    </row>
    <row r="65" spans="1:19">
      <c r="A65" s="1">
        <v>27</v>
      </c>
      <c r="B65" s="1">
        <v>26</v>
      </c>
      <c r="C65" s="1">
        <f>IF(1647328&gt;0,100*574346/1647328,"")</f>
        <v>34.86530915518949</v>
      </c>
      <c r="D65" s="1">
        <f>IF(2062163&gt;0,100*675098/2062163,"")</f>
        <v>32.73737333081817</v>
      </c>
      <c r="E65" s="1">
        <f>IF(COUNT(C65:D65)=2,D65-C65,"")</f>
        <v>-2.1279358243713205</v>
      </c>
      <c r="H65" s="1">
        <v>27</v>
      </c>
      <c r="I65" s="1">
        <v>26</v>
      </c>
      <c r="J65" s="1">
        <f>IF(2195965&gt;0,100*781488/2195965,"")</f>
        <v>35.587452441181895</v>
      </c>
      <c r="K65" s="1">
        <f>IF(2105860&gt;0,100*470950/2105860,"")</f>
        <v>22.36378486699021</v>
      </c>
      <c r="L65" s="1">
        <f>IF(COUNT(J65:K65)=2,K65-J65,"")</f>
        <v>-13.223667574191687</v>
      </c>
      <c r="O65" s="1">
        <v>27</v>
      </c>
      <c r="P65" s="1">
        <v>26</v>
      </c>
      <c r="Q65" s="1">
        <f>IF(2415042&gt;0,100*766118/2415042,"")</f>
        <v>31.722760929209514</v>
      </c>
      <c r="R65" s="1">
        <f>IF(2486021&gt;0,100*579696/2486021,"")</f>
        <v>23.318226193584046</v>
      </c>
      <c r="S65" s="1">
        <f>IF(COUNT(Q65:R65)=2,R65-Q65,"")</f>
        <v>-8.404534735625468</v>
      </c>
    </row>
    <row r="66" spans="1:19">
      <c r="A66" s="1">
        <v>28</v>
      </c>
      <c r="B66" s="1">
        <v>27</v>
      </c>
      <c r="C66" s="1">
        <f>IF(665364&gt;0,100*675/665364,"")</f>
        <v>0.10144822984110953</v>
      </c>
      <c r="D66" s="1">
        <f>IF(762125&gt;0,100*4153/762125,"")</f>
        <v>0.5449237329834344</v>
      </c>
      <c r="E66" s="1">
        <f>IF(COUNT(C66:D66)=2,D66-C66,"")</f>
        <v>0.4434755031423249</v>
      </c>
      <c r="H66" s="1">
        <v>28</v>
      </c>
      <c r="I66" s="1">
        <v>27</v>
      </c>
      <c r="J66" s="1">
        <f>IF(1703605&gt;0,100*670593/1703605,"")</f>
        <v>39.36317397518791</v>
      </c>
      <c r="K66" s="1">
        <f>IF(1897814&gt;0,100*436178/1897814,"")</f>
        <v>22.983179595049883</v>
      </c>
      <c r="L66" s="1">
        <f>IF(COUNT(J66:K66)=2,K66-J66,"")</f>
        <v>-16.37999438013803</v>
      </c>
      <c r="O66" s="1">
        <v>28</v>
      </c>
      <c r="P66" s="1">
        <v>27</v>
      </c>
      <c r="Q66" s="1">
        <f>IF(1500981&gt;0,100*448455/1500981,"")</f>
        <v>29.877460141067743</v>
      </c>
      <c r="R66" s="1">
        <f>IF(2231825&gt;0,100*642457/2231825,"")</f>
        <v>28.786172750999743</v>
      </c>
      <c r="S66" s="1">
        <f>IF(COUNT(Q66:R66)=2,R66-Q66,"")</f>
        <v>-1.0912873900680005</v>
      </c>
    </row>
    <row r="67" spans="1:19">
      <c r="A67" s="1">
        <v>29</v>
      </c>
      <c r="B67" s="1">
        <v>28</v>
      </c>
      <c r="C67" s="1">
        <f>IF(1808091&gt;0,100*652193/1808091,"")</f>
        <v>36.070806170707115</v>
      </c>
      <c r="D67" s="1">
        <f>IF(2033985&gt;0,100*659985/2033985,"")</f>
        <v>32.447879409140185</v>
      </c>
      <c r="E67" s="1">
        <f>IF(COUNT(C67:D67)=2,D67-C67,"")</f>
        <v>-3.62292676156693</v>
      </c>
      <c r="H67" s="1">
        <v>29</v>
      </c>
      <c r="I67" s="1">
        <v>28</v>
      </c>
      <c r="J67" s="1">
        <f>IF(2391442&gt;0,100*1116314/2391442,"")</f>
        <v>46.67953477441644</v>
      </c>
      <c r="K67" s="1">
        <f>IF(2147746&gt;0,100*613803/2147746,"")</f>
        <v>28.578938105343926</v>
      </c>
      <c r="L67" s="1">
        <f>IF(COUNT(J67:K67)=2,K67-J67,"")</f>
        <v>-18.100596669072512</v>
      </c>
      <c r="O67" s="1">
        <v>29</v>
      </c>
      <c r="P67" s="1">
        <v>28</v>
      </c>
      <c r="Q67" s="1">
        <f>IF(2050506&gt;0,100*857322/2050506,"")</f>
        <v>41.810265368645595</v>
      </c>
      <c r="R67" s="1">
        <f>IF(2634388&gt;0,100*808535/2634388,"")</f>
        <v>30.691568592022133</v>
      </c>
      <c r="S67" s="1">
        <f>IF(COUNT(Q67:R67)=2,R67-Q67,"")</f>
        <v>-11.118696776623462</v>
      </c>
    </row>
    <row r="68" spans="1:19">
      <c r="A68" s="1">
        <v>30</v>
      </c>
      <c r="B68" s="1">
        <v>29</v>
      </c>
      <c r="C68" s="1">
        <f>IF(1942903&gt;0,100*844208/1942903,"")</f>
        <v>43.45085678492441</v>
      </c>
      <c r="D68" s="1">
        <f>IF(2098477&gt;0,100*693544/2098477,"")</f>
        <v>33.04987378941966</v>
      </c>
      <c r="E68" s="1">
        <f>IF(COUNT(C68:D68)=2,D68-C68,"")</f>
        <v>-10.400982995504755</v>
      </c>
      <c r="H68" s="1">
        <v>30</v>
      </c>
      <c r="I68" s="1">
        <v>29</v>
      </c>
      <c r="J68" s="1">
        <f>IF(1886067&gt;0,100*615825/1886067,"")</f>
        <v>32.65127909029743</v>
      </c>
      <c r="K68" s="1">
        <f>IF(1306440&gt;0,100*108501/1306440,"")</f>
        <v>8.305088637824928</v>
      </c>
      <c r="L68" s="1">
        <f>IF(COUNT(J68:K68)=2,K68-J68,"")</f>
        <v>-24.3461904524725</v>
      </c>
      <c r="O68" s="1">
        <v>30</v>
      </c>
      <c r="P68" s="1">
        <v>29</v>
      </c>
      <c r="Q68" s="1">
        <f>IF(1124834&gt;0,100*57569/1124834,"")</f>
        <v>5.1179996337237315</v>
      </c>
      <c r="R68" s="1">
        <f>IF(1870017&gt;0,100*596137/1870017,"")</f>
        <v>31.87869415090879</v>
      </c>
      <c r="S68" s="1">
        <f>IF(COUNT(Q68:R68)=2,R68-Q68,"")</f>
        <v>26.76069451718506</v>
      </c>
    </row>
    <row r="69" spans="1:19">
      <c r="A69" s="1">
        <v>31</v>
      </c>
      <c r="B69" s="1">
        <v>30</v>
      </c>
      <c r="C69" s="1">
        <f>IF(1247391&gt;0,100*5792/1247391,"")</f>
        <v>0.4643291477972825</v>
      </c>
      <c r="D69" s="1">
        <f>IF(878076&gt;0,100*7685/878076,"")</f>
        <v>0.8752089796327425</v>
      </c>
      <c r="E69" s="1">
        <f>IF(COUNT(C69:D69)=2,D69-C69,"")</f>
        <v>0.41087983183545995</v>
      </c>
      <c r="H69" s="1">
        <v>31</v>
      </c>
      <c r="I69" s="1">
        <v>30</v>
      </c>
      <c r="J69" s="1">
        <f>IF(2131633&gt;0,100*739570/2131633,"")</f>
        <v>34.69499674662571</v>
      </c>
      <c r="K69" s="1">
        <f>IF(1422060&gt;0,100*207161/1422060,"")</f>
        <v>14.56766943729519</v>
      </c>
      <c r="L69" s="1">
        <f>IF(COUNT(J69:K69)=2,K69-J69,"")</f>
        <v>-20.12732730933052</v>
      </c>
      <c r="O69" s="1">
        <v>31</v>
      </c>
      <c r="P69" s="1">
        <v>30</v>
      </c>
      <c r="Q69" s="1">
        <f>IF(1670334&gt;0,100*513883/1670334,"")</f>
        <v>30.765284068934715</v>
      </c>
      <c r="R69" s="1">
        <f>IF(895197&gt;0,100*86147/895197,"")</f>
        <v>9.623244939382058</v>
      </c>
      <c r="S69" s="1">
        <f>IF(COUNT(Q69:R69)=2,R69-Q69,"")</f>
        <v>-21.142039129552657</v>
      </c>
    </row>
    <row r="70" spans="1:19">
      <c r="A70" s="2" t="s">
        <v>6</v>
      </c>
      <c r="B70" s="1"/>
      <c r="C70" s="1">
        <f>IF(COUNT(C39:C69)&gt;0,AVERAGE(C39:C69),"")</f>
        <v>30.562133085533812</v>
      </c>
      <c r="D70" s="1">
        <f>IF(COUNT(D39:D69)&gt;0,AVERAGE(D39:D69),"")</f>
        <v>19.036833667632227</v>
      </c>
      <c r="E70" s="1">
        <f>IF(COUNT(E39:E69)&gt;0,AVERAGE(E39:E69),"")</f>
        <v>-11.525299417901586</v>
      </c>
      <c r="H70" s="2" t="s">
        <v>6</v>
      </c>
      <c r="I70" s="1"/>
      <c r="J70" s="1">
        <f>IF(COUNT(J39:J69)&gt;0,AVERAGE(J39:J69),"")</f>
        <v>32.74960009631654</v>
      </c>
      <c r="K70" s="1">
        <f>IF(COUNT(K39:K69)&gt;0,AVERAGE(K39:K69),"")</f>
        <v>16.724540804847198</v>
      </c>
      <c r="L70" s="1">
        <f>IF(COUNT(L39:L69)&gt;0,AVERAGE(L39:L69),"")</f>
        <v>-16.025059291469343</v>
      </c>
      <c r="O70" s="2" t="s">
        <v>6</v>
      </c>
      <c r="P70" s="1"/>
      <c r="Q70" s="1">
        <f>IF(COUNT(Q39:Q69)&gt;0,AVERAGE(Q39:Q69),"")</f>
        <v>31.481548328397977</v>
      </c>
      <c r="R70" s="1">
        <f>IF(COUNT(R39:R69)&gt;0,AVERAGE(R39:R69),"")</f>
        <v>19.014599545956933</v>
      </c>
      <c r="S70" s="1">
        <f>IF(COUNT(S39:S69)&gt;0,AVERAGE(S39:S69),"")</f>
        <v>-12.466948782441044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IF(1227574&gt;0,100*38510/1227574,"")</f>
        <v>3.1370817563747684</v>
      </c>
      <c r="D75" s="1">
        <f>IF(1443649&gt;0,100*265042/1443649,"")</f>
        <v>18.359171793143624</v>
      </c>
      <c r="E75" s="1">
        <f>IF(COUNT(C75:D75)=2,D75-C75,"")</f>
        <v>15.222090036768854</v>
      </c>
      <c r="H75" s="1">
        <v>1</v>
      </c>
      <c r="I75" s="1">
        <v>0</v>
      </c>
      <c r="J75" s="1">
        <f>IF(2974908&gt;0,100*1593753/2974908,"")</f>
        <v>53.573186128781124</v>
      </c>
      <c r="K75" s="1">
        <f>IF(2420887&gt;0,100*420495/2420887,"")</f>
        <v>17.36946003675512</v>
      </c>
      <c r="L75" s="1">
        <f>IF(COUNT(J75:K75)=2,K75-J75,"")</f>
        <v>-36.203726092026</v>
      </c>
      <c r="O75" s="1">
        <v>1</v>
      </c>
      <c r="P75" s="1">
        <v>0</v>
      </c>
      <c r="Q75" s="1">
        <f>IF(2673895&gt;0,100*1212503/2673895,"")</f>
        <v>45.34594664337979</v>
      </c>
      <c r="R75" s="1">
        <f>IF(3027416&gt;0,100*715140/3027416,"")</f>
        <v>23.622125271188366</v>
      </c>
      <c r="S75" s="1">
        <f>IF(COUNT(Q75:R75)=2,R75-Q75,"")</f>
        <v>-21.723821372191424</v>
      </c>
    </row>
    <row r="76" spans="1:19">
      <c r="A76" s="1">
        <v>2</v>
      </c>
      <c r="B76" s="1">
        <v>1</v>
      </c>
      <c r="C76" s="1">
        <f>IF(1624357&gt;0,100*617829/1624357,"")</f>
        <v>38.03529642806353</v>
      </c>
      <c r="D76" s="1">
        <f>IF(534950&gt;0,100*34452/534950,"")</f>
        <v>6.440228058697074</v>
      </c>
      <c r="E76" s="1">
        <f>IF(COUNT(C76:D76)=2,D76-C76,"")</f>
        <v>-31.59506836936646</v>
      </c>
      <c r="H76" s="1">
        <v>2</v>
      </c>
      <c r="I76" s="1">
        <v>1</v>
      </c>
      <c r="J76" s="1">
        <f>IF(2706515&gt;0,100*1225890/2706515,"")</f>
        <v>45.29404049118516</v>
      </c>
      <c r="K76" s="1">
        <f>IF(2383559&gt;0,100*458222/2383559,"")</f>
        <v>19.224277645319457</v>
      </c>
      <c r="L76" s="1">
        <f>IF(COUNT(J76:K76)=2,K76-J76,"")</f>
        <v>-26.0697628458657</v>
      </c>
      <c r="O76" s="1">
        <v>2</v>
      </c>
      <c r="P76" s="1">
        <v>1</v>
      </c>
      <c r="Q76" s="1">
        <f>IF(2467592&gt;0,100*1063705/2467592,"")</f>
        <v>43.1070047236334</v>
      </c>
      <c r="R76" s="1">
        <f>IF(2497060&gt;0,100*835540/2497060,"")</f>
        <v>33.460950077290896</v>
      </c>
      <c r="S76" s="1">
        <f>IF(COUNT(Q76:R76)=2,R76-Q76,"")</f>
        <v>-9.646054646342506</v>
      </c>
    </row>
    <row r="77" spans="1:19">
      <c r="A77" s="1">
        <v>3</v>
      </c>
      <c r="B77" s="1">
        <v>2</v>
      </c>
      <c r="C77" s="1">
        <f>IF(1673401&gt;0,100*672518/1673401,"")</f>
        <v>40.18869356478214</v>
      </c>
      <c r="D77" s="1">
        <f>IF(2013104&gt;0,100*660448/2013104,"")</f>
        <v>32.80744561632186</v>
      </c>
      <c r="E77" s="1">
        <f>IF(COUNT(C77:D77)=2,D77-C77,"")</f>
        <v>-7.381247948460285</v>
      </c>
      <c r="H77" s="1">
        <v>3</v>
      </c>
      <c r="I77" s="1">
        <v>2</v>
      </c>
      <c r="J77" s="1">
        <f>IF(2238301&gt;0,100*947036/2238301,"")</f>
        <v>42.31048460417075</v>
      </c>
      <c r="K77" s="1">
        <f>IF(2754758&gt;0,100*523405/2754758,"")</f>
        <v>19.000035574812742</v>
      </c>
      <c r="L77" s="1">
        <f>IF(COUNT(J77:K77)=2,K77-J77,"")</f>
        <v>-23.31044902935801</v>
      </c>
      <c r="O77" s="1">
        <v>3</v>
      </c>
      <c r="P77" s="1">
        <v>2</v>
      </c>
      <c r="Q77" s="1">
        <f>IF(2033898&gt;0,100*82955/2033898,"")</f>
        <v>4.07862144512655</v>
      </c>
      <c r="R77" s="1">
        <f>IF(2513708&gt;0,100*743803/2513708,"")</f>
        <v>29.589872809411435</v>
      </c>
      <c r="S77" s="1">
        <f>IF(COUNT(Q77:R77)=2,R77-Q77,"")</f>
        <v>25.511251364284885</v>
      </c>
    </row>
    <row r="78" spans="1:19">
      <c r="A78" s="1">
        <v>4</v>
      </c>
      <c r="B78" s="1">
        <v>3</v>
      </c>
      <c r="C78" s="1">
        <f>IF(1853726&gt;0,100*857824/1853726,"")</f>
        <v>46.2756631778375</v>
      </c>
      <c r="D78" s="1">
        <f>IF(2749407&gt;0,100*1024787/2749407,"")</f>
        <v>37.27301923651173</v>
      </c>
      <c r="E78" s="1">
        <f>IF(COUNT(C78:D78)=2,D78-C78,"")</f>
        <v>-9.002643941325772</v>
      </c>
      <c r="H78" s="1">
        <v>4</v>
      </c>
      <c r="I78" s="1">
        <v>3</v>
      </c>
      <c r="J78" s="1">
        <f>IF(2473338&gt;0,100*1144203/2473338,"")</f>
        <v>46.2614895335777</v>
      </c>
      <c r="K78" s="1">
        <f>IF(1192664&gt;0,100*10683/1192664,"")</f>
        <v>0.8957258708236352</v>
      </c>
      <c r="L78" s="1">
        <f>IF(COUNT(J78:K78)=2,K78-J78,"")</f>
        <v>-45.36576366275407</v>
      </c>
      <c r="O78" s="1">
        <v>4</v>
      </c>
      <c r="P78" s="1">
        <v>3</v>
      </c>
      <c r="Q78" s="1">
        <f>IF(2535025&gt;0,100*1351101/2535025,"")</f>
        <v>53.29734420765081</v>
      </c>
      <c r="R78" s="1">
        <f>IF(2302602&gt;0,100*487781/2302602,"")</f>
        <v>21.18390412237981</v>
      </c>
      <c r="S78" s="1">
        <f>IF(COUNT(Q78:R78)=2,R78-Q78,"")</f>
        <v>-32.113440085270994</v>
      </c>
    </row>
    <row r="79" spans="1:19">
      <c r="A79" s="1">
        <v>5</v>
      </c>
      <c r="B79" s="1">
        <v>4</v>
      </c>
      <c r="C79" s="1">
        <f>IF(2574341&gt;0,100*1256270/2574341,"")</f>
        <v>48.79967339214191</v>
      </c>
      <c r="D79" s="1">
        <f>IF(1539578&gt;0,100*263554/1539578,"")</f>
        <v>17.118587041384068</v>
      </c>
      <c r="E79" s="1">
        <f>IF(COUNT(C79:D79)=2,D79-C79,"")</f>
        <v>-31.681086350757845</v>
      </c>
      <c r="H79" s="1">
        <v>5</v>
      </c>
      <c r="I79" s="1">
        <v>4</v>
      </c>
      <c r="J79" s="1">
        <f>IF(2594432&gt;0,100*1209716/2594432,"")</f>
        <v>46.627392816616506</v>
      </c>
      <c r="K79" s="1">
        <f>IF(29765&gt;0,100*7421/29765,"")</f>
        <v>24.931967075424154</v>
      </c>
      <c r="L79" s="1">
        <f>IF(COUNT(J79:K79)=2,K79-J79,"")</f>
        <v>-21.695425741192352</v>
      </c>
      <c r="O79" s="1">
        <v>5</v>
      </c>
      <c r="P79" s="1">
        <v>4</v>
      </c>
      <c r="Q79" s="1">
        <f>IF(2505160&gt;0,100*1184605/2505160,"")</f>
        <v>47.28660045665746</v>
      </c>
      <c r="R79" s="1">
        <f>IF(1589163&gt;0,100*194332/1589163,"")</f>
        <v>12.228575671595676</v>
      </c>
      <c r="S79" s="1">
        <f>IF(COUNT(Q79:R79)=2,R79-Q79,"")</f>
        <v>-35.05802478506178</v>
      </c>
    </row>
    <row r="80" spans="1:19">
      <c r="A80" s="1">
        <v>6</v>
      </c>
      <c r="B80" s="1">
        <v>5</v>
      </c>
      <c r="C80" s="1">
        <f>IF(2161281&gt;0,100*837619/2161281,"")</f>
        <v>38.75567314014235</v>
      </c>
      <c r="D80" s="1">
        <f>IF(1969446&gt;0,100*468794/1969446,"")</f>
        <v>23.80334368142107</v>
      </c>
      <c r="E80" s="1">
        <f>IF(COUNT(C80:D80)=2,D80-C80,"")</f>
        <v>-14.95232945872128</v>
      </c>
      <c r="H80" s="1">
        <v>6</v>
      </c>
      <c r="I80" s="1">
        <v>5</v>
      </c>
      <c r="J80" s="1">
        <f>IF(2014532&gt;0,100*751916/2014532,"")</f>
        <v>37.3245994603213</v>
      </c>
      <c r="K80" s="1">
        <f>IF(2367958&gt;0,100*428939/2367958,"")</f>
        <v>18.114299324565724</v>
      </c>
      <c r="L80" s="1">
        <f>IF(COUNT(J80:K80)=2,K80-J80,"")</f>
        <v>-19.210300135755578</v>
      </c>
      <c r="O80" s="1">
        <v>6</v>
      </c>
      <c r="P80" s="1">
        <v>5</v>
      </c>
      <c r="Q80" s="1">
        <f>IF(2374865&gt;0,100*978839/2374865,"")</f>
        <v>41.21661652346555</v>
      </c>
      <c r="R80" s="1">
        <f>IF(2017743&gt;0,100*292706/2017743,"")</f>
        <v>14.506604656787312</v>
      </c>
      <c r="S80" s="1">
        <f>IF(COUNT(Q80:R80)=2,R80-Q80,"")</f>
        <v>-26.710011866678236</v>
      </c>
    </row>
    <row r="81" spans="1:19">
      <c r="A81" s="1">
        <v>7</v>
      </c>
      <c r="B81" s="1">
        <v>6</v>
      </c>
      <c r="C81" s="1">
        <f>IF(2322649&gt;0,100*1026425/2322649,"")</f>
        <v>44.19199801605839</v>
      </c>
      <c r="D81" s="1">
        <f>IF(2016276&gt;0,100*669776/2016276,"")</f>
        <v>33.218468106548904</v>
      </c>
      <c r="E81" s="1">
        <f>IF(COUNT(C81:D81)=2,D81-C81,"")</f>
        <v>-10.973529909509487</v>
      </c>
      <c r="H81" s="1">
        <v>7</v>
      </c>
      <c r="I81" s="1">
        <v>6</v>
      </c>
      <c r="J81" s="1">
        <f>IF(1377831&gt;0,100*8479/1377831,"")</f>
        <v>0.6153875184982773</v>
      </c>
      <c r="K81" s="1">
        <f>IF(1181328&gt;0,100*28347/1181328,"")</f>
        <v>2.3995875827881843</v>
      </c>
      <c r="L81" s="1">
        <f>IF(COUNT(J81:K81)=2,K81-J81,"")</f>
        <v>1.784200064289907</v>
      </c>
      <c r="O81" s="1">
        <v>7</v>
      </c>
      <c r="P81" s="1">
        <v>6</v>
      </c>
      <c r="Q81" s="1">
        <f>IF(985046&gt;0,100*15738/985046,"")</f>
        <v>1.5976918844399144</v>
      </c>
      <c r="R81" s="1">
        <f>IF(1627575&gt;0,100*122209/1627575,"")</f>
        <v>7.508655515106831</v>
      </c>
      <c r="S81" s="1">
        <f>IF(COUNT(Q81:R81)=2,R81-Q81,"")</f>
        <v>5.910963630666917</v>
      </c>
    </row>
    <row r="82" spans="1:19">
      <c r="A82" s="1">
        <v>8</v>
      </c>
      <c r="B82" s="1">
        <v>7</v>
      </c>
      <c r="C82" s="1">
        <f>IF(2162199&gt;0,100*1011109/2162199,"")</f>
        <v>46.76299452548077</v>
      </c>
      <c r="D82" s="1">
        <f>IF(2503866&gt;0,100*863127/2503866,"")</f>
        <v>34.47177285046404</v>
      </c>
      <c r="E82" s="1">
        <f>IF(COUNT(C82:D82)=2,D82-C82,"")</f>
        <v>-12.291221675016729</v>
      </c>
      <c r="H82" s="1">
        <v>8</v>
      </c>
      <c r="I82" s="1">
        <v>7</v>
      </c>
      <c r="J82" s="1">
        <f>IF(1201041&gt;0,100*14947/1201041,"")</f>
        <v>1.2445037263507241</v>
      </c>
      <c r="K82" s="1">
        <f>IF(957180&gt;0,100*3284/957180,"")</f>
        <v>0.3430911636264861</v>
      </c>
      <c r="L82" s="1">
        <f>IF(COUNT(J82:K82)=2,K82-J82,"")</f>
        <v>-0.901412562724238</v>
      </c>
      <c r="O82" s="1">
        <v>8</v>
      </c>
      <c r="P82" s="1">
        <v>7</v>
      </c>
      <c r="Q82" s="1">
        <f>IF(1244696&gt;0,100*14076/1244696,"")</f>
        <v>1.13087854383721</v>
      </c>
      <c r="R82" s="1">
        <f>IF(1460959&gt;0,100*203040/1460959,"")</f>
        <v>13.8977206068069</v>
      </c>
      <c r="S82" s="1">
        <f>IF(COUNT(Q82:R82)=2,R82-Q82,"")</f>
        <v>12.76684206296969</v>
      </c>
    </row>
    <row r="83" spans="1:19">
      <c r="A83" s="1">
        <v>9</v>
      </c>
      <c r="B83" s="1">
        <v>8</v>
      </c>
      <c r="C83" s="1">
        <f>IF(1440745&gt;0,100*484807/1440745,"")</f>
        <v>33.64974370898389</v>
      </c>
      <c r="D83" s="1">
        <f>IF(84663&gt;0,100*18961/84663,"")</f>
        <v>22.395851788856998</v>
      </c>
      <c r="E83" s="1">
        <f>IF(COUNT(C83:D83)=2,D83-C83,"")</f>
        <v>-11.253891920126893</v>
      </c>
      <c r="H83" s="1">
        <v>9</v>
      </c>
      <c r="I83" s="1">
        <v>8</v>
      </c>
      <c r="J83" s="1">
        <f>IF(2605328&gt;0,100*1210537/2605328,"")</f>
        <v>46.46390013080887</v>
      </c>
      <c r="K83" s="1">
        <f>IF(2157394&gt;0,100*645315/2157394,"")</f>
        <v>29.91178245605578</v>
      </c>
      <c r="L83" s="1">
        <f>IF(COUNT(J83:K83)=2,K83-J83,"")</f>
        <v>-16.552117674753088</v>
      </c>
      <c r="O83" s="1">
        <v>9</v>
      </c>
      <c r="P83" s="1">
        <v>8</v>
      </c>
      <c r="Q83" s="1">
        <f>IF(2369232&gt;0,100*974673/2369232,"")</f>
        <v>41.138774083753724</v>
      </c>
      <c r="R83" s="1">
        <f>IF(2524637&gt;0,100*863060/2524637,"")</f>
        <v>34.18550864936226</v>
      </c>
      <c r="S83" s="1">
        <f>IF(COUNT(Q83:R83)=2,R83-Q83,"")</f>
        <v>-6.9532654343914615</v>
      </c>
    </row>
    <row r="84" spans="1:19">
      <c r="A84" s="1">
        <v>10</v>
      </c>
      <c r="B84" s="1">
        <v>9</v>
      </c>
      <c r="C84" s="1">
        <f>IF(1168622&gt;0,100*16823/1168622,"")</f>
        <v>1.4395587281430609</v>
      </c>
      <c r="D84" s="1">
        <f>IF(1597785&gt;0,100*119944/1597785,"")</f>
        <v>7.506892354102711</v>
      </c>
      <c r="E84" s="1">
        <f>IF(COUNT(C84:D84)=2,D84-C84,"")</f>
        <v>6.06733362595965</v>
      </c>
      <c r="H84" s="1">
        <v>10</v>
      </c>
      <c r="I84" s="1">
        <v>9</v>
      </c>
      <c r="J84" s="1">
        <f>IF(3065832&gt;0,100*1566994/3065832,"")</f>
        <v>51.11154166307873</v>
      </c>
      <c r="K84" s="1">
        <f>IF(2353614&gt;0,100*653516/2353614,"")</f>
        <v>27.766490172135278</v>
      </c>
      <c r="L84" s="1">
        <f>IF(COUNT(J84:K84)=2,K84-J84,"")</f>
        <v>-23.345051490943455</v>
      </c>
      <c r="O84" s="1">
        <v>10</v>
      </c>
      <c r="P84" s="1">
        <v>9</v>
      </c>
      <c r="Q84" s="1">
        <f>IF(2063235&gt;0,100*325107/2063235,"")</f>
        <v>15.757148361674748</v>
      </c>
      <c r="R84" s="1">
        <f>IF(1506818&gt;0,100*157606/1506818,"")</f>
        <v>10.459524640666624</v>
      </c>
      <c r="S84" s="1">
        <f>IF(COUNT(Q84:R84)=2,R84-Q84,"")</f>
        <v>-5.297623721008124</v>
      </c>
    </row>
    <row r="85" spans="1:19">
      <c r="A85" s="1">
        <v>11</v>
      </c>
      <c r="B85" s="1">
        <v>10</v>
      </c>
      <c r="C85" s="1">
        <f>IF(2209395&gt;0,100*1084873/2209395,"")</f>
        <v>49.1027181649275</v>
      </c>
      <c r="D85" s="1">
        <f>IF(2206187&gt;0,100*623488/2206187,"")</f>
        <v>28.260886316527113</v>
      </c>
      <c r="E85" s="1">
        <f>IF(COUNT(C85:D85)=2,D85-C85,"")</f>
        <v>-20.84183184840039</v>
      </c>
      <c r="H85" s="1">
        <v>11</v>
      </c>
      <c r="I85" s="1">
        <v>10</v>
      </c>
      <c r="J85" s="1">
        <f>IF(2870543&gt;0,100*1618419/2870543,"")</f>
        <v>56.380238860731225</v>
      </c>
      <c r="K85" s="1">
        <f>IF(3519345&gt;0,100*1363031/3519345,"")</f>
        <v>38.72967839185985</v>
      </c>
      <c r="L85" s="1">
        <f>IF(COUNT(J85:K85)=2,K85-J85,"")</f>
        <v>-17.650560468871376</v>
      </c>
      <c r="O85" s="1">
        <v>11</v>
      </c>
      <c r="P85" s="1">
        <v>10</v>
      </c>
      <c r="Q85" s="1">
        <f>IF(2712419&gt;0,100*1335644/2712419,"")</f>
        <v>49.241802243679906</v>
      </c>
      <c r="R85" s="1">
        <f>IF(2385331&gt;0,100*451430/2385331,"")</f>
        <v>18.9252560755719</v>
      </c>
      <c r="S85" s="1">
        <f>IF(COUNT(Q85:R85)=2,R85-Q85,"")</f>
        <v>-30.316546168108005</v>
      </c>
    </row>
    <row r="86" spans="1:19">
      <c r="A86" s="1">
        <v>12</v>
      </c>
      <c r="B86" s="1">
        <v>11</v>
      </c>
      <c r="C86" s="1">
        <f>IF(2101751&gt;0,100*916475/2101751,"")</f>
        <v>43.605308145446344</v>
      </c>
      <c r="D86" s="1">
        <f>IF(2276982&gt;0,100*673022/2276982,"")</f>
        <v>29.557633745018627</v>
      </c>
      <c r="E86" s="1">
        <f>IF(COUNT(C86:D86)=2,D86-C86,"")</f>
        <v>-14.047674400427717</v>
      </c>
      <c r="H86" s="1">
        <v>12</v>
      </c>
      <c r="I86" s="1">
        <v>11</v>
      </c>
      <c r="J86" s="1">
        <f>IF(2321486&gt;0,100*1150766/2321486,"")</f>
        <v>49.57023217025647</v>
      </c>
      <c r="K86" s="1">
        <f>IF(2345913&gt;0,100*284925/2345913,"")</f>
        <v>12.145591076906944</v>
      </c>
      <c r="L86" s="1">
        <f>IF(COUNT(J86:K86)=2,K86-J86,"")</f>
        <v>-37.42464109334952</v>
      </c>
      <c r="O86" s="1">
        <v>12</v>
      </c>
      <c r="P86" s="1">
        <v>11</v>
      </c>
      <c r="Q86" s="1">
        <f>IF(2923066&gt;0,100*1456418/2923066,"")</f>
        <v>49.825012503994095</v>
      </c>
      <c r="R86" s="1">
        <f>IF(2410706&gt;0,100*140490/2410706,"")</f>
        <v>5.827753363537487</v>
      </c>
      <c r="S86" s="1">
        <f>IF(COUNT(Q86:R86)=2,R86-Q86,"")</f>
        <v>-43.997259140456606</v>
      </c>
    </row>
    <row r="87" spans="1:19">
      <c r="A87" s="1">
        <v>13</v>
      </c>
      <c r="B87" s="1">
        <v>12</v>
      </c>
      <c r="C87" s="1">
        <f>IF(2087661&gt;0,100*558523/2087661,"")</f>
        <v>26.753529428388998</v>
      </c>
      <c r="D87" s="1">
        <f>IF(1870615&gt;0,100*265642/1870615,"")</f>
        <v>14.20078423406206</v>
      </c>
      <c r="E87" s="1">
        <f>IF(COUNT(C87:D87)=2,D87-C87,"")</f>
        <v>-12.552745194326938</v>
      </c>
      <c r="H87" s="1">
        <v>13</v>
      </c>
      <c r="I87" s="1">
        <v>12</v>
      </c>
      <c r="J87" s="1">
        <f>IF(2390190&gt;0,100*1069032/2390190,"")</f>
        <v>44.72581677607219</v>
      </c>
      <c r="K87" s="1">
        <f>IF(1354415&gt;0,100*72676/1354415,"")</f>
        <v>5.365859060922982</v>
      </c>
      <c r="L87" s="1">
        <f>IF(COUNT(J87:K87)=2,K87-J87,"")</f>
        <v>-39.359957715149214</v>
      </c>
      <c r="O87" s="1">
        <v>13</v>
      </c>
      <c r="P87" s="1">
        <v>12</v>
      </c>
      <c r="Q87" s="1">
        <f>IF(1557676&gt;0,100*18730/1557676,"")</f>
        <v>1.2024323415138964</v>
      </c>
      <c r="R87" s="1">
        <f>IF(1359764&gt;0,100*18486/1359764,"")</f>
        <v>1.359500619225101</v>
      </c>
      <c r="S87" s="1">
        <f>IF(COUNT(Q87:R87)=2,R87-Q87,"")</f>
        <v>0.15706827771120446</v>
      </c>
    </row>
    <row r="88" spans="1:19">
      <c r="A88" s="1">
        <v>14</v>
      </c>
      <c r="B88" s="1">
        <v>13</v>
      </c>
      <c r="C88" s="1">
        <f>IF(1496156&gt;0,100*261177/1496156,"")</f>
        <v>17.456535281080313</v>
      </c>
      <c r="D88" s="1">
        <f>IF(957014&gt;0,100*13893/957014,"")</f>
        <v>1.4517029008980016</v>
      </c>
      <c r="E88" s="1">
        <f>IF(COUNT(C88:D88)=2,D88-C88,"")</f>
        <v>-16.00483238018231</v>
      </c>
      <c r="H88" s="1">
        <v>14</v>
      </c>
      <c r="I88" s="1">
        <v>13</v>
      </c>
      <c r="J88" s="1">
        <f>IF(1799691&gt;0,100*550790/1799691,"")</f>
        <v>30.604698250977528</v>
      </c>
      <c r="K88" s="1">
        <f>IF(1028124&gt;0,100*5157/1028124,"")</f>
        <v>0.501593193038972</v>
      </c>
      <c r="L88" s="1">
        <f>IF(COUNT(J88:K88)=2,K88-J88,"")</f>
        <v>-30.103105057938556</v>
      </c>
      <c r="O88" s="1">
        <v>14</v>
      </c>
      <c r="P88" s="1">
        <v>13</v>
      </c>
      <c r="Q88" s="1">
        <f>IF(1217487&gt;0,100*119562/1217487,"")</f>
        <v>9.820392332731274</v>
      </c>
      <c r="R88" s="1">
        <f>IF(1010896&gt;0,100*4231/1010896,"")</f>
        <v>0.41853959259904083</v>
      </c>
      <c r="S88" s="1">
        <f>IF(COUNT(Q88:R88)=2,R88-Q88,"")</f>
        <v>-9.401852740132233</v>
      </c>
    </row>
    <row r="89" spans="1:19">
      <c r="A89" s="1">
        <v>15</v>
      </c>
      <c r="B89" s="1">
        <v>14</v>
      </c>
      <c r="C89" s="1">
        <f>IF(1933985&gt;0,100*847555/1933985,"")</f>
        <v>43.82427991944095</v>
      </c>
      <c r="D89" s="1">
        <f>IF(2945971&gt;0,100*620587/2945971,"")</f>
        <v>21.065618093321355</v>
      </c>
      <c r="E89" s="1">
        <f>IF(COUNT(C89:D89)=2,D89-C89,"")</f>
        <v>-22.758661826119592</v>
      </c>
      <c r="H89" s="1">
        <v>15</v>
      </c>
      <c r="I89" s="1">
        <v>14</v>
      </c>
      <c r="J89" s="1">
        <f>IF(2456423&gt;0,100*458635/2456423,"")</f>
        <v>18.670847814077625</v>
      </c>
      <c r="K89" s="1">
        <f>IF(2682382&gt;0,100*806533/2682382,"")</f>
        <v>30.06779049367316</v>
      </c>
      <c r="L89" s="1">
        <f>IF(COUNT(J89:K89)=2,K89-J89,"")</f>
        <v>11.396942679595536</v>
      </c>
      <c r="O89" s="1">
        <v>15</v>
      </c>
      <c r="P89" s="1">
        <v>14</v>
      </c>
      <c r="Q89" s="1">
        <f>IF(2356524&gt;0,100*573959/2356524,"")</f>
        <v>24.35617035939375</v>
      </c>
      <c r="R89" s="1">
        <f>IF(2257387&gt;0,100*407989/2257387,"")</f>
        <v>18.07350711242689</v>
      </c>
      <c r="S89" s="1">
        <f>IF(COUNT(Q89:R89)=2,R89-Q89,"")</f>
        <v>-6.282663246966862</v>
      </c>
    </row>
    <row r="90" spans="1:19">
      <c r="A90" s="1">
        <v>16</v>
      </c>
      <c r="B90" s="1">
        <v>15</v>
      </c>
      <c r="C90" s="1">
        <f>IF(2016018&gt;0,100*829052/2016018,"")</f>
        <v>41.12324393929023</v>
      </c>
      <c r="D90" s="1">
        <f>IF(2338193&gt;0,100*883323/2338193,"")</f>
        <v>37.77801917976831</v>
      </c>
      <c r="E90" s="1">
        <f>IF(COUNT(C90:D90)=2,D90-C90,"")</f>
        <v>-3.345224759521919</v>
      </c>
      <c r="H90" s="1">
        <v>16</v>
      </c>
      <c r="I90" s="1">
        <v>15</v>
      </c>
      <c r="J90" s="1">
        <f>IF(2410914&gt;0,100*1100716/2410914,"")</f>
        <v>45.65554806185538</v>
      </c>
      <c r="K90" s="1">
        <f>IF(3322760&gt;0,100*1166897/3322760,"")</f>
        <v>35.11830526429836</v>
      </c>
      <c r="L90" s="1">
        <f>IF(COUNT(J90:K90)=2,K90-J90,"")</f>
        <v>-10.53724279755702</v>
      </c>
      <c r="O90" s="1">
        <v>16</v>
      </c>
      <c r="P90" s="1">
        <v>15</v>
      </c>
      <c r="Q90" s="1">
        <f>IF(2715811&gt;0,100*1420140/2715811,"")</f>
        <v>52.29156226261695</v>
      </c>
      <c r="R90" s="1">
        <f>IF(2031501&gt;0,100*366031/2031501,"")</f>
        <v>18.017761251409674</v>
      </c>
      <c r="S90" s="1">
        <f>IF(COUNT(Q90:R90)=2,R90-Q90,"")</f>
        <v>-34.273801011207276</v>
      </c>
    </row>
    <row r="91" spans="1:19">
      <c r="A91" s="1">
        <v>17</v>
      </c>
      <c r="B91" s="1">
        <v>16</v>
      </c>
      <c r="C91" s="1">
        <f>IF(830136&gt;0,100*34541/830136,"")</f>
        <v>4.160884481578922</v>
      </c>
      <c r="D91" s="1">
        <f>IF(886738&gt;0,100*12845/886738,"")</f>
        <v>1.4485676716234108</v>
      </c>
      <c r="E91" s="1">
        <f>IF(COUNT(C91:D91)=2,D91-C91,"")</f>
        <v>-2.712316809955511</v>
      </c>
      <c r="H91" s="1">
        <v>17</v>
      </c>
      <c r="I91" s="1">
        <v>16</v>
      </c>
      <c r="J91" s="1">
        <f>IF(196031&gt;0,100*5823/196031,"")</f>
        <v>2.970448551504609</v>
      </c>
      <c r="K91" s="1">
        <f>IF(2906390&gt;0,100*1091969/2906390,"")</f>
        <v>37.571316994622194</v>
      </c>
      <c r="L91" s="1">
        <f>IF(COUNT(J91:K91)=2,K91-J91,"")</f>
        <v>34.600868443117584</v>
      </c>
      <c r="O91" s="1">
        <v>17</v>
      </c>
      <c r="P91" s="1">
        <v>16</v>
      </c>
      <c r="Q91" s="1">
        <f>IF(2285076&gt;0,100*953900/2285076,"")</f>
        <v>41.74478223043785</v>
      </c>
      <c r="R91" s="1">
        <f>IF(1800367&gt;0,100*390036/1800367,"")</f>
        <v>21.66424956689386</v>
      </c>
      <c r="S91" s="1">
        <f>IF(COUNT(Q91:R91)=2,R91-Q91,"")</f>
        <v>-20.080532663543988</v>
      </c>
    </row>
    <row r="92" spans="1:19">
      <c r="A92" s="1">
        <v>18</v>
      </c>
      <c r="B92" s="1">
        <v>17</v>
      </c>
      <c r="C92" s="1">
        <f>IF(1194547&gt;0,100*244244/1194547,"")</f>
        <v>20.446579330909543</v>
      </c>
      <c r="D92" s="1">
        <f>IF(936848&gt;0,100*5298/936848,"")</f>
        <v>0.5655132956466791</v>
      </c>
      <c r="E92" s="1">
        <f>IF(COUNT(C92:D92)=2,D92-C92,"")</f>
        <v>-19.881066035262865</v>
      </c>
      <c r="H92" s="1">
        <v>18</v>
      </c>
      <c r="I92" s="1">
        <v>17</v>
      </c>
      <c r="J92" s="4"/>
      <c r="K92" s="1">
        <f>IF(32072&gt;0,100*569/32072,"")</f>
        <v>1.7741332002993264</v>
      </c>
      <c r="L92" s="1">
        <f>IF(COUNT(J92:K92)=2,K92-J92,"")</f>
        <v/>
      </c>
      <c r="O92" s="1">
        <v>18</v>
      </c>
      <c r="P92" s="1">
        <v>17</v>
      </c>
      <c r="Q92" s="1">
        <f>IF(2825816&gt;0,100*1323547/2825816,"")</f>
        <v>46.83769219227296</v>
      </c>
      <c r="R92" s="1">
        <f>IF(1551282&gt;0,100*86341/1551282,"")</f>
        <v>5.565783655067229</v>
      </c>
      <c r="S92" s="1">
        <f>IF(COUNT(Q92:R92)=2,R92-Q92,"")</f>
        <v>-41.27190853720573</v>
      </c>
    </row>
    <row r="93" spans="1:19">
      <c r="A93" s="1">
        <v>19</v>
      </c>
      <c r="B93" s="1">
        <v>18</v>
      </c>
      <c r="C93" s="1">
        <f>IF(1931560&gt;0,100*912771/1931560,"")</f>
        <v>47.25563792996335</v>
      </c>
      <c r="D93" s="1">
        <f>IF(2750543&gt;0,100*976277/2750543,"")</f>
        <v>35.493973371803314</v>
      </c>
      <c r="E93" s="1">
        <f>IF(COUNT(C93:D93)=2,D93-C93,"")</f>
        <v>-11.761664558160035</v>
      </c>
      <c r="H93" s="1">
        <v>19</v>
      </c>
      <c r="I93" s="1">
        <v>18</v>
      </c>
      <c r="J93" s="1">
        <f>IF(1855523&gt;0,100*552371/1855523,"")</f>
        <v>29.76901930075779</v>
      </c>
      <c r="K93" s="1">
        <f>IF(1782064&gt;0,100*398515/1782064,"")</f>
        <v>22.36255263559558</v>
      </c>
      <c r="L93" s="1">
        <f>IF(COUNT(J93:K93)=2,K93-J93,"")</f>
        <v>-7.40646666516221</v>
      </c>
      <c r="O93" s="1">
        <v>19</v>
      </c>
      <c r="P93" s="1">
        <v>18</v>
      </c>
      <c r="Q93" s="1">
        <f>IF(2510684&gt;0,100*1031580/2510684,"")</f>
        <v>41.08760799845779</v>
      </c>
      <c r="R93" s="1">
        <f>IF(1384426&gt;0,100*92357/1384426,"")</f>
        <v>6.671140241515256</v>
      </c>
      <c r="S93" s="1">
        <f>IF(COUNT(Q93:R93)=2,R93-Q93,"")</f>
        <v>-34.41646775694254</v>
      </c>
    </row>
    <row r="94" spans="1:19">
      <c r="A94" s="1">
        <v>20</v>
      </c>
      <c r="B94" s="1">
        <v>19</v>
      </c>
      <c r="C94" s="1">
        <f>IF(2025286&gt;0,100*867239/2025286,"")</f>
        <v>42.82056953931445</v>
      </c>
      <c r="D94" s="1">
        <f>IF(1711301&gt;0,100*293978/1711301,"")</f>
        <v>17.178626086234974</v>
      </c>
      <c r="E94" s="1">
        <f>IF(COUNT(C94:D94)=2,D94-C94,"")</f>
        <v>-25.641943453079474</v>
      </c>
      <c r="H94" s="1">
        <v>20</v>
      </c>
      <c r="I94" s="1">
        <v>19</v>
      </c>
      <c r="J94" s="1">
        <f>IF(2440076&gt;0,100*960305/2440076,"")</f>
        <v>39.355536466896936</v>
      </c>
      <c r="K94" s="1">
        <f>IF(2159590&gt;0,100*590470/2159590,"")</f>
        <v>27.341763945934183</v>
      </c>
      <c r="L94" s="1">
        <f>IF(COUNT(J94:K94)=2,K94-J94,"")</f>
        <v>-12.013772520962753</v>
      </c>
      <c r="O94" s="1">
        <v>20</v>
      </c>
      <c r="P94" s="1">
        <v>19</v>
      </c>
      <c r="Q94" s="1">
        <f>IF(3041216&gt;0,100*1439290/3041216,"")</f>
        <v>47.32613533533955</v>
      </c>
      <c r="R94" s="1">
        <f>IF(2314778&gt;0,100*531001/2314778,"")</f>
        <v>22.939608031526134</v>
      </c>
      <c r="S94" s="1">
        <f>IF(COUNT(Q94:R94)=2,R94-Q94,"")</f>
        <v>-24.386527303813416</v>
      </c>
    </row>
    <row r="95" spans="1:19">
      <c r="A95" s="1">
        <v>21</v>
      </c>
      <c r="B95" s="1">
        <v>20</v>
      </c>
      <c r="C95" s="1">
        <f>IF(2094148&gt;0,100*1039154/2094148,"")</f>
        <v>49.62180323453739</v>
      </c>
      <c r="D95" s="1">
        <f>IF(1562816&gt;0,100*368107/1562816,"")</f>
        <v>23.5540844219665</v>
      </c>
      <c r="E95" s="1">
        <f>IF(COUNT(C95:D95)=2,D95-C95,"")</f>
        <v>-26.067718812570888</v>
      </c>
      <c r="H95" s="1">
        <v>21</v>
      </c>
      <c r="I95" s="1">
        <v>20</v>
      </c>
      <c r="J95" s="1">
        <f>IF(2683747&gt;0,100*1388722/2683747,"")</f>
        <v>51.74563772218469</v>
      </c>
      <c r="K95" s="1">
        <f>IF(2179310&gt;0,100*225366/2179310,"")</f>
        <v>10.341163028665036</v>
      </c>
      <c r="L95" s="1">
        <f>IF(COUNT(J95:K95)=2,K95-J95,"")</f>
        <v>-41.40447469351965</v>
      </c>
      <c r="O95" s="1">
        <v>21</v>
      </c>
      <c r="P95" s="1">
        <v>20</v>
      </c>
      <c r="Q95" s="1">
        <f>IF(2268817&gt;0,100*1102753/2268817,"")</f>
        <v>48.60475745730044</v>
      </c>
      <c r="R95" s="1">
        <f>IF(2649062&gt;0,100*943431/2649062,"")</f>
        <v>35.61377574401807</v>
      </c>
      <c r="S95" s="1">
        <f>IF(COUNT(Q95:R95)=2,R95-Q95,"")</f>
        <v>-12.990981713282366</v>
      </c>
    </row>
    <row r="96" spans="1:19">
      <c r="A96" s="1">
        <v>22</v>
      </c>
      <c r="B96" s="1">
        <v>21</v>
      </c>
      <c r="C96" s="1">
        <f>IF(1002018&gt;0,100*273571/1002018,"")</f>
        <v>27.302004554808395</v>
      </c>
      <c r="D96" s="1">
        <f>IF(2603931&gt;0,100*937708/2603931,"")</f>
        <v>36.011246073724685</v>
      </c>
      <c r="E96" s="1">
        <f>IF(COUNT(C96:D96)=2,D96-C96,"")</f>
        <v>8.70924151891629</v>
      </c>
      <c r="H96" s="1">
        <v>22</v>
      </c>
      <c r="I96" s="1">
        <v>21</v>
      </c>
      <c r="J96" s="1">
        <f>IF(2557965&gt;0,100*1179736/2557965,"")</f>
        <v>46.12009937587106</v>
      </c>
      <c r="K96" s="1">
        <f>IF(2207708&gt;0,100*799567/2207708,"")</f>
        <v>36.21706312610182</v>
      </c>
      <c r="L96" s="1">
        <f>IF(COUNT(J96:K96)=2,K96-J96,"")</f>
        <v>-9.903036249769237</v>
      </c>
      <c r="O96" s="1">
        <v>22</v>
      </c>
      <c r="P96" s="1">
        <v>21</v>
      </c>
      <c r="Q96" s="1">
        <f>IF(1946233&gt;0,100*656202/1946233,"")</f>
        <v>33.71651801197493</v>
      </c>
      <c r="R96" s="1">
        <f>IF(1347075&gt;0,100*228638/1347075,"")</f>
        <v>16.97292281424568</v>
      </c>
      <c r="S96" s="1">
        <f>IF(COUNT(Q96:R96)=2,R96-Q96,"")</f>
        <v>-16.743595197729245</v>
      </c>
    </row>
    <row r="97" spans="1:19">
      <c r="A97" s="1">
        <v>23</v>
      </c>
      <c r="B97" s="1">
        <v>22</v>
      </c>
      <c r="C97" s="1">
        <f>IF(795260&gt;0,100*1236/795260,"")</f>
        <v>0.15542086864673188</v>
      </c>
      <c r="D97" s="1">
        <f>IF(1166253&gt;0,100*4869/1166253,"")</f>
        <v>0.41749088748324764</v>
      </c>
      <c r="E97" s="1">
        <f>IF(COUNT(C97:D97)=2,D97-C97,"")</f>
        <v>0.26207001883651576</v>
      </c>
      <c r="H97" s="1">
        <v>23</v>
      </c>
      <c r="I97" s="1">
        <v>22</v>
      </c>
      <c r="J97" s="1">
        <f>IF(2773812&gt;0,100*1410215/2773812,"")</f>
        <v>50.84032371335909</v>
      </c>
      <c r="K97" s="1">
        <f>IF(3518531&gt;0,100*1364803/3518531,"")</f>
        <v>38.78900029586211</v>
      </c>
      <c r="L97" s="1">
        <f>IF(COUNT(J97:K97)=2,K97-J97,"")</f>
        <v>-12.051323417496981</v>
      </c>
      <c r="O97" s="1">
        <v>23</v>
      </c>
      <c r="P97" s="1">
        <v>22</v>
      </c>
      <c r="Q97" s="1">
        <f>IF(2188846&gt;0,100*938113/2188846,"")</f>
        <v>42.858794086016104</v>
      </c>
      <c r="R97" s="1">
        <f>IF(2836027&gt;0,100*1050019/2836027,"")</f>
        <v>37.0242949026931</v>
      </c>
      <c r="S97" s="1">
        <f>IF(COUNT(Q97:R97)=2,R97-Q97,"")</f>
        <v>-5.834499183323004</v>
      </c>
    </row>
    <row r="98" spans="1:19">
      <c r="A98" s="1">
        <v>24</v>
      </c>
      <c r="B98" s="1">
        <v>23</v>
      </c>
      <c r="C98" s="1">
        <f>IF(1888679&gt;0,100*755365/1888679,"")</f>
        <v>39.99435584342284</v>
      </c>
      <c r="D98" s="1">
        <f>IF(1606570&gt;0,100*79653/1606570,"")</f>
        <v>4.957953901790772</v>
      </c>
      <c r="E98" s="1">
        <f>IF(COUNT(C98:D98)=2,D98-C98,"")</f>
        <v>-35.036401941632064</v>
      </c>
      <c r="H98" s="1">
        <v>24</v>
      </c>
      <c r="I98" s="1">
        <v>23</v>
      </c>
      <c r="J98" s="1">
        <f>IF(2330232&gt;0,100*1039149/2330232,"")</f>
        <v>44.594229244126765</v>
      </c>
      <c r="K98" s="1">
        <f>IF(2236412&gt;0,100*384637/2236412,"")</f>
        <v>17.198843504685183</v>
      </c>
      <c r="L98" s="1">
        <f>IF(COUNT(J98:K98)=2,K98-J98,"")</f>
        <v>-27.395385739441583</v>
      </c>
      <c r="O98" s="1">
        <v>24</v>
      </c>
      <c r="P98" s="1">
        <v>23</v>
      </c>
      <c r="Q98" s="1">
        <f>IF(2075098&gt;0,100*737576/2075098,"")</f>
        <v>35.544152613515124</v>
      </c>
      <c r="R98" s="1">
        <f>IF(2182647&gt;0,100*464812/2182647,"")</f>
        <v>21.295793593741912</v>
      </c>
      <c r="S98" s="1">
        <f>IF(COUNT(Q98:R98)=2,R98-Q98,"")</f>
        <v>-14.248359019773211</v>
      </c>
    </row>
    <row r="99" spans="1:19">
      <c r="A99" s="1">
        <v>25</v>
      </c>
      <c r="B99" s="1">
        <v>24</v>
      </c>
      <c r="C99" s="1">
        <f>IF(2046231&gt;0,100*862149/2046231,"")</f>
        <v>42.1335127852134</v>
      </c>
      <c r="D99" s="1">
        <f>IF(2337516&gt;0,100*761845/2337516,"")</f>
        <v>32.59207637509219</v>
      </c>
      <c r="E99" s="1">
        <f>IF(COUNT(C99:D99)=2,D99-C99,"")</f>
        <v>-9.541436410121207</v>
      </c>
      <c r="H99" s="1">
        <v>25</v>
      </c>
      <c r="I99" s="1">
        <v>24</v>
      </c>
      <c r="J99" s="1">
        <f>IF(2687496&gt;0,100*1356682/2687496,"")</f>
        <v>50.481265832581705</v>
      </c>
      <c r="K99" s="1">
        <f>IF(2279598&gt;0,100*485192/2279598,"")</f>
        <v>21.284103600722585</v>
      </c>
      <c r="L99" s="1">
        <f>IF(COUNT(J99:K99)=2,K99-J99,"")</f>
        <v>-29.19716223185912</v>
      </c>
      <c r="O99" s="1">
        <v>25</v>
      </c>
      <c r="P99" s="1">
        <v>24</v>
      </c>
      <c r="Q99" s="1">
        <f>IF(2348758&gt;0,100*912656/2348758,"")</f>
        <v>38.856961849624355</v>
      </c>
      <c r="R99" s="1">
        <f>IF(2272919&gt;0,100*441446/2272919,"")</f>
        <v>19.421985561298047</v>
      </c>
      <c r="S99" s="1">
        <f>IF(COUNT(Q99:R99)=2,R99-Q99,"")</f>
        <v>-19.434976288326308</v>
      </c>
    </row>
    <row r="100" spans="1:19">
      <c r="A100" s="1">
        <v>26</v>
      </c>
      <c r="B100" s="1">
        <v>25</v>
      </c>
      <c r="C100" s="1">
        <f>IF(2173027&gt;0,100*1021557/2173027,"")</f>
        <v>47.01078265479444</v>
      </c>
      <c r="D100" s="1">
        <f>IF(28176&gt;0,100*7828/28176,"")</f>
        <v>27.78250993753549</v>
      </c>
      <c r="E100" s="1">
        <f>IF(COUNT(C100:D100)=2,D100-C100,"")</f>
        <v>-19.22827271725895</v>
      </c>
      <c r="H100" s="1">
        <v>26</v>
      </c>
      <c r="I100" s="1">
        <v>25</v>
      </c>
      <c r="J100" s="1">
        <f>IF(1369843&gt;0,100*81159/1369843,"")</f>
        <v>5.9246935597729085</v>
      </c>
      <c r="K100" s="1">
        <f>IF(2507580&gt;0,100*631000/2507580,"")</f>
        <v>25.163703650531588</v>
      </c>
      <c r="L100" s="1">
        <f>IF(COUNT(J100:K100)=2,K100-J100,"")</f>
        <v>19.23901009075868</v>
      </c>
      <c r="O100" s="1">
        <v>26</v>
      </c>
      <c r="P100" s="1">
        <v>25</v>
      </c>
      <c r="Q100" s="1">
        <f>IF(2790743&gt;0,100*1533326/2790743,"")</f>
        <v>54.94328929607635</v>
      </c>
      <c r="R100" s="1">
        <f>IF(2525749&gt;0,100*806193/2525749,"")</f>
        <v>31.918967403332637</v>
      </c>
      <c r="S100" s="1">
        <f>IF(COUNT(Q100:R100)=2,R100-Q100,"")</f>
        <v>-23.024321892743714</v>
      </c>
    </row>
    <row r="101" spans="1:19">
      <c r="A101" s="1">
        <v>27</v>
      </c>
      <c r="B101" s="1">
        <v>26</v>
      </c>
      <c r="C101" s="1">
        <f>IF(2068375&gt;0,100*1076315/2068375,"")</f>
        <v>52.03674382063214</v>
      </c>
      <c r="D101" s="1">
        <f>IF(1013253&gt;0,100*178125/1013253,"")</f>
        <v>17.57951863947109</v>
      </c>
      <c r="E101" s="1">
        <f>IF(COUNT(C101:D101)=2,D101-C101,"")</f>
        <v>-34.45722518116105</v>
      </c>
      <c r="H101" s="1">
        <v>27</v>
      </c>
      <c r="I101" s="1">
        <v>26</v>
      </c>
      <c r="J101" s="1">
        <f>IF(1770443&gt;0,100*418105/1770443,"")</f>
        <v>23.615840781092643</v>
      </c>
      <c r="K101" s="1">
        <f>IF(1545135&gt;0,100*272650/1545135,"")</f>
        <v>17.645707333016208</v>
      </c>
      <c r="L101" s="1">
        <f>IF(COUNT(J101:K101)=2,K101-J101,"")</f>
        <v>-5.970133448076435</v>
      </c>
      <c r="O101" s="1">
        <v>27</v>
      </c>
      <c r="P101" s="1">
        <v>26</v>
      </c>
      <c r="Q101" s="1">
        <f>IF(2101248&gt;0,100*444433/2101248,"")</f>
        <v>21.150906508893762</v>
      </c>
      <c r="R101" s="1">
        <f>IF(1488233&gt;0,100*224719/1488233,"")</f>
        <v>15.099718928420483</v>
      </c>
      <c r="S101" s="1">
        <f>IF(COUNT(Q101:R101)=2,R101-Q101,"")</f>
        <v>-6.051187580473279</v>
      </c>
    </row>
    <row r="102" spans="1:19">
      <c r="A102" s="1">
        <v>28</v>
      </c>
      <c r="B102" s="1">
        <v>27</v>
      </c>
      <c r="C102" s="1">
        <f>IF(1174000&gt;0,100*3059/1174000,"")</f>
        <v>0.2605621805792164</v>
      </c>
      <c r="D102" s="1">
        <f>IF(1457284&gt;0,100*1741/1457284,"")</f>
        <v>0.11946882007899627</v>
      </c>
      <c r="E102" s="1">
        <f>IF(COUNT(C102:D102)=2,D102-C102,"")</f>
        <v>-0.1410933605002201</v>
      </c>
      <c r="H102" s="1">
        <v>28</v>
      </c>
      <c r="I102" s="1">
        <v>27</v>
      </c>
      <c r="J102" s="1">
        <f>IF(2046482&gt;0,100*638275/2046482,"")</f>
        <v>31.18888903005255</v>
      </c>
      <c r="K102" s="1">
        <f>IF(3018014&gt;0,100*1112595/3018014,"")</f>
        <v>36.86513713985422</v>
      </c>
      <c r="L102" s="1">
        <f>IF(COUNT(J102:K102)=2,K102-J102,"")</f>
        <v>5.676248109801669</v>
      </c>
      <c r="O102" s="1">
        <v>28</v>
      </c>
      <c r="P102" s="1">
        <v>27</v>
      </c>
      <c r="Q102" s="1">
        <f>IF(2324907&gt;0,100*896618/2324907,"")</f>
        <v>38.5657576840708</v>
      </c>
      <c r="R102" s="1">
        <f>IF(2304687&gt;0,100*579597/2304687,"")</f>
        <v>25.148621049192364</v>
      </c>
      <c r="S102" s="1">
        <f>IF(COUNT(Q102:R102)=2,R102-Q102,"")</f>
        <v>-13.417136634878439</v>
      </c>
    </row>
    <row r="103" spans="1:19">
      <c r="A103" s="1">
        <v>29</v>
      </c>
      <c r="B103" s="1">
        <v>28</v>
      </c>
      <c r="C103" s="1">
        <f>IF(2083503&gt;0,100*1007639/2083503,"")</f>
        <v>48.362733338996875</v>
      </c>
      <c r="D103" s="1">
        <f>IF(2694080&gt;0,100*1048195/2694080,"")</f>
        <v>38.907344993467156</v>
      </c>
      <c r="E103" s="1">
        <f>IF(COUNT(C103:D103)=2,D103-C103,"")</f>
        <v>-9.45538834552972</v>
      </c>
      <c r="H103" s="1">
        <v>29</v>
      </c>
      <c r="I103" s="1">
        <v>28</v>
      </c>
      <c r="J103" s="1">
        <f>IF(2576958&gt;0,100*1290348/2576958,"")</f>
        <v>50.072527375300645</v>
      </c>
      <c r="K103" s="1">
        <f>IF(1993254&gt;0,100*324512/1993254,"")</f>
        <v>16.280514174309946</v>
      </c>
      <c r="L103" s="1">
        <f>IF(COUNT(J103:K103)=2,K103-J103,"")</f>
        <v>-33.792013200990695</v>
      </c>
      <c r="O103" s="1">
        <v>29</v>
      </c>
      <c r="P103" s="1">
        <v>28</v>
      </c>
      <c r="Q103" s="1">
        <f>IF(2240165&gt;0,100*1016922/2240165,"")</f>
        <v>45.39495974626869</v>
      </c>
      <c r="R103" s="1">
        <f>IF(2554172&gt;0,100*673126/2554172,"")</f>
        <v>26.35398085955057</v>
      </c>
      <c r="S103" s="1">
        <f>IF(COUNT(Q103:R103)=2,R103-Q103,"")</f>
        <v>-19.04097888671812</v>
      </c>
    </row>
    <row r="104" spans="1:19">
      <c r="A104" s="1">
        <v>30</v>
      </c>
      <c r="B104" s="1">
        <v>29</v>
      </c>
      <c r="C104" s="1">
        <f>IF(2234870&gt;0,100*1080496/2234870,"")</f>
        <v>48.34715218334847</v>
      </c>
      <c r="D104" s="1">
        <f>IF(2716210&gt;0,100*953609/2716210,"")</f>
        <v>35.108073381660475</v>
      </c>
      <c r="E104" s="1">
        <f>IF(COUNT(C104:D104)=2,D104-C104,"")</f>
        <v>-13.239078801687995</v>
      </c>
      <c r="H104" s="1">
        <v>30</v>
      </c>
      <c r="I104" s="1">
        <v>29</v>
      </c>
      <c r="J104" s="1">
        <f>IF(1911633&gt;0,100*586958/1911633,"")</f>
        <v>30.704533767726335</v>
      </c>
      <c r="K104" s="1">
        <f>IF(1320720&gt;0,100*46147/1320720,"")</f>
        <v>3.4940789872190927</v>
      </c>
      <c r="L104" s="1">
        <f>IF(COUNT(J104:K104)=2,K104-J104,"")</f>
        <v>-27.21045478050724</v>
      </c>
      <c r="O104" s="1">
        <v>30</v>
      </c>
      <c r="P104" s="1">
        <v>29</v>
      </c>
      <c r="Q104" s="1">
        <f>IF(1054742&gt;0,100*14563/1054742,"")</f>
        <v>1.3807168008859039</v>
      </c>
      <c r="R104" s="1">
        <f>IF(1632479&gt;0,100*20658/1632479,"")</f>
        <v>1.2654374114460278</v>
      </c>
      <c r="S104" s="1">
        <f>IF(COUNT(Q104:R104)=2,R104-Q104,"")</f>
        <v>-0.11527938943987603</v>
      </c>
    </row>
    <row r="105" spans="1:19">
      <c r="A105" s="1">
        <v>31</v>
      </c>
      <c r="B105" s="1">
        <v>30</v>
      </c>
      <c r="C105" s="1">
        <f>IF(1611966&gt;0,100*408242/1611966,"")</f>
        <v>25.32572026953422</v>
      </c>
      <c r="D105" s="1">
        <f>IF(843328&gt;0,100*5082/843328,"")</f>
        <v>0.6026125066403581</v>
      </c>
      <c r="E105" s="1">
        <f>IF(COUNT(C105:D105)=2,D105-C105,"")</f>
        <v>-24.72310776289386</v>
      </c>
      <c r="H105" s="1">
        <v>31</v>
      </c>
      <c r="I105" s="1">
        <v>30</v>
      </c>
      <c r="J105" s="1">
        <f>IF(1813572&gt;0,100*419503/1813572,"")</f>
        <v>23.131312128771288</v>
      </c>
      <c r="K105" s="1">
        <f>IF(2869365&gt;0,100*896206/2869365,"")</f>
        <v>31.233600465608244</v>
      </c>
      <c r="L105" s="1">
        <f>IF(COUNT(J105:K105)=2,K105-J105,"")</f>
        <v>8.102288336836956</v>
      </c>
      <c r="O105" s="1">
        <v>31</v>
      </c>
      <c r="P105" s="1">
        <v>30</v>
      </c>
      <c r="Q105" s="1">
        <f>IF(2344140&gt;0,100*1034103/2344140,"")</f>
        <v>44.11438736594231</v>
      </c>
      <c r="R105" s="1">
        <f>IF(2011928&gt;0,100*439303/2011928,"")</f>
        <v>21.83492649836376</v>
      </c>
      <c r="S105" s="1">
        <f>IF(COUNT(Q105:R105)=2,R105-Q105,"")</f>
        <v>-22.279460867578546</v>
      </c>
    </row>
    <row r="106" spans="1:19">
      <c r="A106" s="2" t="s">
        <v>6</v>
      </c>
      <c r="B106" s="1"/>
      <c r="C106" s="1">
        <f>IF(COUNT(C75:C105)&gt;0,AVERAGE(C75:C105),"")</f>
        <v>34.139885623640744</v>
      </c>
      <c r="D106" s="1">
        <f>IF(COUNT(D75:D105)&gt;0,AVERAGE(D75:D105),"")</f>
        <v>20.581564043911836</v>
      </c>
      <c r="E106" s="1">
        <f>IF(COUNT(E75:E105)&gt;0,AVERAGE(E75:E105),"")</f>
        <v>-13.558321579728908</v>
      </c>
      <c r="H106" s="2" t="s">
        <v>6</v>
      </c>
      <c r="I106" s="1"/>
      <c r="J106" s="1">
        <f>IF(COUNT(J75:J105)&gt;0,AVERAGE(J75:J105),"")</f>
        <v>36.56494216191195</v>
      </c>
      <c r="K106" s="1">
        <f>IF(COUNT(K75:K105)&gt;0,AVERAGE(K75:K105),"")</f>
        <v>20.175748918259167</v>
      </c>
      <c r="L106" s="1">
        <f>IF(COUNT(L75:L105)&gt;0,AVERAGE(L75:L105),"")</f>
        <v>-15.775806053054124</v>
      </c>
      <c r="O106" s="2" t="s">
        <v>6</v>
      </c>
      <c r="P106" s="1"/>
      <c r="Q106" s="1">
        <f>IF(COUNT(Q75:Q105)&gt;0,AVERAGE(Q75:Q105),"")</f>
        <v>34.28456187402019</v>
      </c>
      <c r="R106" s="1">
        <f>IF(COUNT(R75:R105)&gt;0,AVERAGE(R75:R105),"")</f>
        <v>18.453450525699076</v>
      </c>
      <c r="S106" s="1">
        <f>IF(COUNT(S75:S105)&gt;0,AVERAGE(S75:S105),"")</f>
        <v>-15.831111348321118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36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style="3" customWidth="1"/>
    <col min="2" max="9" width="28.7109375" style="3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s="3" t="s">
        <v>25</v>
      </c>
      <c r="B2" s="3" t="s">
        <v>26</v>
      </c>
      <c r="C2" s="3">
        <v>1029227</v>
      </c>
      <c r="D2" s="3">
        <v>67366</v>
      </c>
      <c r="E2" s="3" t="s">
        <v>27</v>
      </c>
      <c r="F2" s="3">
        <v>589756</v>
      </c>
      <c r="G2" s="3">
        <v>42847</v>
      </c>
      <c r="H2" s="3">
        <v>439471</v>
      </c>
      <c r="I2" s="3">
        <v>24519</v>
      </c>
    </row>
    <row r="3" spans="1:9">
      <c r="A3" s="3" t="s">
        <v>28</v>
      </c>
      <c r="B3" s="3" t="s">
        <v>26</v>
      </c>
      <c r="C3" s="3">
        <v>1941871</v>
      </c>
      <c r="D3" s="3">
        <v>517424</v>
      </c>
      <c r="E3" s="3" t="s">
        <v>27</v>
      </c>
      <c r="F3" s="3">
        <v>1257093</v>
      </c>
      <c r="G3" s="3">
        <v>339975</v>
      </c>
      <c r="H3" s="3">
        <v>684778</v>
      </c>
      <c r="I3" s="3">
        <v>177449</v>
      </c>
    </row>
    <row r="4" spans="1:9">
      <c r="A4" s="3" t="s">
        <v>29</v>
      </c>
      <c r="B4" s="3" t="s">
        <v>26</v>
      </c>
      <c r="C4" s="3">
        <v>1896887</v>
      </c>
      <c r="D4" s="3">
        <v>541173</v>
      </c>
      <c r="E4" s="3" t="s">
        <v>27</v>
      </c>
      <c r="F4" s="3">
        <v>1525131</v>
      </c>
      <c r="G4" s="3">
        <v>413218</v>
      </c>
      <c r="H4" s="3">
        <v>371756</v>
      </c>
      <c r="I4" s="3">
        <v>127955</v>
      </c>
    </row>
    <row r="5" spans="1:9">
      <c r="A5" s="3" t="s">
        <v>30</v>
      </c>
      <c r="B5" s="3" t="s">
        <v>26</v>
      </c>
      <c r="C5" s="3">
        <v>1547260</v>
      </c>
      <c r="D5" s="3">
        <v>235691</v>
      </c>
      <c r="E5" s="3" t="s">
        <v>27</v>
      </c>
      <c r="F5" s="3">
        <v>890252</v>
      </c>
      <c r="G5" s="3">
        <v>137941</v>
      </c>
      <c r="H5" s="3">
        <v>657008</v>
      </c>
      <c r="I5" s="3">
        <v>97750</v>
      </c>
    </row>
    <row r="6" spans="1:9">
      <c r="A6" s="3" t="s">
        <v>31</v>
      </c>
      <c r="B6" s="3" t="s">
        <v>26</v>
      </c>
      <c r="C6" s="3">
        <v>1030639</v>
      </c>
      <c r="D6" s="3">
        <v>3971</v>
      </c>
      <c r="E6" s="3" t="s">
        <v>27</v>
      </c>
      <c r="F6" s="3">
        <v>402681</v>
      </c>
      <c r="G6" s="3">
        <v>1624</v>
      </c>
      <c r="H6" s="3">
        <v>627958</v>
      </c>
      <c r="I6" s="3">
        <v>2347</v>
      </c>
    </row>
    <row r="7" spans="1:9">
      <c r="A7" s="3" t="s">
        <v>32</v>
      </c>
      <c r="B7" s="3" t="s">
        <v>26</v>
      </c>
      <c r="C7" s="3">
        <v>2061563</v>
      </c>
      <c r="D7" s="3">
        <v>677124</v>
      </c>
      <c r="E7" s="3" t="s">
        <v>27</v>
      </c>
      <c r="F7" s="3">
        <v>1594470</v>
      </c>
      <c r="G7" s="3">
        <v>502298</v>
      </c>
      <c r="H7" s="3">
        <v>467093</v>
      </c>
      <c r="I7" s="3">
        <v>174826</v>
      </c>
    </row>
    <row r="8" spans="1:9">
      <c r="A8" s="3" t="s">
        <v>33</v>
      </c>
      <c r="B8" s="3" t="s">
        <v>26</v>
      </c>
      <c r="C8" s="3">
        <v>2654440</v>
      </c>
      <c r="D8" s="3">
        <v>896560</v>
      </c>
      <c r="E8" s="3" t="s">
        <v>27</v>
      </c>
      <c r="F8" s="3">
        <v>2070034</v>
      </c>
      <c r="G8" s="3">
        <v>673647</v>
      </c>
      <c r="H8" s="3">
        <v>584406</v>
      </c>
      <c r="I8" s="3">
        <v>222913</v>
      </c>
    </row>
    <row r="9" spans="1:9">
      <c r="A9" s="3" t="s">
        <v>34</v>
      </c>
      <c r="B9" s="3" t="s">
        <v>26</v>
      </c>
      <c r="C9" s="3">
        <v>826118</v>
      </c>
      <c r="D9" s="3">
        <v>10110</v>
      </c>
      <c r="E9" s="3" t="s">
        <v>27</v>
      </c>
      <c r="F9" s="3">
        <v>404630</v>
      </c>
      <c r="G9" s="3">
        <v>3749</v>
      </c>
      <c r="H9" s="3">
        <v>421488</v>
      </c>
      <c r="I9" s="3">
        <v>6361</v>
      </c>
    </row>
    <row r="10" spans="1:9">
      <c r="A10" s="3" t="s">
        <v>35</v>
      </c>
      <c r="B10" s="3" t="s">
        <v>26</v>
      </c>
      <c r="C10" s="3">
        <v>922301</v>
      </c>
      <c r="D10" s="3">
        <v>28610</v>
      </c>
      <c r="E10" s="3" t="s">
        <v>27</v>
      </c>
      <c r="F10" s="3">
        <v>493031</v>
      </c>
      <c r="G10" s="3">
        <v>16609</v>
      </c>
      <c r="H10" s="3">
        <v>429270</v>
      </c>
      <c r="I10" s="3">
        <v>12001</v>
      </c>
    </row>
    <row r="11" spans="1:9">
      <c r="A11" s="3" t="s">
        <v>36</v>
      </c>
      <c r="B11" s="3" t="s">
        <v>26</v>
      </c>
      <c r="C11" s="3">
        <v>870293</v>
      </c>
      <c r="D11" s="3">
        <v>221908</v>
      </c>
      <c r="E11" s="3" t="s">
        <v>27</v>
      </c>
      <c r="F11" s="3">
        <v>678686</v>
      </c>
      <c r="G11" s="3">
        <v>167747</v>
      </c>
      <c r="H11" s="3">
        <v>191607</v>
      </c>
      <c r="I11" s="3">
        <v>54161</v>
      </c>
    </row>
    <row r="12" spans="1:9">
      <c r="A12" s="3" t="s">
        <v>37</v>
      </c>
      <c r="B12" s="3" t="s">
        <v>26</v>
      </c>
      <c r="C12" s="3">
        <v>1821781</v>
      </c>
      <c r="D12" s="3">
        <v>422730</v>
      </c>
      <c r="E12" s="3" t="s">
        <v>27</v>
      </c>
      <c r="F12" s="3">
        <v>1151624</v>
      </c>
      <c r="G12" s="3">
        <v>271316</v>
      </c>
      <c r="H12" s="3">
        <v>670157</v>
      </c>
      <c r="I12" s="3">
        <v>151414</v>
      </c>
    </row>
    <row r="13" spans="1:9">
      <c r="A13" s="3" t="s">
        <v>38</v>
      </c>
      <c r="B13" s="3" t="s">
        <v>26</v>
      </c>
      <c r="C13" s="3">
        <v>1132065</v>
      </c>
      <c r="D13" s="3">
        <v>302643</v>
      </c>
      <c r="E13" s="3" t="s">
        <v>27</v>
      </c>
      <c r="F13" s="3">
        <v>902754</v>
      </c>
      <c r="G13" s="3">
        <v>214361</v>
      </c>
      <c r="H13" s="3">
        <v>229311</v>
      </c>
      <c r="I13" s="3">
        <v>88282</v>
      </c>
    </row>
    <row r="14" spans="1:9">
      <c r="A14" s="3" t="s">
        <v>39</v>
      </c>
      <c r="B14" s="3" t="s">
        <v>26</v>
      </c>
      <c r="C14" s="3">
        <v>1965083</v>
      </c>
      <c r="D14" s="3">
        <v>597125</v>
      </c>
      <c r="E14" s="3" t="s">
        <v>27</v>
      </c>
      <c r="F14" s="3">
        <v>1440907</v>
      </c>
      <c r="G14" s="3">
        <v>438509</v>
      </c>
      <c r="H14" s="3">
        <v>524176</v>
      </c>
      <c r="I14" s="3">
        <v>158616</v>
      </c>
    </row>
    <row r="15" spans="1:9">
      <c r="A15" s="3" t="s">
        <v>40</v>
      </c>
      <c r="B15" s="3" t="s">
        <v>26</v>
      </c>
      <c r="C15" s="3">
        <v>1738279</v>
      </c>
      <c r="D15" s="3">
        <v>517796</v>
      </c>
      <c r="E15" s="3" t="s">
        <v>27</v>
      </c>
      <c r="F15" s="3">
        <v>1417939</v>
      </c>
      <c r="G15" s="3">
        <v>407652</v>
      </c>
      <c r="H15" s="3">
        <v>320340</v>
      </c>
      <c r="I15" s="3">
        <v>110144</v>
      </c>
    </row>
    <row r="16" spans="1:9">
      <c r="A16" s="3" t="s">
        <v>41</v>
      </c>
      <c r="B16" s="3" t="s">
        <v>26</v>
      </c>
      <c r="C16" s="3">
        <v>696517</v>
      </c>
      <c r="D16" s="3">
        <v>2264</v>
      </c>
      <c r="E16" s="3" t="s">
        <v>27</v>
      </c>
      <c r="F16" s="3">
        <v>356205</v>
      </c>
      <c r="G16" s="3">
        <v>844</v>
      </c>
      <c r="H16" s="3">
        <v>340312</v>
      </c>
      <c r="I16" s="3">
        <v>1420</v>
      </c>
    </row>
    <row r="17" spans="1:9">
      <c r="A17" s="3" t="s">
        <v>42</v>
      </c>
      <c r="B17" s="3" t="s">
        <v>26</v>
      </c>
      <c r="C17" s="3">
        <v>1236728</v>
      </c>
      <c r="D17" s="3">
        <v>40946</v>
      </c>
      <c r="E17" s="3" t="s">
        <v>27</v>
      </c>
      <c r="F17" s="3">
        <v>645751</v>
      </c>
      <c r="G17" s="3">
        <v>26838</v>
      </c>
      <c r="H17" s="3">
        <v>590977</v>
      </c>
      <c r="I17" s="3">
        <v>14108</v>
      </c>
    </row>
    <row r="18" spans="1:9">
      <c r="A18" s="3" t="s">
        <v>43</v>
      </c>
      <c r="B18" s="3" t="s">
        <v>26</v>
      </c>
      <c r="C18" s="3">
        <v>1927014</v>
      </c>
      <c r="D18" s="3">
        <v>564557</v>
      </c>
      <c r="E18" s="3" t="s">
        <v>27</v>
      </c>
      <c r="F18" s="3">
        <v>1467711</v>
      </c>
      <c r="G18" s="3">
        <v>408671</v>
      </c>
      <c r="H18" s="3">
        <v>459303</v>
      </c>
      <c r="I18" s="3">
        <v>155886</v>
      </c>
    </row>
    <row r="19" spans="1:9">
      <c r="A19" s="3" t="s">
        <v>44</v>
      </c>
      <c r="B19" s="3" t="s">
        <v>26</v>
      </c>
      <c r="C19" s="3">
        <v>1903703</v>
      </c>
      <c r="D19" s="3">
        <v>369995</v>
      </c>
      <c r="E19" s="3" t="s">
        <v>27</v>
      </c>
      <c r="F19" s="3">
        <v>1347668</v>
      </c>
      <c r="G19" s="3">
        <v>249382</v>
      </c>
      <c r="H19" s="3">
        <v>556035</v>
      </c>
      <c r="I19" s="3">
        <v>120613</v>
      </c>
    </row>
    <row r="20" spans="1:9">
      <c r="A20" s="3" t="s">
        <v>45</v>
      </c>
      <c r="B20" s="3" t="s">
        <v>26</v>
      </c>
      <c r="C20" s="3">
        <v>1631960</v>
      </c>
      <c r="D20" s="3">
        <v>357374</v>
      </c>
      <c r="E20" s="3" t="s">
        <v>27</v>
      </c>
      <c r="F20" s="3">
        <v>1215961</v>
      </c>
      <c r="G20" s="3">
        <v>265032</v>
      </c>
      <c r="H20" s="3">
        <v>415999</v>
      </c>
      <c r="I20" s="3">
        <v>92342</v>
      </c>
    </row>
    <row r="21" spans="1:9">
      <c r="A21" s="3" t="s">
        <v>46</v>
      </c>
      <c r="B21" s="3" t="s">
        <v>26</v>
      </c>
      <c r="C21" s="3">
        <v>665364</v>
      </c>
      <c r="D21" s="3">
        <v>675</v>
      </c>
      <c r="E21" s="3" t="s">
        <v>27</v>
      </c>
      <c r="F21" s="3">
        <v>342230</v>
      </c>
      <c r="G21" s="3">
        <v>341</v>
      </c>
      <c r="H21" s="3">
        <v>323134</v>
      </c>
      <c r="I21" s="3">
        <v>334</v>
      </c>
    </row>
    <row r="22" spans="1:9">
      <c r="A22" s="3" t="s">
        <v>47</v>
      </c>
      <c r="B22" s="3" t="s">
        <v>26</v>
      </c>
      <c r="C22" s="3">
        <v>2098879</v>
      </c>
      <c r="D22" s="3">
        <v>649740</v>
      </c>
      <c r="E22" s="3" t="s">
        <v>27</v>
      </c>
      <c r="F22" s="3">
        <v>1688036</v>
      </c>
      <c r="G22" s="3">
        <v>497941</v>
      </c>
      <c r="H22" s="3">
        <v>410843</v>
      </c>
      <c r="I22" s="3">
        <v>151799</v>
      </c>
    </row>
    <row r="23" spans="1:9">
      <c r="A23" s="3" t="s">
        <v>48</v>
      </c>
      <c r="B23" s="3" t="s">
        <v>26</v>
      </c>
      <c r="C23" s="3">
        <v>1257280</v>
      </c>
      <c r="D23" s="3">
        <v>194560</v>
      </c>
      <c r="E23" s="3" t="s">
        <v>27</v>
      </c>
      <c r="F23" s="3">
        <v>760120</v>
      </c>
      <c r="G23" s="3">
        <v>126803</v>
      </c>
      <c r="H23" s="3">
        <v>497160</v>
      </c>
      <c r="I23" s="3">
        <v>67757</v>
      </c>
    </row>
    <row r="24" spans="1:9">
      <c r="A24" s="3" t="s">
        <v>49</v>
      </c>
      <c r="B24" s="3" t="s">
        <v>26</v>
      </c>
      <c r="C24" s="3">
        <v>1313997</v>
      </c>
      <c r="D24" s="3">
        <v>249117</v>
      </c>
      <c r="E24" s="3" t="s">
        <v>27</v>
      </c>
      <c r="F24" s="3">
        <v>903124</v>
      </c>
      <c r="G24" s="3">
        <v>179893</v>
      </c>
      <c r="H24" s="3">
        <v>410873</v>
      </c>
      <c r="I24" s="3">
        <v>69224</v>
      </c>
    </row>
    <row r="25" spans="1:9">
      <c r="A25" s="3" t="s">
        <v>50</v>
      </c>
      <c r="B25" s="3" t="s">
        <v>26</v>
      </c>
      <c r="C25" s="3">
        <v>1247391</v>
      </c>
      <c r="D25" s="3">
        <v>5792</v>
      </c>
      <c r="E25" s="3" t="s">
        <v>27</v>
      </c>
      <c r="F25" s="3">
        <v>646412</v>
      </c>
      <c r="G25" s="3">
        <v>1911</v>
      </c>
      <c r="H25" s="3">
        <v>600979</v>
      </c>
      <c r="I25" s="3">
        <v>3881</v>
      </c>
    </row>
    <row r="26" spans="1:9">
      <c r="A26" s="3" t="s">
        <v>51</v>
      </c>
      <c r="B26" s="3" t="s">
        <v>26</v>
      </c>
      <c r="C26" s="3">
        <v>2141349</v>
      </c>
      <c r="D26" s="3">
        <v>676694</v>
      </c>
      <c r="E26" s="3" t="s">
        <v>27</v>
      </c>
      <c r="F26" s="3">
        <v>1547926</v>
      </c>
      <c r="G26" s="3">
        <v>473145</v>
      </c>
      <c r="H26" s="3">
        <v>593423</v>
      </c>
      <c r="I26" s="3">
        <v>203549</v>
      </c>
    </row>
    <row r="27" spans="1:9">
      <c r="A27" s="3" t="s">
        <v>52</v>
      </c>
      <c r="B27" s="3" t="s">
        <v>26</v>
      </c>
      <c r="C27" s="3">
        <v>1066764</v>
      </c>
      <c r="D27" s="3">
        <v>13529</v>
      </c>
      <c r="E27" s="3" t="s">
        <v>27</v>
      </c>
      <c r="F27" s="3">
        <v>597070</v>
      </c>
      <c r="G27" s="3">
        <v>7003</v>
      </c>
      <c r="H27" s="3">
        <v>469694</v>
      </c>
      <c r="I27" s="3">
        <v>6526</v>
      </c>
    </row>
    <row r="28" spans="1:9">
      <c r="A28" s="3" t="s">
        <v>53</v>
      </c>
      <c r="B28" s="3" t="s">
        <v>26</v>
      </c>
      <c r="C28" s="3">
        <v>1345267</v>
      </c>
      <c r="D28" s="3">
        <v>131527</v>
      </c>
      <c r="E28" s="3" t="s">
        <v>27</v>
      </c>
      <c r="F28" s="3">
        <v>800628</v>
      </c>
      <c r="G28" s="3">
        <v>82297</v>
      </c>
      <c r="H28" s="3">
        <v>544639</v>
      </c>
      <c r="I28" s="3">
        <v>49230</v>
      </c>
    </row>
    <row r="29" spans="1:9">
      <c r="A29" s="3" t="s">
        <v>54</v>
      </c>
      <c r="B29" s="3" t="s">
        <v>26</v>
      </c>
      <c r="C29" s="3">
        <v>1800228</v>
      </c>
      <c r="D29" s="3">
        <v>458639</v>
      </c>
      <c r="E29" s="3" t="s">
        <v>27</v>
      </c>
      <c r="F29" s="3">
        <v>1213940</v>
      </c>
      <c r="G29" s="3">
        <v>293918</v>
      </c>
      <c r="H29" s="3">
        <v>586288</v>
      </c>
      <c r="I29" s="3">
        <v>164721</v>
      </c>
    </row>
    <row r="30" spans="1:9">
      <c r="A30" s="3" t="s">
        <v>55</v>
      </c>
      <c r="B30" s="3" t="s">
        <v>26</v>
      </c>
      <c r="C30" s="3">
        <v>1745329</v>
      </c>
      <c r="D30" s="3">
        <v>496325</v>
      </c>
      <c r="E30" s="3" t="s">
        <v>27</v>
      </c>
      <c r="F30" s="3">
        <v>1281547</v>
      </c>
      <c r="G30" s="3">
        <v>357299</v>
      </c>
      <c r="H30" s="3">
        <v>463782</v>
      </c>
      <c r="I30" s="3">
        <v>139026</v>
      </c>
    </row>
    <row r="31" spans="1:9">
      <c r="A31" s="3" t="s">
        <v>56</v>
      </c>
      <c r="B31" s="3" t="s">
        <v>26</v>
      </c>
      <c r="C31" s="3">
        <v>1657062</v>
      </c>
      <c r="D31" s="3">
        <v>474599</v>
      </c>
      <c r="E31" s="3" t="s">
        <v>27</v>
      </c>
      <c r="F31" s="3">
        <v>1366076</v>
      </c>
      <c r="G31" s="3">
        <v>371171</v>
      </c>
      <c r="H31" s="3">
        <v>290986</v>
      </c>
      <c r="I31" s="3">
        <v>103428</v>
      </c>
    </row>
    <row r="32" spans="1:9">
      <c r="A32" s="3" t="s">
        <v>57</v>
      </c>
      <c r="B32" s="3" t="s">
        <v>26</v>
      </c>
      <c r="C32" s="3">
        <v>1000939</v>
      </c>
      <c r="D32" s="3">
        <v>16306</v>
      </c>
      <c r="E32" s="3" t="s">
        <v>27</v>
      </c>
      <c r="F32" s="3">
        <v>527300</v>
      </c>
      <c r="G32" s="3">
        <v>8129</v>
      </c>
      <c r="H32" s="3">
        <v>473639</v>
      </c>
      <c r="I32" s="3">
        <v>8177</v>
      </c>
    </row>
    <row r="33" spans="1:9">
      <c r="A33" s="3" t="s">
        <v>58</v>
      </c>
      <c r="B33" s="3" t="s">
        <v>26</v>
      </c>
      <c r="C33" s="3">
        <v>1611872</v>
      </c>
      <c r="D33" s="3">
        <v>116266</v>
      </c>
      <c r="E33" s="3" t="s">
        <v>27</v>
      </c>
      <c r="F33" s="3">
        <v>963095</v>
      </c>
      <c r="G33" s="3">
        <v>80174</v>
      </c>
      <c r="H33" s="3">
        <v>648777</v>
      </c>
      <c r="I33" s="3">
        <v>36092</v>
      </c>
    </row>
    <row r="34" spans="1:9">
      <c r="A34" s="3" t="s">
        <v>59</v>
      </c>
      <c r="B34" s="3" t="s">
        <v>26</v>
      </c>
      <c r="C34" s="3">
        <v>1583508</v>
      </c>
      <c r="D34" s="3">
        <v>33372</v>
      </c>
      <c r="E34" s="3" t="s">
        <v>27</v>
      </c>
      <c r="F34" s="3">
        <v>859244</v>
      </c>
      <c r="G34" s="3">
        <v>22023</v>
      </c>
      <c r="H34" s="3">
        <v>724264</v>
      </c>
      <c r="I34" s="3">
        <v>11349</v>
      </c>
    </row>
    <row r="35" spans="1:9">
      <c r="A35" s="3" t="s">
        <v>60</v>
      </c>
      <c r="B35" s="3" t="s">
        <v>26</v>
      </c>
      <c r="C35" s="3">
        <v>16409</v>
      </c>
      <c r="D35" s="3">
        <v>2109</v>
      </c>
      <c r="E35" s="3" t="s">
        <v>27</v>
      </c>
      <c r="F35" s="3">
        <v>16409</v>
      </c>
      <c r="G35" s="3">
        <v>2109</v>
      </c>
      <c r="H35" s="3">
        <v>0</v>
      </c>
      <c r="I35" s="3">
        <v>0</v>
      </c>
    </row>
    <row r="36" spans="1:9">
      <c r="A36" s="3" t="s">
        <v>61</v>
      </c>
      <c r="B36" s="3" t="s">
        <v>26</v>
      </c>
      <c r="C36" s="3">
        <v>1381443</v>
      </c>
      <c r="D36" s="3">
        <v>115152</v>
      </c>
      <c r="E36" s="3" t="s">
        <v>27</v>
      </c>
      <c r="F36" s="3">
        <v>743162</v>
      </c>
      <c r="G36" s="3">
        <v>67742</v>
      </c>
      <c r="H36" s="3">
        <v>638281</v>
      </c>
      <c r="I36" s="3">
        <v>47410</v>
      </c>
    </row>
    <row r="37" spans="1:9">
      <c r="A37" s="3" t="s">
        <v>62</v>
      </c>
      <c r="B37" s="3" t="s">
        <v>26</v>
      </c>
      <c r="C37" s="3">
        <v>1406880</v>
      </c>
      <c r="D37" s="3">
        <v>257729</v>
      </c>
      <c r="E37" s="3" t="s">
        <v>27</v>
      </c>
      <c r="F37" s="3">
        <v>1082028</v>
      </c>
      <c r="G37" s="3">
        <v>205002</v>
      </c>
      <c r="H37" s="3">
        <v>324852</v>
      </c>
      <c r="I37" s="3">
        <v>52727</v>
      </c>
    </row>
    <row r="38" spans="1:9">
      <c r="A38" s="3" t="s">
        <v>63</v>
      </c>
      <c r="B38" s="3" t="s">
        <v>26</v>
      </c>
      <c r="C38" s="3">
        <v>2314630</v>
      </c>
      <c r="D38" s="3">
        <v>506123</v>
      </c>
      <c r="E38" s="3" t="s">
        <v>27</v>
      </c>
      <c r="F38" s="3">
        <v>1489348</v>
      </c>
      <c r="G38" s="3">
        <v>327474</v>
      </c>
      <c r="H38" s="3">
        <v>825282</v>
      </c>
      <c r="I38" s="3">
        <v>178649</v>
      </c>
    </row>
    <row r="39" spans="1:9">
      <c r="A39" s="3" t="s">
        <v>64</v>
      </c>
      <c r="B39" s="3" t="s">
        <v>26</v>
      </c>
      <c r="C39" s="3">
        <v>2029541</v>
      </c>
      <c r="D39" s="3">
        <v>392897</v>
      </c>
      <c r="E39" s="3" t="s">
        <v>27</v>
      </c>
      <c r="F39" s="3">
        <v>1459562</v>
      </c>
      <c r="G39" s="3">
        <v>309696</v>
      </c>
      <c r="H39" s="3">
        <v>569979</v>
      </c>
      <c r="I39" s="3">
        <v>83201</v>
      </c>
    </row>
    <row r="40" spans="1:9">
      <c r="A40" s="3" t="s">
        <v>65</v>
      </c>
      <c r="B40" s="3" t="s">
        <v>26</v>
      </c>
      <c r="C40" s="3">
        <v>1841520</v>
      </c>
      <c r="D40" s="3">
        <v>341868</v>
      </c>
      <c r="E40" s="3" t="s">
        <v>27</v>
      </c>
      <c r="F40" s="3">
        <v>1171905</v>
      </c>
      <c r="G40" s="3">
        <v>213601</v>
      </c>
      <c r="H40" s="3">
        <v>669615</v>
      </c>
      <c r="I40" s="3">
        <v>128267</v>
      </c>
    </row>
    <row r="41" spans="1:9">
      <c r="A41" s="3" t="s">
        <v>66</v>
      </c>
      <c r="B41" s="3" t="s">
        <v>26</v>
      </c>
      <c r="C41" s="3">
        <v>2215</v>
      </c>
      <c r="D41" s="3">
        <v>355</v>
      </c>
      <c r="E41" s="3" t="s">
        <v>27</v>
      </c>
      <c r="F41" s="3">
        <v>2215</v>
      </c>
      <c r="G41" s="3">
        <v>355</v>
      </c>
      <c r="H41" s="3">
        <v>0</v>
      </c>
      <c r="I41" s="3">
        <v>0</v>
      </c>
    </row>
    <row r="42" spans="1:9">
      <c r="A42" s="3" t="s">
        <v>67</v>
      </c>
      <c r="B42" s="3" t="s">
        <v>26</v>
      </c>
      <c r="C42" s="3">
        <v>2076050</v>
      </c>
      <c r="D42" s="3">
        <v>369350</v>
      </c>
      <c r="E42" s="3" t="s">
        <v>27</v>
      </c>
      <c r="F42" s="3">
        <v>1281023</v>
      </c>
      <c r="G42" s="3">
        <v>246540</v>
      </c>
      <c r="H42" s="3">
        <v>795027</v>
      </c>
      <c r="I42" s="3">
        <v>122810</v>
      </c>
    </row>
    <row r="43" spans="1:9">
      <c r="A43" s="3" t="s">
        <v>68</v>
      </c>
      <c r="B43" s="3" t="s">
        <v>26</v>
      </c>
      <c r="C43" s="3">
        <v>1707267</v>
      </c>
      <c r="D43" s="3">
        <v>336977</v>
      </c>
      <c r="E43" s="3" t="s">
        <v>27</v>
      </c>
      <c r="F43" s="3">
        <v>1151773</v>
      </c>
      <c r="G43" s="3">
        <v>227964</v>
      </c>
      <c r="H43" s="3">
        <v>555494</v>
      </c>
      <c r="I43" s="3">
        <v>109013</v>
      </c>
    </row>
    <row r="44" spans="1:9">
      <c r="A44" s="3" t="s">
        <v>69</v>
      </c>
      <c r="B44" s="3" t="s">
        <v>26</v>
      </c>
      <c r="C44" s="3">
        <v>2376218</v>
      </c>
      <c r="D44" s="3">
        <v>559032</v>
      </c>
      <c r="E44" s="3" t="s">
        <v>27</v>
      </c>
      <c r="F44" s="3">
        <v>1727217</v>
      </c>
      <c r="G44" s="3">
        <v>396781</v>
      </c>
      <c r="H44" s="3">
        <v>649001</v>
      </c>
      <c r="I44" s="3">
        <v>162251</v>
      </c>
    </row>
    <row r="45" spans="1:9">
      <c r="A45" s="3" t="s">
        <v>70</v>
      </c>
      <c r="B45" s="3" t="s">
        <v>26</v>
      </c>
      <c r="C45" s="3">
        <v>1984039</v>
      </c>
      <c r="D45" s="3">
        <v>260495</v>
      </c>
      <c r="E45" s="3" t="s">
        <v>27</v>
      </c>
      <c r="F45" s="3">
        <v>1192392</v>
      </c>
      <c r="G45" s="3">
        <v>161658</v>
      </c>
      <c r="H45" s="3">
        <v>791647</v>
      </c>
      <c r="I45" s="3">
        <v>98837</v>
      </c>
    </row>
    <row r="46" spans="1:9">
      <c r="A46" s="3" t="s">
        <v>71</v>
      </c>
      <c r="B46" s="3" t="s">
        <v>26</v>
      </c>
      <c r="C46" s="3">
        <v>1896459</v>
      </c>
      <c r="D46" s="3">
        <v>510876</v>
      </c>
      <c r="E46" s="3" t="s">
        <v>27</v>
      </c>
      <c r="F46" s="3">
        <v>1602429</v>
      </c>
      <c r="G46" s="3">
        <v>416933</v>
      </c>
      <c r="H46" s="3">
        <v>294030</v>
      </c>
      <c r="I46" s="3">
        <v>93943</v>
      </c>
    </row>
    <row r="47" spans="1:9">
      <c r="A47" s="3" t="s">
        <v>72</v>
      </c>
      <c r="B47" s="3" t="s">
        <v>26</v>
      </c>
      <c r="C47" s="3">
        <v>1469345</v>
      </c>
      <c r="D47" s="3">
        <v>341492</v>
      </c>
      <c r="E47" s="3" t="s">
        <v>27</v>
      </c>
      <c r="F47" s="3">
        <v>932719</v>
      </c>
      <c r="G47" s="3">
        <v>201211</v>
      </c>
      <c r="H47" s="3">
        <v>536626</v>
      </c>
      <c r="I47" s="3">
        <v>140281</v>
      </c>
    </row>
    <row r="48" spans="1:9">
      <c r="A48" s="3" t="s">
        <v>73</v>
      </c>
      <c r="B48" s="3" t="s">
        <v>26</v>
      </c>
      <c r="C48" s="3">
        <v>1812006</v>
      </c>
      <c r="D48" s="3">
        <v>207441</v>
      </c>
      <c r="E48" s="3" t="s">
        <v>27</v>
      </c>
      <c r="F48" s="3">
        <v>1003113</v>
      </c>
      <c r="G48" s="3">
        <v>120424</v>
      </c>
      <c r="H48" s="3">
        <v>808893</v>
      </c>
      <c r="I48" s="3">
        <v>87017</v>
      </c>
    </row>
    <row r="49" spans="1:9">
      <c r="A49" s="3" t="s">
        <v>74</v>
      </c>
      <c r="B49" s="3" t="s">
        <v>26</v>
      </c>
      <c r="C49" s="3">
        <v>1365162</v>
      </c>
      <c r="D49" s="3">
        <v>33421</v>
      </c>
      <c r="E49" s="3" t="s">
        <v>27</v>
      </c>
      <c r="F49" s="3">
        <v>723555</v>
      </c>
      <c r="G49" s="3">
        <v>21635</v>
      </c>
      <c r="H49" s="3">
        <v>641607</v>
      </c>
      <c r="I49" s="3">
        <v>11786</v>
      </c>
    </row>
    <row r="50" spans="1:9">
      <c r="A50" s="3" t="s">
        <v>75</v>
      </c>
      <c r="B50" s="3" t="s">
        <v>26</v>
      </c>
      <c r="C50" s="3">
        <v>2081552</v>
      </c>
      <c r="D50" s="3">
        <v>421619</v>
      </c>
      <c r="E50" s="3" t="s">
        <v>27</v>
      </c>
      <c r="F50" s="3">
        <v>1386796</v>
      </c>
      <c r="G50" s="3">
        <v>289968</v>
      </c>
      <c r="H50" s="3">
        <v>694756</v>
      </c>
      <c r="I50" s="3">
        <v>131651</v>
      </c>
    </row>
    <row r="51" spans="1:9">
      <c r="A51" s="3" t="s">
        <v>76</v>
      </c>
      <c r="B51" s="3" t="s">
        <v>26</v>
      </c>
      <c r="C51" s="3">
        <v>1334162</v>
      </c>
      <c r="D51" s="3">
        <v>196692</v>
      </c>
      <c r="E51" s="3" t="s">
        <v>27</v>
      </c>
      <c r="F51" s="3">
        <v>1003741</v>
      </c>
      <c r="G51" s="3">
        <v>151273</v>
      </c>
      <c r="H51" s="3">
        <v>330421</v>
      </c>
      <c r="I51" s="3">
        <v>45419</v>
      </c>
    </row>
    <row r="52" spans="1:9">
      <c r="A52" s="3" t="s">
        <v>77</v>
      </c>
      <c r="B52" s="3" t="s">
        <v>26</v>
      </c>
      <c r="C52" s="3">
        <v>2511124</v>
      </c>
      <c r="D52" s="3">
        <v>750367</v>
      </c>
      <c r="E52" s="3" t="s">
        <v>27</v>
      </c>
      <c r="F52" s="3">
        <v>1876750</v>
      </c>
      <c r="G52" s="3">
        <v>548392</v>
      </c>
      <c r="H52" s="3">
        <v>634374</v>
      </c>
      <c r="I52" s="3">
        <v>201975</v>
      </c>
    </row>
    <row r="53" spans="1:9">
      <c r="A53" s="3" t="s">
        <v>78</v>
      </c>
      <c r="B53" s="3" t="s">
        <v>26</v>
      </c>
      <c r="C53" s="3">
        <v>2296061</v>
      </c>
      <c r="D53" s="3">
        <v>522333</v>
      </c>
      <c r="E53" s="3" t="s">
        <v>27</v>
      </c>
      <c r="F53" s="3">
        <v>1584655</v>
      </c>
      <c r="G53" s="3">
        <v>344574</v>
      </c>
      <c r="H53" s="3">
        <v>711406</v>
      </c>
      <c r="I53" s="3">
        <v>177759</v>
      </c>
    </row>
    <row r="54" spans="1:9">
      <c r="A54" s="3" t="s">
        <v>79</v>
      </c>
      <c r="B54" s="3" t="s">
        <v>26</v>
      </c>
      <c r="C54" s="3">
        <v>1951544</v>
      </c>
      <c r="D54" s="3">
        <v>434559</v>
      </c>
      <c r="E54" s="3" t="s">
        <v>27</v>
      </c>
      <c r="F54" s="3">
        <v>1468737</v>
      </c>
      <c r="G54" s="3">
        <v>348440</v>
      </c>
      <c r="H54" s="3">
        <v>482807</v>
      </c>
      <c r="I54" s="3">
        <v>86119</v>
      </c>
    </row>
    <row r="55" spans="1:9">
      <c r="A55" s="3" t="s">
        <v>80</v>
      </c>
      <c r="B55" s="3" t="s">
        <v>26</v>
      </c>
      <c r="C55" s="3">
        <v>1907812</v>
      </c>
      <c r="D55" s="3">
        <v>101865</v>
      </c>
      <c r="E55" s="3" t="s">
        <v>27</v>
      </c>
      <c r="F55" s="3">
        <v>1043359</v>
      </c>
      <c r="G55" s="3">
        <v>59538</v>
      </c>
      <c r="H55" s="3">
        <v>864453</v>
      </c>
      <c r="I55" s="3">
        <v>42327</v>
      </c>
    </row>
    <row r="56" spans="1:9">
      <c r="A56" s="3" t="s">
        <v>81</v>
      </c>
      <c r="B56" s="3" t="s">
        <v>26</v>
      </c>
      <c r="C56" s="3">
        <v>2316894</v>
      </c>
      <c r="D56" s="3">
        <v>582509</v>
      </c>
      <c r="E56" s="3" t="s">
        <v>27</v>
      </c>
      <c r="F56" s="3">
        <v>1670002</v>
      </c>
      <c r="G56" s="3">
        <v>406729</v>
      </c>
      <c r="H56" s="3">
        <v>646892</v>
      </c>
      <c r="I56" s="3">
        <v>175780</v>
      </c>
    </row>
    <row r="57" spans="1:9">
      <c r="A57" s="3" t="s">
        <v>82</v>
      </c>
      <c r="B57" s="3" t="s">
        <v>26</v>
      </c>
      <c r="C57" s="3">
        <v>1505561</v>
      </c>
      <c r="D57" s="3">
        <v>39021</v>
      </c>
      <c r="E57" s="3" t="s">
        <v>27</v>
      </c>
      <c r="F57" s="3">
        <v>820811</v>
      </c>
      <c r="G57" s="3">
        <v>19179</v>
      </c>
      <c r="H57" s="3">
        <v>684750</v>
      </c>
      <c r="I57" s="3">
        <v>19842</v>
      </c>
    </row>
    <row r="58" spans="1:9">
      <c r="A58" s="3" t="s">
        <v>83</v>
      </c>
      <c r="B58" s="3" t="s">
        <v>26</v>
      </c>
      <c r="C58" s="3">
        <v>1974925</v>
      </c>
      <c r="D58" s="3">
        <v>427295</v>
      </c>
      <c r="E58" s="3" t="s">
        <v>27</v>
      </c>
      <c r="F58" s="3">
        <v>1481568</v>
      </c>
      <c r="G58" s="3">
        <v>314238</v>
      </c>
      <c r="H58" s="3">
        <v>493357</v>
      </c>
      <c r="I58" s="3">
        <v>113057</v>
      </c>
    </row>
    <row r="59" spans="1:9">
      <c r="A59" s="3" t="s">
        <v>84</v>
      </c>
      <c r="B59" s="3" t="s">
        <v>26</v>
      </c>
      <c r="C59" s="3">
        <v>2279767</v>
      </c>
      <c r="D59" s="3">
        <v>542097</v>
      </c>
      <c r="E59" s="3" t="s">
        <v>27</v>
      </c>
      <c r="F59" s="3">
        <v>1643648</v>
      </c>
      <c r="G59" s="3">
        <v>382257</v>
      </c>
      <c r="H59" s="3">
        <v>636119</v>
      </c>
      <c r="I59" s="3">
        <v>159840</v>
      </c>
    </row>
    <row r="60" spans="1:9">
      <c r="A60" s="3" t="s">
        <v>85</v>
      </c>
      <c r="B60" s="3" t="s">
        <v>26</v>
      </c>
      <c r="C60" s="3">
        <v>1062155</v>
      </c>
      <c r="D60" s="3">
        <v>3098</v>
      </c>
      <c r="E60" s="3" t="s">
        <v>27</v>
      </c>
      <c r="F60" s="3">
        <v>545527</v>
      </c>
      <c r="G60" s="3">
        <v>1624</v>
      </c>
      <c r="H60" s="3">
        <v>516628</v>
      </c>
      <c r="I60" s="3">
        <v>1474</v>
      </c>
    </row>
    <row r="61" spans="1:9">
      <c r="A61" s="3" t="s">
        <v>86</v>
      </c>
      <c r="B61" s="3" t="s">
        <v>26</v>
      </c>
      <c r="C61" s="3">
        <v>875780</v>
      </c>
      <c r="D61" s="3">
        <v>4451</v>
      </c>
      <c r="E61" s="3" t="s">
        <v>27</v>
      </c>
      <c r="F61" s="3">
        <v>453926</v>
      </c>
      <c r="G61" s="3">
        <v>2064</v>
      </c>
      <c r="H61" s="3">
        <v>421854</v>
      </c>
      <c r="I61" s="3">
        <v>2387</v>
      </c>
    </row>
    <row r="62" spans="1:9">
      <c r="A62" s="3" t="s">
        <v>87</v>
      </c>
      <c r="B62" s="3" t="s">
        <v>26</v>
      </c>
      <c r="C62" s="3">
        <v>2539934</v>
      </c>
      <c r="D62" s="3">
        <v>696816</v>
      </c>
      <c r="E62" s="3" t="s">
        <v>27</v>
      </c>
      <c r="F62" s="3">
        <v>1962297</v>
      </c>
      <c r="G62" s="3">
        <v>518675</v>
      </c>
      <c r="H62" s="3">
        <v>577637</v>
      </c>
      <c r="I62" s="3">
        <v>178141</v>
      </c>
    </row>
    <row r="63" spans="1:9">
      <c r="A63" s="3" t="s">
        <v>88</v>
      </c>
      <c r="B63" s="3" t="s">
        <v>26</v>
      </c>
      <c r="C63" s="3">
        <v>2091118</v>
      </c>
      <c r="D63" s="3">
        <v>374784</v>
      </c>
      <c r="E63" s="3" t="s">
        <v>27</v>
      </c>
      <c r="F63" s="3">
        <v>1291278</v>
      </c>
      <c r="G63" s="3">
        <v>234946</v>
      </c>
      <c r="H63" s="3">
        <v>799840</v>
      </c>
      <c r="I63" s="3">
        <v>139838</v>
      </c>
    </row>
    <row r="64" spans="1:9">
      <c r="A64" s="3" t="s">
        <v>89</v>
      </c>
      <c r="B64" s="3" t="s">
        <v>26</v>
      </c>
      <c r="C64" s="3">
        <v>1405101</v>
      </c>
      <c r="D64" s="3">
        <v>206359</v>
      </c>
      <c r="E64" s="3" t="s">
        <v>27</v>
      </c>
      <c r="F64" s="3">
        <v>945987</v>
      </c>
      <c r="G64" s="3">
        <v>146986</v>
      </c>
      <c r="H64" s="3">
        <v>459114</v>
      </c>
      <c r="I64" s="3">
        <v>59373</v>
      </c>
    </row>
    <row r="65" spans="1:9">
      <c r="A65" s="3" t="s">
        <v>90</v>
      </c>
      <c r="B65" s="3" t="s">
        <v>26</v>
      </c>
      <c r="C65" s="3">
        <v>1947502</v>
      </c>
      <c r="D65" s="3">
        <v>164665</v>
      </c>
      <c r="E65" s="3" t="s">
        <v>27</v>
      </c>
      <c r="F65" s="3">
        <v>1056702</v>
      </c>
      <c r="G65" s="3">
        <v>90500</v>
      </c>
      <c r="H65" s="3">
        <v>890800</v>
      </c>
      <c r="I65" s="3">
        <v>74165</v>
      </c>
    </row>
    <row r="66" spans="1:9">
      <c r="A66" s="3" t="s">
        <v>91</v>
      </c>
      <c r="B66" s="3" t="s">
        <v>26</v>
      </c>
      <c r="C66" s="3">
        <v>1934409</v>
      </c>
      <c r="D66" s="3">
        <v>127517</v>
      </c>
      <c r="E66" s="3" t="s">
        <v>27</v>
      </c>
      <c r="F66" s="3">
        <v>1065810</v>
      </c>
      <c r="G66" s="3">
        <v>74409</v>
      </c>
      <c r="H66" s="3">
        <v>868599</v>
      </c>
      <c r="I66" s="3">
        <v>53108</v>
      </c>
    </row>
    <row r="67" spans="1:9">
      <c r="A67" s="3" t="s">
        <v>92</v>
      </c>
      <c r="B67" s="3" t="s">
        <v>26</v>
      </c>
      <c r="C67" s="3">
        <v>1719875</v>
      </c>
      <c r="D67" s="3">
        <v>40623</v>
      </c>
      <c r="E67" s="3" t="s">
        <v>27</v>
      </c>
      <c r="F67" s="3">
        <v>920444</v>
      </c>
      <c r="G67" s="3">
        <v>21104</v>
      </c>
      <c r="H67" s="3">
        <v>799431</v>
      </c>
      <c r="I67" s="3">
        <v>19519</v>
      </c>
    </row>
    <row r="68" spans="1:9">
      <c r="A68" s="3" t="s">
        <v>93</v>
      </c>
      <c r="B68" s="3" t="s">
        <v>26</v>
      </c>
      <c r="C68" s="3">
        <v>1265316</v>
      </c>
      <c r="D68" s="3">
        <v>132628</v>
      </c>
      <c r="E68" s="3" t="s">
        <v>27</v>
      </c>
      <c r="F68" s="3">
        <v>858003</v>
      </c>
      <c r="G68" s="3">
        <v>98255</v>
      </c>
      <c r="H68" s="3">
        <v>407313</v>
      </c>
      <c r="I68" s="3">
        <v>34373</v>
      </c>
    </row>
    <row r="69" spans="1:9">
      <c r="A69" s="3" t="s">
        <v>94</v>
      </c>
      <c r="B69" s="3" t="s">
        <v>26</v>
      </c>
      <c r="C69" s="3">
        <v>2117493</v>
      </c>
      <c r="D69" s="3">
        <v>440292</v>
      </c>
      <c r="E69" s="3" t="s">
        <v>27</v>
      </c>
      <c r="F69" s="3">
        <v>1516049</v>
      </c>
      <c r="G69" s="3">
        <v>307386</v>
      </c>
      <c r="H69" s="3">
        <v>601444</v>
      </c>
      <c r="I69" s="3">
        <v>132906</v>
      </c>
    </row>
    <row r="70" spans="1:9">
      <c r="A70" s="3" t="s">
        <v>95</v>
      </c>
      <c r="B70" s="3" t="s">
        <v>26</v>
      </c>
      <c r="C70" s="3">
        <v>1715997</v>
      </c>
      <c r="D70" s="3">
        <v>140785</v>
      </c>
      <c r="E70" s="3" t="s">
        <v>27</v>
      </c>
      <c r="F70" s="3">
        <v>1016693</v>
      </c>
      <c r="G70" s="3">
        <v>84107</v>
      </c>
      <c r="H70" s="3">
        <v>699304</v>
      </c>
      <c r="I70" s="3">
        <v>56678</v>
      </c>
    </row>
    <row r="71" spans="1:9">
      <c r="A71" s="3" t="s">
        <v>96</v>
      </c>
      <c r="B71" s="3" t="s">
        <v>26</v>
      </c>
      <c r="C71" s="3">
        <v>1643265</v>
      </c>
      <c r="D71" s="3">
        <v>268103</v>
      </c>
      <c r="E71" s="3" t="s">
        <v>27</v>
      </c>
      <c r="F71" s="3">
        <v>1074961</v>
      </c>
      <c r="G71" s="3">
        <v>167600</v>
      </c>
      <c r="H71" s="3">
        <v>568304</v>
      </c>
      <c r="I71" s="3">
        <v>100503</v>
      </c>
    </row>
    <row r="72" spans="1:9">
      <c r="A72" s="3" t="s">
        <v>97</v>
      </c>
      <c r="B72" s="3" t="s">
        <v>26</v>
      </c>
      <c r="C72" s="3">
        <v>1642230</v>
      </c>
      <c r="D72" s="3">
        <v>241157</v>
      </c>
      <c r="E72" s="3" t="s">
        <v>27</v>
      </c>
      <c r="F72" s="3">
        <v>985672</v>
      </c>
      <c r="G72" s="3">
        <v>158592</v>
      </c>
      <c r="H72" s="3">
        <v>656558</v>
      </c>
      <c r="I72" s="3">
        <v>82565</v>
      </c>
    </row>
    <row r="73" spans="1:9">
      <c r="A73" s="3" t="s">
        <v>98</v>
      </c>
      <c r="B73" s="3" t="s">
        <v>26</v>
      </c>
      <c r="C73" s="3">
        <v>1276699</v>
      </c>
      <c r="D73" s="3">
        <v>97072</v>
      </c>
      <c r="E73" s="3" t="s">
        <v>27</v>
      </c>
      <c r="F73" s="3">
        <v>742263</v>
      </c>
      <c r="G73" s="3">
        <v>55763</v>
      </c>
      <c r="H73" s="3">
        <v>534436</v>
      </c>
      <c r="I73" s="3">
        <v>41309</v>
      </c>
    </row>
    <row r="74" spans="1:9">
      <c r="A74" s="3" t="s">
        <v>99</v>
      </c>
      <c r="B74" s="3" t="s">
        <v>26</v>
      </c>
      <c r="C74" s="3">
        <v>1612571</v>
      </c>
      <c r="D74" s="3">
        <v>141797</v>
      </c>
      <c r="E74" s="3" t="s">
        <v>27</v>
      </c>
      <c r="F74" s="3">
        <v>1023034</v>
      </c>
      <c r="G74" s="3">
        <v>98314</v>
      </c>
      <c r="H74" s="3">
        <v>589537</v>
      </c>
      <c r="I74" s="3">
        <v>43483</v>
      </c>
    </row>
    <row r="75" spans="1:9">
      <c r="A75" s="3" t="s">
        <v>100</v>
      </c>
      <c r="B75" s="3" t="s">
        <v>26</v>
      </c>
      <c r="C75" s="3">
        <v>1876722</v>
      </c>
      <c r="D75" s="3">
        <v>400463</v>
      </c>
      <c r="E75" s="3" t="s">
        <v>27</v>
      </c>
      <c r="F75" s="3">
        <v>1462824</v>
      </c>
      <c r="G75" s="3">
        <v>295276</v>
      </c>
      <c r="H75" s="3">
        <v>413898</v>
      </c>
      <c r="I75" s="3">
        <v>105187</v>
      </c>
    </row>
    <row r="76" spans="1:9">
      <c r="A76" s="3" t="s">
        <v>101</v>
      </c>
      <c r="B76" s="3" t="s">
        <v>26</v>
      </c>
      <c r="C76" s="3">
        <v>373658</v>
      </c>
      <c r="D76" s="3">
        <v>44150</v>
      </c>
      <c r="E76" s="3" t="s">
        <v>27</v>
      </c>
      <c r="F76" s="3">
        <v>344497</v>
      </c>
      <c r="G76" s="3">
        <v>35856</v>
      </c>
      <c r="H76" s="3">
        <v>29161</v>
      </c>
      <c r="I76" s="3">
        <v>8294</v>
      </c>
    </row>
    <row r="77" spans="1:9">
      <c r="A77" s="3" t="s">
        <v>102</v>
      </c>
      <c r="B77" s="3" t="s">
        <v>26</v>
      </c>
      <c r="C77" s="3">
        <v>1833250</v>
      </c>
      <c r="D77" s="3">
        <v>512403</v>
      </c>
      <c r="E77" s="3" t="s">
        <v>27</v>
      </c>
      <c r="F77" s="3">
        <v>1558617</v>
      </c>
      <c r="G77" s="3">
        <v>423055</v>
      </c>
      <c r="H77" s="3">
        <v>274633</v>
      </c>
      <c r="I77" s="3">
        <v>89348</v>
      </c>
    </row>
    <row r="78" spans="1:9">
      <c r="A78" s="3" t="s">
        <v>103</v>
      </c>
      <c r="B78" s="3" t="s">
        <v>26</v>
      </c>
      <c r="C78" s="3">
        <v>2247417</v>
      </c>
      <c r="D78" s="3">
        <v>486019</v>
      </c>
      <c r="E78" s="3" t="s">
        <v>27</v>
      </c>
      <c r="F78" s="3">
        <v>1416598</v>
      </c>
      <c r="G78" s="3">
        <v>313550</v>
      </c>
      <c r="H78" s="3">
        <v>830819</v>
      </c>
      <c r="I78" s="3">
        <v>172469</v>
      </c>
    </row>
    <row r="79" spans="1:9">
      <c r="A79" s="3" t="s">
        <v>104</v>
      </c>
      <c r="B79" s="3" t="s">
        <v>26</v>
      </c>
      <c r="C79" s="3">
        <v>1741211</v>
      </c>
      <c r="D79" s="3">
        <v>267147</v>
      </c>
      <c r="E79" s="3" t="s">
        <v>27</v>
      </c>
      <c r="F79" s="3">
        <v>1040063</v>
      </c>
      <c r="G79" s="3">
        <v>173258</v>
      </c>
      <c r="H79" s="3">
        <v>701148</v>
      </c>
      <c r="I79" s="3">
        <v>93889</v>
      </c>
    </row>
    <row r="80" spans="1:9">
      <c r="A80" s="3" t="s">
        <v>105</v>
      </c>
      <c r="B80" s="3" t="s">
        <v>26</v>
      </c>
      <c r="C80" s="3">
        <v>2575625</v>
      </c>
      <c r="D80" s="3">
        <v>699830</v>
      </c>
      <c r="E80" s="3" t="s">
        <v>27</v>
      </c>
      <c r="F80" s="3">
        <v>1924443</v>
      </c>
      <c r="G80" s="3">
        <v>496418</v>
      </c>
      <c r="H80" s="3">
        <v>651182</v>
      </c>
      <c r="I80" s="3">
        <v>203412</v>
      </c>
    </row>
    <row r="81" spans="1:9">
      <c r="A81" s="3" t="s">
        <v>106</v>
      </c>
      <c r="B81" s="3" t="s">
        <v>26</v>
      </c>
      <c r="C81" s="3">
        <v>2360473</v>
      </c>
      <c r="D81" s="3">
        <v>576127</v>
      </c>
      <c r="E81" s="3" t="s">
        <v>27</v>
      </c>
      <c r="F81" s="3">
        <v>1689643</v>
      </c>
      <c r="G81" s="3">
        <v>428209</v>
      </c>
      <c r="H81" s="3">
        <v>670830</v>
      </c>
      <c r="I81" s="3">
        <v>147918</v>
      </c>
    </row>
    <row r="82" spans="1:9">
      <c r="A82" s="3" t="s">
        <v>107</v>
      </c>
      <c r="B82" s="3" t="s">
        <v>26</v>
      </c>
      <c r="C82" s="3">
        <v>2052676</v>
      </c>
      <c r="D82" s="3">
        <v>261242</v>
      </c>
      <c r="E82" s="3" t="s">
        <v>27</v>
      </c>
      <c r="F82" s="3">
        <v>1276983</v>
      </c>
      <c r="G82" s="3">
        <v>178129</v>
      </c>
      <c r="H82" s="3">
        <v>775693</v>
      </c>
      <c r="I82" s="3">
        <v>83113</v>
      </c>
    </row>
    <row r="83" spans="1:9">
      <c r="A83" s="3" t="s">
        <v>108</v>
      </c>
      <c r="B83" s="3" t="s">
        <v>26</v>
      </c>
      <c r="C83" s="3">
        <v>1627064</v>
      </c>
      <c r="D83" s="3">
        <v>379483</v>
      </c>
      <c r="E83" s="3" t="s">
        <v>27</v>
      </c>
      <c r="F83" s="3">
        <v>1251026</v>
      </c>
      <c r="G83" s="3">
        <v>289874</v>
      </c>
      <c r="H83" s="3">
        <v>376038</v>
      </c>
      <c r="I83" s="3">
        <v>89609</v>
      </c>
    </row>
    <row r="84" spans="1:9">
      <c r="A84" s="3" t="s">
        <v>109</v>
      </c>
      <c r="B84" s="3" t="s">
        <v>26</v>
      </c>
      <c r="C84" s="3">
        <v>2139454</v>
      </c>
      <c r="D84" s="3">
        <v>466233</v>
      </c>
      <c r="E84" s="3" t="s">
        <v>27</v>
      </c>
      <c r="F84" s="3">
        <v>1523228</v>
      </c>
      <c r="G84" s="3">
        <v>334026</v>
      </c>
      <c r="H84" s="3">
        <v>616226</v>
      </c>
      <c r="I84" s="3">
        <v>132207</v>
      </c>
    </row>
    <row r="85" spans="1:9">
      <c r="A85" s="3" t="s">
        <v>110</v>
      </c>
      <c r="B85" s="3" t="s">
        <v>26</v>
      </c>
      <c r="C85" s="3">
        <v>1410349</v>
      </c>
      <c r="D85" s="3">
        <v>70238</v>
      </c>
      <c r="E85" s="3" t="s">
        <v>27</v>
      </c>
      <c r="F85" s="3">
        <v>803654</v>
      </c>
      <c r="G85" s="3">
        <v>50014</v>
      </c>
      <c r="H85" s="3">
        <v>606695</v>
      </c>
      <c r="I85" s="3">
        <v>20224</v>
      </c>
    </row>
    <row r="86" spans="1:9">
      <c r="A86" s="3" t="s">
        <v>111</v>
      </c>
      <c r="B86" s="3" t="s">
        <v>26</v>
      </c>
      <c r="C86" s="3">
        <v>2373737</v>
      </c>
      <c r="D86" s="3">
        <v>640881</v>
      </c>
      <c r="E86" s="3" t="s">
        <v>27</v>
      </c>
      <c r="F86" s="3">
        <v>1558759</v>
      </c>
      <c r="G86" s="3">
        <v>416893</v>
      </c>
      <c r="H86" s="3">
        <v>814978</v>
      </c>
      <c r="I86" s="3">
        <v>223988</v>
      </c>
    </row>
    <row r="87" spans="1:9">
      <c r="A87" s="3" t="s">
        <v>112</v>
      </c>
      <c r="B87" s="3" t="s">
        <v>26</v>
      </c>
      <c r="C87" s="3">
        <v>1863988</v>
      </c>
      <c r="D87" s="3">
        <v>459524</v>
      </c>
      <c r="E87" s="3" t="s">
        <v>27</v>
      </c>
      <c r="F87" s="3">
        <v>1383609</v>
      </c>
      <c r="G87" s="3">
        <v>353139</v>
      </c>
      <c r="H87" s="3">
        <v>480379</v>
      </c>
      <c r="I87" s="3">
        <v>106385</v>
      </c>
    </row>
    <row r="88" spans="1:9">
      <c r="A88" s="3" t="s">
        <v>113</v>
      </c>
      <c r="B88" s="3" t="s">
        <v>26</v>
      </c>
      <c r="C88" s="3">
        <v>1004621</v>
      </c>
      <c r="D88" s="3">
        <v>15615</v>
      </c>
      <c r="E88" s="3" t="s">
        <v>27</v>
      </c>
      <c r="F88" s="3">
        <v>543883</v>
      </c>
      <c r="G88" s="3">
        <v>9190</v>
      </c>
      <c r="H88" s="3">
        <v>460738</v>
      </c>
      <c r="I88" s="3">
        <v>6425</v>
      </c>
    </row>
    <row r="89" spans="1:9">
      <c r="A89" s="3" t="s">
        <v>114</v>
      </c>
      <c r="B89" s="3" t="s">
        <v>26</v>
      </c>
      <c r="C89" s="3">
        <v>2316363</v>
      </c>
      <c r="D89" s="3">
        <v>664235</v>
      </c>
      <c r="E89" s="3" t="s">
        <v>27</v>
      </c>
      <c r="F89" s="3">
        <v>1717686</v>
      </c>
      <c r="G89" s="3">
        <v>494787</v>
      </c>
      <c r="H89" s="3">
        <v>598677</v>
      </c>
      <c r="I89" s="3">
        <v>169448</v>
      </c>
    </row>
    <row r="90" spans="1:9">
      <c r="A90" s="3" t="s">
        <v>115</v>
      </c>
      <c r="B90" s="3" t="s">
        <v>26</v>
      </c>
      <c r="C90" s="3">
        <v>1721422</v>
      </c>
      <c r="D90" s="3">
        <v>124916</v>
      </c>
      <c r="E90" s="3" t="s">
        <v>27</v>
      </c>
      <c r="F90" s="3">
        <v>1082634</v>
      </c>
      <c r="G90" s="3">
        <v>94555</v>
      </c>
      <c r="H90" s="3">
        <v>638788</v>
      </c>
      <c r="I90" s="3">
        <v>30361</v>
      </c>
    </row>
    <row r="91" spans="1:9">
      <c r="A91" s="3" t="s">
        <v>116</v>
      </c>
      <c r="B91" s="3" t="s">
        <v>26</v>
      </c>
      <c r="C91" s="3">
        <v>1294739</v>
      </c>
      <c r="D91" s="3">
        <v>127183</v>
      </c>
      <c r="E91" s="3" t="s">
        <v>27</v>
      </c>
      <c r="F91" s="3">
        <v>721423</v>
      </c>
      <c r="G91" s="3">
        <v>78697</v>
      </c>
      <c r="H91" s="3">
        <v>573316</v>
      </c>
      <c r="I91" s="3">
        <v>48486</v>
      </c>
    </row>
    <row r="92" spans="1:9">
      <c r="A92" s="3" t="s">
        <v>117</v>
      </c>
      <c r="B92" s="3" t="s">
        <v>26</v>
      </c>
      <c r="C92" s="3">
        <v>947820</v>
      </c>
      <c r="D92" s="3">
        <v>17951</v>
      </c>
      <c r="E92" s="3" t="s">
        <v>27</v>
      </c>
      <c r="F92" s="3">
        <v>502346</v>
      </c>
      <c r="G92" s="3">
        <v>11400</v>
      </c>
      <c r="H92" s="3">
        <v>445474</v>
      </c>
      <c r="I92" s="3">
        <v>6551</v>
      </c>
    </row>
    <row r="93" spans="1:9">
      <c r="A93" s="3" t="s">
        <v>118</v>
      </c>
      <c r="B93" s="3" t="s">
        <v>26</v>
      </c>
      <c r="C93" s="3">
        <v>2239578</v>
      </c>
      <c r="D93" s="3">
        <v>624972</v>
      </c>
      <c r="E93" s="3" t="s">
        <v>27</v>
      </c>
      <c r="F93" s="3">
        <v>1684700</v>
      </c>
      <c r="G93" s="3">
        <v>439636</v>
      </c>
      <c r="H93" s="3">
        <v>554878</v>
      </c>
      <c r="I93" s="3">
        <v>185336</v>
      </c>
    </row>
    <row r="94" spans="1:9">
      <c r="A94" s="3" t="s">
        <v>119</v>
      </c>
      <c r="B94" s="3" t="s">
        <v>26</v>
      </c>
      <c r="C94" s="3">
        <v>1704431</v>
      </c>
      <c r="D94" s="3">
        <v>211517</v>
      </c>
      <c r="E94" s="3" t="s">
        <v>27</v>
      </c>
      <c r="F94" s="3">
        <v>1071234</v>
      </c>
      <c r="G94" s="3">
        <v>130426</v>
      </c>
      <c r="H94" s="3">
        <v>633197</v>
      </c>
      <c r="I94" s="3">
        <v>81091</v>
      </c>
    </row>
    <row r="95" spans="1:9">
      <c r="A95" s="3" t="s">
        <v>120</v>
      </c>
      <c r="B95" s="3" t="s">
        <v>26</v>
      </c>
      <c r="C95" s="3">
        <v>1236030</v>
      </c>
      <c r="D95" s="3">
        <v>16283</v>
      </c>
      <c r="E95" s="3" t="s">
        <v>27</v>
      </c>
      <c r="F95" s="3">
        <v>675341</v>
      </c>
      <c r="G95" s="3">
        <v>7439</v>
      </c>
      <c r="H95" s="3">
        <v>560689</v>
      </c>
      <c r="I95" s="3">
        <v>8844</v>
      </c>
    </row>
    <row r="96" spans="1:9">
      <c r="A96" s="3" t="s">
        <v>121</v>
      </c>
      <c r="B96" s="3" t="s">
        <v>26</v>
      </c>
      <c r="C96" s="3">
        <v>2261359</v>
      </c>
      <c r="D96" s="3">
        <v>731873</v>
      </c>
      <c r="E96" s="3" t="s">
        <v>27</v>
      </c>
      <c r="F96" s="3">
        <v>1519579</v>
      </c>
      <c r="G96" s="3">
        <v>476825</v>
      </c>
      <c r="H96" s="3">
        <v>741780</v>
      </c>
      <c r="I96" s="3">
        <v>255048</v>
      </c>
    </row>
    <row r="97" spans="1:9">
      <c r="A97" s="3" t="s">
        <v>122</v>
      </c>
      <c r="B97" s="3" t="s">
        <v>26</v>
      </c>
      <c r="C97" s="3">
        <v>1759701</v>
      </c>
      <c r="D97" s="3">
        <v>503245</v>
      </c>
      <c r="E97" s="3" t="s">
        <v>27</v>
      </c>
      <c r="F97" s="3">
        <v>1393607</v>
      </c>
      <c r="G97" s="3">
        <v>369149</v>
      </c>
      <c r="H97" s="3">
        <v>366094</v>
      </c>
      <c r="I97" s="3">
        <v>134096</v>
      </c>
    </row>
    <row r="98" spans="1:9">
      <c r="A98" s="3" t="s">
        <v>123</v>
      </c>
      <c r="B98" s="3" t="s">
        <v>26</v>
      </c>
      <c r="C98" s="3">
        <v>1381112</v>
      </c>
      <c r="D98" s="3">
        <v>67268</v>
      </c>
      <c r="E98" s="3" t="s">
        <v>27</v>
      </c>
      <c r="F98" s="3">
        <v>752334</v>
      </c>
      <c r="G98" s="3">
        <v>38579</v>
      </c>
      <c r="H98" s="3">
        <v>628778</v>
      </c>
      <c r="I98" s="3">
        <v>28689</v>
      </c>
    </row>
    <row r="99" spans="1:9">
      <c r="A99" s="3" t="s">
        <v>124</v>
      </c>
      <c r="B99" s="3" t="s">
        <v>26</v>
      </c>
      <c r="C99" s="3">
        <v>989623</v>
      </c>
      <c r="D99" s="3">
        <v>87724</v>
      </c>
      <c r="E99" s="3" t="s">
        <v>27</v>
      </c>
      <c r="F99" s="3">
        <v>586774</v>
      </c>
      <c r="G99" s="3">
        <v>64620</v>
      </c>
      <c r="H99" s="3">
        <v>402849</v>
      </c>
      <c r="I99" s="3">
        <v>23104</v>
      </c>
    </row>
    <row r="100" spans="1:9">
      <c r="A100" s="3" t="s">
        <v>125</v>
      </c>
      <c r="B100" s="3" t="s">
        <v>26</v>
      </c>
      <c r="C100" s="3">
        <v>2744106</v>
      </c>
      <c r="D100" s="3">
        <v>1005383</v>
      </c>
      <c r="E100" s="3" t="s">
        <v>27</v>
      </c>
      <c r="F100" s="3">
        <v>2132630</v>
      </c>
      <c r="G100" s="3">
        <v>746168</v>
      </c>
      <c r="H100" s="3">
        <v>611476</v>
      </c>
      <c r="I100" s="3">
        <v>259215</v>
      </c>
    </row>
    <row r="101" spans="1:9">
      <c r="A101" s="3" t="s">
        <v>126</v>
      </c>
      <c r="B101" s="3" t="s">
        <v>26</v>
      </c>
      <c r="C101" s="3">
        <v>2370039</v>
      </c>
      <c r="D101" s="3">
        <v>766222</v>
      </c>
      <c r="E101" s="3" t="s">
        <v>27</v>
      </c>
      <c r="F101" s="3">
        <v>1707164</v>
      </c>
      <c r="G101" s="3">
        <v>521451</v>
      </c>
      <c r="H101" s="3">
        <v>662875</v>
      </c>
      <c r="I101" s="3">
        <v>244771</v>
      </c>
    </row>
    <row r="102" spans="1:9">
      <c r="A102" s="3" t="s">
        <v>127</v>
      </c>
      <c r="B102" s="3" t="s">
        <v>26</v>
      </c>
      <c r="C102" s="3">
        <v>887913</v>
      </c>
      <c r="D102" s="3">
        <v>46545</v>
      </c>
      <c r="E102" s="3" t="s">
        <v>27</v>
      </c>
      <c r="F102" s="3">
        <v>471239</v>
      </c>
      <c r="G102" s="3">
        <v>26313</v>
      </c>
      <c r="H102" s="3">
        <v>416674</v>
      </c>
      <c r="I102" s="3">
        <v>20232</v>
      </c>
    </row>
    <row r="103" spans="1:9">
      <c r="A103" s="3" t="s">
        <v>128</v>
      </c>
      <c r="B103" s="3" t="s">
        <v>26</v>
      </c>
      <c r="C103" s="3">
        <v>996863</v>
      </c>
      <c r="D103" s="3">
        <v>22195</v>
      </c>
      <c r="E103" s="3" t="s">
        <v>27</v>
      </c>
      <c r="F103" s="3">
        <v>537609</v>
      </c>
      <c r="G103" s="3">
        <v>13658</v>
      </c>
      <c r="H103" s="3">
        <v>459254</v>
      </c>
      <c r="I103" s="3">
        <v>8537</v>
      </c>
    </row>
    <row r="104" spans="1:9">
      <c r="A104" s="3" t="s">
        <v>129</v>
      </c>
      <c r="B104" s="3" t="s">
        <v>26</v>
      </c>
      <c r="C104" s="3">
        <v>2560168</v>
      </c>
      <c r="D104" s="3">
        <v>963869</v>
      </c>
      <c r="E104" s="3" t="s">
        <v>27</v>
      </c>
      <c r="F104" s="3">
        <v>1911838</v>
      </c>
      <c r="G104" s="3">
        <v>692776</v>
      </c>
      <c r="H104" s="3">
        <v>648330</v>
      </c>
      <c r="I104" s="3">
        <v>271093</v>
      </c>
    </row>
    <row r="105" spans="1:9">
      <c r="A105" s="3" t="s">
        <v>130</v>
      </c>
      <c r="B105" s="3" t="s">
        <v>26</v>
      </c>
      <c r="C105" s="3">
        <v>2609733</v>
      </c>
      <c r="D105" s="3">
        <v>719931</v>
      </c>
      <c r="E105" s="3" t="s">
        <v>27</v>
      </c>
      <c r="F105" s="3">
        <v>1928046</v>
      </c>
      <c r="G105" s="3">
        <v>489318</v>
      </c>
      <c r="H105" s="3">
        <v>681687</v>
      </c>
      <c r="I105" s="3">
        <v>230613</v>
      </c>
    </row>
    <row r="106" spans="1:9">
      <c r="A106" s="3" t="s">
        <v>131</v>
      </c>
      <c r="B106" s="3" t="s">
        <v>26</v>
      </c>
      <c r="C106" s="3">
        <v>818838</v>
      </c>
      <c r="D106" s="3">
        <v>210564</v>
      </c>
      <c r="E106" s="3" t="s">
        <v>27</v>
      </c>
      <c r="F106" s="3">
        <v>659487</v>
      </c>
      <c r="G106" s="3">
        <v>153208</v>
      </c>
      <c r="H106" s="3">
        <v>159351</v>
      </c>
      <c r="I106" s="3">
        <v>57356</v>
      </c>
    </row>
    <row r="107" spans="1:9">
      <c r="A107" s="3" t="s">
        <v>132</v>
      </c>
      <c r="B107" s="3" t="s">
        <v>26</v>
      </c>
      <c r="C107" s="3">
        <v>1204792</v>
      </c>
      <c r="D107" s="3">
        <v>83522</v>
      </c>
      <c r="E107" s="3" t="s">
        <v>27</v>
      </c>
      <c r="F107" s="3">
        <v>769157</v>
      </c>
      <c r="G107" s="3">
        <v>55973</v>
      </c>
      <c r="H107" s="3">
        <v>435635</v>
      </c>
      <c r="I107" s="3">
        <v>27549</v>
      </c>
    </row>
    <row r="108" spans="1:9">
      <c r="A108" s="3" t="s">
        <v>133</v>
      </c>
      <c r="B108" s="3" t="s">
        <v>26</v>
      </c>
      <c r="C108" s="3">
        <v>2241434</v>
      </c>
      <c r="D108" s="3">
        <v>649745</v>
      </c>
      <c r="E108" s="3" t="s">
        <v>27</v>
      </c>
      <c r="F108" s="3">
        <v>1963326</v>
      </c>
      <c r="G108" s="3">
        <v>538045</v>
      </c>
      <c r="H108" s="3">
        <v>278108</v>
      </c>
      <c r="I108" s="3">
        <v>111700</v>
      </c>
    </row>
    <row r="109" spans="1:9">
      <c r="A109" s="3" t="s">
        <v>134</v>
      </c>
      <c r="B109" s="3" t="s">
        <v>26</v>
      </c>
      <c r="C109" s="3">
        <v>795260</v>
      </c>
      <c r="D109" s="3">
        <v>1236</v>
      </c>
      <c r="E109" s="3" t="s">
        <v>27</v>
      </c>
      <c r="F109" s="3">
        <v>406810</v>
      </c>
      <c r="G109" s="3">
        <v>491</v>
      </c>
      <c r="H109" s="3">
        <v>388450</v>
      </c>
      <c r="I109" s="3">
        <v>745</v>
      </c>
    </row>
    <row r="110" spans="1:9">
      <c r="A110" s="3" t="s">
        <v>135</v>
      </c>
      <c r="B110" s="3" t="s">
        <v>26</v>
      </c>
      <c r="C110" s="3">
        <v>1579887</v>
      </c>
      <c r="D110" s="3">
        <v>7151</v>
      </c>
      <c r="E110" s="3" t="s">
        <v>27</v>
      </c>
      <c r="F110" s="3">
        <v>799394</v>
      </c>
      <c r="G110" s="3">
        <v>4032</v>
      </c>
      <c r="H110" s="3">
        <v>780493</v>
      </c>
      <c r="I110" s="3">
        <v>3119</v>
      </c>
    </row>
    <row r="111" spans="1:9">
      <c r="A111" s="3" t="s">
        <v>136</v>
      </c>
      <c r="B111" s="3" t="s">
        <v>26</v>
      </c>
      <c r="C111" s="3">
        <v>2388875</v>
      </c>
      <c r="D111" s="3">
        <v>674210</v>
      </c>
      <c r="E111" s="3" t="s">
        <v>27</v>
      </c>
      <c r="F111" s="3">
        <v>1824223</v>
      </c>
      <c r="G111" s="3">
        <v>495729</v>
      </c>
      <c r="H111" s="3">
        <v>564652</v>
      </c>
      <c r="I111" s="3">
        <v>178481</v>
      </c>
    </row>
    <row r="112" spans="1:9">
      <c r="A112" s="3" t="s">
        <v>137</v>
      </c>
      <c r="B112" s="3" t="s">
        <v>26</v>
      </c>
      <c r="C112" s="3">
        <v>2638942</v>
      </c>
      <c r="D112" s="3">
        <v>933158</v>
      </c>
      <c r="E112" s="3" t="s">
        <v>27</v>
      </c>
      <c r="F112" s="3">
        <v>1948751</v>
      </c>
      <c r="G112" s="3">
        <v>667050</v>
      </c>
      <c r="H112" s="3">
        <v>690191</v>
      </c>
      <c r="I112" s="3">
        <v>266108</v>
      </c>
    </row>
    <row r="113" spans="1:9">
      <c r="A113" s="3" t="s">
        <v>138</v>
      </c>
      <c r="B113" s="3" t="s">
        <v>26</v>
      </c>
      <c r="C113" s="3">
        <v>2566326</v>
      </c>
      <c r="D113" s="3">
        <v>923757</v>
      </c>
      <c r="E113" s="3" t="s">
        <v>27</v>
      </c>
      <c r="F113" s="3">
        <v>1882161</v>
      </c>
      <c r="G113" s="3">
        <v>663990</v>
      </c>
      <c r="H113" s="3">
        <v>684165</v>
      </c>
      <c r="I113" s="3">
        <v>259767</v>
      </c>
    </row>
    <row r="114" spans="1:9">
      <c r="A114" s="3" t="s">
        <v>139</v>
      </c>
      <c r="B114" s="3" t="s">
        <v>26</v>
      </c>
      <c r="C114" s="3">
        <v>1174000</v>
      </c>
      <c r="D114" s="3">
        <v>3059</v>
      </c>
      <c r="E114" s="3" t="s">
        <v>27</v>
      </c>
      <c r="F114" s="3">
        <v>408366</v>
      </c>
      <c r="G114" s="3">
        <v>1300</v>
      </c>
      <c r="H114" s="3">
        <v>765634</v>
      </c>
      <c r="I114" s="3">
        <v>1759</v>
      </c>
    </row>
    <row r="115" spans="1:9">
      <c r="A115" s="3" t="s">
        <v>140</v>
      </c>
      <c r="B115" s="3" t="s">
        <v>26</v>
      </c>
      <c r="C115" s="3">
        <v>2693750</v>
      </c>
      <c r="D115" s="3">
        <v>937068</v>
      </c>
      <c r="E115" s="3" t="s">
        <v>27</v>
      </c>
      <c r="F115" s="3">
        <v>2087796</v>
      </c>
      <c r="G115" s="3">
        <v>698525</v>
      </c>
      <c r="H115" s="3">
        <v>605954</v>
      </c>
      <c r="I115" s="3">
        <v>238543</v>
      </c>
    </row>
    <row r="116" spans="1:9">
      <c r="A116" s="3" t="s">
        <v>141</v>
      </c>
      <c r="B116" s="3" t="s">
        <v>26</v>
      </c>
      <c r="C116" s="3">
        <v>2280216</v>
      </c>
      <c r="D116" s="3">
        <v>593231</v>
      </c>
      <c r="E116" s="3" t="s">
        <v>27</v>
      </c>
      <c r="F116" s="3">
        <v>1559392</v>
      </c>
      <c r="G116" s="3">
        <v>396775</v>
      </c>
      <c r="H116" s="3">
        <v>720824</v>
      </c>
      <c r="I116" s="3">
        <v>196456</v>
      </c>
    </row>
    <row r="117" spans="1:9">
      <c r="A117" s="3" t="s">
        <v>142</v>
      </c>
      <c r="B117" s="3" t="s">
        <v>26</v>
      </c>
      <c r="C117" s="3">
        <v>1866537</v>
      </c>
      <c r="D117" s="3">
        <v>549081</v>
      </c>
      <c r="E117" s="3" t="s">
        <v>27</v>
      </c>
      <c r="F117" s="3">
        <v>1493041</v>
      </c>
      <c r="G117" s="3">
        <v>426488</v>
      </c>
      <c r="H117" s="3">
        <v>373496</v>
      </c>
      <c r="I117" s="3">
        <v>122593</v>
      </c>
    </row>
    <row r="118" spans="1:9">
      <c r="A118" s="3" t="s">
        <v>143</v>
      </c>
      <c r="B118" s="3" t="s">
        <v>26</v>
      </c>
      <c r="C118" s="3">
        <v>1573298</v>
      </c>
      <c r="D118" s="3">
        <v>62571</v>
      </c>
      <c r="E118" s="3" t="s">
        <v>27</v>
      </c>
      <c r="F118" s="3">
        <v>817293</v>
      </c>
      <c r="G118" s="3">
        <v>38711</v>
      </c>
      <c r="H118" s="3">
        <v>756005</v>
      </c>
      <c r="I118" s="3">
        <v>23860</v>
      </c>
    </row>
    <row r="119" spans="1:9">
      <c r="A119" s="3" t="s">
        <v>144</v>
      </c>
      <c r="B119" s="3" t="s">
        <v>26</v>
      </c>
      <c r="C119" s="3">
        <v>2167351</v>
      </c>
      <c r="D119" s="3">
        <v>612202</v>
      </c>
      <c r="E119" s="3" t="s">
        <v>27</v>
      </c>
      <c r="F119" s="3">
        <v>1477714</v>
      </c>
      <c r="G119" s="3">
        <v>406375</v>
      </c>
      <c r="H119" s="3">
        <v>689637</v>
      </c>
      <c r="I119" s="3">
        <v>205827</v>
      </c>
    </row>
    <row r="120" spans="1:9">
      <c r="A120" s="3" t="s">
        <v>145</v>
      </c>
      <c r="B120" s="3" t="s">
        <v>26</v>
      </c>
      <c r="C120" s="3">
        <v>1542415</v>
      </c>
      <c r="D120" s="3">
        <v>76639</v>
      </c>
      <c r="E120" s="3" t="s">
        <v>27</v>
      </c>
      <c r="F120" s="3">
        <v>842366</v>
      </c>
      <c r="G120" s="3">
        <v>43376</v>
      </c>
      <c r="H120" s="3">
        <v>700049</v>
      </c>
      <c r="I120" s="3">
        <v>33263</v>
      </c>
    </row>
    <row r="121" spans="1:9">
      <c r="A121" s="3" t="s">
        <v>146</v>
      </c>
      <c r="B121" s="3" t="s">
        <v>26</v>
      </c>
      <c r="C121" s="3">
        <v>1276200</v>
      </c>
      <c r="D121" s="3">
        <v>298952</v>
      </c>
      <c r="E121" s="3" t="s">
        <v>27</v>
      </c>
      <c r="F121" s="3">
        <v>794128</v>
      </c>
      <c r="G121" s="3">
        <v>179636</v>
      </c>
      <c r="H121" s="3">
        <v>482072</v>
      </c>
      <c r="I121" s="3">
        <v>119316</v>
      </c>
    </row>
    <row r="122" spans="1:9">
      <c r="A122" s="3" t="s">
        <v>147</v>
      </c>
      <c r="B122" s="3" t="s">
        <v>26</v>
      </c>
      <c r="C122" s="3">
        <v>2103984</v>
      </c>
      <c r="D122" s="3">
        <v>580995</v>
      </c>
      <c r="E122" s="3" t="s">
        <v>27</v>
      </c>
      <c r="F122" s="3">
        <v>1528787</v>
      </c>
      <c r="G122" s="3">
        <v>418817</v>
      </c>
      <c r="H122" s="3">
        <v>575197</v>
      </c>
      <c r="I122" s="3">
        <v>162178</v>
      </c>
    </row>
    <row r="123" spans="1:9">
      <c r="A123" s="3" t="s">
        <v>148</v>
      </c>
      <c r="B123" s="3" t="s">
        <v>26</v>
      </c>
      <c r="C123" s="3">
        <v>2458746</v>
      </c>
      <c r="D123" s="3">
        <v>838378</v>
      </c>
      <c r="E123" s="3" t="s">
        <v>27</v>
      </c>
      <c r="F123" s="3">
        <v>2007471</v>
      </c>
      <c r="G123" s="3">
        <v>660938</v>
      </c>
      <c r="H123" s="3">
        <v>451275</v>
      </c>
      <c r="I123" s="3">
        <v>177440</v>
      </c>
    </row>
    <row r="124" spans="1:9">
      <c r="A124" s="3" t="s">
        <v>149</v>
      </c>
      <c r="B124" s="3" t="s">
        <v>26</v>
      </c>
      <c r="C124" s="3">
        <v>2173075</v>
      </c>
      <c r="D124" s="3">
        <v>644208</v>
      </c>
      <c r="E124" s="3" t="s">
        <v>27</v>
      </c>
      <c r="F124" s="3">
        <v>1914651</v>
      </c>
      <c r="G124" s="3">
        <v>555412</v>
      </c>
      <c r="H124" s="3">
        <v>258424</v>
      </c>
      <c r="I124" s="3">
        <v>88796</v>
      </c>
    </row>
    <row r="125" spans="1:9">
      <c r="A125" s="3" t="s">
        <v>150</v>
      </c>
      <c r="B125" s="3" t="s">
        <v>26</v>
      </c>
      <c r="C125" s="3">
        <v>1168622</v>
      </c>
      <c r="D125" s="3">
        <v>16823</v>
      </c>
      <c r="E125" s="3" t="s">
        <v>27</v>
      </c>
      <c r="F125" s="3">
        <v>624813</v>
      </c>
      <c r="G125" s="3">
        <v>10580</v>
      </c>
      <c r="H125" s="3">
        <v>543809</v>
      </c>
      <c r="I125" s="3">
        <v>6243</v>
      </c>
    </row>
    <row r="126" spans="1:9">
      <c r="A126" s="3" t="s">
        <v>151</v>
      </c>
      <c r="B126" s="3" t="s">
        <v>26</v>
      </c>
      <c r="C126" s="3">
        <v>1412849</v>
      </c>
      <c r="D126" s="3">
        <v>78883</v>
      </c>
      <c r="E126" s="3" t="s">
        <v>27</v>
      </c>
      <c r="F126" s="3">
        <v>810126</v>
      </c>
      <c r="G126" s="3">
        <v>57350</v>
      </c>
      <c r="H126" s="3">
        <v>602723</v>
      </c>
      <c r="I126" s="3">
        <v>21533</v>
      </c>
    </row>
    <row r="127" spans="1:9">
      <c r="A127" s="3" t="s">
        <v>152</v>
      </c>
      <c r="B127" s="3" t="s">
        <v>26</v>
      </c>
      <c r="C127" s="3">
        <v>1884101</v>
      </c>
      <c r="D127" s="3">
        <v>191580</v>
      </c>
      <c r="E127" s="3" t="s">
        <v>27</v>
      </c>
      <c r="F127" s="3">
        <v>1093926</v>
      </c>
      <c r="G127" s="3">
        <v>109934</v>
      </c>
      <c r="H127" s="3">
        <v>790175</v>
      </c>
      <c r="I127" s="3">
        <v>81646</v>
      </c>
    </row>
    <row r="128" spans="1:9">
      <c r="A128" s="3" t="s">
        <v>153</v>
      </c>
      <c r="B128" s="3" t="s">
        <v>26</v>
      </c>
      <c r="C128" s="3">
        <v>2239446</v>
      </c>
      <c r="D128" s="3">
        <v>329824</v>
      </c>
      <c r="E128" s="3" t="s">
        <v>27</v>
      </c>
      <c r="F128" s="3">
        <v>1359057</v>
      </c>
      <c r="G128" s="3">
        <v>199938</v>
      </c>
      <c r="H128" s="3">
        <v>880389</v>
      </c>
      <c r="I128" s="3">
        <v>129886</v>
      </c>
    </row>
    <row r="129" spans="1:9">
      <c r="A129" s="3" t="s">
        <v>154</v>
      </c>
      <c r="B129" s="3" t="s">
        <v>26</v>
      </c>
      <c r="C129" s="3">
        <v>2181318</v>
      </c>
      <c r="D129" s="3">
        <v>230510</v>
      </c>
      <c r="E129" s="3" t="s">
        <v>27</v>
      </c>
      <c r="F129" s="3">
        <v>1370502</v>
      </c>
      <c r="G129" s="3">
        <v>142107</v>
      </c>
      <c r="H129" s="3">
        <v>810816</v>
      </c>
      <c r="I129" s="3">
        <v>88403</v>
      </c>
    </row>
    <row r="130" spans="1:9">
      <c r="A130" s="3" t="s">
        <v>155</v>
      </c>
      <c r="B130" s="3" t="s">
        <v>26</v>
      </c>
      <c r="C130" s="3">
        <v>1988278</v>
      </c>
      <c r="D130" s="3">
        <v>400979</v>
      </c>
      <c r="E130" s="3" t="s">
        <v>27</v>
      </c>
      <c r="F130" s="3">
        <v>1440285</v>
      </c>
      <c r="G130" s="3">
        <v>298104</v>
      </c>
      <c r="H130" s="3">
        <v>547993</v>
      </c>
      <c r="I130" s="3">
        <v>102875</v>
      </c>
    </row>
    <row r="131" spans="1:9">
      <c r="A131" s="3" t="s">
        <v>156</v>
      </c>
      <c r="B131" s="3" t="s">
        <v>26</v>
      </c>
      <c r="C131" s="3">
        <v>2253359</v>
      </c>
      <c r="D131" s="3">
        <v>440756</v>
      </c>
      <c r="E131" s="3" t="s">
        <v>27</v>
      </c>
      <c r="F131" s="3">
        <v>1657059</v>
      </c>
      <c r="G131" s="3">
        <v>338833</v>
      </c>
      <c r="H131" s="3">
        <v>596300</v>
      </c>
      <c r="I131" s="3">
        <v>101923</v>
      </c>
    </row>
    <row r="132" spans="1:9">
      <c r="A132" s="3" t="s">
        <v>157</v>
      </c>
      <c r="B132" s="3" t="s">
        <v>26</v>
      </c>
      <c r="C132" s="3">
        <v>1938380</v>
      </c>
      <c r="D132" s="3">
        <v>182614</v>
      </c>
      <c r="E132" s="3" t="s">
        <v>27</v>
      </c>
      <c r="F132" s="3">
        <v>1295506</v>
      </c>
      <c r="G132" s="3">
        <v>141827</v>
      </c>
      <c r="H132" s="3">
        <v>642874</v>
      </c>
      <c r="I132" s="3">
        <v>40787</v>
      </c>
    </row>
    <row r="133" spans="1:9">
      <c r="A133" s="3" t="s">
        <v>158</v>
      </c>
      <c r="B133" s="3" t="s">
        <v>26</v>
      </c>
      <c r="C133" s="3">
        <v>196031</v>
      </c>
      <c r="D133" s="3">
        <v>5823</v>
      </c>
      <c r="E133" s="3" t="s">
        <v>27</v>
      </c>
      <c r="F133" s="3">
        <v>88900</v>
      </c>
      <c r="G133" s="3">
        <v>3265</v>
      </c>
      <c r="H133" s="3">
        <v>107131</v>
      </c>
      <c r="I133" s="3">
        <v>2558</v>
      </c>
    </row>
    <row r="134" spans="1:9">
      <c r="A134" s="3" t="s">
        <v>159</v>
      </c>
      <c r="B134" s="3" t="s">
        <v>26</v>
      </c>
      <c r="C134" s="3">
        <v>2020859</v>
      </c>
      <c r="D134" s="3">
        <v>188066</v>
      </c>
      <c r="E134" s="3" t="s">
        <v>27</v>
      </c>
      <c r="F134" s="3">
        <v>1164558</v>
      </c>
      <c r="G134" s="3">
        <v>117999</v>
      </c>
      <c r="H134" s="3">
        <v>856301</v>
      </c>
      <c r="I134" s="3">
        <v>70067</v>
      </c>
    </row>
    <row r="135" spans="1:9">
      <c r="A135" s="3" t="s">
        <v>160</v>
      </c>
      <c r="B135" s="3" t="s">
        <v>26</v>
      </c>
      <c r="C135" s="3">
        <v>1818467</v>
      </c>
      <c r="D135" s="3">
        <v>316486</v>
      </c>
      <c r="E135" s="3" t="s">
        <v>27</v>
      </c>
      <c r="F135" s="3">
        <v>1173195</v>
      </c>
      <c r="G135" s="3">
        <v>222546</v>
      </c>
      <c r="H135" s="3">
        <v>645272</v>
      </c>
      <c r="I135" s="3">
        <v>93940</v>
      </c>
    </row>
    <row r="136" spans="1:9">
      <c r="A136" s="3" t="s">
        <v>161</v>
      </c>
      <c r="B136" s="3" t="s">
        <v>26</v>
      </c>
      <c r="C136" s="3">
        <v>2359060</v>
      </c>
      <c r="D136" s="3">
        <v>556383</v>
      </c>
      <c r="E136" s="3" t="s">
        <v>27</v>
      </c>
      <c r="F136" s="3">
        <v>1880757</v>
      </c>
      <c r="G136" s="3">
        <v>459608</v>
      </c>
      <c r="H136" s="3">
        <v>478303</v>
      </c>
      <c r="I136" s="3">
        <v>96775</v>
      </c>
    </row>
    <row r="137" spans="1:9">
      <c r="A137" s="3" t="s">
        <v>162</v>
      </c>
      <c r="B137" s="3" t="s">
        <v>26</v>
      </c>
      <c r="C137" s="3">
        <v>2868454</v>
      </c>
      <c r="D137" s="3">
        <v>724227</v>
      </c>
      <c r="E137" s="3" t="s">
        <v>27</v>
      </c>
      <c r="F137" s="3">
        <v>2202295</v>
      </c>
      <c r="G137" s="3">
        <v>529760</v>
      </c>
      <c r="H137" s="3">
        <v>666159</v>
      </c>
      <c r="I137" s="3">
        <v>194467</v>
      </c>
    </row>
    <row r="138" spans="1:9">
      <c r="A138" s="3" t="s">
        <v>163</v>
      </c>
      <c r="B138" s="3" t="s">
        <v>26</v>
      </c>
      <c r="C138" s="3">
        <v>1766608</v>
      </c>
      <c r="D138" s="3">
        <v>291738</v>
      </c>
      <c r="E138" s="3" t="s">
        <v>27</v>
      </c>
      <c r="F138" s="3">
        <v>1038588</v>
      </c>
      <c r="G138" s="3">
        <v>178800</v>
      </c>
      <c r="H138" s="3">
        <v>728020</v>
      </c>
      <c r="I138" s="3">
        <v>112938</v>
      </c>
    </row>
    <row r="139" spans="1:9">
      <c r="A139" s="3" t="s">
        <v>164</v>
      </c>
      <c r="B139" s="3" t="s">
        <v>26</v>
      </c>
      <c r="C139" s="3">
        <v>2526963</v>
      </c>
      <c r="D139" s="3">
        <v>704286</v>
      </c>
      <c r="E139" s="3" t="s">
        <v>27</v>
      </c>
      <c r="F139" s="3">
        <v>2065091</v>
      </c>
      <c r="G139" s="3">
        <v>551950</v>
      </c>
      <c r="H139" s="3">
        <v>461872</v>
      </c>
      <c r="I139" s="3">
        <v>152336</v>
      </c>
    </row>
    <row r="140" spans="1:9">
      <c r="A140" s="3" t="s">
        <v>165</v>
      </c>
      <c r="B140" s="3" t="s">
        <v>26</v>
      </c>
      <c r="C140" s="3">
        <v>2661579</v>
      </c>
      <c r="D140" s="3">
        <v>462098</v>
      </c>
      <c r="E140" s="3" t="s">
        <v>27</v>
      </c>
      <c r="F140" s="3">
        <v>1700068</v>
      </c>
      <c r="G140" s="3">
        <v>322624</v>
      </c>
      <c r="H140" s="3">
        <v>961511</v>
      </c>
      <c r="I140" s="3">
        <v>139474</v>
      </c>
    </row>
    <row r="141" spans="1:9">
      <c r="A141" s="3" t="s">
        <v>166</v>
      </c>
      <c r="B141" s="3" t="s">
        <v>26</v>
      </c>
      <c r="C141" s="3">
        <v>2159609</v>
      </c>
      <c r="D141" s="3">
        <v>265932</v>
      </c>
      <c r="E141" s="3" t="s">
        <v>27</v>
      </c>
      <c r="F141" s="3">
        <v>1309085</v>
      </c>
      <c r="G141" s="3">
        <v>171572</v>
      </c>
      <c r="H141" s="3">
        <v>850524</v>
      </c>
      <c r="I141" s="3">
        <v>94360</v>
      </c>
    </row>
    <row r="142" spans="1:9">
      <c r="A142" s="3" t="s">
        <v>167</v>
      </c>
      <c r="B142" s="3" t="s">
        <v>26</v>
      </c>
      <c r="C142" s="3">
        <v>1888643</v>
      </c>
      <c r="D142" s="3">
        <v>147808</v>
      </c>
      <c r="E142" s="3" t="s">
        <v>27</v>
      </c>
      <c r="F142" s="3">
        <v>1242222</v>
      </c>
      <c r="G142" s="3">
        <v>109096</v>
      </c>
      <c r="H142" s="3">
        <v>646421</v>
      </c>
      <c r="I142" s="3">
        <v>38712</v>
      </c>
    </row>
    <row r="143" spans="1:9">
      <c r="A143" s="3" t="s">
        <v>168</v>
      </c>
      <c r="B143" s="3" t="s">
        <v>26</v>
      </c>
      <c r="C143" s="3">
        <v>1651443</v>
      </c>
      <c r="D143" s="3">
        <v>285530</v>
      </c>
      <c r="E143" s="3" t="s">
        <v>27</v>
      </c>
      <c r="F143" s="3">
        <v>1006192</v>
      </c>
      <c r="G143" s="3">
        <v>176676</v>
      </c>
      <c r="H143" s="3">
        <v>645251</v>
      </c>
      <c r="I143" s="3">
        <v>108854</v>
      </c>
    </row>
    <row r="144" spans="1:9">
      <c r="A144" s="3" t="s">
        <v>169</v>
      </c>
      <c r="B144" s="3" t="s">
        <v>26</v>
      </c>
      <c r="C144" s="3">
        <v>2241353</v>
      </c>
      <c r="D144" s="3">
        <v>365234</v>
      </c>
      <c r="E144" s="3" t="s">
        <v>27</v>
      </c>
      <c r="F144" s="3">
        <v>1585533</v>
      </c>
      <c r="G144" s="3">
        <v>250949</v>
      </c>
      <c r="H144" s="3">
        <v>655820</v>
      </c>
      <c r="I144" s="3">
        <v>114285</v>
      </c>
    </row>
    <row r="145" spans="1:9">
      <c r="A145" s="3" t="s">
        <v>170</v>
      </c>
      <c r="B145" s="3" t="s">
        <v>26</v>
      </c>
      <c r="C145" s="3">
        <v>2539842</v>
      </c>
      <c r="D145" s="3">
        <v>655971</v>
      </c>
      <c r="E145" s="3" t="s">
        <v>27</v>
      </c>
      <c r="F145" s="3">
        <v>1988813</v>
      </c>
      <c r="G145" s="3">
        <v>507810</v>
      </c>
      <c r="H145" s="3">
        <v>551029</v>
      </c>
      <c r="I145" s="3">
        <v>148161</v>
      </c>
    </row>
    <row r="146" spans="1:9">
      <c r="A146" s="3" t="s">
        <v>171</v>
      </c>
      <c r="B146" s="3" t="s">
        <v>26</v>
      </c>
      <c r="C146" s="3">
        <v>2467832</v>
      </c>
      <c r="D146" s="3">
        <v>523253</v>
      </c>
      <c r="E146" s="3" t="s">
        <v>27</v>
      </c>
      <c r="F146" s="3">
        <v>1622091</v>
      </c>
      <c r="G146" s="3">
        <v>343460</v>
      </c>
      <c r="H146" s="3">
        <v>845741</v>
      </c>
      <c r="I146" s="3">
        <v>179793</v>
      </c>
    </row>
    <row r="147" spans="1:9">
      <c r="A147" s="3" t="s">
        <v>172</v>
      </c>
      <c r="B147" s="3" t="s">
        <v>26</v>
      </c>
      <c r="C147" s="3">
        <v>2141760</v>
      </c>
      <c r="D147" s="3">
        <v>414798</v>
      </c>
      <c r="E147" s="3" t="s">
        <v>27</v>
      </c>
      <c r="F147" s="3">
        <v>1533717</v>
      </c>
      <c r="G147" s="3">
        <v>310375</v>
      </c>
      <c r="H147" s="3">
        <v>608043</v>
      </c>
      <c r="I147" s="3">
        <v>104423</v>
      </c>
    </row>
    <row r="148" spans="1:9">
      <c r="A148" s="3" t="s">
        <v>173</v>
      </c>
      <c r="B148" s="3" t="s">
        <v>26</v>
      </c>
      <c r="C148" s="3">
        <v>3049425</v>
      </c>
      <c r="D148" s="3">
        <v>838959</v>
      </c>
      <c r="E148" s="3" t="s">
        <v>27</v>
      </c>
      <c r="F148" s="3">
        <v>2255345</v>
      </c>
      <c r="G148" s="3">
        <v>599611</v>
      </c>
      <c r="H148" s="3">
        <v>794080</v>
      </c>
      <c r="I148" s="3">
        <v>239348</v>
      </c>
    </row>
    <row r="149" spans="1:9">
      <c r="A149" s="3" t="s">
        <v>174</v>
      </c>
      <c r="B149" s="3" t="s">
        <v>26</v>
      </c>
      <c r="C149" s="3">
        <v>2398853</v>
      </c>
      <c r="D149" s="3">
        <v>499824</v>
      </c>
      <c r="E149" s="3" t="s">
        <v>27</v>
      </c>
      <c r="F149" s="3">
        <v>1708543</v>
      </c>
      <c r="G149" s="3">
        <v>395525</v>
      </c>
      <c r="H149" s="3">
        <v>690310</v>
      </c>
      <c r="I149" s="3">
        <v>104299</v>
      </c>
    </row>
    <row r="150" spans="1:9">
      <c r="A150" s="3" t="s">
        <v>175</v>
      </c>
      <c r="B150" s="3" t="s">
        <v>26</v>
      </c>
      <c r="C150" s="3">
        <v>1824807</v>
      </c>
      <c r="D150" s="3">
        <v>306786</v>
      </c>
      <c r="E150" s="3" t="s">
        <v>27</v>
      </c>
      <c r="F150" s="3">
        <v>1122838</v>
      </c>
      <c r="G150" s="3">
        <v>198702</v>
      </c>
      <c r="H150" s="3">
        <v>701969</v>
      </c>
      <c r="I150" s="3">
        <v>108084</v>
      </c>
    </row>
    <row r="151" spans="1:9">
      <c r="A151" s="3" t="s">
        <v>176</v>
      </c>
      <c r="B151" s="3" t="s">
        <v>26</v>
      </c>
      <c r="C151" s="3">
        <v>3284163</v>
      </c>
      <c r="D151" s="3">
        <v>929197</v>
      </c>
      <c r="E151" s="3" t="s">
        <v>27</v>
      </c>
      <c r="F151" s="3">
        <v>2565795</v>
      </c>
      <c r="G151" s="3">
        <v>720989</v>
      </c>
      <c r="H151" s="3">
        <v>718368</v>
      </c>
      <c r="I151" s="3">
        <v>208208</v>
      </c>
    </row>
    <row r="152" spans="1:9">
      <c r="A152" s="3" t="s">
        <v>177</v>
      </c>
      <c r="B152" s="3" t="s">
        <v>26</v>
      </c>
      <c r="C152" s="3">
        <v>2338704</v>
      </c>
      <c r="D152" s="3">
        <v>557470</v>
      </c>
      <c r="E152" s="3" t="s">
        <v>27</v>
      </c>
      <c r="F152" s="3">
        <v>1803397</v>
      </c>
      <c r="G152" s="3">
        <v>413281</v>
      </c>
      <c r="H152" s="3">
        <v>535307</v>
      </c>
      <c r="I152" s="3">
        <v>144189</v>
      </c>
    </row>
    <row r="153" spans="1:9">
      <c r="A153" s="3" t="s">
        <v>178</v>
      </c>
      <c r="B153" s="3" t="s">
        <v>26</v>
      </c>
      <c r="C153" s="3">
        <v>1333552</v>
      </c>
      <c r="D153" s="3">
        <v>9336</v>
      </c>
      <c r="E153" s="3" t="s">
        <v>27</v>
      </c>
      <c r="F153" s="3">
        <v>519142</v>
      </c>
      <c r="G153" s="3">
        <v>4112</v>
      </c>
      <c r="H153" s="3">
        <v>814410</v>
      </c>
      <c r="I153" s="3">
        <v>5224</v>
      </c>
    </row>
    <row r="154" spans="1:9">
      <c r="A154" s="3" t="s">
        <v>179</v>
      </c>
      <c r="B154" s="3" t="s">
        <v>26</v>
      </c>
      <c r="C154" s="3">
        <v>1047645</v>
      </c>
      <c r="D154" s="3">
        <v>10288</v>
      </c>
      <c r="E154" s="3" t="s">
        <v>27</v>
      </c>
      <c r="F154" s="3">
        <v>539902</v>
      </c>
      <c r="G154" s="3">
        <v>4036</v>
      </c>
      <c r="H154" s="3">
        <v>507743</v>
      </c>
      <c r="I154" s="3">
        <v>6252</v>
      </c>
    </row>
    <row r="155" spans="1:9">
      <c r="A155" s="3" t="s">
        <v>180</v>
      </c>
      <c r="B155" s="3" t="s">
        <v>26</v>
      </c>
      <c r="C155" s="3">
        <v>3135861</v>
      </c>
      <c r="D155" s="3">
        <v>961768</v>
      </c>
      <c r="E155" s="3" t="s">
        <v>27</v>
      </c>
      <c r="F155" s="3">
        <v>2224252</v>
      </c>
      <c r="G155" s="3">
        <v>652652</v>
      </c>
      <c r="H155" s="3">
        <v>911609</v>
      </c>
      <c r="I155" s="3">
        <v>309116</v>
      </c>
    </row>
    <row r="156" spans="1:9">
      <c r="A156" s="3" t="s">
        <v>181</v>
      </c>
      <c r="B156" s="3" t="s">
        <v>26</v>
      </c>
      <c r="C156" s="3">
        <v>2043652</v>
      </c>
      <c r="D156" s="3">
        <v>340938</v>
      </c>
      <c r="E156" s="3" t="s">
        <v>27</v>
      </c>
      <c r="F156" s="3">
        <v>1247480</v>
      </c>
      <c r="G156" s="3">
        <v>218443</v>
      </c>
      <c r="H156" s="3">
        <v>796172</v>
      </c>
      <c r="I156" s="3">
        <v>122495</v>
      </c>
    </row>
    <row r="157" spans="1:9">
      <c r="A157" s="3" t="s">
        <v>182</v>
      </c>
      <c r="B157" s="3" t="s">
        <v>26</v>
      </c>
      <c r="C157" s="3">
        <v>1887050</v>
      </c>
      <c r="D157" s="3">
        <v>352160</v>
      </c>
      <c r="E157" s="3" t="s">
        <v>27</v>
      </c>
      <c r="F157" s="3">
        <v>1342175</v>
      </c>
      <c r="G157" s="3">
        <v>230679</v>
      </c>
      <c r="H157" s="3">
        <v>544875</v>
      </c>
      <c r="I157" s="3">
        <v>121481</v>
      </c>
    </row>
    <row r="158" spans="1:9">
      <c r="A158" s="3" t="s">
        <v>183</v>
      </c>
      <c r="B158" s="3" t="s">
        <v>26</v>
      </c>
      <c r="C158" s="3">
        <v>1857497</v>
      </c>
      <c r="D158" s="3">
        <v>173847</v>
      </c>
      <c r="E158" s="3" t="s">
        <v>27</v>
      </c>
      <c r="F158" s="3">
        <v>989856</v>
      </c>
      <c r="G158" s="3">
        <v>94731</v>
      </c>
      <c r="H158" s="3">
        <v>867641</v>
      </c>
      <c r="I158" s="3">
        <v>79116</v>
      </c>
    </row>
    <row r="159" spans="1:9">
      <c r="A159" s="3" t="s">
        <v>184</v>
      </c>
      <c r="B159" s="3" t="s">
        <v>26</v>
      </c>
      <c r="C159" s="3">
        <v>1952114</v>
      </c>
      <c r="D159" s="3">
        <v>169769</v>
      </c>
      <c r="E159" s="3" t="s">
        <v>27</v>
      </c>
      <c r="F159" s="3">
        <v>1068563</v>
      </c>
      <c r="G159" s="3">
        <v>94202</v>
      </c>
      <c r="H159" s="3">
        <v>883551</v>
      </c>
      <c r="I159" s="3">
        <v>75567</v>
      </c>
    </row>
    <row r="160" spans="1:9">
      <c r="A160" s="3" t="s">
        <v>185</v>
      </c>
      <c r="B160" s="3" t="s">
        <v>26</v>
      </c>
      <c r="C160" s="3">
        <v>1557676</v>
      </c>
      <c r="D160" s="3">
        <v>18730</v>
      </c>
      <c r="E160" s="3" t="s">
        <v>27</v>
      </c>
      <c r="F160" s="3">
        <v>818878</v>
      </c>
      <c r="G160" s="3">
        <v>7212</v>
      </c>
      <c r="H160" s="3">
        <v>738798</v>
      </c>
      <c r="I160" s="3">
        <v>11518</v>
      </c>
    </row>
    <row r="161" spans="1:9">
      <c r="A161" s="3" t="s">
        <v>186</v>
      </c>
      <c r="B161" s="3" t="s">
        <v>26</v>
      </c>
      <c r="C161" s="3">
        <v>1424765</v>
      </c>
      <c r="D161" s="3">
        <v>190296</v>
      </c>
      <c r="E161" s="3" t="s">
        <v>27</v>
      </c>
      <c r="F161" s="3">
        <v>901404</v>
      </c>
      <c r="G161" s="3">
        <v>132859</v>
      </c>
      <c r="H161" s="3">
        <v>523361</v>
      </c>
      <c r="I161" s="3">
        <v>57437</v>
      </c>
    </row>
    <row r="162" spans="1:9">
      <c r="A162" s="3" t="s">
        <v>187</v>
      </c>
      <c r="B162" s="3" t="s">
        <v>26</v>
      </c>
      <c r="C162" s="3">
        <v>2327319</v>
      </c>
      <c r="D162" s="3">
        <v>269049</v>
      </c>
      <c r="E162" s="3" t="s">
        <v>27</v>
      </c>
      <c r="F162" s="3">
        <v>1401029</v>
      </c>
      <c r="G162" s="3">
        <v>181990</v>
      </c>
      <c r="H162" s="3">
        <v>926290</v>
      </c>
      <c r="I162" s="3">
        <v>87059</v>
      </c>
    </row>
    <row r="163" spans="1:9">
      <c r="A163" s="3" t="s">
        <v>188</v>
      </c>
      <c r="B163" s="3" t="s">
        <v>26</v>
      </c>
      <c r="C163" s="3">
        <v>2811726</v>
      </c>
      <c r="D163" s="3">
        <v>752400</v>
      </c>
      <c r="E163" s="3" t="s">
        <v>27</v>
      </c>
      <c r="F163" s="3">
        <v>1873408</v>
      </c>
      <c r="G163" s="3">
        <v>505410</v>
      </c>
      <c r="H163" s="3">
        <v>938318</v>
      </c>
      <c r="I163" s="3">
        <v>246990</v>
      </c>
    </row>
    <row r="164" spans="1:9">
      <c r="A164" s="3" t="s">
        <v>189</v>
      </c>
      <c r="B164" s="3" t="s">
        <v>26</v>
      </c>
      <c r="C164" s="3">
        <v>2535933</v>
      </c>
      <c r="D164" s="3">
        <v>681698</v>
      </c>
      <c r="E164" s="3" t="s">
        <v>27</v>
      </c>
      <c r="F164" s="3">
        <v>1816865</v>
      </c>
      <c r="G164" s="3">
        <v>487813</v>
      </c>
      <c r="H164" s="3">
        <v>719068</v>
      </c>
      <c r="I164" s="3">
        <v>193885</v>
      </c>
    </row>
    <row r="165" spans="1:9">
      <c r="A165" s="3" t="s">
        <v>190</v>
      </c>
      <c r="B165" s="3" t="s">
        <v>26</v>
      </c>
      <c r="C165" s="3">
        <v>2058977</v>
      </c>
      <c r="D165" s="3">
        <v>130905</v>
      </c>
      <c r="E165" s="3" t="s">
        <v>27</v>
      </c>
      <c r="F165" s="3">
        <v>1189370</v>
      </c>
      <c r="G165" s="3">
        <v>90502</v>
      </c>
      <c r="H165" s="3">
        <v>869607</v>
      </c>
      <c r="I165" s="3">
        <v>40403</v>
      </c>
    </row>
    <row r="166" spans="1:9">
      <c r="A166" s="3" t="s">
        <v>191</v>
      </c>
      <c r="B166" s="3" t="s">
        <v>26</v>
      </c>
      <c r="C166" s="3">
        <v>1027384</v>
      </c>
      <c r="D166" s="3">
        <v>138605</v>
      </c>
      <c r="E166" s="3" t="s">
        <v>27</v>
      </c>
      <c r="F166" s="3">
        <v>791467</v>
      </c>
      <c r="G166" s="3">
        <v>93409</v>
      </c>
      <c r="H166" s="3">
        <v>235917</v>
      </c>
      <c r="I166" s="3">
        <v>45196</v>
      </c>
    </row>
    <row r="167" spans="1:9">
      <c r="A167" s="3" t="s">
        <v>192</v>
      </c>
      <c r="B167" s="3" t="s">
        <v>26</v>
      </c>
      <c r="C167" s="3">
        <v>2440065</v>
      </c>
      <c r="D167" s="3">
        <v>544975</v>
      </c>
      <c r="E167" s="3" t="s">
        <v>27</v>
      </c>
      <c r="F167" s="3">
        <v>1572654</v>
      </c>
      <c r="G167" s="3">
        <v>356780</v>
      </c>
      <c r="H167" s="3">
        <v>867411</v>
      </c>
      <c r="I167" s="3">
        <v>188195</v>
      </c>
    </row>
    <row r="168" spans="1:9">
      <c r="A168" s="3" t="s">
        <v>193</v>
      </c>
      <c r="B168" s="3" t="s">
        <v>26</v>
      </c>
      <c r="C168" s="3">
        <v>2588799</v>
      </c>
      <c r="D168" s="3">
        <v>701656</v>
      </c>
      <c r="E168" s="3" t="s">
        <v>27</v>
      </c>
      <c r="F168" s="3">
        <v>2002389</v>
      </c>
      <c r="G168" s="3">
        <v>527314</v>
      </c>
      <c r="H168" s="3">
        <v>586410</v>
      </c>
      <c r="I168" s="3">
        <v>174342</v>
      </c>
    </row>
    <row r="169" spans="1:9">
      <c r="A169" s="3" t="s">
        <v>194</v>
      </c>
      <c r="B169" s="3" t="s">
        <v>26</v>
      </c>
      <c r="C169" s="3">
        <v>2394285</v>
      </c>
      <c r="D169" s="3">
        <v>458220</v>
      </c>
      <c r="E169" s="3" t="s">
        <v>27</v>
      </c>
      <c r="F169" s="3">
        <v>1578823</v>
      </c>
      <c r="G169" s="3">
        <v>317756</v>
      </c>
      <c r="H169" s="3">
        <v>815462</v>
      </c>
      <c r="I169" s="3">
        <v>140464</v>
      </c>
    </row>
    <row r="170" spans="1:9">
      <c r="A170" s="3" t="s">
        <v>195</v>
      </c>
      <c r="B170" s="3" t="s">
        <v>26</v>
      </c>
      <c r="C170" s="3">
        <v>2451023</v>
      </c>
      <c r="D170" s="3">
        <v>664226</v>
      </c>
      <c r="E170" s="3" t="s">
        <v>27</v>
      </c>
      <c r="F170" s="3">
        <v>2196986</v>
      </c>
      <c r="G170" s="3">
        <v>575223</v>
      </c>
      <c r="H170" s="3">
        <v>254037</v>
      </c>
      <c r="I170" s="3">
        <v>89003</v>
      </c>
    </row>
    <row r="171" spans="1:9">
      <c r="A171" s="3" t="s">
        <v>196</v>
      </c>
      <c r="B171" s="3" t="s">
        <v>26</v>
      </c>
      <c r="C171" s="3">
        <v>2772226</v>
      </c>
      <c r="D171" s="3">
        <v>805109</v>
      </c>
      <c r="E171" s="3" t="s">
        <v>27</v>
      </c>
      <c r="F171" s="3">
        <v>1865966</v>
      </c>
      <c r="G171" s="3">
        <v>524131</v>
      </c>
      <c r="H171" s="3">
        <v>906260</v>
      </c>
      <c r="I171" s="3">
        <v>280978</v>
      </c>
    </row>
    <row r="172" spans="1:9">
      <c r="A172" s="3" t="s">
        <v>197</v>
      </c>
      <c r="B172" s="3" t="s">
        <v>26</v>
      </c>
      <c r="C172" s="3">
        <v>2613797</v>
      </c>
      <c r="D172" s="3">
        <v>559134</v>
      </c>
      <c r="E172" s="3" t="s">
        <v>27</v>
      </c>
      <c r="F172" s="3">
        <v>1615346</v>
      </c>
      <c r="G172" s="3">
        <v>370551</v>
      </c>
      <c r="H172" s="3">
        <v>998451</v>
      </c>
      <c r="I172" s="3">
        <v>188583</v>
      </c>
    </row>
    <row r="173" spans="1:9">
      <c r="A173" s="3" t="s">
        <v>198</v>
      </c>
      <c r="B173" s="3" t="s">
        <v>26</v>
      </c>
      <c r="C173" s="3">
        <v>1654433</v>
      </c>
      <c r="D173" s="3">
        <v>260822</v>
      </c>
      <c r="E173" s="3" t="s">
        <v>27</v>
      </c>
      <c r="F173" s="3">
        <v>1110905</v>
      </c>
      <c r="G173" s="3">
        <v>191595</v>
      </c>
      <c r="H173" s="3">
        <v>543528</v>
      </c>
      <c r="I173" s="3">
        <v>69227</v>
      </c>
    </row>
    <row r="174" spans="1:9">
      <c r="A174" s="3" t="s">
        <v>199</v>
      </c>
      <c r="B174" s="3" t="s">
        <v>26</v>
      </c>
      <c r="C174" s="3">
        <v>2565297</v>
      </c>
      <c r="D174" s="3">
        <v>410447</v>
      </c>
      <c r="E174" s="3" t="s">
        <v>27</v>
      </c>
      <c r="F174" s="3">
        <v>1757675</v>
      </c>
      <c r="G174" s="3">
        <v>297646</v>
      </c>
      <c r="H174" s="3">
        <v>807622</v>
      </c>
      <c r="I174" s="3">
        <v>112801</v>
      </c>
    </row>
    <row r="175" spans="1:9">
      <c r="A175" s="3" t="s">
        <v>200</v>
      </c>
      <c r="B175" s="3" t="s">
        <v>26</v>
      </c>
      <c r="C175" s="3">
        <v>2539973</v>
      </c>
      <c r="D175" s="3">
        <v>400918</v>
      </c>
      <c r="E175" s="3" t="s">
        <v>27</v>
      </c>
      <c r="F175" s="3">
        <v>1701918</v>
      </c>
      <c r="G175" s="3">
        <v>301109</v>
      </c>
      <c r="H175" s="3">
        <v>838055</v>
      </c>
      <c r="I175" s="3">
        <v>99809</v>
      </c>
    </row>
    <row r="176" spans="1:9">
      <c r="A176" s="3" t="s">
        <v>201</v>
      </c>
      <c r="B176" s="3" t="s">
        <v>26</v>
      </c>
      <c r="C176" s="3">
        <v>2165996</v>
      </c>
      <c r="D176" s="3">
        <v>507292</v>
      </c>
      <c r="E176" s="3" t="s">
        <v>27</v>
      </c>
      <c r="F176" s="3">
        <v>1769689</v>
      </c>
      <c r="G176" s="3">
        <v>413204</v>
      </c>
      <c r="H176" s="3">
        <v>396307</v>
      </c>
      <c r="I176" s="3">
        <v>94088</v>
      </c>
    </row>
    <row r="177" spans="1:9">
      <c r="A177" s="3" t="s">
        <v>202</v>
      </c>
      <c r="B177" s="3" t="s">
        <v>26</v>
      </c>
      <c r="C177" s="3">
        <v>2606220</v>
      </c>
      <c r="D177" s="3">
        <v>601922</v>
      </c>
      <c r="E177" s="3" t="s">
        <v>27</v>
      </c>
      <c r="F177" s="3">
        <v>1843863</v>
      </c>
      <c r="G177" s="3">
        <v>430185</v>
      </c>
      <c r="H177" s="3">
        <v>762357</v>
      </c>
      <c r="I177" s="3">
        <v>171737</v>
      </c>
    </row>
    <row r="178" spans="1:9">
      <c r="A178" s="3" t="s">
        <v>203</v>
      </c>
      <c r="B178" s="3" t="s">
        <v>26</v>
      </c>
      <c r="C178" s="3">
        <v>1049076</v>
      </c>
      <c r="D178" s="3">
        <v>12239</v>
      </c>
      <c r="E178" s="3" t="s">
        <v>27</v>
      </c>
      <c r="F178" s="3">
        <v>539376</v>
      </c>
      <c r="G178" s="3">
        <v>6109</v>
      </c>
      <c r="H178" s="3">
        <v>509700</v>
      </c>
      <c r="I178" s="3">
        <v>6130</v>
      </c>
    </row>
    <row r="179" spans="1:9">
      <c r="A179" s="3" t="s">
        <v>204</v>
      </c>
      <c r="B179" s="3" t="s">
        <v>26</v>
      </c>
      <c r="C179" s="3">
        <v>1965145</v>
      </c>
      <c r="D179" s="3">
        <v>33918</v>
      </c>
      <c r="E179" s="3" t="s">
        <v>27</v>
      </c>
      <c r="F179" s="3">
        <v>1036132</v>
      </c>
      <c r="G179" s="3">
        <v>20016</v>
      </c>
      <c r="H179" s="3">
        <v>929013</v>
      </c>
      <c r="I179" s="3">
        <v>13902</v>
      </c>
    </row>
    <row r="180" spans="1:9">
      <c r="A180" s="3" t="s">
        <v>205</v>
      </c>
      <c r="B180" s="3" t="s">
        <v>26</v>
      </c>
      <c r="C180" s="3">
        <v>2249121</v>
      </c>
      <c r="D180" s="3">
        <v>525810</v>
      </c>
      <c r="E180" s="3" t="s">
        <v>27</v>
      </c>
      <c r="F180" s="3">
        <v>1734067</v>
      </c>
      <c r="G180" s="3">
        <v>390227</v>
      </c>
      <c r="H180" s="3">
        <v>515054</v>
      </c>
      <c r="I180" s="3">
        <v>135583</v>
      </c>
    </row>
    <row r="181" spans="1:9">
      <c r="A181" s="3" t="s">
        <v>206</v>
      </c>
      <c r="B181" s="3" t="s">
        <v>26</v>
      </c>
      <c r="C181" s="3">
        <v>1881708</v>
      </c>
      <c r="D181" s="3">
        <v>310519</v>
      </c>
      <c r="E181" s="3" t="s">
        <v>27</v>
      </c>
      <c r="F181" s="3">
        <v>1151961</v>
      </c>
      <c r="G181" s="3">
        <v>200042</v>
      </c>
      <c r="H181" s="3">
        <v>729747</v>
      </c>
      <c r="I181" s="3">
        <v>110477</v>
      </c>
    </row>
    <row r="182" spans="1:9">
      <c r="A182" s="3" t="s">
        <v>207</v>
      </c>
      <c r="B182" s="3" t="s">
        <v>26</v>
      </c>
      <c r="C182" s="3">
        <v>3144915</v>
      </c>
      <c r="D182" s="3">
        <v>1005836</v>
      </c>
      <c r="E182" s="3" t="s">
        <v>27</v>
      </c>
      <c r="F182" s="3">
        <v>2516555</v>
      </c>
      <c r="G182" s="3">
        <v>773802</v>
      </c>
      <c r="H182" s="3">
        <v>628360</v>
      </c>
      <c r="I182" s="3">
        <v>232034</v>
      </c>
    </row>
    <row r="183" spans="1:9">
      <c r="A183" s="3" t="s">
        <v>208</v>
      </c>
      <c r="B183" s="3" t="s">
        <v>26</v>
      </c>
      <c r="C183" s="3">
        <v>1877394</v>
      </c>
      <c r="D183" s="3">
        <v>216401</v>
      </c>
      <c r="E183" s="3" t="s">
        <v>27</v>
      </c>
      <c r="F183" s="3">
        <v>1070978</v>
      </c>
      <c r="G183" s="3">
        <v>110687</v>
      </c>
      <c r="H183" s="3">
        <v>806416</v>
      </c>
      <c r="I183" s="3">
        <v>105714</v>
      </c>
    </row>
    <row r="184" spans="1:9">
      <c r="A184" s="3" t="s">
        <v>209</v>
      </c>
      <c r="B184" s="3" t="s">
        <v>26</v>
      </c>
      <c r="C184" s="3">
        <v>1459201</v>
      </c>
      <c r="D184" s="3">
        <v>99871</v>
      </c>
      <c r="E184" s="3" t="s">
        <v>27</v>
      </c>
      <c r="F184" s="3">
        <v>788416</v>
      </c>
      <c r="G184" s="3">
        <v>56156</v>
      </c>
      <c r="H184" s="3">
        <v>670785</v>
      </c>
      <c r="I184" s="3">
        <v>43715</v>
      </c>
    </row>
    <row r="185" spans="1:9">
      <c r="A185" s="3" t="s">
        <v>210</v>
      </c>
      <c r="B185" s="3" t="s">
        <v>26</v>
      </c>
      <c r="C185" s="3">
        <v>1278472</v>
      </c>
      <c r="D185" s="3">
        <v>45730</v>
      </c>
      <c r="E185" s="3" t="s">
        <v>27</v>
      </c>
      <c r="F185" s="3">
        <v>760882</v>
      </c>
      <c r="G185" s="3">
        <v>26876</v>
      </c>
      <c r="H185" s="3">
        <v>517590</v>
      </c>
      <c r="I185" s="3">
        <v>18854</v>
      </c>
    </row>
    <row r="186" spans="1:9">
      <c r="A186" s="3" t="s">
        <v>211</v>
      </c>
      <c r="B186" s="3" t="s">
        <v>26</v>
      </c>
      <c r="C186" s="3">
        <v>2691011</v>
      </c>
      <c r="D186" s="3">
        <v>802941</v>
      </c>
      <c r="E186" s="3" t="s">
        <v>27</v>
      </c>
      <c r="F186" s="3">
        <v>2175275</v>
      </c>
      <c r="G186" s="3">
        <v>613578</v>
      </c>
      <c r="H186" s="3">
        <v>515736</v>
      </c>
      <c r="I186" s="3">
        <v>189363</v>
      </c>
    </row>
    <row r="187" spans="1:9">
      <c r="A187" s="3" t="s">
        <v>212</v>
      </c>
      <c r="B187" s="3" t="s">
        <v>26</v>
      </c>
      <c r="C187" s="3">
        <v>1972249</v>
      </c>
      <c r="D187" s="3">
        <v>199252</v>
      </c>
      <c r="E187" s="3" t="s">
        <v>27</v>
      </c>
      <c r="F187" s="3">
        <v>1209830</v>
      </c>
      <c r="G187" s="3">
        <v>119234</v>
      </c>
      <c r="H187" s="3">
        <v>762419</v>
      </c>
      <c r="I187" s="3">
        <v>80018</v>
      </c>
    </row>
    <row r="188" spans="1:9">
      <c r="A188" s="3" t="s">
        <v>213</v>
      </c>
      <c r="B188" s="3" t="s">
        <v>26</v>
      </c>
      <c r="C188" s="3">
        <v>966950</v>
      </c>
      <c r="D188" s="3">
        <v>148998</v>
      </c>
      <c r="E188" s="3" t="s">
        <v>27</v>
      </c>
      <c r="F188" s="3">
        <v>647729</v>
      </c>
      <c r="G188" s="3">
        <v>111643</v>
      </c>
      <c r="H188" s="3">
        <v>319221</v>
      </c>
      <c r="I188" s="3">
        <v>37355</v>
      </c>
    </row>
    <row r="189" spans="1:9">
      <c r="A189" s="3" t="s">
        <v>214</v>
      </c>
      <c r="B189" s="3" t="s">
        <v>26</v>
      </c>
      <c r="C189" s="3">
        <v>1690927</v>
      </c>
      <c r="D189" s="3">
        <v>450255</v>
      </c>
      <c r="E189" s="3" t="s">
        <v>27</v>
      </c>
      <c r="F189" s="3">
        <v>1107499</v>
      </c>
      <c r="G189" s="3">
        <v>279120</v>
      </c>
      <c r="H189" s="3">
        <v>583428</v>
      </c>
      <c r="I189" s="3">
        <v>171135</v>
      </c>
    </row>
    <row r="190" spans="1:9">
      <c r="A190" s="3" t="s">
        <v>215</v>
      </c>
      <c r="B190" s="3" t="s">
        <v>26</v>
      </c>
      <c r="C190" s="3">
        <v>1480044</v>
      </c>
      <c r="D190" s="3">
        <v>412175</v>
      </c>
      <c r="E190" s="3" t="s">
        <v>27</v>
      </c>
      <c r="F190" s="3">
        <v>1161678</v>
      </c>
      <c r="G190" s="3">
        <v>305664</v>
      </c>
      <c r="H190" s="3">
        <v>318366</v>
      </c>
      <c r="I190" s="3">
        <v>106511</v>
      </c>
    </row>
    <row r="191" spans="1:9">
      <c r="A191" s="3" t="s">
        <v>216</v>
      </c>
      <c r="B191" s="3" t="s">
        <v>26</v>
      </c>
      <c r="C191" s="3">
        <v>1137321</v>
      </c>
      <c r="D191" s="3">
        <v>77834</v>
      </c>
      <c r="E191" s="3" t="s">
        <v>27</v>
      </c>
      <c r="F191" s="3">
        <v>714354</v>
      </c>
      <c r="G191" s="3">
        <v>47402</v>
      </c>
      <c r="H191" s="3">
        <v>422967</v>
      </c>
      <c r="I191" s="3">
        <v>30432</v>
      </c>
    </row>
    <row r="192" spans="1:9">
      <c r="A192" s="3" t="s">
        <v>217</v>
      </c>
      <c r="B192" s="3" t="s">
        <v>26</v>
      </c>
      <c r="C192" s="3">
        <v>669227</v>
      </c>
      <c r="D192" s="3">
        <v>22155</v>
      </c>
      <c r="E192" s="3" t="s">
        <v>27</v>
      </c>
      <c r="F192" s="3">
        <v>358905</v>
      </c>
      <c r="G192" s="3">
        <v>12946</v>
      </c>
      <c r="H192" s="3">
        <v>310322</v>
      </c>
      <c r="I192" s="3">
        <v>9209</v>
      </c>
    </row>
    <row r="193" spans="1:9">
      <c r="A193" s="3" t="s">
        <v>218</v>
      </c>
      <c r="B193" s="3" t="s">
        <v>26</v>
      </c>
      <c r="C193" s="3">
        <v>1187007</v>
      </c>
      <c r="D193" s="3">
        <v>217800</v>
      </c>
      <c r="E193" s="3" t="s">
        <v>27</v>
      </c>
      <c r="F193" s="3">
        <v>853247</v>
      </c>
      <c r="G193" s="3">
        <v>159474</v>
      </c>
      <c r="H193" s="3">
        <v>333760</v>
      </c>
      <c r="I193" s="3">
        <v>58326</v>
      </c>
    </row>
    <row r="194" spans="1:9">
      <c r="A194" s="3" t="s">
        <v>219</v>
      </c>
      <c r="B194" s="3" t="s">
        <v>26</v>
      </c>
      <c r="C194" s="3">
        <v>1529720</v>
      </c>
      <c r="D194" s="3">
        <v>381421</v>
      </c>
      <c r="E194" s="3" t="s">
        <v>27</v>
      </c>
      <c r="F194" s="3">
        <v>1226385</v>
      </c>
      <c r="G194" s="3">
        <v>300828</v>
      </c>
      <c r="H194" s="3">
        <v>303335</v>
      </c>
      <c r="I194" s="3">
        <v>80593</v>
      </c>
    </row>
    <row r="195" spans="1:9">
      <c r="A195" s="3" t="s">
        <v>220</v>
      </c>
      <c r="B195" s="3" t="s">
        <v>26</v>
      </c>
      <c r="C195" s="3">
        <v>602283</v>
      </c>
      <c r="D195" s="3">
        <v>6701</v>
      </c>
      <c r="E195" s="3" t="s">
        <v>27</v>
      </c>
      <c r="F195" s="3">
        <v>313832</v>
      </c>
      <c r="G195" s="3">
        <v>2608</v>
      </c>
      <c r="H195" s="3">
        <v>288451</v>
      </c>
      <c r="I195" s="3">
        <v>4093</v>
      </c>
    </row>
    <row r="196" spans="1:9">
      <c r="A196" s="3" t="s">
        <v>221</v>
      </c>
      <c r="B196" s="3" t="s">
        <v>26</v>
      </c>
      <c r="C196" s="3">
        <v>594640</v>
      </c>
      <c r="D196" s="3">
        <v>3581</v>
      </c>
      <c r="E196" s="3" t="s">
        <v>27</v>
      </c>
      <c r="F196" s="3">
        <v>318434</v>
      </c>
      <c r="G196" s="3">
        <v>2176</v>
      </c>
      <c r="H196" s="3">
        <v>276206</v>
      </c>
      <c r="I196" s="3">
        <v>1405</v>
      </c>
    </row>
    <row r="197" spans="1:9">
      <c r="A197" s="3" t="s">
        <v>222</v>
      </c>
      <c r="B197" s="3" t="s">
        <v>26</v>
      </c>
      <c r="C197" s="3">
        <v>1451195</v>
      </c>
      <c r="D197" s="3">
        <v>406349</v>
      </c>
      <c r="E197" s="3" t="s">
        <v>27</v>
      </c>
      <c r="F197" s="3">
        <v>1066125</v>
      </c>
      <c r="G197" s="3">
        <v>275375</v>
      </c>
      <c r="H197" s="3">
        <v>385070</v>
      </c>
      <c r="I197" s="3">
        <v>130974</v>
      </c>
    </row>
    <row r="198" spans="1:9">
      <c r="A198" s="3" t="s">
        <v>223</v>
      </c>
      <c r="B198" s="3" t="s">
        <v>26</v>
      </c>
      <c r="C198" s="3">
        <v>504782</v>
      </c>
      <c r="D198" s="3">
        <v>21539</v>
      </c>
      <c r="E198" s="3" t="s">
        <v>27</v>
      </c>
      <c r="F198" s="3">
        <v>334310</v>
      </c>
      <c r="G198" s="3">
        <v>12653</v>
      </c>
      <c r="H198" s="3">
        <v>170472</v>
      </c>
      <c r="I198" s="3">
        <v>8886</v>
      </c>
    </row>
    <row r="199" spans="1:9">
      <c r="A199" s="3" t="s">
        <v>224</v>
      </c>
      <c r="B199" s="3" t="s">
        <v>26</v>
      </c>
      <c r="C199" s="3">
        <v>1474407</v>
      </c>
      <c r="D199" s="3">
        <v>440294</v>
      </c>
      <c r="E199" s="3" t="s">
        <v>27</v>
      </c>
      <c r="F199" s="3">
        <v>1227375</v>
      </c>
      <c r="G199" s="3">
        <v>357572</v>
      </c>
      <c r="H199" s="3">
        <v>247032</v>
      </c>
      <c r="I199" s="3">
        <v>82722</v>
      </c>
    </row>
    <row r="200" spans="1:9">
      <c r="A200" s="3" t="s">
        <v>225</v>
      </c>
      <c r="B200" s="3" t="s">
        <v>26</v>
      </c>
      <c r="C200" s="3">
        <v>1122836</v>
      </c>
      <c r="D200" s="3">
        <v>188849</v>
      </c>
      <c r="E200" s="3" t="s">
        <v>27</v>
      </c>
      <c r="F200" s="3">
        <v>790702</v>
      </c>
      <c r="G200" s="3">
        <v>139974</v>
      </c>
      <c r="H200" s="3">
        <v>332134</v>
      </c>
      <c r="I200" s="3">
        <v>48875</v>
      </c>
    </row>
    <row r="201" spans="1:9">
      <c r="A201" s="3" t="s">
        <v>226</v>
      </c>
      <c r="B201" s="3" t="s">
        <v>26</v>
      </c>
      <c r="C201" s="3">
        <v>1430224</v>
      </c>
      <c r="D201" s="3">
        <v>375094</v>
      </c>
      <c r="E201" s="3" t="s">
        <v>27</v>
      </c>
      <c r="F201" s="3">
        <v>1229248</v>
      </c>
      <c r="G201" s="3">
        <v>301235</v>
      </c>
      <c r="H201" s="3">
        <v>200976</v>
      </c>
      <c r="I201" s="3">
        <v>73859</v>
      </c>
    </row>
    <row r="202" spans="1:9">
      <c r="A202" s="3" t="s">
        <v>227</v>
      </c>
      <c r="B202" s="3" t="s">
        <v>26</v>
      </c>
      <c r="C202" s="3">
        <v>509320</v>
      </c>
      <c r="D202" s="3">
        <v>1248</v>
      </c>
      <c r="E202" s="3" t="s">
        <v>27</v>
      </c>
      <c r="F202" s="3">
        <v>261920</v>
      </c>
      <c r="G202" s="3">
        <v>592</v>
      </c>
      <c r="H202" s="3">
        <v>247400</v>
      </c>
      <c r="I202" s="3">
        <v>656</v>
      </c>
    </row>
    <row r="203" spans="1:9">
      <c r="A203" s="3" t="s">
        <v>228</v>
      </c>
      <c r="B203" s="3" t="s">
        <v>26</v>
      </c>
      <c r="C203" s="3">
        <v>1129689</v>
      </c>
      <c r="D203" s="3">
        <v>87024</v>
      </c>
      <c r="E203" s="3" t="s">
        <v>27</v>
      </c>
      <c r="F203" s="3">
        <v>617427</v>
      </c>
      <c r="G203" s="3">
        <v>50171</v>
      </c>
      <c r="H203" s="3">
        <v>512262</v>
      </c>
      <c r="I203" s="3">
        <v>36853</v>
      </c>
    </row>
    <row r="204" spans="1:9">
      <c r="A204" s="3" t="s">
        <v>229</v>
      </c>
      <c r="B204" s="3" t="s">
        <v>26</v>
      </c>
      <c r="C204" s="3">
        <v>1407554</v>
      </c>
      <c r="D204" s="3">
        <v>363606</v>
      </c>
      <c r="E204" s="3" t="s">
        <v>27</v>
      </c>
      <c r="F204" s="3">
        <v>972463</v>
      </c>
      <c r="G204" s="3">
        <v>235564</v>
      </c>
      <c r="H204" s="3">
        <v>435091</v>
      </c>
      <c r="I204" s="3">
        <v>128042</v>
      </c>
    </row>
    <row r="205" spans="1:9">
      <c r="A205" s="3" t="s">
        <v>230</v>
      </c>
      <c r="B205" s="3" t="s">
        <v>26</v>
      </c>
      <c r="C205" s="3">
        <v>1753890</v>
      </c>
      <c r="D205" s="3">
        <v>487750</v>
      </c>
      <c r="E205" s="3" t="s">
        <v>27</v>
      </c>
      <c r="F205" s="3">
        <v>1246432</v>
      </c>
      <c r="G205" s="3">
        <v>328758</v>
      </c>
      <c r="H205" s="3">
        <v>507458</v>
      </c>
      <c r="I205" s="3">
        <v>158992</v>
      </c>
    </row>
    <row r="206" spans="1:9">
      <c r="A206" s="3" t="s">
        <v>231</v>
      </c>
      <c r="B206" s="3" t="s">
        <v>26</v>
      </c>
      <c r="C206" s="3">
        <v>1302180</v>
      </c>
      <c r="D206" s="3">
        <v>275256</v>
      </c>
      <c r="E206" s="3" t="s">
        <v>27</v>
      </c>
      <c r="F206" s="3">
        <v>1011881</v>
      </c>
      <c r="G206" s="3">
        <v>202885</v>
      </c>
      <c r="H206" s="3">
        <v>290299</v>
      </c>
      <c r="I206" s="3">
        <v>72371</v>
      </c>
    </row>
    <row r="207" spans="1:9">
      <c r="A207" s="3" t="s">
        <v>232</v>
      </c>
      <c r="B207" s="3" t="s">
        <v>26</v>
      </c>
      <c r="C207" s="3">
        <v>506350</v>
      </c>
      <c r="D207" s="3">
        <v>449</v>
      </c>
      <c r="E207" s="3" t="s">
        <v>27</v>
      </c>
      <c r="F207" s="3">
        <v>261142</v>
      </c>
      <c r="G207" s="3">
        <v>191</v>
      </c>
      <c r="H207" s="3">
        <v>245208</v>
      </c>
      <c r="I207" s="3">
        <v>258</v>
      </c>
    </row>
    <row r="208" spans="1:9">
      <c r="A208" s="3" t="s">
        <v>233</v>
      </c>
      <c r="B208" s="3" t="s">
        <v>26</v>
      </c>
      <c r="C208" s="3">
        <v>1682957</v>
      </c>
      <c r="D208" s="3">
        <v>481277</v>
      </c>
      <c r="E208" s="3" t="s">
        <v>27</v>
      </c>
      <c r="F208" s="3">
        <v>1311261</v>
      </c>
      <c r="G208" s="3">
        <v>357098</v>
      </c>
      <c r="H208" s="3">
        <v>371696</v>
      </c>
      <c r="I208" s="3">
        <v>124179</v>
      </c>
    </row>
    <row r="209" spans="1:9">
      <c r="A209" s="3" t="s">
        <v>234</v>
      </c>
      <c r="B209" s="3" t="s">
        <v>26</v>
      </c>
      <c r="C209" s="3">
        <v>1660218</v>
      </c>
      <c r="D209" s="3">
        <v>452935</v>
      </c>
      <c r="E209" s="3" t="s">
        <v>27</v>
      </c>
      <c r="F209" s="3">
        <v>1052079</v>
      </c>
      <c r="G209" s="3">
        <v>282382</v>
      </c>
      <c r="H209" s="3">
        <v>608139</v>
      </c>
      <c r="I209" s="3">
        <v>170553</v>
      </c>
    </row>
    <row r="210" spans="1:9">
      <c r="A210" s="3" t="s">
        <v>235</v>
      </c>
      <c r="B210" s="3" t="s">
        <v>26</v>
      </c>
      <c r="C210" s="3">
        <v>1697987</v>
      </c>
      <c r="D210" s="3">
        <v>481245</v>
      </c>
      <c r="E210" s="3" t="s">
        <v>27</v>
      </c>
      <c r="F210" s="3">
        <v>1224692</v>
      </c>
      <c r="G210" s="3">
        <v>327784</v>
      </c>
      <c r="H210" s="3">
        <v>473295</v>
      </c>
      <c r="I210" s="3">
        <v>153461</v>
      </c>
    </row>
    <row r="211" spans="1:9">
      <c r="A211" s="3" t="s">
        <v>236</v>
      </c>
      <c r="B211" s="3" t="s">
        <v>26</v>
      </c>
      <c r="C211" s="3">
        <v>972543</v>
      </c>
      <c r="D211" s="3">
        <v>10869</v>
      </c>
      <c r="E211" s="3" t="s">
        <v>27</v>
      </c>
      <c r="F211" s="3">
        <v>510143</v>
      </c>
      <c r="G211" s="3">
        <v>5007</v>
      </c>
      <c r="H211" s="3">
        <v>462400</v>
      </c>
      <c r="I211" s="3">
        <v>5862</v>
      </c>
    </row>
    <row r="212" spans="1:9">
      <c r="A212" s="3" t="s">
        <v>237</v>
      </c>
      <c r="B212" s="3" t="s">
        <v>26</v>
      </c>
      <c r="C212" s="3">
        <v>1695337</v>
      </c>
      <c r="D212" s="3">
        <v>437402</v>
      </c>
      <c r="E212" s="3" t="s">
        <v>27</v>
      </c>
      <c r="F212" s="3">
        <v>1157402</v>
      </c>
      <c r="G212" s="3">
        <v>287843</v>
      </c>
      <c r="H212" s="3">
        <v>537935</v>
      </c>
      <c r="I212" s="3">
        <v>149559</v>
      </c>
    </row>
    <row r="213" spans="1:9">
      <c r="A213" s="3" t="s">
        <v>238</v>
      </c>
      <c r="B213" s="3" t="s">
        <v>26</v>
      </c>
      <c r="C213" s="3">
        <v>1356989</v>
      </c>
      <c r="D213" s="3">
        <v>241679</v>
      </c>
      <c r="E213" s="3" t="s">
        <v>27</v>
      </c>
      <c r="F213" s="3">
        <v>789280</v>
      </c>
      <c r="G213" s="3">
        <v>138629</v>
      </c>
      <c r="H213" s="3">
        <v>567709</v>
      </c>
      <c r="I213" s="3">
        <v>103050</v>
      </c>
    </row>
    <row r="214" spans="1:9">
      <c r="A214" s="3" t="s">
        <v>239</v>
      </c>
      <c r="B214" s="3" t="s">
        <v>26</v>
      </c>
      <c r="C214" s="3">
        <v>1273763</v>
      </c>
      <c r="D214" s="3">
        <v>260026</v>
      </c>
      <c r="E214" s="3" t="s">
        <v>27</v>
      </c>
      <c r="F214" s="3">
        <v>760595</v>
      </c>
      <c r="G214" s="3">
        <v>154027</v>
      </c>
      <c r="H214" s="3">
        <v>513168</v>
      </c>
      <c r="I214" s="3">
        <v>105999</v>
      </c>
    </row>
    <row r="215" spans="1:9">
      <c r="A215" s="3" t="s">
        <v>240</v>
      </c>
      <c r="B215" s="3" t="s">
        <v>26</v>
      </c>
      <c r="C215" s="3">
        <v>1431197</v>
      </c>
      <c r="D215" s="3">
        <v>261292</v>
      </c>
      <c r="E215" s="3" t="s">
        <v>27</v>
      </c>
      <c r="F215" s="3">
        <v>973838</v>
      </c>
      <c r="G215" s="3">
        <v>180298</v>
      </c>
      <c r="H215" s="3">
        <v>457359</v>
      </c>
      <c r="I215" s="3">
        <v>80994</v>
      </c>
    </row>
    <row r="216" spans="1:9">
      <c r="A216" s="3" t="s">
        <v>241</v>
      </c>
      <c r="B216" s="3" t="s">
        <v>26</v>
      </c>
      <c r="C216" s="3">
        <v>1557128</v>
      </c>
      <c r="D216" s="3">
        <v>417493</v>
      </c>
      <c r="E216" s="3" t="s">
        <v>27</v>
      </c>
      <c r="F216" s="3">
        <v>1148719</v>
      </c>
      <c r="G216" s="3">
        <v>298827</v>
      </c>
      <c r="H216" s="3">
        <v>408409</v>
      </c>
      <c r="I216" s="3">
        <v>118666</v>
      </c>
    </row>
    <row r="217" spans="1:9">
      <c r="A217" s="3" t="s">
        <v>242</v>
      </c>
      <c r="B217" s="3" t="s">
        <v>26</v>
      </c>
      <c r="C217" s="3">
        <v>1533470</v>
      </c>
      <c r="D217" s="3">
        <v>451771</v>
      </c>
      <c r="E217" s="3" t="s">
        <v>27</v>
      </c>
      <c r="F217" s="3">
        <v>1237367</v>
      </c>
      <c r="G217" s="3">
        <v>345994</v>
      </c>
      <c r="H217" s="3">
        <v>296103</v>
      </c>
      <c r="I217" s="3">
        <v>105777</v>
      </c>
    </row>
    <row r="218" spans="1:9">
      <c r="A218" s="3" t="s">
        <v>243</v>
      </c>
      <c r="B218" s="3" t="s">
        <v>26</v>
      </c>
      <c r="C218" s="3">
        <v>800886</v>
      </c>
      <c r="D218" s="3">
        <v>14110</v>
      </c>
      <c r="E218" s="3" t="s">
        <v>27</v>
      </c>
      <c r="F218" s="3">
        <v>433272</v>
      </c>
      <c r="G218" s="3">
        <v>7602</v>
      </c>
      <c r="H218" s="3">
        <v>367614</v>
      </c>
      <c r="I218" s="3">
        <v>6508</v>
      </c>
    </row>
    <row r="219" spans="1:9">
      <c r="A219" s="3" t="s">
        <v>244</v>
      </c>
      <c r="B219" s="3" t="s">
        <v>26</v>
      </c>
      <c r="C219" s="3">
        <v>1476226</v>
      </c>
      <c r="D219" s="3">
        <v>351077</v>
      </c>
      <c r="E219" s="3" t="s">
        <v>27</v>
      </c>
      <c r="F219" s="3">
        <v>1120642</v>
      </c>
      <c r="G219" s="3">
        <v>264585</v>
      </c>
      <c r="H219" s="3">
        <v>355584</v>
      </c>
      <c r="I219" s="3">
        <v>86492</v>
      </c>
    </row>
    <row r="220" spans="1:9">
      <c r="A220" s="3" t="s">
        <v>245</v>
      </c>
      <c r="B220" s="3" t="s">
        <v>26</v>
      </c>
      <c r="C220" s="3">
        <v>1179433</v>
      </c>
      <c r="D220" s="3">
        <v>43658</v>
      </c>
      <c r="E220" s="3" t="s">
        <v>27</v>
      </c>
      <c r="F220" s="3">
        <v>609318</v>
      </c>
      <c r="G220" s="3">
        <v>19523</v>
      </c>
      <c r="H220" s="3">
        <v>570115</v>
      </c>
      <c r="I220" s="3">
        <v>24135</v>
      </c>
    </row>
    <row r="221" spans="1:9">
      <c r="A221" s="3" t="s">
        <v>246</v>
      </c>
      <c r="B221" s="3" t="s">
        <v>26</v>
      </c>
      <c r="C221" s="3">
        <v>988732</v>
      </c>
      <c r="D221" s="3">
        <v>57862</v>
      </c>
      <c r="E221" s="3" t="s">
        <v>27</v>
      </c>
      <c r="F221" s="3">
        <v>510105</v>
      </c>
      <c r="G221" s="3">
        <v>26639</v>
      </c>
      <c r="H221" s="3">
        <v>478627</v>
      </c>
      <c r="I221" s="3">
        <v>31223</v>
      </c>
    </row>
    <row r="222" spans="1:9">
      <c r="A222" s="3" t="s">
        <v>247</v>
      </c>
      <c r="B222" s="3" t="s">
        <v>26</v>
      </c>
      <c r="C222" s="3">
        <v>1801718</v>
      </c>
      <c r="D222" s="3">
        <v>414827</v>
      </c>
      <c r="E222" s="3" t="s">
        <v>27</v>
      </c>
      <c r="F222" s="3">
        <v>1179729</v>
      </c>
      <c r="G222" s="3">
        <v>266165</v>
      </c>
      <c r="H222" s="3">
        <v>621989</v>
      </c>
      <c r="I222" s="3">
        <v>148662</v>
      </c>
    </row>
    <row r="223" spans="1:9">
      <c r="A223" s="3" t="s">
        <v>248</v>
      </c>
      <c r="B223" s="3" t="s">
        <v>26</v>
      </c>
      <c r="C223" s="3">
        <v>1311521</v>
      </c>
      <c r="D223" s="3">
        <v>257642</v>
      </c>
      <c r="E223" s="3" t="s">
        <v>27</v>
      </c>
      <c r="F223" s="3">
        <v>1054475</v>
      </c>
      <c r="G223" s="3">
        <v>220894</v>
      </c>
      <c r="H223" s="3">
        <v>257046</v>
      </c>
      <c r="I223" s="3">
        <v>36748</v>
      </c>
    </row>
    <row r="224" spans="1:9">
      <c r="A224" s="3" t="s">
        <v>249</v>
      </c>
      <c r="B224" s="3" t="s">
        <v>26</v>
      </c>
      <c r="C224" s="3">
        <v>1744101</v>
      </c>
      <c r="D224" s="3">
        <v>407308</v>
      </c>
      <c r="E224" s="3" t="s">
        <v>27</v>
      </c>
      <c r="F224" s="3">
        <v>1270804</v>
      </c>
      <c r="G224" s="3">
        <v>297298</v>
      </c>
      <c r="H224" s="3">
        <v>473297</v>
      </c>
      <c r="I224" s="3">
        <v>110010</v>
      </c>
    </row>
    <row r="225" spans="1:9">
      <c r="A225" s="3" t="s">
        <v>250</v>
      </c>
      <c r="B225" s="3" t="s">
        <v>26</v>
      </c>
      <c r="C225" s="3">
        <v>1152015</v>
      </c>
      <c r="D225" s="3">
        <v>183706</v>
      </c>
      <c r="E225" s="3" t="s">
        <v>27</v>
      </c>
      <c r="F225" s="3">
        <v>716244</v>
      </c>
      <c r="G225" s="3">
        <v>104690</v>
      </c>
      <c r="H225" s="3">
        <v>435771</v>
      </c>
      <c r="I225" s="3">
        <v>79016</v>
      </c>
    </row>
    <row r="226" spans="1:9">
      <c r="A226" s="3" t="s">
        <v>251</v>
      </c>
      <c r="B226" s="3" t="s">
        <v>26</v>
      </c>
      <c r="C226" s="3">
        <v>1215832</v>
      </c>
      <c r="D226" s="3">
        <v>208234</v>
      </c>
      <c r="E226" s="3" t="s">
        <v>27</v>
      </c>
      <c r="F226" s="3">
        <v>837142</v>
      </c>
      <c r="G226" s="3">
        <v>137930</v>
      </c>
      <c r="H226" s="3">
        <v>378690</v>
      </c>
      <c r="I226" s="3">
        <v>70304</v>
      </c>
    </row>
    <row r="227" spans="1:9">
      <c r="A227" s="3" t="s">
        <v>252</v>
      </c>
      <c r="B227" s="3" t="s">
        <v>26</v>
      </c>
      <c r="C227" s="3">
        <v>1185132</v>
      </c>
      <c r="D227" s="3">
        <v>145179</v>
      </c>
      <c r="E227" s="3" t="s">
        <v>27</v>
      </c>
      <c r="F227" s="3">
        <v>696099</v>
      </c>
      <c r="G227" s="3">
        <v>87403</v>
      </c>
      <c r="H227" s="3">
        <v>489033</v>
      </c>
      <c r="I227" s="3">
        <v>57776</v>
      </c>
    </row>
    <row r="228" spans="1:9">
      <c r="A228" s="3" t="s">
        <v>253</v>
      </c>
      <c r="B228" s="3" t="s">
        <v>26</v>
      </c>
      <c r="C228" s="3">
        <v>1128883</v>
      </c>
      <c r="D228" s="3">
        <v>181748</v>
      </c>
      <c r="E228" s="3" t="s">
        <v>27</v>
      </c>
      <c r="F228" s="3">
        <v>696085</v>
      </c>
      <c r="G228" s="3">
        <v>102444</v>
      </c>
      <c r="H228" s="3">
        <v>432798</v>
      </c>
      <c r="I228" s="3">
        <v>79304</v>
      </c>
    </row>
    <row r="229" spans="1:9">
      <c r="A229" s="3" t="s">
        <v>254</v>
      </c>
      <c r="B229" s="3" t="s">
        <v>26</v>
      </c>
      <c r="C229" s="3">
        <v>934651</v>
      </c>
      <c r="D229" s="3">
        <v>75460</v>
      </c>
      <c r="E229" s="3" t="s">
        <v>27</v>
      </c>
      <c r="F229" s="3">
        <v>548285</v>
      </c>
      <c r="G229" s="3">
        <v>51446</v>
      </c>
      <c r="H229" s="3">
        <v>386366</v>
      </c>
      <c r="I229" s="3">
        <v>24014</v>
      </c>
    </row>
    <row r="230" spans="1:9">
      <c r="A230" s="3" t="s">
        <v>255</v>
      </c>
      <c r="B230" s="3" t="s">
        <v>26</v>
      </c>
      <c r="C230" s="3">
        <v>1265332</v>
      </c>
      <c r="D230" s="3">
        <v>269174</v>
      </c>
      <c r="E230" s="3" t="s">
        <v>27</v>
      </c>
      <c r="F230" s="3">
        <v>935638</v>
      </c>
      <c r="G230" s="3">
        <v>209544</v>
      </c>
      <c r="H230" s="3">
        <v>329694</v>
      </c>
      <c r="I230" s="3">
        <v>59630</v>
      </c>
    </row>
    <row r="231" spans="1:9">
      <c r="A231" s="3" t="s">
        <v>256</v>
      </c>
      <c r="B231" s="3" t="s">
        <v>26</v>
      </c>
      <c r="C231" s="3">
        <v>1072075</v>
      </c>
      <c r="D231" s="3">
        <v>189361</v>
      </c>
      <c r="E231" s="3" t="s">
        <v>27</v>
      </c>
      <c r="F231" s="3">
        <v>794297</v>
      </c>
      <c r="G231" s="3">
        <v>138839</v>
      </c>
      <c r="H231" s="3">
        <v>277778</v>
      </c>
      <c r="I231" s="3">
        <v>50522</v>
      </c>
    </row>
    <row r="232" spans="1:9">
      <c r="A232" s="3" t="s">
        <v>257</v>
      </c>
      <c r="B232" s="3" t="s">
        <v>26</v>
      </c>
      <c r="C232" s="3">
        <v>1633159</v>
      </c>
      <c r="D232" s="3">
        <v>438056</v>
      </c>
      <c r="E232" s="3" t="s">
        <v>27</v>
      </c>
      <c r="F232" s="3">
        <v>1300188</v>
      </c>
      <c r="G232" s="3">
        <v>338337</v>
      </c>
      <c r="H232" s="3">
        <v>332971</v>
      </c>
      <c r="I232" s="3">
        <v>99719</v>
      </c>
    </row>
    <row r="233" spans="1:9">
      <c r="A233" s="3" t="s">
        <v>258</v>
      </c>
      <c r="B233" s="3" t="s">
        <v>26</v>
      </c>
      <c r="C233" s="3">
        <v>1172636</v>
      </c>
      <c r="D233" s="3">
        <v>112531</v>
      </c>
      <c r="E233" s="3" t="s">
        <v>27</v>
      </c>
      <c r="F233" s="3">
        <v>702027</v>
      </c>
      <c r="G233" s="3">
        <v>79548</v>
      </c>
      <c r="H233" s="3">
        <v>470609</v>
      </c>
      <c r="I233" s="3">
        <v>32983</v>
      </c>
    </row>
    <row r="234" spans="1:9">
      <c r="A234" s="3" t="s">
        <v>259</v>
      </c>
      <c r="B234" s="3" t="s">
        <v>26</v>
      </c>
      <c r="C234" s="3">
        <v>1314980</v>
      </c>
      <c r="D234" s="3">
        <v>140134</v>
      </c>
      <c r="E234" s="3" t="s">
        <v>27</v>
      </c>
      <c r="F234" s="3">
        <v>811649</v>
      </c>
      <c r="G234" s="3">
        <v>93410</v>
      </c>
      <c r="H234" s="3">
        <v>503331</v>
      </c>
      <c r="I234" s="3">
        <v>46724</v>
      </c>
    </row>
    <row r="235" spans="1:9">
      <c r="A235" s="3" t="s">
        <v>260</v>
      </c>
      <c r="B235" s="3" t="s">
        <v>26</v>
      </c>
      <c r="C235" s="3">
        <v>305022</v>
      </c>
      <c r="D235" s="3">
        <v>4628</v>
      </c>
      <c r="E235" s="3" t="s">
        <v>27</v>
      </c>
      <c r="F235" s="3">
        <v>177680</v>
      </c>
      <c r="G235" s="3">
        <v>2889</v>
      </c>
      <c r="H235" s="3">
        <v>127342</v>
      </c>
      <c r="I235" s="3">
        <v>1739</v>
      </c>
    </row>
    <row r="236" spans="1:9">
      <c r="A236" s="3" t="s">
        <v>261</v>
      </c>
      <c r="B236" s="3" t="s">
        <v>26</v>
      </c>
      <c r="C236" s="3">
        <v>1590623</v>
      </c>
      <c r="D236" s="3">
        <v>310737</v>
      </c>
      <c r="E236" s="3" t="s">
        <v>27</v>
      </c>
      <c r="F236" s="3">
        <v>1085934</v>
      </c>
      <c r="G236" s="3">
        <v>221336</v>
      </c>
      <c r="H236" s="3">
        <v>504689</v>
      </c>
      <c r="I236" s="3">
        <v>89401</v>
      </c>
    </row>
    <row r="237" spans="1:9">
      <c r="A237" s="3" t="s">
        <v>262</v>
      </c>
      <c r="B237" s="3" t="s">
        <v>26</v>
      </c>
      <c r="C237" s="3">
        <v>1288643</v>
      </c>
      <c r="D237" s="3">
        <v>119302</v>
      </c>
      <c r="E237" s="3" t="s">
        <v>27</v>
      </c>
      <c r="F237" s="3">
        <v>750596</v>
      </c>
      <c r="G237" s="3">
        <v>74088</v>
      </c>
      <c r="H237" s="3">
        <v>538047</v>
      </c>
      <c r="I237" s="3">
        <v>45214</v>
      </c>
    </row>
    <row r="238" spans="1:9">
      <c r="A238" s="3" t="s">
        <v>263</v>
      </c>
      <c r="B238" s="3" t="s">
        <v>26</v>
      </c>
      <c r="C238" s="3">
        <v>1399761</v>
      </c>
      <c r="D238" s="3">
        <v>318188</v>
      </c>
      <c r="E238" s="3" t="s">
        <v>27</v>
      </c>
      <c r="F238" s="3">
        <v>1096834</v>
      </c>
      <c r="G238" s="3">
        <v>244336</v>
      </c>
      <c r="H238" s="3">
        <v>302927</v>
      </c>
      <c r="I238" s="3">
        <v>73852</v>
      </c>
    </row>
    <row r="239" spans="1:9">
      <c r="A239" s="3" t="s">
        <v>264</v>
      </c>
      <c r="B239" s="3" t="s">
        <v>26</v>
      </c>
      <c r="C239" s="3">
        <v>1366764</v>
      </c>
      <c r="D239" s="3">
        <v>312439</v>
      </c>
      <c r="E239" s="3" t="s">
        <v>27</v>
      </c>
      <c r="F239" s="3">
        <v>987743</v>
      </c>
      <c r="G239" s="3">
        <v>214419</v>
      </c>
      <c r="H239" s="3">
        <v>379021</v>
      </c>
      <c r="I239" s="3">
        <v>98020</v>
      </c>
    </row>
    <row r="240" spans="1:9">
      <c r="A240" s="3" t="s">
        <v>265</v>
      </c>
      <c r="B240" s="3" t="s">
        <v>26</v>
      </c>
      <c r="C240" s="3">
        <v>1129411</v>
      </c>
      <c r="D240" s="3">
        <v>202680</v>
      </c>
      <c r="E240" s="3" t="s">
        <v>27</v>
      </c>
      <c r="F240" s="3">
        <v>783847</v>
      </c>
      <c r="G240" s="3">
        <v>136154</v>
      </c>
      <c r="H240" s="3">
        <v>345564</v>
      </c>
      <c r="I240" s="3">
        <v>66526</v>
      </c>
    </row>
    <row r="241" spans="1:9">
      <c r="A241" s="3" t="s">
        <v>266</v>
      </c>
      <c r="B241" s="3" t="s">
        <v>26</v>
      </c>
      <c r="C241" s="3">
        <v>1247249</v>
      </c>
      <c r="D241" s="3">
        <v>156300</v>
      </c>
      <c r="E241" s="3" t="s">
        <v>27</v>
      </c>
      <c r="F241" s="3">
        <v>698868</v>
      </c>
      <c r="G241" s="3">
        <v>87447</v>
      </c>
      <c r="H241" s="3">
        <v>548381</v>
      </c>
      <c r="I241" s="3">
        <v>68853</v>
      </c>
    </row>
    <row r="242" spans="1:9">
      <c r="A242" s="3" t="s">
        <v>267</v>
      </c>
      <c r="B242" s="3" t="s">
        <v>26</v>
      </c>
      <c r="C242" s="3">
        <v>1560306</v>
      </c>
      <c r="D242" s="3">
        <v>403346</v>
      </c>
      <c r="E242" s="3" t="s">
        <v>27</v>
      </c>
      <c r="F242" s="3">
        <v>1109773</v>
      </c>
      <c r="G242" s="3">
        <v>297604</v>
      </c>
      <c r="H242" s="3">
        <v>450533</v>
      </c>
      <c r="I242" s="3">
        <v>105742</v>
      </c>
    </row>
    <row r="243" spans="1:9">
      <c r="A243" s="3" t="s">
        <v>268</v>
      </c>
      <c r="B243" s="3" t="s">
        <v>26</v>
      </c>
      <c r="C243" s="3">
        <v>862501</v>
      </c>
      <c r="D243" s="3">
        <v>53497</v>
      </c>
      <c r="E243" s="3" t="s">
        <v>27</v>
      </c>
      <c r="F243" s="3">
        <v>511172</v>
      </c>
      <c r="G243" s="3">
        <v>34016</v>
      </c>
      <c r="H243" s="3">
        <v>351329</v>
      </c>
      <c r="I243" s="3">
        <v>19481</v>
      </c>
    </row>
    <row r="244" spans="1:9">
      <c r="A244" s="3" t="s">
        <v>269</v>
      </c>
      <c r="B244" s="3" t="s">
        <v>26</v>
      </c>
      <c r="C244" s="3">
        <v>1263495</v>
      </c>
      <c r="D244" s="3">
        <v>251932</v>
      </c>
      <c r="E244" s="3" t="s">
        <v>27</v>
      </c>
      <c r="F244" s="3">
        <v>886609</v>
      </c>
      <c r="G244" s="3">
        <v>176429</v>
      </c>
      <c r="H244" s="3">
        <v>376886</v>
      </c>
      <c r="I244" s="3">
        <v>75503</v>
      </c>
    </row>
    <row r="245" spans="1:9">
      <c r="A245" s="3" t="s">
        <v>270</v>
      </c>
      <c r="B245" s="3" t="s">
        <v>26</v>
      </c>
      <c r="C245" s="3">
        <v>1396697</v>
      </c>
      <c r="D245" s="3">
        <v>316484</v>
      </c>
      <c r="E245" s="3" t="s">
        <v>27</v>
      </c>
      <c r="F245" s="3">
        <v>1147566</v>
      </c>
      <c r="G245" s="3">
        <v>256363</v>
      </c>
      <c r="H245" s="3">
        <v>249131</v>
      </c>
      <c r="I245" s="3">
        <v>60121</v>
      </c>
    </row>
    <row r="246" spans="1:9">
      <c r="A246" s="3" t="s">
        <v>271</v>
      </c>
      <c r="B246" s="3" t="s">
        <v>26</v>
      </c>
      <c r="C246" s="3">
        <v>663115</v>
      </c>
      <c r="D246" s="3">
        <v>5025</v>
      </c>
      <c r="E246" s="3" t="s">
        <v>27</v>
      </c>
      <c r="F246" s="3">
        <v>346678</v>
      </c>
      <c r="G246" s="3">
        <v>2707</v>
      </c>
      <c r="H246" s="3">
        <v>316437</v>
      </c>
      <c r="I246" s="3">
        <v>2318</v>
      </c>
    </row>
    <row r="247" spans="1:9">
      <c r="A247" s="3" t="s">
        <v>272</v>
      </c>
      <c r="B247" s="3" t="s">
        <v>26</v>
      </c>
      <c r="C247" s="3">
        <v>655547</v>
      </c>
      <c r="D247" s="3">
        <v>1454</v>
      </c>
      <c r="E247" s="3" t="s">
        <v>27</v>
      </c>
      <c r="F247" s="3">
        <v>278589</v>
      </c>
      <c r="G247" s="3">
        <v>275</v>
      </c>
      <c r="H247" s="3">
        <v>376958</v>
      </c>
      <c r="I247" s="3">
        <v>1179</v>
      </c>
    </row>
    <row r="248" spans="1:9">
      <c r="A248" s="3" t="s">
        <v>273</v>
      </c>
      <c r="B248" s="3" t="s">
        <v>26</v>
      </c>
      <c r="C248" s="3">
        <v>1755210</v>
      </c>
      <c r="D248" s="3">
        <v>442294</v>
      </c>
      <c r="E248" s="3" t="s">
        <v>27</v>
      </c>
      <c r="F248" s="3">
        <v>1221751</v>
      </c>
      <c r="G248" s="3">
        <v>293745</v>
      </c>
      <c r="H248" s="3">
        <v>533459</v>
      </c>
      <c r="I248" s="3">
        <v>148549</v>
      </c>
    </row>
    <row r="249" spans="1:9">
      <c r="A249" s="3" t="s">
        <v>274</v>
      </c>
      <c r="B249" s="3" t="s">
        <v>26</v>
      </c>
      <c r="C249" s="3">
        <v>1022771</v>
      </c>
      <c r="D249" s="3">
        <v>105311</v>
      </c>
      <c r="E249" s="3" t="s">
        <v>27</v>
      </c>
      <c r="F249" s="3">
        <v>595756</v>
      </c>
      <c r="G249" s="3">
        <v>63868</v>
      </c>
      <c r="H249" s="3">
        <v>427015</v>
      </c>
      <c r="I249" s="3">
        <v>41443</v>
      </c>
    </row>
    <row r="250" spans="1:9">
      <c r="A250" s="3" t="s">
        <v>275</v>
      </c>
      <c r="B250" s="3" t="s">
        <v>26</v>
      </c>
      <c r="C250" s="3">
        <v>1191000</v>
      </c>
      <c r="D250" s="3">
        <v>210851</v>
      </c>
      <c r="E250" s="3" t="s">
        <v>27</v>
      </c>
      <c r="F250" s="3">
        <v>804725</v>
      </c>
      <c r="G250" s="3">
        <v>151347</v>
      </c>
      <c r="H250" s="3">
        <v>386275</v>
      </c>
      <c r="I250" s="3">
        <v>59504</v>
      </c>
    </row>
    <row r="251" spans="1:9">
      <c r="A251" s="3" t="s">
        <v>276</v>
      </c>
      <c r="B251" s="3" t="s">
        <v>26</v>
      </c>
      <c r="C251" s="3">
        <v>1060018</v>
      </c>
      <c r="D251" s="3">
        <v>8853</v>
      </c>
      <c r="E251" s="3" t="s">
        <v>27</v>
      </c>
      <c r="F251" s="3">
        <v>543354</v>
      </c>
      <c r="G251" s="3">
        <v>4419</v>
      </c>
      <c r="H251" s="3">
        <v>516664</v>
      </c>
      <c r="I251" s="3">
        <v>4434</v>
      </c>
    </row>
    <row r="252" spans="1:9">
      <c r="A252" s="3" t="s">
        <v>277</v>
      </c>
      <c r="B252" s="3" t="s">
        <v>26</v>
      </c>
      <c r="C252" s="3">
        <v>1587147</v>
      </c>
      <c r="D252" s="3">
        <v>279400</v>
      </c>
      <c r="E252" s="3" t="s">
        <v>27</v>
      </c>
      <c r="F252" s="3">
        <v>928111</v>
      </c>
      <c r="G252" s="3">
        <v>164229</v>
      </c>
      <c r="H252" s="3">
        <v>659036</v>
      </c>
      <c r="I252" s="3">
        <v>115171</v>
      </c>
    </row>
    <row r="253" spans="1:9">
      <c r="A253" s="3" t="s">
        <v>278</v>
      </c>
      <c r="B253" s="3" t="s">
        <v>26</v>
      </c>
      <c r="C253" s="3">
        <v>836476</v>
      </c>
      <c r="D253" s="3">
        <v>39472</v>
      </c>
      <c r="E253" s="3" t="s">
        <v>27</v>
      </c>
      <c r="F253" s="3">
        <v>463914</v>
      </c>
      <c r="G253" s="3">
        <v>21437</v>
      </c>
      <c r="H253" s="3">
        <v>372562</v>
      </c>
      <c r="I253" s="3">
        <v>18035</v>
      </c>
    </row>
    <row r="254" spans="1:9">
      <c r="A254" s="3" t="s">
        <v>279</v>
      </c>
      <c r="B254" s="3" t="s">
        <v>26</v>
      </c>
      <c r="C254" s="3">
        <v>651919</v>
      </c>
      <c r="D254" s="3">
        <v>10634</v>
      </c>
      <c r="E254" s="3" t="s">
        <v>27</v>
      </c>
      <c r="F254" s="3">
        <v>368545</v>
      </c>
      <c r="G254" s="3">
        <v>6843</v>
      </c>
      <c r="H254" s="3">
        <v>283374</v>
      </c>
      <c r="I254" s="3">
        <v>3791</v>
      </c>
    </row>
    <row r="255" spans="1:9">
      <c r="A255" s="3" t="s">
        <v>280</v>
      </c>
      <c r="B255" s="3" t="s">
        <v>26</v>
      </c>
      <c r="C255" s="3">
        <v>1373807</v>
      </c>
      <c r="D255" s="3">
        <v>278648</v>
      </c>
      <c r="E255" s="3" t="s">
        <v>27</v>
      </c>
      <c r="F255" s="3">
        <v>910222</v>
      </c>
      <c r="G255" s="3">
        <v>177039</v>
      </c>
      <c r="H255" s="3">
        <v>463585</v>
      </c>
      <c r="I255" s="3">
        <v>101609</v>
      </c>
    </row>
    <row r="256" spans="1:9">
      <c r="A256" s="3" t="s">
        <v>281</v>
      </c>
      <c r="B256" s="3" t="s">
        <v>26</v>
      </c>
      <c r="C256" s="3">
        <v>1203031</v>
      </c>
      <c r="D256" s="3">
        <v>156394</v>
      </c>
      <c r="E256" s="3" t="s">
        <v>27</v>
      </c>
      <c r="F256" s="3">
        <v>750854</v>
      </c>
      <c r="G256" s="3">
        <v>98373</v>
      </c>
      <c r="H256" s="3">
        <v>452177</v>
      </c>
      <c r="I256" s="3">
        <v>58021</v>
      </c>
    </row>
    <row r="257" spans="1:9">
      <c r="A257" s="3" t="s">
        <v>282</v>
      </c>
      <c r="B257" s="3" t="s">
        <v>26</v>
      </c>
      <c r="C257" s="3">
        <v>1545994</v>
      </c>
      <c r="D257" s="3">
        <v>252827</v>
      </c>
      <c r="E257" s="3" t="s">
        <v>27</v>
      </c>
      <c r="F257" s="3">
        <v>1145823</v>
      </c>
      <c r="G257" s="3">
        <v>186824</v>
      </c>
      <c r="H257" s="3">
        <v>400171</v>
      </c>
      <c r="I257" s="3">
        <v>66003</v>
      </c>
    </row>
    <row r="258" spans="1:9">
      <c r="A258" s="3" t="s">
        <v>283</v>
      </c>
      <c r="B258" s="3" t="s">
        <v>26</v>
      </c>
      <c r="C258" s="3">
        <v>853972</v>
      </c>
      <c r="D258" s="3">
        <v>26046</v>
      </c>
      <c r="E258" s="3" t="s">
        <v>27</v>
      </c>
      <c r="F258" s="3">
        <v>486597</v>
      </c>
      <c r="G258" s="3">
        <v>15771</v>
      </c>
      <c r="H258" s="3">
        <v>367375</v>
      </c>
      <c r="I258" s="3">
        <v>10275</v>
      </c>
    </row>
    <row r="259" spans="1:9">
      <c r="A259" s="3" t="s">
        <v>284</v>
      </c>
      <c r="B259" s="3" t="s">
        <v>26</v>
      </c>
      <c r="C259" s="3">
        <v>754495</v>
      </c>
      <c r="D259" s="3">
        <v>61691</v>
      </c>
      <c r="E259" s="3" t="s">
        <v>27</v>
      </c>
      <c r="F259" s="3">
        <v>465650</v>
      </c>
      <c r="G259" s="3">
        <v>38815</v>
      </c>
      <c r="H259" s="3">
        <v>288845</v>
      </c>
      <c r="I259" s="3">
        <v>22876</v>
      </c>
    </row>
    <row r="260" spans="1:9">
      <c r="A260" s="3" t="s">
        <v>285</v>
      </c>
      <c r="B260" s="3" t="s">
        <v>26</v>
      </c>
      <c r="C260" s="3">
        <v>1196981</v>
      </c>
      <c r="D260" s="3">
        <v>214446</v>
      </c>
      <c r="E260" s="3" t="s">
        <v>27</v>
      </c>
      <c r="F260" s="3">
        <v>758266</v>
      </c>
      <c r="G260" s="3">
        <v>136247</v>
      </c>
      <c r="H260" s="3">
        <v>438715</v>
      </c>
      <c r="I260" s="3">
        <v>78199</v>
      </c>
    </row>
    <row r="261" spans="1:9">
      <c r="A261" s="3" t="s">
        <v>286</v>
      </c>
      <c r="B261" s="3" t="s">
        <v>26</v>
      </c>
      <c r="C261" s="3">
        <v>1897758</v>
      </c>
      <c r="D261" s="3">
        <v>499261</v>
      </c>
      <c r="E261" s="3" t="s">
        <v>27</v>
      </c>
      <c r="F261" s="3">
        <v>1452315</v>
      </c>
      <c r="G261" s="3">
        <v>378608</v>
      </c>
      <c r="H261" s="3">
        <v>445443</v>
      </c>
      <c r="I261" s="3">
        <v>120653</v>
      </c>
    </row>
    <row r="262" spans="1:9">
      <c r="A262" s="3" t="s">
        <v>287</v>
      </c>
      <c r="B262" s="3" t="s">
        <v>26</v>
      </c>
      <c r="C262" s="3">
        <v>642580</v>
      </c>
      <c r="D262" s="3">
        <v>81675</v>
      </c>
      <c r="E262" s="3" t="s">
        <v>27</v>
      </c>
      <c r="F262" s="3">
        <v>572797</v>
      </c>
      <c r="G262" s="3">
        <v>67386</v>
      </c>
      <c r="H262" s="3">
        <v>69783</v>
      </c>
      <c r="I262" s="3">
        <v>14289</v>
      </c>
    </row>
    <row r="263" spans="1:9">
      <c r="A263" s="3" t="s">
        <v>288</v>
      </c>
      <c r="B263" s="3" t="s">
        <v>26</v>
      </c>
      <c r="C263" s="3">
        <v>1544179</v>
      </c>
      <c r="D263" s="3">
        <v>382630</v>
      </c>
      <c r="E263" s="3" t="s">
        <v>27</v>
      </c>
      <c r="F263" s="3">
        <v>1388331</v>
      </c>
      <c r="G263" s="3">
        <v>336219</v>
      </c>
      <c r="H263" s="3">
        <v>155848</v>
      </c>
      <c r="I263" s="3">
        <v>46411</v>
      </c>
    </row>
    <row r="264" spans="1:9">
      <c r="A264" s="3" t="s">
        <v>289</v>
      </c>
      <c r="B264" s="3" t="s">
        <v>26</v>
      </c>
      <c r="C264" s="3">
        <v>1468240</v>
      </c>
      <c r="D264" s="3">
        <v>319199</v>
      </c>
      <c r="E264" s="3" t="s">
        <v>27</v>
      </c>
      <c r="F264" s="3">
        <v>1038360</v>
      </c>
      <c r="G264" s="3">
        <v>240079</v>
      </c>
      <c r="H264" s="3">
        <v>429880</v>
      </c>
      <c r="I264" s="3">
        <v>79120</v>
      </c>
    </row>
    <row r="265" spans="1:9">
      <c r="A265" s="3" t="s">
        <v>290</v>
      </c>
      <c r="B265" s="3" t="s">
        <v>26</v>
      </c>
      <c r="C265" s="3">
        <v>1118222</v>
      </c>
      <c r="D265" s="3">
        <v>122269</v>
      </c>
      <c r="E265" s="3" t="s">
        <v>27</v>
      </c>
      <c r="F265" s="3">
        <v>606587</v>
      </c>
      <c r="G265" s="3">
        <v>72292</v>
      </c>
      <c r="H265" s="3">
        <v>511635</v>
      </c>
      <c r="I265" s="3">
        <v>49977</v>
      </c>
    </row>
    <row r="266" spans="1:9">
      <c r="A266" s="3" t="s">
        <v>291</v>
      </c>
      <c r="B266" s="3" t="s">
        <v>26</v>
      </c>
      <c r="C266" s="3">
        <v>931505</v>
      </c>
      <c r="D266" s="3">
        <v>102339</v>
      </c>
      <c r="E266" s="3" t="s">
        <v>27</v>
      </c>
      <c r="F266" s="3">
        <v>582129</v>
      </c>
      <c r="G266" s="3">
        <v>72039</v>
      </c>
      <c r="H266" s="3">
        <v>349376</v>
      </c>
      <c r="I266" s="3">
        <v>30300</v>
      </c>
    </row>
    <row r="267" spans="1:9">
      <c r="A267" s="3" t="s">
        <v>292</v>
      </c>
      <c r="B267" s="3" t="s">
        <v>26</v>
      </c>
      <c r="C267" s="3">
        <v>1544489</v>
      </c>
      <c r="D267" s="3">
        <v>359584</v>
      </c>
      <c r="E267" s="3" t="s">
        <v>27</v>
      </c>
      <c r="F267" s="3">
        <v>1047477</v>
      </c>
      <c r="G267" s="3">
        <v>243453</v>
      </c>
      <c r="H267" s="3">
        <v>497012</v>
      </c>
      <c r="I267" s="3">
        <v>116131</v>
      </c>
    </row>
    <row r="268" spans="1:9">
      <c r="A268" s="3" t="s">
        <v>293</v>
      </c>
      <c r="B268" s="3" t="s">
        <v>26</v>
      </c>
      <c r="C268" s="3">
        <v>1332854</v>
      </c>
      <c r="D268" s="3">
        <v>270351</v>
      </c>
      <c r="E268" s="3" t="s">
        <v>27</v>
      </c>
      <c r="F268" s="3">
        <v>916066</v>
      </c>
      <c r="G268" s="3">
        <v>176963</v>
      </c>
      <c r="H268" s="3">
        <v>416788</v>
      </c>
      <c r="I268" s="3">
        <v>93388</v>
      </c>
    </row>
    <row r="269" spans="1:9">
      <c r="A269" s="3" t="s">
        <v>294</v>
      </c>
      <c r="B269" s="3" t="s">
        <v>26</v>
      </c>
      <c r="C269" s="3">
        <v>1225773</v>
      </c>
      <c r="D269" s="3">
        <v>262185</v>
      </c>
      <c r="E269" s="3" t="s">
        <v>27</v>
      </c>
      <c r="F269" s="3">
        <v>982118</v>
      </c>
      <c r="G269" s="3">
        <v>217006</v>
      </c>
      <c r="H269" s="3">
        <v>243655</v>
      </c>
      <c r="I269" s="3">
        <v>45179</v>
      </c>
    </row>
    <row r="270" spans="1:9">
      <c r="A270" s="3" t="s">
        <v>295</v>
      </c>
      <c r="B270" s="3" t="s">
        <v>26</v>
      </c>
      <c r="C270" s="3">
        <v>1464216</v>
      </c>
      <c r="D270" s="3">
        <v>287789</v>
      </c>
      <c r="E270" s="3" t="s">
        <v>27</v>
      </c>
      <c r="F270" s="3">
        <v>1068782</v>
      </c>
      <c r="G270" s="3">
        <v>194775</v>
      </c>
      <c r="H270" s="3">
        <v>395434</v>
      </c>
      <c r="I270" s="3">
        <v>93014</v>
      </c>
    </row>
    <row r="271" spans="1:9">
      <c r="A271" s="3" t="s">
        <v>296</v>
      </c>
      <c r="B271" s="3" t="s">
        <v>26</v>
      </c>
      <c r="C271" s="3">
        <v>1409896</v>
      </c>
      <c r="D271" s="3">
        <v>243689</v>
      </c>
      <c r="E271" s="3" t="s">
        <v>27</v>
      </c>
      <c r="F271" s="3">
        <v>900451</v>
      </c>
      <c r="G271" s="3">
        <v>169002</v>
      </c>
      <c r="H271" s="3">
        <v>509445</v>
      </c>
      <c r="I271" s="3">
        <v>74687</v>
      </c>
    </row>
    <row r="272" spans="1:9">
      <c r="A272" s="3" t="s">
        <v>297</v>
      </c>
      <c r="B272" s="3" t="s">
        <v>26</v>
      </c>
      <c r="C272" s="3">
        <v>1373247</v>
      </c>
      <c r="D272" s="3">
        <v>222769</v>
      </c>
      <c r="E272" s="3" t="s">
        <v>27</v>
      </c>
      <c r="F272" s="3">
        <v>854436</v>
      </c>
      <c r="G272" s="3">
        <v>142711</v>
      </c>
      <c r="H272" s="3">
        <v>518811</v>
      </c>
      <c r="I272" s="3">
        <v>80058</v>
      </c>
    </row>
    <row r="273" spans="1:9">
      <c r="A273" s="3" t="s">
        <v>298</v>
      </c>
      <c r="B273" s="3" t="s">
        <v>26</v>
      </c>
      <c r="C273" s="3">
        <v>1620370</v>
      </c>
      <c r="D273" s="3">
        <v>345920</v>
      </c>
      <c r="E273" s="3" t="s">
        <v>27</v>
      </c>
      <c r="F273" s="3">
        <v>1153012</v>
      </c>
      <c r="G273" s="3">
        <v>253502</v>
      </c>
      <c r="H273" s="3">
        <v>467358</v>
      </c>
      <c r="I273" s="3">
        <v>92418</v>
      </c>
    </row>
    <row r="274" spans="1:9">
      <c r="A274" s="3" t="s">
        <v>299</v>
      </c>
      <c r="B274" s="3" t="s">
        <v>26</v>
      </c>
      <c r="C274" s="3">
        <v>1040818</v>
      </c>
      <c r="D274" s="3">
        <v>64250</v>
      </c>
      <c r="E274" s="3" t="s">
        <v>27</v>
      </c>
      <c r="F274" s="3">
        <v>639512</v>
      </c>
      <c r="G274" s="3">
        <v>42361</v>
      </c>
      <c r="H274" s="3">
        <v>401306</v>
      </c>
      <c r="I274" s="3">
        <v>21889</v>
      </c>
    </row>
    <row r="275" spans="1:9">
      <c r="A275" s="3" t="s">
        <v>300</v>
      </c>
      <c r="B275" s="3" t="s">
        <v>26</v>
      </c>
      <c r="C275" s="3">
        <v>1725837</v>
      </c>
      <c r="D275" s="3">
        <v>434251</v>
      </c>
      <c r="E275" s="3" t="s">
        <v>27</v>
      </c>
      <c r="F275" s="3">
        <v>1367380</v>
      </c>
      <c r="G275" s="3">
        <v>328338</v>
      </c>
      <c r="H275" s="3">
        <v>358457</v>
      </c>
      <c r="I275" s="3">
        <v>105913</v>
      </c>
    </row>
    <row r="276" spans="1:9">
      <c r="A276" s="3" t="s">
        <v>301</v>
      </c>
      <c r="B276" s="3" t="s">
        <v>26</v>
      </c>
      <c r="C276" s="3">
        <v>1559647</v>
      </c>
      <c r="D276" s="3">
        <v>320368</v>
      </c>
      <c r="E276" s="3" t="s">
        <v>27</v>
      </c>
      <c r="F276" s="3">
        <v>1051975</v>
      </c>
      <c r="G276" s="3">
        <v>215689</v>
      </c>
      <c r="H276" s="3">
        <v>507672</v>
      </c>
      <c r="I276" s="3">
        <v>104679</v>
      </c>
    </row>
    <row r="277" spans="1:9">
      <c r="A277" s="3" t="s">
        <v>302</v>
      </c>
      <c r="B277" s="3" t="s">
        <v>26</v>
      </c>
      <c r="C277" s="3">
        <v>703461</v>
      </c>
      <c r="D277" s="3">
        <v>49850</v>
      </c>
      <c r="E277" s="3" t="s">
        <v>27</v>
      </c>
      <c r="F277" s="3">
        <v>392530</v>
      </c>
      <c r="G277" s="3">
        <v>26300</v>
      </c>
      <c r="H277" s="3">
        <v>310931</v>
      </c>
      <c r="I277" s="3">
        <v>23550</v>
      </c>
    </row>
    <row r="278" spans="1:9">
      <c r="A278" s="3" t="s">
        <v>303</v>
      </c>
      <c r="B278" s="3" t="s">
        <v>26</v>
      </c>
      <c r="C278" s="3">
        <v>589319</v>
      </c>
      <c r="D278" s="3">
        <v>4560</v>
      </c>
      <c r="E278" s="3" t="s">
        <v>27</v>
      </c>
      <c r="F278" s="3">
        <v>313581</v>
      </c>
      <c r="G278" s="3">
        <v>3447</v>
      </c>
      <c r="H278" s="3">
        <v>275738</v>
      </c>
      <c r="I278" s="3">
        <v>1113</v>
      </c>
    </row>
    <row r="279" spans="1:9">
      <c r="A279" s="3" t="s">
        <v>304</v>
      </c>
      <c r="B279" s="3" t="s">
        <v>26</v>
      </c>
      <c r="C279" s="3">
        <v>962680</v>
      </c>
      <c r="D279" s="3">
        <v>176170</v>
      </c>
      <c r="E279" s="3" t="s">
        <v>27</v>
      </c>
      <c r="F279" s="3">
        <v>713448</v>
      </c>
      <c r="G279" s="3">
        <v>105769</v>
      </c>
      <c r="H279" s="3">
        <v>249232</v>
      </c>
      <c r="I279" s="3">
        <v>70401</v>
      </c>
    </row>
    <row r="280" spans="1:9">
      <c r="A280" s="3" t="s">
        <v>305</v>
      </c>
      <c r="B280" s="3" t="s">
        <v>26</v>
      </c>
      <c r="C280" s="3">
        <v>741983</v>
      </c>
      <c r="D280" s="3">
        <v>57316</v>
      </c>
      <c r="E280" s="3" t="s">
        <v>27</v>
      </c>
      <c r="F280" s="3">
        <v>447885</v>
      </c>
      <c r="G280" s="3">
        <v>37841</v>
      </c>
      <c r="H280" s="3">
        <v>294098</v>
      </c>
      <c r="I280" s="3">
        <v>19475</v>
      </c>
    </row>
    <row r="281" spans="1:9">
      <c r="A281" s="3" t="s">
        <v>306</v>
      </c>
      <c r="B281" s="3" t="s">
        <v>26</v>
      </c>
      <c r="C281" s="3">
        <v>921281</v>
      </c>
      <c r="D281" s="3">
        <v>18550</v>
      </c>
      <c r="E281" s="3" t="s">
        <v>27</v>
      </c>
      <c r="F281" s="3">
        <v>541622</v>
      </c>
      <c r="G281" s="3">
        <v>9141</v>
      </c>
      <c r="H281" s="3">
        <v>379659</v>
      </c>
      <c r="I281" s="3">
        <v>9409</v>
      </c>
    </row>
    <row r="282" spans="1:9">
      <c r="A282" s="3" t="s">
        <v>307</v>
      </c>
      <c r="B282" s="3" t="s">
        <v>26</v>
      </c>
      <c r="C282" s="3">
        <v>2411870</v>
      </c>
      <c r="D282" s="3">
        <v>718038</v>
      </c>
      <c r="E282" s="3" t="s">
        <v>27</v>
      </c>
      <c r="F282" s="3">
        <v>1664453</v>
      </c>
      <c r="G282" s="3">
        <v>484097</v>
      </c>
      <c r="H282" s="3">
        <v>747417</v>
      </c>
      <c r="I282" s="3">
        <v>233941</v>
      </c>
    </row>
    <row r="283" spans="1:9">
      <c r="A283" s="3" t="s">
        <v>308</v>
      </c>
      <c r="B283" s="3" t="s">
        <v>26</v>
      </c>
      <c r="C283" s="3">
        <v>1640725</v>
      </c>
      <c r="D283" s="3">
        <v>463770</v>
      </c>
      <c r="E283" s="3" t="s">
        <v>27</v>
      </c>
      <c r="F283" s="3">
        <v>1263133</v>
      </c>
      <c r="G283" s="3">
        <v>336864</v>
      </c>
      <c r="H283" s="3">
        <v>377592</v>
      </c>
      <c r="I283" s="3">
        <v>126906</v>
      </c>
    </row>
    <row r="284" spans="1:9">
      <c r="A284" s="3" t="s">
        <v>309</v>
      </c>
      <c r="B284" s="3" t="s">
        <v>26</v>
      </c>
      <c r="C284" s="3">
        <v>1593648</v>
      </c>
      <c r="D284" s="3">
        <v>268702</v>
      </c>
      <c r="E284" s="3" t="s">
        <v>27</v>
      </c>
      <c r="F284" s="3">
        <v>953606</v>
      </c>
      <c r="G284" s="3">
        <v>161750</v>
      </c>
      <c r="H284" s="3">
        <v>640042</v>
      </c>
      <c r="I284" s="3">
        <v>106952</v>
      </c>
    </row>
    <row r="285" spans="1:9">
      <c r="A285" s="3" t="s">
        <v>310</v>
      </c>
      <c r="B285" s="3" t="s">
        <v>26</v>
      </c>
      <c r="C285" s="3">
        <v>708449</v>
      </c>
      <c r="D285" s="3">
        <v>16051</v>
      </c>
      <c r="E285" s="3" t="s">
        <v>27</v>
      </c>
      <c r="F285" s="3">
        <v>376760</v>
      </c>
      <c r="G285" s="3">
        <v>8014</v>
      </c>
      <c r="H285" s="3">
        <v>331689</v>
      </c>
      <c r="I285" s="3">
        <v>8037</v>
      </c>
    </row>
    <row r="286" spans="1:9">
      <c r="A286" s="3" t="s">
        <v>311</v>
      </c>
      <c r="B286" s="3" t="s">
        <v>26</v>
      </c>
      <c r="C286" s="3">
        <v>1599437</v>
      </c>
      <c r="D286" s="3">
        <v>454947</v>
      </c>
      <c r="E286" s="3" t="s">
        <v>27</v>
      </c>
      <c r="F286" s="3">
        <v>1214497</v>
      </c>
      <c r="G286" s="3">
        <v>325266</v>
      </c>
      <c r="H286" s="3">
        <v>384940</v>
      </c>
      <c r="I286" s="3">
        <v>129681</v>
      </c>
    </row>
    <row r="287" spans="1:9">
      <c r="A287" s="3" t="s">
        <v>312</v>
      </c>
      <c r="B287" s="3" t="s">
        <v>26</v>
      </c>
      <c r="C287" s="3">
        <v>1879548</v>
      </c>
      <c r="D287" s="3">
        <v>489013</v>
      </c>
      <c r="E287" s="3" t="s">
        <v>27</v>
      </c>
      <c r="F287" s="3">
        <v>1487773</v>
      </c>
      <c r="G287" s="3">
        <v>368506</v>
      </c>
      <c r="H287" s="3">
        <v>391775</v>
      </c>
      <c r="I287" s="3">
        <v>120507</v>
      </c>
    </row>
    <row r="288" spans="1:9">
      <c r="A288" s="3" t="s">
        <v>313</v>
      </c>
      <c r="B288" s="3" t="s">
        <v>26</v>
      </c>
      <c r="C288" s="3">
        <v>797265</v>
      </c>
      <c r="D288" s="3">
        <v>21653</v>
      </c>
      <c r="E288" s="3" t="s">
        <v>27</v>
      </c>
      <c r="F288" s="3">
        <v>429726</v>
      </c>
      <c r="G288" s="3">
        <v>9233</v>
      </c>
      <c r="H288" s="3">
        <v>367539</v>
      </c>
      <c r="I288" s="3">
        <v>12420</v>
      </c>
    </row>
    <row r="289" spans="1:9">
      <c r="A289" s="3" t="s">
        <v>314</v>
      </c>
      <c r="B289" s="3" t="s">
        <v>26</v>
      </c>
      <c r="C289" s="3">
        <v>810494</v>
      </c>
      <c r="D289" s="3">
        <v>8321</v>
      </c>
      <c r="E289" s="3" t="s">
        <v>27</v>
      </c>
      <c r="F289" s="3">
        <v>433698</v>
      </c>
      <c r="G289" s="3">
        <v>4727</v>
      </c>
      <c r="H289" s="3">
        <v>376796</v>
      </c>
      <c r="I289" s="3">
        <v>3594</v>
      </c>
    </row>
    <row r="290" spans="1:9">
      <c r="A290" s="3" t="s">
        <v>315</v>
      </c>
      <c r="B290" s="3" t="s">
        <v>26</v>
      </c>
      <c r="C290" s="3">
        <v>1545484</v>
      </c>
      <c r="D290" s="3">
        <v>360101</v>
      </c>
      <c r="E290" s="3" t="s">
        <v>27</v>
      </c>
      <c r="F290" s="3">
        <v>1084219</v>
      </c>
      <c r="G290" s="3">
        <v>235423</v>
      </c>
      <c r="H290" s="3">
        <v>461265</v>
      </c>
      <c r="I290" s="3">
        <v>124678</v>
      </c>
    </row>
    <row r="291" spans="1:9">
      <c r="A291" s="3" t="s">
        <v>316</v>
      </c>
      <c r="B291" s="3" t="s">
        <v>26</v>
      </c>
      <c r="C291" s="3">
        <v>1082096</v>
      </c>
      <c r="D291" s="3">
        <v>100639</v>
      </c>
      <c r="E291" s="3" t="s">
        <v>27</v>
      </c>
      <c r="F291" s="3">
        <v>696410</v>
      </c>
      <c r="G291" s="3">
        <v>69047</v>
      </c>
      <c r="H291" s="3">
        <v>385686</v>
      </c>
      <c r="I291" s="3">
        <v>31592</v>
      </c>
    </row>
    <row r="292" spans="1:9">
      <c r="A292" s="3" t="s">
        <v>317</v>
      </c>
      <c r="B292" s="3" t="s">
        <v>26</v>
      </c>
      <c r="C292" s="3">
        <v>1107139</v>
      </c>
      <c r="D292" s="3">
        <v>230519</v>
      </c>
      <c r="E292" s="3" t="s">
        <v>27</v>
      </c>
      <c r="F292" s="3">
        <v>929496</v>
      </c>
      <c r="G292" s="3">
        <v>179403</v>
      </c>
      <c r="H292" s="3">
        <v>177643</v>
      </c>
      <c r="I292" s="3">
        <v>51116</v>
      </c>
    </row>
    <row r="293" spans="1:9">
      <c r="A293" s="3" t="s">
        <v>318</v>
      </c>
      <c r="B293" s="3" t="s">
        <v>26</v>
      </c>
      <c r="C293" s="3">
        <v>915082</v>
      </c>
      <c r="D293" s="3">
        <v>109468</v>
      </c>
      <c r="E293" s="3" t="s">
        <v>27</v>
      </c>
      <c r="F293" s="3">
        <v>611194</v>
      </c>
      <c r="G293" s="3">
        <v>74430</v>
      </c>
      <c r="H293" s="3">
        <v>303888</v>
      </c>
      <c r="I293" s="3">
        <v>35038</v>
      </c>
    </row>
    <row r="294" spans="1:9">
      <c r="A294" s="3" t="s">
        <v>319</v>
      </c>
      <c r="B294" s="3" t="s">
        <v>26</v>
      </c>
      <c r="C294" s="3">
        <v>1173915</v>
      </c>
      <c r="D294" s="3">
        <v>284392</v>
      </c>
      <c r="E294" s="3" t="s">
        <v>27</v>
      </c>
      <c r="F294" s="3">
        <v>974304</v>
      </c>
      <c r="G294" s="3">
        <v>226939</v>
      </c>
      <c r="H294" s="3">
        <v>199611</v>
      </c>
      <c r="I294" s="3">
        <v>57453</v>
      </c>
    </row>
    <row r="295" spans="1:9">
      <c r="A295" s="3" t="s">
        <v>320</v>
      </c>
      <c r="B295" s="3" t="s">
        <v>26</v>
      </c>
      <c r="C295" s="3">
        <v>964144</v>
      </c>
      <c r="D295" s="3">
        <v>5421</v>
      </c>
      <c r="E295" s="3" t="s">
        <v>27</v>
      </c>
      <c r="F295" s="3">
        <v>360722</v>
      </c>
      <c r="G295" s="3">
        <v>1642</v>
      </c>
      <c r="H295" s="3">
        <v>603422</v>
      </c>
      <c r="I295" s="3">
        <v>3779</v>
      </c>
    </row>
    <row r="296" spans="1:9">
      <c r="A296" s="3" t="s">
        <v>321</v>
      </c>
      <c r="B296" s="3" t="s">
        <v>26</v>
      </c>
      <c r="C296" s="3">
        <v>1490695</v>
      </c>
      <c r="D296" s="3">
        <v>103585</v>
      </c>
      <c r="E296" s="3" t="s">
        <v>27</v>
      </c>
      <c r="F296" s="3">
        <v>790283</v>
      </c>
      <c r="G296" s="3">
        <v>62806</v>
      </c>
      <c r="H296" s="3">
        <v>700412</v>
      </c>
      <c r="I296" s="3">
        <v>40779</v>
      </c>
    </row>
    <row r="297" spans="1:9">
      <c r="A297" s="3" t="s">
        <v>322</v>
      </c>
      <c r="B297" s="3" t="s">
        <v>26</v>
      </c>
      <c r="C297" s="3">
        <v>2084453</v>
      </c>
      <c r="D297" s="3">
        <v>657700</v>
      </c>
      <c r="E297" s="3" t="s">
        <v>27</v>
      </c>
      <c r="F297" s="3">
        <v>1590193</v>
      </c>
      <c r="G297" s="3">
        <v>478009</v>
      </c>
      <c r="H297" s="3">
        <v>494260</v>
      </c>
      <c r="I297" s="3">
        <v>179691</v>
      </c>
    </row>
    <row r="298" spans="1:9">
      <c r="A298" s="3" t="s">
        <v>323</v>
      </c>
      <c r="B298" s="3" t="s">
        <v>26</v>
      </c>
      <c r="C298" s="3">
        <v>2142399</v>
      </c>
      <c r="D298" s="3">
        <v>675804</v>
      </c>
      <c r="E298" s="3" t="s">
        <v>27</v>
      </c>
      <c r="F298" s="3">
        <v>1575056</v>
      </c>
      <c r="G298" s="3">
        <v>481845</v>
      </c>
      <c r="H298" s="3">
        <v>567343</v>
      </c>
      <c r="I298" s="3">
        <v>193959</v>
      </c>
    </row>
    <row r="299" spans="1:9">
      <c r="A299" s="3" t="s">
        <v>324</v>
      </c>
      <c r="B299" s="3" t="s">
        <v>26</v>
      </c>
      <c r="C299" s="3">
        <v>2089541</v>
      </c>
      <c r="D299" s="3">
        <v>562059</v>
      </c>
      <c r="E299" s="3" t="s">
        <v>27</v>
      </c>
      <c r="F299" s="3">
        <v>1509371</v>
      </c>
      <c r="G299" s="3">
        <v>393412</v>
      </c>
      <c r="H299" s="3">
        <v>580170</v>
      </c>
      <c r="I299" s="3">
        <v>168647</v>
      </c>
    </row>
    <row r="300" spans="1:9">
      <c r="A300" s="3" t="s">
        <v>325</v>
      </c>
      <c r="B300" s="3" t="s">
        <v>26</v>
      </c>
      <c r="C300" s="3">
        <v>679424</v>
      </c>
      <c r="D300" s="3">
        <v>3777</v>
      </c>
      <c r="E300" s="3" t="s">
        <v>27</v>
      </c>
      <c r="F300" s="3">
        <v>342335</v>
      </c>
      <c r="G300" s="3">
        <v>651</v>
      </c>
      <c r="H300" s="3">
        <v>337089</v>
      </c>
      <c r="I300" s="3">
        <v>3126</v>
      </c>
    </row>
    <row r="301" spans="1:9">
      <c r="A301" s="3" t="s">
        <v>326</v>
      </c>
      <c r="B301" s="3" t="s">
        <v>26</v>
      </c>
      <c r="C301" s="3">
        <v>2517074</v>
      </c>
      <c r="D301" s="3">
        <v>819921</v>
      </c>
      <c r="E301" s="3" t="s">
        <v>27</v>
      </c>
      <c r="F301" s="3">
        <v>1890631</v>
      </c>
      <c r="G301" s="3">
        <v>591001</v>
      </c>
      <c r="H301" s="3">
        <v>626443</v>
      </c>
      <c r="I301" s="3">
        <v>228920</v>
      </c>
    </row>
    <row r="302" spans="1:9">
      <c r="A302" s="3" t="s">
        <v>327</v>
      </c>
      <c r="B302" s="3" t="s">
        <v>26</v>
      </c>
      <c r="C302" s="3">
        <v>1973564</v>
      </c>
      <c r="D302" s="3">
        <v>461572</v>
      </c>
      <c r="E302" s="3" t="s">
        <v>27</v>
      </c>
      <c r="F302" s="3">
        <v>1307110</v>
      </c>
      <c r="G302" s="3">
        <v>298982</v>
      </c>
      <c r="H302" s="3">
        <v>666454</v>
      </c>
      <c r="I302" s="3">
        <v>162590</v>
      </c>
    </row>
    <row r="303" spans="1:9">
      <c r="A303" s="3" t="s">
        <v>328</v>
      </c>
      <c r="B303" s="3" t="s">
        <v>26</v>
      </c>
      <c r="C303" s="3">
        <v>650326</v>
      </c>
      <c r="D303" s="3">
        <v>124672</v>
      </c>
      <c r="E303" s="3" t="s">
        <v>27</v>
      </c>
      <c r="F303" s="3">
        <v>512594</v>
      </c>
      <c r="G303" s="3">
        <v>95813</v>
      </c>
      <c r="H303" s="3">
        <v>137732</v>
      </c>
      <c r="I303" s="3">
        <v>28859</v>
      </c>
    </row>
    <row r="304" spans="1:9">
      <c r="A304" s="3" t="s">
        <v>329</v>
      </c>
      <c r="B304" s="3" t="s">
        <v>26</v>
      </c>
      <c r="C304" s="3">
        <v>1137767</v>
      </c>
      <c r="D304" s="3">
        <v>21557</v>
      </c>
      <c r="E304" s="3" t="s">
        <v>27</v>
      </c>
      <c r="F304" s="3">
        <v>582134</v>
      </c>
      <c r="G304" s="3">
        <v>14302</v>
      </c>
      <c r="H304" s="3">
        <v>555633</v>
      </c>
      <c r="I304" s="3">
        <v>7255</v>
      </c>
    </row>
    <row r="305" spans="1:9">
      <c r="A305" s="3" t="s">
        <v>330</v>
      </c>
      <c r="B305" s="3" t="s">
        <v>26</v>
      </c>
      <c r="C305" s="3">
        <v>2334</v>
      </c>
      <c r="D305" s="3">
        <v>792</v>
      </c>
      <c r="E305" s="3" t="s">
        <v>27</v>
      </c>
      <c r="F305" s="3">
        <v>2054</v>
      </c>
      <c r="G305" s="3">
        <v>624</v>
      </c>
      <c r="H305" s="3">
        <v>280</v>
      </c>
      <c r="I305" s="3">
        <v>168</v>
      </c>
    </row>
    <row r="306" spans="1:9">
      <c r="A306" s="3" t="s">
        <v>331</v>
      </c>
      <c r="B306" s="3" t="s">
        <v>26</v>
      </c>
      <c r="C306" s="3">
        <v>1287509</v>
      </c>
      <c r="D306" s="3">
        <v>135901</v>
      </c>
      <c r="E306" s="3" t="s">
        <v>27</v>
      </c>
      <c r="F306" s="3">
        <v>746178</v>
      </c>
      <c r="G306" s="3">
        <v>82342</v>
      </c>
      <c r="H306" s="3">
        <v>541331</v>
      </c>
      <c r="I306" s="3">
        <v>53559</v>
      </c>
    </row>
    <row r="307" spans="1:9">
      <c r="A307" s="3" t="s">
        <v>332</v>
      </c>
      <c r="B307" s="3" t="s">
        <v>26</v>
      </c>
      <c r="C307" s="3">
        <v>1732542</v>
      </c>
      <c r="D307" s="3">
        <v>278544</v>
      </c>
      <c r="E307" s="3" t="s">
        <v>27</v>
      </c>
      <c r="F307" s="3">
        <v>1056961</v>
      </c>
      <c r="G307" s="3">
        <v>173945</v>
      </c>
      <c r="H307" s="3">
        <v>675581</v>
      </c>
      <c r="I307" s="3">
        <v>104599</v>
      </c>
    </row>
    <row r="308" spans="1:9">
      <c r="A308" s="3" t="s">
        <v>333</v>
      </c>
      <c r="B308" s="3" t="s">
        <v>26</v>
      </c>
      <c r="C308" s="3">
        <v>1868878</v>
      </c>
      <c r="D308" s="3">
        <v>469914</v>
      </c>
      <c r="E308" s="3" t="s">
        <v>27</v>
      </c>
      <c r="F308" s="3">
        <v>1312102</v>
      </c>
      <c r="G308" s="3">
        <v>305987</v>
      </c>
      <c r="H308" s="3">
        <v>556776</v>
      </c>
      <c r="I308" s="3">
        <v>163927</v>
      </c>
    </row>
    <row r="309" spans="1:9">
      <c r="A309" s="3" t="s">
        <v>334</v>
      </c>
      <c r="B309" s="3" t="s">
        <v>26</v>
      </c>
      <c r="C309" s="3">
        <v>1756931</v>
      </c>
      <c r="D309" s="3">
        <v>443349</v>
      </c>
      <c r="E309" s="3" t="s">
        <v>27</v>
      </c>
      <c r="F309" s="3">
        <v>1303644</v>
      </c>
      <c r="G309" s="3">
        <v>307826</v>
      </c>
      <c r="H309" s="3">
        <v>453287</v>
      </c>
      <c r="I309" s="3">
        <v>135523</v>
      </c>
    </row>
    <row r="310" spans="1:9">
      <c r="A310" s="3" t="s">
        <v>335</v>
      </c>
      <c r="B310" s="3" t="s">
        <v>26</v>
      </c>
      <c r="C310" s="3">
        <v>1809675</v>
      </c>
      <c r="D310" s="3">
        <v>607742</v>
      </c>
      <c r="E310" s="3" t="s">
        <v>27</v>
      </c>
      <c r="F310" s="3">
        <v>1498306</v>
      </c>
      <c r="G310" s="3">
        <v>488457</v>
      </c>
      <c r="H310" s="3">
        <v>311369</v>
      </c>
      <c r="I310" s="3">
        <v>119285</v>
      </c>
    </row>
    <row r="311" spans="1:9">
      <c r="A311" s="3" t="s">
        <v>336</v>
      </c>
      <c r="B311" s="3" t="s">
        <v>26</v>
      </c>
      <c r="C311" s="3">
        <v>943136</v>
      </c>
      <c r="D311" s="3">
        <v>4991</v>
      </c>
      <c r="E311" s="3" t="s">
        <v>27</v>
      </c>
      <c r="F311" s="3">
        <v>506222</v>
      </c>
      <c r="G311" s="3">
        <v>2283</v>
      </c>
      <c r="H311" s="3">
        <v>436914</v>
      </c>
      <c r="I311" s="3">
        <v>2708</v>
      </c>
    </row>
    <row r="312" spans="1:9">
      <c r="A312" s="3" t="s">
        <v>337</v>
      </c>
      <c r="B312" s="3" t="s">
        <v>26</v>
      </c>
      <c r="C312" s="3">
        <v>1113607</v>
      </c>
      <c r="D312" s="3">
        <v>315158</v>
      </c>
      <c r="E312" s="3" t="s">
        <v>27</v>
      </c>
      <c r="F312" s="3">
        <v>781566</v>
      </c>
      <c r="G312" s="3">
        <v>206544</v>
      </c>
      <c r="H312" s="3">
        <v>332041</v>
      </c>
      <c r="I312" s="3">
        <v>108614</v>
      </c>
    </row>
    <row r="313" spans="1:9">
      <c r="A313" s="3" t="s">
        <v>338</v>
      </c>
      <c r="B313" s="3" t="s">
        <v>26</v>
      </c>
      <c r="C313" s="3">
        <v>1709079</v>
      </c>
      <c r="D313" s="3">
        <v>55521</v>
      </c>
      <c r="E313" s="3" t="s">
        <v>27</v>
      </c>
      <c r="F313" s="3">
        <v>893127</v>
      </c>
      <c r="G313" s="3">
        <v>27767</v>
      </c>
      <c r="H313" s="3">
        <v>815952</v>
      </c>
      <c r="I313" s="3">
        <v>27754</v>
      </c>
    </row>
    <row r="314" spans="1:9">
      <c r="A314" s="3" t="s">
        <v>339</v>
      </c>
      <c r="B314" s="3" t="s">
        <v>26</v>
      </c>
      <c r="C314" s="3">
        <v>1735977</v>
      </c>
      <c r="D314" s="3">
        <v>33184</v>
      </c>
      <c r="E314" s="3" t="s">
        <v>27</v>
      </c>
      <c r="F314" s="3">
        <v>913213</v>
      </c>
      <c r="G314" s="3">
        <v>15813</v>
      </c>
      <c r="H314" s="3">
        <v>822764</v>
      </c>
      <c r="I314" s="3">
        <v>17371</v>
      </c>
    </row>
    <row r="315" spans="1:9">
      <c r="A315" s="3" t="s">
        <v>340</v>
      </c>
      <c r="B315" s="3" t="s">
        <v>26</v>
      </c>
      <c r="C315" s="3">
        <v>1334362</v>
      </c>
      <c r="D315" s="3">
        <v>90259</v>
      </c>
      <c r="E315" s="3" t="s">
        <v>27</v>
      </c>
      <c r="F315" s="3">
        <v>728693</v>
      </c>
      <c r="G315" s="3">
        <v>42282</v>
      </c>
      <c r="H315" s="3">
        <v>605669</v>
      </c>
      <c r="I315" s="3">
        <v>47977</v>
      </c>
    </row>
    <row r="316" spans="1:9">
      <c r="A316" s="3" t="s">
        <v>341</v>
      </c>
      <c r="B316" s="3" t="s">
        <v>26</v>
      </c>
      <c r="C316" s="3">
        <v>1568707</v>
      </c>
      <c r="D316" s="3">
        <v>304794</v>
      </c>
      <c r="E316" s="3" t="s">
        <v>27</v>
      </c>
      <c r="F316" s="3">
        <v>1228425</v>
      </c>
      <c r="G316" s="3">
        <v>249552</v>
      </c>
      <c r="H316" s="3">
        <v>340282</v>
      </c>
      <c r="I316" s="3">
        <v>55242</v>
      </c>
    </row>
    <row r="317" spans="1:9">
      <c r="A317" s="3" t="s">
        <v>342</v>
      </c>
      <c r="B317" s="3" t="s">
        <v>26</v>
      </c>
      <c r="C317" s="3">
        <v>1573054</v>
      </c>
      <c r="D317" s="3">
        <v>110414</v>
      </c>
      <c r="E317" s="3" t="s">
        <v>27</v>
      </c>
      <c r="F317" s="3">
        <v>1040090</v>
      </c>
      <c r="G317" s="3">
        <v>72065</v>
      </c>
      <c r="H317" s="3">
        <v>532964</v>
      </c>
      <c r="I317" s="3">
        <v>38349</v>
      </c>
    </row>
    <row r="318" spans="1:9">
      <c r="A318" s="3" t="s">
        <v>343</v>
      </c>
      <c r="B318" s="3" t="s">
        <v>26</v>
      </c>
      <c r="C318" s="3">
        <v>1620012</v>
      </c>
      <c r="D318" s="3">
        <v>208033</v>
      </c>
      <c r="E318" s="3" t="s">
        <v>27</v>
      </c>
      <c r="F318" s="3">
        <v>1002095</v>
      </c>
      <c r="G318" s="3">
        <v>128912</v>
      </c>
      <c r="H318" s="3">
        <v>617917</v>
      </c>
      <c r="I318" s="3">
        <v>79121</v>
      </c>
    </row>
    <row r="319" spans="1:9">
      <c r="A319" s="3" t="s">
        <v>344</v>
      </c>
      <c r="B319" s="3" t="s">
        <v>26</v>
      </c>
      <c r="C319" s="3">
        <v>2334371</v>
      </c>
      <c r="D319" s="3">
        <v>527775</v>
      </c>
      <c r="E319" s="3" t="s">
        <v>27</v>
      </c>
      <c r="F319" s="3">
        <v>1695040</v>
      </c>
      <c r="G319" s="3">
        <v>381050</v>
      </c>
      <c r="H319" s="3">
        <v>639331</v>
      </c>
      <c r="I319" s="3">
        <v>146725</v>
      </c>
    </row>
    <row r="320" spans="1:9">
      <c r="A320" s="3" t="s">
        <v>345</v>
      </c>
      <c r="B320" s="3" t="s">
        <v>26</v>
      </c>
      <c r="C320" s="3">
        <v>1460212</v>
      </c>
      <c r="D320" s="3">
        <v>82345</v>
      </c>
      <c r="E320" s="3" t="s">
        <v>27</v>
      </c>
      <c r="F320" s="3">
        <v>802027</v>
      </c>
      <c r="G320" s="3">
        <v>45850</v>
      </c>
      <c r="H320" s="3">
        <v>658185</v>
      </c>
      <c r="I320" s="3">
        <v>36495</v>
      </c>
    </row>
    <row r="321" spans="1:9">
      <c r="A321" s="3" t="s">
        <v>346</v>
      </c>
      <c r="B321" s="3" t="s">
        <v>26</v>
      </c>
      <c r="C321" s="3">
        <v>1792545</v>
      </c>
      <c r="D321" s="3">
        <v>336149</v>
      </c>
      <c r="E321" s="3" t="s">
        <v>27</v>
      </c>
      <c r="F321" s="3">
        <v>1167967</v>
      </c>
      <c r="G321" s="3">
        <v>225738</v>
      </c>
      <c r="H321" s="3">
        <v>624578</v>
      </c>
      <c r="I321" s="3">
        <v>110411</v>
      </c>
    </row>
    <row r="322" spans="1:9">
      <c r="A322" s="3" t="s">
        <v>347</v>
      </c>
      <c r="B322" s="3" t="s">
        <v>26</v>
      </c>
      <c r="C322" s="3">
        <v>1675364</v>
      </c>
      <c r="D322" s="3">
        <v>173678</v>
      </c>
      <c r="E322" s="3" t="s">
        <v>27</v>
      </c>
      <c r="F322" s="3">
        <v>962257</v>
      </c>
      <c r="G322" s="3">
        <v>110334</v>
      </c>
      <c r="H322" s="3">
        <v>713107</v>
      </c>
      <c r="I322" s="3">
        <v>63344</v>
      </c>
    </row>
    <row r="323" spans="1:9">
      <c r="A323" s="3" t="s">
        <v>348</v>
      </c>
      <c r="B323" s="3" t="s">
        <v>26</v>
      </c>
      <c r="C323" s="3">
        <v>1751556</v>
      </c>
      <c r="D323" s="3">
        <v>209301</v>
      </c>
      <c r="E323" s="3" t="s">
        <v>27</v>
      </c>
      <c r="F323" s="3">
        <v>1201151</v>
      </c>
      <c r="G323" s="3">
        <v>139034</v>
      </c>
      <c r="H323" s="3">
        <v>550405</v>
      </c>
      <c r="I323" s="3">
        <v>70267</v>
      </c>
    </row>
    <row r="324" spans="1:9">
      <c r="A324" s="3" t="s">
        <v>349</v>
      </c>
      <c r="B324" s="3" t="s">
        <v>26</v>
      </c>
      <c r="C324" s="3">
        <v>2064866</v>
      </c>
      <c r="D324" s="3">
        <v>258107</v>
      </c>
      <c r="E324" s="3" t="s">
        <v>27</v>
      </c>
      <c r="F324" s="3">
        <v>1315814</v>
      </c>
      <c r="G324" s="3">
        <v>174494</v>
      </c>
      <c r="H324" s="3">
        <v>749052</v>
      </c>
      <c r="I324" s="3">
        <v>83613</v>
      </c>
    </row>
    <row r="325" spans="1:9">
      <c r="A325" s="3" t="s">
        <v>350</v>
      </c>
      <c r="B325" s="3" t="s">
        <v>26</v>
      </c>
      <c r="C325" s="3">
        <v>1652936</v>
      </c>
      <c r="D325" s="3">
        <v>410477</v>
      </c>
      <c r="E325" s="3" t="s">
        <v>27</v>
      </c>
      <c r="F325" s="3">
        <v>1418890</v>
      </c>
      <c r="G325" s="3">
        <v>328308</v>
      </c>
      <c r="H325" s="3">
        <v>234046</v>
      </c>
      <c r="I325" s="3">
        <v>82169</v>
      </c>
    </row>
    <row r="326" spans="1:9">
      <c r="A326" s="3" t="s">
        <v>351</v>
      </c>
      <c r="B326" s="3" t="s">
        <v>26</v>
      </c>
      <c r="C326" s="3">
        <v>1876871</v>
      </c>
      <c r="D326" s="3">
        <v>141348</v>
      </c>
      <c r="E326" s="3" t="s">
        <v>27</v>
      </c>
      <c r="F326" s="3">
        <v>1178961</v>
      </c>
      <c r="G326" s="3">
        <v>97770</v>
      </c>
      <c r="H326" s="3">
        <v>697910</v>
      </c>
      <c r="I326" s="3">
        <v>43578</v>
      </c>
    </row>
    <row r="327" spans="1:9">
      <c r="A327" s="3" t="s">
        <v>352</v>
      </c>
      <c r="B327" s="3" t="s">
        <v>26</v>
      </c>
      <c r="C327" s="3">
        <v>263501</v>
      </c>
      <c r="D327" s="3">
        <v>7160</v>
      </c>
      <c r="E327" s="3" t="s">
        <v>27</v>
      </c>
      <c r="F327" s="3">
        <v>151392</v>
      </c>
      <c r="G327" s="3">
        <v>4453</v>
      </c>
      <c r="H327" s="3">
        <v>112109</v>
      </c>
      <c r="I327" s="3">
        <v>2707</v>
      </c>
    </row>
    <row r="328" spans="1:9">
      <c r="A328" s="3" t="s">
        <v>353</v>
      </c>
      <c r="B328" s="3" t="s">
        <v>26</v>
      </c>
      <c r="C328" s="3">
        <v>1643062</v>
      </c>
      <c r="D328" s="3">
        <v>89729</v>
      </c>
      <c r="E328" s="3" t="s">
        <v>27</v>
      </c>
      <c r="F328" s="3">
        <v>1007740</v>
      </c>
      <c r="G328" s="3">
        <v>66217</v>
      </c>
      <c r="H328" s="3">
        <v>635322</v>
      </c>
      <c r="I328" s="3">
        <v>23512</v>
      </c>
    </row>
    <row r="329" spans="1:9">
      <c r="A329" s="3" t="s">
        <v>354</v>
      </c>
      <c r="B329" s="3" t="s">
        <v>26</v>
      </c>
      <c r="C329" s="3">
        <v>1802328</v>
      </c>
      <c r="D329" s="3">
        <v>241463</v>
      </c>
      <c r="E329" s="3" t="s">
        <v>27</v>
      </c>
      <c r="F329" s="3">
        <v>1223537</v>
      </c>
      <c r="G329" s="3">
        <v>165653</v>
      </c>
      <c r="H329" s="3">
        <v>578791</v>
      </c>
      <c r="I329" s="3">
        <v>75810</v>
      </c>
    </row>
    <row r="330" spans="1:9">
      <c r="A330" s="3" t="s">
        <v>355</v>
      </c>
      <c r="B330" s="3" t="s">
        <v>26</v>
      </c>
      <c r="C330" s="3">
        <v>2404009</v>
      </c>
      <c r="D330" s="3">
        <v>457439</v>
      </c>
      <c r="E330" s="3" t="s">
        <v>27</v>
      </c>
      <c r="F330" s="3">
        <v>1667641</v>
      </c>
      <c r="G330" s="3">
        <v>338365</v>
      </c>
      <c r="H330" s="3">
        <v>736368</v>
      </c>
      <c r="I330" s="3">
        <v>119074</v>
      </c>
    </row>
    <row r="331" spans="1:9">
      <c r="A331" s="3" t="s">
        <v>356</v>
      </c>
      <c r="B331" s="3" t="s">
        <v>26</v>
      </c>
      <c r="C331" s="3">
        <v>1548364</v>
      </c>
      <c r="D331" s="3">
        <v>227711</v>
      </c>
      <c r="E331" s="3" t="s">
        <v>27</v>
      </c>
      <c r="F331" s="3">
        <v>1060171</v>
      </c>
      <c r="G331" s="3">
        <v>161846</v>
      </c>
      <c r="H331" s="3">
        <v>488193</v>
      </c>
      <c r="I331" s="3">
        <v>65865</v>
      </c>
    </row>
    <row r="332" spans="1:9">
      <c r="A332" s="3" t="s">
        <v>357</v>
      </c>
      <c r="B332" s="3" t="s">
        <v>26</v>
      </c>
      <c r="C332" s="3">
        <v>2105948</v>
      </c>
      <c r="D332" s="3">
        <v>434884</v>
      </c>
      <c r="E332" s="3" t="s">
        <v>27</v>
      </c>
      <c r="F332" s="3">
        <v>1494275</v>
      </c>
      <c r="G332" s="3">
        <v>294353</v>
      </c>
      <c r="H332" s="3">
        <v>611673</v>
      </c>
      <c r="I332" s="3">
        <v>140531</v>
      </c>
    </row>
    <row r="333" spans="1:9">
      <c r="A333" s="3" t="s">
        <v>358</v>
      </c>
      <c r="B333" s="3" t="s">
        <v>26</v>
      </c>
      <c r="C333" s="3">
        <v>1322553</v>
      </c>
      <c r="D333" s="3">
        <v>131403</v>
      </c>
      <c r="E333" s="3" t="s">
        <v>27</v>
      </c>
      <c r="F333" s="3">
        <v>762318</v>
      </c>
      <c r="G333" s="3">
        <v>79783</v>
      </c>
      <c r="H333" s="3">
        <v>560235</v>
      </c>
      <c r="I333" s="3">
        <v>51620</v>
      </c>
    </row>
    <row r="334" spans="1:9">
      <c r="A334" s="3" t="s">
        <v>359</v>
      </c>
      <c r="B334" s="3" t="s">
        <v>26</v>
      </c>
      <c r="C334" s="3">
        <v>733459</v>
      </c>
      <c r="D334" s="3">
        <v>22666</v>
      </c>
      <c r="E334" s="3" t="s">
        <v>27</v>
      </c>
      <c r="F334" s="3">
        <v>357994</v>
      </c>
      <c r="G334" s="3">
        <v>12311</v>
      </c>
      <c r="H334" s="3">
        <v>375465</v>
      </c>
      <c r="I334" s="3">
        <v>10355</v>
      </c>
    </row>
    <row r="335" spans="1:9">
      <c r="A335" s="3" t="s">
        <v>360</v>
      </c>
      <c r="B335" s="3" t="s">
        <v>26</v>
      </c>
      <c r="C335" s="3">
        <v>1999158</v>
      </c>
      <c r="D335" s="3">
        <v>334256</v>
      </c>
      <c r="E335" s="3" t="s">
        <v>27</v>
      </c>
      <c r="F335" s="3">
        <v>1245118</v>
      </c>
      <c r="G335" s="3">
        <v>216198</v>
      </c>
      <c r="H335" s="3">
        <v>754040</v>
      </c>
      <c r="I335" s="3">
        <v>118058</v>
      </c>
    </row>
    <row r="336" spans="1:9">
      <c r="A336" s="3" t="s">
        <v>361</v>
      </c>
      <c r="B336" s="3" t="s">
        <v>26</v>
      </c>
      <c r="C336" s="3">
        <v>1136667</v>
      </c>
      <c r="D336" s="3">
        <v>66931</v>
      </c>
      <c r="E336" s="3" t="s">
        <v>27</v>
      </c>
      <c r="F336" s="3">
        <v>704486</v>
      </c>
      <c r="G336" s="3">
        <v>47087</v>
      </c>
      <c r="H336" s="3">
        <v>432181</v>
      </c>
      <c r="I336" s="3">
        <v>19844</v>
      </c>
    </row>
    <row r="337" spans="1:9">
      <c r="A337" s="3" t="s">
        <v>362</v>
      </c>
      <c r="B337" s="3" t="s">
        <v>26</v>
      </c>
      <c r="C337" s="3">
        <v>2358452</v>
      </c>
      <c r="D337" s="3">
        <v>620826</v>
      </c>
      <c r="E337" s="3" t="s">
        <v>27</v>
      </c>
      <c r="F337" s="3">
        <v>1714474</v>
      </c>
      <c r="G337" s="3">
        <v>434227</v>
      </c>
      <c r="H337" s="3">
        <v>643978</v>
      </c>
      <c r="I337" s="3">
        <v>186599</v>
      </c>
    </row>
    <row r="338" spans="1:9">
      <c r="A338" s="3" t="s">
        <v>363</v>
      </c>
      <c r="B338" s="3" t="s">
        <v>26</v>
      </c>
      <c r="C338" s="3">
        <v>2518675</v>
      </c>
      <c r="D338" s="3">
        <v>695515</v>
      </c>
      <c r="E338" s="3" t="s">
        <v>27</v>
      </c>
      <c r="F338" s="3">
        <v>1899869</v>
      </c>
      <c r="G338" s="3">
        <v>501896</v>
      </c>
      <c r="H338" s="3">
        <v>618806</v>
      </c>
      <c r="I338" s="3">
        <v>193619</v>
      </c>
    </row>
    <row r="339" spans="1:9">
      <c r="A339" s="3" t="s">
        <v>364</v>
      </c>
      <c r="B339" s="3" t="s">
        <v>26</v>
      </c>
      <c r="C339" s="3">
        <v>1075339</v>
      </c>
      <c r="D339" s="3">
        <v>30490</v>
      </c>
      <c r="E339" s="3" t="s">
        <v>27</v>
      </c>
      <c r="F339" s="3">
        <v>494998</v>
      </c>
      <c r="G339" s="3">
        <v>18179</v>
      </c>
      <c r="H339" s="3">
        <v>580341</v>
      </c>
      <c r="I339" s="3">
        <v>12311</v>
      </c>
    </row>
    <row r="340" spans="1:9">
      <c r="A340" s="3" t="s">
        <v>365</v>
      </c>
      <c r="B340" s="3" t="s">
        <v>26</v>
      </c>
      <c r="C340" s="3">
        <v>1161223</v>
      </c>
      <c r="D340" s="3">
        <v>288</v>
      </c>
      <c r="E340" s="3" t="s">
        <v>27</v>
      </c>
      <c r="F340" s="3">
        <v>403463</v>
      </c>
      <c r="G340" s="3">
        <v>81</v>
      </c>
      <c r="H340" s="3">
        <v>757760</v>
      </c>
      <c r="I340" s="3">
        <v>207</v>
      </c>
    </row>
    <row r="341" spans="1:9">
      <c r="A341" s="3" t="s">
        <v>366</v>
      </c>
      <c r="B341" s="3" t="s">
        <v>26</v>
      </c>
      <c r="C341" s="3">
        <v>1976754</v>
      </c>
      <c r="D341" s="3">
        <v>461794</v>
      </c>
      <c r="E341" s="3" t="s">
        <v>27</v>
      </c>
      <c r="F341" s="3">
        <v>1409673</v>
      </c>
      <c r="G341" s="3">
        <v>329484</v>
      </c>
      <c r="H341" s="3">
        <v>567081</v>
      </c>
      <c r="I341" s="3">
        <v>132310</v>
      </c>
    </row>
    <row r="342" spans="1:9">
      <c r="A342" s="3" t="s">
        <v>367</v>
      </c>
      <c r="B342" s="3" t="s">
        <v>26</v>
      </c>
      <c r="C342" s="3">
        <v>1965770</v>
      </c>
      <c r="D342" s="3">
        <v>360601</v>
      </c>
      <c r="E342" s="3" t="s">
        <v>27</v>
      </c>
      <c r="F342" s="3">
        <v>1291855</v>
      </c>
      <c r="G342" s="3">
        <v>239028</v>
      </c>
      <c r="H342" s="3">
        <v>673915</v>
      </c>
      <c r="I342" s="3">
        <v>121573</v>
      </c>
    </row>
    <row r="343" spans="1:9">
      <c r="A343" s="3" t="s">
        <v>368</v>
      </c>
      <c r="B343" s="3" t="s">
        <v>26</v>
      </c>
      <c r="C343" s="3">
        <v>1406206</v>
      </c>
      <c r="D343" s="3">
        <v>112785</v>
      </c>
      <c r="E343" s="3" t="s">
        <v>27</v>
      </c>
      <c r="F343" s="3">
        <v>888575</v>
      </c>
      <c r="G343" s="3">
        <v>75078</v>
      </c>
      <c r="H343" s="3">
        <v>517631</v>
      </c>
      <c r="I343" s="3">
        <v>37707</v>
      </c>
    </row>
    <row r="344" spans="1:9">
      <c r="A344" s="3" t="s">
        <v>369</v>
      </c>
      <c r="B344" s="3" t="s">
        <v>26</v>
      </c>
      <c r="C344" s="3">
        <v>2045451</v>
      </c>
      <c r="D344" s="3">
        <v>275043</v>
      </c>
      <c r="E344" s="3" t="s">
        <v>27</v>
      </c>
      <c r="F344" s="3">
        <v>1213211</v>
      </c>
      <c r="G344" s="3">
        <v>161306</v>
      </c>
      <c r="H344" s="3">
        <v>832240</v>
      </c>
      <c r="I344" s="3">
        <v>113737</v>
      </c>
    </row>
    <row r="345" spans="1:9">
      <c r="A345" s="3" t="s">
        <v>370</v>
      </c>
      <c r="B345" s="3" t="s">
        <v>26</v>
      </c>
      <c r="C345" s="3">
        <v>1658179</v>
      </c>
      <c r="D345" s="3">
        <v>108120</v>
      </c>
      <c r="E345" s="3" t="s">
        <v>27</v>
      </c>
      <c r="F345" s="3">
        <v>905956</v>
      </c>
      <c r="G345" s="3">
        <v>61418</v>
      </c>
      <c r="H345" s="3">
        <v>752223</v>
      </c>
      <c r="I345" s="3">
        <v>46702</v>
      </c>
    </row>
    <row r="346" spans="1:9">
      <c r="A346" s="3" t="s">
        <v>371</v>
      </c>
      <c r="B346" s="3" t="s">
        <v>26</v>
      </c>
      <c r="C346" s="3">
        <v>1166723</v>
      </c>
      <c r="D346" s="3">
        <v>26444</v>
      </c>
      <c r="E346" s="3" t="s">
        <v>27</v>
      </c>
      <c r="F346" s="3">
        <v>613451</v>
      </c>
      <c r="G346" s="3">
        <v>14066</v>
      </c>
      <c r="H346" s="3">
        <v>553272</v>
      </c>
      <c r="I346" s="3">
        <v>12378</v>
      </c>
    </row>
    <row r="347" spans="1:9">
      <c r="A347" s="3" t="s">
        <v>372</v>
      </c>
      <c r="B347" s="3" t="s">
        <v>26</v>
      </c>
      <c r="C347" s="3">
        <v>837770</v>
      </c>
      <c r="D347" s="3">
        <v>8532</v>
      </c>
      <c r="E347" s="3" t="s">
        <v>27</v>
      </c>
      <c r="F347" s="3">
        <v>445650</v>
      </c>
      <c r="G347" s="3">
        <v>1823</v>
      </c>
      <c r="H347" s="3">
        <v>392120</v>
      </c>
      <c r="I347" s="3">
        <v>6709</v>
      </c>
    </row>
    <row r="348" spans="1:9">
      <c r="A348" s="3" t="s">
        <v>373</v>
      </c>
      <c r="B348" s="3" t="s">
        <v>26</v>
      </c>
      <c r="C348" s="3">
        <v>2168336</v>
      </c>
      <c r="D348" s="3">
        <v>481031</v>
      </c>
      <c r="E348" s="3" t="s">
        <v>27</v>
      </c>
      <c r="F348" s="3">
        <v>1632737</v>
      </c>
      <c r="G348" s="3">
        <v>372677</v>
      </c>
      <c r="H348" s="3">
        <v>535599</v>
      </c>
      <c r="I348" s="3">
        <v>108354</v>
      </c>
    </row>
    <row r="349" spans="1:9">
      <c r="A349" s="3" t="s">
        <v>374</v>
      </c>
      <c r="B349" s="3" t="s">
        <v>26</v>
      </c>
      <c r="C349" s="3">
        <v>1532684</v>
      </c>
      <c r="D349" s="3">
        <v>100506</v>
      </c>
      <c r="E349" s="3" t="s">
        <v>27</v>
      </c>
      <c r="F349" s="3">
        <v>916976</v>
      </c>
      <c r="G349" s="3">
        <v>69787</v>
      </c>
      <c r="H349" s="3">
        <v>615708</v>
      </c>
      <c r="I349" s="3">
        <v>30719</v>
      </c>
    </row>
    <row r="350" spans="1:9">
      <c r="A350" s="3" t="s">
        <v>375</v>
      </c>
      <c r="B350" s="3" t="s">
        <v>26</v>
      </c>
      <c r="C350" s="3">
        <v>1751277</v>
      </c>
      <c r="D350" s="3">
        <v>363051</v>
      </c>
      <c r="E350" s="3" t="s">
        <v>27</v>
      </c>
      <c r="F350" s="3">
        <v>1208003</v>
      </c>
      <c r="G350" s="3">
        <v>238909</v>
      </c>
      <c r="H350" s="3">
        <v>543274</v>
      </c>
      <c r="I350" s="3">
        <v>124142</v>
      </c>
    </row>
    <row r="351" spans="1:9">
      <c r="A351" s="3" t="s">
        <v>376</v>
      </c>
      <c r="B351" s="3" t="s">
        <v>26</v>
      </c>
      <c r="C351" s="3">
        <v>1607076</v>
      </c>
      <c r="D351" s="3">
        <v>72245</v>
      </c>
      <c r="E351" s="3" t="s">
        <v>27</v>
      </c>
      <c r="F351" s="3">
        <v>874630</v>
      </c>
      <c r="G351" s="3">
        <v>46378</v>
      </c>
      <c r="H351" s="3">
        <v>732446</v>
      </c>
      <c r="I351" s="3">
        <v>25867</v>
      </c>
    </row>
    <row r="352" spans="1:9">
      <c r="A352" s="3" t="s">
        <v>377</v>
      </c>
      <c r="B352" s="3" t="s">
        <v>26</v>
      </c>
      <c r="C352" s="3">
        <v>1636363</v>
      </c>
      <c r="D352" s="3">
        <v>147319</v>
      </c>
      <c r="E352" s="3" t="s">
        <v>27</v>
      </c>
      <c r="F352" s="3">
        <v>943203</v>
      </c>
      <c r="G352" s="3">
        <v>86623</v>
      </c>
      <c r="H352" s="3">
        <v>693160</v>
      </c>
      <c r="I352" s="3">
        <v>60696</v>
      </c>
    </row>
    <row r="353" spans="1:9">
      <c r="A353" s="3" t="s">
        <v>378</v>
      </c>
      <c r="B353" s="3" t="s">
        <v>26</v>
      </c>
      <c r="C353" s="3">
        <v>1793522</v>
      </c>
      <c r="D353" s="3">
        <v>241542</v>
      </c>
      <c r="E353" s="3" t="s">
        <v>27</v>
      </c>
      <c r="F353" s="3">
        <v>1136117</v>
      </c>
      <c r="G353" s="3">
        <v>164352</v>
      </c>
      <c r="H353" s="3">
        <v>657405</v>
      </c>
      <c r="I353" s="3">
        <v>77190</v>
      </c>
    </row>
    <row r="354" spans="1:9">
      <c r="A354" s="3" t="s">
        <v>379</v>
      </c>
      <c r="B354" s="3" t="s">
        <v>26</v>
      </c>
      <c r="C354" s="3">
        <v>2305756</v>
      </c>
      <c r="D354" s="3">
        <v>622386</v>
      </c>
      <c r="E354" s="3" t="s">
        <v>27</v>
      </c>
      <c r="F354" s="3">
        <v>1707246</v>
      </c>
      <c r="G354" s="3">
        <v>424083</v>
      </c>
      <c r="H354" s="3">
        <v>598510</v>
      </c>
      <c r="I354" s="3">
        <v>198303</v>
      </c>
    </row>
    <row r="355" spans="1:9">
      <c r="A355" s="3" t="s">
        <v>380</v>
      </c>
      <c r="B355" s="3" t="s">
        <v>26</v>
      </c>
      <c r="C355" s="3">
        <v>1914500</v>
      </c>
      <c r="D355" s="3">
        <v>276232</v>
      </c>
      <c r="E355" s="3" t="s">
        <v>27</v>
      </c>
      <c r="F355" s="3">
        <v>1237291</v>
      </c>
      <c r="G355" s="3">
        <v>190767</v>
      </c>
      <c r="H355" s="3">
        <v>677209</v>
      </c>
      <c r="I355" s="3">
        <v>85465</v>
      </c>
    </row>
    <row r="356" spans="1:9">
      <c r="A356" s="3" t="s">
        <v>381</v>
      </c>
      <c r="B356" s="3" t="s">
        <v>26</v>
      </c>
      <c r="C356" s="3">
        <v>2020</v>
      </c>
      <c r="D356" s="3">
        <v>615</v>
      </c>
      <c r="E356" s="3" t="s">
        <v>27</v>
      </c>
      <c r="F356" s="3">
        <v>1914</v>
      </c>
      <c r="G356" s="3">
        <v>550</v>
      </c>
      <c r="H356" s="3">
        <v>106</v>
      </c>
      <c r="I356" s="3">
        <v>65</v>
      </c>
    </row>
    <row r="357" spans="1:9">
      <c r="A357" s="3" t="s">
        <v>382</v>
      </c>
      <c r="B357" s="3" t="s">
        <v>26</v>
      </c>
      <c r="C357" s="3">
        <v>2402509</v>
      </c>
      <c r="D357" s="3">
        <v>533907</v>
      </c>
      <c r="E357" s="3" t="s">
        <v>27</v>
      </c>
      <c r="F357" s="3">
        <v>1496149</v>
      </c>
      <c r="G357" s="3">
        <v>339956</v>
      </c>
      <c r="H357" s="3">
        <v>906360</v>
      </c>
      <c r="I357" s="3">
        <v>193951</v>
      </c>
    </row>
    <row r="358" spans="1:9">
      <c r="A358" s="3" t="s">
        <v>383</v>
      </c>
      <c r="B358" s="3" t="s">
        <v>26</v>
      </c>
      <c r="C358" s="3">
        <v>1752220</v>
      </c>
      <c r="D358" s="3">
        <v>128414</v>
      </c>
      <c r="E358" s="3" t="s">
        <v>27</v>
      </c>
      <c r="F358" s="3">
        <v>947234</v>
      </c>
      <c r="G358" s="3">
        <v>73789</v>
      </c>
      <c r="H358" s="3">
        <v>804986</v>
      </c>
      <c r="I358" s="3">
        <v>54625</v>
      </c>
    </row>
    <row r="359" spans="1:9">
      <c r="A359" s="3" t="s">
        <v>384</v>
      </c>
      <c r="B359" s="3" t="s">
        <v>26</v>
      </c>
      <c r="C359" s="3">
        <v>1303613</v>
      </c>
      <c r="D359" s="3">
        <v>101500</v>
      </c>
      <c r="E359" s="3" t="s">
        <v>27</v>
      </c>
      <c r="F359" s="3">
        <v>772686</v>
      </c>
      <c r="G359" s="3">
        <v>57765</v>
      </c>
      <c r="H359" s="3">
        <v>530927</v>
      </c>
      <c r="I359" s="3">
        <v>43735</v>
      </c>
    </row>
    <row r="360" spans="1:9">
      <c r="A360" s="3" t="s">
        <v>385</v>
      </c>
      <c r="B360" s="3" t="s">
        <v>26</v>
      </c>
      <c r="C360" s="3">
        <v>2186634</v>
      </c>
      <c r="D360" s="3">
        <v>518716</v>
      </c>
      <c r="E360" s="3" t="s">
        <v>27</v>
      </c>
      <c r="F360" s="3">
        <v>1442140</v>
      </c>
      <c r="G360" s="3">
        <v>334693</v>
      </c>
      <c r="H360" s="3">
        <v>744494</v>
      </c>
      <c r="I360" s="3">
        <v>184023</v>
      </c>
    </row>
    <row r="361" spans="1:9">
      <c r="A361" s="3" t="s">
        <v>386</v>
      </c>
      <c r="B361" s="3" t="s">
        <v>26</v>
      </c>
      <c r="C361" s="3">
        <v>1894390</v>
      </c>
      <c r="D361" s="3">
        <v>237286</v>
      </c>
      <c r="E361" s="3" t="s">
        <v>27</v>
      </c>
      <c r="F361" s="3">
        <v>1151175</v>
      </c>
      <c r="G361" s="3">
        <v>156266</v>
      </c>
      <c r="H361" s="3">
        <v>743215</v>
      </c>
      <c r="I361" s="3">
        <v>81020</v>
      </c>
    </row>
    <row r="362" spans="1:9">
      <c r="A362" s="3" t="s">
        <v>387</v>
      </c>
      <c r="B362" s="3" t="s">
        <v>26</v>
      </c>
      <c r="C362" s="3">
        <v>1777891</v>
      </c>
      <c r="D362" s="3">
        <v>277802</v>
      </c>
      <c r="E362" s="3" t="s">
        <v>27</v>
      </c>
      <c r="F362" s="3">
        <v>1354513</v>
      </c>
      <c r="G362" s="3">
        <v>194177</v>
      </c>
      <c r="H362" s="3">
        <v>423378</v>
      </c>
      <c r="I362" s="3">
        <v>83625</v>
      </c>
    </row>
    <row r="363" spans="1:9">
      <c r="A363" s="3" t="s">
        <v>388</v>
      </c>
      <c r="B363" s="3" t="s">
        <v>26</v>
      </c>
      <c r="C363" s="3">
        <v>2022225</v>
      </c>
      <c r="D363" s="3">
        <v>369414</v>
      </c>
      <c r="E363" s="3" t="s">
        <v>27</v>
      </c>
      <c r="F363" s="3">
        <v>1366431</v>
      </c>
      <c r="G363" s="3">
        <v>251046</v>
      </c>
      <c r="H363" s="3">
        <v>655794</v>
      </c>
      <c r="I363" s="3">
        <v>118368</v>
      </c>
    </row>
    <row r="364" spans="1:9">
      <c r="A364" s="3" t="s">
        <v>389</v>
      </c>
      <c r="B364" s="3" t="s">
        <v>26</v>
      </c>
      <c r="C364" s="3">
        <v>1516582</v>
      </c>
      <c r="D364" s="3">
        <v>320901</v>
      </c>
      <c r="E364" s="3" t="s">
        <v>27</v>
      </c>
      <c r="F364" s="3">
        <v>1013088</v>
      </c>
      <c r="G364" s="3">
        <v>238312</v>
      </c>
      <c r="H364" s="3">
        <v>503494</v>
      </c>
      <c r="I364" s="3">
        <v>82589</v>
      </c>
    </row>
    <row r="365" spans="1:9">
      <c r="A365" s="3" t="s">
        <v>390</v>
      </c>
      <c r="B365" s="3" t="s">
        <v>26</v>
      </c>
      <c r="C365" s="3">
        <v>2422769</v>
      </c>
      <c r="D365" s="3">
        <v>510485</v>
      </c>
      <c r="E365" s="3" t="s">
        <v>27</v>
      </c>
      <c r="F365" s="3">
        <v>1621537</v>
      </c>
      <c r="G365" s="3">
        <v>351058</v>
      </c>
      <c r="H365" s="3">
        <v>801232</v>
      </c>
      <c r="I365" s="3">
        <v>159427</v>
      </c>
    </row>
    <row r="366" spans="1:9">
      <c r="A366" s="3" t="s">
        <v>391</v>
      </c>
      <c r="B366" s="3" t="s">
        <v>26</v>
      </c>
      <c r="C366" s="3">
        <v>1895337</v>
      </c>
      <c r="D366" s="3">
        <v>326037</v>
      </c>
      <c r="E366" s="3" t="s">
        <v>27</v>
      </c>
      <c r="F366" s="3">
        <v>1343113</v>
      </c>
      <c r="G366" s="3">
        <v>244210</v>
      </c>
      <c r="H366" s="3">
        <v>552224</v>
      </c>
      <c r="I366" s="3">
        <v>81827</v>
      </c>
    </row>
    <row r="367" spans="1:9">
      <c r="A367" s="3" t="s">
        <v>392</v>
      </c>
      <c r="B367" s="3" t="s">
        <v>26</v>
      </c>
      <c r="C367" s="3">
        <v>2499545</v>
      </c>
      <c r="D367" s="3">
        <v>252499</v>
      </c>
      <c r="E367" s="3" t="s">
        <v>27</v>
      </c>
      <c r="F367" s="3">
        <v>1801780</v>
      </c>
      <c r="G367" s="3">
        <v>184505</v>
      </c>
      <c r="H367" s="3">
        <v>697765</v>
      </c>
      <c r="I367" s="3">
        <v>67994</v>
      </c>
    </row>
    <row r="368" spans="1:9">
      <c r="A368" s="3" t="s">
        <v>393</v>
      </c>
      <c r="B368" s="3" t="s">
        <v>26</v>
      </c>
      <c r="C368" s="3">
        <v>2556181</v>
      </c>
      <c r="D368" s="3">
        <v>701333</v>
      </c>
      <c r="E368" s="3" t="s">
        <v>27</v>
      </c>
      <c r="F368" s="3">
        <v>2030794</v>
      </c>
      <c r="G368" s="3">
        <v>552897</v>
      </c>
      <c r="H368" s="3">
        <v>525387</v>
      </c>
      <c r="I368" s="3">
        <v>148436</v>
      </c>
    </row>
    <row r="369" spans="1:9">
      <c r="A369" s="3" t="s">
        <v>394</v>
      </c>
      <c r="B369" s="3" t="s">
        <v>26</v>
      </c>
      <c r="C369" s="3">
        <v>2116162</v>
      </c>
      <c r="D369" s="3">
        <v>466193</v>
      </c>
      <c r="E369" s="3" t="s">
        <v>27</v>
      </c>
      <c r="F369" s="3">
        <v>1477123</v>
      </c>
      <c r="G369" s="3">
        <v>326375</v>
      </c>
      <c r="H369" s="3">
        <v>639039</v>
      </c>
      <c r="I369" s="3">
        <v>139818</v>
      </c>
    </row>
    <row r="370" spans="1:9">
      <c r="A370" s="3" t="s">
        <v>395</v>
      </c>
      <c r="B370" s="3" t="s">
        <v>26</v>
      </c>
      <c r="C370" s="3">
        <v>969457</v>
      </c>
      <c r="D370" s="3">
        <v>21361</v>
      </c>
      <c r="E370" s="3" t="s">
        <v>27</v>
      </c>
      <c r="F370" s="3">
        <v>506140</v>
      </c>
      <c r="G370" s="3">
        <v>13208</v>
      </c>
      <c r="H370" s="3">
        <v>463317</v>
      </c>
      <c r="I370" s="3">
        <v>8153</v>
      </c>
    </row>
    <row r="371" spans="1:9">
      <c r="A371" s="3" t="s">
        <v>396</v>
      </c>
      <c r="B371" s="3" t="s">
        <v>26</v>
      </c>
      <c r="C371" s="3">
        <v>1223561</v>
      </c>
      <c r="D371" s="3">
        <v>17255</v>
      </c>
      <c r="E371" s="3" t="s">
        <v>27</v>
      </c>
      <c r="F371" s="3">
        <v>656700</v>
      </c>
      <c r="G371" s="3">
        <v>10914</v>
      </c>
      <c r="H371" s="3">
        <v>566861</v>
      </c>
      <c r="I371" s="3">
        <v>6341</v>
      </c>
    </row>
    <row r="372" spans="1:9">
      <c r="A372" s="3" t="s">
        <v>397</v>
      </c>
      <c r="B372" s="3" t="s">
        <v>26</v>
      </c>
      <c r="C372" s="3">
        <v>2229035</v>
      </c>
      <c r="D372" s="3">
        <v>532145</v>
      </c>
      <c r="E372" s="3" t="s">
        <v>27</v>
      </c>
      <c r="F372" s="3">
        <v>1741454</v>
      </c>
      <c r="G372" s="3">
        <v>374826</v>
      </c>
      <c r="H372" s="3">
        <v>487581</v>
      </c>
      <c r="I372" s="3">
        <v>157319</v>
      </c>
    </row>
    <row r="373" spans="1:9">
      <c r="A373" s="3" t="s">
        <v>398</v>
      </c>
      <c r="B373" s="3" t="s">
        <v>26</v>
      </c>
      <c r="C373" s="3">
        <v>1440341</v>
      </c>
      <c r="D373" s="3">
        <v>29079</v>
      </c>
      <c r="E373" s="3" t="s">
        <v>27</v>
      </c>
      <c r="F373" s="3">
        <v>769153</v>
      </c>
      <c r="G373" s="3">
        <v>10756</v>
      </c>
      <c r="H373" s="3">
        <v>671188</v>
      </c>
      <c r="I373" s="3">
        <v>18323</v>
      </c>
    </row>
    <row r="374" spans="1:9">
      <c r="A374" s="3" t="s">
        <v>399</v>
      </c>
      <c r="B374" s="3" t="s">
        <v>26</v>
      </c>
      <c r="C374" s="3">
        <v>1491494</v>
      </c>
      <c r="D374" s="3">
        <v>259816</v>
      </c>
      <c r="E374" s="3" t="s">
        <v>27</v>
      </c>
      <c r="F374" s="3">
        <v>957641</v>
      </c>
      <c r="G374" s="3">
        <v>169380</v>
      </c>
      <c r="H374" s="3">
        <v>533853</v>
      </c>
      <c r="I374" s="3">
        <v>90436</v>
      </c>
    </row>
    <row r="375" spans="1:9">
      <c r="A375" s="3" t="s">
        <v>400</v>
      </c>
      <c r="B375" s="3" t="s">
        <v>26</v>
      </c>
      <c r="C375" s="3">
        <v>45642</v>
      </c>
      <c r="D375" s="3">
        <v>11434</v>
      </c>
      <c r="E375" s="3" t="s">
        <v>27</v>
      </c>
      <c r="F375" s="3">
        <v>42768</v>
      </c>
      <c r="G375" s="3">
        <v>10450</v>
      </c>
      <c r="H375" s="3">
        <v>2874</v>
      </c>
      <c r="I375" s="3">
        <v>984</v>
      </c>
    </row>
    <row r="376" spans="1:9">
      <c r="A376" s="3" t="s">
        <v>401</v>
      </c>
      <c r="B376" s="3" t="s">
        <v>26</v>
      </c>
      <c r="C376" s="3">
        <v>2009940</v>
      </c>
      <c r="D376" s="3">
        <v>455226</v>
      </c>
      <c r="E376" s="3" t="s">
        <v>27</v>
      </c>
      <c r="F376" s="3">
        <v>1616207</v>
      </c>
      <c r="G376" s="3">
        <v>350249</v>
      </c>
      <c r="H376" s="3">
        <v>393733</v>
      </c>
      <c r="I376" s="3">
        <v>104977</v>
      </c>
    </row>
    <row r="377" spans="1:9">
      <c r="A377" s="3" t="s">
        <v>402</v>
      </c>
      <c r="B377" s="3" t="s">
        <v>26</v>
      </c>
      <c r="C377" s="3">
        <v>1889352</v>
      </c>
      <c r="D377" s="3">
        <v>198390</v>
      </c>
      <c r="E377" s="3" t="s">
        <v>27</v>
      </c>
      <c r="F377" s="3">
        <v>1060922</v>
      </c>
      <c r="G377" s="3">
        <v>117250</v>
      </c>
      <c r="H377" s="3">
        <v>828430</v>
      </c>
      <c r="I377" s="3">
        <v>81140</v>
      </c>
    </row>
    <row r="378" spans="1:9">
      <c r="A378" s="3" t="s">
        <v>403</v>
      </c>
      <c r="B378" s="3" t="s">
        <v>26</v>
      </c>
      <c r="C378" s="3">
        <v>949431</v>
      </c>
      <c r="D378" s="3">
        <v>5035</v>
      </c>
      <c r="E378" s="3" t="s">
        <v>27</v>
      </c>
      <c r="F378" s="3">
        <v>498640</v>
      </c>
      <c r="G378" s="3">
        <v>3310</v>
      </c>
      <c r="H378" s="3">
        <v>450791</v>
      </c>
      <c r="I378" s="3">
        <v>1725</v>
      </c>
    </row>
    <row r="379" spans="1:9">
      <c r="A379" s="3" t="s">
        <v>404</v>
      </c>
      <c r="B379" s="3" t="s">
        <v>26</v>
      </c>
      <c r="C379" s="3">
        <v>2405927</v>
      </c>
      <c r="D379" s="3">
        <v>697768</v>
      </c>
      <c r="E379" s="3" t="s">
        <v>27</v>
      </c>
      <c r="F379" s="3">
        <v>1753893</v>
      </c>
      <c r="G379" s="3">
        <v>474827</v>
      </c>
      <c r="H379" s="3">
        <v>652034</v>
      </c>
      <c r="I379" s="3">
        <v>222941</v>
      </c>
    </row>
    <row r="380" spans="1:9">
      <c r="A380" s="3" t="s">
        <v>405</v>
      </c>
      <c r="B380" s="3" t="s">
        <v>26</v>
      </c>
      <c r="C380" s="3">
        <v>2372912</v>
      </c>
      <c r="D380" s="3">
        <v>739239</v>
      </c>
      <c r="E380" s="3" t="s">
        <v>27</v>
      </c>
      <c r="F380" s="3">
        <v>1713458</v>
      </c>
      <c r="G380" s="3">
        <v>508197</v>
      </c>
      <c r="H380" s="3">
        <v>659454</v>
      </c>
      <c r="I380" s="3">
        <v>231042</v>
      </c>
    </row>
    <row r="381" spans="1:9">
      <c r="A381" s="3" t="s">
        <v>406</v>
      </c>
      <c r="B381" s="3" t="s">
        <v>26</v>
      </c>
      <c r="C381" s="3">
        <v>930535</v>
      </c>
      <c r="D381" s="3">
        <v>41310</v>
      </c>
      <c r="E381" s="3" t="s">
        <v>27</v>
      </c>
      <c r="F381" s="3">
        <v>511004</v>
      </c>
      <c r="G381" s="3">
        <v>20867</v>
      </c>
      <c r="H381" s="3">
        <v>419531</v>
      </c>
      <c r="I381" s="3">
        <v>20443</v>
      </c>
    </row>
    <row r="382" spans="1:9">
      <c r="A382" s="3" t="s">
        <v>407</v>
      </c>
      <c r="B382" s="3" t="s">
        <v>26</v>
      </c>
      <c r="C382" s="3">
        <v>1573556</v>
      </c>
      <c r="D382" s="3">
        <v>137053</v>
      </c>
      <c r="E382" s="3" t="s">
        <v>27</v>
      </c>
      <c r="F382" s="3">
        <v>878364</v>
      </c>
      <c r="G382" s="3">
        <v>81595</v>
      </c>
      <c r="H382" s="3">
        <v>695192</v>
      </c>
      <c r="I382" s="3">
        <v>55458</v>
      </c>
    </row>
    <row r="383" spans="1:9">
      <c r="A383" s="3" t="s">
        <v>408</v>
      </c>
      <c r="B383" s="3" t="s">
        <v>26</v>
      </c>
      <c r="C383" s="3">
        <v>1906980</v>
      </c>
      <c r="D383" s="3">
        <v>428813</v>
      </c>
      <c r="E383" s="3" t="s">
        <v>27</v>
      </c>
      <c r="F383" s="3">
        <v>1253238</v>
      </c>
      <c r="G383" s="3">
        <v>267402</v>
      </c>
      <c r="H383" s="3">
        <v>653742</v>
      </c>
      <c r="I383" s="3">
        <v>161411</v>
      </c>
    </row>
    <row r="384" spans="1:9">
      <c r="A384" s="3" t="s">
        <v>409</v>
      </c>
      <c r="B384" s="3" t="s">
        <v>26</v>
      </c>
      <c r="C384" s="3">
        <v>2480971</v>
      </c>
      <c r="D384" s="3">
        <v>625567</v>
      </c>
      <c r="E384" s="3" t="s">
        <v>27</v>
      </c>
      <c r="F384" s="3">
        <v>1529524</v>
      </c>
      <c r="G384" s="3">
        <v>406427</v>
      </c>
      <c r="H384" s="3">
        <v>951447</v>
      </c>
      <c r="I384" s="3">
        <v>219140</v>
      </c>
    </row>
    <row r="385" spans="1:9">
      <c r="A385" s="3" t="s">
        <v>410</v>
      </c>
      <c r="B385" s="3" t="s">
        <v>26</v>
      </c>
      <c r="C385" s="3">
        <v>1752986</v>
      </c>
      <c r="D385" s="3">
        <v>390495</v>
      </c>
      <c r="E385" s="3" t="s">
        <v>27</v>
      </c>
      <c r="F385" s="3">
        <v>1437718</v>
      </c>
      <c r="G385" s="3">
        <v>299115</v>
      </c>
      <c r="H385" s="3">
        <v>315268</v>
      </c>
      <c r="I385" s="3">
        <v>91380</v>
      </c>
    </row>
    <row r="386" spans="1:9">
      <c r="A386" s="3" t="s">
        <v>411</v>
      </c>
      <c r="B386" s="3" t="s">
        <v>26</v>
      </c>
      <c r="C386" s="3">
        <v>2094977</v>
      </c>
      <c r="D386" s="3">
        <v>551746</v>
      </c>
      <c r="E386" s="3" t="s">
        <v>27</v>
      </c>
      <c r="F386" s="3">
        <v>1515037</v>
      </c>
      <c r="G386" s="3">
        <v>400420</v>
      </c>
      <c r="H386" s="3">
        <v>579940</v>
      </c>
      <c r="I386" s="3">
        <v>151326</v>
      </c>
    </row>
    <row r="387" spans="1:9">
      <c r="A387" s="3" t="s">
        <v>412</v>
      </c>
      <c r="B387" s="3" t="s">
        <v>26</v>
      </c>
      <c r="C387" s="3">
        <v>1782983</v>
      </c>
      <c r="D387" s="3">
        <v>429086</v>
      </c>
      <c r="E387" s="3" t="s">
        <v>27</v>
      </c>
      <c r="F387" s="3">
        <v>1518310</v>
      </c>
      <c r="G387" s="3">
        <v>341252</v>
      </c>
      <c r="H387" s="3">
        <v>264673</v>
      </c>
      <c r="I387" s="3">
        <v>87834</v>
      </c>
    </row>
    <row r="388" spans="1:9">
      <c r="A388" s="3" t="s">
        <v>413</v>
      </c>
      <c r="B388" s="3" t="s">
        <v>26</v>
      </c>
      <c r="C388" s="3">
        <v>1081577</v>
      </c>
      <c r="D388" s="3">
        <v>6995</v>
      </c>
      <c r="E388" s="3" t="s">
        <v>27</v>
      </c>
      <c r="F388" s="3">
        <v>722476</v>
      </c>
      <c r="G388" s="3">
        <v>2933</v>
      </c>
      <c r="H388" s="3">
        <v>359101</v>
      </c>
      <c r="I388" s="3">
        <v>4062</v>
      </c>
    </row>
    <row r="389" spans="1:9">
      <c r="A389" s="3" t="s">
        <v>414</v>
      </c>
      <c r="B389" s="3" t="s">
        <v>26</v>
      </c>
      <c r="C389" s="3">
        <v>1953898</v>
      </c>
      <c r="D389" s="3">
        <v>302380</v>
      </c>
      <c r="E389" s="3" t="s">
        <v>27</v>
      </c>
      <c r="F389" s="3">
        <v>1108768</v>
      </c>
      <c r="G389" s="3">
        <v>184167</v>
      </c>
      <c r="H389" s="3">
        <v>845130</v>
      </c>
      <c r="I389" s="3">
        <v>118213</v>
      </c>
    </row>
    <row r="390" spans="1:9">
      <c r="A390" s="3" t="s">
        <v>415</v>
      </c>
      <c r="B390" s="3" t="s">
        <v>26</v>
      </c>
      <c r="C390" s="3">
        <v>1820501</v>
      </c>
      <c r="D390" s="3">
        <v>508342</v>
      </c>
      <c r="E390" s="3" t="s">
        <v>27</v>
      </c>
      <c r="F390" s="3">
        <v>1485165</v>
      </c>
      <c r="G390" s="3">
        <v>391605</v>
      </c>
      <c r="H390" s="3">
        <v>335336</v>
      </c>
      <c r="I390" s="3">
        <v>116737</v>
      </c>
    </row>
    <row r="391" spans="1:9">
      <c r="A391" s="3" t="s">
        <v>416</v>
      </c>
      <c r="B391" s="3" t="s">
        <v>26</v>
      </c>
      <c r="C391" s="3">
        <v>1744927</v>
      </c>
      <c r="D391" s="3">
        <v>469943</v>
      </c>
      <c r="E391" s="3" t="s">
        <v>27</v>
      </c>
      <c r="F391" s="3">
        <v>1223942</v>
      </c>
      <c r="G391" s="3">
        <v>312050</v>
      </c>
      <c r="H391" s="3">
        <v>520985</v>
      </c>
      <c r="I391" s="3">
        <v>157893</v>
      </c>
    </row>
    <row r="392" spans="1:9">
      <c r="A392" s="3" t="s">
        <v>417</v>
      </c>
      <c r="B392" s="3" t="s">
        <v>26</v>
      </c>
      <c r="C392" s="3">
        <v>2125675</v>
      </c>
      <c r="D392" s="3">
        <v>528309</v>
      </c>
      <c r="E392" s="3" t="s">
        <v>27</v>
      </c>
      <c r="F392" s="3">
        <v>1567479</v>
      </c>
      <c r="G392" s="3">
        <v>375295</v>
      </c>
      <c r="H392" s="3">
        <v>558196</v>
      </c>
      <c r="I392" s="3">
        <v>153014</v>
      </c>
    </row>
    <row r="393" spans="1:9">
      <c r="A393" s="3" t="s">
        <v>418</v>
      </c>
      <c r="B393" s="3" t="s">
        <v>26</v>
      </c>
      <c r="C393" s="3">
        <v>783578</v>
      </c>
      <c r="D393" s="3">
        <v>1013</v>
      </c>
      <c r="E393" s="3" t="s">
        <v>27</v>
      </c>
      <c r="F393" s="3">
        <v>401896</v>
      </c>
      <c r="G393" s="3">
        <v>420</v>
      </c>
      <c r="H393" s="3">
        <v>381682</v>
      </c>
      <c r="I393" s="3">
        <v>593</v>
      </c>
    </row>
    <row r="394" spans="1:9">
      <c r="A394" s="3" t="s">
        <v>419</v>
      </c>
      <c r="B394" s="3" t="s">
        <v>26</v>
      </c>
      <c r="C394" s="3">
        <v>2475237</v>
      </c>
      <c r="D394" s="3">
        <v>767219</v>
      </c>
      <c r="E394" s="3" t="s">
        <v>27</v>
      </c>
      <c r="F394" s="3">
        <v>1903471</v>
      </c>
      <c r="G394" s="3">
        <v>567225</v>
      </c>
      <c r="H394" s="3">
        <v>571766</v>
      </c>
      <c r="I394" s="3">
        <v>199994</v>
      </c>
    </row>
    <row r="395" spans="1:9">
      <c r="A395" s="3" t="s">
        <v>420</v>
      </c>
      <c r="B395" s="3" t="s">
        <v>26</v>
      </c>
      <c r="C395" s="3">
        <v>1903074</v>
      </c>
      <c r="D395" s="3">
        <v>377630</v>
      </c>
      <c r="E395" s="3" t="s">
        <v>27</v>
      </c>
      <c r="F395" s="3">
        <v>1310968</v>
      </c>
      <c r="G395" s="3">
        <v>251876</v>
      </c>
      <c r="H395" s="3">
        <v>592106</v>
      </c>
      <c r="I395" s="3">
        <v>125754</v>
      </c>
    </row>
    <row r="396" spans="1:9">
      <c r="A396" s="3" t="s">
        <v>421</v>
      </c>
      <c r="B396" s="3" t="s">
        <v>26</v>
      </c>
      <c r="C396" s="3">
        <v>1733001</v>
      </c>
      <c r="D396" s="3">
        <v>389839</v>
      </c>
      <c r="E396" s="3" t="s">
        <v>27</v>
      </c>
      <c r="F396" s="3">
        <v>1347467</v>
      </c>
      <c r="G396" s="3">
        <v>275033</v>
      </c>
      <c r="H396" s="3">
        <v>385534</v>
      </c>
      <c r="I396" s="3">
        <v>114806</v>
      </c>
    </row>
    <row r="397" spans="1:9">
      <c r="A397" s="3" t="s">
        <v>422</v>
      </c>
      <c r="B397" s="3" t="s">
        <v>26</v>
      </c>
      <c r="C397" s="3">
        <v>1626785</v>
      </c>
      <c r="D397" s="3">
        <v>27008</v>
      </c>
      <c r="E397" s="3" t="s">
        <v>27</v>
      </c>
      <c r="F397" s="3">
        <v>814788</v>
      </c>
      <c r="G397" s="3">
        <v>13588</v>
      </c>
      <c r="H397" s="3">
        <v>811997</v>
      </c>
      <c r="I397" s="3">
        <v>13420</v>
      </c>
    </row>
    <row r="398" spans="1:9">
      <c r="A398" s="3" t="s">
        <v>423</v>
      </c>
      <c r="B398" s="3" t="s">
        <v>26</v>
      </c>
      <c r="C398" s="3">
        <v>2405791</v>
      </c>
      <c r="D398" s="3">
        <v>608724</v>
      </c>
      <c r="E398" s="3" t="s">
        <v>27</v>
      </c>
      <c r="F398" s="3">
        <v>1727782</v>
      </c>
      <c r="G398" s="3">
        <v>421134</v>
      </c>
      <c r="H398" s="3">
        <v>678009</v>
      </c>
      <c r="I398" s="3">
        <v>187590</v>
      </c>
    </row>
    <row r="399" spans="1:9">
      <c r="A399" s="3" t="s">
        <v>424</v>
      </c>
      <c r="B399" s="3" t="s">
        <v>26</v>
      </c>
      <c r="C399" s="3">
        <v>1070460</v>
      </c>
      <c r="D399" s="3">
        <v>104571</v>
      </c>
      <c r="E399" s="3" t="s">
        <v>27</v>
      </c>
      <c r="F399" s="3">
        <v>604364</v>
      </c>
      <c r="G399" s="3">
        <v>61752</v>
      </c>
      <c r="H399" s="3">
        <v>466096</v>
      </c>
      <c r="I399" s="3">
        <v>42819</v>
      </c>
    </row>
    <row r="400" spans="1:9">
      <c r="A400" s="3" t="s">
        <v>425</v>
      </c>
      <c r="B400" s="3" t="s">
        <v>26</v>
      </c>
      <c r="C400" s="3">
        <v>2044782</v>
      </c>
      <c r="D400" s="3">
        <v>293806</v>
      </c>
      <c r="E400" s="3" t="s">
        <v>27</v>
      </c>
      <c r="F400" s="3">
        <v>1169022</v>
      </c>
      <c r="G400" s="3">
        <v>175544</v>
      </c>
      <c r="H400" s="3">
        <v>875760</v>
      </c>
      <c r="I400" s="3">
        <v>118262</v>
      </c>
    </row>
    <row r="401" spans="1:9">
      <c r="A401" s="3" t="s">
        <v>426</v>
      </c>
      <c r="B401" s="3" t="s">
        <v>26</v>
      </c>
      <c r="C401" s="3">
        <v>2390972</v>
      </c>
      <c r="D401" s="3">
        <v>618814</v>
      </c>
      <c r="E401" s="3" t="s">
        <v>27</v>
      </c>
      <c r="F401" s="3">
        <v>1620541</v>
      </c>
      <c r="G401" s="3">
        <v>403791</v>
      </c>
      <c r="H401" s="3">
        <v>770431</v>
      </c>
      <c r="I401" s="3">
        <v>215023</v>
      </c>
    </row>
    <row r="402" spans="1:9">
      <c r="A402" s="3" t="s">
        <v>427</v>
      </c>
      <c r="B402" s="3" t="s">
        <v>26</v>
      </c>
      <c r="C402" s="3">
        <v>2302092</v>
      </c>
      <c r="D402" s="3">
        <v>661453</v>
      </c>
      <c r="E402" s="3" t="s">
        <v>27</v>
      </c>
      <c r="F402" s="3">
        <v>1706571</v>
      </c>
      <c r="G402" s="3">
        <v>476571</v>
      </c>
      <c r="H402" s="3">
        <v>595521</v>
      </c>
      <c r="I402" s="3">
        <v>184882</v>
      </c>
    </row>
    <row r="403" spans="1:9">
      <c r="A403" s="3" t="s">
        <v>428</v>
      </c>
      <c r="B403" s="3" t="s">
        <v>26</v>
      </c>
      <c r="C403" s="3">
        <v>1154770</v>
      </c>
      <c r="D403" s="3">
        <v>275774</v>
      </c>
      <c r="E403" s="3" t="s">
        <v>27</v>
      </c>
      <c r="F403" s="3">
        <v>903136</v>
      </c>
      <c r="G403" s="3">
        <v>198910</v>
      </c>
      <c r="H403" s="3">
        <v>251634</v>
      </c>
      <c r="I403" s="3">
        <v>76864</v>
      </c>
    </row>
    <row r="404" spans="1:9">
      <c r="A404" s="3" t="s">
        <v>429</v>
      </c>
      <c r="B404" s="3" t="s">
        <v>26</v>
      </c>
      <c r="C404" s="3">
        <v>160767</v>
      </c>
      <c r="D404" s="3">
        <v>12268</v>
      </c>
      <c r="E404" s="3" t="s">
        <v>27</v>
      </c>
      <c r="F404" s="3">
        <v>124327</v>
      </c>
      <c r="G404" s="3">
        <v>9713</v>
      </c>
      <c r="H404" s="3">
        <v>36440</v>
      </c>
      <c r="I404" s="3">
        <v>2555</v>
      </c>
    </row>
    <row r="405" spans="1:9">
      <c r="A405" s="3" t="s">
        <v>430</v>
      </c>
      <c r="B405" s="3" t="s">
        <v>26</v>
      </c>
      <c r="C405" s="3">
        <v>1968216</v>
      </c>
      <c r="D405" s="3">
        <v>345690</v>
      </c>
      <c r="E405" s="3" t="s">
        <v>27</v>
      </c>
      <c r="F405" s="3">
        <v>1325840</v>
      </c>
      <c r="G405" s="3">
        <v>225291</v>
      </c>
      <c r="H405" s="3">
        <v>642376</v>
      </c>
      <c r="I405" s="3">
        <v>120399</v>
      </c>
    </row>
    <row r="406" spans="1:9">
      <c r="A406" s="3" t="s">
        <v>431</v>
      </c>
      <c r="B406" s="3" t="s">
        <v>26</v>
      </c>
      <c r="C406" s="3">
        <v>2060096</v>
      </c>
      <c r="D406" s="3">
        <v>81890</v>
      </c>
      <c r="E406" s="3" t="s">
        <v>27</v>
      </c>
      <c r="F406" s="3">
        <v>1091477</v>
      </c>
      <c r="G406" s="3">
        <v>45288</v>
      </c>
      <c r="H406" s="3">
        <v>968619</v>
      </c>
      <c r="I406" s="3">
        <v>36602</v>
      </c>
    </row>
    <row r="407" spans="1:9">
      <c r="A407" s="3" t="s">
        <v>432</v>
      </c>
      <c r="B407" s="3" t="s">
        <v>26</v>
      </c>
      <c r="C407" s="3">
        <v>1860620</v>
      </c>
      <c r="D407" s="3">
        <v>57757</v>
      </c>
      <c r="E407" s="3" t="s">
        <v>27</v>
      </c>
      <c r="F407" s="3">
        <v>1019137</v>
      </c>
      <c r="G407" s="3">
        <v>32386</v>
      </c>
      <c r="H407" s="3">
        <v>841483</v>
      </c>
      <c r="I407" s="3">
        <v>25371</v>
      </c>
    </row>
    <row r="408" spans="1:9">
      <c r="A408" s="3" t="s">
        <v>433</v>
      </c>
      <c r="B408" s="3" t="s">
        <v>26</v>
      </c>
      <c r="C408" s="3">
        <v>2500812</v>
      </c>
      <c r="D408" s="3">
        <v>556069</v>
      </c>
      <c r="E408" s="3" t="s">
        <v>27</v>
      </c>
      <c r="F408" s="3">
        <v>1612232</v>
      </c>
      <c r="G408" s="3">
        <v>366354</v>
      </c>
      <c r="H408" s="3">
        <v>888580</v>
      </c>
      <c r="I408" s="3">
        <v>189715</v>
      </c>
    </row>
    <row r="409" spans="1:9">
      <c r="A409" s="3" t="s">
        <v>434</v>
      </c>
      <c r="B409" s="3" t="s">
        <v>26</v>
      </c>
      <c r="C409" s="3">
        <v>1035266</v>
      </c>
      <c r="D409" s="3">
        <v>4357</v>
      </c>
      <c r="E409" s="3" t="s">
        <v>27</v>
      </c>
      <c r="F409" s="3">
        <v>519607</v>
      </c>
      <c r="G409" s="3">
        <v>486</v>
      </c>
      <c r="H409" s="3">
        <v>515659</v>
      </c>
      <c r="I409" s="3">
        <v>3871</v>
      </c>
    </row>
    <row r="410" spans="1:9">
      <c r="A410" s="3" t="s">
        <v>435</v>
      </c>
      <c r="B410" s="3" t="s">
        <v>26</v>
      </c>
      <c r="C410" s="3">
        <v>2277615</v>
      </c>
      <c r="D410" s="3">
        <v>389199</v>
      </c>
      <c r="E410" s="3" t="s">
        <v>27</v>
      </c>
      <c r="F410" s="3">
        <v>1517317</v>
      </c>
      <c r="G410" s="3">
        <v>247511</v>
      </c>
      <c r="H410" s="3">
        <v>760298</v>
      </c>
      <c r="I410" s="3">
        <v>141688</v>
      </c>
    </row>
    <row r="411" spans="1:9">
      <c r="A411" s="3" t="s">
        <v>436</v>
      </c>
      <c r="B411" s="3" t="s">
        <v>26</v>
      </c>
      <c r="C411" s="3">
        <v>1996874</v>
      </c>
      <c r="D411" s="3">
        <v>120928</v>
      </c>
      <c r="E411" s="3" t="s">
        <v>27</v>
      </c>
      <c r="F411" s="3">
        <v>1179792</v>
      </c>
      <c r="G411" s="3">
        <v>76680</v>
      </c>
      <c r="H411" s="3">
        <v>817082</v>
      </c>
      <c r="I411" s="3">
        <v>44248</v>
      </c>
    </row>
    <row r="412" spans="1:9">
      <c r="A412" s="3" t="s">
        <v>437</v>
      </c>
      <c r="B412" s="3" t="s">
        <v>26</v>
      </c>
      <c r="C412" s="3">
        <v>2803464</v>
      </c>
      <c r="D412" s="3">
        <v>606569</v>
      </c>
      <c r="E412" s="3" t="s">
        <v>27</v>
      </c>
      <c r="F412" s="3">
        <v>2223953</v>
      </c>
      <c r="G412" s="3">
        <v>482031</v>
      </c>
      <c r="H412" s="3">
        <v>579511</v>
      </c>
      <c r="I412" s="3">
        <v>124538</v>
      </c>
    </row>
    <row r="413" spans="1:9">
      <c r="A413" s="3" t="s">
        <v>438</v>
      </c>
      <c r="B413" s="3" t="s">
        <v>26</v>
      </c>
      <c r="C413" s="3">
        <v>2068222</v>
      </c>
      <c r="D413" s="3">
        <v>300781</v>
      </c>
      <c r="E413" s="3" t="s">
        <v>27</v>
      </c>
      <c r="F413" s="3">
        <v>1362552</v>
      </c>
      <c r="G413" s="3">
        <v>205622</v>
      </c>
      <c r="H413" s="3">
        <v>705670</v>
      </c>
      <c r="I413" s="3">
        <v>95159</v>
      </c>
    </row>
    <row r="414" spans="1:9">
      <c r="A414" s="3" t="s">
        <v>439</v>
      </c>
      <c r="B414" s="3" t="s">
        <v>26</v>
      </c>
      <c r="C414" s="3">
        <v>1953037</v>
      </c>
      <c r="D414" s="3">
        <v>81114</v>
      </c>
      <c r="E414" s="3" t="s">
        <v>27</v>
      </c>
      <c r="F414" s="3">
        <v>1071884</v>
      </c>
      <c r="G414" s="3">
        <v>48839</v>
      </c>
      <c r="H414" s="3">
        <v>881153</v>
      </c>
      <c r="I414" s="3">
        <v>32275</v>
      </c>
    </row>
    <row r="415" spans="1:9">
      <c r="A415" s="3" t="s">
        <v>440</v>
      </c>
      <c r="B415" s="3" t="s">
        <v>26</v>
      </c>
      <c r="C415" s="3">
        <v>2114983</v>
      </c>
      <c r="D415" s="3">
        <v>420261</v>
      </c>
      <c r="E415" s="3" t="s">
        <v>27</v>
      </c>
      <c r="F415" s="3">
        <v>1365665</v>
      </c>
      <c r="G415" s="3">
        <v>287860</v>
      </c>
      <c r="H415" s="3">
        <v>749318</v>
      </c>
      <c r="I415" s="3">
        <v>132401</v>
      </c>
    </row>
    <row r="416" spans="1:9">
      <c r="A416" s="3" t="s">
        <v>441</v>
      </c>
      <c r="B416" s="3" t="s">
        <v>26</v>
      </c>
      <c r="C416" s="3">
        <v>3432801</v>
      </c>
      <c r="D416" s="3">
        <v>1130406</v>
      </c>
      <c r="E416" s="3" t="s">
        <v>27</v>
      </c>
      <c r="F416" s="3">
        <v>2596297</v>
      </c>
      <c r="G416" s="3">
        <v>813316</v>
      </c>
      <c r="H416" s="3">
        <v>836504</v>
      </c>
      <c r="I416" s="3">
        <v>317090</v>
      </c>
    </row>
    <row r="417" spans="1:9">
      <c r="A417" s="3" t="s">
        <v>442</v>
      </c>
      <c r="B417" s="3" t="s">
        <v>26</v>
      </c>
      <c r="C417" s="3">
        <v>2486878</v>
      </c>
      <c r="D417" s="3">
        <v>543386</v>
      </c>
      <c r="E417" s="3" t="s">
        <v>27</v>
      </c>
      <c r="F417" s="3">
        <v>1651278</v>
      </c>
      <c r="G417" s="3">
        <v>336906</v>
      </c>
      <c r="H417" s="3">
        <v>835600</v>
      </c>
      <c r="I417" s="3">
        <v>206480</v>
      </c>
    </row>
    <row r="418" spans="1:9">
      <c r="A418" s="3" t="s">
        <v>443</v>
      </c>
      <c r="B418" s="3" t="s">
        <v>26</v>
      </c>
      <c r="C418" s="3">
        <v>1506020</v>
      </c>
      <c r="D418" s="3">
        <v>254349</v>
      </c>
      <c r="E418" s="3" t="s">
        <v>27</v>
      </c>
      <c r="F418" s="3">
        <v>1369344</v>
      </c>
      <c r="G418" s="3">
        <v>221082</v>
      </c>
      <c r="H418" s="3">
        <v>136676</v>
      </c>
      <c r="I418" s="3">
        <v>33267</v>
      </c>
    </row>
    <row r="419" spans="1:9">
      <c r="A419" s="3" t="s">
        <v>444</v>
      </c>
      <c r="B419" s="3" t="s">
        <v>26</v>
      </c>
      <c r="C419" s="3">
        <v>3064637</v>
      </c>
      <c r="D419" s="3">
        <v>723256</v>
      </c>
      <c r="E419" s="3" t="s">
        <v>27</v>
      </c>
      <c r="F419" s="3">
        <v>1962911</v>
      </c>
      <c r="G419" s="3">
        <v>458510</v>
      </c>
      <c r="H419" s="3">
        <v>1101726</v>
      </c>
      <c r="I419" s="3">
        <v>264746</v>
      </c>
    </row>
    <row r="420" spans="1:9">
      <c r="A420" s="3" t="s">
        <v>445</v>
      </c>
      <c r="B420" s="3" t="s">
        <v>26</v>
      </c>
      <c r="C420" s="3">
        <v>1529343</v>
      </c>
      <c r="D420" s="3">
        <v>18766</v>
      </c>
      <c r="E420" s="3" t="s">
        <v>27</v>
      </c>
      <c r="F420" s="3">
        <v>804857</v>
      </c>
      <c r="G420" s="3">
        <v>9183</v>
      </c>
      <c r="H420" s="3">
        <v>724486</v>
      </c>
      <c r="I420" s="3">
        <v>9583</v>
      </c>
    </row>
    <row r="421" spans="1:9">
      <c r="A421" s="3" t="s">
        <v>446</v>
      </c>
      <c r="B421" s="3" t="s">
        <v>26</v>
      </c>
      <c r="C421" s="3">
        <v>2279881</v>
      </c>
      <c r="D421" s="3">
        <v>353289</v>
      </c>
      <c r="E421" s="3" t="s">
        <v>27</v>
      </c>
      <c r="F421" s="3">
        <v>1401836</v>
      </c>
      <c r="G421" s="3">
        <v>237052</v>
      </c>
      <c r="H421" s="3">
        <v>878045</v>
      </c>
      <c r="I421" s="3">
        <v>116237</v>
      </c>
    </row>
    <row r="422" spans="1:9">
      <c r="A422" s="3" t="s">
        <v>447</v>
      </c>
      <c r="B422" s="3" t="s">
        <v>26</v>
      </c>
      <c r="C422" s="3">
        <v>352390</v>
      </c>
      <c r="D422" s="3">
        <v>12917</v>
      </c>
      <c r="E422" s="3" t="s">
        <v>27</v>
      </c>
      <c r="F422" s="3">
        <v>166434</v>
      </c>
      <c r="G422" s="3">
        <v>6866</v>
      </c>
      <c r="H422" s="3">
        <v>185956</v>
      </c>
      <c r="I422" s="3">
        <v>6051</v>
      </c>
    </row>
    <row r="423" spans="1:9">
      <c r="A423" s="3" t="s">
        <v>448</v>
      </c>
      <c r="B423" s="3" t="s">
        <v>26</v>
      </c>
      <c r="C423" s="3">
        <v>1687042</v>
      </c>
      <c r="D423" s="3">
        <v>295374</v>
      </c>
      <c r="E423" s="3" t="s">
        <v>27</v>
      </c>
      <c r="F423" s="3">
        <v>1158305</v>
      </c>
      <c r="G423" s="3">
        <v>201677</v>
      </c>
      <c r="H423" s="3">
        <v>528737</v>
      </c>
      <c r="I423" s="3">
        <v>93697</v>
      </c>
    </row>
    <row r="424" spans="1:9">
      <c r="A424" s="3" t="s">
        <v>449</v>
      </c>
      <c r="B424" s="3" t="s">
        <v>26</v>
      </c>
      <c r="C424" s="3">
        <v>2737860</v>
      </c>
      <c r="D424" s="3">
        <v>671087</v>
      </c>
      <c r="E424" s="3" t="s">
        <v>27</v>
      </c>
      <c r="F424" s="3">
        <v>2071405</v>
      </c>
      <c r="G424" s="3">
        <v>522355</v>
      </c>
      <c r="H424" s="3">
        <v>666455</v>
      </c>
      <c r="I424" s="3">
        <v>148732</v>
      </c>
    </row>
    <row r="425" spans="1:9">
      <c r="A425" s="3" t="s">
        <v>450</v>
      </c>
      <c r="B425" s="3" t="s">
        <v>26</v>
      </c>
      <c r="C425" s="3">
        <v>2981326</v>
      </c>
      <c r="D425" s="3">
        <v>769310</v>
      </c>
      <c r="E425" s="3" t="s">
        <v>27</v>
      </c>
      <c r="F425" s="3">
        <v>2216548</v>
      </c>
      <c r="G425" s="3">
        <v>553815</v>
      </c>
      <c r="H425" s="3">
        <v>764778</v>
      </c>
      <c r="I425" s="3">
        <v>215495</v>
      </c>
    </row>
    <row r="426" spans="1:9">
      <c r="A426" s="3" t="s">
        <v>451</v>
      </c>
      <c r="B426" s="3" t="s">
        <v>26</v>
      </c>
      <c r="C426" s="3">
        <v>1570179</v>
      </c>
      <c r="D426" s="3">
        <v>41043</v>
      </c>
      <c r="E426" s="3" t="s">
        <v>27</v>
      </c>
      <c r="F426" s="3">
        <v>885968</v>
      </c>
      <c r="G426" s="3">
        <v>27631</v>
      </c>
      <c r="H426" s="3">
        <v>684211</v>
      </c>
      <c r="I426" s="3">
        <v>13412</v>
      </c>
    </row>
    <row r="427" spans="1:9">
      <c r="A427" s="3" t="s">
        <v>452</v>
      </c>
      <c r="B427" s="3" t="s">
        <v>26</v>
      </c>
      <c r="C427" s="3">
        <v>3172635</v>
      </c>
      <c r="D427" s="3">
        <v>855866</v>
      </c>
      <c r="E427" s="3" t="s">
        <v>27</v>
      </c>
      <c r="F427" s="3">
        <v>2133309</v>
      </c>
      <c r="G427" s="3">
        <v>580014</v>
      </c>
      <c r="H427" s="3">
        <v>1039326</v>
      </c>
      <c r="I427" s="3">
        <v>275852</v>
      </c>
    </row>
    <row r="428" spans="1:9">
      <c r="A428" s="3" t="s">
        <v>453</v>
      </c>
      <c r="B428" s="3" t="s">
        <v>26</v>
      </c>
      <c r="C428" s="3">
        <v>2371916</v>
      </c>
      <c r="D428" s="3">
        <v>546293</v>
      </c>
      <c r="E428" s="3" t="s">
        <v>27</v>
      </c>
      <c r="F428" s="3">
        <v>1855582</v>
      </c>
      <c r="G428" s="3">
        <v>418087</v>
      </c>
      <c r="H428" s="3">
        <v>516334</v>
      </c>
      <c r="I428" s="3">
        <v>128206</v>
      </c>
    </row>
    <row r="429" spans="1:9">
      <c r="A429" s="3" t="s">
        <v>454</v>
      </c>
      <c r="B429" s="3" t="s">
        <v>26</v>
      </c>
      <c r="C429" s="3">
        <v>1986227</v>
      </c>
      <c r="D429" s="3">
        <v>234082</v>
      </c>
      <c r="E429" s="3" t="s">
        <v>27</v>
      </c>
      <c r="F429" s="3">
        <v>1278072</v>
      </c>
      <c r="G429" s="3">
        <v>188957</v>
      </c>
      <c r="H429" s="3">
        <v>708155</v>
      </c>
      <c r="I429" s="3">
        <v>45125</v>
      </c>
    </row>
    <row r="430" spans="1:9">
      <c r="A430" s="3" t="s">
        <v>455</v>
      </c>
      <c r="B430" s="3" t="s">
        <v>26</v>
      </c>
      <c r="C430" s="3">
        <v>1956080</v>
      </c>
      <c r="D430" s="3">
        <v>279122</v>
      </c>
      <c r="E430" s="3" t="s">
        <v>27</v>
      </c>
      <c r="F430" s="3">
        <v>1416700</v>
      </c>
      <c r="G430" s="3">
        <v>197804</v>
      </c>
      <c r="H430" s="3">
        <v>539380</v>
      </c>
      <c r="I430" s="3">
        <v>81318</v>
      </c>
    </row>
    <row r="431" spans="1:9">
      <c r="A431" s="3" t="s">
        <v>456</v>
      </c>
      <c r="B431" s="3" t="s">
        <v>26</v>
      </c>
      <c r="C431" s="3">
        <v>2442407</v>
      </c>
      <c r="D431" s="3">
        <v>423704</v>
      </c>
      <c r="E431" s="3" t="s">
        <v>27</v>
      </c>
      <c r="F431" s="3">
        <v>1607269</v>
      </c>
      <c r="G431" s="3">
        <v>298452</v>
      </c>
      <c r="H431" s="3">
        <v>835138</v>
      </c>
      <c r="I431" s="3">
        <v>125252</v>
      </c>
    </row>
    <row r="432" spans="1:9">
      <c r="A432" s="3" t="s">
        <v>457</v>
      </c>
      <c r="B432" s="3" t="s">
        <v>26</v>
      </c>
      <c r="C432" s="3">
        <v>1999668</v>
      </c>
      <c r="D432" s="3">
        <v>37596</v>
      </c>
      <c r="E432" s="3" t="s">
        <v>27</v>
      </c>
      <c r="F432" s="3">
        <v>1042077</v>
      </c>
      <c r="G432" s="3">
        <v>19289</v>
      </c>
      <c r="H432" s="3">
        <v>957591</v>
      </c>
      <c r="I432" s="3">
        <v>18307</v>
      </c>
    </row>
    <row r="433" spans="1:9">
      <c r="A433" s="3" t="s">
        <v>458</v>
      </c>
      <c r="B433" s="3" t="s">
        <v>26</v>
      </c>
      <c r="C433" s="3">
        <v>941232</v>
      </c>
      <c r="D433" s="3">
        <v>2791</v>
      </c>
      <c r="E433" s="3" t="s">
        <v>27</v>
      </c>
      <c r="F433" s="3">
        <v>504756</v>
      </c>
      <c r="G433" s="3">
        <v>1289</v>
      </c>
      <c r="H433" s="3">
        <v>436476</v>
      </c>
      <c r="I433" s="3">
        <v>1502</v>
      </c>
    </row>
    <row r="434" spans="1:9">
      <c r="A434" s="3" t="s">
        <v>459</v>
      </c>
      <c r="B434" s="3" t="s">
        <v>26</v>
      </c>
      <c r="C434" s="3">
        <v>2913721</v>
      </c>
      <c r="D434" s="3">
        <v>653623</v>
      </c>
      <c r="E434" s="3" t="s">
        <v>27</v>
      </c>
      <c r="F434" s="3">
        <v>2218274</v>
      </c>
      <c r="G434" s="3">
        <v>473676</v>
      </c>
      <c r="H434" s="3">
        <v>695447</v>
      </c>
      <c r="I434" s="3">
        <v>179947</v>
      </c>
    </row>
    <row r="435" spans="1:9">
      <c r="A435" s="3" t="s">
        <v>460</v>
      </c>
      <c r="B435" s="3" t="s">
        <v>26</v>
      </c>
      <c r="C435" s="3">
        <v>1211727</v>
      </c>
      <c r="D435" s="3">
        <v>83492</v>
      </c>
      <c r="E435" s="3" t="s">
        <v>27</v>
      </c>
      <c r="F435" s="3">
        <v>732761</v>
      </c>
      <c r="G435" s="3">
        <v>48268</v>
      </c>
      <c r="H435" s="3">
        <v>478966</v>
      </c>
      <c r="I435" s="3">
        <v>35224</v>
      </c>
    </row>
    <row r="436" spans="1:9">
      <c r="A436" s="3" t="s">
        <v>461</v>
      </c>
      <c r="B436" s="3" t="s">
        <v>26</v>
      </c>
      <c r="C436" s="3">
        <v>1609882</v>
      </c>
      <c r="D436" s="3">
        <v>364704</v>
      </c>
      <c r="E436" s="3" t="s">
        <v>27</v>
      </c>
      <c r="F436" s="3">
        <v>1060150</v>
      </c>
      <c r="G436" s="3">
        <v>225352</v>
      </c>
      <c r="H436" s="3">
        <v>549732</v>
      </c>
      <c r="I436" s="3">
        <v>139352</v>
      </c>
    </row>
    <row r="437" spans="1:9">
      <c r="A437" s="3" t="s">
        <v>462</v>
      </c>
      <c r="B437" s="3" t="s">
        <v>26</v>
      </c>
      <c r="C437" s="3">
        <v>2448248</v>
      </c>
      <c r="D437" s="3">
        <v>429874</v>
      </c>
      <c r="E437" s="3" t="s">
        <v>27</v>
      </c>
      <c r="F437" s="3">
        <v>1511673</v>
      </c>
      <c r="G437" s="3">
        <v>257578</v>
      </c>
      <c r="H437" s="3">
        <v>936575</v>
      </c>
      <c r="I437" s="3">
        <v>172296</v>
      </c>
    </row>
    <row r="438" spans="1:9">
      <c r="A438" s="3" t="s">
        <v>463</v>
      </c>
      <c r="B438" s="3" t="s">
        <v>26</v>
      </c>
      <c r="C438" s="3">
        <v>1694927</v>
      </c>
      <c r="D438" s="3">
        <v>140960</v>
      </c>
      <c r="E438" s="3" t="s">
        <v>27</v>
      </c>
      <c r="F438" s="3">
        <v>962414</v>
      </c>
      <c r="G438" s="3">
        <v>79339</v>
      </c>
      <c r="H438" s="3">
        <v>732513</v>
      </c>
      <c r="I438" s="3">
        <v>61621</v>
      </c>
    </row>
    <row r="439" spans="1:9">
      <c r="A439" s="3" t="s">
        <v>464</v>
      </c>
      <c r="B439" s="3" t="s">
        <v>26</v>
      </c>
      <c r="C439" s="3">
        <v>1505710</v>
      </c>
      <c r="D439" s="3">
        <v>115518</v>
      </c>
      <c r="E439" s="3" t="s">
        <v>27</v>
      </c>
      <c r="F439" s="3">
        <v>917193</v>
      </c>
      <c r="G439" s="3">
        <v>80362</v>
      </c>
      <c r="H439" s="3">
        <v>588517</v>
      </c>
      <c r="I439" s="3">
        <v>35156</v>
      </c>
    </row>
    <row r="440" spans="1:9">
      <c r="A440" s="3" t="s">
        <v>465</v>
      </c>
      <c r="B440" s="3" t="s">
        <v>26</v>
      </c>
      <c r="C440" s="3">
        <v>957251</v>
      </c>
      <c r="D440" s="3">
        <v>20176</v>
      </c>
      <c r="E440" s="3" t="s">
        <v>27</v>
      </c>
      <c r="F440" s="3">
        <v>577532</v>
      </c>
      <c r="G440" s="3">
        <v>12679</v>
      </c>
      <c r="H440" s="3">
        <v>379719</v>
      </c>
      <c r="I440" s="3">
        <v>7497</v>
      </c>
    </row>
    <row r="441" spans="1:9">
      <c r="A441" s="3" t="s">
        <v>466</v>
      </c>
      <c r="B441" s="3" t="s">
        <v>26</v>
      </c>
      <c r="C441" s="3">
        <v>3328747</v>
      </c>
      <c r="D441" s="3">
        <v>734399</v>
      </c>
      <c r="E441" s="3" t="s">
        <v>27</v>
      </c>
      <c r="F441" s="3">
        <v>2066506</v>
      </c>
      <c r="G441" s="3">
        <v>438484</v>
      </c>
      <c r="H441" s="3">
        <v>1262241</v>
      </c>
      <c r="I441" s="3">
        <v>295915</v>
      </c>
    </row>
    <row r="442" spans="1:9">
      <c r="A442" s="3" t="s">
        <v>467</v>
      </c>
      <c r="B442" s="3" t="s">
        <v>26</v>
      </c>
      <c r="C442" s="3">
        <v>2076129</v>
      </c>
      <c r="D442" s="3">
        <v>337806</v>
      </c>
      <c r="E442" s="3" t="s">
        <v>27</v>
      </c>
      <c r="F442" s="3">
        <v>1368106</v>
      </c>
      <c r="G442" s="3">
        <v>232259</v>
      </c>
      <c r="H442" s="3">
        <v>708023</v>
      </c>
      <c r="I442" s="3">
        <v>105547</v>
      </c>
    </row>
    <row r="443" spans="1:9">
      <c r="A443" s="3" t="s">
        <v>468</v>
      </c>
      <c r="B443" s="3" t="s">
        <v>26</v>
      </c>
      <c r="C443" s="3">
        <v>1626612</v>
      </c>
      <c r="D443" s="3">
        <v>225652</v>
      </c>
      <c r="E443" s="3" t="s">
        <v>27</v>
      </c>
      <c r="F443" s="3">
        <v>1082818</v>
      </c>
      <c r="G443" s="3">
        <v>147277</v>
      </c>
      <c r="H443" s="3">
        <v>543794</v>
      </c>
      <c r="I443" s="3">
        <v>78375</v>
      </c>
    </row>
    <row r="444" spans="1:9">
      <c r="A444" s="3" t="s">
        <v>469</v>
      </c>
      <c r="B444" s="3" t="s">
        <v>26</v>
      </c>
      <c r="C444" s="3">
        <v>1779241</v>
      </c>
      <c r="D444" s="3">
        <v>178610</v>
      </c>
      <c r="E444" s="3" t="s">
        <v>27</v>
      </c>
      <c r="F444" s="3">
        <v>1059357</v>
      </c>
      <c r="G444" s="3">
        <v>97478</v>
      </c>
      <c r="H444" s="3">
        <v>719884</v>
      </c>
      <c r="I444" s="3">
        <v>81132</v>
      </c>
    </row>
    <row r="445" spans="1:9">
      <c r="A445" s="3" t="s">
        <v>470</v>
      </c>
      <c r="B445" s="3" t="s">
        <v>26</v>
      </c>
      <c r="C445" s="3">
        <v>2333404</v>
      </c>
      <c r="D445" s="3">
        <v>312904</v>
      </c>
      <c r="E445" s="3" t="s">
        <v>27</v>
      </c>
      <c r="F445" s="3">
        <v>1542610</v>
      </c>
      <c r="G445" s="3">
        <v>220891</v>
      </c>
      <c r="H445" s="3">
        <v>790794</v>
      </c>
      <c r="I445" s="3">
        <v>92013</v>
      </c>
    </row>
    <row r="446" spans="1:9">
      <c r="A446" s="3" t="s">
        <v>471</v>
      </c>
      <c r="B446" s="3" t="s">
        <v>26</v>
      </c>
      <c r="C446" s="3">
        <v>1972384</v>
      </c>
      <c r="D446" s="3">
        <v>257568</v>
      </c>
      <c r="E446" s="3" t="s">
        <v>27</v>
      </c>
      <c r="F446" s="3">
        <v>1235925</v>
      </c>
      <c r="G446" s="3">
        <v>163864</v>
      </c>
      <c r="H446" s="3">
        <v>736459</v>
      </c>
      <c r="I446" s="3">
        <v>93704</v>
      </c>
    </row>
    <row r="447" spans="1:9">
      <c r="A447" s="3" t="s">
        <v>472</v>
      </c>
      <c r="B447" s="3" t="s">
        <v>26</v>
      </c>
      <c r="C447" s="3">
        <v>2300031</v>
      </c>
      <c r="D447" s="3">
        <v>530028</v>
      </c>
      <c r="E447" s="3" t="s">
        <v>27</v>
      </c>
      <c r="F447" s="3">
        <v>1672032</v>
      </c>
      <c r="G447" s="3">
        <v>379848</v>
      </c>
      <c r="H447" s="3">
        <v>627999</v>
      </c>
      <c r="I447" s="3">
        <v>150180</v>
      </c>
    </row>
    <row r="448" spans="1:9">
      <c r="A448" s="3" t="s">
        <v>473</v>
      </c>
      <c r="B448" s="3" t="s">
        <v>26</v>
      </c>
      <c r="C448" s="3">
        <v>464465</v>
      </c>
      <c r="D448" s="3">
        <v>69644</v>
      </c>
      <c r="E448" s="3" t="s">
        <v>27</v>
      </c>
      <c r="F448" s="3">
        <v>409649</v>
      </c>
      <c r="G448" s="3">
        <v>57835</v>
      </c>
      <c r="H448" s="3">
        <v>54816</v>
      </c>
      <c r="I448" s="3">
        <v>11809</v>
      </c>
    </row>
    <row r="449" spans="1:9">
      <c r="A449" s="3" t="s">
        <v>474</v>
      </c>
      <c r="B449" s="3" t="s">
        <v>26</v>
      </c>
      <c r="C449" s="3">
        <v>1102247</v>
      </c>
      <c r="D449" s="3">
        <v>170060</v>
      </c>
      <c r="E449" s="3" t="s">
        <v>27</v>
      </c>
      <c r="F449" s="3">
        <v>949548</v>
      </c>
      <c r="G449" s="3">
        <v>132084</v>
      </c>
      <c r="H449" s="3">
        <v>152699</v>
      </c>
      <c r="I449" s="3">
        <v>37976</v>
      </c>
    </row>
    <row r="450" spans="1:9">
      <c r="A450" s="3" t="s">
        <v>475</v>
      </c>
      <c r="B450" s="3" t="s">
        <v>26</v>
      </c>
      <c r="C450" s="3">
        <v>2700355</v>
      </c>
      <c r="D450" s="3">
        <v>649531</v>
      </c>
      <c r="E450" s="3" t="s">
        <v>27</v>
      </c>
      <c r="F450" s="3">
        <v>1802824</v>
      </c>
      <c r="G450" s="3">
        <v>462500</v>
      </c>
      <c r="H450" s="3">
        <v>897531</v>
      </c>
      <c r="I450" s="3">
        <v>187031</v>
      </c>
    </row>
    <row r="451" spans="1:9">
      <c r="A451" s="3" t="s">
        <v>476</v>
      </c>
      <c r="B451" s="3" t="s">
        <v>26</v>
      </c>
      <c r="C451" s="3">
        <v>2236606</v>
      </c>
      <c r="D451" s="3">
        <v>435924</v>
      </c>
      <c r="E451" s="3" t="s">
        <v>27</v>
      </c>
      <c r="F451" s="3">
        <v>1350066</v>
      </c>
      <c r="G451" s="3">
        <v>263529</v>
      </c>
      <c r="H451" s="3">
        <v>886540</v>
      </c>
      <c r="I451" s="3">
        <v>172395</v>
      </c>
    </row>
    <row r="452" spans="1:9">
      <c r="A452" s="3" t="s">
        <v>477</v>
      </c>
      <c r="B452" s="3" t="s">
        <v>26</v>
      </c>
      <c r="C452" s="3">
        <v>1890534</v>
      </c>
      <c r="D452" s="3">
        <v>305857</v>
      </c>
      <c r="E452" s="3" t="s">
        <v>27</v>
      </c>
      <c r="F452" s="3">
        <v>1151245</v>
      </c>
      <c r="G452" s="3">
        <v>178209</v>
      </c>
      <c r="H452" s="3">
        <v>739289</v>
      </c>
      <c r="I452" s="3">
        <v>127648</v>
      </c>
    </row>
    <row r="453" spans="1:9">
      <c r="A453" s="3" t="s">
        <v>478</v>
      </c>
      <c r="B453" s="3" t="s">
        <v>26</v>
      </c>
      <c r="C453" s="3">
        <v>2388727</v>
      </c>
      <c r="D453" s="3">
        <v>417989</v>
      </c>
      <c r="E453" s="3" t="s">
        <v>27</v>
      </c>
      <c r="F453" s="3">
        <v>1618032</v>
      </c>
      <c r="G453" s="3">
        <v>277222</v>
      </c>
      <c r="H453" s="3">
        <v>770695</v>
      </c>
      <c r="I453" s="3">
        <v>140767</v>
      </c>
    </row>
    <row r="454" spans="1:9">
      <c r="A454" s="3" t="s">
        <v>479</v>
      </c>
      <c r="B454" s="3" t="s">
        <v>26</v>
      </c>
      <c r="C454" s="3">
        <v>1478709</v>
      </c>
      <c r="D454" s="3">
        <v>110885</v>
      </c>
      <c r="E454" s="3" t="s">
        <v>27</v>
      </c>
      <c r="F454" s="3">
        <v>1077314</v>
      </c>
      <c r="G454" s="3">
        <v>67122</v>
      </c>
      <c r="H454" s="3">
        <v>401395</v>
      </c>
      <c r="I454" s="3">
        <v>43763</v>
      </c>
    </row>
    <row r="455" spans="1:9">
      <c r="A455" s="3" t="s">
        <v>480</v>
      </c>
      <c r="B455" s="3" t="s">
        <v>26</v>
      </c>
      <c r="C455" s="3">
        <v>2336571</v>
      </c>
      <c r="D455" s="3">
        <v>468012</v>
      </c>
      <c r="E455" s="3" t="s">
        <v>27</v>
      </c>
      <c r="F455" s="3">
        <v>1618356</v>
      </c>
      <c r="G455" s="3">
        <v>318829</v>
      </c>
      <c r="H455" s="3">
        <v>718215</v>
      </c>
      <c r="I455" s="3">
        <v>149183</v>
      </c>
    </row>
    <row r="456" spans="1:9">
      <c r="A456" s="3" t="s">
        <v>481</v>
      </c>
      <c r="B456" s="3" t="s">
        <v>26</v>
      </c>
      <c r="C456" s="3">
        <v>2396427</v>
      </c>
      <c r="D456" s="3">
        <v>527485</v>
      </c>
      <c r="E456" s="3" t="s">
        <v>27</v>
      </c>
      <c r="F456" s="3">
        <v>1615106</v>
      </c>
      <c r="G456" s="3">
        <v>349579</v>
      </c>
      <c r="H456" s="3">
        <v>781321</v>
      </c>
      <c r="I456" s="3">
        <v>177906</v>
      </c>
    </row>
    <row r="457" spans="1:9">
      <c r="A457" s="3" t="s">
        <v>482</v>
      </c>
      <c r="B457" s="3" t="s">
        <v>26</v>
      </c>
      <c r="C457" s="3">
        <v>971972</v>
      </c>
      <c r="D457" s="3">
        <v>6864</v>
      </c>
      <c r="E457" s="3" t="s">
        <v>27</v>
      </c>
      <c r="F457" s="3">
        <v>528756</v>
      </c>
      <c r="G457" s="3">
        <v>3880</v>
      </c>
      <c r="H457" s="3">
        <v>443216</v>
      </c>
      <c r="I457" s="3">
        <v>2984</v>
      </c>
    </row>
    <row r="458" spans="1:9">
      <c r="A458" s="3" t="s">
        <v>483</v>
      </c>
      <c r="B458" s="3" t="s">
        <v>26</v>
      </c>
      <c r="C458" s="3">
        <v>2793804</v>
      </c>
      <c r="D458" s="3">
        <v>605698</v>
      </c>
      <c r="E458" s="3" t="s">
        <v>27</v>
      </c>
      <c r="F458" s="3">
        <v>1764829</v>
      </c>
      <c r="G458" s="3">
        <v>391644</v>
      </c>
      <c r="H458" s="3">
        <v>1028975</v>
      </c>
      <c r="I458" s="3">
        <v>214054</v>
      </c>
    </row>
    <row r="459" spans="1:9">
      <c r="A459" s="3" t="s">
        <v>484</v>
      </c>
      <c r="B459" s="3" t="s">
        <v>26</v>
      </c>
      <c r="C459" s="3">
        <v>1732287</v>
      </c>
      <c r="D459" s="3">
        <v>225406</v>
      </c>
      <c r="E459" s="3" t="s">
        <v>27</v>
      </c>
      <c r="F459" s="3">
        <v>1118364</v>
      </c>
      <c r="G459" s="3">
        <v>161168</v>
      </c>
      <c r="H459" s="3">
        <v>613923</v>
      </c>
      <c r="I459" s="3">
        <v>64238</v>
      </c>
    </row>
    <row r="460" spans="1:9">
      <c r="A460" s="3" t="s">
        <v>485</v>
      </c>
      <c r="B460" s="3" t="s">
        <v>26</v>
      </c>
      <c r="C460" s="3">
        <v>1858071</v>
      </c>
      <c r="D460" s="3">
        <v>204319</v>
      </c>
      <c r="E460" s="3" t="s">
        <v>27</v>
      </c>
      <c r="F460" s="3">
        <v>1190611</v>
      </c>
      <c r="G460" s="3">
        <v>149460</v>
      </c>
      <c r="H460" s="3">
        <v>667460</v>
      </c>
      <c r="I460" s="3">
        <v>54859</v>
      </c>
    </row>
    <row r="461" spans="1:9">
      <c r="A461" s="3" t="s">
        <v>486</v>
      </c>
      <c r="B461" s="3" t="s">
        <v>26</v>
      </c>
      <c r="C461" s="3">
        <v>2415579</v>
      </c>
      <c r="D461" s="3">
        <v>495194</v>
      </c>
      <c r="E461" s="3" t="s">
        <v>27</v>
      </c>
      <c r="F461" s="3">
        <v>1776954</v>
      </c>
      <c r="G461" s="3">
        <v>362469</v>
      </c>
      <c r="H461" s="3">
        <v>638625</v>
      </c>
      <c r="I461" s="3">
        <v>132725</v>
      </c>
    </row>
    <row r="462" spans="1:9">
      <c r="A462" s="3" t="s">
        <v>487</v>
      </c>
      <c r="B462" s="3" t="s">
        <v>26</v>
      </c>
      <c r="C462" s="3">
        <v>2338481</v>
      </c>
      <c r="D462" s="3">
        <v>447639</v>
      </c>
      <c r="E462" s="3" t="s">
        <v>27</v>
      </c>
      <c r="F462" s="3">
        <v>1664057</v>
      </c>
      <c r="G462" s="3">
        <v>313106</v>
      </c>
      <c r="H462" s="3">
        <v>674424</v>
      </c>
      <c r="I462" s="3">
        <v>134533</v>
      </c>
    </row>
    <row r="463" spans="1:9">
      <c r="A463" s="3" t="s">
        <v>488</v>
      </c>
      <c r="B463" s="3" t="s">
        <v>26</v>
      </c>
      <c r="C463" s="3">
        <v>253539</v>
      </c>
      <c r="D463" s="3">
        <v>46716</v>
      </c>
      <c r="E463" s="3" t="s">
        <v>27</v>
      </c>
      <c r="F463" s="3">
        <v>176209</v>
      </c>
      <c r="G463" s="3">
        <v>31489</v>
      </c>
      <c r="H463" s="3">
        <v>77330</v>
      </c>
      <c r="I463" s="3">
        <v>15227</v>
      </c>
    </row>
    <row r="464" spans="1:9">
      <c r="A464" s="3" t="s">
        <v>489</v>
      </c>
      <c r="B464" s="3" t="s">
        <v>26</v>
      </c>
      <c r="C464" s="3">
        <v>965515</v>
      </c>
      <c r="D464" s="3">
        <v>3879</v>
      </c>
      <c r="E464" s="3" t="s">
        <v>27</v>
      </c>
      <c r="F464" s="3">
        <v>531706</v>
      </c>
      <c r="G464" s="3">
        <v>2397</v>
      </c>
      <c r="H464" s="3">
        <v>433809</v>
      </c>
      <c r="I464" s="3">
        <v>1482</v>
      </c>
    </row>
    <row r="465" spans="1:9">
      <c r="A465" s="3" t="s">
        <v>490</v>
      </c>
      <c r="B465" s="3" t="s">
        <v>26</v>
      </c>
      <c r="C465" s="3">
        <v>2599620</v>
      </c>
      <c r="D465" s="3">
        <v>643542</v>
      </c>
      <c r="E465" s="3" t="s">
        <v>27</v>
      </c>
      <c r="F465" s="3">
        <v>2097458</v>
      </c>
      <c r="G465" s="3">
        <v>487221</v>
      </c>
      <c r="H465" s="3">
        <v>502162</v>
      </c>
      <c r="I465" s="3">
        <v>156321</v>
      </c>
    </row>
    <row r="466" spans="1:9">
      <c r="A466" s="3" t="s">
        <v>491</v>
      </c>
      <c r="B466" s="3" t="s">
        <v>26</v>
      </c>
      <c r="C466" s="3">
        <v>1632382</v>
      </c>
      <c r="D466" s="3">
        <v>107272</v>
      </c>
      <c r="E466" s="3" t="s">
        <v>27</v>
      </c>
      <c r="F466" s="3">
        <v>998501</v>
      </c>
      <c r="G466" s="3">
        <v>67767</v>
      </c>
      <c r="H466" s="3">
        <v>633881</v>
      </c>
      <c r="I466" s="3">
        <v>39505</v>
      </c>
    </row>
    <row r="467" spans="1:9">
      <c r="A467" s="3" t="s">
        <v>492</v>
      </c>
      <c r="B467" s="3" t="s">
        <v>26</v>
      </c>
      <c r="C467" s="3">
        <v>955403</v>
      </c>
      <c r="D467" s="3">
        <v>142788</v>
      </c>
      <c r="E467" s="3" t="s">
        <v>27</v>
      </c>
      <c r="F467" s="3">
        <v>657887</v>
      </c>
      <c r="G467" s="3">
        <v>105765</v>
      </c>
      <c r="H467" s="3">
        <v>297516</v>
      </c>
      <c r="I467" s="3">
        <v>37023</v>
      </c>
    </row>
    <row r="468" spans="1:9">
      <c r="A468" s="3" t="s">
        <v>493</v>
      </c>
      <c r="B468" s="3" t="s">
        <v>26</v>
      </c>
      <c r="C468" s="3">
        <v>1439511</v>
      </c>
      <c r="D468" s="3">
        <v>323084</v>
      </c>
      <c r="E468" s="3" t="s">
        <v>27</v>
      </c>
      <c r="F468" s="3">
        <v>934847</v>
      </c>
      <c r="G468" s="3">
        <v>213439</v>
      </c>
      <c r="H468" s="3">
        <v>504664</v>
      </c>
      <c r="I468" s="3">
        <v>109645</v>
      </c>
    </row>
    <row r="469" spans="1:9">
      <c r="A469" s="3" t="s">
        <v>494</v>
      </c>
      <c r="B469" s="3" t="s">
        <v>26</v>
      </c>
      <c r="C469" s="3">
        <v>1420059</v>
      </c>
      <c r="D469" s="3">
        <v>383879</v>
      </c>
      <c r="E469" s="3" t="s">
        <v>27</v>
      </c>
      <c r="F469" s="3">
        <v>1038658</v>
      </c>
      <c r="G469" s="3">
        <v>262587</v>
      </c>
      <c r="H469" s="3">
        <v>381401</v>
      </c>
      <c r="I469" s="3">
        <v>121292</v>
      </c>
    </row>
    <row r="470" spans="1:9">
      <c r="A470" s="3" t="s">
        <v>495</v>
      </c>
      <c r="B470" s="3" t="s">
        <v>26</v>
      </c>
      <c r="C470" s="3">
        <v>1089541</v>
      </c>
      <c r="D470" s="3">
        <v>101232</v>
      </c>
      <c r="E470" s="3" t="s">
        <v>27</v>
      </c>
      <c r="F470" s="3">
        <v>620838</v>
      </c>
      <c r="G470" s="3">
        <v>62051</v>
      </c>
      <c r="H470" s="3">
        <v>468703</v>
      </c>
      <c r="I470" s="3">
        <v>39181</v>
      </c>
    </row>
    <row r="471" spans="1:9">
      <c r="A471" s="3" t="s">
        <v>496</v>
      </c>
      <c r="B471" s="3" t="s">
        <v>26</v>
      </c>
      <c r="C471" s="3">
        <v>993273</v>
      </c>
      <c r="D471" s="3">
        <v>34597</v>
      </c>
      <c r="E471" s="3" t="s">
        <v>27</v>
      </c>
      <c r="F471" s="3">
        <v>516444</v>
      </c>
      <c r="G471" s="3">
        <v>17586</v>
      </c>
      <c r="H471" s="3">
        <v>476829</v>
      </c>
      <c r="I471" s="3">
        <v>17011</v>
      </c>
    </row>
    <row r="472" spans="1:9">
      <c r="A472" s="3" t="s">
        <v>497</v>
      </c>
      <c r="B472" s="3" t="s">
        <v>26</v>
      </c>
      <c r="C472" s="3">
        <v>1307849</v>
      </c>
      <c r="D472" s="3">
        <v>288515</v>
      </c>
      <c r="E472" s="3" t="s">
        <v>27</v>
      </c>
      <c r="F472" s="3">
        <v>1018447</v>
      </c>
      <c r="G472" s="3">
        <v>204343</v>
      </c>
      <c r="H472" s="3">
        <v>289402</v>
      </c>
      <c r="I472" s="3">
        <v>84172</v>
      </c>
    </row>
    <row r="473" spans="1:9">
      <c r="A473" s="3" t="s">
        <v>498</v>
      </c>
      <c r="B473" s="3" t="s">
        <v>26</v>
      </c>
      <c r="C473" s="3">
        <v>1561425</v>
      </c>
      <c r="D473" s="3">
        <v>429007</v>
      </c>
      <c r="E473" s="3" t="s">
        <v>27</v>
      </c>
      <c r="F473" s="3">
        <v>1137961</v>
      </c>
      <c r="G473" s="3">
        <v>304428</v>
      </c>
      <c r="H473" s="3">
        <v>423464</v>
      </c>
      <c r="I473" s="3">
        <v>124579</v>
      </c>
    </row>
    <row r="474" spans="1:9">
      <c r="A474" s="3" t="s">
        <v>499</v>
      </c>
      <c r="B474" s="3" t="s">
        <v>26</v>
      </c>
      <c r="C474" s="3">
        <v>598385</v>
      </c>
      <c r="D474" s="3">
        <v>6642</v>
      </c>
      <c r="E474" s="3" t="s">
        <v>27</v>
      </c>
      <c r="F474" s="3">
        <v>310840</v>
      </c>
      <c r="G474" s="3">
        <v>2512</v>
      </c>
      <c r="H474" s="3">
        <v>287545</v>
      </c>
      <c r="I474" s="3">
        <v>4130</v>
      </c>
    </row>
    <row r="475" spans="1:9">
      <c r="A475" s="3" t="s">
        <v>500</v>
      </c>
      <c r="B475" s="3" t="s">
        <v>26</v>
      </c>
      <c r="C475" s="3">
        <v>628769</v>
      </c>
      <c r="D475" s="3">
        <v>4754</v>
      </c>
      <c r="E475" s="3" t="s">
        <v>27</v>
      </c>
      <c r="F475" s="3">
        <v>335996</v>
      </c>
      <c r="G475" s="3">
        <v>2726</v>
      </c>
      <c r="H475" s="3">
        <v>292773</v>
      </c>
      <c r="I475" s="3">
        <v>2028</v>
      </c>
    </row>
    <row r="476" spans="1:9">
      <c r="A476" s="3" t="s">
        <v>501</v>
      </c>
      <c r="B476" s="3" t="s">
        <v>26</v>
      </c>
      <c r="C476" s="3">
        <v>1768859</v>
      </c>
      <c r="D476" s="3">
        <v>527567</v>
      </c>
      <c r="E476" s="3" t="s">
        <v>27</v>
      </c>
      <c r="F476" s="3">
        <v>1238600</v>
      </c>
      <c r="G476" s="3">
        <v>343379</v>
      </c>
      <c r="H476" s="3">
        <v>530259</v>
      </c>
      <c r="I476" s="3">
        <v>184188</v>
      </c>
    </row>
    <row r="477" spans="1:9">
      <c r="A477" s="3" t="s">
        <v>502</v>
      </c>
      <c r="B477" s="3" t="s">
        <v>26</v>
      </c>
      <c r="C477" s="3">
        <v>1016346</v>
      </c>
      <c r="D477" s="3">
        <v>38568</v>
      </c>
      <c r="E477" s="3" t="s">
        <v>27</v>
      </c>
      <c r="F477" s="3">
        <v>590863</v>
      </c>
      <c r="G477" s="3">
        <v>23017</v>
      </c>
      <c r="H477" s="3">
        <v>425483</v>
      </c>
      <c r="I477" s="3">
        <v>15551</v>
      </c>
    </row>
    <row r="478" spans="1:9">
      <c r="A478" s="3" t="s">
        <v>503</v>
      </c>
      <c r="B478" s="3" t="s">
        <v>26</v>
      </c>
      <c r="C478" s="3">
        <v>636887</v>
      </c>
      <c r="D478" s="3">
        <v>162891</v>
      </c>
      <c r="E478" s="3" t="s">
        <v>27</v>
      </c>
      <c r="F478" s="3">
        <v>526892</v>
      </c>
      <c r="G478" s="3">
        <v>130523</v>
      </c>
      <c r="H478" s="3">
        <v>109995</v>
      </c>
      <c r="I478" s="3">
        <v>32368</v>
      </c>
    </row>
    <row r="479" spans="1:9">
      <c r="A479" s="3" t="s">
        <v>504</v>
      </c>
      <c r="B479" s="3" t="s">
        <v>26</v>
      </c>
      <c r="C479" s="3">
        <v>1293654</v>
      </c>
      <c r="D479" s="3">
        <v>275417</v>
      </c>
      <c r="E479" s="3" t="s">
        <v>27</v>
      </c>
      <c r="F479" s="3">
        <v>878746</v>
      </c>
      <c r="G479" s="3">
        <v>183388</v>
      </c>
      <c r="H479" s="3">
        <v>414908</v>
      </c>
      <c r="I479" s="3">
        <v>92029</v>
      </c>
    </row>
    <row r="480" spans="1:9">
      <c r="A480" s="3" t="s">
        <v>505</v>
      </c>
      <c r="B480" s="3" t="s">
        <v>26</v>
      </c>
      <c r="C480" s="3">
        <v>1312219</v>
      </c>
      <c r="D480" s="3">
        <v>282360</v>
      </c>
      <c r="E480" s="3" t="s">
        <v>27</v>
      </c>
      <c r="F480" s="3">
        <v>1097191</v>
      </c>
      <c r="G480" s="3">
        <v>218915</v>
      </c>
      <c r="H480" s="3">
        <v>215028</v>
      </c>
      <c r="I480" s="3">
        <v>63445</v>
      </c>
    </row>
    <row r="481" spans="1:9">
      <c r="A481" s="3" t="s">
        <v>506</v>
      </c>
      <c r="B481" s="3" t="s">
        <v>26</v>
      </c>
      <c r="C481" s="3">
        <v>537126</v>
      </c>
      <c r="D481" s="3">
        <v>6616</v>
      </c>
      <c r="E481" s="3" t="s">
        <v>27</v>
      </c>
      <c r="F481" s="3">
        <v>272812</v>
      </c>
      <c r="G481" s="3">
        <v>4141</v>
      </c>
      <c r="H481" s="3">
        <v>264314</v>
      </c>
      <c r="I481" s="3">
        <v>2475</v>
      </c>
    </row>
    <row r="482" spans="1:9">
      <c r="A482" s="3" t="s">
        <v>507</v>
      </c>
      <c r="B482" s="3" t="s">
        <v>26</v>
      </c>
      <c r="C482" s="3">
        <v>640838</v>
      </c>
      <c r="D482" s="3">
        <v>64635</v>
      </c>
      <c r="E482" s="3" t="s">
        <v>27</v>
      </c>
      <c r="F482" s="3">
        <v>355697</v>
      </c>
      <c r="G482" s="3">
        <v>35552</v>
      </c>
      <c r="H482" s="3">
        <v>285141</v>
      </c>
      <c r="I482" s="3">
        <v>29083</v>
      </c>
    </row>
    <row r="483" spans="1:9">
      <c r="A483" s="3" t="s">
        <v>508</v>
      </c>
      <c r="B483" s="3" t="s">
        <v>26</v>
      </c>
      <c r="C483" s="3">
        <v>1658742</v>
      </c>
      <c r="D483" s="3">
        <v>446270</v>
      </c>
      <c r="E483" s="3" t="s">
        <v>27</v>
      </c>
      <c r="F483" s="3">
        <v>1168503</v>
      </c>
      <c r="G483" s="3">
        <v>299728</v>
      </c>
      <c r="H483" s="3">
        <v>490239</v>
      </c>
      <c r="I483" s="3">
        <v>146542</v>
      </c>
    </row>
    <row r="484" spans="1:9">
      <c r="A484" s="3" t="s">
        <v>509</v>
      </c>
      <c r="B484" s="3" t="s">
        <v>26</v>
      </c>
      <c r="C484" s="3">
        <v>1406303</v>
      </c>
      <c r="D484" s="3">
        <v>290351</v>
      </c>
      <c r="E484" s="3" t="s">
        <v>27</v>
      </c>
      <c r="F484" s="3">
        <v>927386</v>
      </c>
      <c r="G484" s="3">
        <v>181465</v>
      </c>
      <c r="H484" s="3">
        <v>478917</v>
      </c>
      <c r="I484" s="3">
        <v>108886</v>
      </c>
    </row>
    <row r="485" spans="1:9">
      <c r="A485" s="3" t="s">
        <v>510</v>
      </c>
      <c r="B485" s="3" t="s">
        <v>26</v>
      </c>
      <c r="C485" s="3">
        <v>1478997</v>
      </c>
      <c r="D485" s="3">
        <v>356304</v>
      </c>
      <c r="E485" s="3" t="s">
        <v>27</v>
      </c>
      <c r="F485" s="3">
        <v>1073242</v>
      </c>
      <c r="G485" s="3">
        <v>246451</v>
      </c>
      <c r="H485" s="3">
        <v>405755</v>
      </c>
      <c r="I485" s="3">
        <v>109853</v>
      </c>
    </row>
    <row r="486" spans="1:9">
      <c r="A486" s="3" t="s">
        <v>511</v>
      </c>
      <c r="B486" s="3" t="s">
        <v>26</v>
      </c>
      <c r="C486" s="3">
        <v>503398</v>
      </c>
      <c r="D486" s="3">
        <v>590</v>
      </c>
      <c r="E486" s="3" t="s">
        <v>27</v>
      </c>
      <c r="F486" s="3">
        <v>259814</v>
      </c>
      <c r="G486" s="3">
        <v>218</v>
      </c>
      <c r="H486" s="3">
        <v>243584</v>
      </c>
      <c r="I486" s="3">
        <v>372</v>
      </c>
    </row>
    <row r="487" spans="1:9">
      <c r="A487" s="3" t="s">
        <v>512</v>
      </c>
      <c r="B487" s="3" t="s">
        <v>26</v>
      </c>
      <c r="C487" s="3">
        <v>1617040</v>
      </c>
      <c r="D487" s="3">
        <v>432684</v>
      </c>
      <c r="E487" s="3" t="s">
        <v>27</v>
      </c>
      <c r="F487" s="3">
        <v>1281203</v>
      </c>
      <c r="G487" s="3">
        <v>327967</v>
      </c>
      <c r="H487" s="3">
        <v>335837</v>
      </c>
      <c r="I487" s="3">
        <v>104717</v>
      </c>
    </row>
    <row r="488" spans="1:9">
      <c r="A488" s="3" t="s">
        <v>513</v>
      </c>
      <c r="B488" s="3" t="s">
        <v>26</v>
      </c>
      <c r="C488" s="3">
        <v>1233617</v>
      </c>
      <c r="D488" s="3">
        <v>227436</v>
      </c>
      <c r="E488" s="3" t="s">
        <v>27</v>
      </c>
      <c r="F488" s="3">
        <v>812710</v>
      </c>
      <c r="G488" s="3">
        <v>150723</v>
      </c>
      <c r="H488" s="3">
        <v>420907</v>
      </c>
      <c r="I488" s="3">
        <v>76713</v>
      </c>
    </row>
    <row r="489" spans="1:9">
      <c r="A489" s="3" t="s">
        <v>514</v>
      </c>
      <c r="B489" s="3" t="s">
        <v>26</v>
      </c>
      <c r="C489" s="3">
        <v>1393786</v>
      </c>
      <c r="D489" s="3">
        <v>327700</v>
      </c>
      <c r="E489" s="3" t="s">
        <v>27</v>
      </c>
      <c r="F489" s="3">
        <v>1010857</v>
      </c>
      <c r="G489" s="3">
        <v>227326</v>
      </c>
      <c r="H489" s="3">
        <v>382929</v>
      </c>
      <c r="I489" s="3">
        <v>100374</v>
      </c>
    </row>
    <row r="490" spans="1:9">
      <c r="A490" s="3" t="s">
        <v>515</v>
      </c>
      <c r="B490" s="3" t="s">
        <v>26</v>
      </c>
      <c r="C490" s="3">
        <v>681235</v>
      </c>
      <c r="D490" s="3">
        <v>39009</v>
      </c>
      <c r="E490" s="3" t="s">
        <v>27</v>
      </c>
      <c r="F490" s="3">
        <v>384866</v>
      </c>
      <c r="G490" s="3">
        <v>21944</v>
      </c>
      <c r="H490" s="3">
        <v>296369</v>
      </c>
      <c r="I490" s="3">
        <v>17065</v>
      </c>
    </row>
    <row r="491" spans="1:9">
      <c r="A491" s="3" t="s">
        <v>516</v>
      </c>
      <c r="B491" s="3" t="s">
        <v>26</v>
      </c>
      <c r="C491" s="3">
        <v>1337614</v>
      </c>
      <c r="D491" s="3">
        <v>282202</v>
      </c>
      <c r="E491" s="3" t="s">
        <v>27</v>
      </c>
      <c r="F491" s="3">
        <v>849240</v>
      </c>
      <c r="G491" s="3">
        <v>170426</v>
      </c>
      <c r="H491" s="3">
        <v>488374</v>
      </c>
      <c r="I491" s="3">
        <v>111776</v>
      </c>
    </row>
    <row r="492" spans="1:9">
      <c r="A492" s="3" t="s">
        <v>517</v>
      </c>
      <c r="B492" s="3" t="s">
        <v>26</v>
      </c>
      <c r="C492" s="3">
        <v>913562</v>
      </c>
      <c r="D492" s="3">
        <v>149935</v>
      </c>
      <c r="E492" s="3" t="s">
        <v>27</v>
      </c>
      <c r="F492" s="3">
        <v>614268</v>
      </c>
      <c r="G492" s="3">
        <v>101393</v>
      </c>
      <c r="H492" s="3">
        <v>299294</v>
      </c>
      <c r="I492" s="3">
        <v>48542</v>
      </c>
    </row>
    <row r="493" spans="1:9">
      <c r="A493" s="3" t="s">
        <v>518</v>
      </c>
      <c r="B493" s="3" t="s">
        <v>26</v>
      </c>
      <c r="C493" s="3">
        <v>1034092</v>
      </c>
      <c r="D493" s="3">
        <v>141560</v>
      </c>
      <c r="E493" s="3" t="s">
        <v>27</v>
      </c>
      <c r="F493" s="3">
        <v>610696</v>
      </c>
      <c r="G493" s="3">
        <v>83421</v>
      </c>
      <c r="H493" s="3">
        <v>423396</v>
      </c>
      <c r="I493" s="3">
        <v>58139</v>
      </c>
    </row>
    <row r="494" spans="1:9">
      <c r="A494" s="3" t="s">
        <v>519</v>
      </c>
      <c r="B494" s="3" t="s">
        <v>26</v>
      </c>
      <c r="C494" s="3">
        <v>1389466</v>
      </c>
      <c r="D494" s="3">
        <v>242848</v>
      </c>
      <c r="E494" s="3" t="s">
        <v>27</v>
      </c>
      <c r="F494" s="3">
        <v>941086</v>
      </c>
      <c r="G494" s="3">
        <v>163954</v>
      </c>
      <c r="H494" s="3">
        <v>448380</v>
      </c>
      <c r="I494" s="3">
        <v>78894</v>
      </c>
    </row>
    <row r="495" spans="1:9">
      <c r="A495" s="3" t="s">
        <v>520</v>
      </c>
      <c r="B495" s="3" t="s">
        <v>26</v>
      </c>
      <c r="C495" s="3">
        <v>1205065</v>
      </c>
      <c r="D495" s="3">
        <v>265142</v>
      </c>
      <c r="E495" s="3" t="s">
        <v>27</v>
      </c>
      <c r="F495" s="3">
        <v>876105</v>
      </c>
      <c r="G495" s="3">
        <v>179827</v>
      </c>
      <c r="H495" s="3">
        <v>328960</v>
      </c>
      <c r="I495" s="3">
        <v>85315</v>
      </c>
    </row>
    <row r="496" spans="1:9">
      <c r="A496" s="3" t="s">
        <v>521</v>
      </c>
      <c r="B496" s="3" t="s">
        <v>26</v>
      </c>
      <c r="C496" s="3">
        <v>1266310</v>
      </c>
      <c r="D496" s="3">
        <v>289534</v>
      </c>
      <c r="E496" s="3" t="s">
        <v>27</v>
      </c>
      <c r="F496" s="3">
        <v>1042449</v>
      </c>
      <c r="G496" s="3">
        <v>221976</v>
      </c>
      <c r="H496" s="3">
        <v>223861</v>
      </c>
      <c r="I496" s="3">
        <v>67558</v>
      </c>
    </row>
    <row r="497" spans="1:9">
      <c r="A497" s="3" t="s">
        <v>522</v>
      </c>
      <c r="B497" s="3" t="s">
        <v>26</v>
      </c>
      <c r="C497" s="3">
        <v>796362</v>
      </c>
      <c r="D497" s="3">
        <v>10091</v>
      </c>
      <c r="E497" s="3" t="s">
        <v>27</v>
      </c>
      <c r="F497" s="3">
        <v>431237</v>
      </c>
      <c r="G497" s="3">
        <v>5573</v>
      </c>
      <c r="H497" s="3">
        <v>365125</v>
      </c>
      <c r="I497" s="3">
        <v>4518</v>
      </c>
    </row>
    <row r="498" spans="1:9">
      <c r="A498" s="3" t="s">
        <v>523</v>
      </c>
      <c r="B498" s="3" t="s">
        <v>26</v>
      </c>
      <c r="C498" s="3">
        <v>840827</v>
      </c>
      <c r="D498" s="3">
        <v>71161</v>
      </c>
      <c r="E498" s="3" t="s">
        <v>27</v>
      </c>
      <c r="F498" s="3">
        <v>539998</v>
      </c>
      <c r="G498" s="3">
        <v>51505</v>
      </c>
      <c r="H498" s="3">
        <v>300829</v>
      </c>
      <c r="I498" s="3">
        <v>19656</v>
      </c>
    </row>
    <row r="499" spans="1:9">
      <c r="A499" s="3" t="s">
        <v>524</v>
      </c>
      <c r="B499" s="3" t="s">
        <v>26</v>
      </c>
      <c r="C499" s="3">
        <v>1244276</v>
      </c>
      <c r="D499" s="3">
        <v>75016</v>
      </c>
      <c r="E499" s="3" t="s">
        <v>27</v>
      </c>
      <c r="F499" s="3">
        <v>702063</v>
      </c>
      <c r="G499" s="3">
        <v>41538</v>
      </c>
      <c r="H499" s="3">
        <v>542213</v>
      </c>
      <c r="I499" s="3">
        <v>33478</v>
      </c>
    </row>
    <row r="500" spans="1:9">
      <c r="A500" s="3" t="s">
        <v>525</v>
      </c>
      <c r="B500" s="3" t="s">
        <v>26</v>
      </c>
      <c r="C500" s="3">
        <v>1309689</v>
      </c>
      <c r="D500" s="3">
        <v>161169</v>
      </c>
      <c r="E500" s="3" t="s">
        <v>27</v>
      </c>
      <c r="F500" s="3">
        <v>748351</v>
      </c>
      <c r="G500" s="3">
        <v>90939</v>
      </c>
      <c r="H500" s="3">
        <v>561338</v>
      </c>
      <c r="I500" s="3">
        <v>70230</v>
      </c>
    </row>
    <row r="501" spans="1:9">
      <c r="A501" s="3" t="s">
        <v>526</v>
      </c>
      <c r="B501" s="3" t="s">
        <v>26</v>
      </c>
      <c r="C501" s="3">
        <v>845542</v>
      </c>
      <c r="D501" s="3">
        <v>60101</v>
      </c>
      <c r="E501" s="3" t="s">
        <v>27</v>
      </c>
      <c r="F501" s="3">
        <v>554082</v>
      </c>
      <c r="G501" s="3">
        <v>41966</v>
      </c>
      <c r="H501" s="3">
        <v>291460</v>
      </c>
      <c r="I501" s="3">
        <v>18135</v>
      </c>
    </row>
    <row r="502" spans="1:9">
      <c r="A502" s="3" t="s">
        <v>527</v>
      </c>
      <c r="B502" s="3" t="s">
        <v>26</v>
      </c>
      <c r="C502" s="3">
        <v>1127384</v>
      </c>
      <c r="D502" s="3">
        <v>233454</v>
      </c>
      <c r="E502" s="3" t="s">
        <v>27</v>
      </c>
      <c r="F502" s="3">
        <v>811300</v>
      </c>
      <c r="G502" s="3">
        <v>169481</v>
      </c>
      <c r="H502" s="3">
        <v>316084</v>
      </c>
      <c r="I502" s="3">
        <v>63973</v>
      </c>
    </row>
    <row r="503" spans="1:9">
      <c r="A503" s="3" t="s">
        <v>528</v>
      </c>
      <c r="B503" s="3" t="s">
        <v>26</v>
      </c>
      <c r="C503" s="3">
        <v>4911</v>
      </c>
      <c r="D503" s="3">
        <v>674</v>
      </c>
      <c r="E503" s="3" t="s">
        <v>27</v>
      </c>
      <c r="F503" s="3">
        <v>4911</v>
      </c>
      <c r="G503" s="3">
        <v>674</v>
      </c>
      <c r="H503" s="3">
        <v>0</v>
      </c>
      <c r="I503" s="3">
        <v>0</v>
      </c>
    </row>
    <row r="504" spans="1:9">
      <c r="A504" s="3" t="s">
        <v>529</v>
      </c>
      <c r="B504" s="3" t="s">
        <v>26</v>
      </c>
      <c r="C504" s="3">
        <v>906031</v>
      </c>
      <c r="D504" s="3">
        <v>68188</v>
      </c>
      <c r="E504" s="3" t="s">
        <v>27</v>
      </c>
      <c r="F504" s="3">
        <v>551434</v>
      </c>
      <c r="G504" s="3">
        <v>44498</v>
      </c>
      <c r="H504" s="3">
        <v>354597</v>
      </c>
      <c r="I504" s="3">
        <v>23690</v>
      </c>
    </row>
    <row r="505" spans="1:9">
      <c r="A505" s="3" t="s">
        <v>530</v>
      </c>
      <c r="B505" s="3" t="s">
        <v>26</v>
      </c>
      <c r="C505" s="3">
        <v>1490391</v>
      </c>
      <c r="D505" s="3">
        <v>285793</v>
      </c>
      <c r="E505" s="3" t="s">
        <v>27</v>
      </c>
      <c r="F505" s="3">
        <v>1034136</v>
      </c>
      <c r="G505" s="3">
        <v>197509</v>
      </c>
      <c r="H505" s="3">
        <v>456255</v>
      </c>
      <c r="I505" s="3">
        <v>88284</v>
      </c>
    </row>
    <row r="506" spans="1:9">
      <c r="A506" s="3" t="s">
        <v>531</v>
      </c>
      <c r="B506" s="3" t="s">
        <v>26</v>
      </c>
      <c r="C506" s="3">
        <v>966548</v>
      </c>
      <c r="D506" s="3">
        <v>45242</v>
      </c>
      <c r="E506" s="3" t="s">
        <v>27</v>
      </c>
      <c r="F506" s="3">
        <v>553614</v>
      </c>
      <c r="G506" s="3">
        <v>27830</v>
      </c>
      <c r="H506" s="3">
        <v>412934</v>
      </c>
      <c r="I506" s="3">
        <v>17412</v>
      </c>
    </row>
    <row r="507" spans="1:9">
      <c r="A507" s="3" t="s">
        <v>532</v>
      </c>
      <c r="B507" s="3" t="s">
        <v>26</v>
      </c>
      <c r="C507" s="3">
        <v>1022954</v>
      </c>
      <c r="D507" s="3">
        <v>125974</v>
      </c>
      <c r="E507" s="3" t="s">
        <v>27</v>
      </c>
      <c r="F507" s="3">
        <v>636164</v>
      </c>
      <c r="G507" s="3">
        <v>74265</v>
      </c>
      <c r="H507" s="3">
        <v>386790</v>
      </c>
      <c r="I507" s="3">
        <v>51709</v>
      </c>
    </row>
    <row r="508" spans="1:9">
      <c r="A508" s="3" t="s">
        <v>533</v>
      </c>
      <c r="B508" s="3" t="s">
        <v>26</v>
      </c>
      <c r="C508" s="3">
        <v>1106383</v>
      </c>
      <c r="D508" s="3">
        <v>116555</v>
      </c>
      <c r="E508" s="3" t="s">
        <v>27</v>
      </c>
      <c r="F508" s="3">
        <v>651638</v>
      </c>
      <c r="G508" s="3">
        <v>75649</v>
      </c>
      <c r="H508" s="3">
        <v>454745</v>
      </c>
      <c r="I508" s="3">
        <v>40906</v>
      </c>
    </row>
    <row r="509" spans="1:9">
      <c r="A509" s="3" t="s">
        <v>534</v>
      </c>
      <c r="B509" s="3" t="s">
        <v>26</v>
      </c>
      <c r="C509" s="3">
        <v>1096237</v>
      </c>
      <c r="D509" s="3">
        <v>160006</v>
      </c>
      <c r="E509" s="3" t="s">
        <v>27</v>
      </c>
      <c r="F509" s="3">
        <v>763994</v>
      </c>
      <c r="G509" s="3">
        <v>110275</v>
      </c>
      <c r="H509" s="3">
        <v>332243</v>
      </c>
      <c r="I509" s="3">
        <v>49731</v>
      </c>
    </row>
    <row r="510" spans="1:9">
      <c r="A510" s="3" t="s">
        <v>535</v>
      </c>
      <c r="B510" s="3" t="s">
        <v>26</v>
      </c>
      <c r="C510" s="3">
        <v>991055</v>
      </c>
      <c r="D510" s="3">
        <v>105337</v>
      </c>
      <c r="E510" s="3" t="s">
        <v>27</v>
      </c>
      <c r="F510" s="3">
        <v>711792</v>
      </c>
      <c r="G510" s="3">
        <v>73652</v>
      </c>
      <c r="H510" s="3">
        <v>279263</v>
      </c>
      <c r="I510" s="3">
        <v>31685</v>
      </c>
    </row>
    <row r="511" spans="1:9">
      <c r="A511" s="3" t="s">
        <v>536</v>
      </c>
      <c r="B511" s="3" t="s">
        <v>26</v>
      </c>
      <c r="C511" s="3">
        <v>1294268</v>
      </c>
      <c r="D511" s="3">
        <v>228683</v>
      </c>
      <c r="E511" s="3" t="s">
        <v>27</v>
      </c>
      <c r="F511" s="3">
        <v>1045305</v>
      </c>
      <c r="G511" s="3">
        <v>169764</v>
      </c>
      <c r="H511" s="3">
        <v>248963</v>
      </c>
      <c r="I511" s="3">
        <v>58919</v>
      </c>
    </row>
    <row r="512" spans="1:9">
      <c r="A512" s="3" t="s">
        <v>537</v>
      </c>
      <c r="B512" s="3" t="s">
        <v>26</v>
      </c>
      <c r="C512" s="3">
        <v>1186714</v>
      </c>
      <c r="D512" s="3">
        <v>171500</v>
      </c>
      <c r="E512" s="3" t="s">
        <v>27</v>
      </c>
      <c r="F512" s="3">
        <v>824868</v>
      </c>
      <c r="G512" s="3">
        <v>126757</v>
      </c>
      <c r="H512" s="3">
        <v>361846</v>
      </c>
      <c r="I512" s="3">
        <v>44743</v>
      </c>
    </row>
    <row r="513" spans="1:9">
      <c r="A513" s="3" t="s">
        <v>538</v>
      </c>
      <c r="B513" s="3" t="s">
        <v>26</v>
      </c>
      <c r="C513" s="3">
        <v>924925</v>
      </c>
      <c r="D513" s="3">
        <v>36624</v>
      </c>
      <c r="E513" s="3" t="s">
        <v>27</v>
      </c>
      <c r="F513" s="3">
        <v>489459</v>
      </c>
      <c r="G513" s="3">
        <v>19033</v>
      </c>
      <c r="H513" s="3">
        <v>435466</v>
      </c>
      <c r="I513" s="3">
        <v>17591</v>
      </c>
    </row>
    <row r="514" spans="1:9">
      <c r="A514" s="3" t="s">
        <v>539</v>
      </c>
      <c r="B514" s="3" t="s">
        <v>26</v>
      </c>
      <c r="C514" s="3">
        <v>702550</v>
      </c>
      <c r="D514" s="3">
        <v>6110</v>
      </c>
      <c r="E514" s="3" t="s">
        <v>27</v>
      </c>
      <c r="F514" s="3">
        <v>381414</v>
      </c>
      <c r="G514" s="3">
        <v>4534</v>
      </c>
      <c r="H514" s="3">
        <v>321136</v>
      </c>
      <c r="I514" s="3">
        <v>1576</v>
      </c>
    </row>
    <row r="515" spans="1:9">
      <c r="A515" s="3" t="s">
        <v>540</v>
      </c>
      <c r="B515" s="3" t="s">
        <v>26</v>
      </c>
      <c r="C515" s="3">
        <v>1501865</v>
      </c>
      <c r="D515" s="3">
        <v>233177</v>
      </c>
      <c r="E515" s="3" t="s">
        <v>27</v>
      </c>
      <c r="F515" s="3">
        <v>877380</v>
      </c>
      <c r="G515" s="3">
        <v>139492</v>
      </c>
      <c r="H515" s="3">
        <v>624485</v>
      </c>
      <c r="I515" s="3">
        <v>93685</v>
      </c>
    </row>
    <row r="516" spans="1:9">
      <c r="A516" s="3" t="s">
        <v>541</v>
      </c>
      <c r="B516" s="3" t="s">
        <v>26</v>
      </c>
      <c r="C516" s="3">
        <v>1436882</v>
      </c>
      <c r="D516" s="3">
        <v>297827</v>
      </c>
      <c r="E516" s="3" t="s">
        <v>27</v>
      </c>
      <c r="F516" s="3">
        <v>973291</v>
      </c>
      <c r="G516" s="3">
        <v>214632</v>
      </c>
      <c r="H516" s="3">
        <v>463591</v>
      </c>
      <c r="I516" s="3">
        <v>83195</v>
      </c>
    </row>
    <row r="517" spans="1:9">
      <c r="A517" s="3" t="s">
        <v>542</v>
      </c>
      <c r="B517" s="3" t="s">
        <v>26</v>
      </c>
      <c r="C517" s="3">
        <v>1379304</v>
      </c>
      <c r="D517" s="3">
        <v>270118</v>
      </c>
      <c r="E517" s="3" t="s">
        <v>27</v>
      </c>
      <c r="F517" s="3">
        <v>1020157</v>
      </c>
      <c r="G517" s="3">
        <v>196412</v>
      </c>
      <c r="H517" s="3">
        <v>359147</v>
      </c>
      <c r="I517" s="3">
        <v>73706</v>
      </c>
    </row>
    <row r="518" spans="1:9">
      <c r="A518" s="3" t="s">
        <v>543</v>
      </c>
      <c r="B518" s="3" t="s">
        <v>26</v>
      </c>
      <c r="C518" s="3">
        <v>1446688</v>
      </c>
      <c r="D518" s="3">
        <v>291251</v>
      </c>
      <c r="E518" s="3" t="s">
        <v>27</v>
      </c>
      <c r="F518" s="3">
        <v>1078175</v>
      </c>
      <c r="G518" s="3">
        <v>211152</v>
      </c>
      <c r="H518" s="3">
        <v>368513</v>
      </c>
      <c r="I518" s="3">
        <v>80099</v>
      </c>
    </row>
    <row r="519" spans="1:9">
      <c r="A519" s="3" t="s">
        <v>544</v>
      </c>
      <c r="B519" s="3" t="s">
        <v>26</v>
      </c>
      <c r="C519" s="3">
        <v>1265664</v>
      </c>
      <c r="D519" s="3">
        <v>191634</v>
      </c>
      <c r="E519" s="3" t="s">
        <v>27</v>
      </c>
      <c r="F519" s="3">
        <v>824339</v>
      </c>
      <c r="G519" s="3">
        <v>125423</v>
      </c>
      <c r="H519" s="3">
        <v>441325</v>
      </c>
      <c r="I519" s="3">
        <v>66211</v>
      </c>
    </row>
    <row r="520" spans="1:9">
      <c r="A520" s="3" t="s">
        <v>545</v>
      </c>
      <c r="B520" s="3" t="s">
        <v>26</v>
      </c>
      <c r="C520" s="3">
        <v>1033606</v>
      </c>
      <c r="D520" s="3">
        <v>91664</v>
      </c>
      <c r="E520" s="3" t="s">
        <v>27</v>
      </c>
      <c r="F520" s="3">
        <v>658287</v>
      </c>
      <c r="G520" s="3">
        <v>55855</v>
      </c>
      <c r="H520" s="3">
        <v>375319</v>
      </c>
      <c r="I520" s="3">
        <v>35809</v>
      </c>
    </row>
    <row r="521" spans="1:9">
      <c r="A521" s="3" t="s">
        <v>546</v>
      </c>
      <c r="B521" s="3" t="s">
        <v>26</v>
      </c>
      <c r="C521" s="3">
        <v>1239908</v>
      </c>
      <c r="D521" s="3">
        <v>259554</v>
      </c>
      <c r="E521" s="3" t="s">
        <v>27</v>
      </c>
      <c r="F521" s="3">
        <v>864706</v>
      </c>
      <c r="G521" s="3">
        <v>185359</v>
      </c>
      <c r="H521" s="3">
        <v>375202</v>
      </c>
      <c r="I521" s="3">
        <v>74195</v>
      </c>
    </row>
    <row r="522" spans="1:9">
      <c r="A522" s="3" t="s">
        <v>547</v>
      </c>
      <c r="B522" s="3" t="s">
        <v>26</v>
      </c>
      <c r="C522" s="3">
        <v>938906</v>
      </c>
      <c r="D522" s="3">
        <v>44893</v>
      </c>
      <c r="E522" s="3" t="s">
        <v>27</v>
      </c>
      <c r="F522" s="3">
        <v>535666</v>
      </c>
      <c r="G522" s="3">
        <v>29848</v>
      </c>
      <c r="H522" s="3">
        <v>403240</v>
      </c>
      <c r="I522" s="3">
        <v>15045</v>
      </c>
    </row>
    <row r="523" spans="1:9">
      <c r="A523" s="3" t="s">
        <v>548</v>
      </c>
      <c r="B523" s="3" t="s">
        <v>26</v>
      </c>
      <c r="C523" s="3">
        <v>1321466</v>
      </c>
      <c r="D523" s="3">
        <v>231605</v>
      </c>
      <c r="E523" s="3" t="s">
        <v>27</v>
      </c>
      <c r="F523" s="3">
        <v>938346</v>
      </c>
      <c r="G523" s="3">
        <v>157275</v>
      </c>
      <c r="H523" s="3">
        <v>383120</v>
      </c>
      <c r="I523" s="3">
        <v>74330</v>
      </c>
    </row>
    <row r="524" spans="1:9">
      <c r="A524" s="3" t="s">
        <v>549</v>
      </c>
      <c r="B524" s="3" t="s">
        <v>26</v>
      </c>
      <c r="C524" s="3">
        <v>1256472</v>
      </c>
      <c r="D524" s="3">
        <v>259690</v>
      </c>
      <c r="E524" s="3" t="s">
        <v>27</v>
      </c>
      <c r="F524" s="3">
        <v>917214</v>
      </c>
      <c r="G524" s="3">
        <v>183659</v>
      </c>
      <c r="H524" s="3">
        <v>339258</v>
      </c>
      <c r="I524" s="3">
        <v>76031</v>
      </c>
    </row>
    <row r="525" spans="1:9">
      <c r="A525" s="3" t="s">
        <v>550</v>
      </c>
      <c r="B525" s="3" t="s">
        <v>26</v>
      </c>
      <c r="C525" s="3">
        <v>784828</v>
      </c>
      <c r="D525" s="3">
        <v>37833</v>
      </c>
      <c r="E525" s="3" t="s">
        <v>27</v>
      </c>
      <c r="F525" s="3">
        <v>430364</v>
      </c>
      <c r="G525" s="3">
        <v>21789</v>
      </c>
      <c r="H525" s="3">
        <v>354464</v>
      </c>
      <c r="I525" s="3">
        <v>16044</v>
      </c>
    </row>
    <row r="526" spans="1:9">
      <c r="A526" s="3" t="s">
        <v>551</v>
      </c>
      <c r="B526" s="3" t="s">
        <v>26</v>
      </c>
      <c r="C526" s="3">
        <v>952841</v>
      </c>
      <c r="D526" s="3">
        <v>85834</v>
      </c>
      <c r="E526" s="3" t="s">
        <v>27</v>
      </c>
      <c r="F526" s="3">
        <v>627353</v>
      </c>
      <c r="G526" s="3">
        <v>71211</v>
      </c>
      <c r="H526" s="3">
        <v>325488</v>
      </c>
      <c r="I526" s="3">
        <v>14623</v>
      </c>
    </row>
    <row r="527" spans="1:9">
      <c r="A527" s="3" t="s">
        <v>552</v>
      </c>
      <c r="B527" s="3" t="s">
        <v>26</v>
      </c>
      <c r="C527" s="3">
        <v>1747086</v>
      </c>
      <c r="D527" s="3">
        <v>424141</v>
      </c>
      <c r="E527" s="3" t="s">
        <v>27</v>
      </c>
      <c r="F527" s="3">
        <v>1266839</v>
      </c>
      <c r="G527" s="3">
        <v>298529</v>
      </c>
      <c r="H527" s="3">
        <v>480247</v>
      </c>
      <c r="I527" s="3">
        <v>125612</v>
      </c>
    </row>
    <row r="528" spans="1:9">
      <c r="A528" s="3" t="s">
        <v>553</v>
      </c>
      <c r="B528" s="3" t="s">
        <v>26</v>
      </c>
      <c r="C528" s="3">
        <v>1190231</v>
      </c>
      <c r="D528" s="3">
        <v>129008</v>
      </c>
      <c r="E528" s="3" t="s">
        <v>27</v>
      </c>
      <c r="F528" s="3">
        <v>702078</v>
      </c>
      <c r="G528" s="3">
        <v>75271</v>
      </c>
      <c r="H528" s="3">
        <v>488153</v>
      </c>
      <c r="I528" s="3">
        <v>53737</v>
      </c>
    </row>
    <row r="529" spans="1:9">
      <c r="A529" s="3" t="s">
        <v>554</v>
      </c>
      <c r="B529" s="3" t="s">
        <v>26</v>
      </c>
      <c r="C529" s="3">
        <v>968640</v>
      </c>
      <c r="D529" s="3">
        <v>146431</v>
      </c>
      <c r="E529" s="3" t="s">
        <v>27</v>
      </c>
      <c r="F529" s="3">
        <v>639158</v>
      </c>
      <c r="G529" s="3">
        <v>101462</v>
      </c>
      <c r="H529" s="3">
        <v>329482</v>
      </c>
      <c r="I529" s="3">
        <v>44969</v>
      </c>
    </row>
    <row r="530" spans="1:9">
      <c r="A530" s="3" t="s">
        <v>555</v>
      </c>
      <c r="B530" s="3" t="s">
        <v>26</v>
      </c>
      <c r="C530" s="3">
        <v>1088301</v>
      </c>
      <c r="D530" s="3">
        <v>28212</v>
      </c>
      <c r="E530" s="3" t="s">
        <v>27</v>
      </c>
      <c r="F530" s="3">
        <v>586138</v>
      </c>
      <c r="G530" s="3">
        <v>16960</v>
      </c>
      <c r="H530" s="3">
        <v>502163</v>
      </c>
      <c r="I530" s="3">
        <v>11252</v>
      </c>
    </row>
    <row r="531" spans="1:9">
      <c r="A531" s="3" t="s">
        <v>556</v>
      </c>
      <c r="B531" s="3" t="s">
        <v>26</v>
      </c>
      <c r="C531" s="3">
        <v>1093139</v>
      </c>
      <c r="D531" s="3">
        <v>60042</v>
      </c>
      <c r="E531" s="3" t="s">
        <v>27</v>
      </c>
      <c r="F531" s="3">
        <v>599598</v>
      </c>
      <c r="G531" s="3">
        <v>33932</v>
      </c>
      <c r="H531" s="3">
        <v>493541</v>
      </c>
      <c r="I531" s="3">
        <v>26110</v>
      </c>
    </row>
    <row r="532" spans="1:9">
      <c r="A532" s="3" t="s">
        <v>557</v>
      </c>
      <c r="B532" s="3" t="s">
        <v>26</v>
      </c>
      <c r="C532" s="3">
        <v>907180</v>
      </c>
      <c r="D532" s="3">
        <v>83467</v>
      </c>
      <c r="E532" s="3" t="s">
        <v>27</v>
      </c>
      <c r="F532" s="3">
        <v>529472</v>
      </c>
      <c r="G532" s="3">
        <v>49997</v>
      </c>
      <c r="H532" s="3">
        <v>377708</v>
      </c>
      <c r="I532" s="3">
        <v>33470</v>
      </c>
    </row>
    <row r="533" spans="1:9">
      <c r="A533" s="3" t="s">
        <v>558</v>
      </c>
      <c r="B533" s="3" t="s">
        <v>26</v>
      </c>
      <c r="C533" s="3">
        <v>819678</v>
      </c>
      <c r="D533" s="3">
        <v>67353</v>
      </c>
      <c r="E533" s="3" t="s">
        <v>27</v>
      </c>
      <c r="F533" s="3">
        <v>553479</v>
      </c>
      <c r="G533" s="3">
        <v>51951</v>
      </c>
      <c r="H533" s="3">
        <v>266199</v>
      </c>
      <c r="I533" s="3">
        <v>15402</v>
      </c>
    </row>
    <row r="534" spans="1:9">
      <c r="A534" s="3" t="s">
        <v>559</v>
      </c>
      <c r="B534" s="3" t="s">
        <v>26</v>
      </c>
      <c r="C534" s="3">
        <v>1361994</v>
      </c>
      <c r="D534" s="3">
        <v>233169</v>
      </c>
      <c r="E534" s="3" t="s">
        <v>27</v>
      </c>
      <c r="F534" s="3">
        <v>895419</v>
      </c>
      <c r="G534" s="3">
        <v>157333</v>
      </c>
      <c r="H534" s="3">
        <v>466575</v>
      </c>
      <c r="I534" s="3">
        <v>75836</v>
      </c>
    </row>
    <row r="535" spans="1:9">
      <c r="A535" s="3" t="s">
        <v>560</v>
      </c>
      <c r="B535" s="3" t="s">
        <v>26</v>
      </c>
      <c r="C535" s="3">
        <v>930586</v>
      </c>
      <c r="D535" s="3">
        <v>44146</v>
      </c>
      <c r="E535" s="3" t="s">
        <v>27</v>
      </c>
      <c r="F535" s="3">
        <v>577114</v>
      </c>
      <c r="G535" s="3">
        <v>32624</v>
      </c>
      <c r="H535" s="3">
        <v>353472</v>
      </c>
      <c r="I535" s="3">
        <v>11522</v>
      </c>
    </row>
    <row r="536" spans="1:9">
      <c r="A536" s="3" t="s">
        <v>561</v>
      </c>
      <c r="B536" s="3" t="s">
        <v>26</v>
      </c>
      <c r="C536" s="3">
        <v>1024733</v>
      </c>
      <c r="D536" s="3">
        <v>209788</v>
      </c>
      <c r="E536" s="3" t="s">
        <v>27</v>
      </c>
      <c r="F536" s="3">
        <v>779284</v>
      </c>
      <c r="G536" s="3">
        <v>174344</v>
      </c>
      <c r="H536" s="3">
        <v>245449</v>
      </c>
      <c r="I536" s="3">
        <v>35444</v>
      </c>
    </row>
    <row r="537" spans="1:9">
      <c r="A537" s="3" t="s">
        <v>562</v>
      </c>
      <c r="B537" s="3" t="s">
        <v>26</v>
      </c>
      <c r="C537" s="3">
        <v>1277471</v>
      </c>
      <c r="D537" s="3">
        <v>171291</v>
      </c>
      <c r="E537" s="3" t="s">
        <v>27</v>
      </c>
      <c r="F537" s="3">
        <v>737585</v>
      </c>
      <c r="G537" s="3">
        <v>105072</v>
      </c>
      <c r="H537" s="3">
        <v>539886</v>
      </c>
      <c r="I537" s="3">
        <v>66219</v>
      </c>
    </row>
    <row r="538" spans="1:9">
      <c r="A538" s="3" t="s">
        <v>563</v>
      </c>
      <c r="B538" s="3" t="s">
        <v>26</v>
      </c>
      <c r="C538" s="3">
        <v>1111759</v>
      </c>
      <c r="D538" s="3">
        <v>153387</v>
      </c>
      <c r="E538" s="3" t="s">
        <v>27</v>
      </c>
      <c r="F538" s="3">
        <v>671463</v>
      </c>
      <c r="G538" s="3">
        <v>93137</v>
      </c>
      <c r="H538" s="3">
        <v>440296</v>
      </c>
      <c r="I538" s="3">
        <v>60250</v>
      </c>
    </row>
    <row r="539" spans="1:9">
      <c r="A539" s="3" t="s">
        <v>564</v>
      </c>
      <c r="B539" s="3" t="s">
        <v>26</v>
      </c>
      <c r="C539" s="3">
        <v>1128559</v>
      </c>
      <c r="D539" s="3">
        <v>197490</v>
      </c>
      <c r="E539" s="3" t="s">
        <v>27</v>
      </c>
      <c r="F539" s="3">
        <v>738748</v>
      </c>
      <c r="G539" s="3">
        <v>132249</v>
      </c>
      <c r="H539" s="3">
        <v>389811</v>
      </c>
      <c r="I539" s="3">
        <v>65241</v>
      </c>
    </row>
    <row r="540" spans="1:9">
      <c r="A540" s="3" t="s">
        <v>565</v>
      </c>
      <c r="B540" s="3" t="s">
        <v>26</v>
      </c>
      <c r="C540" s="3">
        <v>1595226</v>
      </c>
      <c r="D540" s="3">
        <v>346818</v>
      </c>
      <c r="E540" s="3" t="s">
        <v>27</v>
      </c>
      <c r="F540" s="3">
        <v>1169269</v>
      </c>
      <c r="G540" s="3">
        <v>261079</v>
      </c>
      <c r="H540" s="3">
        <v>425957</v>
      </c>
      <c r="I540" s="3">
        <v>85739</v>
      </c>
    </row>
    <row r="541" spans="1:9">
      <c r="A541" s="3" t="s">
        <v>566</v>
      </c>
      <c r="B541" s="3" t="s">
        <v>26</v>
      </c>
      <c r="C541" s="3">
        <v>1465602</v>
      </c>
      <c r="D541" s="3">
        <v>240816</v>
      </c>
      <c r="E541" s="3" t="s">
        <v>27</v>
      </c>
      <c r="F541" s="3">
        <v>1049335</v>
      </c>
      <c r="G541" s="3">
        <v>170668</v>
      </c>
      <c r="H541" s="3">
        <v>416267</v>
      </c>
      <c r="I541" s="3">
        <v>70148</v>
      </c>
    </row>
    <row r="542" spans="1:9">
      <c r="A542" s="3" t="s">
        <v>567</v>
      </c>
      <c r="B542" s="3" t="s">
        <v>26</v>
      </c>
      <c r="C542" s="3">
        <v>1227538</v>
      </c>
      <c r="D542" s="3">
        <v>283805</v>
      </c>
      <c r="E542" s="3" t="s">
        <v>27</v>
      </c>
      <c r="F542" s="3">
        <v>996136</v>
      </c>
      <c r="G542" s="3">
        <v>213323</v>
      </c>
      <c r="H542" s="3">
        <v>231402</v>
      </c>
      <c r="I542" s="3">
        <v>70482</v>
      </c>
    </row>
    <row r="543" spans="1:9">
      <c r="A543" s="3" t="s">
        <v>568</v>
      </c>
      <c r="B543" s="3" t="s">
        <v>26</v>
      </c>
      <c r="C543" s="3">
        <v>1020138</v>
      </c>
      <c r="D543" s="3">
        <v>85332</v>
      </c>
      <c r="E543" s="3" t="s">
        <v>27</v>
      </c>
      <c r="F543" s="3">
        <v>630244</v>
      </c>
      <c r="G543" s="3">
        <v>55292</v>
      </c>
      <c r="H543" s="3">
        <v>389894</v>
      </c>
      <c r="I543" s="3">
        <v>30040</v>
      </c>
    </row>
    <row r="544" spans="1:9">
      <c r="A544" s="3" t="s">
        <v>569</v>
      </c>
      <c r="B544" s="3" t="s">
        <v>26</v>
      </c>
      <c r="C544" s="3">
        <v>930030</v>
      </c>
      <c r="D544" s="3">
        <v>20707</v>
      </c>
      <c r="E544" s="3" t="s">
        <v>27</v>
      </c>
      <c r="F544" s="3">
        <v>498997</v>
      </c>
      <c r="G544" s="3">
        <v>10399</v>
      </c>
      <c r="H544" s="3">
        <v>431033</v>
      </c>
      <c r="I544" s="3">
        <v>10308</v>
      </c>
    </row>
    <row r="545" spans="1:9">
      <c r="A545" s="3" t="s">
        <v>570</v>
      </c>
      <c r="B545" s="3" t="s">
        <v>26</v>
      </c>
      <c r="C545" s="3">
        <v>1132489</v>
      </c>
      <c r="D545" s="3">
        <v>96831</v>
      </c>
      <c r="E545" s="3" t="s">
        <v>27</v>
      </c>
      <c r="F545" s="3">
        <v>690864</v>
      </c>
      <c r="G545" s="3">
        <v>62956</v>
      </c>
      <c r="H545" s="3">
        <v>441625</v>
      </c>
      <c r="I545" s="3">
        <v>33875</v>
      </c>
    </row>
    <row r="546" spans="1:9">
      <c r="A546" s="3" t="s">
        <v>571</v>
      </c>
      <c r="B546" s="3" t="s">
        <v>26</v>
      </c>
      <c r="C546" s="3">
        <v>1535583</v>
      </c>
      <c r="D546" s="3">
        <v>249210</v>
      </c>
      <c r="E546" s="3" t="s">
        <v>27</v>
      </c>
      <c r="F546" s="3">
        <v>928416</v>
      </c>
      <c r="G546" s="3">
        <v>149016</v>
      </c>
      <c r="H546" s="3">
        <v>607167</v>
      </c>
      <c r="I546" s="3">
        <v>100194</v>
      </c>
    </row>
    <row r="547" spans="1:9">
      <c r="A547" s="3" t="s">
        <v>572</v>
      </c>
      <c r="B547" s="3" t="s">
        <v>26</v>
      </c>
      <c r="C547" s="3">
        <v>1183714</v>
      </c>
      <c r="D547" s="3">
        <v>126793</v>
      </c>
      <c r="E547" s="3" t="s">
        <v>27</v>
      </c>
      <c r="F547" s="3">
        <v>748445</v>
      </c>
      <c r="G547" s="3">
        <v>77016</v>
      </c>
      <c r="H547" s="3">
        <v>435269</v>
      </c>
      <c r="I547" s="3">
        <v>49777</v>
      </c>
    </row>
    <row r="548" spans="1:9">
      <c r="A548" s="3" t="s">
        <v>573</v>
      </c>
      <c r="B548" s="3" t="s">
        <v>26</v>
      </c>
      <c r="C548" s="3">
        <v>1383353</v>
      </c>
      <c r="D548" s="3">
        <v>244573</v>
      </c>
      <c r="E548" s="3" t="s">
        <v>27</v>
      </c>
      <c r="F548" s="3">
        <v>1084323</v>
      </c>
      <c r="G548" s="3">
        <v>186746</v>
      </c>
      <c r="H548" s="3">
        <v>299030</v>
      </c>
      <c r="I548" s="3">
        <v>57827</v>
      </c>
    </row>
    <row r="549" spans="1:9">
      <c r="A549" s="3" t="s">
        <v>574</v>
      </c>
      <c r="B549" s="3" t="s">
        <v>26</v>
      </c>
      <c r="C549" s="3">
        <v>1400850</v>
      </c>
      <c r="D549" s="3">
        <v>268493</v>
      </c>
      <c r="E549" s="3" t="s">
        <v>27</v>
      </c>
      <c r="F549" s="3">
        <v>1001162</v>
      </c>
      <c r="G549" s="3">
        <v>187102</v>
      </c>
      <c r="H549" s="3">
        <v>399688</v>
      </c>
      <c r="I549" s="3">
        <v>81391</v>
      </c>
    </row>
    <row r="550" spans="1:9">
      <c r="A550" s="3" t="s">
        <v>575</v>
      </c>
      <c r="B550" s="3" t="s">
        <v>26</v>
      </c>
      <c r="C550" s="3">
        <v>888107</v>
      </c>
      <c r="D550" s="3">
        <v>31863</v>
      </c>
      <c r="E550" s="3" t="s">
        <v>27</v>
      </c>
      <c r="F550" s="3">
        <v>498965</v>
      </c>
      <c r="G550" s="3">
        <v>18799</v>
      </c>
      <c r="H550" s="3">
        <v>389142</v>
      </c>
      <c r="I550" s="3">
        <v>13064</v>
      </c>
    </row>
    <row r="551" spans="1:9">
      <c r="A551" s="3" t="s">
        <v>576</v>
      </c>
      <c r="B551" s="3" t="s">
        <v>26</v>
      </c>
      <c r="C551" s="3">
        <v>1222211</v>
      </c>
      <c r="D551" s="3">
        <v>137859</v>
      </c>
      <c r="E551" s="3" t="s">
        <v>27</v>
      </c>
      <c r="F551" s="3">
        <v>763390</v>
      </c>
      <c r="G551" s="3">
        <v>83888</v>
      </c>
      <c r="H551" s="3">
        <v>458821</v>
      </c>
      <c r="I551" s="3">
        <v>53971</v>
      </c>
    </row>
    <row r="552" spans="1:9">
      <c r="A552" s="3" t="s">
        <v>577</v>
      </c>
      <c r="B552" s="3" t="s">
        <v>26</v>
      </c>
      <c r="C552" s="3">
        <v>1179658</v>
      </c>
      <c r="D552" s="3">
        <v>250330</v>
      </c>
      <c r="E552" s="3" t="s">
        <v>27</v>
      </c>
      <c r="F552" s="3">
        <v>882985</v>
      </c>
      <c r="G552" s="3">
        <v>181075</v>
      </c>
      <c r="H552" s="3">
        <v>296673</v>
      </c>
      <c r="I552" s="3">
        <v>69255</v>
      </c>
    </row>
    <row r="553" spans="1:9">
      <c r="A553" s="3" t="s">
        <v>578</v>
      </c>
      <c r="B553" s="3" t="s">
        <v>26</v>
      </c>
      <c r="C553" s="3">
        <v>821708</v>
      </c>
      <c r="D553" s="3">
        <v>36452</v>
      </c>
      <c r="E553" s="3" t="s">
        <v>27</v>
      </c>
      <c r="F553" s="3">
        <v>561199</v>
      </c>
      <c r="G553" s="3">
        <v>19813</v>
      </c>
      <c r="H553" s="3">
        <v>260509</v>
      </c>
      <c r="I553" s="3">
        <v>16639</v>
      </c>
    </row>
    <row r="554" spans="1:9">
      <c r="A554" s="3" t="s">
        <v>579</v>
      </c>
      <c r="B554" s="3" t="s">
        <v>26</v>
      </c>
      <c r="C554" s="3">
        <v>1712336</v>
      </c>
      <c r="D554" s="3">
        <v>411850</v>
      </c>
      <c r="E554" s="3" t="s">
        <v>27</v>
      </c>
      <c r="F554" s="3">
        <v>1224573</v>
      </c>
      <c r="G554" s="3">
        <v>288899</v>
      </c>
      <c r="H554" s="3">
        <v>487763</v>
      </c>
      <c r="I554" s="3">
        <v>122951</v>
      </c>
    </row>
    <row r="555" spans="1:9">
      <c r="A555" s="3" t="s">
        <v>580</v>
      </c>
      <c r="B555" s="3" t="s">
        <v>26</v>
      </c>
      <c r="C555" s="3">
        <v>1283473</v>
      </c>
      <c r="D555" s="3">
        <v>211283</v>
      </c>
      <c r="E555" s="3" t="s">
        <v>27</v>
      </c>
      <c r="F555" s="3">
        <v>878297</v>
      </c>
      <c r="G555" s="3">
        <v>134591</v>
      </c>
      <c r="H555" s="3">
        <v>405176</v>
      </c>
      <c r="I555" s="3">
        <v>76692</v>
      </c>
    </row>
    <row r="556" spans="1:9">
      <c r="A556" s="3" t="s">
        <v>581</v>
      </c>
      <c r="B556" s="3" t="s">
        <v>26</v>
      </c>
      <c r="C556" s="3">
        <v>899903</v>
      </c>
      <c r="D556" s="3">
        <v>56823</v>
      </c>
      <c r="E556" s="3" t="s">
        <v>27</v>
      </c>
      <c r="F556" s="3">
        <v>492898</v>
      </c>
      <c r="G556" s="3">
        <v>31293</v>
      </c>
      <c r="H556" s="3">
        <v>407005</v>
      </c>
      <c r="I556" s="3">
        <v>25530</v>
      </c>
    </row>
    <row r="557" spans="1:9">
      <c r="A557" s="3" t="s">
        <v>582</v>
      </c>
      <c r="B557" s="3" t="s">
        <v>26</v>
      </c>
      <c r="C557" s="3">
        <v>690783</v>
      </c>
      <c r="D557" s="3">
        <v>31227</v>
      </c>
      <c r="E557" s="3" t="s">
        <v>27</v>
      </c>
      <c r="F557" s="3">
        <v>363764</v>
      </c>
      <c r="G557" s="3">
        <v>16755</v>
      </c>
      <c r="H557" s="3">
        <v>327019</v>
      </c>
      <c r="I557" s="3">
        <v>14472</v>
      </c>
    </row>
    <row r="558" spans="1:9">
      <c r="A558" s="3" t="s">
        <v>583</v>
      </c>
      <c r="B558" s="3" t="s">
        <v>26</v>
      </c>
      <c r="C558" s="3">
        <v>1710197</v>
      </c>
      <c r="D558" s="3">
        <v>388146</v>
      </c>
      <c r="E558" s="3" t="s">
        <v>27</v>
      </c>
      <c r="F558" s="3">
        <v>1215755</v>
      </c>
      <c r="G558" s="3">
        <v>259274</v>
      </c>
      <c r="H558" s="3">
        <v>494442</v>
      </c>
      <c r="I558" s="3">
        <v>128872</v>
      </c>
    </row>
    <row r="559" spans="1:9">
      <c r="A559" s="3" t="s">
        <v>584</v>
      </c>
      <c r="B559" s="3" t="s">
        <v>26</v>
      </c>
      <c r="C559" s="3">
        <v>775575</v>
      </c>
      <c r="D559" s="3">
        <v>21492</v>
      </c>
      <c r="E559" s="3" t="s">
        <v>27</v>
      </c>
      <c r="F559" s="3">
        <v>490141</v>
      </c>
      <c r="G559" s="3">
        <v>11763</v>
      </c>
      <c r="H559" s="3">
        <v>285434</v>
      </c>
      <c r="I559" s="3">
        <v>9729</v>
      </c>
    </row>
    <row r="560" spans="1:9">
      <c r="A560" s="3" t="s">
        <v>585</v>
      </c>
      <c r="B560" s="3" t="s">
        <v>26</v>
      </c>
      <c r="C560" s="3">
        <v>990140</v>
      </c>
      <c r="D560" s="3">
        <v>24491</v>
      </c>
      <c r="E560" s="3" t="s">
        <v>27</v>
      </c>
      <c r="F560" s="3">
        <v>540655</v>
      </c>
      <c r="G560" s="3">
        <v>14585</v>
      </c>
      <c r="H560" s="3">
        <v>449485</v>
      </c>
      <c r="I560" s="3">
        <v>9906</v>
      </c>
    </row>
    <row r="561" spans="1:9">
      <c r="A561" s="3" t="s">
        <v>586</v>
      </c>
      <c r="B561" s="3" t="s">
        <v>26</v>
      </c>
      <c r="C561" s="3">
        <v>2255986</v>
      </c>
      <c r="D561" s="3">
        <v>629715</v>
      </c>
      <c r="E561" s="3" t="s">
        <v>27</v>
      </c>
      <c r="F561" s="3">
        <v>1424833</v>
      </c>
      <c r="G561" s="3">
        <v>382211</v>
      </c>
      <c r="H561" s="3">
        <v>831153</v>
      </c>
      <c r="I561" s="3">
        <v>247504</v>
      </c>
    </row>
    <row r="562" spans="1:9">
      <c r="A562" s="3" t="s">
        <v>587</v>
      </c>
      <c r="B562" s="3" t="s">
        <v>26</v>
      </c>
      <c r="C562" s="3">
        <v>1754144</v>
      </c>
      <c r="D562" s="3">
        <v>409803</v>
      </c>
      <c r="E562" s="3" t="s">
        <v>27</v>
      </c>
      <c r="F562" s="3">
        <v>1301887</v>
      </c>
      <c r="G562" s="3">
        <v>284658</v>
      </c>
      <c r="H562" s="3">
        <v>452257</v>
      </c>
      <c r="I562" s="3">
        <v>125145</v>
      </c>
    </row>
    <row r="563" spans="1:9">
      <c r="A563" s="3" t="s">
        <v>588</v>
      </c>
      <c r="B563" s="3" t="s">
        <v>26</v>
      </c>
      <c r="C563" s="3">
        <v>1383106</v>
      </c>
      <c r="D563" s="3">
        <v>32925</v>
      </c>
      <c r="E563" s="3" t="s">
        <v>27</v>
      </c>
      <c r="F563" s="3">
        <v>738264</v>
      </c>
      <c r="G563" s="3">
        <v>16868</v>
      </c>
      <c r="H563" s="3">
        <v>644842</v>
      </c>
      <c r="I563" s="3">
        <v>16057</v>
      </c>
    </row>
    <row r="564" spans="1:9">
      <c r="A564" s="3" t="s">
        <v>589</v>
      </c>
      <c r="B564" s="3" t="s">
        <v>26</v>
      </c>
      <c r="C564" s="3">
        <v>979177</v>
      </c>
      <c r="D564" s="3">
        <v>6895</v>
      </c>
      <c r="E564" s="3" t="s">
        <v>27</v>
      </c>
      <c r="F564" s="3">
        <v>439897</v>
      </c>
      <c r="G564" s="3">
        <v>3195</v>
      </c>
      <c r="H564" s="3">
        <v>539280</v>
      </c>
      <c r="I564" s="3">
        <v>3700</v>
      </c>
    </row>
    <row r="565" spans="1:9">
      <c r="A565" s="3" t="s">
        <v>590</v>
      </c>
      <c r="B565" s="3" t="s">
        <v>26</v>
      </c>
      <c r="C565" s="3">
        <v>1490821</v>
      </c>
      <c r="D565" s="3">
        <v>238048</v>
      </c>
      <c r="E565" s="3" t="s">
        <v>27</v>
      </c>
      <c r="F565" s="3">
        <v>1016769</v>
      </c>
      <c r="G565" s="3">
        <v>177323</v>
      </c>
      <c r="H565" s="3">
        <v>474052</v>
      </c>
      <c r="I565" s="3">
        <v>60725</v>
      </c>
    </row>
    <row r="566" spans="1:9">
      <c r="A566" s="3" t="s">
        <v>591</v>
      </c>
      <c r="B566" s="3" t="s">
        <v>26</v>
      </c>
      <c r="C566" s="3">
        <v>2149374</v>
      </c>
      <c r="D566" s="3">
        <v>553276</v>
      </c>
      <c r="E566" s="3" t="s">
        <v>27</v>
      </c>
      <c r="F566" s="3">
        <v>1552578</v>
      </c>
      <c r="G566" s="3">
        <v>385446</v>
      </c>
      <c r="H566" s="3">
        <v>596796</v>
      </c>
      <c r="I566" s="3">
        <v>167830</v>
      </c>
    </row>
    <row r="567" spans="1:9">
      <c r="A567" s="3" t="s">
        <v>592</v>
      </c>
      <c r="B567" s="3" t="s">
        <v>26</v>
      </c>
      <c r="C567" s="3">
        <v>843198</v>
      </c>
      <c r="D567" s="3">
        <v>29560</v>
      </c>
      <c r="E567" s="3" t="s">
        <v>27</v>
      </c>
      <c r="F567" s="3">
        <v>437491</v>
      </c>
      <c r="G567" s="3">
        <v>15193</v>
      </c>
      <c r="H567" s="3">
        <v>405707</v>
      </c>
      <c r="I567" s="3">
        <v>14367</v>
      </c>
    </row>
    <row r="568" spans="1:9">
      <c r="A568" s="3" t="s">
        <v>593</v>
      </c>
      <c r="B568" s="3" t="s">
        <v>26</v>
      </c>
      <c r="C568" s="3">
        <v>764648</v>
      </c>
      <c r="D568" s="3">
        <v>13229</v>
      </c>
      <c r="E568" s="3" t="s">
        <v>27</v>
      </c>
      <c r="F568" s="3">
        <v>428609</v>
      </c>
      <c r="G568" s="3">
        <v>7448</v>
      </c>
      <c r="H568" s="3">
        <v>336039</v>
      </c>
      <c r="I568" s="3">
        <v>5781</v>
      </c>
    </row>
    <row r="569" spans="1:9">
      <c r="A569" s="3" t="s">
        <v>594</v>
      </c>
      <c r="B569" s="3" t="s">
        <v>26</v>
      </c>
      <c r="C569" s="3">
        <v>847776</v>
      </c>
      <c r="D569" s="3">
        <v>198216</v>
      </c>
      <c r="E569" s="3" t="s">
        <v>27</v>
      </c>
      <c r="F569" s="3">
        <v>667282</v>
      </c>
      <c r="G569" s="3">
        <v>140939</v>
      </c>
      <c r="H569" s="3">
        <v>180494</v>
      </c>
      <c r="I569" s="3">
        <v>57277</v>
      </c>
    </row>
    <row r="570" spans="1:9">
      <c r="A570" s="3" t="s">
        <v>595</v>
      </c>
      <c r="B570" s="3" t="s">
        <v>26</v>
      </c>
      <c r="C570" s="3">
        <v>2219834</v>
      </c>
      <c r="D570" s="3">
        <v>605087</v>
      </c>
      <c r="E570" s="3" t="s">
        <v>27</v>
      </c>
      <c r="F570" s="3">
        <v>1432298</v>
      </c>
      <c r="G570" s="3">
        <v>384787</v>
      </c>
      <c r="H570" s="3">
        <v>787536</v>
      </c>
      <c r="I570" s="3">
        <v>220300</v>
      </c>
    </row>
    <row r="571" spans="1:9">
      <c r="A571" s="3" t="s">
        <v>596</v>
      </c>
      <c r="B571" s="3" t="s">
        <v>26</v>
      </c>
      <c r="C571" s="3">
        <v>1204085</v>
      </c>
      <c r="D571" s="3">
        <v>276655</v>
      </c>
      <c r="E571" s="3" t="s">
        <v>27</v>
      </c>
      <c r="F571" s="3">
        <v>959710</v>
      </c>
      <c r="G571" s="3">
        <v>210121</v>
      </c>
      <c r="H571" s="3">
        <v>244375</v>
      </c>
      <c r="I571" s="3">
        <v>66534</v>
      </c>
    </row>
    <row r="572" spans="1:9">
      <c r="A572" s="3" t="s">
        <v>597</v>
      </c>
      <c r="B572" s="3" t="s">
        <v>26</v>
      </c>
      <c r="C572" s="3">
        <v>1426401</v>
      </c>
      <c r="D572" s="3">
        <v>232340</v>
      </c>
      <c r="E572" s="3" t="s">
        <v>27</v>
      </c>
      <c r="F572" s="3">
        <v>898401</v>
      </c>
      <c r="G572" s="3">
        <v>137428</v>
      </c>
      <c r="H572" s="3">
        <v>528000</v>
      </c>
      <c r="I572" s="3">
        <v>94912</v>
      </c>
    </row>
    <row r="573" spans="1:9">
      <c r="A573" s="3" t="s">
        <v>598</v>
      </c>
      <c r="B573" s="3" t="s">
        <v>26</v>
      </c>
      <c r="C573" s="3">
        <v>1250415</v>
      </c>
      <c r="D573" s="3">
        <v>255265</v>
      </c>
      <c r="E573" s="3" t="s">
        <v>27</v>
      </c>
      <c r="F573" s="3">
        <v>993937</v>
      </c>
      <c r="G573" s="3">
        <v>191183</v>
      </c>
      <c r="H573" s="3">
        <v>256478</v>
      </c>
      <c r="I573" s="3">
        <v>64082</v>
      </c>
    </row>
    <row r="574" spans="1:9">
      <c r="A574" s="3" t="s">
        <v>599</v>
      </c>
      <c r="B574" s="3" t="s">
        <v>26</v>
      </c>
      <c r="C574" s="3">
        <v>680175</v>
      </c>
      <c r="D574" s="3">
        <v>1229</v>
      </c>
      <c r="E574" s="3" t="s">
        <v>27</v>
      </c>
      <c r="F574" s="3">
        <v>348816</v>
      </c>
      <c r="G574" s="3">
        <v>656</v>
      </c>
      <c r="H574" s="3">
        <v>331359</v>
      </c>
      <c r="I574" s="3">
        <v>573</v>
      </c>
    </row>
    <row r="575" spans="1:9">
      <c r="A575" s="3" t="s">
        <v>600</v>
      </c>
      <c r="B575" s="3" t="s">
        <v>26</v>
      </c>
      <c r="C575" s="3">
        <v>1347793</v>
      </c>
      <c r="D575" s="3">
        <v>61764</v>
      </c>
      <c r="E575" s="3" t="s">
        <v>27</v>
      </c>
      <c r="F575" s="3">
        <v>702602</v>
      </c>
      <c r="G575" s="3">
        <v>32215</v>
      </c>
      <c r="H575" s="3">
        <v>645191</v>
      </c>
      <c r="I575" s="3">
        <v>29549</v>
      </c>
    </row>
    <row r="576" spans="1:9">
      <c r="A576" s="3" t="s">
        <v>601</v>
      </c>
      <c r="B576" s="3" t="s">
        <v>26</v>
      </c>
      <c r="C576" s="3">
        <v>1481922</v>
      </c>
      <c r="D576" s="3">
        <v>351231</v>
      </c>
      <c r="E576" s="3" t="s">
        <v>27</v>
      </c>
      <c r="F576" s="3">
        <v>1215810</v>
      </c>
      <c r="G576" s="3">
        <v>276862</v>
      </c>
      <c r="H576" s="3">
        <v>266112</v>
      </c>
      <c r="I576" s="3">
        <v>74369</v>
      </c>
    </row>
    <row r="577" spans="1:9">
      <c r="A577" s="3" t="s">
        <v>602</v>
      </c>
      <c r="B577" s="3" t="s">
        <v>26</v>
      </c>
      <c r="C577" s="3">
        <v>20369</v>
      </c>
      <c r="D577" s="3">
        <v>6282</v>
      </c>
      <c r="E577" s="3" t="s">
        <v>27</v>
      </c>
      <c r="F577" s="3">
        <v>16749</v>
      </c>
      <c r="G577" s="3">
        <v>4841</v>
      </c>
      <c r="H577" s="3">
        <v>3620</v>
      </c>
      <c r="I577" s="3">
        <v>1441</v>
      </c>
    </row>
    <row r="578" spans="1:9">
      <c r="A578" s="3" t="s">
        <v>603</v>
      </c>
      <c r="B578" s="3" t="s">
        <v>26</v>
      </c>
      <c r="C578" s="3">
        <v>2183946</v>
      </c>
      <c r="D578" s="3">
        <v>631085</v>
      </c>
      <c r="E578" s="3" t="s">
        <v>27</v>
      </c>
      <c r="F578" s="3">
        <v>1593556</v>
      </c>
      <c r="G578" s="3">
        <v>445656</v>
      </c>
      <c r="H578" s="3">
        <v>590390</v>
      </c>
      <c r="I578" s="3">
        <v>185429</v>
      </c>
    </row>
    <row r="579" spans="1:9">
      <c r="A579" s="3" t="s">
        <v>604</v>
      </c>
      <c r="B579" s="3" t="s">
        <v>26</v>
      </c>
      <c r="C579" s="3">
        <v>710892</v>
      </c>
      <c r="D579" s="3">
        <v>9956</v>
      </c>
      <c r="E579" s="3" t="s">
        <v>27</v>
      </c>
      <c r="F579" s="3">
        <v>349009</v>
      </c>
      <c r="G579" s="3">
        <v>3891</v>
      </c>
      <c r="H579" s="3">
        <v>361883</v>
      </c>
      <c r="I579" s="3">
        <v>6065</v>
      </c>
    </row>
    <row r="580" spans="1:9">
      <c r="A580" s="3" t="s">
        <v>605</v>
      </c>
      <c r="B580" s="3" t="s">
        <v>26</v>
      </c>
      <c r="C580" s="3">
        <v>2047381</v>
      </c>
      <c r="D580" s="3">
        <v>434463</v>
      </c>
      <c r="E580" s="3" t="s">
        <v>27</v>
      </c>
      <c r="F580" s="3">
        <v>1667967</v>
      </c>
      <c r="G580" s="3">
        <v>322232</v>
      </c>
      <c r="H580" s="3">
        <v>379414</v>
      </c>
      <c r="I580" s="3">
        <v>112231</v>
      </c>
    </row>
    <row r="581" spans="1:9">
      <c r="A581" s="3" t="s">
        <v>606</v>
      </c>
      <c r="B581" s="3" t="s">
        <v>26</v>
      </c>
      <c r="C581" s="3">
        <v>1471333</v>
      </c>
      <c r="D581" s="3">
        <v>268023</v>
      </c>
      <c r="E581" s="3" t="s">
        <v>27</v>
      </c>
      <c r="F581" s="3">
        <v>943996</v>
      </c>
      <c r="G581" s="3">
        <v>171975</v>
      </c>
      <c r="H581" s="3">
        <v>527337</v>
      </c>
      <c r="I581" s="3">
        <v>96048</v>
      </c>
    </row>
    <row r="582" spans="1:9">
      <c r="A582" s="3" t="s">
        <v>607</v>
      </c>
      <c r="B582" s="3" t="s">
        <v>26</v>
      </c>
      <c r="C582" s="3">
        <v>1570109</v>
      </c>
      <c r="D582" s="3">
        <v>319072</v>
      </c>
      <c r="E582" s="3" t="s">
        <v>27</v>
      </c>
      <c r="F582" s="3">
        <v>1095935</v>
      </c>
      <c r="G582" s="3">
        <v>201617</v>
      </c>
      <c r="H582" s="3">
        <v>474174</v>
      </c>
      <c r="I582" s="3">
        <v>117455</v>
      </c>
    </row>
    <row r="583" spans="1:9">
      <c r="A583" s="3" t="s">
        <v>608</v>
      </c>
      <c r="B583" s="3" t="s">
        <v>26</v>
      </c>
      <c r="C583" s="3">
        <v>2956708</v>
      </c>
      <c r="D583" s="3">
        <v>62054</v>
      </c>
      <c r="E583" s="3" t="s">
        <v>27</v>
      </c>
      <c r="F583" s="3">
        <v>2790057</v>
      </c>
      <c r="G583" s="3">
        <v>55171</v>
      </c>
      <c r="H583" s="3">
        <v>166651</v>
      </c>
      <c r="I583" s="3">
        <v>6883</v>
      </c>
    </row>
    <row r="584" spans="1:9">
      <c r="A584" s="3" t="s">
        <v>609</v>
      </c>
      <c r="B584" s="3" t="s">
        <v>26</v>
      </c>
      <c r="C584" s="3">
        <v>1875151</v>
      </c>
      <c r="D584" s="3">
        <v>359467</v>
      </c>
      <c r="E584" s="3" t="s">
        <v>27</v>
      </c>
      <c r="F584" s="3">
        <v>1213311</v>
      </c>
      <c r="G584" s="3">
        <v>232567</v>
      </c>
      <c r="H584" s="3">
        <v>661840</v>
      </c>
      <c r="I584" s="3">
        <v>126900</v>
      </c>
    </row>
    <row r="585" spans="1:9">
      <c r="A585" s="3" t="s">
        <v>610</v>
      </c>
      <c r="B585" s="3" t="s">
        <v>26</v>
      </c>
      <c r="C585" s="3">
        <v>1305515</v>
      </c>
      <c r="D585" s="3">
        <v>47858</v>
      </c>
      <c r="E585" s="3" t="s">
        <v>27</v>
      </c>
      <c r="F585" s="3">
        <v>749437</v>
      </c>
      <c r="G585" s="3">
        <v>31306</v>
      </c>
      <c r="H585" s="3">
        <v>556078</v>
      </c>
      <c r="I585" s="3">
        <v>16552</v>
      </c>
    </row>
    <row r="586" spans="1:9">
      <c r="A586" s="3" t="s">
        <v>611</v>
      </c>
      <c r="B586" s="3" t="s">
        <v>26</v>
      </c>
      <c r="C586" s="3">
        <v>342918</v>
      </c>
      <c r="D586" s="3">
        <v>74743</v>
      </c>
      <c r="E586" s="3" t="s">
        <v>27</v>
      </c>
      <c r="F586" s="3">
        <v>196920</v>
      </c>
      <c r="G586" s="3">
        <v>40677</v>
      </c>
      <c r="H586" s="3">
        <v>145998</v>
      </c>
      <c r="I586" s="3">
        <v>34066</v>
      </c>
    </row>
    <row r="587" spans="1:9">
      <c r="A587" s="3" t="s">
        <v>612</v>
      </c>
      <c r="B587" s="3" t="s">
        <v>26</v>
      </c>
      <c r="C587" s="3">
        <v>1532926</v>
      </c>
      <c r="D587" s="3">
        <v>277353</v>
      </c>
      <c r="E587" s="3" t="s">
        <v>27</v>
      </c>
      <c r="F587" s="3">
        <v>993671</v>
      </c>
      <c r="G587" s="3">
        <v>165284</v>
      </c>
      <c r="H587" s="3">
        <v>539255</v>
      </c>
      <c r="I587" s="3">
        <v>112069</v>
      </c>
    </row>
    <row r="588" spans="1:9">
      <c r="A588" s="3" t="s">
        <v>613</v>
      </c>
      <c r="B588" s="3" t="s">
        <v>26</v>
      </c>
      <c r="C588" s="3">
        <v>1384064</v>
      </c>
      <c r="D588" s="3">
        <v>214511</v>
      </c>
      <c r="E588" s="3" t="s">
        <v>27</v>
      </c>
      <c r="F588" s="3">
        <v>986695</v>
      </c>
      <c r="G588" s="3">
        <v>149731</v>
      </c>
      <c r="H588" s="3">
        <v>397369</v>
      </c>
      <c r="I588" s="3">
        <v>64780</v>
      </c>
    </row>
    <row r="589" spans="1:9">
      <c r="A589" s="3" t="s">
        <v>614</v>
      </c>
      <c r="B589" s="3" t="s">
        <v>26</v>
      </c>
      <c r="C589" s="3">
        <v>1654278</v>
      </c>
      <c r="D589" s="3">
        <v>377609</v>
      </c>
      <c r="E589" s="3" t="s">
        <v>27</v>
      </c>
      <c r="F589" s="3">
        <v>1285712</v>
      </c>
      <c r="G589" s="3">
        <v>276032</v>
      </c>
      <c r="H589" s="3">
        <v>368566</v>
      </c>
      <c r="I589" s="3">
        <v>101577</v>
      </c>
    </row>
    <row r="590" spans="1:9">
      <c r="A590" s="3" t="s">
        <v>615</v>
      </c>
      <c r="B590" s="3" t="s">
        <v>26</v>
      </c>
      <c r="C590" s="3">
        <v>948461</v>
      </c>
      <c r="D590" s="3">
        <v>15775</v>
      </c>
      <c r="E590" s="3" t="s">
        <v>27</v>
      </c>
      <c r="F590" s="3">
        <v>503951</v>
      </c>
      <c r="G590" s="3">
        <v>8211</v>
      </c>
      <c r="H590" s="3">
        <v>444510</v>
      </c>
      <c r="I590" s="3">
        <v>7564</v>
      </c>
    </row>
    <row r="591" spans="1:9">
      <c r="A591" s="3" t="s">
        <v>616</v>
      </c>
      <c r="B591" s="3" t="s">
        <v>26</v>
      </c>
      <c r="C591" s="3">
        <v>1256092</v>
      </c>
      <c r="D591" s="3">
        <v>128538</v>
      </c>
      <c r="E591" s="3" t="s">
        <v>27</v>
      </c>
      <c r="F591" s="3">
        <v>790997</v>
      </c>
      <c r="G591" s="3">
        <v>87940</v>
      </c>
      <c r="H591" s="3">
        <v>465095</v>
      </c>
      <c r="I591" s="3">
        <v>40598</v>
      </c>
    </row>
    <row r="592" spans="1:9">
      <c r="A592" s="3" t="s">
        <v>617</v>
      </c>
      <c r="B592" s="3" t="s">
        <v>26</v>
      </c>
      <c r="C592" s="3">
        <v>1349370</v>
      </c>
      <c r="D592" s="3">
        <v>50528</v>
      </c>
      <c r="E592" s="3" t="s">
        <v>27</v>
      </c>
      <c r="F592" s="3">
        <v>737078</v>
      </c>
      <c r="G592" s="3">
        <v>26799</v>
      </c>
      <c r="H592" s="3">
        <v>612292</v>
      </c>
      <c r="I592" s="3">
        <v>23729</v>
      </c>
    </row>
    <row r="593" spans="1:9">
      <c r="A593" s="3" t="s">
        <v>618</v>
      </c>
      <c r="B593" s="3" t="s">
        <v>26</v>
      </c>
      <c r="C593" s="3">
        <v>28281</v>
      </c>
      <c r="D593" s="3">
        <v>4900</v>
      </c>
      <c r="E593" s="3" t="s">
        <v>27</v>
      </c>
      <c r="F593" s="3">
        <v>22477</v>
      </c>
      <c r="G593" s="3">
        <v>3190</v>
      </c>
      <c r="H593" s="3">
        <v>5804</v>
      </c>
      <c r="I593" s="3">
        <v>1710</v>
      </c>
    </row>
    <row r="594" spans="1:9">
      <c r="A594" s="3" t="s">
        <v>619</v>
      </c>
      <c r="B594" s="3" t="s">
        <v>26</v>
      </c>
      <c r="C594" s="3">
        <v>1511362</v>
      </c>
      <c r="D594" s="3">
        <v>93445</v>
      </c>
      <c r="E594" s="3" t="s">
        <v>27</v>
      </c>
      <c r="F594" s="3">
        <v>922627</v>
      </c>
      <c r="G594" s="3">
        <v>57887</v>
      </c>
      <c r="H594" s="3">
        <v>588735</v>
      </c>
      <c r="I594" s="3">
        <v>35558</v>
      </c>
    </row>
    <row r="595" spans="1:9">
      <c r="A595" s="3" t="s">
        <v>620</v>
      </c>
      <c r="B595" s="3" t="s">
        <v>26</v>
      </c>
      <c r="C595" s="3">
        <v>1703158</v>
      </c>
      <c r="D595" s="3">
        <v>292150</v>
      </c>
      <c r="E595" s="3" t="s">
        <v>27</v>
      </c>
      <c r="F595" s="3">
        <v>1291199</v>
      </c>
      <c r="G595" s="3">
        <v>225764</v>
      </c>
      <c r="H595" s="3">
        <v>411959</v>
      </c>
      <c r="I595" s="3">
        <v>66386</v>
      </c>
    </row>
    <row r="596" spans="1:9">
      <c r="A596" s="3" t="s">
        <v>621</v>
      </c>
      <c r="B596" s="3" t="s">
        <v>26</v>
      </c>
      <c r="C596" s="3">
        <v>1809723</v>
      </c>
      <c r="D596" s="3">
        <v>283700</v>
      </c>
      <c r="E596" s="3" t="s">
        <v>27</v>
      </c>
      <c r="F596" s="3">
        <v>1267075</v>
      </c>
      <c r="G596" s="3">
        <v>182430</v>
      </c>
      <c r="H596" s="3">
        <v>542648</v>
      </c>
      <c r="I596" s="3">
        <v>101270</v>
      </c>
    </row>
    <row r="597" spans="1:9">
      <c r="A597" s="3" t="s">
        <v>622</v>
      </c>
      <c r="B597" s="3" t="s">
        <v>26</v>
      </c>
      <c r="C597" s="3">
        <v>1311051</v>
      </c>
      <c r="D597" s="3">
        <v>45854</v>
      </c>
      <c r="E597" s="3" t="s">
        <v>27</v>
      </c>
      <c r="F597" s="3">
        <v>773330</v>
      </c>
      <c r="G597" s="3">
        <v>29773</v>
      </c>
      <c r="H597" s="3">
        <v>537721</v>
      </c>
      <c r="I597" s="3">
        <v>16081</v>
      </c>
    </row>
    <row r="598" spans="1:9">
      <c r="A598" s="3" t="s">
        <v>623</v>
      </c>
      <c r="B598" s="3" t="s">
        <v>26</v>
      </c>
      <c r="C598" s="3">
        <v>1295119</v>
      </c>
      <c r="D598" s="3">
        <v>152483</v>
      </c>
      <c r="E598" s="3" t="s">
        <v>27</v>
      </c>
      <c r="F598" s="3">
        <v>904174</v>
      </c>
      <c r="G598" s="3">
        <v>105323</v>
      </c>
      <c r="H598" s="3">
        <v>390945</v>
      </c>
      <c r="I598" s="3">
        <v>47160</v>
      </c>
    </row>
    <row r="599" spans="1:9">
      <c r="A599" s="3" t="s">
        <v>624</v>
      </c>
      <c r="B599" s="3" t="s">
        <v>26</v>
      </c>
      <c r="C599" s="3">
        <v>1530950</v>
      </c>
      <c r="D599" s="3">
        <v>17379</v>
      </c>
      <c r="E599" s="3" t="s">
        <v>27</v>
      </c>
      <c r="F599" s="3">
        <v>803803</v>
      </c>
      <c r="G599" s="3">
        <v>9506</v>
      </c>
      <c r="H599" s="3">
        <v>727147</v>
      </c>
      <c r="I599" s="3">
        <v>7873</v>
      </c>
    </row>
    <row r="600" spans="1:9">
      <c r="A600" s="3" t="s">
        <v>625</v>
      </c>
      <c r="B600" s="3" t="s">
        <v>26</v>
      </c>
      <c r="C600" s="3">
        <v>176607</v>
      </c>
      <c r="D600" s="3">
        <v>24462</v>
      </c>
      <c r="E600" s="3" t="s">
        <v>27</v>
      </c>
      <c r="F600" s="3">
        <v>110299</v>
      </c>
      <c r="G600" s="3">
        <v>11775</v>
      </c>
      <c r="H600" s="3">
        <v>66308</v>
      </c>
      <c r="I600" s="3">
        <v>12687</v>
      </c>
    </row>
    <row r="601" spans="1:9">
      <c r="A601" s="3" t="s">
        <v>626</v>
      </c>
      <c r="B601" s="3" t="s">
        <v>26</v>
      </c>
      <c r="C601" s="3">
        <v>1539475</v>
      </c>
      <c r="D601" s="3">
        <v>240467</v>
      </c>
      <c r="E601" s="3" t="s">
        <v>27</v>
      </c>
      <c r="F601" s="3">
        <v>999206</v>
      </c>
      <c r="G601" s="3">
        <v>153203</v>
      </c>
      <c r="H601" s="3">
        <v>540269</v>
      </c>
      <c r="I601" s="3">
        <v>87264</v>
      </c>
    </row>
    <row r="602" spans="1:9">
      <c r="A602" s="3" t="s">
        <v>627</v>
      </c>
      <c r="B602" s="3" t="s">
        <v>26</v>
      </c>
      <c r="C602" s="3">
        <v>1758543</v>
      </c>
      <c r="D602" s="3">
        <v>259968</v>
      </c>
      <c r="E602" s="3" t="s">
        <v>27</v>
      </c>
      <c r="F602" s="3">
        <v>1330994</v>
      </c>
      <c r="G602" s="3">
        <v>190411</v>
      </c>
      <c r="H602" s="3">
        <v>427549</v>
      </c>
      <c r="I602" s="3">
        <v>69557</v>
      </c>
    </row>
    <row r="603" spans="1:9">
      <c r="A603" s="3" t="s">
        <v>628</v>
      </c>
      <c r="B603" s="3" t="s">
        <v>26</v>
      </c>
      <c r="C603" s="3">
        <v>1314992</v>
      </c>
      <c r="D603" s="3">
        <v>55349</v>
      </c>
      <c r="E603" s="3" t="s">
        <v>27</v>
      </c>
      <c r="F603" s="3">
        <v>764698</v>
      </c>
      <c r="G603" s="3">
        <v>32307</v>
      </c>
      <c r="H603" s="3">
        <v>550294</v>
      </c>
      <c r="I603" s="3">
        <v>23042</v>
      </c>
    </row>
    <row r="604" spans="1:9">
      <c r="A604" s="3" t="s">
        <v>629</v>
      </c>
      <c r="B604" s="3" t="s">
        <v>26</v>
      </c>
      <c r="C604" s="3">
        <v>2159756</v>
      </c>
      <c r="D604" s="3">
        <v>594002</v>
      </c>
      <c r="E604" s="3" t="s">
        <v>27</v>
      </c>
      <c r="F604" s="3">
        <v>1702045</v>
      </c>
      <c r="G604" s="3">
        <v>440065</v>
      </c>
      <c r="H604" s="3">
        <v>457711</v>
      </c>
      <c r="I604" s="3">
        <v>153937</v>
      </c>
    </row>
    <row r="605" spans="1:9">
      <c r="A605" s="3" t="s">
        <v>630</v>
      </c>
      <c r="B605" s="3" t="s">
        <v>26</v>
      </c>
      <c r="C605" s="3">
        <v>1381698</v>
      </c>
      <c r="D605" s="3">
        <v>132458</v>
      </c>
      <c r="E605" s="3" t="s">
        <v>27</v>
      </c>
      <c r="F605" s="3">
        <v>804743</v>
      </c>
      <c r="G605" s="3">
        <v>82675</v>
      </c>
      <c r="H605" s="3">
        <v>576955</v>
      </c>
      <c r="I605" s="3">
        <v>49783</v>
      </c>
    </row>
    <row r="606" spans="1:9">
      <c r="A606" s="3" t="s">
        <v>631</v>
      </c>
      <c r="B606" s="3" t="s">
        <v>26</v>
      </c>
      <c r="C606" s="3">
        <v>1784286</v>
      </c>
      <c r="D606" s="3">
        <v>168485</v>
      </c>
      <c r="E606" s="3" t="s">
        <v>27</v>
      </c>
      <c r="F606" s="3">
        <v>1015472</v>
      </c>
      <c r="G606" s="3">
        <v>106525</v>
      </c>
      <c r="H606" s="3">
        <v>768814</v>
      </c>
      <c r="I606" s="3">
        <v>61960</v>
      </c>
    </row>
    <row r="607" spans="1:9">
      <c r="A607" s="3" t="s">
        <v>632</v>
      </c>
      <c r="B607" s="3" t="s">
        <v>26</v>
      </c>
      <c r="C607" s="3">
        <v>1341914</v>
      </c>
      <c r="D607" s="3">
        <v>143229</v>
      </c>
      <c r="E607" s="3" t="s">
        <v>27</v>
      </c>
      <c r="F607" s="3">
        <v>846548</v>
      </c>
      <c r="G607" s="3">
        <v>97888</v>
      </c>
      <c r="H607" s="3">
        <v>495366</v>
      </c>
      <c r="I607" s="3">
        <v>45341</v>
      </c>
    </row>
    <row r="608" spans="1:9">
      <c r="A608" s="3" t="s">
        <v>633</v>
      </c>
      <c r="B608" s="3" t="s">
        <v>26</v>
      </c>
      <c r="C608" s="3">
        <v>2408252</v>
      </c>
      <c r="D608" s="3">
        <v>454502</v>
      </c>
      <c r="E608" s="3" t="s">
        <v>27</v>
      </c>
      <c r="F608" s="3">
        <v>1521146</v>
      </c>
      <c r="G608" s="3">
        <v>277005</v>
      </c>
      <c r="H608" s="3">
        <v>887106</v>
      </c>
      <c r="I608" s="3">
        <v>177497</v>
      </c>
    </row>
    <row r="609" spans="1:9">
      <c r="A609" s="3" t="s">
        <v>634</v>
      </c>
      <c r="B609" s="3" t="s">
        <v>26</v>
      </c>
      <c r="C609" s="3">
        <v>2463944</v>
      </c>
      <c r="D609" s="3">
        <v>547769</v>
      </c>
      <c r="E609" s="3" t="s">
        <v>27</v>
      </c>
      <c r="F609" s="3">
        <v>1689615</v>
      </c>
      <c r="G609" s="3">
        <v>370239</v>
      </c>
      <c r="H609" s="3">
        <v>774329</v>
      </c>
      <c r="I609" s="3">
        <v>177530</v>
      </c>
    </row>
    <row r="610" spans="1:9">
      <c r="A610" s="3" t="s">
        <v>635</v>
      </c>
      <c r="B610" s="3" t="s">
        <v>26</v>
      </c>
      <c r="C610" s="3">
        <v>1771918</v>
      </c>
      <c r="D610" s="3">
        <v>314742</v>
      </c>
      <c r="E610" s="3" t="s">
        <v>27</v>
      </c>
      <c r="F610" s="3">
        <v>1280574</v>
      </c>
      <c r="G610" s="3">
        <v>220506</v>
      </c>
      <c r="H610" s="3">
        <v>491344</v>
      </c>
      <c r="I610" s="3">
        <v>94236</v>
      </c>
    </row>
    <row r="611" spans="1:9">
      <c r="A611" s="3" t="s">
        <v>636</v>
      </c>
      <c r="B611" s="3" t="s">
        <v>26</v>
      </c>
      <c r="C611" s="3">
        <v>2051946</v>
      </c>
      <c r="D611" s="3">
        <v>379107</v>
      </c>
      <c r="E611" s="3" t="s">
        <v>27</v>
      </c>
      <c r="F611" s="3">
        <v>1433024</v>
      </c>
      <c r="G611" s="3">
        <v>257660</v>
      </c>
      <c r="H611" s="3">
        <v>618922</v>
      </c>
      <c r="I611" s="3">
        <v>121447</v>
      </c>
    </row>
    <row r="612" spans="1:9">
      <c r="A612" s="3" t="s">
        <v>637</v>
      </c>
      <c r="B612" s="3" t="s">
        <v>26</v>
      </c>
      <c r="C612" s="3">
        <v>1581259</v>
      </c>
      <c r="D612" s="3">
        <v>192739</v>
      </c>
      <c r="E612" s="3" t="s">
        <v>27</v>
      </c>
      <c r="F612" s="3">
        <v>1019984</v>
      </c>
      <c r="G612" s="3">
        <v>127956</v>
      </c>
      <c r="H612" s="3">
        <v>561275</v>
      </c>
      <c r="I612" s="3">
        <v>64783</v>
      </c>
    </row>
    <row r="613" spans="1:9">
      <c r="A613" s="3" t="s">
        <v>638</v>
      </c>
      <c r="B613" s="3" t="s">
        <v>26</v>
      </c>
      <c r="C613" s="3">
        <v>2257034</v>
      </c>
      <c r="D613" s="3">
        <v>379405</v>
      </c>
      <c r="E613" s="3" t="s">
        <v>27</v>
      </c>
      <c r="F613" s="3">
        <v>1396682</v>
      </c>
      <c r="G613" s="3">
        <v>234074</v>
      </c>
      <c r="H613" s="3">
        <v>860352</v>
      </c>
      <c r="I613" s="3">
        <v>145331</v>
      </c>
    </row>
    <row r="614" spans="1:9">
      <c r="A614" s="3" t="s">
        <v>639</v>
      </c>
      <c r="B614" s="3" t="s">
        <v>26</v>
      </c>
      <c r="C614" s="3">
        <v>1740706</v>
      </c>
      <c r="D614" s="3">
        <v>229646</v>
      </c>
      <c r="E614" s="3" t="s">
        <v>27</v>
      </c>
      <c r="F614" s="3">
        <v>1176942</v>
      </c>
      <c r="G614" s="3">
        <v>163138</v>
      </c>
      <c r="H614" s="3">
        <v>563764</v>
      </c>
      <c r="I614" s="3">
        <v>66508</v>
      </c>
    </row>
    <row r="615" spans="1:9">
      <c r="A615" s="3" t="s">
        <v>640</v>
      </c>
      <c r="B615" s="3" t="s">
        <v>26</v>
      </c>
      <c r="C615" s="3">
        <v>1375489</v>
      </c>
      <c r="D615" s="3">
        <v>175987</v>
      </c>
      <c r="E615" s="3" t="s">
        <v>27</v>
      </c>
      <c r="F615" s="3">
        <v>924417</v>
      </c>
      <c r="G615" s="3">
        <v>131475</v>
      </c>
      <c r="H615" s="3">
        <v>451072</v>
      </c>
      <c r="I615" s="3">
        <v>44512</v>
      </c>
    </row>
    <row r="616" spans="1:9">
      <c r="A616" s="3" t="s">
        <v>641</v>
      </c>
      <c r="B616" s="3" t="s">
        <v>26</v>
      </c>
      <c r="C616" s="3">
        <v>2000548</v>
      </c>
      <c r="D616" s="3">
        <v>429671</v>
      </c>
      <c r="E616" s="3" t="s">
        <v>27</v>
      </c>
      <c r="F616" s="3">
        <v>1399557</v>
      </c>
      <c r="G616" s="3">
        <v>269586</v>
      </c>
      <c r="H616" s="3">
        <v>600991</v>
      </c>
      <c r="I616" s="3">
        <v>160085</v>
      </c>
    </row>
    <row r="617" spans="1:9">
      <c r="A617" s="3" t="s">
        <v>642</v>
      </c>
      <c r="B617" s="3" t="s">
        <v>26</v>
      </c>
      <c r="C617" s="3">
        <v>2313212</v>
      </c>
      <c r="D617" s="3">
        <v>523251</v>
      </c>
      <c r="E617" s="3" t="s">
        <v>27</v>
      </c>
      <c r="F617" s="3">
        <v>1764312</v>
      </c>
      <c r="G617" s="3">
        <v>387341</v>
      </c>
      <c r="H617" s="3">
        <v>548900</v>
      </c>
      <c r="I617" s="3">
        <v>135910</v>
      </c>
    </row>
    <row r="618" spans="1:9">
      <c r="A618" s="3" t="s">
        <v>643</v>
      </c>
      <c r="B618" s="3" t="s">
        <v>26</v>
      </c>
      <c r="C618" s="3">
        <v>943490</v>
      </c>
      <c r="D618" s="3">
        <v>37483</v>
      </c>
      <c r="E618" s="3" t="s">
        <v>27</v>
      </c>
      <c r="F618" s="3">
        <v>497246</v>
      </c>
      <c r="G618" s="3">
        <v>23131</v>
      </c>
      <c r="H618" s="3">
        <v>446244</v>
      </c>
      <c r="I618" s="3">
        <v>14352</v>
      </c>
    </row>
    <row r="619" spans="1:9">
      <c r="A619" s="3" t="s">
        <v>644</v>
      </c>
      <c r="B619" s="3" t="s">
        <v>26</v>
      </c>
      <c r="C619" s="3">
        <v>782077</v>
      </c>
      <c r="D619" s="3">
        <v>977</v>
      </c>
      <c r="E619" s="3" t="s">
        <v>27</v>
      </c>
      <c r="F619" s="3">
        <v>409686</v>
      </c>
      <c r="G619" s="3">
        <v>964</v>
      </c>
      <c r="H619" s="3">
        <v>372391</v>
      </c>
      <c r="I619" s="3">
        <v>13</v>
      </c>
    </row>
    <row r="620" spans="1:9">
      <c r="A620" s="3" t="s">
        <v>645</v>
      </c>
      <c r="B620" s="3" t="s">
        <v>26</v>
      </c>
      <c r="C620" s="3">
        <v>1660707</v>
      </c>
      <c r="D620" s="3">
        <v>348256</v>
      </c>
      <c r="E620" s="3" t="s">
        <v>27</v>
      </c>
      <c r="F620" s="3">
        <v>1181531</v>
      </c>
      <c r="G620" s="3">
        <v>244726</v>
      </c>
      <c r="H620" s="3">
        <v>479176</v>
      </c>
      <c r="I620" s="3">
        <v>103530</v>
      </c>
    </row>
    <row r="621" spans="1:9">
      <c r="A621" s="3" t="s">
        <v>646</v>
      </c>
      <c r="B621" s="3" t="s">
        <v>26</v>
      </c>
      <c r="C621" s="3">
        <v>1359375</v>
      </c>
      <c r="D621" s="3">
        <v>91199</v>
      </c>
      <c r="E621" s="3" t="s">
        <v>27</v>
      </c>
      <c r="F621" s="3">
        <v>763333</v>
      </c>
      <c r="G621" s="3">
        <v>55242</v>
      </c>
      <c r="H621" s="3">
        <v>596042</v>
      </c>
      <c r="I621" s="3">
        <v>35957</v>
      </c>
    </row>
    <row r="622" spans="1:9">
      <c r="A622" s="3" t="s">
        <v>647</v>
      </c>
      <c r="B622" s="3" t="s">
        <v>26</v>
      </c>
      <c r="C622" s="3">
        <v>24556</v>
      </c>
      <c r="D622" s="3">
        <v>5065</v>
      </c>
      <c r="E622" s="3" t="s">
        <v>27</v>
      </c>
      <c r="F622" s="3">
        <v>19692</v>
      </c>
      <c r="G622" s="3">
        <v>3944</v>
      </c>
      <c r="H622" s="3">
        <v>4864</v>
      </c>
      <c r="I622" s="3">
        <v>1121</v>
      </c>
    </row>
    <row r="623" spans="1:9">
      <c r="A623" s="3" t="s">
        <v>648</v>
      </c>
      <c r="B623" s="3" t="s">
        <v>26</v>
      </c>
      <c r="C623" s="3">
        <v>1802271</v>
      </c>
      <c r="D623" s="3">
        <v>274692</v>
      </c>
      <c r="E623" s="3" t="s">
        <v>27</v>
      </c>
      <c r="F623" s="3">
        <v>1060661</v>
      </c>
      <c r="G623" s="3">
        <v>154454</v>
      </c>
      <c r="H623" s="3">
        <v>741610</v>
      </c>
      <c r="I623" s="3">
        <v>120238</v>
      </c>
    </row>
    <row r="624" spans="1:9">
      <c r="A624" s="3" t="s">
        <v>649</v>
      </c>
      <c r="B624" s="3" t="s">
        <v>26</v>
      </c>
      <c r="C624" s="3">
        <v>1584156</v>
      </c>
      <c r="D624" s="3">
        <v>70660</v>
      </c>
      <c r="E624" s="3" t="s">
        <v>27</v>
      </c>
      <c r="F624" s="3">
        <v>854769</v>
      </c>
      <c r="G624" s="3">
        <v>39518</v>
      </c>
      <c r="H624" s="3">
        <v>729387</v>
      </c>
      <c r="I624" s="3">
        <v>31142</v>
      </c>
    </row>
    <row r="625" spans="1:9">
      <c r="A625" s="3" t="s">
        <v>650</v>
      </c>
      <c r="B625" s="3" t="s">
        <v>26</v>
      </c>
      <c r="C625" s="3">
        <v>1388616</v>
      </c>
      <c r="D625" s="3">
        <v>32349</v>
      </c>
      <c r="E625" s="3" t="s">
        <v>27</v>
      </c>
      <c r="F625" s="3">
        <v>725602</v>
      </c>
      <c r="G625" s="3">
        <v>14798</v>
      </c>
      <c r="H625" s="3">
        <v>663014</v>
      </c>
      <c r="I625" s="3">
        <v>17551</v>
      </c>
    </row>
    <row r="626" spans="1:9">
      <c r="A626" s="3" t="s">
        <v>651</v>
      </c>
      <c r="B626" s="3" t="s">
        <v>26</v>
      </c>
      <c r="C626" s="3">
        <v>853053</v>
      </c>
      <c r="D626" s="3">
        <v>5423</v>
      </c>
      <c r="E626" s="3" t="s">
        <v>27</v>
      </c>
      <c r="F626" s="3">
        <v>464474</v>
      </c>
      <c r="G626" s="3">
        <v>2730</v>
      </c>
      <c r="H626" s="3">
        <v>388579</v>
      </c>
      <c r="I626" s="3">
        <v>2693</v>
      </c>
    </row>
    <row r="627" spans="1:9">
      <c r="A627" s="3" t="s">
        <v>652</v>
      </c>
      <c r="B627" s="3" t="s">
        <v>26</v>
      </c>
      <c r="C627" s="3">
        <v>1534735</v>
      </c>
      <c r="D627" s="3">
        <v>186800</v>
      </c>
      <c r="E627" s="3" t="s">
        <v>27</v>
      </c>
      <c r="F627" s="3">
        <v>1040132</v>
      </c>
      <c r="G627" s="3">
        <v>120527</v>
      </c>
      <c r="H627" s="3">
        <v>494603</v>
      </c>
      <c r="I627" s="3">
        <v>66273</v>
      </c>
    </row>
    <row r="628" spans="1:9">
      <c r="A628" s="3" t="s">
        <v>653</v>
      </c>
      <c r="B628" s="3" t="s">
        <v>26</v>
      </c>
      <c r="C628" s="3">
        <v>1634389</v>
      </c>
      <c r="D628" s="3">
        <v>197432</v>
      </c>
      <c r="E628" s="3" t="s">
        <v>27</v>
      </c>
      <c r="F628" s="3">
        <v>1035504</v>
      </c>
      <c r="G628" s="3">
        <v>121781</v>
      </c>
      <c r="H628" s="3">
        <v>598885</v>
      </c>
      <c r="I628" s="3">
        <v>75651</v>
      </c>
    </row>
    <row r="629" spans="1:9">
      <c r="A629" s="3" t="s">
        <v>654</v>
      </c>
      <c r="B629" s="3" t="s">
        <v>26</v>
      </c>
      <c r="C629" s="3">
        <v>2330460</v>
      </c>
      <c r="D629" s="3">
        <v>463111</v>
      </c>
      <c r="E629" s="3" t="s">
        <v>27</v>
      </c>
      <c r="F629" s="3">
        <v>1683651</v>
      </c>
      <c r="G629" s="3">
        <v>323125</v>
      </c>
      <c r="H629" s="3">
        <v>646809</v>
      </c>
      <c r="I629" s="3">
        <v>139986</v>
      </c>
    </row>
    <row r="630" spans="1:9">
      <c r="A630" s="3" t="s">
        <v>655</v>
      </c>
      <c r="B630" s="3" t="s">
        <v>26</v>
      </c>
      <c r="C630" s="3">
        <v>1396275</v>
      </c>
      <c r="D630" s="3">
        <v>72754</v>
      </c>
      <c r="E630" s="3" t="s">
        <v>27</v>
      </c>
      <c r="F630" s="3">
        <v>759542</v>
      </c>
      <c r="G630" s="3">
        <v>44879</v>
      </c>
      <c r="H630" s="3">
        <v>636733</v>
      </c>
      <c r="I630" s="3">
        <v>27875</v>
      </c>
    </row>
    <row r="631" spans="1:9">
      <c r="A631" s="3" t="s">
        <v>656</v>
      </c>
      <c r="B631" s="3" t="s">
        <v>26</v>
      </c>
      <c r="C631" s="3">
        <v>1201576</v>
      </c>
      <c r="D631" s="3">
        <v>129297</v>
      </c>
      <c r="E631" s="3" t="s">
        <v>27</v>
      </c>
      <c r="F631" s="3">
        <v>763766</v>
      </c>
      <c r="G631" s="3">
        <v>92618</v>
      </c>
      <c r="H631" s="3">
        <v>437810</v>
      </c>
      <c r="I631" s="3">
        <v>36679</v>
      </c>
    </row>
    <row r="632" spans="1:9">
      <c r="A632" s="3" t="s">
        <v>657</v>
      </c>
      <c r="B632" s="3" t="s">
        <v>26</v>
      </c>
      <c r="C632" s="3">
        <v>1818623</v>
      </c>
      <c r="D632" s="3">
        <v>153901</v>
      </c>
      <c r="E632" s="3" t="s">
        <v>27</v>
      </c>
      <c r="F632" s="3">
        <v>1046550</v>
      </c>
      <c r="G632" s="3">
        <v>97170</v>
      </c>
      <c r="H632" s="3">
        <v>772073</v>
      </c>
      <c r="I632" s="3">
        <v>56731</v>
      </c>
    </row>
    <row r="633" spans="1:9">
      <c r="A633" s="3" t="s">
        <v>658</v>
      </c>
      <c r="B633" s="3" t="s">
        <v>26</v>
      </c>
      <c r="C633" s="3">
        <v>25899</v>
      </c>
      <c r="D633" s="3">
        <v>6912</v>
      </c>
      <c r="E633" s="3" t="s">
        <v>27</v>
      </c>
      <c r="F633" s="3">
        <v>23866</v>
      </c>
      <c r="G633" s="3">
        <v>5939</v>
      </c>
      <c r="H633" s="3">
        <v>2033</v>
      </c>
      <c r="I633" s="3">
        <v>973</v>
      </c>
    </row>
    <row r="634" spans="1:9">
      <c r="A634" s="3" t="s">
        <v>659</v>
      </c>
      <c r="B634" s="3" t="s">
        <v>26</v>
      </c>
      <c r="C634" s="3">
        <v>1647088</v>
      </c>
      <c r="D634" s="3">
        <v>258729</v>
      </c>
      <c r="E634" s="3" t="s">
        <v>27</v>
      </c>
      <c r="F634" s="3">
        <v>1004744</v>
      </c>
      <c r="G634" s="3">
        <v>155737</v>
      </c>
      <c r="H634" s="3">
        <v>642344</v>
      </c>
      <c r="I634" s="3">
        <v>102992</v>
      </c>
    </row>
    <row r="635" spans="1:9">
      <c r="A635" s="3" t="s">
        <v>660</v>
      </c>
      <c r="B635" s="3" t="s">
        <v>26</v>
      </c>
      <c r="C635" s="3">
        <v>1484507</v>
      </c>
      <c r="D635" s="3">
        <v>320063</v>
      </c>
      <c r="E635" s="3" t="s">
        <v>27</v>
      </c>
      <c r="F635" s="3">
        <v>1309926</v>
      </c>
      <c r="G635" s="3">
        <v>276164</v>
      </c>
      <c r="H635" s="3">
        <v>174581</v>
      </c>
      <c r="I635" s="3">
        <v>43899</v>
      </c>
    </row>
    <row r="636" spans="1:9">
      <c r="A636" s="3" t="s">
        <v>661</v>
      </c>
      <c r="B636" s="3" t="s">
        <v>26</v>
      </c>
      <c r="C636" s="3">
        <v>2061121</v>
      </c>
      <c r="D636" s="3">
        <v>248351</v>
      </c>
      <c r="E636" s="3" t="s">
        <v>27</v>
      </c>
      <c r="F636" s="3">
        <v>1207382</v>
      </c>
      <c r="G636" s="3">
        <v>158601</v>
      </c>
      <c r="H636" s="3">
        <v>853739</v>
      </c>
      <c r="I636" s="3">
        <v>89750</v>
      </c>
    </row>
    <row r="637" spans="1:9">
      <c r="A637" s="3" t="s">
        <v>662</v>
      </c>
      <c r="B637" s="3" t="s">
        <v>26</v>
      </c>
      <c r="C637" s="3">
        <v>1185025</v>
      </c>
      <c r="D637" s="3">
        <v>20866</v>
      </c>
      <c r="E637" s="3" t="s">
        <v>27</v>
      </c>
      <c r="F637" s="3">
        <v>623454</v>
      </c>
      <c r="G637" s="3">
        <v>13475</v>
      </c>
      <c r="H637" s="3">
        <v>561571</v>
      </c>
      <c r="I637" s="3">
        <v>7391</v>
      </c>
    </row>
    <row r="638" spans="1:9">
      <c r="A638" s="3" t="s">
        <v>663</v>
      </c>
      <c r="B638" s="3" t="s">
        <v>26</v>
      </c>
      <c r="C638" s="3">
        <v>1624424</v>
      </c>
      <c r="D638" s="3">
        <v>121038</v>
      </c>
      <c r="E638" s="3" t="s">
        <v>27</v>
      </c>
      <c r="F638" s="3">
        <v>946713</v>
      </c>
      <c r="G638" s="3">
        <v>70739</v>
      </c>
      <c r="H638" s="3">
        <v>677711</v>
      </c>
      <c r="I638" s="3">
        <v>50299</v>
      </c>
    </row>
    <row r="639" spans="1:9">
      <c r="A639" s="3" t="s">
        <v>664</v>
      </c>
      <c r="B639" s="3" t="s">
        <v>26</v>
      </c>
      <c r="C639" s="3">
        <v>1333149</v>
      </c>
      <c r="D639" s="3">
        <v>114006</v>
      </c>
      <c r="E639" s="3" t="s">
        <v>27</v>
      </c>
      <c r="F639" s="3">
        <v>806443</v>
      </c>
      <c r="G639" s="3">
        <v>69455</v>
      </c>
      <c r="H639" s="3">
        <v>526706</v>
      </c>
      <c r="I639" s="3">
        <v>44551</v>
      </c>
    </row>
    <row r="640" spans="1:9">
      <c r="A640" s="3" t="s">
        <v>665</v>
      </c>
      <c r="B640" s="3" t="s">
        <v>26</v>
      </c>
      <c r="C640" s="3">
        <v>2029814</v>
      </c>
      <c r="D640" s="3">
        <v>292369</v>
      </c>
      <c r="E640" s="3" t="s">
        <v>27</v>
      </c>
      <c r="F640" s="3">
        <v>1323140</v>
      </c>
      <c r="G640" s="3">
        <v>185120</v>
      </c>
      <c r="H640" s="3">
        <v>706674</v>
      </c>
      <c r="I640" s="3">
        <v>107249</v>
      </c>
    </row>
    <row r="641" spans="1:9">
      <c r="A641" s="3" t="s">
        <v>666</v>
      </c>
      <c r="B641" s="3" t="s">
        <v>26</v>
      </c>
      <c r="C641" s="3">
        <v>1840780</v>
      </c>
      <c r="D641" s="3">
        <v>328695</v>
      </c>
      <c r="E641" s="3" t="s">
        <v>27</v>
      </c>
      <c r="F641" s="3">
        <v>1438516</v>
      </c>
      <c r="G641" s="3">
        <v>264653</v>
      </c>
      <c r="H641" s="3">
        <v>402264</v>
      </c>
      <c r="I641" s="3">
        <v>64042</v>
      </c>
    </row>
    <row r="642" spans="1:9">
      <c r="A642" s="3" t="s">
        <v>667</v>
      </c>
      <c r="B642" s="3" t="s">
        <v>26</v>
      </c>
      <c r="C642" s="3">
        <v>1784328</v>
      </c>
      <c r="D642" s="3">
        <v>213916</v>
      </c>
      <c r="E642" s="3" t="s">
        <v>27</v>
      </c>
      <c r="F642" s="3">
        <v>1192855</v>
      </c>
      <c r="G642" s="3">
        <v>141720</v>
      </c>
      <c r="H642" s="3">
        <v>591473</v>
      </c>
      <c r="I642" s="3">
        <v>72196</v>
      </c>
    </row>
    <row r="643" spans="1:9">
      <c r="A643" s="3" t="s">
        <v>668</v>
      </c>
      <c r="B643" s="3" t="s">
        <v>26</v>
      </c>
      <c r="C643" s="3">
        <v>922546</v>
      </c>
      <c r="D643" s="3">
        <v>19755</v>
      </c>
      <c r="E643" s="3" t="s">
        <v>27</v>
      </c>
      <c r="F643" s="3">
        <v>505514</v>
      </c>
      <c r="G643" s="3">
        <v>13507</v>
      </c>
      <c r="H643" s="3">
        <v>417032</v>
      </c>
      <c r="I643" s="3">
        <v>6248</v>
      </c>
    </row>
    <row r="644" spans="1:9">
      <c r="A644" s="3" t="s">
        <v>669</v>
      </c>
      <c r="B644" s="3" t="s">
        <v>26</v>
      </c>
      <c r="C644" s="3">
        <v>1645935</v>
      </c>
      <c r="D644" s="3">
        <v>129893</v>
      </c>
      <c r="E644" s="3" t="s">
        <v>27</v>
      </c>
      <c r="F644" s="3">
        <v>964486</v>
      </c>
      <c r="G644" s="3">
        <v>79296</v>
      </c>
      <c r="H644" s="3">
        <v>681449</v>
      </c>
      <c r="I644" s="3">
        <v>50597</v>
      </c>
    </row>
    <row r="645" spans="1:9">
      <c r="A645" s="3" t="s">
        <v>670</v>
      </c>
      <c r="B645" s="3" t="s">
        <v>26</v>
      </c>
      <c r="C645" s="3">
        <v>1526961</v>
      </c>
      <c r="D645" s="3">
        <v>227696</v>
      </c>
      <c r="E645" s="3" t="s">
        <v>27</v>
      </c>
      <c r="F645" s="3">
        <v>1135415</v>
      </c>
      <c r="G645" s="3">
        <v>179616</v>
      </c>
      <c r="H645" s="3">
        <v>391546</v>
      </c>
      <c r="I645" s="3">
        <v>48080</v>
      </c>
    </row>
    <row r="646" spans="1:9">
      <c r="A646" s="3" t="s">
        <v>671</v>
      </c>
      <c r="B646" s="3" t="s">
        <v>26</v>
      </c>
      <c r="C646" s="3">
        <v>1325339</v>
      </c>
      <c r="D646" s="3">
        <v>17675</v>
      </c>
      <c r="E646" s="3" t="s">
        <v>27</v>
      </c>
      <c r="F646" s="3">
        <v>707163</v>
      </c>
      <c r="G646" s="3">
        <v>8936</v>
      </c>
      <c r="H646" s="3">
        <v>618176</v>
      </c>
      <c r="I646" s="3">
        <v>8739</v>
      </c>
    </row>
    <row r="647" spans="1:9">
      <c r="A647" s="3" t="s">
        <v>672</v>
      </c>
      <c r="B647" s="3" t="s">
        <v>26</v>
      </c>
      <c r="C647" s="3">
        <v>2328290</v>
      </c>
      <c r="D647" s="3">
        <v>489788</v>
      </c>
      <c r="E647" s="3" t="s">
        <v>27</v>
      </c>
      <c r="F647" s="3">
        <v>1658099</v>
      </c>
      <c r="G647" s="3">
        <v>337489</v>
      </c>
      <c r="H647" s="3">
        <v>670191</v>
      </c>
      <c r="I647" s="3">
        <v>152299</v>
      </c>
    </row>
    <row r="648" spans="1:9">
      <c r="A648" s="3" t="s">
        <v>673</v>
      </c>
      <c r="B648" s="3" t="s">
        <v>26</v>
      </c>
      <c r="C648" s="3">
        <v>1661170</v>
      </c>
      <c r="D648" s="3">
        <v>158551</v>
      </c>
      <c r="E648" s="3" t="s">
        <v>27</v>
      </c>
      <c r="F648" s="3">
        <v>1093194</v>
      </c>
      <c r="G648" s="3">
        <v>114799</v>
      </c>
      <c r="H648" s="3">
        <v>567976</v>
      </c>
      <c r="I648" s="3">
        <v>43752</v>
      </c>
    </row>
    <row r="649" spans="1:9">
      <c r="A649" s="3" t="s">
        <v>674</v>
      </c>
      <c r="B649" s="3" t="s">
        <v>26</v>
      </c>
      <c r="C649" s="3">
        <v>1328701</v>
      </c>
      <c r="D649" s="3">
        <v>42282</v>
      </c>
      <c r="E649" s="3" t="s">
        <v>27</v>
      </c>
      <c r="F649" s="3">
        <v>691445</v>
      </c>
      <c r="G649" s="3">
        <v>22378</v>
      </c>
      <c r="H649" s="3">
        <v>637256</v>
      </c>
      <c r="I649" s="3">
        <v>19904</v>
      </c>
    </row>
    <row r="650" spans="1:9">
      <c r="A650" s="3" t="s">
        <v>675</v>
      </c>
      <c r="B650" s="3" t="s">
        <v>26</v>
      </c>
      <c r="C650" s="3">
        <v>1689210</v>
      </c>
      <c r="D650" s="3">
        <v>50524</v>
      </c>
      <c r="E650" s="3" t="s">
        <v>27</v>
      </c>
      <c r="F650" s="3">
        <v>904785</v>
      </c>
      <c r="G650" s="3">
        <v>34551</v>
      </c>
      <c r="H650" s="3">
        <v>784425</v>
      </c>
      <c r="I650" s="3">
        <v>15973</v>
      </c>
    </row>
    <row r="651" spans="1:9">
      <c r="A651" s="3" t="s">
        <v>676</v>
      </c>
      <c r="B651" s="3" t="s">
        <v>26</v>
      </c>
      <c r="C651" s="3">
        <v>2043891</v>
      </c>
      <c r="D651" s="3">
        <v>426902</v>
      </c>
      <c r="E651" s="3" t="s">
        <v>27</v>
      </c>
      <c r="F651" s="3">
        <v>1585613</v>
      </c>
      <c r="G651" s="3">
        <v>304962</v>
      </c>
      <c r="H651" s="3">
        <v>458278</v>
      </c>
      <c r="I651" s="3">
        <v>121940</v>
      </c>
    </row>
    <row r="652" spans="1:9">
      <c r="A652" s="3" t="s">
        <v>677</v>
      </c>
      <c r="B652" s="3" t="s">
        <v>26</v>
      </c>
      <c r="C652" s="3">
        <v>1434033</v>
      </c>
      <c r="D652" s="3">
        <v>35321</v>
      </c>
      <c r="E652" s="3" t="s">
        <v>27</v>
      </c>
      <c r="F652" s="3">
        <v>801484</v>
      </c>
      <c r="G652" s="3">
        <v>18119</v>
      </c>
      <c r="H652" s="3">
        <v>632549</v>
      </c>
      <c r="I652" s="3">
        <v>17202</v>
      </c>
    </row>
    <row r="653" spans="1:9">
      <c r="A653" s="3" t="s">
        <v>678</v>
      </c>
      <c r="B653" s="3" t="s">
        <v>26</v>
      </c>
      <c r="C653" s="3">
        <v>1493984</v>
      </c>
      <c r="D653" s="3">
        <v>198819</v>
      </c>
      <c r="E653" s="3" t="s">
        <v>27</v>
      </c>
      <c r="F653" s="3">
        <v>864503</v>
      </c>
      <c r="G653" s="3">
        <v>110169</v>
      </c>
      <c r="H653" s="3">
        <v>629481</v>
      </c>
      <c r="I653" s="3">
        <v>88650</v>
      </c>
    </row>
    <row r="654" spans="1:9">
      <c r="A654" s="3" t="s">
        <v>679</v>
      </c>
      <c r="B654" s="3" t="s">
        <v>26</v>
      </c>
      <c r="C654" s="3">
        <v>1951481</v>
      </c>
      <c r="D654" s="3">
        <v>432431</v>
      </c>
      <c r="E654" s="3" t="s">
        <v>27</v>
      </c>
      <c r="F654" s="3">
        <v>1279044</v>
      </c>
      <c r="G654" s="3">
        <v>275951</v>
      </c>
      <c r="H654" s="3">
        <v>672437</v>
      </c>
      <c r="I654" s="3">
        <v>156480</v>
      </c>
    </row>
    <row r="655" spans="1:9">
      <c r="A655" s="3" t="s">
        <v>680</v>
      </c>
      <c r="B655" s="3" t="s">
        <v>26</v>
      </c>
      <c r="C655" s="3">
        <v>1260288</v>
      </c>
      <c r="D655" s="3">
        <v>177745</v>
      </c>
      <c r="E655" s="3" t="s">
        <v>27</v>
      </c>
      <c r="F655" s="3">
        <v>1066549</v>
      </c>
      <c r="G655" s="3">
        <v>131269</v>
      </c>
      <c r="H655" s="3">
        <v>193739</v>
      </c>
      <c r="I655" s="3">
        <v>46476</v>
      </c>
    </row>
    <row r="656" spans="1:9">
      <c r="A656" s="3" t="s">
        <v>681</v>
      </c>
      <c r="B656" s="3" t="s">
        <v>26</v>
      </c>
      <c r="C656" s="3">
        <v>1750177</v>
      </c>
      <c r="D656" s="3">
        <v>133356</v>
      </c>
      <c r="E656" s="3" t="s">
        <v>27</v>
      </c>
      <c r="F656" s="3">
        <v>1002237</v>
      </c>
      <c r="G656" s="3">
        <v>70504</v>
      </c>
      <c r="H656" s="3">
        <v>747940</v>
      </c>
      <c r="I656" s="3">
        <v>62852</v>
      </c>
    </row>
    <row r="657" spans="1:9">
      <c r="A657" s="3" t="s">
        <v>682</v>
      </c>
      <c r="B657" s="3" t="s">
        <v>26</v>
      </c>
      <c r="C657" s="3">
        <v>1090643</v>
      </c>
      <c r="D657" s="3">
        <v>27654</v>
      </c>
      <c r="E657" s="3" t="s">
        <v>27</v>
      </c>
      <c r="F657" s="3">
        <v>687763</v>
      </c>
      <c r="G657" s="3">
        <v>16285</v>
      </c>
      <c r="H657" s="3">
        <v>402880</v>
      </c>
      <c r="I657" s="3">
        <v>11369</v>
      </c>
    </row>
    <row r="658" spans="1:9">
      <c r="A658" s="3" t="s">
        <v>683</v>
      </c>
      <c r="B658" s="3" t="s">
        <v>26</v>
      </c>
      <c r="C658" s="3">
        <v>955924</v>
      </c>
      <c r="D658" s="3">
        <v>188623</v>
      </c>
      <c r="E658" s="3" t="s">
        <v>27</v>
      </c>
      <c r="F658" s="3">
        <v>644892</v>
      </c>
      <c r="G658" s="3">
        <v>130215</v>
      </c>
      <c r="H658" s="3">
        <v>311032</v>
      </c>
      <c r="I658" s="3">
        <v>58408</v>
      </c>
    </row>
    <row r="659" spans="1:9">
      <c r="A659" s="3" t="s">
        <v>684</v>
      </c>
      <c r="B659" s="3" t="s">
        <v>26</v>
      </c>
      <c r="C659" s="3">
        <v>1251916</v>
      </c>
      <c r="D659" s="3">
        <v>85032</v>
      </c>
      <c r="E659" s="3" t="s">
        <v>27</v>
      </c>
      <c r="F659" s="3">
        <v>935392</v>
      </c>
      <c r="G659" s="3">
        <v>51541</v>
      </c>
      <c r="H659" s="3">
        <v>316524</v>
      </c>
      <c r="I659" s="3">
        <v>33491</v>
      </c>
    </row>
    <row r="660" spans="1:9">
      <c r="A660" s="3" t="s">
        <v>685</v>
      </c>
      <c r="B660" s="3" t="s">
        <v>26</v>
      </c>
      <c r="C660" s="3">
        <v>855236</v>
      </c>
      <c r="D660" s="3">
        <v>7079</v>
      </c>
      <c r="E660" s="3" t="s">
        <v>27</v>
      </c>
      <c r="F660" s="3">
        <v>459948</v>
      </c>
      <c r="G660" s="3">
        <v>3031</v>
      </c>
      <c r="H660" s="3">
        <v>395288</v>
      </c>
      <c r="I660" s="3">
        <v>4048</v>
      </c>
    </row>
    <row r="661" spans="1:9">
      <c r="A661" s="3" t="s">
        <v>686</v>
      </c>
      <c r="B661" s="3" t="s">
        <v>26</v>
      </c>
      <c r="C661" s="3">
        <v>1019440</v>
      </c>
      <c r="D661" s="3">
        <v>14580</v>
      </c>
      <c r="E661" s="3" t="s">
        <v>27</v>
      </c>
      <c r="F661" s="3">
        <v>542967</v>
      </c>
      <c r="G661" s="3">
        <v>7669</v>
      </c>
      <c r="H661" s="3">
        <v>476473</v>
      </c>
      <c r="I661" s="3">
        <v>6911</v>
      </c>
    </row>
    <row r="662" spans="1:9">
      <c r="A662" s="3" t="s">
        <v>687</v>
      </c>
      <c r="B662" s="3" t="s">
        <v>26</v>
      </c>
      <c r="C662" s="3">
        <v>1962604</v>
      </c>
      <c r="D662" s="3">
        <v>421243</v>
      </c>
      <c r="E662" s="3" t="s">
        <v>27</v>
      </c>
      <c r="F662" s="3">
        <v>1348765</v>
      </c>
      <c r="G662" s="3">
        <v>259564</v>
      </c>
      <c r="H662" s="3">
        <v>613839</v>
      </c>
      <c r="I662" s="3">
        <v>161679</v>
      </c>
    </row>
    <row r="663" spans="1:9">
      <c r="A663" s="3" t="s">
        <v>688</v>
      </c>
      <c r="B663" s="3" t="s">
        <v>26</v>
      </c>
      <c r="C663" s="3">
        <v>1955285</v>
      </c>
      <c r="D663" s="3">
        <v>263118</v>
      </c>
      <c r="E663" s="3" t="s">
        <v>27</v>
      </c>
      <c r="F663" s="3">
        <v>1074758</v>
      </c>
      <c r="G663" s="3">
        <v>154317</v>
      </c>
      <c r="H663" s="3">
        <v>880527</v>
      </c>
      <c r="I663" s="3">
        <v>108801</v>
      </c>
    </row>
    <row r="664" spans="1:9">
      <c r="A664" s="3" t="s">
        <v>689</v>
      </c>
      <c r="B664" s="3" t="s">
        <v>26</v>
      </c>
      <c r="C664" s="3">
        <v>1226137</v>
      </c>
      <c r="D664" s="3">
        <v>225845</v>
      </c>
      <c r="E664" s="3" t="s">
        <v>27</v>
      </c>
      <c r="F664" s="3">
        <v>978218</v>
      </c>
      <c r="G664" s="3">
        <v>171294</v>
      </c>
      <c r="H664" s="3">
        <v>247919</v>
      </c>
      <c r="I664" s="3">
        <v>54551</v>
      </c>
    </row>
    <row r="665" spans="1:9">
      <c r="A665" s="3" t="s">
        <v>690</v>
      </c>
      <c r="B665" s="3" t="s">
        <v>26</v>
      </c>
      <c r="C665" s="3">
        <v>1124851</v>
      </c>
      <c r="D665" s="3">
        <v>31055</v>
      </c>
      <c r="E665" s="3" t="s">
        <v>27</v>
      </c>
      <c r="F665" s="3">
        <v>715745</v>
      </c>
      <c r="G665" s="3">
        <v>14732</v>
      </c>
      <c r="H665" s="3">
        <v>409106</v>
      </c>
      <c r="I665" s="3">
        <v>16323</v>
      </c>
    </row>
    <row r="666" spans="1:9">
      <c r="A666" s="3" t="s">
        <v>691</v>
      </c>
      <c r="B666" s="3" t="s">
        <v>26</v>
      </c>
      <c r="C666" s="3">
        <v>1854568</v>
      </c>
      <c r="D666" s="3">
        <v>425154</v>
      </c>
      <c r="E666" s="3" t="s">
        <v>27</v>
      </c>
      <c r="F666" s="3">
        <v>1488428</v>
      </c>
      <c r="G666" s="3">
        <v>316040</v>
      </c>
      <c r="H666" s="3">
        <v>366140</v>
      </c>
      <c r="I666" s="3">
        <v>109114</v>
      </c>
    </row>
    <row r="667" spans="1:9">
      <c r="A667" s="3" t="s">
        <v>692</v>
      </c>
      <c r="B667" s="3" t="s">
        <v>26</v>
      </c>
      <c r="C667" s="3">
        <v>837521</v>
      </c>
      <c r="D667" s="3">
        <v>8124</v>
      </c>
      <c r="E667" s="3" t="s">
        <v>27</v>
      </c>
      <c r="F667" s="3">
        <v>418167</v>
      </c>
      <c r="G667" s="3">
        <v>3518</v>
      </c>
      <c r="H667" s="3">
        <v>419354</v>
      </c>
      <c r="I667" s="3">
        <v>4606</v>
      </c>
    </row>
    <row r="668" spans="1:9">
      <c r="A668" s="3" t="s">
        <v>693</v>
      </c>
      <c r="B668" s="3" t="s">
        <v>26</v>
      </c>
      <c r="C668" s="3">
        <v>1651810</v>
      </c>
      <c r="D668" s="3">
        <v>82071</v>
      </c>
      <c r="E668" s="3" t="s">
        <v>27</v>
      </c>
      <c r="F668" s="3">
        <v>881726</v>
      </c>
      <c r="G668" s="3">
        <v>51389</v>
      </c>
      <c r="H668" s="3">
        <v>770084</v>
      </c>
      <c r="I668" s="3">
        <v>30682</v>
      </c>
    </row>
    <row r="669" spans="1:9">
      <c r="A669" s="3" t="s">
        <v>694</v>
      </c>
      <c r="B669" s="3" t="s">
        <v>26</v>
      </c>
      <c r="C669" s="3">
        <v>2374670</v>
      </c>
      <c r="D669" s="3">
        <v>708413</v>
      </c>
      <c r="E669" s="3" t="s">
        <v>27</v>
      </c>
      <c r="F669" s="3">
        <v>1879049</v>
      </c>
      <c r="G669" s="3">
        <v>544046</v>
      </c>
      <c r="H669" s="3">
        <v>495621</v>
      </c>
      <c r="I669" s="3">
        <v>164367</v>
      </c>
    </row>
    <row r="670" spans="1:9">
      <c r="A670" s="3" t="s">
        <v>695</v>
      </c>
      <c r="B670" s="3" t="s">
        <v>26</v>
      </c>
      <c r="C670" s="3">
        <v>2353321</v>
      </c>
      <c r="D670" s="3">
        <v>657244</v>
      </c>
      <c r="E670" s="3" t="s">
        <v>27</v>
      </c>
      <c r="F670" s="3">
        <v>1565641</v>
      </c>
      <c r="G670" s="3">
        <v>418499</v>
      </c>
      <c r="H670" s="3">
        <v>787680</v>
      </c>
      <c r="I670" s="3">
        <v>238745</v>
      </c>
    </row>
    <row r="671" spans="1:9">
      <c r="A671" s="3" t="s">
        <v>696</v>
      </c>
      <c r="B671" s="3" t="s">
        <v>26</v>
      </c>
      <c r="C671" s="3">
        <v>2012478</v>
      </c>
      <c r="D671" s="3">
        <v>475347</v>
      </c>
      <c r="E671" s="3" t="s">
        <v>27</v>
      </c>
      <c r="F671" s="3">
        <v>1425581</v>
      </c>
      <c r="G671" s="3">
        <v>310943</v>
      </c>
      <c r="H671" s="3">
        <v>586897</v>
      </c>
      <c r="I671" s="3">
        <v>164404</v>
      </c>
    </row>
    <row r="672" spans="1:9">
      <c r="A672" s="3" t="s">
        <v>697</v>
      </c>
      <c r="B672" s="3" t="s">
        <v>26</v>
      </c>
      <c r="C672" s="3">
        <v>1168463</v>
      </c>
      <c r="D672" s="3">
        <v>4570</v>
      </c>
      <c r="E672" s="3" t="s">
        <v>27</v>
      </c>
      <c r="F672" s="3">
        <v>409066</v>
      </c>
      <c r="G672" s="3">
        <v>2279</v>
      </c>
      <c r="H672" s="3">
        <v>759397</v>
      </c>
      <c r="I672" s="3">
        <v>2291</v>
      </c>
    </row>
    <row r="673" spans="1:9">
      <c r="A673" s="3" t="s">
        <v>698</v>
      </c>
      <c r="B673" s="3" t="s">
        <v>26</v>
      </c>
      <c r="C673" s="3">
        <v>2569951</v>
      </c>
      <c r="D673" s="3">
        <v>644217</v>
      </c>
      <c r="E673" s="3" t="s">
        <v>27</v>
      </c>
      <c r="F673" s="3">
        <v>1968250</v>
      </c>
      <c r="G673" s="3">
        <v>473429</v>
      </c>
      <c r="H673" s="3">
        <v>601701</v>
      </c>
      <c r="I673" s="3">
        <v>170788</v>
      </c>
    </row>
    <row r="674" spans="1:9">
      <c r="A674" s="3" t="s">
        <v>699</v>
      </c>
      <c r="B674" s="3" t="s">
        <v>26</v>
      </c>
      <c r="C674" s="3">
        <v>2130406</v>
      </c>
      <c r="D674" s="3">
        <v>329695</v>
      </c>
      <c r="E674" s="3" t="s">
        <v>27</v>
      </c>
      <c r="F674" s="3">
        <v>1403705</v>
      </c>
      <c r="G674" s="3">
        <v>210154</v>
      </c>
      <c r="H674" s="3">
        <v>726701</v>
      </c>
      <c r="I674" s="3">
        <v>119541</v>
      </c>
    </row>
    <row r="675" spans="1:9">
      <c r="A675" s="3" t="s">
        <v>700</v>
      </c>
      <c r="B675" s="3" t="s">
        <v>26</v>
      </c>
      <c r="C675" s="3">
        <v>1861061</v>
      </c>
      <c r="D675" s="3">
        <v>428622</v>
      </c>
      <c r="E675" s="3" t="s">
        <v>27</v>
      </c>
      <c r="F675" s="3">
        <v>1479487</v>
      </c>
      <c r="G675" s="3">
        <v>327362</v>
      </c>
      <c r="H675" s="3">
        <v>381574</v>
      </c>
      <c r="I675" s="3">
        <v>101260</v>
      </c>
    </row>
    <row r="676" spans="1:9">
      <c r="A676" s="3" t="s">
        <v>701</v>
      </c>
      <c r="B676" s="3" t="s">
        <v>26</v>
      </c>
      <c r="C676" s="3">
        <v>1104268</v>
      </c>
      <c r="D676" s="3">
        <v>41281</v>
      </c>
      <c r="E676" s="3" t="s">
        <v>27</v>
      </c>
      <c r="F676" s="3">
        <v>575703</v>
      </c>
      <c r="G676" s="3">
        <v>26434</v>
      </c>
      <c r="H676" s="3">
        <v>528565</v>
      </c>
      <c r="I676" s="3">
        <v>14847</v>
      </c>
    </row>
    <row r="677" spans="1:9">
      <c r="A677" s="3" t="s">
        <v>702</v>
      </c>
      <c r="B677" s="3" t="s">
        <v>26</v>
      </c>
      <c r="C677" s="3">
        <v>2644990</v>
      </c>
      <c r="D677" s="3">
        <v>709819</v>
      </c>
      <c r="E677" s="3" t="s">
        <v>27</v>
      </c>
      <c r="F677" s="3">
        <v>1779315</v>
      </c>
      <c r="G677" s="3">
        <v>455606</v>
      </c>
      <c r="H677" s="3">
        <v>865675</v>
      </c>
      <c r="I677" s="3">
        <v>254213</v>
      </c>
    </row>
    <row r="678" spans="1:9">
      <c r="A678" s="3" t="s">
        <v>703</v>
      </c>
      <c r="B678" s="3" t="s">
        <v>26</v>
      </c>
      <c r="C678" s="3">
        <v>1591945</v>
      </c>
      <c r="D678" s="3">
        <v>191377</v>
      </c>
      <c r="E678" s="3" t="s">
        <v>27</v>
      </c>
      <c r="F678" s="3">
        <v>903488</v>
      </c>
      <c r="G678" s="3">
        <v>107835</v>
      </c>
      <c r="H678" s="3">
        <v>688457</v>
      </c>
      <c r="I678" s="3">
        <v>83542</v>
      </c>
    </row>
    <row r="679" spans="1:9">
      <c r="A679" s="3" t="s">
        <v>704</v>
      </c>
      <c r="B679" s="3" t="s">
        <v>26</v>
      </c>
      <c r="C679" s="3">
        <v>1882985</v>
      </c>
      <c r="D679" s="3">
        <v>381645</v>
      </c>
      <c r="E679" s="3" t="s">
        <v>27</v>
      </c>
      <c r="F679" s="3">
        <v>1050486</v>
      </c>
      <c r="G679" s="3">
        <v>208988</v>
      </c>
      <c r="H679" s="3">
        <v>832499</v>
      </c>
      <c r="I679" s="3">
        <v>172657</v>
      </c>
    </row>
    <row r="680" spans="1:9">
      <c r="A680" s="3" t="s">
        <v>705</v>
      </c>
      <c r="B680" s="3" t="s">
        <v>26</v>
      </c>
      <c r="C680" s="3">
        <v>2409937</v>
      </c>
      <c r="D680" s="3">
        <v>593748</v>
      </c>
      <c r="E680" s="3" t="s">
        <v>27</v>
      </c>
      <c r="F680" s="3">
        <v>1609537</v>
      </c>
      <c r="G680" s="3">
        <v>369666</v>
      </c>
      <c r="H680" s="3">
        <v>800400</v>
      </c>
      <c r="I680" s="3">
        <v>224082</v>
      </c>
    </row>
    <row r="681" spans="1:9">
      <c r="A681" s="3" t="s">
        <v>706</v>
      </c>
      <c r="B681" s="3" t="s">
        <v>26</v>
      </c>
      <c r="C681" s="3">
        <v>3710237</v>
      </c>
      <c r="D681" s="3">
        <v>369211</v>
      </c>
      <c r="E681" s="3" t="s">
        <v>27</v>
      </c>
      <c r="F681" s="3">
        <v>3461739</v>
      </c>
      <c r="G681" s="3">
        <v>294206</v>
      </c>
      <c r="H681" s="3">
        <v>248498</v>
      </c>
      <c r="I681" s="3">
        <v>75005</v>
      </c>
    </row>
    <row r="682" spans="1:9">
      <c r="A682" s="3" t="s">
        <v>707</v>
      </c>
      <c r="B682" s="3" t="s">
        <v>26</v>
      </c>
      <c r="C682" s="3">
        <v>548664</v>
      </c>
      <c r="D682" s="3">
        <v>64384</v>
      </c>
      <c r="E682" s="3" t="s">
        <v>27</v>
      </c>
      <c r="F682" s="3">
        <v>418812</v>
      </c>
      <c r="G682" s="3">
        <v>43130</v>
      </c>
      <c r="H682" s="3">
        <v>129852</v>
      </c>
      <c r="I682" s="3">
        <v>21254</v>
      </c>
    </row>
    <row r="683" spans="1:9">
      <c r="A683" s="3" t="s">
        <v>708</v>
      </c>
      <c r="B683" s="3" t="s">
        <v>26</v>
      </c>
      <c r="C683" s="3">
        <v>1178061</v>
      </c>
      <c r="D683" s="3">
        <v>14818</v>
      </c>
      <c r="E683" s="3" t="s">
        <v>27</v>
      </c>
      <c r="F683" s="3">
        <v>618875</v>
      </c>
      <c r="G683" s="3">
        <v>7869</v>
      </c>
      <c r="H683" s="3">
        <v>559186</v>
      </c>
      <c r="I683" s="3">
        <v>6949</v>
      </c>
    </row>
    <row r="684" spans="1:9">
      <c r="A684" s="3" t="s">
        <v>709</v>
      </c>
      <c r="B684" s="3" t="s">
        <v>26</v>
      </c>
      <c r="C684" s="3">
        <v>1539953</v>
      </c>
      <c r="D684" s="3">
        <v>98534</v>
      </c>
      <c r="E684" s="3" t="s">
        <v>27</v>
      </c>
      <c r="F684" s="3">
        <v>903116</v>
      </c>
      <c r="G684" s="3">
        <v>64095</v>
      </c>
      <c r="H684" s="3">
        <v>636837</v>
      </c>
      <c r="I684" s="3">
        <v>34439</v>
      </c>
    </row>
    <row r="685" spans="1:9">
      <c r="A685" s="3" t="s">
        <v>710</v>
      </c>
      <c r="B685" s="3" t="s">
        <v>26</v>
      </c>
      <c r="C685" s="3">
        <v>1656309</v>
      </c>
      <c r="D685" s="3">
        <v>101549</v>
      </c>
      <c r="E685" s="3" t="s">
        <v>27</v>
      </c>
      <c r="F685" s="3">
        <v>939384</v>
      </c>
      <c r="G685" s="3">
        <v>53975</v>
      </c>
      <c r="H685" s="3">
        <v>716925</v>
      </c>
      <c r="I685" s="3">
        <v>47574</v>
      </c>
    </row>
    <row r="686" spans="1:9">
      <c r="A686" s="3" t="s">
        <v>711</v>
      </c>
      <c r="B686" s="3" t="s">
        <v>26</v>
      </c>
      <c r="C686" s="3">
        <v>1488714</v>
      </c>
      <c r="D686" s="3">
        <v>41982</v>
      </c>
      <c r="E686" s="3" t="s">
        <v>27</v>
      </c>
      <c r="F686" s="3">
        <v>800274</v>
      </c>
      <c r="G686" s="3">
        <v>21015</v>
      </c>
      <c r="H686" s="3">
        <v>688440</v>
      </c>
      <c r="I686" s="3">
        <v>20967</v>
      </c>
    </row>
    <row r="687" spans="1:9">
      <c r="A687" s="3" t="s">
        <v>712</v>
      </c>
      <c r="B687" s="3" t="s">
        <v>26</v>
      </c>
      <c r="C687" s="3">
        <v>1697204</v>
      </c>
      <c r="D687" s="3">
        <v>32544</v>
      </c>
      <c r="E687" s="3" t="s">
        <v>27</v>
      </c>
      <c r="F687" s="3">
        <v>862146</v>
      </c>
      <c r="G687" s="3">
        <v>15437</v>
      </c>
      <c r="H687" s="3">
        <v>835058</v>
      </c>
      <c r="I687" s="3">
        <v>17107</v>
      </c>
    </row>
    <row r="688" spans="1:9">
      <c r="A688" s="3" t="s">
        <v>713</v>
      </c>
      <c r="B688" s="3" t="s">
        <v>26</v>
      </c>
      <c r="C688" s="3">
        <v>1964785</v>
      </c>
      <c r="D688" s="3">
        <v>394195</v>
      </c>
      <c r="E688" s="3" t="s">
        <v>27</v>
      </c>
      <c r="F688" s="3">
        <v>1373902</v>
      </c>
      <c r="G688" s="3">
        <v>287123</v>
      </c>
      <c r="H688" s="3">
        <v>590883</v>
      </c>
      <c r="I688" s="3">
        <v>107072</v>
      </c>
    </row>
    <row r="689" spans="1:9">
      <c r="A689" s="3" t="s">
        <v>714</v>
      </c>
      <c r="B689" s="3" t="s">
        <v>26</v>
      </c>
      <c r="C689" s="3">
        <v>2328612</v>
      </c>
      <c r="D689" s="3">
        <v>312515</v>
      </c>
      <c r="E689" s="3" t="s">
        <v>27</v>
      </c>
      <c r="F689" s="3">
        <v>1515089</v>
      </c>
      <c r="G689" s="3">
        <v>203773</v>
      </c>
      <c r="H689" s="3">
        <v>813523</v>
      </c>
      <c r="I689" s="3">
        <v>108742</v>
      </c>
    </row>
    <row r="690" spans="1:9">
      <c r="A690" s="3" t="s">
        <v>715</v>
      </c>
      <c r="B690" s="3" t="s">
        <v>26</v>
      </c>
      <c r="C690" s="3">
        <v>1925967</v>
      </c>
      <c r="D690" s="3">
        <v>183846</v>
      </c>
      <c r="E690" s="3" t="s">
        <v>27</v>
      </c>
      <c r="F690" s="3">
        <v>1202451</v>
      </c>
      <c r="G690" s="3">
        <v>113991</v>
      </c>
      <c r="H690" s="3">
        <v>723516</v>
      </c>
      <c r="I690" s="3">
        <v>69855</v>
      </c>
    </row>
    <row r="691" spans="1:9">
      <c r="A691" s="3" t="s">
        <v>716</v>
      </c>
      <c r="B691" s="3" t="s">
        <v>26</v>
      </c>
      <c r="C691" s="3">
        <v>2231196</v>
      </c>
      <c r="D691" s="3">
        <v>470413</v>
      </c>
      <c r="E691" s="3" t="s">
        <v>27</v>
      </c>
      <c r="F691" s="3">
        <v>1750121</v>
      </c>
      <c r="G691" s="3">
        <v>364971</v>
      </c>
      <c r="H691" s="3">
        <v>481075</v>
      </c>
      <c r="I691" s="3">
        <v>105442</v>
      </c>
    </row>
    <row r="692" spans="1:9">
      <c r="A692" s="3" t="s">
        <v>717</v>
      </c>
      <c r="B692" s="3" t="s">
        <v>26</v>
      </c>
      <c r="C692" s="3">
        <v>1645013</v>
      </c>
      <c r="D692" s="3">
        <v>115129</v>
      </c>
      <c r="E692" s="3" t="s">
        <v>27</v>
      </c>
      <c r="F692" s="3">
        <v>956489</v>
      </c>
      <c r="G692" s="3">
        <v>58339</v>
      </c>
      <c r="H692" s="3">
        <v>688524</v>
      </c>
      <c r="I692" s="3">
        <v>56790</v>
      </c>
    </row>
    <row r="693" spans="1:9">
      <c r="A693" s="3" t="s">
        <v>718</v>
      </c>
      <c r="B693" s="3" t="s">
        <v>26</v>
      </c>
      <c r="C693" s="3">
        <v>1777663</v>
      </c>
      <c r="D693" s="3">
        <v>60358</v>
      </c>
      <c r="E693" s="3" t="s">
        <v>27</v>
      </c>
      <c r="F693" s="3">
        <v>951984</v>
      </c>
      <c r="G693" s="3">
        <v>33709</v>
      </c>
      <c r="H693" s="3">
        <v>825679</v>
      </c>
      <c r="I693" s="3">
        <v>26649</v>
      </c>
    </row>
    <row r="694" spans="1:9">
      <c r="A694" s="3" t="s">
        <v>719</v>
      </c>
      <c r="B694" s="3" t="s">
        <v>26</v>
      </c>
      <c r="C694" s="3">
        <v>2116559</v>
      </c>
      <c r="D694" s="3">
        <v>302469</v>
      </c>
      <c r="E694" s="3" t="s">
        <v>27</v>
      </c>
      <c r="F694" s="3">
        <v>1368117</v>
      </c>
      <c r="G694" s="3">
        <v>189025</v>
      </c>
      <c r="H694" s="3">
        <v>748442</v>
      </c>
      <c r="I694" s="3">
        <v>113444</v>
      </c>
    </row>
    <row r="695" spans="1:9">
      <c r="A695" s="3" t="s">
        <v>720</v>
      </c>
      <c r="B695" s="3" t="s">
        <v>26</v>
      </c>
      <c r="C695" s="3">
        <v>2431365</v>
      </c>
      <c r="D695" s="3">
        <v>471127</v>
      </c>
      <c r="E695" s="3" t="s">
        <v>27</v>
      </c>
      <c r="F695" s="3">
        <v>1691384</v>
      </c>
      <c r="G695" s="3">
        <v>300487</v>
      </c>
      <c r="H695" s="3">
        <v>739981</v>
      </c>
      <c r="I695" s="3">
        <v>170640</v>
      </c>
    </row>
    <row r="696" spans="1:9">
      <c r="A696" s="3" t="s">
        <v>721</v>
      </c>
      <c r="B696" s="3" t="s">
        <v>26</v>
      </c>
      <c r="C696" s="3">
        <v>1430725</v>
      </c>
      <c r="D696" s="3">
        <v>112254</v>
      </c>
      <c r="E696" s="3" t="s">
        <v>27</v>
      </c>
      <c r="F696" s="3">
        <v>846942</v>
      </c>
      <c r="G696" s="3">
        <v>72073</v>
      </c>
      <c r="H696" s="3">
        <v>583783</v>
      </c>
      <c r="I696" s="3">
        <v>40181</v>
      </c>
    </row>
    <row r="697" spans="1:9">
      <c r="A697" s="3" t="s">
        <v>722</v>
      </c>
      <c r="B697" s="3" t="s">
        <v>26</v>
      </c>
      <c r="C697" s="3">
        <v>1916858</v>
      </c>
      <c r="D697" s="3">
        <v>446010</v>
      </c>
      <c r="E697" s="3" t="s">
        <v>27</v>
      </c>
      <c r="F697" s="3">
        <v>1567828</v>
      </c>
      <c r="G697" s="3">
        <v>335266</v>
      </c>
      <c r="H697" s="3">
        <v>349030</v>
      </c>
      <c r="I697" s="3">
        <v>110744</v>
      </c>
    </row>
    <row r="698" spans="1:9">
      <c r="A698" s="3" t="s">
        <v>723</v>
      </c>
      <c r="B698" s="3" t="s">
        <v>26</v>
      </c>
      <c r="C698" s="3">
        <v>1867966</v>
      </c>
      <c r="D698" s="3">
        <v>206121</v>
      </c>
      <c r="E698" s="3" t="s">
        <v>27</v>
      </c>
      <c r="F698" s="3">
        <v>1091562</v>
      </c>
      <c r="G698" s="3">
        <v>127601</v>
      </c>
      <c r="H698" s="3">
        <v>776404</v>
      </c>
      <c r="I698" s="3">
        <v>78520</v>
      </c>
    </row>
    <row r="699" spans="1:9">
      <c r="A699" s="3" t="s">
        <v>724</v>
      </c>
      <c r="B699" s="3" t="s">
        <v>26</v>
      </c>
      <c r="C699" s="3">
        <v>1024746</v>
      </c>
      <c r="D699" s="3">
        <v>64361</v>
      </c>
      <c r="E699" s="3" t="s">
        <v>27</v>
      </c>
      <c r="F699" s="3">
        <v>603539</v>
      </c>
      <c r="G699" s="3">
        <v>44060</v>
      </c>
      <c r="H699" s="3">
        <v>421207</v>
      </c>
      <c r="I699" s="3">
        <v>20301</v>
      </c>
    </row>
    <row r="700" spans="1:9">
      <c r="A700" s="3" t="s">
        <v>725</v>
      </c>
      <c r="B700" s="3" t="s">
        <v>26</v>
      </c>
      <c r="C700" s="3">
        <v>1749914</v>
      </c>
      <c r="D700" s="3">
        <v>77004</v>
      </c>
      <c r="E700" s="3" t="s">
        <v>27</v>
      </c>
      <c r="F700" s="3">
        <v>971395</v>
      </c>
      <c r="G700" s="3">
        <v>39907</v>
      </c>
      <c r="H700" s="3">
        <v>778519</v>
      </c>
      <c r="I700" s="3">
        <v>37097</v>
      </c>
    </row>
    <row r="701" spans="1:9">
      <c r="A701" s="3" t="s">
        <v>726</v>
      </c>
      <c r="B701" s="3" t="s">
        <v>26</v>
      </c>
      <c r="C701" s="3">
        <v>1804496</v>
      </c>
      <c r="D701" s="3">
        <v>127039</v>
      </c>
      <c r="E701" s="3" t="s">
        <v>27</v>
      </c>
      <c r="F701" s="3">
        <v>978088</v>
      </c>
      <c r="G701" s="3">
        <v>81164</v>
      </c>
      <c r="H701" s="3">
        <v>826408</v>
      </c>
      <c r="I701" s="3">
        <v>45875</v>
      </c>
    </row>
    <row r="702" spans="1:9">
      <c r="A702" s="3" t="s">
        <v>727</v>
      </c>
      <c r="B702" s="3" t="s">
        <v>26</v>
      </c>
      <c r="C702" s="3">
        <v>2520398</v>
      </c>
      <c r="D702" s="3">
        <v>352141</v>
      </c>
      <c r="E702" s="3" t="s">
        <v>27</v>
      </c>
      <c r="F702" s="3">
        <v>1678545</v>
      </c>
      <c r="G702" s="3">
        <v>238796</v>
      </c>
      <c r="H702" s="3">
        <v>841853</v>
      </c>
      <c r="I702" s="3">
        <v>113345</v>
      </c>
    </row>
    <row r="703" spans="1:9">
      <c r="A703" s="3" t="s">
        <v>728</v>
      </c>
      <c r="B703" s="3" t="s">
        <v>26</v>
      </c>
      <c r="C703" s="3">
        <v>1933089</v>
      </c>
      <c r="D703" s="3">
        <v>271909</v>
      </c>
      <c r="E703" s="3" t="s">
        <v>27</v>
      </c>
      <c r="F703" s="3">
        <v>1382831</v>
      </c>
      <c r="G703" s="3">
        <v>187424</v>
      </c>
      <c r="H703" s="3">
        <v>550258</v>
      </c>
      <c r="I703" s="3">
        <v>84485</v>
      </c>
    </row>
    <row r="704" spans="1:9">
      <c r="A704" s="3" t="s">
        <v>729</v>
      </c>
      <c r="B704" s="3" t="s">
        <v>26</v>
      </c>
      <c r="C704" s="3">
        <v>3021382</v>
      </c>
      <c r="D704" s="3">
        <v>918008</v>
      </c>
      <c r="E704" s="3" t="s">
        <v>27</v>
      </c>
      <c r="F704" s="3">
        <v>2201823</v>
      </c>
      <c r="G704" s="3">
        <v>633163</v>
      </c>
      <c r="H704" s="3">
        <v>819559</v>
      </c>
      <c r="I704" s="3">
        <v>284845</v>
      </c>
    </row>
    <row r="705" spans="1:9">
      <c r="A705" s="3" t="s">
        <v>730</v>
      </c>
      <c r="B705" s="3" t="s">
        <v>26</v>
      </c>
      <c r="C705" s="3">
        <v>1315899</v>
      </c>
      <c r="D705" s="3">
        <v>43474</v>
      </c>
      <c r="E705" s="3" t="s">
        <v>27</v>
      </c>
      <c r="F705" s="3">
        <v>762371</v>
      </c>
      <c r="G705" s="3">
        <v>29078</v>
      </c>
      <c r="H705" s="3">
        <v>553528</v>
      </c>
      <c r="I705" s="3">
        <v>14396</v>
      </c>
    </row>
    <row r="706" spans="1:9">
      <c r="A706" s="3" t="s">
        <v>731</v>
      </c>
      <c r="B706" s="3" t="s">
        <v>26</v>
      </c>
      <c r="C706" s="3">
        <v>2447305</v>
      </c>
      <c r="D706" s="3">
        <v>319608</v>
      </c>
      <c r="E706" s="3" t="s">
        <v>27</v>
      </c>
      <c r="F706" s="3">
        <v>1432966</v>
      </c>
      <c r="G706" s="3">
        <v>190805</v>
      </c>
      <c r="H706" s="3">
        <v>1014339</v>
      </c>
      <c r="I706" s="3">
        <v>128803</v>
      </c>
    </row>
    <row r="707" spans="1:9">
      <c r="A707" s="3" t="s">
        <v>732</v>
      </c>
      <c r="B707" s="3" t="s">
        <v>26</v>
      </c>
      <c r="C707" s="3">
        <v>2041805</v>
      </c>
      <c r="D707" s="3">
        <v>405543</v>
      </c>
      <c r="E707" s="3" t="s">
        <v>27</v>
      </c>
      <c r="F707" s="3">
        <v>1613625</v>
      </c>
      <c r="G707" s="3">
        <v>326826</v>
      </c>
      <c r="H707" s="3">
        <v>428180</v>
      </c>
      <c r="I707" s="3">
        <v>78717</v>
      </c>
    </row>
    <row r="708" spans="1:9">
      <c r="A708" s="3" t="s">
        <v>733</v>
      </c>
      <c r="B708" s="3" t="s">
        <v>26</v>
      </c>
      <c r="C708" s="3">
        <v>1505130</v>
      </c>
      <c r="D708" s="3">
        <v>83404</v>
      </c>
      <c r="E708" s="3" t="s">
        <v>27</v>
      </c>
      <c r="F708" s="3">
        <v>913015</v>
      </c>
      <c r="G708" s="3">
        <v>55486</v>
      </c>
      <c r="H708" s="3">
        <v>592115</v>
      </c>
      <c r="I708" s="3">
        <v>27918</v>
      </c>
    </row>
    <row r="709" spans="1:9">
      <c r="A709" s="3" t="s">
        <v>734</v>
      </c>
      <c r="B709" s="3" t="s">
        <v>26</v>
      </c>
      <c r="C709" s="3">
        <v>2691380</v>
      </c>
      <c r="D709" s="3">
        <v>630422</v>
      </c>
      <c r="E709" s="3" t="s">
        <v>27</v>
      </c>
      <c r="F709" s="3">
        <v>1912690</v>
      </c>
      <c r="G709" s="3">
        <v>412970</v>
      </c>
      <c r="H709" s="3">
        <v>778690</v>
      </c>
      <c r="I709" s="3">
        <v>217452</v>
      </c>
    </row>
    <row r="710" spans="1:9">
      <c r="A710" s="3" t="s">
        <v>735</v>
      </c>
      <c r="B710" s="3" t="s">
        <v>26</v>
      </c>
      <c r="C710" s="3">
        <v>2829049</v>
      </c>
      <c r="D710" s="3">
        <v>713762</v>
      </c>
      <c r="E710" s="3" t="s">
        <v>27</v>
      </c>
      <c r="F710" s="3">
        <v>1997676</v>
      </c>
      <c r="G710" s="3">
        <v>500545</v>
      </c>
      <c r="H710" s="3">
        <v>831373</v>
      </c>
      <c r="I710" s="3">
        <v>213217</v>
      </c>
    </row>
    <row r="711" spans="1:9">
      <c r="A711" s="3" t="s">
        <v>736</v>
      </c>
      <c r="B711" s="3" t="s">
        <v>26</v>
      </c>
      <c r="C711" s="3">
        <v>1313156</v>
      </c>
      <c r="D711" s="3">
        <v>50049</v>
      </c>
      <c r="E711" s="3" t="s">
        <v>27</v>
      </c>
      <c r="F711" s="3">
        <v>706947</v>
      </c>
      <c r="G711" s="3">
        <v>28621</v>
      </c>
      <c r="H711" s="3">
        <v>606209</v>
      </c>
      <c r="I711" s="3">
        <v>21428</v>
      </c>
    </row>
    <row r="712" spans="1:9">
      <c r="A712" s="3" t="s">
        <v>737</v>
      </c>
      <c r="B712" s="3" t="s">
        <v>26</v>
      </c>
      <c r="C712" s="3">
        <v>1443448</v>
      </c>
      <c r="D712" s="3">
        <v>5165</v>
      </c>
      <c r="E712" s="3" t="s">
        <v>27</v>
      </c>
      <c r="F712" s="3">
        <v>501878</v>
      </c>
      <c r="G712" s="3">
        <v>431</v>
      </c>
      <c r="H712" s="3">
        <v>941570</v>
      </c>
      <c r="I712" s="3">
        <v>4734</v>
      </c>
    </row>
    <row r="713" spans="1:9">
      <c r="A713" s="3" t="s">
        <v>738</v>
      </c>
      <c r="B713" s="3" t="s">
        <v>26</v>
      </c>
      <c r="C713" s="3">
        <v>1751923</v>
      </c>
      <c r="D713" s="3">
        <v>298573</v>
      </c>
      <c r="E713" s="3" t="s">
        <v>27</v>
      </c>
      <c r="F713" s="3">
        <v>1101549</v>
      </c>
      <c r="G713" s="3">
        <v>180047</v>
      </c>
      <c r="H713" s="3">
        <v>650374</v>
      </c>
      <c r="I713" s="3">
        <v>118526</v>
      </c>
    </row>
    <row r="714" spans="1:9">
      <c r="A714" s="3" t="s">
        <v>739</v>
      </c>
      <c r="B714" s="3" t="s">
        <v>26</v>
      </c>
      <c r="C714" s="3">
        <v>1819461</v>
      </c>
      <c r="D714" s="3">
        <v>97434</v>
      </c>
      <c r="E714" s="3" t="s">
        <v>27</v>
      </c>
      <c r="F714" s="3">
        <v>1084288</v>
      </c>
      <c r="G714" s="3">
        <v>65973</v>
      </c>
      <c r="H714" s="3">
        <v>735173</v>
      </c>
      <c r="I714" s="3">
        <v>31461</v>
      </c>
    </row>
    <row r="715" spans="1:9">
      <c r="A715" s="3" t="s">
        <v>740</v>
      </c>
      <c r="B715" s="3" t="s">
        <v>26</v>
      </c>
      <c r="C715" s="3">
        <v>1549698</v>
      </c>
      <c r="D715" s="3">
        <v>74471</v>
      </c>
      <c r="E715" s="3" t="s">
        <v>27</v>
      </c>
      <c r="F715" s="3">
        <v>951399</v>
      </c>
      <c r="G715" s="3">
        <v>54612</v>
      </c>
      <c r="H715" s="3">
        <v>598299</v>
      </c>
      <c r="I715" s="3">
        <v>19859</v>
      </c>
    </row>
    <row r="716" spans="1:9">
      <c r="A716" s="3" t="s">
        <v>741</v>
      </c>
      <c r="B716" s="3" t="s">
        <v>26</v>
      </c>
      <c r="C716" s="3">
        <v>1566887</v>
      </c>
      <c r="D716" s="3">
        <v>64767</v>
      </c>
      <c r="E716" s="3" t="s">
        <v>27</v>
      </c>
      <c r="F716" s="3">
        <v>863124</v>
      </c>
      <c r="G716" s="3">
        <v>35219</v>
      </c>
      <c r="H716" s="3">
        <v>703763</v>
      </c>
      <c r="I716" s="3">
        <v>29548</v>
      </c>
    </row>
    <row r="717" spans="1:9">
      <c r="A717" s="3" t="s">
        <v>742</v>
      </c>
      <c r="B717" s="3" t="s">
        <v>26</v>
      </c>
      <c r="C717" s="3">
        <v>2095187</v>
      </c>
      <c r="D717" s="3">
        <v>210832</v>
      </c>
      <c r="E717" s="3" t="s">
        <v>27</v>
      </c>
      <c r="F717" s="3">
        <v>1305198</v>
      </c>
      <c r="G717" s="3">
        <v>154006</v>
      </c>
      <c r="H717" s="3">
        <v>789989</v>
      </c>
      <c r="I717" s="3">
        <v>56826</v>
      </c>
    </row>
    <row r="718" spans="1:9">
      <c r="A718" s="3" t="s">
        <v>743</v>
      </c>
      <c r="B718" s="3" t="s">
        <v>26</v>
      </c>
      <c r="C718" s="3">
        <v>1454748</v>
      </c>
      <c r="D718" s="3">
        <v>24501</v>
      </c>
      <c r="E718" s="3" t="s">
        <v>27</v>
      </c>
      <c r="F718" s="3">
        <v>771768</v>
      </c>
      <c r="G718" s="3">
        <v>11259</v>
      </c>
      <c r="H718" s="3">
        <v>682980</v>
      </c>
      <c r="I718" s="3">
        <v>13242</v>
      </c>
    </row>
    <row r="719" spans="1:9">
      <c r="A719" s="3" t="s">
        <v>744</v>
      </c>
      <c r="B719" s="3" t="s">
        <v>26</v>
      </c>
      <c r="C719" s="3">
        <v>1589005</v>
      </c>
      <c r="D719" s="3">
        <v>186197</v>
      </c>
      <c r="E719" s="3" t="s">
        <v>27</v>
      </c>
      <c r="F719" s="3">
        <v>1127290</v>
      </c>
      <c r="G719" s="3">
        <v>146132</v>
      </c>
      <c r="H719" s="3">
        <v>461715</v>
      </c>
      <c r="I719" s="3">
        <v>40065</v>
      </c>
    </row>
    <row r="720" spans="1:9">
      <c r="A720" s="3" t="s">
        <v>745</v>
      </c>
      <c r="B720" s="3" t="s">
        <v>26</v>
      </c>
      <c r="C720" s="3">
        <v>2168012</v>
      </c>
      <c r="D720" s="3">
        <v>317125</v>
      </c>
      <c r="E720" s="3" t="s">
        <v>27</v>
      </c>
      <c r="F720" s="3">
        <v>1307964</v>
      </c>
      <c r="G720" s="3">
        <v>186218</v>
      </c>
      <c r="H720" s="3">
        <v>860048</v>
      </c>
      <c r="I720" s="3">
        <v>130907</v>
      </c>
    </row>
    <row r="721" spans="1:9">
      <c r="A721" s="3" t="s">
        <v>746</v>
      </c>
      <c r="B721" s="3" t="s">
        <v>26</v>
      </c>
      <c r="C721" s="3">
        <v>1751805</v>
      </c>
      <c r="D721" s="3">
        <v>58461</v>
      </c>
      <c r="E721" s="3" t="s">
        <v>27</v>
      </c>
      <c r="F721" s="3">
        <v>1068046</v>
      </c>
      <c r="G721" s="3">
        <v>41490</v>
      </c>
      <c r="H721" s="3">
        <v>683759</v>
      </c>
      <c r="I721" s="3">
        <v>16971</v>
      </c>
    </row>
    <row r="722" spans="1:9">
      <c r="A722" s="3" t="s">
        <v>747</v>
      </c>
      <c r="B722" s="3" t="s">
        <v>26</v>
      </c>
      <c r="C722" s="3">
        <v>2101063</v>
      </c>
      <c r="D722" s="3">
        <v>416050</v>
      </c>
      <c r="E722" s="3" t="s">
        <v>27</v>
      </c>
      <c r="F722" s="3">
        <v>1526387</v>
      </c>
      <c r="G722" s="3">
        <v>283545</v>
      </c>
      <c r="H722" s="3">
        <v>574676</v>
      </c>
      <c r="I722" s="3">
        <v>132505</v>
      </c>
    </row>
    <row r="723" spans="1:9">
      <c r="A723" s="3" t="s">
        <v>748</v>
      </c>
      <c r="B723" s="3" t="s">
        <v>26</v>
      </c>
      <c r="C723" s="3">
        <v>2092864</v>
      </c>
      <c r="D723" s="3">
        <v>132534</v>
      </c>
      <c r="E723" s="3" t="s">
        <v>27</v>
      </c>
      <c r="F723" s="3">
        <v>1155388</v>
      </c>
      <c r="G723" s="3">
        <v>76736</v>
      </c>
      <c r="H723" s="3">
        <v>937476</v>
      </c>
      <c r="I723" s="3">
        <v>55798</v>
      </c>
    </row>
    <row r="724" spans="1:9">
      <c r="A724" s="3" t="s">
        <v>749</v>
      </c>
      <c r="B724" s="3" t="s">
        <v>26</v>
      </c>
      <c r="C724" s="3">
        <v>1483275</v>
      </c>
      <c r="D724" s="3">
        <v>45268</v>
      </c>
      <c r="E724" s="3" t="s">
        <v>27</v>
      </c>
      <c r="F724" s="3">
        <v>805267</v>
      </c>
      <c r="G724" s="3">
        <v>27326</v>
      </c>
      <c r="H724" s="3">
        <v>678008</v>
      </c>
      <c r="I724" s="3">
        <v>17942</v>
      </c>
    </row>
    <row r="725" spans="1:9">
      <c r="A725" s="3" t="s">
        <v>750</v>
      </c>
      <c r="B725" s="3" t="s">
        <v>26</v>
      </c>
      <c r="C725" s="3">
        <v>2502460</v>
      </c>
      <c r="D725" s="3">
        <v>308954</v>
      </c>
      <c r="E725" s="3" t="s">
        <v>27</v>
      </c>
      <c r="F725" s="3">
        <v>1476225</v>
      </c>
      <c r="G725" s="3">
        <v>186050</v>
      </c>
      <c r="H725" s="3">
        <v>1026235</v>
      </c>
      <c r="I725" s="3">
        <v>122904</v>
      </c>
    </row>
    <row r="726" spans="1:9">
      <c r="A726" s="3" t="s">
        <v>751</v>
      </c>
      <c r="B726" s="3" t="s">
        <v>26</v>
      </c>
      <c r="C726" s="3">
        <v>687110</v>
      </c>
      <c r="D726" s="3">
        <v>56099</v>
      </c>
      <c r="E726" s="3" t="s">
        <v>27</v>
      </c>
      <c r="F726" s="3">
        <v>600146</v>
      </c>
      <c r="G726" s="3">
        <v>39673</v>
      </c>
      <c r="H726" s="3">
        <v>86964</v>
      </c>
      <c r="I726" s="3">
        <v>16426</v>
      </c>
    </row>
    <row r="727" spans="1:9">
      <c r="A727" s="3" t="s">
        <v>752</v>
      </c>
      <c r="B727" s="3" t="s">
        <v>26</v>
      </c>
      <c r="C727" s="3">
        <v>3218461</v>
      </c>
      <c r="D727" s="3">
        <v>773896</v>
      </c>
      <c r="E727" s="3" t="s">
        <v>27</v>
      </c>
      <c r="F727" s="3">
        <v>2317432</v>
      </c>
      <c r="G727" s="3">
        <v>521231</v>
      </c>
      <c r="H727" s="3">
        <v>901029</v>
      </c>
      <c r="I727" s="3">
        <v>252665</v>
      </c>
    </row>
    <row r="728" spans="1:9">
      <c r="A728" s="3" t="s">
        <v>753</v>
      </c>
      <c r="B728" s="3" t="s">
        <v>26</v>
      </c>
      <c r="C728" s="3">
        <v>2407767</v>
      </c>
      <c r="D728" s="3">
        <v>516051</v>
      </c>
      <c r="E728" s="3" t="s">
        <v>27</v>
      </c>
      <c r="F728" s="3">
        <v>2133525</v>
      </c>
      <c r="G728" s="3">
        <v>439677</v>
      </c>
      <c r="H728" s="3">
        <v>274242</v>
      </c>
      <c r="I728" s="3">
        <v>76374</v>
      </c>
    </row>
    <row r="729" spans="1:9">
      <c r="A729" s="3" t="s">
        <v>754</v>
      </c>
      <c r="B729" s="3" t="s">
        <v>26</v>
      </c>
      <c r="C729" s="3">
        <v>2138667</v>
      </c>
      <c r="D729" s="3">
        <v>474605</v>
      </c>
      <c r="E729" s="3" t="s">
        <v>27</v>
      </c>
      <c r="F729" s="3">
        <v>1450131</v>
      </c>
      <c r="G729" s="3">
        <v>296275</v>
      </c>
      <c r="H729" s="3">
        <v>688536</v>
      </c>
      <c r="I729" s="3">
        <v>178330</v>
      </c>
    </row>
    <row r="730" spans="1:9">
      <c r="A730" s="3" t="s">
        <v>755</v>
      </c>
      <c r="B730" s="3" t="s">
        <v>26</v>
      </c>
      <c r="C730" s="3">
        <v>1752580</v>
      </c>
      <c r="D730" s="3">
        <v>100916</v>
      </c>
      <c r="E730" s="3" t="s">
        <v>27</v>
      </c>
      <c r="F730" s="3">
        <v>1019377</v>
      </c>
      <c r="G730" s="3">
        <v>65116</v>
      </c>
      <c r="H730" s="3">
        <v>733203</v>
      </c>
      <c r="I730" s="3">
        <v>35800</v>
      </c>
    </row>
    <row r="731" spans="1:9">
      <c r="A731" s="3" t="s">
        <v>756</v>
      </c>
      <c r="B731" s="3" t="s">
        <v>26</v>
      </c>
      <c r="C731" s="3">
        <v>1775692</v>
      </c>
      <c r="D731" s="3">
        <v>75412</v>
      </c>
      <c r="E731" s="3" t="s">
        <v>27</v>
      </c>
      <c r="F731" s="3">
        <v>987403</v>
      </c>
      <c r="G731" s="3">
        <v>46885</v>
      </c>
      <c r="H731" s="3">
        <v>788289</v>
      </c>
      <c r="I731" s="3">
        <v>28527</v>
      </c>
    </row>
    <row r="732" spans="1:9">
      <c r="A732" s="3" t="s">
        <v>757</v>
      </c>
      <c r="B732" s="3" t="s">
        <v>26</v>
      </c>
      <c r="C732" s="3">
        <v>2178349</v>
      </c>
      <c r="D732" s="3">
        <v>394597</v>
      </c>
      <c r="E732" s="3" t="s">
        <v>27</v>
      </c>
      <c r="F732" s="3">
        <v>1593933</v>
      </c>
      <c r="G732" s="3">
        <v>291538</v>
      </c>
      <c r="H732" s="3">
        <v>584416</v>
      </c>
      <c r="I732" s="3">
        <v>103059</v>
      </c>
    </row>
    <row r="733" spans="1:9">
      <c r="A733" s="3" t="s">
        <v>758</v>
      </c>
      <c r="B733" s="3" t="s">
        <v>26</v>
      </c>
      <c r="C733" s="3">
        <v>2405197</v>
      </c>
      <c r="D733" s="3">
        <v>330026</v>
      </c>
      <c r="E733" s="3" t="s">
        <v>27</v>
      </c>
      <c r="F733" s="3">
        <v>1511833</v>
      </c>
      <c r="G733" s="3">
        <v>218373</v>
      </c>
      <c r="H733" s="3">
        <v>893364</v>
      </c>
      <c r="I733" s="3">
        <v>111653</v>
      </c>
    </row>
    <row r="734" spans="1:9">
      <c r="A734" s="3" t="s">
        <v>759</v>
      </c>
      <c r="B734" s="3" t="s">
        <v>26</v>
      </c>
      <c r="C734" s="3">
        <v>1574712</v>
      </c>
      <c r="D734" s="3">
        <v>211684</v>
      </c>
      <c r="E734" s="3" t="s">
        <v>27</v>
      </c>
      <c r="F734" s="3">
        <v>1119336</v>
      </c>
      <c r="G734" s="3">
        <v>147950</v>
      </c>
      <c r="H734" s="3">
        <v>455376</v>
      </c>
      <c r="I734" s="3">
        <v>63734</v>
      </c>
    </row>
    <row r="735" spans="1:9">
      <c r="A735" s="3" t="s">
        <v>760</v>
      </c>
      <c r="B735" s="3" t="s">
        <v>26</v>
      </c>
      <c r="C735" s="3">
        <v>3187508</v>
      </c>
      <c r="D735" s="3">
        <v>981815</v>
      </c>
      <c r="E735" s="3" t="s">
        <v>27</v>
      </c>
      <c r="F735" s="3">
        <v>2403915</v>
      </c>
      <c r="G735" s="3">
        <v>727390</v>
      </c>
      <c r="H735" s="3">
        <v>783593</v>
      </c>
      <c r="I735" s="3">
        <v>254425</v>
      </c>
    </row>
    <row r="736" spans="1:9">
      <c r="A736" s="3" t="s">
        <v>761</v>
      </c>
      <c r="B736" s="3" t="s">
        <v>26</v>
      </c>
      <c r="C736" s="3">
        <v>1184469</v>
      </c>
      <c r="D736" s="3">
        <v>15053</v>
      </c>
      <c r="E736" s="3" t="s">
        <v>27</v>
      </c>
      <c r="F736" s="3">
        <v>632986</v>
      </c>
      <c r="G736" s="3">
        <v>9223</v>
      </c>
      <c r="H736" s="3">
        <v>551483</v>
      </c>
      <c r="I736" s="3">
        <v>5830</v>
      </c>
    </row>
    <row r="737" spans="1:9">
      <c r="A737" s="3" t="s">
        <v>762</v>
      </c>
      <c r="B737" s="3" t="s">
        <v>26</v>
      </c>
      <c r="C737" s="3">
        <v>2861752</v>
      </c>
      <c r="D737" s="3">
        <v>690002</v>
      </c>
      <c r="E737" s="3" t="s">
        <v>27</v>
      </c>
      <c r="F737" s="3">
        <v>1859690</v>
      </c>
      <c r="G737" s="3">
        <v>449270</v>
      </c>
      <c r="H737" s="3">
        <v>1002062</v>
      </c>
      <c r="I737" s="3">
        <v>240732</v>
      </c>
    </row>
    <row r="738" spans="1:9">
      <c r="A738" s="3" t="s">
        <v>763</v>
      </c>
      <c r="B738" s="3" t="s">
        <v>26</v>
      </c>
      <c r="C738" s="3">
        <v>2014924</v>
      </c>
      <c r="D738" s="3">
        <v>349420</v>
      </c>
      <c r="E738" s="3" t="s">
        <v>27</v>
      </c>
      <c r="F738" s="3">
        <v>1385858</v>
      </c>
      <c r="G738" s="3">
        <v>246261</v>
      </c>
      <c r="H738" s="3">
        <v>629066</v>
      </c>
      <c r="I738" s="3">
        <v>103159</v>
      </c>
    </row>
    <row r="739" spans="1:9">
      <c r="A739" s="3" t="s">
        <v>764</v>
      </c>
      <c r="B739" s="3" t="s">
        <v>26</v>
      </c>
      <c r="C739" s="3">
        <v>1832442</v>
      </c>
      <c r="D739" s="3">
        <v>205289</v>
      </c>
      <c r="E739" s="3" t="s">
        <v>27</v>
      </c>
      <c r="F739" s="3">
        <v>1106636</v>
      </c>
      <c r="G739" s="3">
        <v>126874</v>
      </c>
      <c r="H739" s="3">
        <v>725806</v>
      </c>
      <c r="I739" s="3">
        <v>78415</v>
      </c>
    </row>
    <row r="740" spans="1:9">
      <c r="A740" s="3" t="s">
        <v>765</v>
      </c>
      <c r="B740" s="3" t="s">
        <v>26</v>
      </c>
      <c r="C740" s="3">
        <v>2746730</v>
      </c>
      <c r="D740" s="3">
        <v>667521</v>
      </c>
      <c r="E740" s="3" t="s">
        <v>27</v>
      </c>
      <c r="F740" s="3">
        <v>1956994</v>
      </c>
      <c r="G740" s="3">
        <v>461050</v>
      </c>
      <c r="H740" s="3">
        <v>789736</v>
      </c>
      <c r="I740" s="3">
        <v>206471</v>
      </c>
    </row>
    <row r="741" spans="1:9">
      <c r="A741" s="3" t="s">
        <v>766</v>
      </c>
      <c r="B741" s="3" t="s">
        <v>26</v>
      </c>
      <c r="C741" s="3">
        <v>2363733</v>
      </c>
      <c r="D741" s="3">
        <v>416829</v>
      </c>
      <c r="E741" s="3" t="s">
        <v>27</v>
      </c>
      <c r="F741" s="3">
        <v>1652130</v>
      </c>
      <c r="G741" s="3">
        <v>286208</v>
      </c>
      <c r="H741" s="3">
        <v>711603</v>
      </c>
      <c r="I741" s="3">
        <v>130621</v>
      </c>
    </row>
    <row r="742" spans="1:9">
      <c r="A742" s="3" t="s">
        <v>767</v>
      </c>
      <c r="B742" s="3" t="s">
        <v>26</v>
      </c>
      <c r="C742" s="3">
        <v>1278695</v>
      </c>
      <c r="D742" s="3">
        <v>88353</v>
      </c>
      <c r="E742" s="3" t="s">
        <v>27</v>
      </c>
      <c r="F742" s="3">
        <v>711078</v>
      </c>
      <c r="G742" s="3">
        <v>58351</v>
      </c>
      <c r="H742" s="3">
        <v>567617</v>
      </c>
      <c r="I742" s="3">
        <v>30002</v>
      </c>
    </row>
    <row r="743" spans="1:9">
      <c r="A743" s="3" t="s">
        <v>768</v>
      </c>
      <c r="B743" s="3" t="s">
        <v>26</v>
      </c>
      <c r="C743" s="3">
        <v>998463</v>
      </c>
      <c r="D743" s="3">
        <v>21770</v>
      </c>
      <c r="E743" s="3" t="s">
        <v>27</v>
      </c>
      <c r="F743" s="3">
        <v>524391</v>
      </c>
      <c r="G743" s="3">
        <v>14016</v>
      </c>
      <c r="H743" s="3">
        <v>474072</v>
      </c>
      <c r="I743" s="3">
        <v>7754</v>
      </c>
    </row>
    <row r="744" spans="1:9">
      <c r="A744" s="3" t="s">
        <v>769</v>
      </c>
      <c r="B744" s="3" t="s">
        <v>26</v>
      </c>
      <c r="C744" s="3">
        <v>2225584</v>
      </c>
      <c r="D744" s="3">
        <v>483226</v>
      </c>
      <c r="E744" s="3" t="s">
        <v>27</v>
      </c>
      <c r="F744" s="3">
        <v>1607477</v>
      </c>
      <c r="G744" s="3">
        <v>327509</v>
      </c>
      <c r="H744" s="3">
        <v>618107</v>
      </c>
      <c r="I744" s="3">
        <v>155717</v>
      </c>
    </row>
    <row r="745" spans="1:9">
      <c r="A745" s="3" t="s">
        <v>770</v>
      </c>
      <c r="B745" s="3" t="s">
        <v>26</v>
      </c>
      <c r="C745" s="3">
        <v>2419255</v>
      </c>
      <c r="D745" s="3">
        <v>332943</v>
      </c>
      <c r="E745" s="3" t="s">
        <v>27</v>
      </c>
      <c r="F745" s="3">
        <v>1443379</v>
      </c>
      <c r="G745" s="3">
        <v>201665</v>
      </c>
      <c r="H745" s="3">
        <v>975876</v>
      </c>
      <c r="I745" s="3">
        <v>131278</v>
      </c>
    </row>
    <row r="746" spans="1:9">
      <c r="A746" s="3" t="s">
        <v>771</v>
      </c>
      <c r="B746" s="3" t="s">
        <v>26</v>
      </c>
      <c r="C746" s="3">
        <v>862994</v>
      </c>
      <c r="D746" s="3">
        <v>86021</v>
      </c>
      <c r="E746" s="3" t="s">
        <v>27</v>
      </c>
      <c r="F746" s="3">
        <v>512415</v>
      </c>
      <c r="G746" s="3">
        <v>52092</v>
      </c>
      <c r="H746" s="3">
        <v>350579</v>
      </c>
      <c r="I746" s="3">
        <v>33929</v>
      </c>
    </row>
    <row r="747" spans="1:9">
      <c r="A747" s="3" t="s">
        <v>772</v>
      </c>
      <c r="B747" s="3" t="s">
        <v>26</v>
      </c>
      <c r="C747" s="3">
        <v>1104492</v>
      </c>
      <c r="D747" s="3">
        <v>126110</v>
      </c>
      <c r="E747" s="3" t="s">
        <v>27</v>
      </c>
      <c r="F747" s="3">
        <v>707781</v>
      </c>
      <c r="G747" s="3">
        <v>84111</v>
      </c>
      <c r="H747" s="3">
        <v>396711</v>
      </c>
      <c r="I747" s="3">
        <v>41999</v>
      </c>
    </row>
    <row r="748" spans="1:9">
      <c r="A748" s="3" t="s">
        <v>773</v>
      </c>
      <c r="B748" s="3" t="s">
        <v>26</v>
      </c>
      <c r="C748" s="3">
        <v>1398314</v>
      </c>
      <c r="D748" s="3">
        <v>303898</v>
      </c>
      <c r="E748" s="3" t="s">
        <v>27</v>
      </c>
      <c r="F748" s="3">
        <v>1108273</v>
      </c>
      <c r="G748" s="3">
        <v>226740</v>
      </c>
      <c r="H748" s="3">
        <v>290041</v>
      </c>
      <c r="I748" s="3">
        <v>77158</v>
      </c>
    </row>
    <row r="749" spans="1:9">
      <c r="A749" s="3" t="s">
        <v>774</v>
      </c>
      <c r="B749" s="3" t="s">
        <v>26</v>
      </c>
      <c r="C749" s="3">
        <v>1055490</v>
      </c>
      <c r="D749" s="3">
        <v>61604</v>
      </c>
      <c r="E749" s="3" t="s">
        <v>27</v>
      </c>
      <c r="F749" s="3">
        <v>575835</v>
      </c>
      <c r="G749" s="3">
        <v>33430</v>
      </c>
      <c r="H749" s="3">
        <v>479655</v>
      </c>
      <c r="I749" s="3">
        <v>28174</v>
      </c>
    </row>
    <row r="750" spans="1:9">
      <c r="A750" s="3" t="s">
        <v>775</v>
      </c>
      <c r="B750" s="3" t="s">
        <v>26</v>
      </c>
      <c r="C750" s="3">
        <v>904060</v>
      </c>
      <c r="D750" s="3">
        <v>3017</v>
      </c>
      <c r="E750" s="3" t="s">
        <v>27</v>
      </c>
      <c r="F750" s="3">
        <v>460101</v>
      </c>
      <c r="G750" s="3">
        <v>943</v>
      </c>
      <c r="H750" s="3">
        <v>443959</v>
      </c>
      <c r="I750" s="3">
        <v>2074</v>
      </c>
    </row>
    <row r="751" spans="1:9">
      <c r="A751" s="3" t="s">
        <v>776</v>
      </c>
      <c r="B751" s="3" t="s">
        <v>26</v>
      </c>
      <c r="C751" s="3">
        <v>1490435</v>
      </c>
      <c r="D751" s="3">
        <v>326028</v>
      </c>
      <c r="E751" s="3" t="s">
        <v>27</v>
      </c>
      <c r="F751" s="3">
        <v>1063869</v>
      </c>
      <c r="G751" s="3">
        <v>221020</v>
      </c>
      <c r="H751" s="3">
        <v>426566</v>
      </c>
      <c r="I751" s="3">
        <v>105008</v>
      </c>
    </row>
    <row r="752" spans="1:9">
      <c r="A752" s="3" t="s">
        <v>777</v>
      </c>
      <c r="B752" s="3" t="s">
        <v>26</v>
      </c>
      <c r="C752" s="3">
        <v>1528166</v>
      </c>
      <c r="D752" s="3">
        <v>358015</v>
      </c>
      <c r="E752" s="3" t="s">
        <v>27</v>
      </c>
      <c r="F752" s="3">
        <v>1052760</v>
      </c>
      <c r="G752" s="3">
        <v>233176</v>
      </c>
      <c r="H752" s="3">
        <v>475406</v>
      </c>
      <c r="I752" s="3">
        <v>124839</v>
      </c>
    </row>
    <row r="753" spans="1:9">
      <c r="A753" s="3" t="s">
        <v>778</v>
      </c>
      <c r="B753" s="3" t="s">
        <v>26</v>
      </c>
      <c r="C753" s="3">
        <v>626748</v>
      </c>
      <c r="D753" s="3">
        <v>29295</v>
      </c>
      <c r="E753" s="3" t="s">
        <v>27</v>
      </c>
      <c r="F753" s="3">
        <v>333576</v>
      </c>
      <c r="G753" s="3">
        <v>15018</v>
      </c>
      <c r="H753" s="3">
        <v>293172</v>
      </c>
      <c r="I753" s="3">
        <v>14277</v>
      </c>
    </row>
    <row r="754" spans="1:9">
      <c r="A754" s="3" t="s">
        <v>779</v>
      </c>
      <c r="B754" s="3" t="s">
        <v>26</v>
      </c>
      <c r="C754" s="3">
        <v>610980</v>
      </c>
      <c r="D754" s="3">
        <v>8893</v>
      </c>
      <c r="E754" s="3" t="s">
        <v>27</v>
      </c>
      <c r="F754" s="3">
        <v>328773</v>
      </c>
      <c r="G754" s="3">
        <v>5369</v>
      </c>
      <c r="H754" s="3">
        <v>282207</v>
      </c>
      <c r="I754" s="3">
        <v>3524</v>
      </c>
    </row>
    <row r="755" spans="1:9">
      <c r="A755" s="3" t="s">
        <v>780</v>
      </c>
      <c r="B755" s="3" t="s">
        <v>26</v>
      </c>
      <c r="C755" s="3">
        <v>1179320</v>
      </c>
      <c r="D755" s="3">
        <v>218670</v>
      </c>
      <c r="E755" s="3" t="s">
        <v>27</v>
      </c>
      <c r="F755" s="3">
        <v>857545</v>
      </c>
      <c r="G755" s="3">
        <v>137599</v>
      </c>
      <c r="H755" s="3">
        <v>321775</v>
      </c>
      <c r="I755" s="3">
        <v>81071</v>
      </c>
    </row>
    <row r="756" spans="1:9">
      <c r="A756" s="3" t="s">
        <v>781</v>
      </c>
      <c r="B756" s="3" t="s">
        <v>26</v>
      </c>
      <c r="C756" s="3">
        <v>1397971</v>
      </c>
      <c r="D756" s="3">
        <v>297180</v>
      </c>
      <c r="E756" s="3" t="s">
        <v>27</v>
      </c>
      <c r="F756" s="3">
        <v>883536</v>
      </c>
      <c r="G756" s="3">
        <v>175821</v>
      </c>
      <c r="H756" s="3">
        <v>514435</v>
      </c>
      <c r="I756" s="3">
        <v>121359</v>
      </c>
    </row>
    <row r="757" spans="1:9">
      <c r="A757" s="3" t="s">
        <v>782</v>
      </c>
      <c r="B757" s="3" t="s">
        <v>26</v>
      </c>
      <c r="C757" s="3">
        <v>1117074</v>
      </c>
      <c r="D757" s="3">
        <v>244815</v>
      </c>
      <c r="E757" s="3" t="s">
        <v>27</v>
      </c>
      <c r="F757" s="3">
        <v>920971</v>
      </c>
      <c r="G757" s="3">
        <v>192859</v>
      </c>
      <c r="H757" s="3">
        <v>196103</v>
      </c>
      <c r="I757" s="3">
        <v>51956</v>
      </c>
    </row>
    <row r="758" spans="1:9">
      <c r="A758" s="3" t="s">
        <v>783</v>
      </c>
      <c r="B758" s="3" t="s">
        <v>26</v>
      </c>
      <c r="C758" s="3">
        <v>967589</v>
      </c>
      <c r="D758" s="3">
        <v>84261</v>
      </c>
      <c r="E758" s="3" t="s">
        <v>27</v>
      </c>
      <c r="F758" s="3">
        <v>589268</v>
      </c>
      <c r="G758" s="3">
        <v>60905</v>
      </c>
      <c r="H758" s="3">
        <v>378321</v>
      </c>
      <c r="I758" s="3">
        <v>23356</v>
      </c>
    </row>
    <row r="759" spans="1:9">
      <c r="A759" s="3" t="s">
        <v>784</v>
      </c>
      <c r="B759" s="3" t="s">
        <v>26</v>
      </c>
      <c r="C759" s="3">
        <v>1061799</v>
      </c>
      <c r="D759" s="3">
        <v>240481</v>
      </c>
      <c r="E759" s="3" t="s">
        <v>27</v>
      </c>
      <c r="F759" s="3">
        <v>845531</v>
      </c>
      <c r="G759" s="3">
        <v>175772</v>
      </c>
      <c r="H759" s="3">
        <v>216268</v>
      </c>
      <c r="I759" s="3">
        <v>64709</v>
      </c>
    </row>
    <row r="760" spans="1:9">
      <c r="A760" s="3" t="s">
        <v>785</v>
      </c>
      <c r="B760" s="3" t="s">
        <v>26</v>
      </c>
      <c r="C760" s="3">
        <v>519169</v>
      </c>
      <c r="D760" s="3">
        <v>1139</v>
      </c>
      <c r="E760" s="3" t="s">
        <v>27</v>
      </c>
      <c r="F760" s="3">
        <v>267571</v>
      </c>
      <c r="G760" s="3">
        <v>558</v>
      </c>
      <c r="H760" s="3">
        <v>251598</v>
      </c>
      <c r="I760" s="3">
        <v>581</v>
      </c>
    </row>
    <row r="761" spans="1:9">
      <c r="A761" s="3" t="s">
        <v>786</v>
      </c>
      <c r="B761" s="3" t="s">
        <v>26</v>
      </c>
      <c r="C761" s="3">
        <v>778074</v>
      </c>
      <c r="D761" s="3">
        <v>30813</v>
      </c>
      <c r="E761" s="3" t="s">
        <v>27</v>
      </c>
      <c r="F761" s="3">
        <v>411324</v>
      </c>
      <c r="G761" s="3">
        <v>16525</v>
      </c>
      <c r="H761" s="3">
        <v>366750</v>
      </c>
      <c r="I761" s="3">
        <v>14288</v>
      </c>
    </row>
    <row r="762" spans="1:9">
      <c r="A762" s="3" t="s">
        <v>787</v>
      </c>
      <c r="B762" s="3" t="s">
        <v>26</v>
      </c>
      <c r="C762" s="3">
        <v>975032</v>
      </c>
      <c r="D762" s="3">
        <v>158156</v>
      </c>
      <c r="E762" s="3" t="s">
        <v>27</v>
      </c>
      <c r="F762" s="3">
        <v>729255</v>
      </c>
      <c r="G762" s="3">
        <v>117149</v>
      </c>
      <c r="H762" s="3">
        <v>245777</v>
      </c>
      <c r="I762" s="3">
        <v>41007</v>
      </c>
    </row>
    <row r="763" spans="1:9">
      <c r="A763" s="3" t="s">
        <v>788</v>
      </c>
      <c r="B763" s="3" t="s">
        <v>26</v>
      </c>
      <c r="C763" s="3">
        <v>1520102</v>
      </c>
      <c r="D763" s="3">
        <v>280486</v>
      </c>
      <c r="E763" s="3" t="s">
        <v>27</v>
      </c>
      <c r="F763" s="3">
        <v>1006025</v>
      </c>
      <c r="G763" s="3">
        <v>178869</v>
      </c>
      <c r="H763" s="3">
        <v>514077</v>
      </c>
      <c r="I763" s="3">
        <v>101617</v>
      </c>
    </row>
    <row r="764" spans="1:9">
      <c r="A764" s="3" t="s">
        <v>789</v>
      </c>
      <c r="B764" s="3" t="s">
        <v>26</v>
      </c>
      <c r="C764" s="3">
        <v>1424415</v>
      </c>
      <c r="D764" s="3">
        <v>275266</v>
      </c>
      <c r="E764" s="3" t="s">
        <v>27</v>
      </c>
      <c r="F764" s="3">
        <v>993197</v>
      </c>
      <c r="G764" s="3">
        <v>193851</v>
      </c>
      <c r="H764" s="3">
        <v>431218</v>
      </c>
      <c r="I764" s="3">
        <v>81415</v>
      </c>
    </row>
    <row r="765" spans="1:9">
      <c r="A765" s="3" t="s">
        <v>790</v>
      </c>
      <c r="B765" s="3" t="s">
        <v>26</v>
      </c>
      <c r="C765" s="3">
        <v>503108</v>
      </c>
      <c r="D765" s="3">
        <v>657</v>
      </c>
      <c r="E765" s="3" t="s">
        <v>27</v>
      </c>
      <c r="F765" s="3">
        <v>259948</v>
      </c>
      <c r="G765" s="3">
        <v>342</v>
      </c>
      <c r="H765" s="3">
        <v>243160</v>
      </c>
      <c r="I765" s="3">
        <v>315</v>
      </c>
    </row>
    <row r="766" spans="1:9">
      <c r="A766" s="3" t="s">
        <v>791</v>
      </c>
      <c r="B766" s="3" t="s">
        <v>26</v>
      </c>
      <c r="C766" s="3">
        <v>1337090</v>
      </c>
      <c r="D766" s="3">
        <v>281734</v>
      </c>
      <c r="E766" s="3" t="s">
        <v>27</v>
      </c>
      <c r="F766" s="3">
        <v>1038366</v>
      </c>
      <c r="G766" s="3">
        <v>207557</v>
      </c>
      <c r="H766" s="3">
        <v>298724</v>
      </c>
      <c r="I766" s="3">
        <v>74177</v>
      </c>
    </row>
    <row r="767" spans="1:9">
      <c r="A767" s="3" t="s">
        <v>792</v>
      </c>
      <c r="B767" s="3" t="s">
        <v>26</v>
      </c>
      <c r="C767" s="3">
        <v>1285373</v>
      </c>
      <c r="D767" s="3">
        <v>229072</v>
      </c>
      <c r="E767" s="3" t="s">
        <v>27</v>
      </c>
      <c r="F767" s="3">
        <v>846175</v>
      </c>
      <c r="G767" s="3">
        <v>156205</v>
      </c>
      <c r="H767" s="3">
        <v>439198</v>
      </c>
      <c r="I767" s="3">
        <v>72867</v>
      </c>
    </row>
    <row r="768" spans="1:9">
      <c r="A768" s="3" t="s">
        <v>793</v>
      </c>
      <c r="B768" s="3" t="s">
        <v>26</v>
      </c>
      <c r="C768" s="3">
        <v>907134</v>
      </c>
      <c r="D768" s="3">
        <v>110455</v>
      </c>
      <c r="E768" s="3" t="s">
        <v>27</v>
      </c>
      <c r="F768" s="3">
        <v>627568</v>
      </c>
      <c r="G768" s="3">
        <v>74899</v>
      </c>
      <c r="H768" s="3">
        <v>279566</v>
      </c>
      <c r="I768" s="3">
        <v>35556</v>
      </c>
    </row>
    <row r="769" spans="1:9">
      <c r="A769" s="3" t="s">
        <v>794</v>
      </c>
      <c r="B769" s="3" t="s">
        <v>26</v>
      </c>
      <c r="C769" s="3">
        <v>838724</v>
      </c>
      <c r="D769" s="3">
        <v>5506</v>
      </c>
      <c r="E769" s="3" t="s">
        <v>27</v>
      </c>
      <c r="F769" s="3">
        <v>361264</v>
      </c>
      <c r="G769" s="3">
        <v>3032</v>
      </c>
      <c r="H769" s="3">
        <v>477460</v>
      </c>
      <c r="I769" s="3">
        <v>2474</v>
      </c>
    </row>
    <row r="770" spans="1:9">
      <c r="A770" s="3" t="s">
        <v>795</v>
      </c>
      <c r="B770" s="3" t="s">
        <v>26</v>
      </c>
      <c r="C770" s="3">
        <v>1275899</v>
      </c>
      <c r="D770" s="3">
        <v>184375</v>
      </c>
      <c r="E770" s="3" t="s">
        <v>27</v>
      </c>
      <c r="F770" s="3">
        <v>768195</v>
      </c>
      <c r="G770" s="3">
        <v>113194</v>
      </c>
      <c r="H770" s="3">
        <v>507704</v>
      </c>
      <c r="I770" s="3">
        <v>71181</v>
      </c>
    </row>
    <row r="771" spans="1:9">
      <c r="A771" s="3" t="s">
        <v>796</v>
      </c>
      <c r="B771" s="3" t="s">
        <v>26</v>
      </c>
      <c r="C771" s="3">
        <v>830530</v>
      </c>
      <c r="D771" s="3">
        <v>20331</v>
      </c>
      <c r="E771" s="3" t="s">
        <v>27</v>
      </c>
      <c r="F771" s="3">
        <v>434971</v>
      </c>
      <c r="G771" s="3">
        <v>7044</v>
      </c>
      <c r="H771" s="3">
        <v>395559</v>
      </c>
      <c r="I771" s="3">
        <v>13287</v>
      </c>
    </row>
    <row r="772" spans="1:9">
      <c r="A772" s="3" t="s">
        <v>797</v>
      </c>
      <c r="B772" s="3" t="s">
        <v>26</v>
      </c>
      <c r="C772" s="3">
        <v>1195670</v>
      </c>
      <c r="D772" s="3">
        <v>165820</v>
      </c>
      <c r="E772" s="3" t="s">
        <v>27</v>
      </c>
      <c r="F772" s="3">
        <v>640774</v>
      </c>
      <c r="G772" s="3">
        <v>80019</v>
      </c>
      <c r="H772" s="3">
        <v>554896</v>
      </c>
      <c r="I772" s="3">
        <v>85801</v>
      </c>
    </row>
    <row r="773" spans="1:9">
      <c r="A773" s="3" t="s">
        <v>798</v>
      </c>
      <c r="B773" s="3" t="s">
        <v>26</v>
      </c>
      <c r="C773" s="3">
        <v>1214067</v>
      </c>
      <c r="D773" s="3">
        <v>192591</v>
      </c>
      <c r="E773" s="3" t="s">
        <v>27</v>
      </c>
      <c r="F773" s="3">
        <v>731004</v>
      </c>
      <c r="G773" s="3">
        <v>111944</v>
      </c>
      <c r="H773" s="3">
        <v>483063</v>
      </c>
      <c r="I773" s="3">
        <v>80647</v>
      </c>
    </row>
    <row r="774" spans="1:9">
      <c r="A774" s="3" t="s">
        <v>799</v>
      </c>
      <c r="B774" s="3" t="s">
        <v>26</v>
      </c>
      <c r="C774" s="3">
        <v>1193281</v>
      </c>
      <c r="D774" s="3">
        <v>224972</v>
      </c>
      <c r="E774" s="3" t="s">
        <v>27</v>
      </c>
      <c r="F774" s="3">
        <v>927739</v>
      </c>
      <c r="G774" s="3">
        <v>165123</v>
      </c>
      <c r="H774" s="3">
        <v>265542</v>
      </c>
      <c r="I774" s="3">
        <v>59849</v>
      </c>
    </row>
    <row r="775" spans="1:9">
      <c r="A775" s="3" t="s">
        <v>800</v>
      </c>
      <c r="B775" s="3" t="s">
        <v>26</v>
      </c>
      <c r="C775" s="3">
        <v>1352841</v>
      </c>
      <c r="D775" s="3">
        <v>332340</v>
      </c>
      <c r="E775" s="3" t="s">
        <v>27</v>
      </c>
      <c r="F775" s="3">
        <v>1087741</v>
      </c>
      <c r="G775" s="3">
        <v>249420</v>
      </c>
      <c r="H775" s="3">
        <v>265100</v>
      </c>
      <c r="I775" s="3">
        <v>82920</v>
      </c>
    </row>
    <row r="776" spans="1:9">
      <c r="A776" s="3" t="s">
        <v>801</v>
      </c>
      <c r="B776" s="3" t="s">
        <v>26</v>
      </c>
      <c r="C776" s="3">
        <v>1047916</v>
      </c>
      <c r="D776" s="3">
        <v>28358</v>
      </c>
      <c r="E776" s="3" t="s">
        <v>27</v>
      </c>
      <c r="F776" s="3">
        <v>557077</v>
      </c>
      <c r="G776" s="3">
        <v>17254</v>
      </c>
      <c r="H776" s="3">
        <v>490839</v>
      </c>
      <c r="I776" s="3">
        <v>11104</v>
      </c>
    </row>
    <row r="777" spans="1:9">
      <c r="A777" s="3" t="s">
        <v>802</v>
      </c>
      <c r="B777" s="3" t="s">
        <v>26</v>
      </c>
      <c r="C777" s="3">
        <v>1339143</v>
      </c>
      <c r="D777" s="3">
        <v>170779</v>
      </c>
      <c r="E777" s="3" t="s">
        <v>27</v>
      </c>
      <c r="F777" s="3">
        <v>926717</v>
      </c>
      <c r="G777" s="3">
        <v>116068</v>
      </c>
      <c r="H777" s="3">
        <v>412426</v>
      </c>
      <c r="I777" s="3">
        <v>54711</v>
      </c>
    </row>
    <row r="778" spans="1:9">
      <c r="A778" s="3" t="s">
        <v>803</v>
      </c>
      <c r="B778" s="3" t="s">
        <v>26</v>
      </c>
      <c r="C778" s="3">
        <v>1343226</v>
      </c>
      <c r="D778" s="3">
        <v>113993</v>
      </c>
      <c r="E778" s="3" t="s">
        <v>27</v>
      </c>
      <c r="F778" s="3">
        <v>743464</v>
      </c>
      <c r="G778" s="3">
        <v>64488</v>
      </c>
      <c r="H778" s="3">
        <v>599762</v>
      </c>
      <c r="I778" s="3">
        <v>49505</v>
      </c>
    </row>
    <row r="779" spans="1:9">
      <c r="A779" s="3" t="s">
        <v>804</v>
      </c>
      <c r="B779" s="3" t="s">
        <v>26</v>
      </c>
      <c r="C779" s="3">
        <v>1110338</v>
      </c>
      <c r="D779" s="3">
        <v>18466</v>
      </c>
      <c r="E779" s="3" t="s">
        <v>27</v>
      </c>
      <c r="F779" s="3">
        <v>587428</v>
      </c>
      <c r="G779" s="3">
        <v>10249</v>
      </c>
      <c r="H779" s="3">
        <v>522910</v>
      </c>
      <c r="I779" s="3">
        <v>8217</v>
      </c>
    </row>
    <row r="780" spans="1:9">
      <c r="A780" s="3" t="s">
        <v>805</v>
      </c>
      <c r="B780" s="3" t="s">
        <v>26</v>
      </c>
      <c r="C780" s="3">
        <v>1303820</v>
      </c>
      <c r="D780" s="3">
        <v>176513</v>
      </c>
      <c r="E780" s="3" t="s">
        <v>27</v>
      </c>
      <c r="F780" s="3">
        <v>723571</v>
      </c>
      <c r="G780" s="3">
        <v>102822</v>
      </c>
      <c r="H780" s="3">
        <v>580249</v>
      </c>
      <c r="I780" s="3">
        <v>73691</v>
      </c>
    </row>
    <row r="781" spans="1:9">
      <c r="A781" s="3" t="s">
        <v>806</v>
      </c>
      <c r="B781" s="3" t="s">
        <v>26</v>
      </c>
      <c r="C781" s="3">
        <v>219040</v>
      </c>
      <c r="D781" s="3">
        <v>754</v>
      </c>
      <c r="E781" s="3" t="s">
        <v>27</v>
      </c>
      <c r="F781" s="3">
        <v>115812</v>
      </c>
      <c r="G781" s="3">
        <v>404</v>
      </c>
      <c r="H781" s="3">
        <v>103228</v>
      </c>
      <c r="I781" s="3">
        <v>350</v>
      </c>
    </row>
    <row r="782" spans="1:9">
      <c r="A782" s="3" t="s">
        <v>807</v>
      </c>
      <c r="B782" s="3" t="s">
        <v>26</v>
      </c>
      <c r="C782" s="3">
        <v>1170509</v>
      </c>
      <c r="D782" s="3">
        <v>134631</v>
      </c>
      <c r="E782" s="3" t="s">
        <v>27</v>
      </c>
      <c r="F782" s="3">
        <v>735997</v>
      </c>
      <c r="G782" s="3">
        <v>82472</v>
      </c>
      <c r="H782" s="3">
        <v>434512</v>
      </c>
      <c r="I782" s="3">
        <v>52159</v>
      </c>
    </row>
    <row r="783" spans="1:9">
      <c r="A783" s="3" t="s">
        <v>808</v>
      </c>
      <c r="B783" s="3" t="s">
        <v>26</v>
      </c>
      <c r="C783" s="3">
        <v>1164104</v>
      </c>
      <c r="D783" s="3">
        <v>69151</v>
      </c>
      <c r="E783" s="3" t="s">
        <v>27</v>
      </c>
      <c r="F783" s="3">
        <v>719309</v>
      </c>
      <c r="G783" s="3">
        <v>40133</v>
      </c>
      <c r="H783" s="3">
        <v>444795</v>
      </c>
      <c r="I783" s="3">
        <v>29018</v>
      </c>
    </row>
    <row r="784" spans="1:9">
      <c r="A784" s="3" t="s">
        <v>809</v>
      </c>
      <c r="B784" s="3" t="s">
        <v>26</v>
      </c>
      <c r="C784" s="3">
        <v>1466207</v>
      </c>
      <c r="D784" s="3">
        <v>275708</v>
      </c>
      <c r="E784" s="3" t="s">
        <v>27</v>
      </c>
      <c r="F784" s="3">
        <v>983568</v>
      </c>
      <c r="G784" s="3">
        <v>188761</v>
      </c>
      <c r="H784" s="3">
        <v>482639</v>
      </c>
      <c r="I784" s="3">
        <v>86947</v>
      </c>
    </row>
    <row r="785" spans="1:9">
      <c r="A785" s="3" t="s">
        <v>810</v>
      </c>
      <c r="B785" s="3" t="s">
        <v>26</v>
      </c>
      <c r="C785" s="3">
        <v>960581</v>
      </c>
      <c r="D785" s="3">
        <v>51144</v>
      </c>
      <c r="E785" s="3" t="s">
        <v>27</v>
      </c>
      <c r="F785" s="3">
        <v>554567</v>
      </c>
      <c r="G785" s="3">
        <v>31817</v>
      </c>
      <c r="H785" s="3">
        <v>406014</v>
      </c>
      <c r="I785" s="3">
        <v>19327</v>
      </c>
    </row>
    <row r="786" spans="1:9">
      <c r="A786" s="3" t="s">
        <v>811</v>
      </c>
      <c r="B786" s="3" t="s">
        <v>26</v>
      </c>
      <c r="C786" s="3">
        <v>1094090</v>
      </c>
      <c r="D786" s="3">
        <v>119275</v>
      </c>
      <c r="E786" s="3" t="s">
        <v>27</v>
      </c>
      <c r="F786" s="3">
        <v>670176</v>
      </c>
      <c r="G786" s="3">
        <v>75250</v>
      </c>
      <c r="H786" s="3">
        <v>423914</v>
      </c>
      <c r="I786" s="3">
        <v>44025</v>
      </c>
    </row>
    <row r="787" spans="1:9">
      <c r="A787" s="3" t="s">
        <v>812</v>
      </c>
      <c r="B787" s="3" t="s">
        <v>26</v>
      </c>
      <c r="C787" s="3">
        <v>871780</v>
      </c>
      <c r="D787" s="3">
        <v>102673</v>
      </c>
      <c r="E787" s="3" t="s">
        <v>27</v>
      </c>
      <c r="F787" s="3">
        <v>614769</v>
      </c>
      <c r="G787" s="3">
        <v>71495</v>
      </c>
      <c r="H787" s="3">
        <v>257011</v>
      </c>
      <c r="I787" s="3">
        <v>31178</v>
      </c>
    </row>
    <row r="788" spans="1:9">
      <c r="A788" s="3" t="s">
        <v>813</v>
      </c>
      <c r="B788" s="3" t="s">
        <v>26</v>
      </c>
      <c r="C788" s="3">
        <v>1155740</v>
      </c>
      <c r="D788" s="3">
        <v>181662</v>
      </c>
      <c r="E788" s="3" t="s">
        <v>27</v>
      </c>
      <c r="F788" s="3">
        <v>871447</v>
      </c>
      <c r="G788" s="3">
        <v>126874</v>
      </c>
      <c r="H788" s="3">
        <v>284293</v>
      </c>
      <c r="I788" s="3">
        <v>54788</v>
      </c>
    </row>
    <row r="789" spans="1:9">
      <c r="A789" s="3" t="s">
        <v>814</v>
      </c>
      <c r="B789" s="3" t="s">
        <v>26</v>
      </c>
      <c r="C789" s="3">
        <v>968402</v>
      </c>
      <c r="D789" s="3">
        <v>102010</v>
      </c>
      <c r="E789" s="3" t="s">
        <v>27</v>
      </c>
      <c r="F789" s="3">
        <v>627480</v>
      </c>
      <c r="G789" s="3">
        <v>69260</v>
      </c>
      <c r="H789" s="3">
        <v>340922</v>
      </c>
      <c r="I789" s="3">
        <v>32750</v>
      </c>
    </row>
    <row r="790" spans="1:9">
      <c r="A790" s="3" t="s">
        <v>815</v>
      </c>
      <c r="B790" s="3" t="s">
        <v>26</v>
      </c>
      <c r="C790" s="3">
        <v>1240901</v>
      </c>
      <c r="D790" s="3">
        <v>204251</v>
      </c>
      <c r="E790" s="3" t="s">
        <v>27</v>
      </c>
      <c r="F790" s="3">
        <v>939726</v>
      </c>
      <c r="G790" s="3">
        <v>145555</v>
      </c>
      <c r="H790" s="3">
        <v>301175</v>
      </c>
      <c r="I790" s="3">
        <v>58696</v>
      </c>
    </row>
    <row r="791" spans="1:9">
      <c r="A791" s="3" t="s">
        <v>816</v>
      </c>
      <c r="B791" s="3" t="s">
        <v>26</v>
      </c>
      <c r="C791" s="3">
        <v>912413</v>
      </c>
      <c r="D791" s="3">
        <v>46924</v>
      </c>
      <c r="E791" s="3" t="s">
        <v>27</v>
      </c>
      <c r="F791" s="3">
        <v>508393</v>
      </c>
      <c r="G791" s="3">
        <v>27158</v>
      </c>
      <c r="H791" s="3">
        <v>404020</v>
      </c>
      <c r="I791" s="3">
        <v>19766</v>
      </c>
    </row>
    <row r="792" spans="1:9">
      <c r="A792" s="3" t="s">
        <v>817</v>
      </c>
      <c r="B792" s="3" t="s">
        <v>26</v>
      </c>
      <c r="C792" s="3">
        <v>1311565</v>
      </c>
      <c r="D792" s="3">
        <v>130172</v>
      </c>
      <c r="E792" s="3" t="s">
        <v>27</v>
      </c>
      <c r="F792" s="3">
        <v>730894</v>
      </c>
      <c r="G792" s="3">
        <v>79505</v>
      </c>
      <c r="H792" s="3">
        <v>580671</v>
      </c>
      <c r="I792" s="3">
        <v>50667</v>
      </c>
    </row>
    <row r="793" spans="1:9">
      <c r="A793" s="3" t="s">
        <v>818</v>
      </c>
      <c r="B793" s="3" t="s">
        <v>26</v>
      </c>
      <c r="C793" s="3">
        <v>1174253</v>
      </c>
      <c r="D793" s="3">
        <v>179152</v>
      </c>
      <c r="E793" s="3" t="s">
        <v>27</v>
      </c>
      <c r="F793" s="3">
        <v>780787</v>
      </c>
      <c r="G793" s="3">
        <v>121433</v>
      </c>
      <c r="H793" s="3">
        <v>393466</v>
      </c>
      <c r="I793" s="3">
        <v>57719</v>
      </c>
    </row>
    <row r="794" spans="1:9">
      <c r="A794" s="3" t="s">
        <v>819</v>
      </c>
      <c r="B794" s="3" t="s">
        <v>26</v>
      </c>
      <c r="C794" s="3">
        <v>1107511</v>
      </c>
      <c r="D794" s="3">
        <v>101665</v>
      </c>
      <c r="E794" s="3" t="s">
        <v>27</v>
      </c>
      <c r="F794" s="3">
        <v>649540</v>
      </c>
      <c r="G794" s="3">
        <v>63922</v>
      </c>
      <c r="H794" s="3">
        <v>457971</v>
      </c>
      <c r="I794" s="3">
        <v>37743</v>
      </c>
    </row>
    <row r="795" spans="1:9">
      <c r="A795" s="3" t="s">
        <v>820</v>
      </c>
      <c r="B795" s="3" t="s">
        <v>26</v>
      </c>
      <c r="C795" s="3">
        <v>1247496</v>
      </c>
      <c r="D795" s="3">
        <v>147883</v>
      </c>
      <c r="E795" s="3" t="s">
        <v>27</v>
      </c>
      <c r="F795" s="3">
        <v>767944</v>
      </c>
      <c r="G795" s="3">
        <v>99868</v>
      </c>
      <c r="H795" s="3">
        <v>479552</v>
      </c>
      <c r="I795" s="3">
        <v>48015</v>
      </c>
    </row>
    <row r="796" spans="1:9">
      <c r="A796" s="3" t="s">
        <v>821</v>
      </c>
      <c r="B796" s="3" t="s">
        <v>26</v>
      </c>
      <c r="C796" s="3">
        <v>1182627</v>
      </c>
      <c r="D796" s="3">
        <v>150641</v>
      </c>
      <c r="E796" s="3" t="s">
        <v>27</v>
      </c>
      <c r="F796" s="3">
        <v>870924</v>
      </c>
      <c r="G796" s="3">
        <v>103345</v>
      </c>
      <c r="H796" s="3">
        <v>311703</v>
      </c>
      <c r="I796" s="3">
        <v>47296</v>
      </c>
    </row>
    <row r="797" spans="1:9">
      <c r="A797" s="3" t="s">
        <v>822</v>
      </c>
      <c r="B797" s="3" t="s">
        <v>26</v>
      </c>
      <c r="C797" s="3">
        <v>1284492</v>
      </c>
      <c r="D797" s="3">
        <v>224518</v>
      </c>
      <c r="E797" s="3" t="s">
        <v>27</v>
      </c>
      <c r="F797" s="3">
        <v>921400</v>
      </c>
      <c r="G797" s="3">
        <v>142496</v>
      </c>
      <c r="H797" s="3">
        <v>363092</v>
      </c>
      <c r="I797" s="3">
        <v>82022</v>
      </c>
    </row>
    <row r="798" spans="1:9">
      <c r="A798" s="3" t="s">
        <v>823</v>
      </c>
      <c r="B798" s="3" t="s">
        <v>26</v>
      </c>
      <c r="C798" s="3">
        <v>1110923</v>
      </c>
      <c r="D798" s="3">
        <v>142801</v>
      </c>
      <c r="E798" s="3" t="s">
        <v>27</v>
      </c>
      <c r="F798" s="3">
        <v>820427</v>
      </c>
      <c r="G798" s="3">
        <v>101536</v>
      </c>
      <c r="H798" s="3">
        <v>290496</v>
      </c>
      <c r="I798" s="3">
        <v>41265</v>
      </c>
    </row>
    <row r="799" spans="1:9">
      <c r="A799" s="3" t="s">
        <v>824</v>
      </c>
      <c r="B799" s="3" t="s">
        <v>26</v>
      </c>
      <c r="C799" s="3">
        <v>1195566</v>
      </c>
      <c r="D799" s="3">
        <v>128109</v>
      </c>
      <c r="E799" s="3" t="s">
        <v>27</v>
      </c>
      <c r="F799" s="3">
        <v>724846</v>
      </c>
      <c r="G799" s="3">
        <v>85058</v>
      </c>
      <c r="H799" s="3">
        <v>470720</v>
      </c>
      <c r="I799" s="3">
        <v>43051</v>
      </c>
    </row>
    <row r="800" spans="1:9">
      <c r="A800" s="3" t="s">
        <v>825</v>
      </c>
      <c r="B800" s="3" t="s">
        <v>26</v>
      </c>
      <c r="C800" s="3">
        <v>1327486</v>
      </c>
      <c r="D800" s="3">
        <v>236591</v>
      </c>
      <c r="E800" s="3" t="s">
        <v>27</v>
      </c>
      <c r="F800" s="3">
        <v>943803</v>
      </c>
      <c r="G800" s="3">
        <v>157064</v>
      </c>
      <c r="H800" s="3">
        <v>383683</v>
      </c>
      <c r="I800" s="3">
        <v>79527</v>
      </c>
    </row>
    <row r="801" spans="1:9">
      <c r="A801" s="3" t="s">
        <v>826</v>
      </c>
      <c r="B801" s="3" t="s">
        <v>26</v>
      </c>
      <c r="C801" s="3">
        <v>959950</v>
      </c>
      <c r="D801" s="3">
        <v>63975</v>
      </c>
      <c r="E801" s="3" t="s">
        <v>27</v>
      </c>
      <c r="F801" s="3">
        <v>565569</v>
      </c>
      <c r="G801" s="3">
        <v>44885</v>
      </c>
      <c r="H801" s="3">
        <v>394381</v>
      </c>
      <c r="I801" s="3">
        <v>19090</v>
      </c>
    </row>
    <row r="802" spans="1:9">
      <c r="A802" s="3" t="s">
        <v>827</v>
      </c>
      <c r="B802" s="3" t="s">
        <v>26</v>
      </c>
      <c r="C802" s="3">
        <v>1434581</v>
      </c>
      <c r="D802" s="3">
        <v>219240</v>
      </c>
      <c r="E802" s="3" t="s">
        <v>27</v>
      </c>
      <c r="F802" s="3">
        <v>891704</v>
      </c>
      <c r="G802" s="3">
        <v>137137</v>
      </c>
      <c r="H802" s="3">
        <v>542877</v>
      </c>
      <c r="I802" s="3">
        <v>82103</v>
      </c>
    </row>
    <row r="803" spans="1:9">
      <c r="A803" s="3" t="s">
        <v>828</v>
      </c>
      <c r="B803" s="3" t="s">
        <v>26</v>
      </c>
      <c r="C803" s="3">
        <v>908259</v>
      </c>
      <c r="D803" s="3">
        <v>110213</v>
      </c>
      <c r="E803" s="3" t="s">
        <v>27</v>
      </c>
      <c r="F803" s="3">
        <v>608793</v>
      </c>
      <c r="G803" s="3">
        <v>66624</v>
      </c>
      <c r="H803" s="3">
        <v>299466</v>
      </c>
      <c r="I803" s="3">
        <v>43589</v>
      </c>
    </row>
    <row r="804" spans="1:9">
      <c r="A804" s="3" t="s">
        <v>829</v>
      </c>
      <c r="B804" s="3" t="s">
        <v>26</v>
      </c>
      <c r="C804" s="3">
        <v>619882</v>
      </c>
      <c r="D804" s="3">
        <v>5835</v>
      </c>
      <c r="E804" s="3" t="s">
        <v>27</v>
      </c>
      <c r="F804" s="3">
        <v>321485</v>
      </c>
      <c r="G804" s="3">
        <v>3837</v>
      </c>
      <c r="H804" s="3">
        <v>298397</v>
      </c>
      <c r="I804" s="3">
        <v>1998</v>
      </c>
    </row>
    <row r="805" spans="1:9">
      <c r="A805" s="3" t="s">
        <v>830</v>
      </c>
      <c r="B805" s="3" t="s">
        <v>26</v>
      </c>
      <c r="C805" s="3">
        <v>1148796</v>
      </c>
      <c r="D805" s="3">
        <v>22407</v>
      </c>
      <c r="E805" s="3" t="s">
        <v>27</v>
      </c>
      <c r="F805" s="3">
        <v>594954</v>
      </c>
      <c r="G805" s="3">
        <v>12828</v>
      </c>
      <c r="H805" s="3">
        <v>553842</v>
      </c>
      <c r="I805" s="3">
        <v>9579</v>
      </c>
    </row>
    <row r="806" spans="1:9">
      <c r="A806" s="3" t="s">
        <v>831</v>
      </c>
      <c r="B806" s="3" t="s">
        <v>26</v>
      </c>
      <c r="C806" s="3">
        <v>1839001</v>
      </c>
      <c r="D806" s="3">
        <v>459509</v>
      </c>
      <c r="E806" s="3" t="s">
        <v>27</v>
      </c>
      <c r="F806" s="3">
        <v>1396958</v>
      </c>
      <c r="G806" s="3">
        <v>336400</v>
      </c>
      <c r="H806" s="3">
        <v>442043</v>
      </c>
      <c r="I806" s="3">
        <v>123109</v>
      </c>
    </row>
    <row r="807" spans="1:9">
      <c r="A807" s="3" t="s">
        <v>832</v>
      </c>
      <c r="B807" s="3" t="s">
        <v>26</v>
      </c>
      <c r="C807" s="3">
        <v>837245</v>
      </c>
      <c r="D807" s="3">
        <v>68326</v>
      </c>
      <c r="E807" s="3" t="s">
        <v>27</v>
      </c>
      <c r="F807" s="3">
        <v>471839</v>
      </c>
      <c r="G807" s="3">
        <v>37375</v>
      </c>
      <c r="H807" s="3">
        <v>365406</v>
      </c>
      <c r="I807" s="3">
        <v>30951</v>
      </c>
    </row>
    <row r="808" spans="1:9">
      <c r="A808" s="3" t="s">
        <v>833</v>
      </c>
      <c r="B808" s="3" t="s">
        <v>26</v>
      </c>
      <c r="C808" s="3">
        <v>1248195</v>
      </c>
      <c r="D808" s="3">
        <v>222997</v>
      </c>
      <c r="E808" s="3" t="s">
        <v>27</v>
      </c>
      <c r="F808" s="3">
        <v>845762</v>
      </c>
      <c r="G808" s="3">
        <v>154396</v>
      </c>
      <c r="H808" s="3">
        <v>402433</v>
      </c>
      <c r="I808" s="3">
        <v>68601</v>
      </c>
    </row>
    <row r="809" spans="1:9">
      <c r="A809" s="3" t="s">
        <v>834</v>
      </c>
      <c r="B809" s="3" t="s">
        <v>26</v>
      </c>
      <c r="C809" s="3">
        <v>1473730</v>
      </c>
      <c r="D809" s="3">
        <v>182338</v>
      </c>
      <c r="E809" s="3" t="s">
        <v>27</v>
      </c>
      <c r="F809" s="3">
        <v>843588</v>
      </c>
      <c r="G809" s="3">
        <v>104799</v>
      </c>
      <c r="H809" s="3">
        <v>630142</v>
      </c>
      <c r="I809" s="3">
        <v>77539</v>
      </c>
    </row>
    <row r="810" spans="1:9">
      <c r="A810" s="3" t="s">
        <v>835</v>
      </c>
      <c r="B810" s="3" t="s">
        <v>26</v>
      </c>
      <c r="C810" s="3">
        <v>1164621</v>
      </c>
      <c r="D810" s="3">
        <v>102638</v>
      </c>
      <c r="E810" s="3" t="s">
        <v>27</v>
      </c>
      <c r="F810" s="3">
        <v>670022</v>
      </c>
      <c r="G810" s="3">
        <v>54913</v>
      </c>
      <c r="H810" s="3">
        <v>494599</v>
      </c>
      <c r="I810" s="3">
        <v>47725</v>
      </c>
    </row>
    <row r="811" spans="1:9">
      <c r="A811" s="3" t="s">
        <v>836</v>
      </c>
      <c r="B811" s="3" t="s">
        <v>26</v>
      </c>
      <c r="C811" s="3">
        <v>911797</v>
      </c>
      <c r="D811" s="3">
        <v>73607</v>
      </c>
      <c r="E811" s="3" t="s">
        <v>27</v>
      </c>
      <c r="F811" s="3">
        <v>528819</v>
      </c>
      <c r="G811" s="3">
        <v>41691</v>
      </c>
      <c r="H811" s="3">
        <v>382978</v>
      </c>
      <c r="I811" s="3">
        <v>31916</v>
      </c>
    </row>
    <row r="812" spans="1:9">
      <c r="A812" s="3" t="s">
        <v>837</v>
      </c>
      <c r="B812" s="3" t="s">
        <v>26</v>
      </c>
      <c r="C812" s="3">
        <v>683129</v>
      </c>
      <c r="D812" s="3">
        <v>49564</v>
      </c>
      <c r="E812" s="3" t="s">
        <v>27</v>
      </c>
      <c r="F812" s="3">
        <v>413854</v>
      </c>
      <c r="G812" s="3">
        <v>31468</v>
      </c>
      <c r="H812" s="3">
        <v>269275</v>
      </c>
      <c r="I812" s="3">
        <v>18096</v>
      </c>
    </row>
    <row r="813" spans="1:9">
      <c r="A813" s="3" t="s">
        <v>838</v>
      </c>
      <c r="B813" s="3" t="s">
        <v>26</v>
      </c>
      <c r="C813" s="3">
        <v>1329719</v>
      </c>
      <c r="D813" s="3">
        <v>243366</v>
      </c>
      <c r="E813" s="3" t="s">
        <v>27</v>
      </c>
      <c r="F813" s="3">
        <v>977109</v>
      </c>
      <c r="G813" s="3">
        <v>175796</v>
      </c>
      <c r="H813" s="3">
        <v>352610</v>
      </c>
      <c r="I813" s="3">
        <v>67570</v>
      </c>
    </row>
    <row r="814" spans="1:9">
      <c r="A814" s="3" t="s">
        <v>839</v>
      </c>
      <c r="B814" s="3" t="s">
        <v>26</v>
      </c>
      <c r="C814" s="3">
        <v>1076397</v>
      </c>
      <c r="D814" s="3">
        <v>152333</v>
      </c>
      <c r="E814" s="3" t="s">
        <v>27</v>
      </c>
      <c r="F814" s="3">
        <v>622831</v>
      </c>
      <c r="G814" s="3">
        <v>84771</v>
      </c>
      <c r="H814" s="3">
        <v>453566</v>
      </c>
      <c r="I814" s="3">
        <v>67562</v>
      </c>
    </row>
    <row r="815" spans="1:9">
      <c r="A815" s="3" t="s">
        <v>840</v>
      </c>
      <c r="B815" s="3" t="s">
        <v>26</v>
      </c>
      <c r="C815" s="3">
        <v>1134871</v>
      </c>
      <c r="D815" s="3">
        <v>169157</v>
      </c>
      <c r="E815" s="3" t="s">
        <v>27</v>
      </c>
      <c r="F815" s="3">
        <v>763662</v>
      </c>
      <c r="G815" s="3">
        <v>111605</v>
      </c>
      <c r="H815" s="3">
        <v>371209</v>
      </c>
      <c r="I815" s="3">
        <v>57552</v>
      </c>
    </row>
    <row r="816" spans="1:9">
      <c r="A816" s="3" t="s">
        <v>841</v>
      </c>
      <c r="B816" s="3" t="s">
        <v>26</v>
      </c>
      <c r="C816" s="3">
        <v>911391</v>
      </c>
      <c r="D816" s="3">
        <v>53688</v>
      </c>
      <c r="E816" s="3" t="s">
        <v>27</v>
      </c>
      <c r="F816" s="3">
        <v>516586</v>
      </c>
      <c r="G816" s="3">
        <v>25171</v>
      </c>
      <c r="H816" s="3">
        <v>394805</v>
      </c>
      <c r="I816" s="3">
        <v>28517</v>
      </c>
    </row>
    <row r="817" spans="1:9">
      <c r="A817" s="3" t="s">
        <v>842</v>
      </c>
      <c r="B817" s="3" t="s">
        <v>26</v>
      </c>
      <c r="C817" s="3">
        <v>942965</v>
      </c>
      <c r="D817" s="3">
        <v>88591</v>
      </c>
      <c r="E817" s="3" t="s">
        <v>27</v>
      </c>
      <c r="F817" s="3">
        <v>572845</v>
      </c>
      <c r="G817" s="3">
        <v>56980</v>
      </c>
      <c r="H817" s="3">
        <v>370120</v>
      </c>
      <c r="I817" s="3">
        <v>31611</v>
      </c>
    </row>
    <row r="818" spans="1:9">
      <c r="A818" s="3" t="s">
        <v>843</v>
      </c>
      <c r="B818" s="3" t="s">
        <v>26</v>
      </c>
      <c r="C818" s="3">
        <v>836191</v>
      </c>
      <c r="D818" s="3">
        <v>28540</v>
      </c>
      <c r="E818" s="3" t="s">
        <v>27</v>
      </c>
      <c r="F818" s="3">
        <v>466496</v>
      </c>
      <c r="G818" s="3">
        <v>16920</v>
      </c>
      <c r="H818" s="3">
        <v>369695</v>
      </c>
      <c r="I818" s="3">
        <v>11620</v>
      </c>
    </row>
    <row r="819" spans="1:9">
      <c r="A819" s="3" t="s">
        <v>844</v>
      </c>
      <c r="B819" s="3" t="s">
        <v>26</v>
      </c>
      <c r="C819" s="3">
        <v>1518173</v>
      </c>
      <c r="D819" s="3">
        <v>279935</v>
      </c>
      <c r="E819" s="3" t="s">
        <v>27</v>
      </c>
      <c r="F819" s="3">
        <v>1023840</v>
      </c>
      <c r="G819" s="3">
        <v>178269</v>
      </c>
      <c r="H819" s="3">
        <v>494333</v>
      </c>
      <c r="I819" s="3">
        <v>101666</v>
      </c>
    </row>
    <row r="820" spans="1:9">
      <c r="A820" s="3" t="s">
        <v>845</v>
      </c>
      <c r="B820" s="3" t="s">
        <v>26</v>
      </c>
      <c r="C820" s="3">
        <v>1691075</v>
      </c>
      <c r="D820" s="3">
        <v>340715</v>
      </c>
      <c r="E820" s="3" t="s">
        <v>27</v>
      </c>
      <c r="F820" s="3">
        <v>1169180</v>
      </c>
      <c r="G820" s="3">
        <v>244656</v>
      </c>
      <c r="H820" s="3">
        <v>521895</v>
      </c>
      <c r="I820" s="3">
        <v>96059</v>
      </c>
    </row>
    <row r="821" spans="1:9">
      <c r="A821" s="3" t="s">
        <v>846</v>
      </c>
      <c r="B821" s="3" t="s">
        <v>26</v>
      </c>
      <c r="C821" s="3">
        <v>939782</v>
      </c>
      <c r="D821" s="3">
        <v>185344</v>
      </c>
      <c r="E821" s="3" t="s">
        <v>27</v>
      </c>
      <c r="F821" s="3">
        <v>796407</v>
      </c>
      <c r="G821" s="3">
        <v>151712</v>
      </c>
      <c r="H821" s="3">
        <v>143375</v>
      </c>
      <c r="I821" s="3">
        <v>33632</v>
      </c>
    </row>
    <row r="822" spans="1:9">
      <c r="A822" s="3" t="s">
        <v>847</v>
      </c>
      <c r="B822" s="3" t="s">
        <v>26</v>
      </c>
      <c r="C822" s="3">
        <v>1267895</v>
      </c>
      <c r="D822" s="3">
        <v>147691</v>
      </c>
      <c r="E822" s="3" t="s">
        <v>27</v>
      </c>
      <c r="F822" s="3">
        <v>819353</v>
      </c>
      <c r="G822" s="3">
        <v>100951</v>
      </c>
      <c r="H822" s="3">
        <v>448542</v>
      </c>
      <c r="I822" s="3">
        <v>46740</v>
      </c>
    </row>
    <row r="823" spans="1:9">
      <c r="A823" s="3" t="s">
        <v>848</v>
      </c>
      <c r="B823" s="3" t="s">
        <v>26</v>
      </c>
      <c r="C823" s="3">
        <v>1168064</v>
      </c>
      <c r="D823" s="3">
        <v>79130</v>
      </c>
      <c r="E823" s="3" t="s">
        <v>27</v>
      </c>
      <c r="F823" s="3">
        <v>632678</v>
      </c>
      <c r="G823" s="3">
        <v>43825</v>
      </c>
      <c r="H823" s="3">
        <v>535386</v>
      </c>
      <c r="I823" s="3">
        <v>35305</v>
      </c>
    </row>
    <row r="824" spans="1:9">
      <c r="A824" s="3" t="s">
        <v>849</v>
      </c>
      <c r="B824" s="3" t="s">
        <v>26</v>
      </c>
      <c r="C824" s="3">
        <v>1011437</v>
      </c>
      <c r="D824" s="3">
        <v>93227</v>
      </c>
      <c r="E824" s="3" t="s">
        <v>27</v>
      </c>
      <c r="F824" s="3">
        <v>626569</v>
      </c>
      <c r="G824" s="3">
        <v>62975</v>
      </c>
      <c r="H824" s="3">
        <v>384868</v>
      </c>
      <c r="I824" s="3">
        <v>30252</v>
      </c>
    </row>
    <row r="825" spans="1:9">
      <c r="A825" s="3" t="s">
        <v>850</v>
      </c>
      <c r="B825" s="3" t="s">
        <v>26</v>
      </c>
      <c r="C825" s="3">
        <v>6003</v>
      </c>
      <c r="D825" s="3">
        <v>787</v>
      </c>
      <c r="E825" s="3" t="s">
        <v>27</v>
      </c>
      <c r="F825" s="3">
        <v>6003</v>
      </c>
      <c r="G825" s="3">
        <v>787</v>
      </c>
      <c r="H825" s="3">
        <v>0</v>
      </c>
      <c r="I825" s="3">
        <v>0</v>
      </c>
    </row>
    <row r="826" spans="1:9">
      <c r="A826" s="3" t="s">
        <v>851</v>
      </c>
      <c r="B826" s="3" t="s">
        <v>26</v>
      </c>
      <c r="C826" s="3">
        <v>1196177</v>
      </c>
      <c r="D826" s="3">
        <v>156108</v>
      </c>
      <c r="E826" s="3" t="s">
        <v>27</v>
      </c>
      <c r="F826" s="3">
        <v>780336</v>
      </c>
      <c r="G826" s="3">
        <v>109591</v>
      </c>
      <c r="H826" s="3">
        <v>415841</v>
      </c>
      <c r="I826" s="3">
        <v>46517</v>
      </c>
    </row>
    <row r="827" spans="1:9">
      <c r="A827" s="3" t="s">
        <v>852</v>
      </c>
      <c r="B827" s="3" t="s">
        <v>26</v>
      </c>
      <c r="C827" s="3">
        <v>958652</v>
      </c>
      <c r="D827" s="3">
        <v>142925</v>
      </c>
      <c r="E827" s="3" t="s">
        <v>27</v>
      </c>
      <c r="F827" s="3">
        <v>700374</v>
      </c>
      <c r="G827" s="3">
        <v>111637</v>
      </c>
      <c r="H827" s="3">
        <v>258278</v>
      </c>
      <c r="I827" s="3">
        <v>31288</v>
      </c>
    </row>
    <row r="828" spans="1:9">
      <c r="A828" s="3" t="s">
        <v>853</v>
      </c>
      <c r="B828" s="3" t="s">
        <v>26</v>
      </c>
      <c r="C828" s="3">
        <v>1258217</v>
      </c>
      <c r="D828" s="3">
        <v>145411</v>
      </c>
      <c r="E828" s="3" t="s">
        <v>27</v>
      </c>
      <c r="F828" s="3">
        <v>881015</v>
      </c>
      <c r="G828" s="3">
        <v>93501</v>
      </c>
      <c r="H828" s="3">
        <v>377202</v>
      </c>
      <c r="I828" s="3">
        <v>51910</v>
      </c>
    </row>
    <row r="829" spans="1:9">
      <c r="A829" s="3" t="s">
        <v>854</v>
      </c>
      <c r="B829" s="3" t="s">
        <v>26</v>
      </c>
      <c r="C829" s="3">
        <v>703759</v>
      </c>
      <c r="D829" s="3">
        <v>66204</v>
      </c>
      <c r="E829" s="3" t="s">
        <v>27</v>
      </c>
      <c r="F829" s="3">
        <v>435231</v>
      </c>
      <c r="G829" s="3">
        <v>44034</v>
      </c>
      <c r="H829" s="3">
        <v>268528</v>
      </c>
      <c r="I829" s="3">
        <v>22170</v>
      </c>
    </row>
    <row r="830" spans="1:9">
      <c r="A830" s="3" t="s">
        <v>855</v>
      </c>
      <c r="B830" s="3" t="s">
        <v>26</v>
      </c>
      <c r="C830" s="3">
        <v>1128793</v>
      </c>
      <c r="D830" s="3">
        <v>141534</v>
      </c>
      <c r="E830" s="3" t="s">
        <v>27</v>
      </c>
      <c r="F830" s="3">
        <v>689023</v>
      </c>
      <c r="G830" s="3">
        <v>80981</v>
      </c>
      <c r="H830" s="3">
        <v>439770</v>
      </c>
      <c r="I830" s="3">
        <v>60553</v>
      </c>
    </row>
    <row r="831" spans="1:9">
      <c r="A831" s="3" t="s">
        <v>856</v>
      </c>
      <c r="B831" s="3" t="s">
        <v>26</v>
      </c>
      <c r="C831" s="3">
        <v>1557667</v>
      </c>
      <c r="D831" s="3">
        <v>237113</v>
      </c>
      <c r="E831" s="3" t="s">
        <v>27</v>
      </c>
      <c r="F831" s="3">
        <v>1246075</v>
      </c>
      <c r="G831" s="3">
        <v>172573</v>
      </c>
      <c r="H831" s="3">
        <v>311592</v>
      </c>
      <c r="I831" s="3">
        <v>64540</v>
      </c>
    </row>
    <row r="832" spans="1:9">
      <c r="A832" s="3" t="s">
        <v>857</v>
      </c>
      <c r="B832" s="3" t="s">
        <v>26</v>
      </c>
      <c r="C832" s="3">
        <v>914039</v>
      </c>
      <c r="D832" s="3">
        <v>71912</v>
      </c>
      <c r="E832" s="3" t="s">
        <v>27</v>
      </c>
      <c r="F832" s="3">
        <v>547933</v>
      </c>
      <c r="G832" s="3">
        <v>42516</v>
      </c>
      <c r="H832" s="3">
        <v>366106</v>
      </c>
      <c r="I832" s="3">
        <v>29396</v>
      </c>
    </row>
    <row r="833" spans="1:9">
      <c r="A833" s="3" t="s">
        <v>858</v>
      </c>
      <c r="B833" s="3" t="s">
        <v>26</v>
      </c>
      <c r="C833" s="3">
        <v>1425886</v>
      </c>
      <c r="D833" s="3">
        <v>232732</v>
      </c>
      <c r="E833" s="3" t="s">
        <v>27</v>
      </c>
      <c r="F833" s="3">
        <v>1016564</v>
      </c>
      <c r="G833" s="3">
        <v>155031</v>
      </c>
      <c r="H833" s="3">
        <v>409322</v>
      </c>
      <c r="I833" s="3">
        <v>77701</v>
      </c>
    </row>
    <row r="834" spans="1:9">
      <c r="A834" s="3" t="s">
        <v>859</v>
      </c>
      <c r="B834" s="3" t="s">
        <v>26</v>
      </c>
      <c r="C834" s="3">
        <v>1160692</v>
      </c>
      <c r="D834" s="3">
        <v>117782</v>
      </c>
      <c r="E834" s="3" t="s">
        <v>27</v>
      </c>
      <c r="F834" s="3">
        <v>856675</v>
      </c>
      <c r="G834" s="3">
        <v>81460</v>
      </c>
      <c r="H834" s="3">
        <v>304017</v>
      </c>
      <c r="I834" s="3">
        <v>36322</v>
      </c>
    </row>
    <row r="835" spans="1:9">
      <c r="A835" s="3" t="s">
        <v>860</v>
      </c>
      <c r="B835" s="3" t="s">
        <v>26</v>
      </c>
      <c r="C835" s="3">
        <v>830669</v>
      </c>
      <c r="D835" s="3">
        <v>18147</v>
      </c>
      <c r="E835" s="3" t="s">
        <v>27</v>
      </c>
      <c r="F835" s="3">
        <v>441021</v>
      </c>
      <c r="G835" s="3">
        <v>8499</v>
      </c>
      <c r="H835" s="3">
        <v>389648</v>
      </c>
      <c r="I835" s="3">
        <v>9648</v>
      </c>
    </row>
    <row r="836" spans="1:9">
      <c r="A836" s="3" t="s">
        <v>861</v>
      </c>
      <c r="B836" s="3" t="s">
        <v>26</v>
      </c>
      <c r="C836" s="3">
        <v>603365</v>
      </c>
      <c r="D836" s="3">
        <v>4950</v>
      </c>
      <c r="E836" s="3" t="s">
        <v>27</v>
      </c>
      <c r="F836" s="3">
        <v>322749</v>
      </c>
      <c r="G836" s="3">
        <v>2355</v>
      </c>
      <c r="H836" s="3">
        <v>280616</v>
      </c>
      <c r="I836" s="3">
        <v>2595</v>
      </c>
    </row>
    <row r="837" spans="1:9">
      <c r="A837" s="3" t="s">
        <v>862</v>
      </c>
      <c r="B837" s="3" t="s">
        <v>26</v>
      </c>
      <c r="C837" s="3">
        <v>1591982</v>
      </c>
      <c r="D837" s="3">
        <v>322344</v>
      </c>
      <c r="E837" s="3" t="s">
        <v>27</v>
      </c>
      <c r="F837" s="3">
        <v>1169758</v>
      </c>
      <c r="G837" s="3">
        <v>231218</v>
      </c>
      <c r="H837" s="3">
        <v>422224</v>
      </c>
      <c r="I837" s="3">
        <v>91126</v>
      </c>
    </row>
    <row r="838" spans="1:9">
      <c r="A838" s="3" t="s">
        <v>863</v>
      </c>
      <c r="B838" s="3" t="s">
        <v>26</v>
      </c>
      <c r="C838" s="3">
        <v>953761</v>
      </c>
      <c r="D838" s="3">
        <v>67423</v>
      </c>
      <c r="E838" s="3" t="s">
        <v>27</v>
      </c>
      <c r="F838" s="3">
        <v>583524</v>
      </c>
      <c r="G838" s="3">
        <v>42677</v>
      </c>
      <c r="H838" s="3">
        <v>370237</v>
      </c>
      <c r="I838" s="3">
        <v>24746</v>
      </c>
    </row>
    <row r="839" spans="1:9">
      <c r="A839" s="3" t="s">
        <v>864</v>
      </c>
      <c r="B839" s="3" t="s">
        <v>26</v>
      </c>
      <c r="C839" s="3">
        <v>1104349</v>
      </c>
      <c r="D839" s="3">
        <v>116676</v>
      </c>
      <c r="E839" s="3" t="s">
        <v>27</v>
      </c>
      <c r="F839" s="3">
        <v>708531</v>
      </c>
      <c r="G839" s="3">
        <v>78400</v>
      </c>
      <c r="H839" s="3">
        <v>395818</v>
      </c>
      <c r="I839" s="3">
        <v>38276</v>
      </c>
    </row>
    <row r="840" spans="1:9">
      <c r="A840" s="3" t="s">
        <v>865</v>
      </c>
      <c r="B840" s="3" t="s">
        <v>26</v>
      </c>
      <c r="C840" s="3">
        <v>1556613</v>
      </c>
      <c r="D840" s="3">
        <v>191753</v>
      </c>
      <c r="E840" s="3" t="s">
        <v>27</v>
      </c>
      <c r="F840" s="3">
        <v>977889</v>
      </c>
      <c r="G840" s="3">
        <v>129796</v>
      </c>
      <c r="H840" s="3">
        <v>578724</v>
      </c>
      <c r="I840" s="3">
        <v>61957</v>
      </c>
    </row>
    <row r="841" spans="1:9">
      <c r="A841" s="3" t="s">
        <v>866</v>
      </c>
      <c r="B841" s="3" t="s">
        <v>26</v>
      </c>
      <c r="C841" s="3">
        <v>1436204</v>
      </c>
      <c r="D841" s="3">
        <v>279625</v>
      </c>
      <c r="E841" s="3" t="s">
        <v>27</v>
      </c>
      <c r="F841" s="3">
        <v>1150426</v>
      </c>
      <c r="G841" s="3">
        <v>217296</v>
      </c>
      <c r="H841" s="3">
        <v>285778</v>
      </c>
      <c r="I841" s="3">
        <v>62329</v>
      </c>
    </row>
    <row r="842" spans="1:9">
      <c r="A842" s="3" t="s">
        <v>867</v>
      </c>
      <c r="B842" s="3" t="s">
        <v>26</v>
      </c>
      <c r="C842" s="3">
        <v>1183943</v>
      </c>
      <c r="D842" s="3">
        <v>76708</v>
      </c>
      <c r="E842" s="3" t="s">
        <v>27</v>
      </c>
      <c r="F842" s="3">
        <v>723135</v>
      </c>
      <c r="G842" s="3">
        <v>45889</v>
      </c>
      <c r="H842" s="3">
        <v>460808</v>
      </c>
      <c r="I842" s="3">
        <v>30819</v>
      </c>
    </row>
    <row r="843" spans="1:9">
      <c r="A843" s="3" t="s">
        <v>868</v>
      </c>
      <c r="B843" s="3" t="s">
        <v>26</v>
      </c>
      <c r="C843" s="3">
        <v>1280669</v>
      </c>
      <c r="D843" s="3">
        <v>19767</v>
      </c>
      <c r="E843" s="3" t="s">
        <v>27</v>
      </c>
      <c r="F843" s="3">
        <v>661509</v>
      </c>
      <c r="G843" s="3">
        <v>10208</v>
      </c>
      <c r="H843" s="3">
        <v>619160</v>
      </c>
      <c r="I843" s="3">
        <v>9559</v>
      </c>
    </row>
    <row r="844" spans="1:9">
      <c r="A844" s="3" t="s">
        <v>869</v>
      </c>
      <c r="B844" s="3" t="s">
        <v>26</v>
      </c>
      <c r="C844" s="3">
        <v>1694657</v>
      </c>
      <c r="D844" s="3">
        <v>407813</v>
      </c>
      <c r="E844" s="3" t="s">
        <v>27</v>
      </c>
      <c r="F844" s="3">
        <v>1152744</v>
      </c>
      <c r="G844" s="3">
        <v>260509</v>
      </c>
      <c r="H844" s="3">
        <v>541913</v>
      </c>
      <c r="I844" s="3">
        <v>147304</v>
      </c>
    </row>
    <row r="845" spans="1:9">
      <c r="A845" s="3" t="s">
        <v>870</v>
      </c>
      <c r="B845" s="3" t="s">
        <v>26</v>
      </c>
      <c r="C845" s="3">
        <v>1728748</v>
      </c>
      <c r="D845" s="3">
        <v>311741</v>
      </c>
      <c r="E845" s="3" t="s">
        <v>27</v>
      </c>
      <c r="F845" s="3">
        <v>1217334</v>
      </c>
      <c r="G845" s="3">
        <v>199541</v>
      </c>
      <c r="H845" s="3">
        <v>511414</v>
      </c>
      <c r="I845" s="3">
        <v>112200</v>
      </c>
    </row>
    <row r="846" spans="1:9">
      <c r="A846" s="3" t="s">
        <v>871</v>
      </c>
      <c r="B846" s="3" t="s">
        <v>26</v>
      </c>
      <c r="C846" s="3">
        <v>710534</v>
      </c>
      <c r="D846" s="3">
        <v>7453</v>
      </c>
      <c r="E846" s="3" t="s">
        <v>27</v>
      </c>
      <c r="F846" s="3">
        <v>403834</v>
      </c>
      <c r="G846" s="3">
        <v>5391</v>
      </c>
      <c r="H846" s="3">
        <v>306700</v>
      </c>
      <c r="I846" s="3">
        <v>2062</v>
      </c>
    </row>
    <row r="847" spans="1:9">
      <c r="A847" s="3" t="s">
        <v>872</v>
      </c>
      <c r="B847" s="3" t="s">
        <v>26</v>
      </c>
      <c r="C847" s="3">
        <v>911706</v>
      </c>
      <c r="D847" s="3">
        <v>59787</v>
      </c>
      <c r="E847" s="3" t="s">
        <v>27</v>
      </c>
      <c r="F847" s="3">
        <v>519928</v>
      </c>
      <c r="G847" s="3">
        <v>36381</v>
      </c>
      <c r="H847" s="3">
        <v>391778</v>
      </c>
      <c r="I847" s="3">
        <v>23406</v>
      </c>
    </row>
    <row r="848" spans="1:9">
      <c r="A848" s="3" t="s">
        <v>873</v>
      </c>
      <c r="B848" s="3" t="s">
        <v>26</v>
      </c>
      <c r="C848" s="3">
        <v>1111630</v>
      </c>
      <c r="D848" s="3">
        <v>151563</v>
      </c>
      <c r="E848" s="3" t="s">
        <v>27</v>
      </c>
      <c r="F848" s="3">
        <v>793192</v>
      </c>
      <c r="G848" s="3">
        <v>92062</v>
      </c>
      <c r="H848" s="3">
        <v>318438</v>
      </c>
      <c r="I848" s="3">
        <v>59501</v>
      </c>
    </row>
    <row r="849" spans="1:9">
      <c r="A849" s="3" t="s">
        <v>874</v>
      </c>
      <c r="B849" s="3" t="s">
        <v>26</v>
      </c>
      <c r="C849" s="3">
        <v>1784045</v>
      </c>
      <c r="D849" s="3">
        <v>259131</v>
      </c>
      <c r="E849" s="3" t="s">
        <v>27</v>
      </c>
      <c r="F849" s="3">
        <v>1041494</v>
      </c>
      <c r="G849" s="3">
        <v>163894</v>
      </c>
      <c r="H849" s="3">
        <v>742551</v>
      </c>
      <c r="I849" s="3">
        <v>95237</v>
      </c>
    </row>
    <row r="850" spans="1:9">
      <c r="A850" s="3" t="s">
        <v>875</v>
      </c>
      <c r="B850" s="3" t="s">
        <v>26</v>
      </c>
      <c r="C850" s="3">
        <v>1341492</v>
      </c>
      <c r="D850" s="3">
        <v>272959</v>
      </c>
      <c r="E850" s="3" t="s">
        <v>27</v>
      </c>
      <c r="F850" s="3">
        <v>1093523</v>
      </c>
      <c r="G850" s="3">
        <v>208817</v>
      </c>
      <c r="H850" s="3">
        <v>247969</v>
      </c>
      <c r="I850" s="3">
        <v>64142</v>
      </c>
    </row>
    <row r="851" spans="1:9">
      <c r="A851" s="3" t="s">
        <v>876</v>
      </c>
      <c r="B851" s="3" t="s">
        <v>26</v>
      </c>
      <c r="C851" s="3">
        <v>1360964</v>
      </c>
      <c r="D851" s="3">
        <v>158661</v>
      </c>
      <c r="E851" s="3" t="s">
        <v>27</v>
      </c>
      <c r="F851" s="3">
        <v>913739</v>
      </c>
      <c r="G851" s="3">
        <v>107004</v>
      </c>
      <c r="H851" s="3">
        <v>447225</v>
      </c>
      <c r="I851" s="3">
        <v>51657</v>
      </c>
    </row>
    <row r="852" spans="1:9">
      <c r="A852" s="3" t="s">
        <v>877</v>
      </c>
      <c r="B852" s="3" t="s">
        <v>26</v>
      </c>
      <c r="C852" s="3">
        <v>1409214</v>
      </c>
      <c r="D852" s="3">
        <v>281375</v>
      </c>
      <c r="E852" s="3" t="s">
        <v>27</v>
      </c>
      <c r="F852" s="3">
        <v>1115980</v>
      </c>
      <c r="G852" s="3">
        <v>207571</v>
      </c>
      <c r="H852" s="3">
        <v>293234</v>
      </c>
      <c r="I852" s="3">
        <v>73804</v>
      </c>
    </row>
    <row r="853" spans="1:9">
      <c r="A853" s="3" t="s">
        <v>878</v>
      </c>
      <c r="B853" s="3" t="s">
        <v>26</v>
      </c>
      <c r="C853" s="3">
        <v>787735</v>
      </c>
      <c r="D853" s="3">
        <v>957</v>
      </c>
      <c r="E853" s="3" t="s">
        <v>27</v>
      </c>
      <c r="F853" s="3">
        <v>334307</v>
      </c>
      <c r="G853" s="3">
        <v>34</v>
      </c>
      <c r="H853" s="3">
        <v>453428</v>
      </c>
      <c r="I853" s="3">
        <v>923</v>
      </c>
    </row>
    <row r="854" spans="1:9">
      <c r="A854" s="3" t="s">
        <v>879</v>
      </c>
      <c r="B854" s="3" t="s">
        <v>26</v>
      </c>
      <c r="C854" s="3">
        <v>1366353</v>
      </c>
      <c r="D854" s="3">
        <v>33656</v>
      </c>
      <c r="E854" s="3" t="s">
        <v>27</v>
      </c>
      <c r="F854" s="3">
        <v>693454</v>
      </c>
      <c r="G854" s="3">
        <v>18125</v>
      </c>
      <c r="H854" s="3">
        <v>672899</v>
      </c>
      <c r="I854" s="3">
        <v>15531</v>
      </c>
    </row>
    <row r="855" spans="1:9">
      <c r="A855" s="3" t="s">
        <v>880</v>
      </c>
      <c r="B855" s="3" t="s">
        <v>26</v>
      </c>
      <c r="C855" s="3">
        <v>1473215</v>
      </c>
      <c r="D855" s="3">
        <v>341275</v>
      </c>
      <c r="E855" s="3" t="s">
        <v>27</v>
      </c>
      <c r="F855" s="3">
        <v>1112617</v>
      </c>
      <c r="G855" s="3">
        <v>254356</v>
      </c>
      <c r="H855" s="3">
        <v>360598</v>
      </c>
      <c r="I855" s="3">
        <v>86919</v>
      </c>
    </row>
    <row r="856" spans="1:9">
      <c r="A856" s="3" t="s">
        <v>881</v>
      </c>
      <c r="B856" s="3" t="s">
        <v>26</v>
      </c>
      <c r="C856" s="3">
        <v>1763456</v>
      </c>
      <c r="D856" s="3">
        <v>413829</v>
      </c>
      <c r="E856" s="3" t="s">
        <v>27</v>
      </c>
      <c r="F856" s="3">
        <v>1235841</v>
      </c>
      <c r="G856" s="3">
        <v>280619</v>
      </c>
      <c r="H856" s="3">
        <v>527615</v>
      </c>
      <c r="I856" s="3">
        <v>133210</v>
      </c>
    </row>
    <row r="857" spans="1:9">
      <c r="A857" s="3" t="s">
        <v>882</v>
      </c>
      <c r="B857" s="3" t="s">
        <v>26</v>
      </c>
      <c r="C857" s="3">
        <v>1641408</v>
      </c>
      <c r="D857" s="3">
        <v>334482</v>
      </c>
      <c r="E857" s="3" t="s">
        <v>27</v>
      </c>
      <c r="F857" s="3">
        <v>1225940</v>
      </c>
      <c r="G857" s="3">
        <v>225546</v>
      </c>
      <c r="H857" s="3">
        <v>415468</v>
      </c>
      <c r="I857" s="3">
        <v>108936</v>
      </c>
    </row>
    <row r="858" spans="1:9">
      <c r="A858" s="3" t="s">
        <v>883</v>
      </c>
      <c r="B858" s="3" t="s">
        <v>26</v>
      </c>
      <c r="C858" s="3">
        <v>762125</v>
      </c>
      <c r="D858" s="3">
        <v>4153</v>
      </c>
      <c r="E858" s="3" t="s">
        <v>27</v>
      </c>
      <c r="F858" s="3">
        <v>347800</v>
      </c>
      <c r="G858" s="3">
        <v>669</v>
      </c>
      <c r="H858" s="3">
        <v>414325</v>
      </c>
      <c r="I858" s="3">
        <v>3484</v>
      </c>
    </row>
    <row r="859" spans="1:9">
      <c r="A859" s="3" t="s">
        <v>884</v>
      </c>
      <c r="B859" s="3" t="s">
        <v>26</v>
      </c>
      <c r="C859" s="3">
        <v>1996806</v>
      </c>
      <c r="D859" s="3">
        <v>458611</v>
      </c>
      <c r="E859" s="3" t="s">
        <v>27</v>
      </c>
      <c r="F859" s="3">
        <v>1467794</v>
      </c>
      <c r="G859" s="3">
        <v>318599</v>
      </c>
      <c r="H859" s="3">
        <v>529012</v>
      </c>
      <c r="I859" s="3">
        <v>140012</v>
      </c>
    </row>
    <row r="860" spans="1:9">
      <c r="A860" s="3" t="s">
        <v>885</v>
      </c>
      <c r="B860" s="3" t="s">
        <v>26</v>
      </c>
      <c r="C860" s="3">
        <v>1436446</v>
      </c>
      <c r="D860" s="3">
        <v>158773</v>
      </c>
      <c r="E860" s="3" t="s">
        <v>27</v>
      </c>
      <c r="F860" s="3">
        <v>877838</v>
      </c>
      <c r="G860" s="3">
        <v>91381</v>
      </c>
      <c r="H860" s="3">
        <v>558608</v>
      </c>
      <c r="I860" s="3">
        <v>67392</v>
      </c>
    </row>
    <row r="861" spans="1:9">
      <c r="A861" s="3" t="s">
        <v>886</v>
      </c>
      <c r="B861" s="3" t="s">
        <v>26</v>
      </c>
      <c r="C861" s="3">
        <v>1655222</v>
      </c>
      <c r="D861" s="3">
        <v>306588</v>
      </c>
      <c r="E861" s="3" t="s">
        <v>27</v>
      </c>
      <c r="F861" s="3">
        <v>1142147</v>
      </c>
      <c r="G861" s="3">
        <v>202540</v>
      </c>
      <c r="H861" s="3">
        <v>513075</v>
      </c>
      <c r="I861" s="3">
        <v>104048</v>
      </c>
    </row>
    <row r="862" spans="1:9">
      <c r="A862" s="3" t="s">
        <v>887</v>
      </c>
      <c r="B862" s="3" t="s">
        <v>26</v>
      </c>
      <c r="C862" s="3">
        <v>92628</v>
      </c>
      <c r="D862" s="3">
        <v>11310</v>
      </c>
      <c r="E862" s="3" t="s">
        <v>27</v>
      </c>
      <c r="F862" s="3">
        <v>50971</v>
      </c>
      <c r="G862" s="3">
        <v>5754</v>
      </c>
      <c r="H862" s="3">
        <v>41657</v>
      </c>
      <c r="I862" s="3">
        <v>5556</v>
      </c>
    </row>
    <row r="863" spans="1:9">
      <c r="A863" s="3" t="s">
        <v>888</v>
      </c>
      <c r="B863" s="3" t="s">
        <v>26</v>
      </c>
      <c r="C863" s="3">
        <v>2046368</v>
      </c>
      <c r="D863" s="3">
        <v>419131</v>
      </c>
      <c r="E863" s="3" t="s">
        <v>27</v>
      </c>
      <c r="F863" s="3">
        <v>1337665</v>
      </c>
      <c r="G863" s="3">
        <v>257529</v>
      </c>
      <c r="H863" s="3">
        <v>708703</v>
      </c>
      <c r="I863" s="3">
        <v>161602</v>
      </c>
    </row>
    <row r="864" spans="1:9">
      <c r="A864" s="3" t="s">
        <v>889</v>
      </c>
      <c r="B864" s="3" t="s">
        <v>26</v>
      </c>
      <c r="C864" s="3">
        <v>1488844</v>
      </c>
      <c r="D864" s="3">
        <v>62371</v>
      </c>
      <c r="E864" s="3" t="s">
        <v>27</v>
      </c>
      <c r="F864" s="3">
        <v>806080</v>
      </c>
      <c r="G864" s="3">
        <v>36691</v>
      </c>
      <c r="H864" s="3">
        <v>682764</v>
      </c>
      <c r="I864" s="3">
        <v>25680</v>
      </c>
    </row>
    <row r="865" spans="1:9">
      <c r="A865" s="3" t="s">
        <v>890</v>
      </c>
      <c r="B865" s="3" t="s">
        <v>26</v>
      </c>
      <c r="C865" s="3">
        <v>1482988</v>
      </c>
      <c r="D865" s="3">
        <v>99216</v>
      </c>
      <c r="E865" s="3" t="s">
        <v>27</v>
      </c>
      <c r="F865" s="3">
        <v>816566</v>
      </c>
      <c r="G865" s="3">
        <v>58271</v>
      </c>
      <c r="H865" s="3">
        <v>666422</v>
      </c>
      <c r="I865" s="3">
        <v>40945</v>
      </c>
    </row>
    <row r="866" spans="1:9">
      <c r="A866" s="3" t="s">
        <v>891</v>
      </c>
      <c r="B866" s="3" t="s">
        <v>26</v>
      </c>
      <c r="C866" s="3">
        <v>1271692</v>
      </c>
      <c r="D866" s="3">
        <v>115231</v>
      </c>
      <c r="E866" s="3" t="s">
        <v>27</v>
      </c>
      <c r="F866" s="3">
        <v>836625</v>
      </c>
      <c r="G866" s="3">
        <v>67860</v>
      </c>
      <c r="H866" s="3">
        <v>435067</v>
      </c>
      <c r="I866" s="3">
        <v>47371</v>
      </c>
    </row>
    <row r="867" spans="1:9">
      <c r="A867" s="3" t="s">
        <v>892</v>
      </c>
      <c r="B867" s="3" t="s">
        <v>26</v>
      </c>
      <c r="C867" s="3">
        <v>1936860</v>
      </c>
      <c r="D867" s="3">
        <v>372292</v>
      </c>
      <c r="E867" s="3" t="s">
        <v>27</v>
      </c>
      <c r="F867" s="3">
        <v>1538120</v>
      </c>
      <c r="G867" s="3">
        <v>282745</v>
      </c>
      <c r="H867" s="3">
        <v>398740</v>
      </c>
      <c r="I867" s="3">
        <v>89547</v>
      </c>
    </row>
    <row r="868" spans="1:9">
      <c r="A868" s="3" t="s">
        <v>893</v>
      </c>
      <c r="B868" s="3" t="s">
        <v>26</v>
      </c>
      <c r="C868" s="3">
        <v>1613249</v>
      </c>
      <c r="D868" s="3">
        <v>345499</v>
      </c>
      <c r="E868" s="3" t="s">
        <v>27</v>
      </c>
      <c r="F868" s="3">
        <v>1383448</v>
      </c>
      <c r="G868" s="3">
        <v>278204</v>
      </c>
      <c r="H868" s="3">
        <v>229801</v>
      </c>
      <c r="I868" s="3">
        <v>67295</v>
      </c>
    </row>
    <row r="869" spans="1:9">
      <c r="A869" s="3" t="s">
        <v>894</v>
      </c>
      <c r="B869" s="3" t="s">
        <v>26</v>
      </c>
      <c r="C869" s="3">
        <v>1317834</v>
      </c>
      <c r="D869" s="3">
        <v>19923</v>
      </c>
      <c r="E869" s="3" t="s">
        <v>27</v>
      </c>
      <c r="F869" s="3">
        <v>681685</v>
      </c>
      <c r="G869" s="3">
        <v>12542</v>
      </c>
      <c r="H869" s="3">
        <v>636149</v>
      </c>
      <c r="I869" s="3">
        <v>7381</v>
      </c>
    </row>
    <row r="870" spans="1:9">
      <c r="A870" s="3" t="s">
        <v>895</v>
      </c>
      <c r="B870" s="3" t="s">
        <v>26</v>
      </c>
      <c r="C870" s="3">
        <v>1862451</v>
      </c>
      <c r="D870" s="3">
        <v>393347</v>
      </c>
      <c r="E870" s="3" t="s">
        <v>27</v>
      </c>
      <c r="F870" s="3">
        <v>1131874</v>
      </c>
      <c r="G870" s="3">
        <v>233171</v>
      </c>
      <c r="H870" s="3">
        <v>730577</v>
      </c>
      <c r="I870" s="3">
        <v>160176</v>
      </c>
    </row>
    <row r="871" spans="1:9">
      <c r="A871" s="3" t="s">
        <v>896</v>
      </c>
      <c r="B871" s="3" t="s">
        <v>26</v>
      </c>
      <c r="C871" s="3">
        <v>1838939</v>
      </c>
      <c r="D871" s="3">
        <v>76546</v>
      </c>
      <c r="E871" s="3" t="s">
        <v>27</v>
      </c>
      <c r="F871" s="3">
        <v>965405</v>
      </c>
      <c r="G871" s="3">
        <v>40499</v>
      </c>
      <c r="H871" s="3">
        <v>873534</v>
      </c>
      <c r="I871" s="3">
        <v>36047</v>
      </c>
    </row>
    <row r="872" spans="1:9">
      <c r="A872" s="3" t="s">
        <v>897</v>
      </c>
      <c r="B872" s="3" t="s">
        <v>26</v>
      </c>
      <c r="C872" s="3">
        <v>2002272</v>
      </c>
      <c r="D872" s="3">
        <v>269349</v>
      </c>
      <c r="E872" s="3" t="s">
        <v>27</v>
      </c>
      <c r="F872" s="3">
        <v>1188618</v>
      </c>
      <c r="G872" s="3">
        <v>155000</v>
      </c>
      <c r="H872" s="3">
        <v>813654</v>
      </c>
      <c r="I872" s="3">
        <v>114349</v>
      </c>
    </row>
    <row r="873" spans="1:9">
      <c r="A873" s="3" t="s">
        <v>898</v>
      </c>
      <c r="B873" s="3" t="s">
        <v>26</v>
      </c>
      <c r="C873" s="3">
        <v>1442067</v>
      </c>
      <c r="D873" s="3">
        <v>33116</v>
      </c>
      <c r="E873" s="3" t="s">
        <v>27</v>
      </c>
      <c r="F873" s="3">
        <v>745128</v>
      </c>
      <c r="G873" s="3">
        <v>17015</v>
      </c>
      <c r="H873" s="3">
        <v>696939</v>
      </c>
      <c r="I873" s="3">
        <v>16101</v>
      </c>
    </row>
    <row r="874" spans="1:9">
      <c r="A874" s="3" t="s">
        <v>899</v>
      </c>
      <c r="B874" s="3" t="s">
        <v>26</v>
      </c>
      <c r="C874" s="3">
        <v>952044</v>
      </c>
      <c r="D874" s="3">
        <v>71417</v>
      </c>
      <c r="E874" s="3" t="s">
        <v>27</v>
      </c>
      <c r="F874" s="3">
        <v>642438</v>
      </c>
      <c r="G874" s="3">
        <v>51047</v>
      </c>
      <c r="H874" s="3">
        <v>309606</v>
      </c>
      <c r="I874" s="3">
        <v>20370</v>
      </c>
    </row>
    <row r="875" spans="1:9">
      <c r="A875" s="3" t="s">
        <v>900</v>
      </c>
      <c r="B875" s="3" t="s">
        <v>26</v>
      </c>
      <c r="C875" s="3">
        <v>2290645</v>
      </c>
      <c r="D875" s="3">
        <v>448271</v>
      </c>
      <c r="E875" s="3" t="s">
        <v>27</v>
      </c>
      <c r="F875" s="3">
        <v>1565699</v>
      </c>
      <c r="G875" s="3">
        <v>297058</v>
      </c>
      <c r="H875" s="3">
        <v>724946</v>
      </c>
      <c r="I875" s="3">
        <v>151213</v>
      </c>
    </row>
    <row r="876" spans="1:9">
      <c r="A876" s="3" t="s">
        <v>901</v>
      </c>
      <c r="B876" s="3" t="s">
        <v>26</v>
      </c>
      <c r="C876" s="3">
        <v>738956</v>
      </c>
      <c r="D876" s="3">
        <v>8849</v>
      </c>
      <c r="E876" s="3" t="s">
        <v>27</v>
      </c>
      <c r="F876" s="3">
        <v>437153</v>
      </c>
      <c r="G876" s="3">
        <v>3506</v>
      </c>
      <c r="H876" s="3">
        <v>301803</v>
      </c>
      <c r="I876" s="3">
        <v>5343</v>
      </c>
    </row>
    <row r="877" spans="1:9">
      <c r="A877" s="3" t="s">
        <v>902</v>
      </c>
      <c r="B877" s="3" t="s">
        <v>26</v>
      </c>
      <c r="C877" s="3">
        <v>2079303</v>
      </c>
      <c r="D877" s="3">
        <v>419346</v>
      </c>
      <c r="E877" s="3" t="s">
        <v>27</v>
      </c>
      <c r="F877" s="3">
        <v>1488119</v>
      </c>
      <c r="G877" s="3">
        <v>304968</v>
      </c>
      <c r="H877" s="3">
        <v>591184</v>
      </c>
      <c r="I877" s="3">
        <v>114378</v>
      </c>
    </row>
    <row r="878" spans="1:9">
      <c r="A878" s="3" t="s">
        <v>903</v>
      </c>
      <c r="B878" s="3" t="s">
        <v>26</v>
      </c>
      <c r="C878" s="3">
        <v>2124535</v>
      </c>
      <c r="D878" s="3">
        <v>314387</v>
      </c>
      <c r="E878" s="3" t="s">
        <v>27</v>
      </c>
      <c r="F878" s="3">
        <v>1398906</v>
      </c>
      <c r="G878" s="3">
        <v>192808</v>
      </c>
      <c r="H878" s="3">
        <v>725629</v>
      </c>
      <c r="I878" s="3">
        <v>121579</v>
      </c>
    </row>
    <row r="879" spans="1:9">
      <c r="A879" s="3" t="s">
        <v>904</v>
      </c>
      <c r="B879" s="3" t="s">
        <v>26</v>
      </c>
      <c r="C879" s="3">
        <v>1779518</v>
      </c>
      <c r="D879" s="3">
        <v>220687</v>
      </c>
      <c r="E879" s="3" t="s">
        <v>27</v>
      </c>
      <c r="F879" s="3">
        <v>1219109</v>
      </c>
      <c r="G879" s="3">
        <v>153153</v>
      </c>
      <c r="H879" s="3">
        <v>560409</v>
      </c>
      <c r="I879" s="3">
        <v>67534</v>
      </c>
    </row>
    <row r="880" spans="1:9">
      <c r="A880" s="3" t="s">
        <v>905</v>
      </c>
      <c r="B880" s="3" t="s">
        <v>26</v>
      </c>
      <c r="C880" s="3">
        <v>1618738</v>
      </c>
      <c r="D880" s="3">
        <v>114937</v>
      </c>
      <c r="E880" s="3" t="s">
        <v>27</v>
      </c>
      <c r="F880" s="3">
        <v>925771</v>
      </c>
      <c r="G880" s="3">
        <v>69798</v>
      </c>
      <c r="H880" s="3">
        <v>692967</v>
      </c>
      <c r="I880" s="3">
        <v>45139</v>
      </c>
    </row>
    <row r="881" spans="1:9">
      <c r="A881" s="3" t="s">
        <v>906</v>
      </c>
      <c r="B881" s="3" t="s">
        <v>26</v>
      </c>
      <c r="C881" s="3">
        <v>2164480</v>
      </c>
      <c r="D881" s="3">
        <v>357820</v>
      </c>
      <c r="E881" s="3" t="s">
        <v>27</v>
      </c>
      <c r="F881" s="3">
        <v>1522670</v>
      </c>
      <c r="G881" s="3">
        <v>268813</v>
      </c>
      <c r="H881" s="3">
        <v>641810</v>
      </c>
      <c r="I881" s="3">
        <v>89007</v>
      </c>
    </row>
    <row r="882" spans="1:9">
      <c r="A882" s="3" t="s">
        <v>907</v>
      </c>
      <c r="B882" s="3" t="s">
        <v>26</v>
      </c>
      <c r="C882" s="3">
        <v>1402969</v>
      </c>
      <c r="D882" s="3">
        <v>49282</v>
      </c>
      <c r="E882" s="3" t="s">
        <v>27</v>
      </c>
      <c r="F882" s="3">
        <v>890080</v>
      </c>
      <c r="G882" s="3">
        <v>34759</v>
      </c>
      <c r="H882" s="3">
        <v>512889</v>
      </c>
      <c r="I882" s="3">
        <v>14523</v>
      </c>
    </row>
    <row r="883" spans="1:9">
      <c r="A883" s="3" t="s">
        <v>908</v>
      </c>
      <c r="B883" s="3" t="s">
        <v>26</v>
      </c>
      <c r="C883" s="3">
        <v>1524755</v>
      </c>
      <c r="D883" s="3">
        <v>240898</v>
      </c>
      <c r="E883" s="3" t="s">
        <v>27</v>
      </c>
      <c r="F883" s="3">
        <v>1137614</v>
      </c>
      <c r="G883" s="3">
        <v>180614</v>
      </c>
      <c r="H883" s="3">
        <v>387141</v>
      </c>
      <c r="I883" s="3">
        <v>60284</v>
      </c>
    </row>
    <row r="884" spans="1:9">
      <c r="A884" s="3" t="s">
        <v>909</v>
      </c>
      <c r="B884" s="3" t="s">
        <v>26</v>
      </c>
      <c r="C884" s="3">
        <v>1803238</v>
      </c>
      <c r="D884" s="3">
        <v>113690</v>
      </c>
      <c r="E884" s="3" t="s">
        <v>27</v>
      </c>
      <c r="F884" s="3">
        <v>1071831</v>
      </c>
      <c r="G884" s="3">
        <v>85686</v>
      </c>
      <c r="H884" s="3">
        <v>731407</v>
      </c>
      <c r="I884" s="3">
        <v>28004</v>
      </c>
    </row>
    <row r="885" spans="1:9">
      <c r="A885" s="3" t="s">
        <v>910</v>
      </c>
      <c r="B885" s="3" t="s">
        <v>26</v>
      </c>
      <c r="C885" s="3">
        <v>1735729</v>
      </c>
      <c r="D885" s="3">
        <v>194482</v>
      </c>
      <c r="E885" s="3" t="s">
        <v>27</v>
      </c>
      <c r="F885" s="3">
        <v>1024139</v>
      </c>
      <c r="G885" s="3">
        <v>112244</v>
      </c>
      <c r="H885" s="3">
        <v>711590</v>
      </c>
      <c r="I885" s="3">
        <v>82238</v>
      </c>
    </row>
    <row r="886" spans="1:9">
      <c r="A886" s="3" t="s">
        <v>911</v>
      </c>
      <c r="B886" s="3" t="s">
        <v>26</v>
      </c>
      <c r="C886" s="3">
        <v>1150527</v>
      </c>
      <c r="D886" s="3">
        <v>22038</v>
      </c>
      <c r="E886" s="3" t="s">
        <v>27</v>
      </c>
      <c r="F886" s="3">
        <v>599832</v>
      </c>
      <c r="G886" s="3">
        <v>12051</v>
      </c>
      <c r="H886" s="3">
        <v>550695</v>
      </c>
      <c r="I886" s="3">
        <v>9987</v>
      </c>
    </row>
    <row r="887" spans="1:9">
      <c r="A887" s="3" t="s">
        <v>912</v>
      </c>
      <c r="B887" s="3" t="s">
        <v>26</v>
      </c>
      <c r="C887" s="3">
        <v>1703821</v>
      </c>
      <c r="D887" s="3">
        <v>193680</v>
      </c>
      <c r="E887" s="3" t="s">
        <v>27</v>
      </c>
      <c r="F887" s="3">
        <v>987903</v>
      </c>
      <c r="G887" s="3">
        <v>110366</v>
      </c>
      <c r="H887" s="3">
        <v>715918</v>
      </c>
      <c r="I887" s="3">
        <v>83314</v>
      </c>
    </row>
    <row r="888" spans="1:9">
      <c r="A888" s="3" t="s">
        <v>913</v>
      </c>
      <c r="B888" s="3" t="s">
        <v>26</v>
      </c>
      <c r="C888" s="3">
        <v>1809276</v>
      </c>
      <c r="D888" s="3">
        <v>205880</v>
      </c>
      <c r="E888" s="3" t="s">
        <v>27</v>
      </c>
      <c r="F888" s="3">
        <v>1165703</v>
      </c>
      <c r="G888" s="3">
        <v>135935</v>
      </c>
      <c r="H888" s="3">
        <v>643573</v>
      </c>
      <c r="I888" s="3">
        <v>69945</v>
      </c>
    </row>
    <row r="889" spans="1:9">
      <c r="A889" s="3" t="s">
        <v>914</v>
      </c>
      <c r="B889" s="3" t="s">
        <v>26</v>
      </c>
      <c r="C889" s="3">
        <v>2012765</v>
      </c>
      <c r="D889" s="3">
        <v>336109</v>
      </c>
      <c r="E889" s="3" t="s">
        <v>27</v>
      </c>
      <c r="F889" s="3">
        <v>1366706</v>
      </c>
      <c r="G889" s="3">
        <v>223253</v>
      </c>
      <c r="H889" s="3">
        <v>646059</v>
      </c>
      <c r="I889" s="3">
        <v>112856</v>
      </c>
    </row>
    <row r="890" spans="1:9">
      <c r="A890" s="3" t="s">
        <v>915</v>
      </c>
      <c r="B890" s="3" t="s">
        <v>26</v>
      </c>
      <c r="C890" s="3">
        <v>1441941</v>
      </c>
      <c r="D890" s="3">
        <v>152083</v>
      </c>
      <c r="E890" s="3" t="s">
        <v>27</v>
      </c>
      <c r="F890" s="3">
        <v>1023155</v>
      </c>
      <c r="G890" s="3">
        <v>109779</v>
      </c>
      <c r="H890" s="3">
        <v>418786</v>
      </c>
      <c r="I890" s="3">
        <v>42304</v>
      </c>
    </row>
    <row r="891" spans="1:9">
      <c r="A891" s="3" t="s">
        <v>916</v>
      </c>
      <c r="B891" s="3" t="s">
        <v>26</v>
      </c>
      <c r="C891" s="3">
        <v>1429380</v>
      </c>
      <c r="D891" s="3">
        <v>145343</v>
      </c>
      <c r="E891" s="3" t="s">
        <v>27</v>
      </c>
      <c r="F891" s="3">
        <v>906682</v>
      </c>
      <c r="G891" s="3">
        <v>96929</v>
      </c>
      <c r="H891" s="3">
        <v>522698</v>
      </c>
      <c r="I891" s="3">
        <v>48414</v>
      </c>
    </row>
    <row r="892" spans="1:9">
      <c r="A892" s="3" t="s">
        <v>917</v>
      </c>
      <c r="B892" s="3" t="s">
        <v>26</v>
      </c>
      <c r="C892" s="3">
        <v>1601986</v>
      </c>
      <c r="D892" s="3">
        <v>192121</v>
      </c>
      <c r="E892" s="3" t="s">
        <v>27</v>
      </c>
      <c r="F892" s="3">
        <v>999108</v>
      </c>
      <c r="G892" s="3">
        <v>129143</v>
      </c>
      <c r="H892" s="3">
        <v>602878</v>
      </c>
      <c r="I892" s="3">
        <v>62978</v>
      </c>
    </row>
    <row r="893" spans="1:9">
      <c r="A893" s="3" t="s">
        <v>918</v>
      </c>
      <c r="B893" s="3" t="s">
        <v>26</v>
      </c>
      <c r="C893" s="3">
        <v>864163</v>
      </c>
      <c r="D893" s="3">
        <v>40372</v>
      </c>
      <c r="E893" s="3" t="s">
        <v>27</v>
      </c>
      <c r="F893" s="3">
        <v>595508</v>
      </c>
      <c r="G893" s="3">
        <v>31644</v>
      </c>
      <c r="H893" s="3">
        <v>268655</v>
      </c>
      <c r="I893" s="3">
        <v>8728</v>
      </c>
    </row>
    <row r="894" spans="1:9">
      <c r="A894" s="3" t="s">
        <v>919</v>
      </c>
      <c r="B894" s="3" t="s">
        <v>26</v>
      </c>
      <c r="C894" s="3">
        <v>1703747</v>
      </c>
      <c r="D894" s="3">
        <v>90262</v>
      </c>
      <c r="E894" s="3" t="s">
        <v>27</v>
      </c>
      <c r="F894" s="3">
        <v>1029533</v>
      </c>
      <c r="G894" s="3">
        <v>63418</v>
      </c>
      <c r="H894" s="3">
        <v>674214</v>
      </c>
      <c r="I894" s="3">
        <v>26844</v>
      </c>
    </row>
    <row r="895" spans="1:9">
      <c r="A895" s="3" t="s">
        <v>920</v>
      </c>
      <c r="B895" s="3" t="s">
        <v>26</v>
      </c>
      <c r="C895" s="3">
        <v>2605855</v>
      </c>
      <c r="D895" s="3">
        <v>731514</v>
      </c>
      <c r="E895" s="3" t="s">
        <v>27</v>
      </c>
      <c r="F895" s="3">
        <v>1898824</v>
      </c>
      <c r="G895" s="3">
        <v>512018</v>
      </c>
      <c r="H895" s="3">
        <v>707031</v>
      </c>
      <c r="I895" s="3">
        <v>219496</v>
      </c>
    </row>
    <row r="896" spans="1:9">
      <c r="A896" s="3" t="s">
        <v>921</v>
      </c>
      <c r="B896" s="3" t="s">
        <v>26</v>
      </c>
      <c r="C896" s="3">
        <v>1863358</v>
      </c>
      <c r="D896" s="3">
        <v>347140</v>
      </c>
      <c r="E896" s="3" t="s">
        <v>27</v>
      </c>
      <c r="F896" s="3">
        <v>1300518</v>
      </c>
      <c r="G896" s="3">
        <v>230275</v>
      </c>
      <c r="H896" s="3">
        <v>562840</v>
      </c>
      <c r="I896" s="3">
        <v>116865</v>
      </c>
    </row>
    <row r="897" spans="1:9">
      <c r="A897" s="3" t="s">
        <v>922</v>
      </c>
      <c r="B897" s="3" t="s">
        <v>26</v>
      </c>
      <c r="C897" s="3">
        <v>1265502</v>
      </c>
      <c r="D897" s="3">
        <v>10619</v>
      </c>
      <c r="E897" s="3" t="s">
        <v>27</v>
      </c>
      <c r="F897" s="3">
        <v>639409</v>
      </c>
      <c r="G897" s="3">
        <v>4178</v>
      </c>
      <c r="H897" s="3">
        <v>626093</v>
      </c>
      <c r="I897" s="3">
        <v>6441</v>
      </c>
    </row>
    <row r="898" spans="1:9">
      <c r="A898" s="3" t="s">
        <v>923</v>
      </c>
      <c r="B898" s="3" t="s">
        <v>26</v>
      </c>
      <c r="C898" s="3">
        <v>892865</v>
      </c>
      <c r="D898" s="3">
        <v>6618</v>
      </c>
      <c r="E898" s="3" t="s">
        <v>27</v>
      </c>
      <c r="F898" s="3">
        <v>519594</v>
      </c>
      <c r="G898" s="3">
        <v>2071</v>
      </c>
      <c r="H898" s="3">
        <v>373271</v>
      </c>
      <c r="I898" s="3">
        <v>4547</v>
      </c>
    </row>
    <row r="899" spans="1:9">
      <c r="A899" s="3" t="s">
        <v>924</v>
      </c>
      <c r="B899" s="3" t="s">
        <v>26</v>
      </c>
      <c r="C899" s="3">
        <v>1834942</v>
      </c>
      <c r="D899" s="3">
        <v>290814</v>
      </c>
      <c r="E899" s="3" t="s">
        <v>27</v>
      </c>
      <c r="F899" s="3">
        <v>1280162</v>
      </c>
      <c r="G899" s="3">
        <v>202430</v>
      </c>
      <c r="H899" s="3">
        <v>554780</v>
      </c>
      <c r="I899" s="3">
        <v>88384</v>
      </c>
    </row>
    <row r="900" spans="1:9">
      <c r="A900" s="3" t="s">
        <v>925</v>
      </c>
      <c r="B900" s="3" t="s">
        <v>26</v>
      </c>
      <c r="C900" s="3">
        <v>1707365</v>
      </c>
      <c r="D900" s="3">
        <v>107236</v>
      </c>
      <c r="E900" s="3" t="s">
        <v>27</v>
      </c>
      <c r="F900" s="3">
        <v>931241</v>
      </c>
      <c r="G900" s="3">
        <v>61361</v>
      </c>
      <c r="H900" s="3">
        <v>776124</v>
      </c>
      <c r="I900" s="3">
        <v>45875</v>
      </c>
    </row>
    <row r="901" spans="1:9">
      <c r="A901" s="3" t="s">
        <v>926</v>
      </c>
      <c r="B901" s="3" t="s">
        <v>26</v>
      </c>
      <c r="C901" s="3">
        <v>1987111</v>
      </c>
      <c r="D901" s="3">
        <v>321241</v>
      </c>
      <c r="E901" s="3" t="s">
        <v>27</v>
      </c>
      <c r="F901" s="3">
        <v>1284783</v>
      </c>
      <c r="G901" s="3">
        <v>210282</v>
      </c>
      <c r="H901" s="3">
        <v>702328</v>
      </c>
      <c r="I901" s="3">
        <v>110959</v>
      </c>
    </row>
    <row r="902" spans="1:9">
      <c r="A902" s="3" t="s">
        <v>927</v>
      </c>
      <c r="B902" s="3" t="s">
        <v>26</v>
      </c>
      <c r="C902" s="3">
        <v>1831095</v>
      </c>
      <c r="D902" s="3">
        <v>119614</v>
      </c>
      <c r="E902" s="3" t="s">
        <v>27</v>
      </c>
      <c r="F902" s="3">
        <v>1017262</v>
      </c>
      <c r="G902" s="3">
        <v>74189</v>
      </c>
      <c r="H902" s="3">
        <v>813833</v>
      </c>
      <c r="I902" s="3">
        <v>45425</v>
      </c>
    </row>
    <row r="903" spans="1:9">
      <c r="A903" s="3" t="s">
        <v>928</v>
      </c>
      <c r="B903" s="3" t="s">
        <v>26</v>
      </c>
      <c r="C903" s="3">
        <v>1559503</v>
      </c>
      <c r="D903" s="3">
        <v>172619</v>
      </c>
      <c r="E903" s="3" t="s">
        <v>27</v>
      </c>
      <c r="F903" s="3">
        <v>841175</v>
      </c>
      <c r="G903" s="3">
        <v>97160</v>
      </c>
      <c r="H903" s="3">
        <v>718328</v>
      </c>
      <c r="I903" s="3">
        <v>75459</v>
      </c>
    </row>
    <row r="904" spans="1:9">
      <c r="A904" s="3" t="s">
        <v>929</v>
      </c>
      <c r="B904" s="3" t="s">
        <v>26</v>
      </c>
      <c r="C904" s="3">
        <v>1342102</v>
      </c>
      <c r="D904" s="3">
        <v>31440</v>
      </c>
      <c r="E904" s="3" t="s">
        <v>27</v>
      </c>
      <c r="F904" s="3">
        <v>727356</v>
      </c>
      <c r="G904" s="3">
        <v>19198</v>
      </c>
      <c r="H904" s="3">
        <v>614746</v>
      </c>
      <c r="I904" s="3">
        <v>12242</v>
      </c>
    </row>
    <row r="905" spans="1:9">
      <c r="A905" s="3" t="s">
        <v>930</v>
      </c>
      <c r="B905" s="3" t="s">
        <v>26</v>
      </c>
      <c r="C905" s="3">
        <v>1445265</v>
      </c>
      <c r="D905" s="3">
        <v>191905</v>
      </c>
      <c r="E905" s="3" t="s">
        <v>27</v>
      </c>
      <c r="F905" s="3">
        <v>1054375</v>
      </c>
      <c r="G905" s="3">
        <v>145372</v>
      </c>
      <c r="H905" s="3">
        <v>390890</v>
      </c>
      <c r="I905" s="3">
        <v>46533</v>
      </c>
    </row>
    <row r="906" spans="1:9">
      <c r="A906" s="3" t="s">
        <v>931</v>
      </c>
      <c r="B906" s="3" t="s">
        <v>26</v>
      </c>
      <c r="C906" s="3">
        <v>1640252</v>
      </c>
      <c r="D906" s="3">
        <v>150408</v>
      </c>
      <c r="E906" s="3" t="s">
        <v>27</v>
      </c>
      <c r="F906" s="3">
        <v>1123685</v>
      </c>
      <c r="G906" s="3">
        <v>94716</v>
      </c>
      <c r="H906" s="3">
        <v>516567</v>
      </c>
      <c r="I906" s="3">
        <v>55692</v>
      </c>
    </row>
    <row r="907" spans="1:9">
      <c r="A907" s="3" t="s">
        <v>932</v>
      </c>
      <c r="B907" s="3" t="s">
        <v>26</v>
      </c>
      <c r="C907" s="3">
        <v>1480683</v>
      </c>
      <c r="D907" s="3">
        <v>79473</v>
      </c>
      <c r="E907" s="3" t="s">
        <v>27</v>
      </c>
      <c r="F907" s="3">
        <v>872302</v>
      </c>
      <c r="G907" s="3">
        <v>43801</v>
      </c>
      <c r="H907" s="3">
        <v>608381</v>
      </c>
      <c r="I907" s="3">
        <v>35672</v>
      </c>
    </row>
    <row r="908" spans="1:9">
      <c r="A908" s="3" t="s">
        <v>933</v>
      </c>
      <c r="B908" s="3" t="s">
        <v>26</v>
      </c>
      <c r="C908" s="3">
        <v>1799375</v>
      </c>
      <c r="D908" s="3">
        <v>299084</v>
      </c>
      <c r="E908" s="3" t="s">
        <v>27</v>
      </c>
      <c r="F908" s="3">
        <v>1306193</v>
      </c>
      <c r="G908" s="3">
        <v>214785</v>
      </c>
      <c r="H908" s="3">
        <v>493182</v>
      </c>
      <c r="I908" s="3">
        <v>84299</v>
      </c>
    </row>
    <row r="909" spans="1:9">
      <c r="A909" s="3" t="s">
        <v>934</v>
      </c>
      <c r="B909" s="3" t="s">
        <v>26</v>
      </c>
      <c r="C909" s="3">
        <v>1289144</v>
      </c>
      <c r="D909" s="3">
        <v>89992</v>
      </c>
      <c r="E909" s="3" t="s">
        <v>27</v>
      </c>
      <c r="F909" s="3">
        <v>755263</v>
      </c>
      <c r="G909" s="3">
        <v>49147</v>
      </c>
      <c r="H909" s="3">
        <v>533881</v>
      </c>
      <c r="I909" s="3">
        <v>40845</v>
      </c>
    </row>
    <row r="910" spans="1:9">
      <c r="A910" s="3" t="s">
        <v>935</v>
      </c>
      <c r="B910" s="3" t="s">
        <v>26</v>
      </c>
      <c r="C910" s="3">
        <v>1333351</v>
      </c>
      <c r="D910" s="3">
        <v>149750</v>
      </c>
      <c r="E910" s="3" t="s">
        <v>27</v>
      </c>
      <c r="F910" s="3">
        <v>762733</v>
      </c>
      <c r="G910" s="3">
        <v>85206</v>
      </c>
      <c r="H910" s="3">
        <v>570618</v>
      </c>
      <c r="I910" s="3">
        <v>64544</v>
      </c>
    </row>
    <row r="911" spans="1:9">
      <c r="A911" s="3" t="s">
        <v>936</v>
      </c>
      <c r="B911" s="3" t="s">
        <v>26</v>
      </c>
      <c r="C911" s="3">
        <v>1793015</v>
      </c>
      <c r="D911" s="3">
        <v>238501</v>
      </c>
      <c r="E911" s="3" t="s">
        <v>27</v>
      </c>
      <c r="F911" s="3">
        <v>1130021</v>
      </c>
      <c r="G911" s="3">
        <v>148514</v>
      </c>
      <c r="H911" s="3">
        <v>662994</v>
      </c>
      <c r="I911" s="3">
        <v>89987</v>
      </c>
    </row>
    <row r="912" spans="1:9">
      <c r="A912" s="3" t="s">
        <v>937</v>
      </c>
      <c r="B912" s="3" t="s">
        <v>26</v>
      </c>
      <c r="C912" s="3">
        <v>1041979</v>
      </c>
      <c r="D912" s="3">
        <v>145315</v>
      </c>
      <c r="E912" s="3" t="s">
        <v>27</v>
      </c>
      <c r="F912" s="3">
        <v>655194</v>
      </c>
      <c r="G912" s="3">
        <v>89300</v>
      </c>
      <c r="H912" s="3">
        <v>386785</v>
      </c>
      <c r="I912" s="3">
        <v>56015</v>
      </c>
    </row>
    <row r="913" spans="1:9">
      <c r="A913" s="3" t="s">
        <v>938</v>
      </c>
      <c r="B913" s="3" t="s">
        <v>26</v>
      </c>
      <c r="C913" s="3">
        <v>1592244</v>
      </c>
      <c r="D913" s="3">
        <v>135958</v>
      </c>
      <c r="E913" s="3" t="s">
        <v>27</v>
      </c>
      <c r="F913" s="3">
        <v>1077114</v>
      </c>
      <c r="G913" s="3">
        <v>95491</v>
      </c>
      <c r="H913" s="3">
        <v>515130</v>
      </c>
      <c r="I913" s="3">
        <v>40467</v>
      </c>
    </row>
    <row r="914" spans="1:9">
      <c r="A914" s="3" t="s">
        <v>939</v>
      </c>
      <c r="B914" s="3" t="s">
        <v>26</v>
      </c>
      <c r="C914" s="3">
        <v>1300144</v>
      </c>
      <c r="D914" s="3">
        <v>217567</v>
      </c>
      <c r="E914" s="3" t="s">
        <v>27</v>
      </c>
      <c r="F914" s="3">
        <v>1121176</v>
      </c>
      <c r="G914" s="3">
        <v>176887</v>
      </c>
      <c r="H914" s="3">
        <v>178968</v>
      </c>
      <c r="I914" s="3">
        <v>40680</v>
      </c>
    </row>
    <row r="915" spans="1:9">
      <c r="A915" s="3" t="s">
        <v>940</v>
      </c>
      <c r="B915" s="3" t="s">
        <v>26</v>
      </c>
      <c r="C915" s="3">
        <v>1771512</v>
      </c>
      <c r="D915" s="3">
        <v>230194</v>
      </c>
      <c r="E915" s="3" t="s">
        <v>27</v>
      </c>
      <c r="F915" s="3">
        <v>1051897</v>
      </c>
      <c r="G915" s="3">
        <v>126615</v>
      </c>
      <c r="H915" s="3">
        <v>719615</v>
      </c>
      <c r="I915" s="3">
        <v>103579</v>
      </c>
    </row>
    <row r="916" spans="1:9">
      <c r="A916" s="3" t="s">
        <v>941</v>
      </c>
      <c r="B916" s="3" t="s">
        <v>26</v>
      </c>
      <c r="C916" s="3">
        <v>1644112</v>
      </c>
      <c r="D916" s="3">
        <v>197158</v>
      </c>
      <c r="E916" s="3" t="s">
        <v>27</v>
      </c>
      <c r="F916" s="3">
        <v>959044</v>
      </c>
      <c r="G916" s="3">
        <v>118923</v>
      </c>
      <c r="H916" s="3">
        <v>685068</v>
      </c>
      <c r="I916" s="3">
        <v>78235</v>
      </c>
    </row>
    <row r="917" spans="1:9">
      <c r="A917" s="3" t="s">
        <v>942</v>
      </c>
      <c r="B917" s="3" t="s">
        <v>26</v>
      </c>
      <c r="C917" s="3">
        <v>1180262</v>
      </c>
      <c r="D917" s="3">
        <v>70165</v>
      </c>
      <c r="E917" s="3" t="s">
        <v>27</v>
      </c>
      <c r="F917" s="3">
        <v>659049</v>
      </c>
      <c r="G917" s="3">
        <v>35324</v>
      </c>
      <c r="H917" s="3">
        <v>521213</v>
      </c>
      <c r="I917" s="3">
        <v>34841</v>
      </c>
    </row>
    <row r="918" spans="1:9">
      <c r="A918" s="3" t="s">
        <v>943</v>
      </c>
      <c r="B918" s="3" t="s">
        <v>26</v>
      </c>
      <c r="C918" s="3">
        <v>1966663</v>
      </c>
      <c r="D918" s="3">
        <v>392438</v>
      </c>
      <c r="E918" s="3" t="s">
        <v>27</v>
      </c>
      <c r="F918" s="3">
        <v>1364122</v>
      </c>
      <c r="G918" s="3">
        <v>270094</v>
      </c>
      <c r="H918" s="3">
        <v>602541</v>
      </c>
      <c r="I918" s="3">
        <v>122344</v>
      </c>
    </row>
    <row r="919" spans="1:9">
      <c r="A919" s="3" t="s">
        <v>944</v>
      </c>
      <c r="B919" s="3" t="s">
        <v>26</v>
      </c>
      <c r="C919" s="3">
        <v>1841872</v>
      </c>
      <c r="D919" s="3">
        <v>226964</v>
      </c>
      <c r="E919" s="3" t="s">
        <v>27</v>
      </c>
      <c r="F919" s="3">
        <v>1153006</v>
      </c>
      <c r="G919" s="3">
        <v>143966</v>
      </c>
      <c r="H919" s="3">
        <v>688866</v>
      </c>
      <c r="I919" s="3">
        <v>82998</v>
      </c>
    </row>
    <row r="920" spans="1:9">
      <c r="A920" s="3" t="s">
        <v>945</v>
      </c>
      <c r="B920" s="3" t="s">
        <v>26</v>
      </c>
      <c r="C920" s="3">
        <v>1785522</v>
      </c>
      <c r="D920" s="3">
        <v>267063</v>
      </c>
      <c r="E920" s="3" t="s">
        <v>27</v>
      </c>
      <c r="F920" s="3">
        <v>1238710</v>
      </c>
      <c r="G920" s="3">
        <v>191154</v>
      </c>
      <c r="H920" s="3">
        <v>546812</v>
      </c>
      <c r="I920" s="3">
        <v>75909</v>
      </c>
    </row>
    <row r="921" spans="1:9">
      <c r="A921" s="3" t="s">
        <v>946</v>
      </c>
      <c r="B921" s="3" t="s">
        <v>26</v>
      </c>
      <c r="C921" s="3">
        <v>1839259</v>
      </c>
      <c r="D921" s="3">
        <v>229777</v>
      </c>
      <c r="E921" s="3" t="s">
        <v>27</v>
      </c>
      <c r="F921" s="3">
        <v>1307482</v>
      </c>
      <c r="G921" s="3">
        <v>166363</v>
      </c>
      <c r="H921" s="3">
        <v>531777</v>
      </c>
      <c r="I921" s="3">
        <v>63414</v>
      </c>
    </row>
    <row r="922" spans="1:9">
      <c r="A922" s="3" t="s">
        <v>947</v>
      </c>
      <c r="B922" s="3" t="s">
        <v>26</v>
      </c>
      <c r="C922" s="3">
        <v>1305764</v>
      </c>
      <c r="D922" s="3">
        <v>105949</v>
      </c>
      <c r="E922" s="3" t="s">
        <v>27</v>
      </c>
      <c r="F922" s="3">
        <v>748101</v>
      </c>
      <c r="G922" s="3">
        <v>58548</v>
      </c>
      <c r="H922" s="3">
        <v>557663</v>
      </c>
      <c r="I922" s="3">
        <v>47401</v>
      </c>
    </row>
    <row r="923" spans="1:9">
      <c r="A923" s="3" t="s">
        <v>948</v>
      </c>
      <c r="B923" s="3" t="s">
        <v>26</v>
      </c>
      <c r="C923" s="3">
        <v>1753568</v>
      </c>
      <c r="D923" s="3">
        <v>160510</v>
      </c>
      <c r="E923" s="3" t="s">
        <v>27</v>
      </c>
      <c r="F923" s="3">
        <v>1023922</v>
      </c>
      <c r="G923" s="3">
        <v>97441</v>
      </c>
      <c r="H923" s="3">
        <v>729646</v>
      </c>
      <c r="I923" s="3">
        <v>63069</v>
      </c>
    </row>
    <row r="924" spans="1:9">
      <c r="A924" s="3" t="s">
        <v>949</v>
      </c>
      <c r="B924" s="3" t="s">
        <v>26</v>
      </c>
      <c r="C924" s="3">
        <v>1473407</v>
      </c>
      <c r="D924" s="3">
        <v>194182</v>
      </c>
      <c r="E924" s="3" t="s">
        <v>27</v>
      </c>
      <c r="F924" s="3">
        <v>1044519</v>
      </c>
      <c r="G924" s="3">
        <v>133704</v>
      </c>
      <c r="H924" s="3">
        <v>428888</v>
      </c>
      <c r="I924" s="3">
        <v>60478</v>
      </c>
    </row>
    <row r="925" spans="1:9">
      <c r="A925" s="3" t="s">
        <v>950</v>
      </c>
      <c r="B925" s="3" t="s">
        <v>26</v>
      </c>
      <c r="C925" s="3">
        <v>1283051</v>
      </c>
      <c r="D925" s="3">
        <v>64781</v>
      </c>
      <c r="E925" s="3" t="s">
        <v>27</v>
      </c>
      <c r="F925" s="3">
        <v>728452</v>
      </c>
      <c r="G925" s="3">
        <v>45534</v>
      </c>
      <c r="H925" s="3">
        <v>554599</v>
      </c>
      <c r="I925" s="3">
        <v>19247</v>
      </c>
    </row>
    <row r="926" spans="1:9">
      <c r="A926" s="3" t="s">
        <v>951</v>
      </c>
      <c r="B926" s="3" t="s">
        <v>26</v>
      </c>
      <c r="C926" s="3">
        <v>1961355</v>
      </c>
      <c r="D926" s="3">
        <v>323872</v>
      </c>
      <c r="E926" s="3" t="s">
        <v>27</v>
      </c>
      <c r="F926" s="3">
        <v>1487723</v>
      </c>
      <c r="G926" s="3">
        <v>234482</v>
      </c>
      <c r="H926" s="3">
        <v>473632</v>
      </c>
      <c r="I926" s="3">
        <v>89390</v>
      </c>
    </row>
    <row r="927" spans="1:9">
      <c r="A927" s="3" t="s">
        <v>952</v>
      </c>
      <c r="B927" s="3" t="s">
        <v>26</v>
      </c>
      <c r="C927" s="3">
        <v>1632840</v>
      </c>
      <c r="D927" s="3">
        <v>193337</v>
      </c>
      <c r="E927" s="3" t="s">
        <v>27</v>
      </c>
      <c r="F927" s="3">
        <v>1079858</v>
      </c>
      <c r="G927" s="3">
        <v>126026</v>
      </c>
      <c r="H927" s="3">
        <v>552982</v>
      </c>
      <c r="I927" s="3">
        <v>67311</v>
      </c>
    </row>
    <row r="928" spans="1:9">
      <c r="A928" s="3" t="s">
        <v>953</v>
      </c>
      <c r="B928" s="3" t="s">
        <v>26</v>
      </c>
      <c r="C928" s="3">
        <v>1330766</v>
      </c>
      <c r="D928" s="3">
        <v>135978</v>
      </c>
      <c r="E928" s="3" t="s">
        <v>27</v>
      </c>
      <c r="F928" s="3">
        <v>752844</v>
      </c>
      <c r="G928" s="3">
        <v>75317</v>
      </c>
      <c r="H928" s="3">
        <v>577922</v>
      </c>
      <c r="I928" s="3">
        <v>60661</v>
      </c>
    </row>
    <row r="929" spans="1:9">
      <c r="A929" s="3" t="s">
        <v>954</v>
      </c>
      <c r="B929" s="3" t="s">
        <v>26</v>
      </c>
      <c r="C929" s="3">
        <v>882568</v>
      </c>
      <c r="D929" s="3">
        <v>9797</v>
      </c>
      <c r="E929" s="3" t="s">
        <v>27</v>
      </c>
      <c r="F929" s="3">
        <v>467546</v>
      </c>
      <c r="G929" s="3">
        <v>6672</v>
      </c>
      <c r="H929" s="3">
        <v>415022</v>
      </c>
      <c r="I929" s="3">
        <v>3125</v>
      </c>
    </row>
    <row r="930" spans="1:9">
      <c r="A930" s="3" t="s">
        <v>955</v>
      </c>
      <c r="B930" s="3" t="s">
        <v>26</v>
      </c>
      <c r="C930" s="3">
        <v>2145729</v>
      </c>
      <c r="D930" s="3">
        <v>632923</v>
      </c>
      <c r="E930" s="3" t="s">
        <v>27</v>
      </c>
      <c r="F930" s="3">
        <v>1596443</v>
      </c>
      <c r="G930" s="3">
        <v>458425</v>
      </c>
      <c r="H930" s="3">
        <v>549286</v>
      </c>
      <c r="I930" s="3">
        <v>174498</v>
      </c>
    </row>
    <row r="931" spans="1:9">
      <c r="A931" s="3" t="s">
        <v>956</v>
      </c>
      <c r="B931" s="3" t="s">
        <v>26</v>
      </c>
      <c r="C931" s="3">
        <v>1096469</v>
      </c>
      <c r="D931" s="3">
        <v>19853</v>
      </c>
      <c r="E931" s="3" t="s">
        <v>27</v>
      </c>
      <c r="F931" s="3">
        <v>581795</v>
      </c>
      <c r="G931" s="3">
        <v>8775</v>
      </c>
      <c r="H931" s="3">
        <v>514674</v>
      </c>
      <c r="I931" s="3">
        <v>11078</v>
      </c>
    </row>
    <row r="932" spans="1:9">
      <c r="A932" s="3" t="s">
        <v>957</v>
      </c>
      <c r="B932" s="3" t="s">
        <v>26</v>
      </c>
      <c r="C932" s="3">
        <v>1028000</v>
      </c>
      <c r="D932" s="3">
        <v>61707</v>
      </c>
      <c r="E932" s="3" t="s">
        <v>27</v>
      </c>
      <c r="F932" s="3">
        <v>630835</v>
      </c>
      <c r="G932" s="3">
        <v>40645</v>
      </c>
      <c r="H932" s="3">
        <v>397165</v>
      </c>
      <c r="I932" s="3">
        <v>21062</v>
      </c>
    </row>
    <row r="933" spans="1:9">
      <c r="A933" s="3" t="s">
        <v>958</v>
      </c>
      <c r="B933" s="3" t="s">
        <v>26</v>
      </c>
      <c r="C933" s="3">
        <v>3010059</v>
      </c>
      <c r="D933" s="3">
        <v>632333</v>
      </c>
      <c r="E933" s="3" t="s">
        <v>27</v>
      </c>
      <c r="F933" s="3">
        <v>2272997</v>
      </c>
      <c r="G933" s="3">
        <v>421910</v>
      </c>
      <c r="H933" s="3">
        <v>737062</v>
      </c>
      <c r="I933" s="3">
        <v>210423</v>
      </c>
    </row>
    <row r="934" spans="1:9">
      <c r="A934" s="3" t="s">
        <v>959</v>
      </c>
      <c r="B934" s="3" t="s">
        <v>26</v>
      </c>
      <c r="C934" s="3">
        <v>1804343</v>
      </c>
      <c r="D934" s="3">
        <v>371910</v>
      </c>
      <c r="E934" s="3" t="s">
        <v>27</v>
      </c>
      <c r="F934" s="3">
        <v>1297808</v>
      </c>
      <c r="G934" s="3">
        <v>252815</v>
      </c>
      <c r="H934" s="3">
        <v>506535</v>
      </c>
      <c r="I934" s="3">
        <v>119095</v>
      </c>
    </row>
    <row r="935" spans="1:9">
      <c r="A935" s="3" t="s">
        <v>960</v>
      </c>
      <c r="B935" s="3" t="s">
        <v>26</v>
      </c>
      <c r="C935" s="3">
        <v>777297</v>
      </c>
      <c r="D935" s="3">
        <v>65854</v>
      </c>
      <c r="E935" s="3" t="s">
        <v>27</v>
      </c>
      <c r="F935" s="3">
        <v>440918</v>
      </c>
      <c r="G935" s="3">
        <v>36340</v>
      </c>
      <c r="H935" s="3">
        <v>336379</v>
      </c>
      <c r="I935" s="3">
        <v>29514</v>
      </c>
    </row>
    <row r="936" spans="1:9">
      <c r="A936" s="3" t="s">
        <v>961</v>
      </c>
      <c r="B936" s="3" t="s">
        <v>26</v>
      </c>
      <c r="C936" s="3">
        <v>957014</v>
      </c>
      <c r="D936" s="3">
        <v>13893</v>
      </c>
      <c r="E936" s="3" t="s">
        <v>27</v>
      </c>
      <c r="F936" s="3">
        <v>616425</v>
      </c>
      <c r="G936" s="3">
        <v>10588</v>
      </c>
      <c r="H936" s="3">
        <v>340589</v>
      </c>
      <c r="I936" s="3">
        <v>3305</v>
      </c>
    </row>
    <row r="937" spans="1:9">
      <c r="A937" s="3" t="s">
        <v>962</v>
      </c>
      <c r="B937" s="3" t="s">
        <v>26</v>
      </c>
      <c r="C937" s="3">
        <v>2142642</v>
      </c>
      <c r="D937" s="3">
        <v>512108</v>
      </c>
      <c r="E937" s="3" t="s">
        <v>27</v>
      </c>
      <c r="F937" s="3">
        <v>1408914</v>
      </c>
      <c r="G937" s="3">
        <v>313100</v>
      </c>
      <c r="H937" s="3">
        <v>733728</v>
      </c>
      <c r="I937" s="3">
        <v>199008</v>
      </c>
    </row>
    <row r="938" spans="1:9">
      <c r="A938" s="3" t="s">
        <v>963</v>
      </c>
      <c r="B938" s="3" t="s">
        <v>26</v>
      </c>
      <c r="C938" s="3">
        <v>1828007</v>
      </c>
      <c r="D938" s="3">
        <v>280270</v>
      </c>
      <c r="E938" s="3" t="s">
        <v>27</v>
      </c>
      <c r="F938" s="3">
        <v>1238279</v>
      </c>
      <c r="G938" s="3">
        <v>183191</v>
      </c>
      <c r="H938" s="3">
        <v>589728</v>
      </c>
      <c r="I938" s="3">
        <v>97079</v>
      </c>
    </row>
    <row r="939" spans="1:9">
      <c r="A939" s="3" t="s">
        <v>964</v>
      </c>
      <c r="B939" s="3" t="s">
        <v>26</v>
      </c>
      <c r="C939" s="3">
        <v>857596</v>
      </c>
      <c r="D939" s="3">
        <v>17532</v>
      </c>
      <c r="E939" s="3" t="s">
        <v>27</v>
      </c>
      <c r="F939" s="3">
        <v>450561</v>
      </c>
      <c r="G939" s="3">
        <v>9457</v>
      </c>
      <c r="H939" s="3">
        <v>407035</v>
      </c>
      <c r="I939" s="3">
        <v>8075</v>
      </c>
    </row>
    <row r="940" spans="1:9">
      <c r="A940" s="3" t="s">
        <v>965</v>
      </c>
      <c r="B940" s="3" t="s">
        <v>26</v>
      </c>
      <c r="C940" s="3">
        <v>936848</v>
      </c>
      <c r="D940" s="3">
        <v>5298</v>
      </c>
      <c r="E940" s="3" t="s">
        <v>27</v>
      </c>
      <c r="F940" s="3">
        <v>498167</v>
      </c>
      <c r="G940" s="3">
        <v>2777</v>
      </c>
      <c r="H940" s="3">
        <v>438681</v>
      </c>
      <c r="I940" s="3">
        <v>2521</v>
      </c>
    </row>
    <row r="941" spans="1:9">
      <c r="A941" s="3" t="s">
        <v>966</v>
      </c>
      <c r="B941" s="3" t="s">
        <v>26</v>
      </c>
      <c r="C941" s="3">
        <v>2334411</v>
      </c>
      <c r="D941" s="3">
        <v>504496</v>
      </c>
      <c r="E941" s="3" t="s">
        <v>27</v>
      </c>
      <c r="F941" s="3">
        <v>1554680</v>
      </c>
      <c r="G941" s="3">
        <v>323859</v>
      </c>
      <c r="H941" s="3">
        <v>779731</v>
      </c>
      <c r="I941" s="3">
        <v>180637</v>
      </c>
    </row>
    <row r="942" spans="1:9">
      <c r="A942" s="3" t="s">
        <v>967</v>
      </c>
      <c r="B942" s="3" t="s">
        <v>26</v>
      </c>
      <c r="C942" s="3">
        <v>180359</v>
      </c>
      <c r="D942" s="3">
        <v>30237</v>
      </c>
      <c r="E942" s="3" t="s">
        <v>27</v>
      </c>
      <c r="F942" s="3">
        <v>105986</v>
      </c>
      <c r="G942" s="3">
        <v>18601</v>
      </c>
      <c r="H942" s="3">
        <v>74373</v>
      </c>
      <c r="I942" s="3">
        <v>11636</v>
      </c>
    </row>
    <row r="943" spans="1:9">
      <c r="A943" s="3" t="s">
        <v>968</v>
      </c>
      <c r="B943" s="3" t="s">
        <v>26</v>
      </c>
      <c r="C943" s="3">
        <v>1656285</v>
      </c>
      <c r="D943" s="3">
        <v>343904</v>
      </c>
      <c r="E943" s="3" t="s">
        <v>27</v>
      </c>
      <c r="F943" s="3">
        <v>1279103</v>
      </c>
      <c r="G943" s="3">
        <v>251785</v>
      </c>
      <c r="H943" s="3">
        <v>377182</v>
      </c>
      <c r="I943" s="3">
        <v>92119</v>
      </c>
    </row>
    <row r="944" spans="1:9">
      <c r="A944" s="3" t="s">
        <v>969</v>
      </c>
      <c r="B944" s="3" t="s">
        <v>26</v>
      </c>
      <c r="C944" s="3">
        <v>1935342</v>
      </c>
      <c r="D944" s="3">
        <v>391985</v>
      </c>
      <c r="E944" s="3" t="s">
        <v>27</v>
      </c>
      <c r="F944" s="3">
        <v>1345065</v>
      </c>
      <c r="G944" s="3">
        <v>266020</v>
      </c>
      <c r="H944" s="3">
        <v>590277</v>
      </c>
      <c r="I944" s="3">
        <v>125965</v>
      </c>
    </row>
    <row r="945" spans="1:9">
      <c r="A945" s="3" t="s">
        <v>970</v>
      </c>
      <c r="B945" s="3" t="s">
        <v>26</v>
      </c>
      <c r="C945" s="3">
        <v>1686811</v>
      </c>
      <c r="D945" s="3">
        <v>350087</v>
      </c>
      <c r="E945" s="3" t="s">
        <v>27</v>
      </c>
      <c r="F945" s="3">
        <v>1347611</v>
      </c>
      <c r="G945" s="3">
        <v>268874</v>
      </c>
      <c r="H945" s="3">
        <v>339200</v>
      </c>
      <c r="I945" s="3">
        <v>81213</v>
      </c>
    </row>
    <row r="946" spans="1:9">
      <c r="A946" s="3" t="s">
        <v>971</v>
      </c>
      <c r="B946" s="3" t="s">
        <v>26</v>
      </c>
      <c r="C946" s="3">
        <v>1166253</v>
      </c>
      <c r="D946" s="3">
        <v>4869</v>
      </c>
      <c r="E946" s="3" t="s">
        <v>27</v>
      </c>
      <c r="F946" s="3">
        <v>758282</v>
      </c>
      <c r="G946" s="3">
        <v>1758</v>
      </c>
      <c r="H946" s="3">
        <v>407971</v>
      </c>
      <c r="I946" s="3">
        <v>3111</v>
      </c>
    </row>
    <row r="947" spans="1:9">
      <c r="A947" s="3" t="s">
        <v>972</v>
      </c>
      <c r="B947" s="3" t="s">
        <v>26</v>
      </c>
      <c r="C947" s="3">
        <v>1575709</v>
      </c>
      <c r="D947" s="3">
        <v>91803</v>
      </c>
      <c r="E947" s="3" t="s">
        <v>27</v>
      </c>
      <c r="F947" s="3">
        <v>863867</v>
      </c>
      <c r="G947" s="3">
        <v>54793</v>
      </c>
      <c r="H947" s="3">
        <v>711842</v>
      </c>
      <c r="I947" s="3">
        <v>37010</v>
      </c>
    </row>
    <row r="948" spans="1:9">
      <c r="A948" s="3" t="s">
        <v>973</v>
      </c>
      <c r="B948" s="3" t="s">
        <v>26</v>
      </c>
      <c r="C948" s="3">
        <v>2123821</v>
      </c>
      <c r="D948" s="3">
        <v>501668</v>
      </c>
      <c r="E948" s="3" t="s">
        <v>27</v>
      </c>
      <c r="F948" s="3">
        <v>1578905</v>
      </c>
      <c r="G948" s="3">
        <v>358389</v>
      </c>
      <c r="H948" s="3">
        <v>544916</v>
      </c>
      <c r="I948" s="3">
        <v>143279</v>
      </c>
    </row>
    <row r="949" spans="1:9">
      <c r="A949" s="3" t="s">
        <v>974</v>
      </c>
      <c r="B949" s="3" t="s">
        <v>26</v>
      </c>
      <c r="C949" s="3">
        <v>28176</v>
      </c>
      <c r="D949" s="3">
        <v>7828</v>
      </c>
      <c r="E949" s="3" t="s">
        <v>27</v>
      </c>
      <c r="F949" s="3">
        <v>23931</v>
      </c>
      <c r="G949" s="3">
        <v>6167</v>
      </c>
      <c r="H949" s="3">
        <v>4245</v>
      </c>
      <c r="I949" s="3">
        <v>1661</v>
      </c>
    </row>
    <row r="950" spans="1:9">
      <c r="A950" s="3" t="s">
        <v>975</v>
      </c>
      <c r="B950" s="3" t="s">
        <v>26</v>
      </c>
      <c r="C950" s="3">
        <v>2123260</v>
      </c>
      <c r="D950" s="3">
        <v>442152</v>
      </c>
      <c r="E950" s="3" t="s">
        <v>27</v>
      </c>
      <c r="F950" s="3">
        <v>1516328</v>
      </c>
      <c r="G950" s="3">
        <v>295758</v>
      </c>
      <c r="H950" s="3">
        <v>606932</v>
      </c>
      <c r="I950" s="3">
        <v>146394</v>
      </c>
    </row>
    <row r="951" spans="1:9">
      <c r="A951" s="3" t="s">
        <v>976</v>
      </c>
      <c r="B951" s="3" t="s">
        <v>26</v>
      </c>
      <c r="C951" s="3">
        <v>1509586</v>
      </c>
      <c r="D951" s="3">
        <v>7720</v>
      </c>
      <c r="E951" s="3" t="s">
        <v>27</v>
      </c>
      <c r="F951" s="3">
        <v>763658</v>
      </c>
      <c r="G951" s="3">
        <v>4587</v>
      </c>
      <c r="H951" s="3">
        <v>745928</v>
      </c>
      <c r="I951" s="3">
        <v>3133</v>
      </c>
    </row>
    <row r="952" spans="1:9">
      <c r="A952" s="3" t="s">
        <v>977</v>
      </c>
      <c r="B952" s="3" t="s">
        <v>26</v>
      </c>
      <c r="C952" s="3">
        <v>2314191</v>
      </c>
      <c r="D952" s="3">
        <v>506497</v>
      </c>
      <c r="E952" s="3" t="s">
        <v>27</v>
      </c>
      <c r="F952" s="3">
        <v>1780123</v>
      </c>
      <c r="G952" s="3">
        <v>375819</v>
      </c>
      <c r="H952" s="3">
        <v>534068</v>
      </c>
      <c r="I952" s="3">
        <v>130678</v>
      </c>
    </row>
    <row r="953" spans="1:9">
      <c r="A953" s="3" t="s">
        <v>978</v>
      </c>
      <c r="B953" s="3" t="s">
        <v>26</v>
      </c>
      <c r="C953" s="3">
        <v>1674375</v>
      </c>
      <c r="D953" s="3">
        <v>251018</v>
      </c>
      <c r="E953" s="3" t="s">
        <v>27</v>
      </c>
      <c r="F953" s="3">
        <v>1082840</v>
      </c>
      <c r="G953" s="3">
        <v>151495</v>
      </c>
      <c r="H953" s="3">
        <v>591535</v>
      </c>
      <c r="I953" s="3">
        <v>99523</v>
      </c>
    </row>
    <row r="954" spans="1:9">
      <c r="A954" s="3" t="s">
        <v>979</v>
      </c>
      <c r="B954" s="3" t="s">
        <v>26</v>
      </c>
      <c r="C954" s="3">
        <v>1000276</v>
      </c>
      <c r="D954" s="3">
        <v>38949</v>
      </c>
      <c r="E954" s="3" t="s">
        <v>27</v>
      </c>
      <c r="F954" s="3">
        <v>921484</v>
      </c>
      <c r="G954" s="3">
        <v>28895</v>
      </c>
      <c r="H954" s="3">
        <v>78792</v>
      </c>
      <c r="I954" s="3">
        <v>10054</v>
      </c>
    </row>
    <row r="955" spans="1:9">
      <c r="A955" s="3" t="s">
        <v>980</v>
      </c>
      <c r="B955" s="3" t="s">
        <v>26</v>
      </c>
      <c r="C955" s="3">
        <v>843328</v>
      </c>
      <c r="D955" s="3">
        <v>5082</v>
      </c>
      <c r="E955" s="3" t="s">
        <v>27</v>
      </c>
      <c r="F955" s="3">
        <v>426597</v>
      </c>
      <c r="G955" s="3">
        <v>2617</v>
      </c>
      <c r="H955" s="3">
        <v>416731</v>
      </c>
      <c r="I955" s="3">
        <v>2465</v>
      </c>
    </row>
    <row r="956" spans="1:9">
      <c r="A956" s="3" t="s">
        <v>981</v>
      </c>
      <c r="B956" s="3" t="s">
        <v>26</v>
      </c>
      <c r="C956" s="3">
        <v>2492452</v>
      </c>
      <c r="D956" s="3">
        <v>578946</v>
      </c>
      <c r="E956" s="3" t="s">
        <v>27</v>
      </c>
      <c r="F956" s="3">
        <v>1564611</v>
      </c>
      <c r="G956" s="3">
        <v>346786</v>
      </c>
      <c r="H956" s="3">
        <v>927841</v>
      </c>
      <c r="I956" s="3">
        <v>232160</v>
      </c>
    </row>
    <row r="957" spans="1:9">
      <c r="A957" s="3" t="s">
        <v>982</v>
      </c>
      <c r="B957" s="3" t="s">
        <v>26</v>
      </c>
      <c r="C957" s="3">
        <v>1272770</v>
      </c>
      <c r="D957" s="3">
        <v>41636</v>
      </c>
      <c r="E957" s="3" t="s">
        <v>27</v>
      </c>
      <c r="F957" s="3">
        <v>704811</v>
      </c>
      <c r="G957" s="3">
        <v>23303</v>
      </c>
      <c r="H957" s="3">
        <v>567959</v>
      </c>
      <c r="I957" s="3">
        <v>18333</v>
      </c>
    </row>
    <row r="958" spans="1:9">
      <c r="A958" s="3" t="s">
        <v>983</v>
      </c>
      <c r="B958" s="3" t="s">
        <v>26</v>
      </c>
      <c r="C958" s="3">
        <v>1240241</v>
      </c>
      <c r="D958" s="3">
        <v>78072</v>
      </c>
      <c r="E958" s="3" t="s">
        <v>27</v>
      </c>
      <c r="F958" s="3">
        <v>729869</v>
      </c>
      <c r="G958" s="3">
        <v>46172</v>
      </c>
      <c r="H958" s="3">
        <v>510372</v>
      </c>
      <c r="I958" s="3">
        <v>31900</v>
      </c>
    </row>
    <row r="959" spans="1:9">
      <c r="A959" s="3" t="s">
        <v>984</v>
      </c>
      <c r="B959" s="3" t="s">
        <v>26</v>
      </c>
      <c r="C959" s="3">
        <v>1606606</v>
      </c>
      <c r="D959" s="3">
        <v>196439</v>
      </c>
      <c r="E959" s="3" t="s">
        <v>27</v>
      </c>
      <c r="F959" s="3">
        <v>1044833</v>
      </c>
      <c r="G959" s="3">
        <v>126589</v>
      </c>
      <c r="H959" s="3">
        <v>561773</v>
      </c>
      <c r="I959" s="3">
        <v>69850</v>
      </c>
    </row>
    <row r="960" spans="1:9">
      <c r="A960" s="3" t="s">
        <v>985</v>
      </c>
      <c r="B960" s="3" t="s">
        <v>26</v>
      </c>
      <c r="C960" s="3">
        <v>1843156</v>
      </c>
      <c r="D960" s="3">
        <v>368284</v>
      </c>
      <c r="E960" s="3" t="s">
        <v>27</v>
      </c>
      <c r="F960" s="3">
        <v>1307111</v>
      </c>
      <c r="G960" s="3">
        <v>242247</v>
      </c>
      <c r="H960" s="3">
        <v>536045</v>
      </c>
      <c r="I960" s="3">
        <v>126037</v>
      </c>
    </row>
    <row r="961" spans="1:9">
      <c r="A961" s="3" t="s">
        <v>986</v>
      </c>
      <c r="B961" s="3" t="s">
        <v>26</v>
      </c>
      <c r="C961" s="3">
        <v>1173663</v>
      </c>
      <c r="D961" s="3">
        <v>239162</v>
      </c>
      <c r="E961" s="3" t="s">
        <v>27</v>
      </c>
      <c r="F961" s="3">
        <v>945619</v>
      </c>
      <c r="G961" s="3">
        <v>183027</v>
      </c>
      <c r="H961" s="3">
        <v>228044</v>
      </c>
      <c r="I961" s="3">
        <v>56135</v>
      </c>
    </row>
    <row r="962" spans="1:9">
      <c r="A962" s="3" t="s">
        <v>987</v>
      </c>
      <c r="B962" s="3" t="s">
        <v>26</v>
      </c>
      <c r="C962" s="3">
        <v>1556149</v>
      </c>
      <c r="D962" s="3">
        <v>93297</v>
      </c>
      <c r="E962" s="3" t="s">
        <v>27</v>
      </c>
      <c r="F962" s="3">
        <v>871202</v>
      </c>
      <c r="G962" s="3">
        <v>57903</v>
      </c>
      <c r="H962" s="3">
        <v>684947</v>
      </c>
      <c r="I962" s="3">
        <v>35394</v>
      </c>
    </row>
    <row r="963" spans="1:9">
      <c r="A963" s="3" t="s">
        <v>988</v>
      </c>
      <c r="B963" s="3" t="s">
        <v>26</v>
      </c>
      <c r="C963" s="3">
        <v>2263121</v>
      </c>
      <c r="D963" s="3">
        <v>293715</v>
      </c>
      <c r="E963" s="3" t="s">
        <v>27</v>
      </c>
      <c r="F963" s="3">
        <v>1488095</v>
      </c>
      <c r="G963" s="3">
        <v>212192</v>
      </c>
      <c r="H963" s="3">
        <v>775026</v>
      </c>
      <c r="I963" s="3">
        <v>81523</v>
      </c>
    </row>
    <row r="964" spans="1:9">
      <c r="A964" s="3" t="s">
        <v>989</v>
      </c>
      <c r="B964" s="3" t="s">
        <v>26</v>
      </c>
      <c r="C964" s="3">
        <v>2114650</v>
      </c>
      <c r="D964" s="3">
        <v>176559</v>
      </c>
      <c r="E964" s="3" t="s">
        <v>27</v>
      </c>
      <c r="F964" s="3">
        <v>1185626</v>
      </c>
      <c r="G964" s="3">
        <v>97475</v>
      </c>
      <c r="H964" s="3">
        <v>929024</v>
      </c>
      <c r="I964" s="3">
        <v>79084</v>
      </c>
    </row>
    <row r="965" spans="1:9">
      <c r="A965" s="3" t="s">
        <v>990</v>
      </c>
      <c r="B965" s="3" t="s">
        <v>26</v>
      </c>
      <c r="C965" s="3">
        <v>2031396</v>
      </c>
      <c r="D965" s="3">
        <v>76783</v>
      </c>
      <c r="E965" s="3" t="s">
        <v>27</v>
      </c>
      <c r="F965" s="3">
        <v>1106162</v>
      </c>
      <c r="G965" s="3">
        <v>40224</v>
      </c>
      <c r="H965" s="3">
        <v>925234</v>
      </c>
      <c r="I965" s="3">
        <v>36559</v>
      </c>
    </row>
    <row r="966" spans="1:9">
      <c r="A966" s="3" t="s">
        <v>991</v>
      </c>
      <c r="B966" s="3" t="s">
        <v>26</v>
      </c>
      <c r="C966" s="3">
        <v>1547015</v>
      </c>
      <c r="D966" s="3">
        <v>41930</v>
      </c>
      <c r="E966" s="3" t="s">
        <v>27</v>
      </c>
      <c r="F966" s="3">
        <v>810806</v>
      </c>
      <c r="G966" s="3">
        <v>22889</v>
      </c>
      <c r="H966" s="3">
        <v>736209</v>
      </c>
      <c r="I966" s="3">
        <v>19041</v>
      </c>
    </row>
    <row r="967" spans="1:9">
      <c r="A967" s="3" t="s">
        <v>992</v>
      </c>
      <c r="B967" s="3" t="s">
        <v>26</v>
      </c>
      <c r="C967" s="3">
        <v>1028124</v>
      </c>
      <c r="D967" s="3">
        <v>5157</v>
      </c>
      <c r="E967" s="3" t="s">
        <v>27</v>
      </c>
      <c r="F967" s="3">
        <v>555761</v>
      </c>
      <c r="G967" s="3">
        <v>2571</v>
      </c>
      <c r="H967" s="3">
        <v>472363</v>
      </c>
      <c r="I967" s="3">
        <v>2586</v>
      </c>
    </row>
    <row r="968" spans="1:9">
      <c r="A968" s="3" t="s">
        <v>993</v>
      </c>
      <c r="B968" s="3" t="s">
        <v>26</v>
      </c>
      <c r="C968" s="3">
        <v>2336773</v>
      </c>
      <c r="D968" s="3">
        <v>428826</v>
      </c>
      <c r="E968" s="3" t="s">
        <v>27</v>
      </c>
      <c r="F968" s="3">
        <v>1458874</v>
      </c>
      <c r="G968" s="3">
        <v>273360</v>
      </c>
      <c r="H968" s="3">
        <v>877899</v>
      </c>
      <c r="I968" s="3">
        <v>155466</v>
      </c>
    </row>
    <row r="969" spans="1:9">
      <c r="A969" s="3" t="s">
        <v>994</v>
      </c>
      <c r="B969" s="3" t="s">
        <v>26</v>
      </c>
      <c r="C969" s="3">
        <v>2438645</v>
      </c>
      <c r="D969" s="3">
        <v>173273</v>
      </c>
      <c r="E969" s="3" t="s">
        <v>27</v>
      </c>
      <c r="F969" s="3">
        <v>1805685</v>
      </c>
      <c r="G969" s="3">
        <v>133438</v>
      </c>
      <c r="H969" s="3">
        <v>632960</v>
      </c>
      <c r="I969" s="3">
        <v>39835</v>
      </c>
    </row>
    <row r="970" spans="1:9">
      <c r="A970" s="3" t="s">
        <v>995</v>
      </c>
      <c r="B970" s="3" t="s">
        <v>26</v>
      </c>
      <c r="C970" s="3">
        <v>2998616</v>
      </c>
      <c r="D970" s="3">
        <v>770391</v>
      </c>
      <c r="E970" s="3" t="s">
        <v>27</v>
      </c>
      <c r="F970" s="3">
        <v>2081615</v>
      </c>
      <c r="G970" s="3">
        <v>513974</v>
      </c>
      <c r="H970" s="3">
        <v>917001</v>
      </c>
      <c r="I970" s="3">
        <v>256417</v>
      </c>
    </row>
    <row r="971" spans="1:9">
      <c r="A971" s="3" t="s">
        <v>996</v>
      </c>
      <c r="B971" s="3" t="s">
        <v>26</v>
      </c>
      <c r="C971" s="3">
        <v>32072</v>
      </c>
      <c r="D971" s="3">
        <v>569</v>
      </c>
      <c r="E971" s="3" t="s">
        <v>27</v>
      </c>
      <c r="F971" s="3">
        <v>17515</v>
      </c>
      <c r="G971" s="3">
        <v>315</v>
      </c>
      <c r="H971" s="3">
        <v>14557</v>
      </c>
      <c r="I971" s="3">
        <v>254</v>
      </c>
    </row>
    <row r="972" spans="1:9">
      <c r="A972" s="3" t="s">
        <v>997</v>
      </c>
      <c r="B972" s="3" t="s">
        <v>26</v>
      </c>
      <c r="C972" s="3">
        <v>1417921</v>
      </c>
      <c r="D972" s="3">
        <v>144655</v>
      </c>
      <c r="E972" s="3" t="s">
        <v>27</v>
      </c>
      <c r="F972" s="3">
        <v>802085</v>
      </c>
      <c r="G972" s="3">
        <v>87300</v>
      </c>
      <c r="H972" s="3">
        <v>615836</v>
      </c>
      <c r="I972" s="3">
        <v>57355</v>
      </c>
    </row>
    <row r="973" spans="1:9">
      <c r="A973" s="3" t="s">
        <v>998</v>
      </c>
      <c r="B973" s="3" t="s">
        <v>26</v>
      </c>
      <c r="C973" s="3">
        <v>1441176</v>
      </c>
      <c r="D973" s="3">
        <v>181587</v>
      </c>
      <c r="E973" s="3" t="s">
        <v>27</v>
      </c>
      <c r="F973" s="3">
        <v>1016290</v>
      </c>
      <c r="G973" s="3">
        <v>121345</v>
      </c>
      <c r="H973" s="3">
        <v>424886</v>
      </c>
      <c r="I973" s="3">
        <v>60242</v>
      </c>
    </row>
    <row r="974" spans="1:9">
      <c r="A974" s="3" t="s">
        <v>999</v>
      </c>
      <c r="B974" s="3" t="s">
        <v>26</v>
      </c>
      <c r="C974" s="3">
        <v>3071872</v>
      </c>
      <c r="D974" s="3">
        <v>789180</v>
      </c>
      <c r="E974" s="3" t="s">
        <v>27</v>
      </c>
      <c r="F974" s="3">
        <v>2134480</v>
      </c>
      <c r="G974" s="3">
        <v>540182</v>
      </c>
      <c r="H974" s="3">
        <v>937392</v>
      </c>
      <c r="I974" s="3">
        <v>248998</v>
      </c>
    </row>
    <row r="975" spans="1:9">
      <c r="A975" s="3" t="s">
        <v>1000</v>
      </c>
      <c r="B975" s="3" t="s">
        <v>26</v>
      </c>
      <c r="C975" s="3">
        <v>1503353</v>
      </c>
      <c r="D975" s="3">
        <v>101609</v>
      </c>
      <c r="E975" s="3" t="s">
        <v>27</v>
      </c>
      <c r="F975" s="3">
        <v>890474</v>
      </c>
      <c r="G975" s="3">
        <v>67821</v>
      </c>
      <c r="H975" s="3">
        <v>612879</v>
      </c>
      <c r="I975" s="3">
        <v>33788</v>
      </c>
    </row>
    <row r="976" spans="1:9">
      <c r="A976" s="3" t="s">
        <v>1001</v>
      </c>
      <c r="B976" s="3" t="s">
        <v>26</v>
      </c>
      <c r="C976" s="3">
        <v>2103836</v>
      </c>
      <c r="D976" s="3">
        <v>459636</v>
      </c>
      <c r="E976" s="3" t="s">
        <v>27</v>
      </c>
      <c r="F976" s="3">
        <v>1666239</v>
      </c>
      <c r="G976" s="3">
        <v>346391</v>
      </c>
      <c r="H976" s="3">
        <v>437597</v>
      </c>
      <c r="I976" s="3">
        <v>113245</v>
      </c>
    </row>
    <row r="977" spans="1:9">
      <c r="A977" s="3" t="s">
        <v>1002</v>
      </c>
      <c r="B977" s="3" t="s">
        <v>26</v>
      </c>
      <c r="C977" s="3">
        <v>2805476</v>
      </c>
      <c r="D977" s="3">
        <v>586912</v>
      </c>
      <c r="E977" s="3" t="s">
        <v>27</v>
      </c>
      <c r="F977" s="3">
        <v>1759933</v>
      </c>
      <c r="G977" s="3">
        <v>349564</v>
      </c>
      <c r="H977" s="3">
        <v>1045543</v>
      </c>
      <c r="I977" s="3">
        <v>237348</v>
      </c>
    </row>
    <row r="978" spans="1:9">
      <c r="A978" s="3" t="s">
        <v>1003</v>
      </c>
      <c r="B978" s="3" t="s">
        <v>26</v>
      </c>
      <c r="C978" s="3">
        <v>1869823</v>
      </c>
      <c r="D978" s="3">
        <v>177471</v>
      </c>
      <c r="E978" s="3" t="s">
        <v>27</v>
      </c>
      <c r="F978" s="3">
        <v>1111007</v>
      </c>
      <c r="G978" s="3">
        <v>109020</v>
      </c>
      <c r="H978" s="3">
        <v>758816</v>
      </c>
      <c r="I978" s="3">
        <v>68451</v>
      </c>
    </row>
    <row r="979" spans="1:9">
      <c r="A979" s="3" t="s">
        <v>1004</v>
      </c>
      <c r="B979" s="3" t="s">
        <v>26</v>
      </c>
      <c r="C979" s="3">
        <v>1965423</v>
      </c>
      <c r="D979" s="3">
        <v>328981</v>
      </c>
      <c r="E979" s="3" t="s">
        <v>27</v>
      </c>
      <c r="F979" s="3">
        <v>1291259</v>
      </c>
      <c r="G979" s="3">
        <v>223194</v>
      </c>
      <c r="H979" s="3">
        <v>674164</v>
      </c>
      <c r="I979" s="3">
        <v>105787</v>
      </c>
    </row>
    <row r="980" spans="1:9">
      <c r="A980" s="3" t="s">
        <v>1005</v>
      </c>
      <c r="B980" s="3" t="s">
        <v>26</v>
      </c>
      <c r="C980" s="3">
        <v>1180033</v>
      </c>
      <c r="D980" s="3">
        <v>107387</v>
      </c>
      <c r="E980" s="3" t="s">
        <v>27</v>
      </c>
      <c r="F980" s="3">
        <v>666664</v>
      </c>
      <c r="G980" s="3">
        <v>57675</v>
      </c>
      <c r="H980" s="3">
        <v>513369</v>
      </c>
      <c r="I980" s="3">
        <v>49712</v>
      </c>
    </row>
    <row r="981" spans="1:9">
      <c r="A981" s="3" t="s">
        <v>1006</v>
      </c>
      <c r="B981" s="3" t="s">
        <v>26</v>
      </c>
      <c r="C981" s="3">
        <v>2001652</v>
      </c>
      <c r="D981" s="3">
        <v>259259</v>
      </c>
      <c r="E981" s="3" t="s">
        <v>27</v>
      </c>
      <c r="F981" s="3">
        <v>1370974</v>
      </c>
      <c r="G981" s="3">
        <v>180497</v>
      </c>
      <c r="H981" s="3">
        <v>630678</v>
      </c>
      <c r="I981" s="3">
        <v>78762</v>
      </c>
    </row>
    <row r="982" spans="1:9">
      <c r="A982" s="3" t="s">
        <v>1007</v>
      </c>
      <c r="B982" s="3" t="s">
        <v>26</v>
      </c>
      <c r="C982" s="3">
        <v>2208353</v>
      </c>
      <c r="D982" s="3">
        <v>323515</v>
      </c>
      <c r="E982" s="3" t="s">
        <v>27</v>
      </c>
      <c r="F982" s="3">
        <v>1555427</v>
      </c>
      <c r="G982" s="3">
        <v>217764</v>
      </c>
      <c r="H982" s="3">
        <v>652926</v>
      </c>
      <c r="I982" s="3">
        <v>105751</v>
      </c>
    </row>
    <row r="983" spans="1:9">
      <c r="A983" s="3" t="s">
        <v>1008</v>
      </c>
      <c r="B983" s="3" t="s">
        <v>26</v>
      </c>
      <c r="C983" s="3">
        <v>1652196</v>
      </c>
      <c r="D983" s="3">
        <v>185721</v>
      </c>
      <c r="E983" s="3" t="s">
        <v>27</v>
      </c>
      <c r="F983" s="3">
        <v>1019470</v>
      </c>
      <c r="G983" s="3">
        <v>116877</v>
      </c>
      <c r="H983" s="3">
        <v>632726</v>
      </c>
      <c r="I983" s="3">
        <v>68844</v>
      </c>
    </row>
    <row r="984" spans="1:9">
      <c r="A984" s="3" t="s">
        <v>1009</v>
      </c>
      <c r="B984" s="3" t="s">
        <v>26</v>
      </c>
      <c r="C984" s="3">
        <v>1367855</v>
      </c>
      <c r="D984" s="3">
        <v>52730</v>
      </c>
      <c r="E984" s="3" t="s">
        <v>27</v>
      </c>
      <c r="F984" s="3">
        <v>806873</v>
      </c>
      <c r="G984" s="3">
        <v>33157</v>
      </c>
      <c r="H984" s="3">
        <v>560982</v>
      </c>
      <c r="I984" s="3">
        <v>19573</v>
      </c>
    </row>
    <row r="985" spans="1:9">
      <c r="A985" s="3" t="s">
        <v>1010</v>
      </c>
      <c r="B985" s="3" t="s">
        <v>26</v>
      </c>
      <c r="C985" s="3">
        <v>2154743</v>
      </c>
      <c r="D985" s="3">
        <v>267019</v>
      </c>
      <c r="E985" s="3" t="s">
        <v>27</v>
      </c>
      <c r="F985" s="3">
        <v>1241210</v>
      </c>
      <c r="G985" s="3">
        <v>151304</v>
      </c>
      <c r="H985" s="3">
        <v>913533</v>
      </c>
      <c r="I985" s="3">
        <v>115715</v>
      </c>
    </row>
    <row r="986" spans="1:9">
      <c r="A986" s="3" t="s">
        <v>1011</v>
      </c>
      <c r="B986" s="3" t="s">
        <v>26</v>
      </c>
      <c r="C986" s="3">
        <v>1644310</v>
      </c>
      <c r="D986" s="3">
        <v>251534</v>
      </c>
      <c r="E986" s="3" t="s">
        <v>27</v>
      </c>
      <c r="F986" s="3">
        <v>1244252</v>
      </c>
      <c r="G986" s="3">
        <v>198562</v>
      </c>
      <c r="H986" s="3">
        <v>400058</v>
      </c>
      <c r="I986" s="3">
        <v>52972</v>
      </c>
    </row>
    <row r="987" spans="1:9">
      <c r="A987" s="3" t="s">
        <v>1012</v>
      </c>
      <c r="B987" s="3" t="s">
        <v>26</v>
      </c>
      <c r="C987" s="3">
        <v>1229275</v>
      </c>
      <c r="D987" s="3">
        <v>9920</v>
      </c>
      <c r="E987" s="3" t="s">
        <v>27</v>
      </c>
      <c r="F987" s="3">
        <v>648027</v>
      </c>
      <c r="G987" s="3">
        <v>5357</v>
      </c>
      <c r="H987" s="3">
        <v>581248</v>
      </c>
      <c r="I987" s="3">
        <v>4563</v>
      </c>
    </row>
    <row r="988" spans="1:9">
      <c r="A988" s="3" t="s">
        <v>1013</v>
      </c>
      <c r="B988" s="3" t="s">
        <v>26</v>
      </c>
      <c r="C988" s="3">
        <v>29765</v>
      </c>
      <c r="D988" s="3">
        <v>7421</v>
      </c>
      <c r="E988" s="3" t="s">
        <v>27</v>
      </c>
      <c r="F988" s="3">
        <v>25649</v>
      </c>
      <c r="G988" s="3">
        <v>5927</v>
      </c>
      <c r="H988" s="3">
        <v>4116</v>
      </c>
      <c r="I988" s="3">
        <v>1494</v>
      </c>
    </row>
    <row r="989" spans="1:9">
      <c r="A989" s="3" t="s">
        <v>1014</v>
      </c>
      <c r="B989" s="3" t="s">
        <v>26</v>
      </c>
      <c r="C989" s="3">
        <v>1773509</v>
      </c>
      <c r="D989" s="3">
        <v>184637</v>
      </c>
      <c r="E989" s="3" t="s">
        <v>27</v>
      </c>
      <c r="F989" s="3">
        <v>1245702</v>
      </c>
      <c r="G989" s="3">
        <v>129732</v>
      </c>
      <c r="H989" s="3">
        <v>527807</v>
      </c>
      <c r="I989" s="3">
        <v>54905</v>
      </c>
    </row>
    <row r="990" spans="1:9">
      <c r="A990" s="3" t="s">
        <v>1015</v>
      </c>
      <c r="B990" s="3" t="s">
        <v>26</v>
      </c>
      <c r="C990" s="3">
        <v>1523722</v>
      </c>
      <c r="D990" s="3">
        <v>63369</v>
      </c>
      <c r="E990" s="3" t="s">
        <v>27</v>
      </c>
      <c r="F990" s="3">
        <v>789528</v>
      </c>
      <c r="G990" s="3">
        <v>28487</v>
      </c>
      <c r="H990" s="3">
        <v>734194</v>
      </c>
      <c r="I990" s="3">
        <v>34882</v>
      </c>
    </row>
    <row r="991" spans="1:9">
      <c r="A991" s="3" t="s">
        <v>1016</v>
      </c>
      <c r="B991" s="3" t="s">
        <v>26</v>
      </c>
      <c r="C991" s="3">
        <v>957180</v>
      </c>
      <c r="D991" s="3">
        <v>3284</v>
      </c>
      <c r="E991" s="3" t="s">
        <v>27</v>
      </c>
      <c r="F991" s="3">
        <v>483696</v>
      </c>
      <c r="G991" s="3">
        <v>1924</v>
      </c>
      <c r="H991" s="3">
        <v>473484</v>
      </c>
      <c r="I991" s="3">
        <v>1360</v>
      </c>
    </row>
    <row r="992" spans="1:9">
      <c r="A992" s="3" t="s">
        <v>1017</v>
      </c>
      <c r="B992" s="3" t="s">
        <v>26</v>
      </c>
      <c r="C992" s="3">
        <v>1959725</v>
      </c>
      <c r="D992" s="3">
        <v>351633</v>
      </c>
      <c r="E992" s="3" t="s">
        <v>27</v>
      </c>
      <c r="F992" s="3">
        <v>1534174</v>
      </c>
      <c r="G992" s="3">
        <v>244092</v>
      </c>
      <c r="H992" s="3">
        <v>425551</v>
      </c>
      <c r="I992" s="3">
        <v>107541</v>
      </c>
    </row>
    <row r="993" spans="1:9">
      <c r="A993" s="3" t="s">
        <v>1018</v>
      </c>
      <c r="B993" s="3" t="s">
        <v>26</v>
      </c>
      <c r="C993" s="3">
        <v>1788969</v>
      </c>
      <c r="D993" s="3">
        <v>174557</v>
      </c>
      <c r="E993" s="3" t="s">
        <v>27</v>
      </c>
      <c r="F993" s="3">
        <v>1138323</v>
      </c>
      <c r="G993" s="3">
        <v>97549</v>
      </c>
      <c r="H993" s="3">
        <v>650646</v>
      </c>
      <c r="I993" s="3">
        <v>77008</v>
      </c>
    </row>
    <row r="994" spans="1:9">
      <c r="A994" s="3" t="s">
        <v>1019</v>
      </c>
      <c r="B994" s="3" t="s">
        <v>26</v>
      </c>
      <c r="C994" s="3">
        <v>2067757</v>
      </c>
      <c r="D994" s="3">
        <v>272951</v>
      </c>
      <c r="E994" s="3" t="s">
        <v>27</v>
      </c>
      <c r="F994" s="3">
        <v>1282407</v>
      </c>
      <c r="G994" s="3">
        <v>175842</v>
      </c>
      <c r="H994" s="3">
        <v>785350</v>
      </c>
      <c r="I994" s="3">
        <v>97109</v>
      </c>
    </row>
    <row r="995" spans="1:9">
      <c r="A995" s="3" t="s">
        <v>1020</v>
      </c>
      <c r="B995" s="3" t="s">
        <v>26</v>
      </c>
      <c r="C995" s="3">
        <v>1822005</v>
      </c>
      <c r="D995" s="3">
        <v>103448</v>
      </c>
      <c r="E995" s="3" t="s">
        <v>27</v>
      </c>
      <c r="F995" s="3">
        <v>1083007</v>
      </c>
      <c r="G995" s="3">
        <v>61577</v>
      </c>
      <c r="H995" s="3">
        <v>738998</v>
      </c>
      <c r="I995" s="3">
        <v>41871</v>
      </c>
    </row>
    <row r="996" spans="1:9">
      <c r="A996" s="3" t="s">
        <v>1021</v>
      </c>
      <c r="B996" s="3" t="s">
        <v>26</v>
      </c>
      <c r="C996" s="3">
        <v>2146587</v>
      </c>
      <c r="D996" s="3">
        <v>94976</v>
      </c>
      <c r="E996" s="3" t="s">
        <v>27</v>
      </c>
      <c r="F996" s="3">
        <v>1153825</v>
      </c>
      <c r="G996" s="3">
        <v>56228</v>
      </c>
      <c r="H996" s="3">
        <v>992762</v>
      </c>
      <c r="I996" s="3">
        <v>38748</v>
      </c>
    </row>
    <row r="997" spans="1:9">
      <c r="A997" s="3" t="s">
        <v>1022</v>
      </c>
      <c r="B997" s="3" t="s">
        <v>26</v>
      </c>
      <c r="C997" s="3">
        <v>1359764</v>
      </c>
      <c r="D997" s="3">
        <v>18486</v>
      </c>
      <c r="E997" s="3" t="s">
        <v>27</v>
      </c>
      <c r="F997" s="3">
        <v>676193</v>
      </c>
      <c r="G997" s="3">
        <v>7648</v>
      </c>
      <c r="H997" s="3">
        <v>683571</v>
      </c>
      <c r="I997" s="3">
        <v>10838</v>
      </c>
    </row>
    <row r="998" spans="1:9">
      <c r="A998" s="3" t="s">
        <v>1023</v>
      </c>
      <c r="B998" s="3" t="s">
        <v>26</v>
      </c>
      <c r="C998" s="3">
        <v>1010896</v>
      </c>
      <c r="D998" s="3">
        <v>4231</v>
      </c>
      <c r="E998" s="3" t="s">
        <v>27</v>
      </c>
      <c r="F998" s="3">
        <v>544682</v>
      </c>
      <c r="G998" s="3">
        <v>2014</v>
      </c>
      <c r="H998" s="3">
        <v>466214</v>
      </c>
      <c r="I998" s="3">
        <v>2217</v>
      </c>
    </row>
    <row r="999" spans="1:9">
      <c r="A999" s="3" t="s">
        <v>1024</v>
      </c>
      <c r="B999" s="3" t="s">
        <v>26</v>
      </c>
      <c r="C999" s="3">
        <v>2446102</v>
      </c>
      <c r="D999" s="3">
        <v>356474</v>
      </c>
      <c r="E999" s="3" t="s">
        <v>27</v>
      </c>
      <c r="F999" s="3">
        <v>1572512</v>
      </c>
      <c r="G999" s="3">
        <v>214084</v>
      </c>
      <c r="H999" s="3">
        <v>873590</v>
      </c>
      <c r="I999" s="3">
        <v>142390</v>
      </c>
    </row>
    <row r="1000" spans="1:9">
      <c r="A1000" s="3" t="s">
        <v>1025</v>
      </c>
      <c r="B1000" s="3" t="s">
        <v>26</v>
      </c>
      <c r="C1000" s="3">
        <v>2212407</v>
      </c>
      <c r="D1000" s="3">
        <v>276442</v>
      </c>
      <c r="E1000" s="3" t="s">
        <v>27</v>
      </c>
      <c r="F1000" s="3">
        <v>1409178</v>
      </c>
      <c r="G1000" s="3">
        <v>170794</v>
      </c>
      <c r="H1000" s="3">
        <v>803229</v>
      </c>
      <c r="I1000" s="3">
        <v>105648</v>
      </c>
    </row>
    <row r="1001" spans="1:9">
      <c r="A1001" s="3" t="s">
        <v>1026</v>
      </c>
      <c r="B1001" s="3" t="s">
        <v>26</v>
      </c>
      <c r="C1001" s="3">
        <v>1680838</v>
      </c>
      <c r="D1001" s="3">
        <v>286918</v>
      </c>
      <c r="E1001" s="3" t="s">
        <v>27</v>
      </c>
      <c r="F1001" s="3">
        <v>1220742</v>
      </c>
      <c r="G1001" s="3">
        <v>195441</v>
      </c>
      <c r="H1001" s="3">
        <v>460096</v>
      </c>
      <c r="I1001" s="3">
        <v>91477</v>
      </c>
    </row>
    <row r="1002" spans="1:9">
      <c r="A1002" s="3" t="s">
        <v>1027</v>
      </c>
      <c r="B1002" s="3" t="s">
        <v>26</v>
      </c>
      <c r="C1002" s="3">
        <v>1766220</v>
      </c>
      <c r="D1002" s="3">
        <v>86689</v>
      </c>
      <c r="E1002" s="3" t="s">
        <v>27</v>
      </c>
      <c r="F1002" s="3">
        <v>1000474</v>
      </c>
      <c r="G1002" s="3">
        <v>52024</v>
      </c>
      <c r="H1002" s="3">
        <v>765746</v>
      </c>
      <c r="I1002" s="3">
        <v>34665</v>
      </c>
    </row>
    <row r="1003" spans="1:9">
      <c r="A1003" s="3" t="s">
        <v>1028</v>
      </c>
      <c r="B1003" s="3" t="s">
        <v>26</v>
      </c>
      <c r="C1003" s="3">
        <v>1047147</v>
      </c>
      <c r="D1003" s="3">
        <v>27013</v>
      </c>
      <c r="E1003" s="3" t="s">
        <v>27</v>
      </c>
      <c r="F1003" s="3">
        <v>620903</v>
      </c>
      <c r="G1003" s="3">
        <v>21391</v>
      </c>
      <c r="H1003" s="3">
        <v>426244</v>
      </c>
      <c r="I1003" s="3">
        <v>5622</v>
      </c>
    </row>
    <row r="1004" spans="1:9">
      <c r="A1004" s="3" t="s">
        <v>1029</v>
      </c>
      <c r="B1004" s="3" t="s">
        <v>26</v>
      </c>
      <c r="C1004" s="3">
        <v>1539277</v>
      </c>
      <c r="D1004" s="3">
        <v>184470</v>
      </c>
      <c r="E1004" s="3" t="s">
        <v>27</v>
      </c>
      <c r="F1004" s="3">
        <v>907392</v>
      </c>
      <c r="G1004" s="3">
        <v>106140</v>
      </c>
      <c r="H1004" s="3">
        <v>631885</v>
      </c>
      <c r="I1004" s="3">
        <v>78330</v>
      </c>
    </row>
    <row r="1005" spans="1:9">
      <c r="A1005" s="3" t="s">
        <v>1030</v>
      </c>
      <c r="B1005" s="3" t="s">
        <v>26</v>
      </c>
      <c r="C1005" s="3">
        <v>2694749</v>
      </c>
      <c r="D1005" s="3">
        <v>571706</v>
      </c>
      <c r="E1005" s="3" t="s">
        <v>27</v>
      </c>
      <c r="F1005" s="3">
        <v>2103493</v>
      </c>
      <c r="G1005" s="3">
        <v>407231</v>
      </c>
      <c r="H1005" s="3">
        <v>591256</v>
      </c>
      <c r="I1005" s="3">
        <v>164475</v>
      </c>
    </row>
    <row r="1006" spans="1:9">
      <c r="A1006" s="3" t="s">
        <v>1031</v>
      </c>
      <c r="B1006" s="3" t="s">
        <v>26</v>
      </c>
      <c r="C1006" s="3">
        <v>1397335</v>
      </c>
      <c r="D1006" s="3">
        <v>143258</v>
      </c>
      <c r="E1006" s="3" t="s">
        <v>27</v>
      </c>
      <c r="F1006" s="3">
        <v>906058</v>
      </c>
      <c r="G1006" s="3">
        <v>89683</v>
      </c>
      <c r="H1006" s="3">
        <v>491277</v>
      </c>
      <c r="I1006" s="3">
        <v>53575</v>
      </c>
    </row>
    <row r="1007" spans="1:9">
      <c r="A1007" s="3" t="s">
        <v>1032</v>
      </c>
      <c r="B1007" s="3" t="s">
        <v>26</v>
      </c>
      <c r="C1007" s="3">
        <v>1867361</v>
      </c>
      <c r="D1007" s="3">
        <v>350857</v>
      </c>
      <c r="E1007" s="3" t="s">
        <v>27</v>
      </c>
      <c r="F1007" s="3">
        <v>1582311</v>
      </c>
      <c r="G1007" s="3">
        <v>279904</v>
      </c>
      <c r="H1007" s="3">
        <v>285050</v>
      </c>
      <c r="I1007" s="3">
        <v>70953</v>
      </c>
    </row>
    <row r="1008" spans="1:9">
      <c r="A1008" s="3" t="s">
        <v>1033</v>
      </c>
      <c r="B1008" s="3" t="s">
        <v>26</v>
      </c>
      <c r="C1008" s="3">
        <v>2544497</v>
      </c>
      <c r="D1008" s="3">
        <v>445811</v>
      </c>
      <c r="E1008" s="3" t="s">
        <v>27</v>
      </c>
      <c r="F1008" s="3">
        <v>1508945</v>
      </c>
      <c r="G1008" s="3">
        <v>265352</v>
      </c>
      <c r="H1008" s="3">
        <v>1035552</v>
      </c>
      <c r="I1008" s="3">
        <v>180459</v>
      </c>
    </row>
    <row r="1009" spans="1:9">
      <c r="A1009" s="3" t="s">
        <v>1034</v>
      </c>
      <c r="B1009" s="3" t="s">
        <v>26</v>
      </c>
      <c r="C1009" s="3">
        <v>2462594</v>
      </c>
      <c r="D1009" s="3">
        <v>487578</v>
      </c>
      <c r="E1009" s="3" t="s">
        <v>27</v>
      </c>
      <c r="F1009" s="3">
        <v>1554716</v>
      </c>
      <c r="G1009" s="3">
        <v>300752</v>
      </c>
      <c r="H1009" s="3">
        <v>907878</v>
      </c>
      <c r="I1009" s="3">
        <v>186826</v>
      </c>
    </row>
    <row r="1010" spans="1:9">
      <c r="A1010" s="3" t="s">
        <v>1035</v>
      </c>
      <c r="B1010" s="3" t="s">
        <v>26</v>
      </c>
      <c r="C1010" s="3">
        <v>2319228</v>
      </c>
      <c r="D1010" s="3">
        <v>312112</v>
      </c>
      <c r="E1010" s="3" t="s">
        <v>27</v>
      </c>
      <c r="F1010" s="3">
        <v>1456496</v>
      </c>
      <c r="G1010" s="3">
        <v>191262</v>
      </c>
      <c r="H1010" s="3">
        <v>862732</v>
      </c>
      <c r="I1010" s="3">
        <v>120850</v>
      </c>
    </row>
    <row r="1011" spans="1:9">
      <c r="A1011" s="3" t="s">
        <v>1036</v>
      </c>
      <c r="B1011" s="3" t="s">
        <v>26</v>
      </c>
      <c r="C1011" s="3">
        <v>1815338</v>
      </c>
      <c r="D1011" s="3">
        <v>241293</v>
      </c>
      <c r="E1011" s="3" t="s">
        <v>27</v>
      </c>
      <c r="F1011" s="3">
        <v>1288805</v>
      </c>
      <c r="G1011" s="3">
        <v>156542</v>
      </c>
      <c r="H1011" s="3">
        <v>526533</v>
      </c>
      <c r="I1011" s="3">
        <v>84751</v>
      </c>
    </row>
    <row r="1012" spans="1:9">
      <c r="A1012" s="3" t="s">
        <v>1037</v>
      </c>
      <c r="B1012" s="3" t="s">
        <v>26</v>
      </c>
      <c r="C1012" s="3">
        <v>2338450</v>
      </c>
      <c r="D1012" s="3">
        <v>411892</v>
      </c>
      <c r="E1012" s="3" t="s">
        <v>27</v>
      </c>
      <c r="F1012" s="3">
        <v>1578880</v>
      </c>
      <c r="G1012" s="3">
        <v>287927</v>
      </c>
      <c r="H1012" s="3">
        <v>759570</v>
      </c>
      <c r="I1012" s="3">
        <v>123965</v>
      </c>
    </row>
    <row r="1013" spans="1:9">
      <c r="A1013" s="3" t="s">
        <v>1038</v>
      </c>
      <c r="B1013" s="3" t="s">
        <v>26</v>
      </c>
      <c r="C1013" s="3">
        <v>2420839</v>
      </c>
      <c r="D1013" s="3">
        <v>472372</v>
      </c>
      <c r="E1013" s="3" t="s">
        <v>27</v>
      </c>
      <c r="F1013" s="3">
        <v>1794800</v>
      </c>
      <c r="G1013" s="3">
        <v>333958</v>
      </c>
      <c r="H1013" s="3">
        <v>626039</v>
      </c>
      <c r="I1013" s="3">
        <v>138414</v>
      </c>
    </row>
    <row r="1014" spans="1:9">
      <c r="A1014" s="3" t="s">
        <v>1039</v>
      </c>
      <c r="B1014" s="3" t="s">
        <v>26</v>
      </c>
      <c r="C1014" s="3">
        <v>2336039</v>
      </c>
      <c r="D1014" s="3">
        <v>361657</v>
      </c>
      <c r="E1014" s="3" t="s">
        <v>27</v>
      </c>
      <c r="F1014" s="3">
        <v>1654102</v>
      </c>
      <c r="G1014" s="3">
        <v>247805</v>
      </c>
      <c r="H1014" s="3">
        <v>681937</v>
      </c>
      <c r="I1014" s="3">
        <v>113852</v>
      </c>
    </row>
    <row r="1015" spans="1:9">
      <c r="A1015" s="3" t="s">
        <v>1040</v>
      </c>
      <c r="B1015" s="3" t="s">
        <v>26</v>
      </c>
      <c r="C1015" s="3">
        <v>1712628</v>
      </c>
      <c r="D1015" s="3">
        <v>50143</v>
      </c>
      <c r="E1015" s="3" t="s">
        <v>27</v>
      </c>
      <c r="F1015" s="3">
        <v>931434</v>
      </c>
      <c r="G1015" s="3">
        <v>25204</v>
      </c>
      <c r="H1015" s="3">
        <v>781194</v>
      </c>
      <c r="I1015" s="3">
        <v>24939</v>
      </c>
    </row>
    <row r="1016" spans="1:9">
      <c r="A1016" s="3" t="s">
        <v>1041</v>
      </c>
      <c r="B1016" s="3" t="s">
        <v>26</v>
      </c>
      <c r="C1016" s="3">
        <v>2230487</v>
      </c>
      <c r="D1016" s="3">
        <v>330706</v>
      </c>
      <c r="E1016" s="3" t="s">
        <v>27</v>
      </c>
      <c r="F1016" s="3">
        <v>1408250</v>
      </c>
      <c r="G1016" s="3">
        <v>207861</v>
      </c>
      <c r="H1016" s="3">
        <v>822237</v>
      </c>
      <c r="I1016" s="3">
        <v>122845</v>
      </c>
    </row>
    <row r="1017" spans="1:9">
      <c r="A1017" s="3" t="s">
        <v>1042</v>
      </c>
      <c r="B1017" s="3" t="s">
        <v>26</v>
      </c>
      <c r="C1017" s="3">
        <v>1858608</v>
      </c>
      <c r="D1017" s="3">
        <v>228687</v>
      </c>
      <c r="E1017" s="3" t="s">
        <v>27</v>
      </c>
      <c r="F1017" s="3">
        <v>1191284</v>
      </c>
      <c r="G1017" s="3">
        <v>143937</v>
      </c>
      <c r="H1017" s="3">
        <v>667324</v>
      </c>
      <c r="I1017" s="3">
        <v>84750</v>
      </c>
    </row>
    <row r="1018" spans="1:9">
      <c r="A1018" s="3" t="s">
        <v>1043</v>
      </c>
      <c r="B1018" s="3" t="s">
        <v>26</v>
      </c>
      <c r="C1018" s="3">
        <v>1660415</v>
      </c>
      <c r="D1018" s="3">
        <v>166850</v>
      </c>
      <c r="E1018" s="3" t="s">
        <v>27</v>
      </c>
      <c r="F1018" s="3">
        <v>1035470</v>
      </c>
      <c r="G1018" s="3">
        <v>116706</v>
      </c>
      <c r="H1018" s="3">
        <v>624945</v>
      </c>
      <c r="I1018" s="3">
        <v>50144</v>
      </c>
    </row>
    <row r="1019" spans="1:9">
      <c r="A1019" s="3" t="s">
        <v>1044</v>
      </c>
      <c r="B1019" s="3" t="s">
        <v>26</v>
      </c>
      <c r="C1019" s="3">
        <v>1899311</v>
      </c>
      <c r="D1019" s="3">
        <v>322672</v>
      </c>
      <c r="E1019" s="3" t="s">
        <v>27</v>
      </c>
      <c r="F1019" s="3">
        <v>1286809</v>
      </c>
      <c r="G1019" s="3">
        <v>206436</v>
      </c>
      <c r="H1019" s="3">
        <v>612502</v>
      </c>
      <c r="I1019" s="3">
        <v>116236</v>
      </c>
    </row>
    <row r="1020" spans="1:9">
      <c r="A1020" s="3" t="s">
        <v>1045</v>
      </c>
      <c r="B1020" s="3" t="s">
        <v>26</v>
      </c>
      <c r="C1020" s="3">
        <v>2088994</v>
      </c>
      <c r="D1020" s="3">
        <v>190589</v>
      </c>
      <c r="E1020" s="3" t="s">
        <v>27</v>
      </c>
      <c r="F1020" s="3">
        <v>1470078</v>
      </c>
      <c r="G1020" s="3">
        <v>139203</v>
      </c>
      <c r="H1020" s="3">
        <v>618916</v>
      </c>
      <c r="I1020" s="3">
        <v>51386</v>
      </c>
    </row>
    <row r="1021" spans="1:9">
      <c r="A1021" s="3" t="s">
        <v>1046</v>
      </c>
      <c r="B1021" s="3" t="s">
        <v>26</v>
      </c>
      <c r="C1021" s="3">
        <v>1466436</v>
      </c>
      <c r="D1021" s="3">
        <v>104459</v>
      </c>
      <c r="E1021" s="3" t="s">
        <v>27</v>
      </c>
      <c r="F1021" s="3">
        <v>845792</v>
      </c>
      <c r="G1021" s="3">
        <v>60021</v>
      </c>
      <c r="H1021" s="3">
        <v>620644</v>
      </c>
      <c r="I1021" s="3">
        <v>44438</v>
      </c>
    </row>
    <row r="1022" spans="1:9">
      <c r="A1022" s="3" t="s">
        <v>1047</v>
      </c>
      <c r="B1022" s="3" t="s">
        <v>26</v>
      </c>
      <c r="C1022" s="3">
        <v>1042759</v>
      </c>
      <c r="D1022" s="3">
        <v>22485</v>
      </c>
      <c r="E1022" s="3" t="s">
        <v>27</v>
      </c>
      <c r="F1022" s="3">
        <v>572804</v>
      </c>
      <c r="G1022" s="3">
        <v>14451</v>
      </c>
      <c r="H1022" s="3">
        <v>469955</v>
      </c>
      <c r="I1022" s="3">
        <v>8034</v>
      </c>
    </row>
    <row r="1023" spans="1:9">
      <c r="A1023" s="3" t="s">
        <v>1048</v>
      </c>
      <c r="B1023" s="3" t="s">
        <v>26</v>
      </c>
      <c r="C1023" s="3">
        <v>2328492</v>
      </c>
      <c r="D1023" s="3">
        <v>525513</v>
      </c>
      <c r="E1023" s="3" t="s">
        <v>27</v>
      </c>
      <c r="F1023" s="3">
        <v>1694941</v>
      </c>
      <c r="G1023" s="3">
        <v>359059</v>
      </c>
      <c r="H1023" s="3">
        <v>633551</v>
      </c>
      <c r="I1023" s="3">
        <v>166454</v>
      </c>
    </row>
    <row r="1024" spans="1:9">
      <c r="A1024" s="3" t="s">
        <v>1049</v>
      </c>
      <c r="B1024" s="3" t="s">
        <v>26</v>
      </c>
      <c r="C1024" s="3">
        <v>1496342</v>
      </c>
      <c r="D1024" s="3">
        <v>95628</v>
      </c>
      <c r="E1024" s="3" t="s">
        <v>27</v>
      </c>
      <c r="F1024" s="3">
        <v>889814</v>
      </c>
      <c r="G1024" s="3">
        <v>51689</v>
      </c>
      <c r="H1024" s="3">
        <v>606528</v>
      </c>
      <c r="I1024" s="3">
        <v>43939</v>
      </c>
    </row>
    <row r="1025" spans="1:9">
      <c r="A1025" s="3" t="s">
        <v>1050</v>
      </c>
      <c r="B1025" s="3" t="s">
        <v>26</v>
      </c>
      <c r="C1025" s="3">
        <v>743279</v>
      </c>
      <c r="D1025" s="3">
        <v>27386</v>
      </c>
      <c r="E1025" s="3" t="s">
        <v>27</v>
      </c>
      <c r="F1025" s="3">
        <v>450952</v>
      </c>
      <c r="G1025" s="3">
        <v>17722</v>
      </c>
      <c r="H1025" s="3">
        <v>292327</v>
      </c>
      <c r="I1025" s="3">
        <v>9664</v>
      </c>
    </row>
    <row r="1026" spans="1:9">
      <c r="A1026" s="3" t="s">
        <v>1051</v>
      </c>
      <c r="B1026" s="3" t="s">
        <v>26</v>
      </c>
      <c r="C1026" s="3">
        <v>1201133</v>
      </c>
      <c r="D1026" s="3">
        <v>159062</v>
      </c>
      <c r="E1026" s="3" t="s">
        <v>27</v>
      </c>
      <c r="F1026" s="3">
        <v>838189</v>
      </c>
      <c r="G1026" s="3">
        <v>103605</v>
      </c>
      <c r="H1026" s="3">
        <v>362944</v>
      </c>
      <c r="I1026" s="3">
        <v>55457</v>
      </c>
    </row>
    <row r="1027" spans="1:9">
      <c r="A1027" s="3" t="s">
        <v>1052</v>
      </c>
      <c r="B1027" s="3" t="s">
        <v>26</v>
      </c>
      <c r="C1027" s="3">
        <v>1032886</v>
      </c>
      <c r="D1027" s="3">
        <v>208863</v>
      </c>
      <c r="E1027" s="3" t="s">
        <v>27</v>
      </c>
      <c r="F1027" s="3">
        <v>773947</v>
      </c>
      <c r="G1027" s="3">
        <v>144087</v>
      </c>
      <c r="H1027" s="3">
        <v>258939</v>
      </c>
      <c r="I1027" s="3">
        <v>64776</v>
      </c>
    </row>
    <row r="1028" spans="1:9">
      <c r="A1028" s="3" t="s">
        <v>1053</v>
      </c>
      <c r="B1028" s="3" t="s">
        <v>26</v>
      </c>
      <c r="C1028" s="3">
        <v>923241</v>
      </c>
      <c r="D1028" s="3">
        <v>35699</v>
      </c>
      <c r="E1028" s="3" t="s">
        <v>27</v>
      </c>
      <c r="F1028" s="3">
        <v>495107</v>
      </c>
      <c r="G1028" s="3">
        <v>18911</v>
      </c>
      <c r="H1028" s="3">
        <v>428134</v>
      </c>
      <c r="I1028" s="3">
        <v>16788</v>
      </c>
    </row>
    <row r="1029" spans="1:9">
      <c r="A1029" s="3" t="s">
        <v>1054</v>
      </c>
      <c r="B1029" s="3" t="s">
        <v>26</v>
      </c>
      <c r="C1029" s="3">
        <v>678075</v>
      </c>
      <c r="D1029" s="3">
        <v>31123</v>
      </c>
      <c r="E1029" s="3" t="s">
        <v>27</v>
      </c>
      <c r="F1029" s="3">
        <v>364848</v>
      </c>
      <c r="G1029" s="3">
        <v>15966</v>
      </c>
      <c r="H1029" s="3">
        <v>313227</v>
      </c>
      <c r="I1029" s="3">
        <v>15157</v>
      </c>
    </row>
    <row r="1030" spans="1:9">
      <c r="A1030" s="3" t="s">
        <v>1055</v>
      </c>
      <c r="B1030" s="3" t="s">
        <v>26</v>
      </c>
      <c r="C1030" s="3">
        <v>1214717</v>
      </c>
      <c r="D1030" s="3">
        <v>249980</v>
      </c>
      <c r="E1030" s="3" t="s">
        <v>27</v>
      </c>
      <c r="F1030" s="3">
        <v>870492</v>
      </c>
      <c r="G1030" s="3">
        <v>155284</v>
      </c>
      <c r="H1030" s="3">
        <v>344225</v>
      </c>
      <c r="I1030" s="3">
        <v>94696</v>
      </c>
    </row>
    <row r="1031" spans="1:9">
      <c r="A1031" s="3" t="s">
        <v>1056</v>
      </c>
      <c r="B1031" s="3" t="s">
        <v>26</v>
      </c>
      <c r="C1031" s="3">
        <v>1289467</v>
      </c>
      <c r="D1031" s="3">
        <v>239808</v>
      </c>
      <c r="E1031" s="3" t="s">
        <v>27</v>
      </c>
      <c r="F1031" s="3">
        <v>952950</v>
      </c>
      <c r="G1031" s="3">
        <v>175639</v>
      </c>
      <c r="H1031" s="3">
        <v>336517</v>
      </c>
      <c r="I1031" s="3">
        <v>64169</v>
      </c>
    </row>
    <row r="1032" spans="1:9">
      <c r="A1032" s="3" t="s">
        <v>1057</v>
      </c>
      <c r="B1032" s="3" t="s">
        <v>26</v>
      </c>
      <c r="C1032" s="3">
        <v>613603</v>
      </c>
      <c r="D1032" s="3">
        <v>27863</v>
      </c>
      <c r="E1032" s="3" t="s">
        <v>27</v>
      </c>
      <c r="F1032" s="3">
        <v>341457</v>
      </c>
      <c r="G1032" s="3">
        <v>16576</v>
      </c>
      <c r="H1032" s="3">
        <v>272146</v>
      </c>
      <c r="I1032" s="3">
        <v>11287</v>
      </c>
    </row>
    <row r="1033" spans="1:9">
      <c r="A1033" s="3" t="s">
        <v>1058</v>
      </c>
      <c r="B1033" s="3" t="s">
        <v>26</v>
      </c>
      <c r="C1033" s="3">
        <v>626504</v>
      </c>
      <c r="D1033" s="3">
        <v>15092</v>
      </c>
      <c r="E1033" s="3" t="s">
        <v>27</v>
      </c>
      <c r="F1033" s="3">
        <v>344930</v>
      </c>
      <c r="G1033" s="3">
        <v>11058</v>
      </c>
      <c r="H1033" s="3">
        <v>281574</v>
      </c>
      <c r="I1033" s="3">
        <v>4034</v>
      </c>
    </row>
    <row r="1034" spans="1:9">
      <c r="A1034" s="3" t="s">
        <v>1059</v>
      </c>
      <c r="B1034" s="3" t="s">
        <v>26</v>
      </c>
      <c r="C1034" s="3">
        <v>1354342</v>
      </c>
      <c r="D1034" s="3">
        <v>271102</v>
      </c>
      <c r="E1034" s="3" t="s">
        <v>27</v>
      </c>
      <c r="F1034" s="3">
        <v>923099</v>
      </c>
      <c r="G1034" s="3">
        <v>165450</v>
      </c>
      <c r="H1034" s="3">
        <v>431243</v>
      </c>
      <c r="I1034" s="3">
        <v>105652</v>
      </c>
    </row>
    <row r="1035" spans="1:9">
      <c r="A1035" s="3" t="s">
        <v>1060</v>
      </c>
      <c r="B1035" s="3" t="s">
        <v>26</v>
      </c>
      <c r="C1035" s="3">
        <v>1065199</v>
      </c>
      <c r="D1035" s="3">
        <v>63879</v>
      </c>
      <c r="E1035" s="3" t="s">
        <v>27</v>
      </c>
      <c r="F1035" s="3">
        <v>587222</v>
      </c>
      <c r="G1035" s="3">
        <v>40506</v>
      </c>
      <c r="H1035" s="3">
        <v>477977</v>
      </c>
      <c r="I1035" s="3">
        <v>23373</v>
      </c>
    </row>
    <row r="1036" spans="1:9">
      <c r="A1036" s="3" t="s">
        <v>1061</v>
      </c>
      <c r="B1036" s="3" t="s">
        <v>26</v>
      </c>
      <c r="C1036" s="3">
        <v>877356</v>
      </c>
      <c r="D1036" s="3">
        <v>157158</v>
      </c>
      <c r="E1036" s="3" t="s">
        <v>27</v>
      </c>
      <c r="F1036" s="3">
        <v>653349</v>
      </c>
      <c r="G1036" s="3">
        <v>114958</v>
      </c>
      <c r="H1036" s="3">
        <v>224007</v>
      </c>
      <c r="I1036" s="3">
        <v>42200</v>
      </c>
    </row>
    <row r="1037" spans="1:9">
      <c r="A1037" s="3" t="s">
        <v>1062</v>
      </c>
      <c r="B1037" s="3" t="s">
        <v>26</v>
      </c>
      <c r="C1037" s="3">
        <v>987861</v>
      </c>
      <c r="D1037" s="3">
        <v>128908</v>
      </c>
      <c r="E1037" s="3" t="s">
        <v>27</v>
      </c>
      <c r="F1037" s="3">
        <v>681227</v>
      </c>
      <c r="G1037" s="3">
        <v>85967</v>
      </c>
      <c r="H1037" s="3">
        <v>306634</v>
      </c>
      <c r="I1037" s="3">
        <v>42941</v>
      </c>
    </row>
    <row r="1038" spans="1:9">
      <c r="A1038" s="3" t="s">
        <v>1063</v>
      </c>
      <c r="B1038" s="3" t="s">
        <v>26</v>
      </c>
      <c r="C1038" s="3">
        <v>1154320</v>
      </c>
      <c r="D1038" s="3">
        <v>209773</v>
      </c>
      <c r="E1038" s="3" t="s">
        <v>27</v>
      </c>
      <c r="F1038" s="3">
        <v>972616</v>
      </c>
      <c r="G1038" s="3">
        <v>162939</v>
      </c>
      <c r="H1038" s="3">
        <v>181704</v>
      </c>
      <c r="I1038" s="3">
        <v>46834</v>
      </c>
    </row>
    <row r="1039" spans="1:9">
      <c r="A1039" s="3" t="s">
        <v>1064</v>
      </c>
      <c r="B1039" s="3" t="s">
        <v>26</v>
      </c>
      <c r="C1039" s="3">
        <v>512260</v>
      </c>
      <c r="D1039" s="3">
        <v>1074</v>
      </c>
      <c r="E1039" s="3" t="s">
        <v>27</v>
      </c>
      <c r="F1039" s="3">
        <v>262413</v>
      </c>
      <c r="G1039" s="3">
        <v>427</v>
      </c>
      <c r="H1039" s="3">
        <v>249847</v>
      </c>
      <c r="I1039" s="3">
        <v>647</v>
      </c>
    </row>
    <row r="1040" spans="1:9">
      <c r="A1040" s="3" t="s">
        <v>1065</v>
      </c>
      <c r="B1040" s="3" t="s">
        <v>26</v>
      </c>
      <c r="C1040" s="3">
        <v>862987</v>
      </c>
      <c r="D1040" s="3">
        <v>7760</v>
      </c>
      <c r="E1040" s="3" t="s">
        <v>27</v>
      </c>
      <c r="F1040" s="3">
        <v>350904</v>
      </c>
      <c r="G1040" s="3">
        <v>3906</v>
      </c>
      <c r="H1040" s="3">
        <v>512083</v>
      </c>
      <c r="I1040" s="3">
        <v>3854</v>
      </c>
    </row>
    <row r="1041" spans="1:9">
      <c r="A1041" s="3" t="s">
        <v>1066</v>
      </c>
      <c r="B1041" s="3" t="s">
        <v>26</v>
      </c>
      <c r="C1041" s="3">
        <v>1396395</v>
      </c>
      <c r="D1041" s="3">
        <v>301626</v>
      </c>
      <c r="E1041" s="3" t="s">
        <v>27</v>
      </c>
      <c r="F1041" s="3">
        <v>980906</v>
      </c>
      <c r="G1041" s="3">
        <v>195804</v>
      </c>
      <c r="H1041" s="3">
        <v>415489</v>
      </c>
      <c r="I1041" s="3">
        <v>105822</v>
      </c>
    </row>
    <row r="1042" spans="1:9">
      <c r="A1042" s="3" t="s">
        <v>1067</v>
      </c>
      <c r="B1042" s="3" t="s">
        <v>26</v>
      </c>
      <c r="C1042" s="3">
        <v>1743858</v>
      </c>
      <c r="D1042" s="3">
        <v>390877</v>
      </c>
      <c r="E1042" s="3" t="s">
        <v>27</v>
      </c>
      <c r="F1042" s="3">
        <v>1177896</v>
      </c>
      <c r="G1042" s="3">
        <v>252831</v>
      </c>
      <c r="H1042" s="3">
        <v>565962</v>
      </c>
      <c r="I1042" s="3">
        <v>138046</v>
      </c>
    </row>
    <row r="1043" spans="1:9">
      <c r="A1043" s="3" t="s">
        <v>1068</v>
      </c>
      <c r="B1043" s="3" t="s">
        <v>26</v>
      </c>
      <c r="C1043" s="3">
        <v>1206867</v>
      </c>
      <c r="D1043" s="3">
        <v>192902</v>
      </c>
      <c r="E1043" s="3" t="s">
        <v>27</v>
      </c>
      <c r="F1043" s="3">
        <v>829048</v>
      </c>
      <c r="G1043" s="3">
        <v>114273</v>
      </c>
      <c r="H1043" s="3">
        <v>377819</v>
      </c>
      <c r="I1043" s="3">
        <v>78629</v>
      </c>
    </row>
    <row r="1044" spans="1:9">
      <c r="A1044" s="3" t="s">
        <v>1069</v>
      </c>
      <c r="B1044" s="3" t="s">
        <v>26</v>
      </c>
      <c r="C1044" s="3">
        <v>507421</v>
      </c>
      <c r="D1044" s="3">
        <v>599</v>
      </c>
      <c r="E1044" s="3" t="s">
        <v>27</v>
      </c>
      <c r="F1044" s="3">
        <v>263049</v>
      </c>
      <c r="G1044" s="3">
        <v>282</v>
      </c>
      <c r="H1044" s="3">
        <v>244372</v>
      </c>
      <c r="I1044" s="3">
        <v>317</v>
      </c>
    </row>
    <row r="1045" spans="1:9">
      <c r="A1045" s="3" t="s">
        <v>1070</v>
      </c>
      <c r="B1045" s="3" t="s">
        <v>26</v>
      </c>
      <c r="C1045" s="3">
        <v>1484923</v>
      </c>
      <c r="D1045" s="3">
        <v>326014</v>
      </c>
      <c r="E1045" s="3" t="s">
        <v>27</v>
      </c>
      <c r="F1045" s="3">
        <v>1157776</v>
      </c>
      <c r="G1045" s="3">
        <v>239639</v>
      </c>
      <c r="H1045" s="3">
        <v>327147</v>
      </c>
      <c r="I1045" s="3">
        <v>86375</v>
      </c>
    </row>
    <row r="1046" spans="1:9">
      <c r="A1046" s="3" t="s">
        <v>1071</v>
      </c>
      <c r="B1046" s="3" t="s">
        <v>26</v>
      </c>
      <c r="C1046" s="3">
        <v>1014133</v>
      </c>
      <c r="D1046" s="3">
        <v>127948</v>
      </c>
      <c r="E1046" s="3" t="s">
        <v>27</v>
      </c>
      <c r="F1046" s="3">
        <v>723313</v>
      </c>
      <c r="G1046" s="3">
        <v>92756</v>
      </c>
      <c r="H1046" s="3">
        <v>290820</v>
      </c>
      <c r="I1046" s="3">
        <v>35192</v>
      </c>
    </row>
    <row r="1047" spans="1:9">
      <c r="A1047" s="3" t="s">
        <v>1072</v>
      </c>
      <c r="B1047" s="3" t="s">
        <v>26</v>
      </c>
      <c r="C1047" s="3">
        <v>866160</v>
      </c>
      <c r="D1047" s="3">
        <v>132949</v>
      </c>
      <c r="E1047" s="3" t="s">
        <v>27</v>
      </c>
      <c r="F1047" s="3">
        <v>648290</v>
      </c>
      <c r="G1047" s="3">
        <v>87939</v>
      </c>
      <c r="H1047" s="3">
        <v>217870</v>
      </c>
      <c r="I1047" s="3">
        <v>45010</v>
      </c>
    </row>
    <row r="1048" spans="1:9">
      <c r="A1048" s="3" t="s">
        <v>1073</v>
      </c>
      <c r="B1048" s="3" t="s">
        <v>26</v>
      </c>
      <c r="C1048" s="3">
        <v>953975</v>
      </c>
      <c r="D1048" s="3">
        <v>2857</v>
      </c>
      <c r="E1048" s="3" t="s">
        <v>27</v>
      </c>
      <c r="F1048" s="3">
        <v>482053</v>
      </c>
      <c r="G1048" s="3">
        <v>605</v>
      </c>
      <c r="H1048" s="3">
        <v>471922</v>
      </c>
      <c r="I1048" s="3">
        <v>2252</v>
      </c>
    </row>
    <row r="1049" spans="1:9">
      <c r="A1049" s="3" t="s">
        <v>1074</v>
      </c>
      <c r="B1049" s="3" t="s">
        <v>26</v>
      </c>
      <c r="C1049" s="3">
        <v>1519234</v>
      </c>
      <c r="D1049" s="3">
        <v>294037</v>
      </c>
      <c r="E1049" s="3" t="s">
        <v>27</v>
      </c>
      <c r="F1049" s="3">
        <v>949944</v>
      </c>
      <c r="G1049" s="3">
        <v>174632</v>
      </c>
      <c r="H1049" s="3">
        <v>569290</v>
      </c>
      <c r="I1049" s="3">
        <v>119405</v>
      </c>
    </row>
    <row r="1050" spans="1:9">
      <c r="A1050" s="3" t="s">
        <v>1075</v>
      </c>
      <c r="B1050" s="3" t="s">
        <v>26</v>
      </c>
      <c r="C1050" s="3">
        <v>954534</v>
      </c>
      <c r="D1050" s="3">
        <v>57491</v>
      </c>
      <c r="E1050" s="3" t="s">
        <v>27</v>
      </c>
      <c r="F1050" s="3">
        <v>505937</v>
      </c>
      <c r="G1050" s="3">
        <v>29037</v>
      </c>
      <c r="H1050" s="3">
        <v>448597</v>
      </c>
      <c r="I1050" s="3">
        <v>28454</v>
      </c>
    </row>
    <row r="1051" spans="1:9">
      <c r="A1051" s="3" t="s">
        <v>1076</v>
      </c>
      <c r="B1051" s="3" t="s">
        <v>26</v>
      </c>
      <c r="C1051" s="3">
        <v>1195939</v>
      </c>
      <c r="D1051" s="3">
        <v>162029</v>
      </c>
      <c r="E1051" s="3" t="s">
        <v>27</v>
      </c>
      <c r="F1051" s="3">
        <v>693091</v>
      </c>
      <c r="G1051" s="3">
        <v>89534</v>
      </c>
      <c r="H1051" s="3">
        <v>502848</v>
      </c>
      <c r="I1051" s="3">
        <v>72495</v>
      </c>
    </row>
    <row r="1052" spans="1:9">
      <c r="A1052" s="3" t="s">
        <v>1077</v>
      </c>
      <c r="B1052" s="3" t="s">
        <v>26</v>
      </c>
      <c r="C1052" s="3">
        <v>1315506</v>
      </c>
      <c r="D1052" s="3">
        <v>214171</v>
      </c>
      <c r="E1052" s="3" t="s">
        <v>27</v>
      </c>
      <c r="F1052" s="3">
        <v>854209</v>
      </c>
      <c r="G1052" s="3">
        <v>137236</v>
      </c>
      <c r="H1052" s="3">
        <v>461297</v>
      </c>
      <c r="I1052" s="3">
        <v>76935</v>
      </c>
    </row>
    <row r="1053" spans="1:9">
      <c r="A1053" s="3" t="s">
        <v>1078</v>
      </c>
      <c r="B1053" s="3" t="s">
        <v>26</v>
      </c>
      <c r="C1053" s="3">
        <v>188087</v>
      </c>
      <c r="D1053" s="3">
        <v>26386</v>
      </c>
      <c r="E1053" s="3" t="s">
        <v>27</v>
      </c>
      <c r="F1053" s="3">
        <v>158025</v>
      </c>
      <c r="G1053" s="3">
        <v>23515</v>
      </c>
      <c r="H1053" s="3">
        <v>30062</v>
      </c>
      <c r="I1053" s="3">
        <v>2871</v>
      </c>
    </row>
    <row r="1054" spans="1:9">
      <c r="A1054" s="3" t="s">
        <v>1079</v>
      </c>
      <c r="B1054" s="3" t="s">
        <v>26</v>
      </c>
      <c r="C1054" s="3">
        <v>943389</v>
      </c>
      <c r="D1054" s="3">
        <v>167735</v>
      </c>
      <c r="E1054" s="3" t="s">
        <v>27</v>
      </c>
      <c r="F1054" s="3">
        <v>759560</v>
      </c>
      <c r="G1054" s="3">
        <v>131002</v>
      </c>
      <c r="H1054" s="3">
        <v>183829</v>
      </c>
      <c r="I1054" s="3">
        <v>36733</v>
      </c>
    </row>
    <row r="1055" spans="1:9">
      <c r="A1055" s="3" t="s">
        <v>1080</v>
      </c>
      <c r="B1055" s="3" t="s">
        <v>26</v>
      </c>
      <c r="C1055" s="3">
        <v>959622</v>
      </c>
      <c r="D1055" s="3">
        <v>13815</v>
      </c>
      <c r="E1055" s="3" t="s">
        <v>27</v>
      </c>
      <c r="F1055" s="3">
        <v>500921</v>
      </c>
      <c r="G1055" s="3">
        <v>7819</v>
      </c>
      <c r="H1055" s="3">
        <v>458701</v>
      </c>
      <c r="I1055" s="3">
        <v>5996</v>
      </c>
    </row>
    <row r="1056" spans="1:9">
      <c r="A1056" s="3" t="s">
        <v>1081</v>
      </c>
      <c r="B1056" s="3" t="s">
        <v>26</v>
      </c>
      <c r="C1056" s="3">
        <v>1213991</v>
      </c>
      <c r="D1056" s="3">
        <v>180341</v>
      </c>
      <c r="E1056" s="3" t="s">
        <v>27</v>
      </c>
      <c r="F1056" s="3">
        <v>803888</v>
      </c>
      <c r="G1056" s="3">
        <v>117025</v>
      </c>
      <c r="H1056" s="3">
        <v>410103</v>
      </c>
      <c r="I1056" s="3">
        <v>63316</v>
      </c>
    </row>
    <row r="1057" spans="1:9">
      <c r="A1057" s="3" t="s">
        <v>1082</v>
      </c>
      <c r="B1057" s="3" t="s">
        <v>26</v>
      </c>
      <c r="C1057" s="3">
        <v>974678</v>
      </c>
      <c r="D1057" s="3">
        <v>41724</v>
      </c>
      <c r="E1057" s="3" t="s">
        <v>27</v>
      </c>
      <c r="F1057" s="3">
        <v>530129</v>
      </c>
      <c r="G1057" s="3">
        <v>24305</v>
      </c>
      <c r="H1057" s="3">
        <v>444549</v>
      </c>
      <c r="I1057" s="3">
        <v>17419</v>
      </c>
    </row>
    <row r="1058" spans="1:9">
      <c r="A1058" s="3" t="s">
        <v>1083</v>
      </c>
      <c r="B1058" s="3" t="s">
        <v>26</v>
      </c>
      <c r="C1058" s="3">
        <v>1152040</v>
      </c>
      <c r="D1058" s="3">
        <v>143514</v>
      </c>
      <c r="E1058" s="3" t="s">
        <v>27</v>
      </c>
      <c r="F1058" s="3">
        <v>595150</v>
      </c>
      <c r="G1058" s="3">
        <v>73677</v>
      </c>
      <c r="H1058" s="3">
        <v>556890</v>
      </c>
      <c r="I1058" s="3">
        <v>69837</v>
      </c>
    </row>
    <row r="1059" spans="1:9">
      <c r="A1059" s="3" t="s">
        <v>1084</v>
      </c>
      <c r="B1059" s="3" t="s">
        <v>26</v>
      </c>
      <c r="C1059" s="3">
        <v>1221498</v>
      </c>
      <c r="D1059" s="3">
        <v>180271</v>
      </c>
      <c r="E1059" s="3" t="s">
        <v>27</v>
      </c>
      <c r="F1059" s="3">
        <v>831303</v>
      </c>
      <c r="G1059" s="3">
        <v>126550</v>
      </c>
      <c r="H1059" s="3">
        <v>390195</v>
      </c>
      <c r="I1059" s="3">
        <v>53721</v>
      </c>
    </row>
    <row r="1060" spans="1:9">
      <c r="A1060" s="3" t="s">
        <v>1085</v>
      </c>
      <c r="B1060" s="3" t="s">
        <v>26</v>
      </c>
      <c r="C1060" s="3">
        <v>905096</v>
      </c>
      <c r="D1060" s="3">
        <v>121186</v>
      </c>
      <c r="E1060" s="3" t="s">
        <v>27</v>
      </c>
      <c r="F1060" s="3">
        <v>629906</v>
      </c>
      <c r="G1060" s="3">
        <v>85939</v>
      </c>
      <c r="H1060" s="3">
        <v>275190</v>
      </c>
      <c r="I1060" s="3">
        <v>35247</v>
      </c>
    </row>
    <row r="1061" spans="1:9">
      <c r="A1061" s="3" t="s">
        <v>1086</v>
      </c>
      <c r="B1061" s="3" t="s">
        <v>26</v>
      </c>
      <c r="C1061" s="3">
        <v>1200116</v>
      </c>
      <c r="D1061" s="3">
        <v>124130</v>
      </c>
      <c r="E1061" s="3" t="s">
        <v>27</v>
      </c>
      <c r="F1061" s="3">
        <v>807076</v>
      </c>
      <c r="G1061" s="3">
        <v>85911</v>
      </c>
      <c r="H1061" s="3">
        <v>393040</v>
      </c>
      <c r="I1061" s="3">
        <v>38219</v>
      </c>
    </row>
    <row r="1062" spans="1:9">
      <c r="A1062" s="3" t="s">
        <v>1087</v>
      </c>
      <c r="B1062" s="3" t="s">
        <v>26</v>
      </c>
      <c r="C1062" s="3">
        <v>717783</v>
      </c>
      <c r="D1062" s="3">
        <v>34047</v>
      </c>
      <c r="E1062" s="3" t="s">
        <v>27</v>
      </c>
      <c r="F1062" s="3">
        <v>444048</v>
      </c>
      <c r="G1062" s="3">
        <v>17517</v>
      </c>
      <c r="H1062" s="3">
        <v>273735</v>
      </c>
      <c r="I1062" s="3">
        <v>16530</v>
      </c>
    </row>
    <row r="1063" spans="1:9">
      <c r="A1063" s="3" t="s">
        <v>1088</v>
      </c>
      <c r="B1063" s="3" t="s">
        <v>26</v>
      </c>
      <c r="C1063" s="3">
        <v>1078376</v>
      </c>
      <c r="D1063" s="3">
        <v>164732</v>
      </c>
      <c r="E1063" s="3" t="s">
        <v>27</v>
      </c>
      <c r="F1063" s="3">
        <v>708681</v>
      </c>
      <c r="G1063" s="3">
        <v>100033</v>
      </c>
      <c r="H1063" s="3">
        <v>369695</v>
      </c>
      <c r="I1063" s="3">
        <v>64699</v>
      </c>
    </row>
    <row r="1064" spans="1:9">
      <c r="A1064" s="3" t="s">
        <v>1089</v>
      </c>
      <c r="B1064" s="3" t="s">
        <v>26</v>
      </c>
      <c r="C1064" s="3">
        <v>1182882</v>
      </c>
      <c r="D1064" s="3">
        <v>121731</v>
      </c>
      <c r="E1064" s="3" t="s">
        <v>27</v>
      </c>
      <c r="F1064" s="3">
        <v>680167</v>
      </c>
      <c r="G1064" s="3">
        <v>67791</v>
      </c>
      <c r="H1064" s="3">
        <v>502715</v>
      </c>
      <c r="I1064" s="3">
        <v>53940</v>
      </c>
    </row>
    <row r="1065" spans="1:9">
      <c r="A1065" s="3" t="s">
        <v>1090</v>
      </c>
      <c r="B1065" s="3" t="s">
        <v>26</v>
      </c>
      <c r="C1065" s="3">
        <v>950236</v>
      </c>
      <c r="D1065" s="3">
        <v>35492</v>
      </c>
      <c r="E1065" s="3" t="s">
        <v>27</v>
      </c>
      <c r="F1065" s="3">
        <v>465089</v>
      </c>
      <c r="G1065" s="3">
        <v>17957</v>
      </c>
      <c r="H1065" s="3">
        <v>485147</v>
      </c>
      <c r="I1065" s="3">
        <v>17535</v>
      </c>
    </row>
    <row r="1066" spans="1:9">
      <c r="A1066" s="3" t="s">
        <v>1091</v>
      </c>
      <c r="B1066" s="3" t="s">
        <v>26</v>
      </c>
      <c r="C1066" s="3">
        <v>826854</v>
      </c>
      <c r="D1066" s="3">
        <v>116696</v>
      </c>
      <c r="E1066" s="3" t="s">
        <v>27</v>
      </c>
      <c r="F1066" s="3">
        <v>590936</v>
      </c>
      <c r="G1066" s="3">
        <v>91594</v>
      </c>
      <c r="H1066" s="3">
        <v>235918</v>
      </c>
      <c r="I1066" s="3">
        <v>25102</v>
      </c>
    </row>
    <row r="1067" spans="1:9">
      <c r="A1067" s="3" t="s">
        <v>1092</v>
      </c>
      <c r="B1067" s="3" t="s">
        <v>26</v>
      </c>
      <c r="C1067" s="3">
        <v>1291554</v>
      </c>
      <c r="D1067" s="3">
        <v>181523</v>
      </c>
      <c r="E1067" s="3" t="s">
        <v>27</v>
      </c>
      <c r="F1067" s="3">
        <v>892843</v>
      </c>
      <c r="G1067" s="3">
        <v>120897</v>
      </c>
      <c r="H1067" s="3">
        <v>398711</v>
      </c>
      <c r="I1067" s="3">
        <v>60626</v>
      </c>
    </row>
    <row r="1068" spans="1:9">
      <c r="A1068" s="3" t="s">
        <v>1093</v>
      </c>
      <c r="B1068" s="3" t="s">
        <v>26</v>
      </c>
      <c r="C1068" s="3">
        <v>906709</v>
      </c>
      <c r="D1068" s="3">
        <v>103574</v>
      </c>
      <c r="E1068" s="3" t="s">
        <v>27</v>
      </c>
      <c r="F1068" s="3">
        <v>525440</v>
      </c>
      <c r="G1068" s="3">
        <v>62740</v>
      </c>
      <c r="H1068" s="3">
        <v>381269</v>
      </c>
      <c r="I1068" s="3">
        <v>40834</v>
      </c>
    </row>
    <row r="1069" spans="1:9">
      <c r="A1069" s="3" t="s">
        <v>1094</v>
      </c>
      <c r="B1069" s="3" t="s">
        <v>26</v>
      </c>
      <c r="C1069" s="3">
        <v>1178153</v>
      </c>
      <c r="D1069" s="3">
        <v>252848</v>
      </c>
      <c r="E1069" s="3" t="s">
        <v>27</v>
      </c>
      <c r="F1069" s="3">
        <v>870665</v>
      </c>
      <c r="G1069" s="3">
        <v>173500</v>
      </c>
      <c r="H1069" s="3">
        <v>307488</v>
      </c>
      <c r="I1069" s="3">
        <v>79348</v>
      </c>
    </row>
    <row r="1070" spans="1:9">
      <c r="A1070" s="3" t="s">
        <v>1095</v>
      </c>
      <c r="B1070" s="3" t="s">
        <v>26</v>
      </c>
      <c r="C1070" s="3">
        <v>1130130</v>
      </c>
      <c r="D1070" s="3">
        <v>102267</v>
      </c>
      <c r="E1070" s="3" t="s">
        <v>27</v>
      </c>
      <c r="F1070" s="3">
        <v>603106</v>
      </c>
      <c r="G1070" s="3">
        <v>60664</v>
      </c>
      <c r="H1070" s="3">
        <v>527024</v>
      </c>
      <c r="I1070" s="3">
        <v>41603</v>
      </c>
    </row>
    <row r="1071" spans="1:9">
      <c r="A1071" s="3" t="s">
        <v>1096</v>
      </c>
      <c r="B1071" s="3" t="s">
        <v>26</v>
      </c>
      <c r="C1071" s="3">
        <v>1201222</v>
      </c>
      <c r="D1071" s="3">
        <v>114030</v>
      </c>
      <c r="E1071" s="3" t="s">
        <v>27</v>
      </c>
      <c r="F1071" s="3">
        <v>674576</v>
      </c>
      <c r="G1071" s="3">
        <v>61577</v>
      </c>
      <c r="H1071" s="3">
        <v>526646</v>
      </c>
      <c r="I1071" s="3">
        <v>52453</v>
      </c>
    </row>
    <row r="1072" spans="1:9">
      <c r="A1072" s="3" t="s">
        <v>1097</v>
      </c>
      <c r="B1072" s="3" t="s">
        <v>26</v>
      </c>
      <c r="C1072" s="3">
        <v>903583</v>
      </c>
      <c r="D1072" s="3">
        <v>43039</v>
      </c>
      <c r="E1072" s="3" t="s">
        <v>27</v>
      </c>
      <c r="F1072" s="3">
        <v>442720</v>
      </c>
      <c r="G1072" s="3">
        <v>21694</v>
      </c>
      <c r="H1072" s="3">
        <v>460863</v>
      </c>
      <c r="I1072" s="3">
        <v>21345</v>
      </c>
    </row>
    <row r="1073" spans="1:9">
      <c r="A1073" s="3" t="s">
        <v>1098</v>
      </c>
      <c r="B1073" s="3" t="s">
        <v>26</v>
      </c>
      <c r="C1073" s="3">
        <v>1034151</v>
      </c>
      <c r="D1073" s="3">
        <v>125559</v>
      </c>
      <c r="E1073" s="3" t="s">
        <v>27</v>
      </c>
      <c r="F1073" s="3">
        <v>650048</v>
      </c>
      <c r="G1073" s="3">
        <v>80546</v>
      </c>
      <c r="H1073" s="3">
        <v>384103</v>
      </c>
      <c r="I1073" s="3">
        <v>45013</v>
      </c>
    </row>
    <row r="1074" spans="1:9">
      <c r="A1074" s="3" t="s">
        <v>1099</v>
      </c>
      <c r="B1074" s="3" t="s">
        <v>26</v>
      </c>
      <c r="C1074" s="3">
        <v>1335523</v>
      </c>
      <c r="D1074" s="3">
        <v>172770</v>
      </c>
      <c r="E1074" s="3" t="s">
        <v>27</v>
      </c>
      <c r="F1074" s="3">
        <v>901657</v>
      </c>
      <c r="G1074" s="3">
        <v>117468</v>
      </c>
      <c r="H1074" s="3">
        <v>433866</v>
      </c>
      <c r="I1074" s="3">
        <v>55302</v>
      </c>
    </row>
    <row r="1075" spans="1:9">
      <c r="A1075" s="3" t="s">
        <v>1100</v>
      </c>
      <c r="B1075" s="3" t="s">
        <v>26</v>
      </c>
      <c r="C1075" s="3">
        <v>1638856</v>
      </c>
      <c r="D1075" s="3">
        <v>266034</v>
      </c>
      <c r="E1075" s="3" t="s">
        <v>27</v>
      </c>
      <c r="F1075" s="3">
        <v>1218353</v>
      </c>
      <c r="G1075" s="3">
        <v>197727</v>
      </c>
      <c r="H1075" s="3">
        <v>420503</v>
      </c>
      <c r="I1075" s="3">
        <v>68307</v>
      </c>
    </row>
    <row r="1076" spans="1:9">
      <c r="A1076" s="3" t="s">
        <v>1101</v>
      </c>
      <c r="B1076" s="3" t="s">
        <v>26</v>
      </c>
      <c r="C1076" s="3">
        <v>1261395</v>
      </c>
      <c r="D1076" s="3">
        <v>129632</v>
      </c>
      <c r="E1076" s="3" t="s">
        <v>27</v>
      </c>
      <c r="F1076" s="3">
        <v>897690</v>
      </c>
      <c r="G1076" s="3">
        <v>88633</v>
      </c>
      <c r="H1076" s="3">
        <v>363705</v>
      </c>
      <c r="I1076" s="3">
        <v>40999</v>
      </c>
    </row>
    <row r="1077" spans="1:9">
      <c r="A1077" s="3" t="s">
        <v>1102</v>
      </c>
      <c r="B1077" s="3" t="s">
        <v>26</v>
      </c>
      <c r="C1077" s="3">
        <v>976039</v>
      </c>
      <c r="D1077" s="3">
        <v>79763</v>
      </c>
      <c r="E1077" s="3" t="s">
        <v>27</v>
      </c>
      <c r="F1077" s="3">
        <v>699837</v>
      </c>
      <c r="G1077" s="3">
        <v>57111</v>
      </c>
      <c r="H1077" s="3">
        <v>276202</v>
      </c>
      <c r="I1077" s="3">
        <v>22652</v>
      </c>
    </row>
    <row r="1078" spans="1:9">
      <c r="A1078" s="3" t="s">
        <v>1103</v>
      </c>
      <c r="B1078" s="3" t="s">
        <v>26</v>
      </c>
      <c r="C1078" s="3">
        <v>1355303</v>
      </c>
      <c r="D1078" s="3">
        <v>150547</v>
      </c>
      <c r="E1078" s="3" t="s">
        <v>27</v>
      </c>
      <c r="F1078" s="3">
        <v>788782</v>
      </c>
      <c r="G1078" s="3">
        <v>87380</v>
      </c>
      <c r="H1078" s="3">
        <v>566521</v>
      </c>
      <c r="I1078" s="3">
        <v>63167</v>
      </c>
    </row>
    <row r="1079" spans="1:9">
      <c r="A1079" s="3" t="s">
        <v>1104</v>
      </c>
      <c r="B1079" s="3" t="s">
        <v>26</v>
      </c>
      <c r="C1079" s="3">
        <v>1071166</v>
      </c>
      <c r="D1079" s="3">
        <v>172091</v>
      </c>
      <c r="E1079" s="3" t="s">
        <v>27</v>
      </c>
      <c r="F1079" s="3">
        <v>818276</v>
      </c>
      <c r="G1079" s="3">
        <v>119355</v>
      </c>
      <c r="H1079" s="3">
        <v>252890</v>
      </c>
      <c r="I1079" s="3">
        <v>52736</v>
      </c>
    </row>
    <row r="1080" spans="1:9">
      <c r="A1080" s="3" t="s">
        <v>1105</v>
      </c>
      <c r="B1080" s="3" t="s">
        <v>26</v>
      </c>
      <c r="C1080" s="3">
        <v>842181</v>
      </c>
      <c r="D1080" s="3">
        <v>34983</v>
      </c>
      <c r="E1080" s="3" t="s">
        <v>27</v>
      </c>
      <c r="F1080" s="3">
        <v>568424</v>
      </c>
      <c r="G1080" s="3">
        <v>20821</v>
      </c>
      <c r="H1080" s="3">
        <v>273757</v>
      </c>
      <c r="I1080" s="3">
        <v>14162</v>
      </c>
    </row>
    <row r="1081" spans="1:9">
      <c r="A1081" s="3" t="s">
        <v>1106</v>
      </c>
      <c r="B1081" s="3" t="s">
        <v>26</v>
      </c>
      <c r="C1081" s="3">
        <v>1712443</v>
      </c>
      <c r="D1081" s="3">
        <v>335104</v>
      </c>
      <c r="E1081" s="3" t="s">
        <v>27</v>
      </c>
      <c r="F1081" s="3">
        <v>1171108</v>
      </c>
      <c r="G1081" s="3">
        <v>223079</v>
      </c>
      <c r="H1081" s="3">
        <v>541335</v>
      </c>
      <c r="I1081" s="3">
        <v>112025</v>
      </c>
    </row>
    <row r="1082" spans="1:9">
      <c r="A1082" s="3" t="s">
        <v>1107</v>
      </c>
      <c r="B1082" s="3" t="s">
        <v>26</v>
      </c>
      <c r="C1082" s="3">
        <v>989228</v>
      </c>
      <c r="D1082" s="3">
        <v>143432</v>
      </c>
      <c r="E1082" s="3" t="s">
        <v>27</v>
      </c>
      <c r="F1082" s="3">
        <v>680743</v>
      </c>
      <c r="G1082" s="3">
        <v>91867</v>
      </c>
      <c r="H1082" s="3">
        <v>308485</v>
      </c>
      <c r="I1082" s="3">
        <v>51565</v>
      </c>
    </row>
    <row r="1083" spans="1:9">
      <c r="A1083" s="3" t="s">
        <v>1108</v>
      </c>
      <c r="B1083" s="3" t="s">
        <v>26</v>
      </c>
      <c r="C1083" s="3">
        <v>1052949</v>
      </c>
      <c r="D1083" s="3">
        <v>29090</v>
      </c>
      <c r="E1083" s="3" t="s">
        <v>27</v>
      </c>
      <c r="F1083" s="3">
        <v>554736</v>
      </c>
      <c r="G1083" s="3">
        <v>14951</v>
      </c>
      <c r="H1083" s="3">
        <v>498213</v>
      </c>
      <c r="I1083" s="3">
        <v>14139</v>
      </c>
    </row>
    <row r="1084" spans="1:9">
      <c r="A1084" s="3" t="s">
        <v>1109</v>
      </c>
      <c r="B1084" s="3" t="s">
        <v>26</v>
      </c>
      <c r="C1084" s="3">
        <v>558223</v>
      </c>
      <c r="D1084" s="3">
        <v>592</v>
      </c>
      <c r="E1084" s="3" t="s">
        <v>27</v>
      </c>
      <c r="F1084" s="3">
        <v>283728</v>
      </c>
      <c r="G1084" s="3">
        <v>272</v>
      </c>
      <c r="H1084" s="3">
        <v>274495</v>
      </c>
      <c r="I1084" s="3">
        <v>320</v>
      </c>
    </row>
    <row r="1085" spans="1:9">
      <c r="A1085" s="3" t="s">
        <v>1110</v>
      </c>
      <c r="B1085" s="3" t="s">
        <v>26</v>
      </c>
      <c r="C1085" s="3">
        <v>1508009</v>
      </c>
      <c r="D1085" s="3">
        <v>268493</v>
      </c>
      <c r="E1085" s="3" t="s">
        <v>27</v>
      </c>
      <c r="F1085" s="3">
        <v>1038519</v>
      </c>
      <c r="G1085" s="3">
        <v>175885</v>
      </c>
      <c r="H1085" s="3">
        <v>469490</v>
      </c>
      <c r="I1085" s="3">
        <v>92608</v>
      </c>
    </row>
    <row r="1086" spans="1:9">
      <c r="A1086" s="3" t="s">
        <v>1111</v>
      </c>
      <c r="B1086" s="3" t="s">
        <v>26</v>
      </c>
      <c r="C1086" s="3">
        <v>1254088</v>
      </c>
      <c r="D1086" s="3">
        <v>120645</v>
      </c>
      <c r="E1086" s="3" t="s">
        <v>27</v>
      </c>
      <c r="F1086" s="3">
        <v>731217</v>
      </c>
      <c r="G1086" s="3">
        <v>72598</v>
      </c>
      <c r="H1086" s="3">
        <v>522871</v>
      </c>
      <c r="I1086" s="3">
        <v>48047</v>
      </c>
    </row>
    <row r="1087" spans="1:9">
      <c r="A1087" s="3" t="s">
        <v>1112</v>
      </c>
      <c r="B1087" s="3" t="s">
        <v>26</v>
      </c>
      <c r="C1087" s="3">
        <v>1158163</v>
      </c>
      <c r="D1087" s="3">
        <v>162612</v>
      </c>
      <c r="E1087" s="3" t="s">
        <v>27</v>
      </c>
      <c r="F1087" s="3">
        <v>809107</v>
      </c>
      <c r="G1087" s="3">
        <v>118662</v>
      </c>
      <c r="H1087" s="3">
        <v>349056</v>
      </c>
      <c r="I1087" s="3">
        <v>43950</v>
      </c>
    </row>
    <row r="1088" spans="1:9">
      <c r="A1088" s="3" t="s">
        <v>1113</v>
      </c>
      <c r="B1088" s="3" t="s">
        <v>26</v>
      </c>
      <c r="C1088" s="3">
        <v>1049064</v>
      </c>
      <c r="D1088" s="3">
        <v>95306</v>
      </c>
      <c r="E1088" s="3" t="s">
        <v>27</v>
      </c>
      <c r="F1088" s="3">
        <v>610714</v>
      </c>
      <c r="G1088" s="3">
        <v>52832</v>
      </c>
      <c r="H1088" s="3">
        <v>438350</v>
      </c>
      <c r="I1088" s="3">
        <v>42474</v>
      </c>
    </row>
    <row r="1089" spans="1:9">
      <c r="A1089" s="3" t="s">
        <v>1114</v>
      </c>
      <c r="B1089" s="3" t="s">
        <v>26</v>
      </c>
      <c r="C1089" s="3">
        <v>1121543</v>
      </c>
      <c r="D1089" s="3">
        <v>14657</v>
      </c>
      <c r="E1089" s="3" t="s">
        <v>27</v>
      </c>
      <c r="F1089" s="3">
        <v>597849</v>
      </c>
      <c r="G1089" s="3">
        <v>7718</v>
      </c>
      <c r="H1089" s="3">
        <v>523694</v>
      </c>
      <c r="I1089" s="3">
        <v>6939</v>
      </c>
    </row>
    <row r="1090" spans="1:9">
      <c r="A1090" s="3" t="s">
        <v>1115</v>
      </c>
      <c r="B1090" s="3" t="s">
        <v>26</v>
      </c>
      <c r="C1090" s="3">
        <v>1181824</v>
      </c>
      <c r="D1090" s="3">
        <v>154797</v>
      </c>
      <c r="E1090" s="3" t="s">
        <v>27</v>
      </c>
      <c r="F1090" s="3">
        <v>731402</v>
      </c>
      <c r="G1090" s="3">
        <v>99466</v>
      </c>
      <c r="H1090" s="3">
        <v>450422</v>
      </c>
      <c r="I1090" s="3">
        <v>55331</v>
      </c>
    </row>
    <row r="1091" spans="1:9">
      <c r="A1091" s="3" t="s">
        <v>1116</v>
      </c>
      <c r="B1091" s="3" t="s">
        <v>26</v>
      </c>
      <c r="C1091" s="3">
        <v>581093</v>
      </c>
      <c r="D1091" s="3">
        <v>30631</v>
      </c>
      <c r="E1091" s="3" t="s">
        <v>27</v>
      </c>
      <c r="F1091" s="3">
        <v>396859</v>
      </c>
      <c r="G1091" s="3">
        <v>21112</v>
      </c>
      <c r="H1091" s="3">
        <v>184234</v>
      </c>
      <c r="I1091" s="3">
        <v>9519</v>
      </c>
    </row>
    <row r="1092" spans="1:9">
      <c r="A1092" s="3" t="s">
        <v>1117</v>
      </c>
      <c r="B1092" s="3" t="s">
        <v>26</v>
      </c>
      <c r="C1092" s="3">
        <v>1166546</v>
      </c>
      <c r="D1092" s="3">
        <v>155598</v>
      </c>
      <c r="E1092" s="3" t="s">
        <v>27</v>
      </c>
      <c r="F1092" s="3">
        <v>792591</v>
      </c>
      <c r="G1092" s="3">
        <v>100340</v>
      </c>
      <c r="H1092" s="3">
        <v>373955</v>
      </c>
      <c r="I1092" s="3">
        <v>55258</v>
      </c>
    </row>
    <row r="1093" spans="1:9">
      <c r="A1093" s="3" t="s">
        <v>1118</v>
      </c>
      <c r="B1093" s="3" t="s">
        <v>26</v>
      </c>
      <c r="C1093" s="3">
        <v>1189161</v>
      </c>
      <c r="D1093" s="3">
        <v>78697</v>
      </c>
      <c r="E1093" s="3" t="s">
        <v>27</v>
      </c>
      <c r="F1093" s="3">
        <v>696515</v>
      </c>
      <c r="G1093" s="3">
        <v>47289</v>
      </c>
      <c r="H1093" s="3">
        <v>492646</v>
      </c>
      <c r="I1093" s="3">
        <v>31408</v>
      </c>
    </row>
    <row r="1094" spans="1:9">
      <c r="A1094" s="3" t="s">
        <v>1119</v>
      </c>
      <c r="B1094" s="3" t="s">
        <v>26</v>
      </c>
      <c r="C1094" s="3">
        <v>1179814</v>
      </c>
      <c r="D1094" s="3">
        <v>165049</v>
      </c>
      <c r="E1094" s="3" t="s">
        <v>27</v>
      </c>
      <c r="F1094" s="3">
        <v>826019</v>
      </c>
      <c r="G1094" s="3">
        <v>114632</v>
      </c>
      <c r="H1094" s="3">
        <v>353795</v>
      </c>
      <c r="I1094" s="3">
        <v>50417</v>
      </c>
    </row>
    <row r="1095" spans="1:9">
      <c r="A1095" s="3" t="s">
        <v>1120</v>
      </c>
      <c r="B1095" s="3" t="s">
        <v>26</v>
      </c>
      <c r="C1095" s="3">
        <v>1016847</v>
      </c>
      <c r="D1095" s="3">
        <v>68146</v>
      </c>
      <c r="E1095" s="3" t="s">
        <v>27</v>
      </c>
      <c r="F1095" s="3">
        <v>576697</v>
      </c>
      <c r="G1095" s="3">
        <v>39399</v>
      </c>
      <c r="H1095" s="3">
        <v>440150</v>
      </c>
      <c r="I1095" s="3">
        <v>28747</v>
      </c>
    </row>
    <row r="1096" spans="1:9">
      <c r="A1096" s="3" t="s">
        <v>1121</v>
      </c>
      <c r="B1096" s="3" t="s">
        <v>26</v>
      </c>
      <c r="C1096" s="3">
        <v>1047622</v>
      </c>
      <c r="D1096" s="3">
        <v>120541</v>
      </c>
      <c r="E1096" s="3" t="s">
        <v>27</v>
      </c>
      <c r="F1096" s="3">
        <v>678755</v>
      </c>
      <c r="G1096" s="3">
        <v>75350</v>
      </c>
      <c r="H1096" s="3">
        <v>368867</v>
      </c>
      <c r="I1096" s="3">
        <v>45191</v>
      </c>
    </row>
    <row r="1097" spans="1:9">
      <c r="A1097" s="3" t="s">
        <v>1122</v>
      </c>
      <c r="B1097" s="3" t="s">
        <v>26</v>
      </c>
      <c r="C1097" s="3">
        <v>1166772</v>
      </c>
      <c r="D1097" s="3">
        <v>122608</v>
      </c>
      <c r="E1097" s="3" t="s">
        <v>27</v>
      </c>
      <c r="F1097" s="3">
        <v>699652</v>
      </c>
      <c r="G1097" s="3">
        <v>71171</v>
      </c>
      <c r="H1097" s="3">
        <v>467120</v>
      </c>
      <c r="I1097" s="3">
        <v>51437</v>
      </c>
    </row>
    <row r="1098" spans="1:9">
      <c r="A1098" s="3" t="s">
        <v>1123</v>
      </c>
      <c r="B1098" s="3" t="s">
        <v>26</v>
      </c>
      <c r="C1098" s="3">
        <v>1374370</v>
      </c>
      <c r="D1098" s="3">
        <v>187090</v>
      </c>
      <c r="E1098" s="3" t="s">
        <v>27</v>
      </c>
      <c r="F1098" s="3">
        <v>1003660</v>
      </c>
      <c r="G1098" s="3">
        <v>134834</v>
      </c>
      <c r="H1098" s="3">
        <v>370710</v>
      </c>
      <c r="I1098" s="3">
        <v>52256</v>
      </c>
    </row>
    <row r="1099" spans="1:9">
      <c r="A1099" s="3" t="s">
        <v>1124</v>
      </c>
      <c r="B1099" s="3" t="s">
        <v>26</v>
      </c>
      <c r="C1099" s="3">
        <v>877641</v>
      </c>
      <c r="D1099" s="3">
        <v>77094</v>
      </c>
      <c r="E1099" s="3" t="s">
        <v>27</v>
      </c>
      <c r="F1099" s="3">
        <v>602525</v>
      </c>
      <c r="G1099" s="3">
        <v>52451</v>
      </c>
      <c r="H1099" s="3">
        <v>275116</v>
      </c>
      <c r="I1099" s="3">
        <v>24643</v>
      </c>
    </row>
    <row r="1100" spans="1:9">
      <c r="A1100" s="3" t="s">
        <v>1125</v>
      </c>
      <c r="B1100" s="3" t="s">
        <v>26</v>
      </c>
      <c r="C1100" s="3">
        <v>1215233</v>
      </c>
      <c r="D1100" s="3">
        <v>230762</v>
      </c>
      <c r="E1100" s="3" t="s">
        <v>27</v>
      </c>
      <c r="F1100" s="3">
        <v>1019677</v>
      </c>
      <c r="G1100" s="3">
        <v>178660</v>
      </c>
      <c r="H1100" s="3">
        <v>195556</v>
      </c>
      <c r="I1100" s="3">
        <v>52102</v>
      </c>
    </row>
    <row r="1101" spans="1:9">
      <c r="A1101" s="3" t="s">
        <v>1126</v>
      </c>
      <c r="B1101" s="3" t="s">
        <v>26</v>
      </c>
      <c r="C1101" s="3">
        <v>1082933</v>
      </c>
      <c r="D1101" s="3">
        <v>105895</v>
      </c>
      <c r="E1101" s="3" t="s">
        <v>27</v>
      </c>
      <c r="F1101" s="3">
        <v>644414</v>
      </c>
      <c r="G1101" s="3">
        <v>66974</v>
      </c>
      <c r="H1101" s="3">
        <v>438519</v>
      </c>
      <c r="I1101" s="3">
        <v>38921</v>
      </c>
    </row>
    <row r="1102" spans="1:9">
      <c r="A1102" s="3" t="s">
        <v>1127</v>
      </c>
      <c r="B1102" s="3" t="s">
        <v>26</v>
      </c>
      <c r="C1102" s="3">
        <v>1056402</v>
      </c>
      <c r="D1102" s="3">
        <v>46684</v>
      </c>
      <c r="E1102" s="3" t="s">
        <v>27</v>
      </c>
      <c r="F1102" s="3">
        <v>589030</v>
      </c>
      <c r="G1102" s="3">
        <v>26836</v>
      </c>
      <c r="H1102" s="3">
        <v>467372</v>
      </c>
      <c r="I1102" s="3">
        <v>19848</v>
      </c>
    </row>
    <row r="1103" spans="1:9">
      <c r="A1103" s="3" t="s">
        <v>1128</v>
      </c>
      <c r="B1103" s="3" t="s">
        <v>26</v>
      </c>
      <c r="C1103" s="3">
        <v>917111</v>
      </c>
      <c r="D1103" s="3">
        <v>72755</v>
      </c>
      <c r="E1103" s="3" t="s">
        <v>27</v>
      </c>
      <c r="F1103" s="3">
        <v>549180</v>
      </c>
      <c r="G1103" s="3">
        <v>40063</v>
      </c>
      <c r="H1103" s="3">
        <v>367931</v>
      </c>
      <c r="I1103" s="3">
        <v>32692</v>
      </c>
    </row>
    <row r="1104" spans="1:9">
      <c r="A1104" s="3" t="s">
        <v>1129</v>
      </c>
      <c r="B1104" s="3" t="s">
        <v>26</v>
      </c>
      <c r="C1104" s="3">
        <v>1472812</v>
      </c>
      <c r="D1104" s="3">
        <v>199817</v>
      </c>
      <c r="E1104" s="3" t="s">
        <v>27</v>
      </c>
      <c r="F1104" s="3">
        <v>919854</v>
      </c>
      <c r="G1104" s="3">
        <v>123342</v>
      </c>
      <c r="H1104" s="3">
        <v>552958</v>
      </c>
      <c r="I1104" s="3">
        <v>76475</v>
      </c>
    </row>
    <row r="1105" spans="1:9">
      <c r="A1105" s="3" t="s">
        <v>1130</v>
      </c>
      <c r="B1105" s="3" t="s">
        <v>26</v>
      </c>
      <c r="C1105" s="3">
        <v>1075785</v>
      </c>
      <c r="D1105" s="3">
        <v>129459</v>
      </c>
      <c r="E1105" s="3" t="s">
        <v>27</v>
      </c>
      <c r="F1105" s="3">
        <v>657142</v>
      </c>
      <c r="G1105" s="3">
        <v>79902</v>
      </c>
      <c r="H1105" s="3">
        <v>418643</v>
      </c>
      <c r="I1105" s="3">
        <v>49557</v>
      </c>
    </row>
    <row r="1106" spans="1:9">
      <c r="A1106" s="3" t="s">
        <v>1131</v>
      </c>
      <c r="B1106" s="3" t="s">
        <v>26</v>
      </c>
      <c r="C1106" s="3">
        <v>1198049</v>
      </c>
      <c r="D1106" s="3">
        <v>148280</v>
      </c>
      <c r="E1106" s="3" t="s">
        <v>27</v>
      </c>
      <c r="F1106" s="3">
        <v>830042</v>
      </c>
      <c r="G1106" s="3">
        <v>103619</v>
      </c>
      <c r="H1106" s="3">
        <v>368007</v>
      </c>
      <c r="I1106" s="3">
        <v>44661</v>
      </c>
    </row>
    <row r="1107" spans="1:9">
      <c r="A1107" s="3" t="s">
        <v>1132</v>
      </c>
      <c r="B1107" s="3" t="s">
        <v>26</v>
      </c>
      <c r="C1107" s="3">
        <v>1179331</v>
      </c>
      <c r="D1107" s="3">
        <v>130819</v>
      </c>
      <c r="E1107" s="3" t="s">
        <v>27</v>
      </c>
      <c r="F1107" s="3">
        <v>821519</v>
      </c>
      <c r="G1107" s="3">
        <v>85259</v>
      </c>
      <c r="H1107" s="3">
        <v>357812</v>
      </c>
      <c r="I1107" s="3">
        <v>45560</v>
      </c>
    </row>
    <row r="1108" spans="1:9">
      <c r="A1108" s="3" t="s">
        <v>1133</v>
      </c>
      <c r="B1108" s="3" t="s">
        <v>26</v>
      </c>
      <c r="C1108" s="3">
        <v>1183611</v>
      </c>
      <c r="D1108" s="3">
        <v>177131</v>
      </c>
      <c r="E1108" s="3" t="s">
        <v>27</v>
      </c>
      <c r="F1108" s="3">
        <v>719698</v>
      </c>
      <c r="G1108" s="3">
        <v>111092</v>
      </c>
      <c r="H1108" s="3">
        <v>463913</v>
      </c>
      <c r="I1108" s="3">
        <v>66039</v>
      </c>
    </row>
    <row r="1109" spans="1:9">
      <c r="A1109" s="3" t="s">
        <v>1134</v>
      </c>
      <c r="B1109" s="3" t="s">
        <v>26</v>
      </c>
      <c r="C1109" s="3">
        <v>1143015</v>
      </c>
      <c r="D1109" s="3">
        <v>111131</v>
      </c>
      <c r="E1109" s="3" t="s">
        <v>27</v>
      </c>
      <c r="F1109" s="3">
        <v>662554</v>
      </c>
      <c r="G1109" s="3">
        <v>62246</v>
      </c>
      <c r="H1109" s="3">
        <v>480461</v>
      </c>
      <c r="I1109" s="3">
        <v>48885</v>
      </c>
    </row>
    <row r="1110" spans="1:9">
      <c r="A1110" s="3" t="s">
        <v>1135</v>
      </c>
      <c r="B1110" s="3" t="s">
        <v>26</v>
      </c>
      <c r="C1110" s="3">
        <v>1009453</v>
      </c>
      <c r="D1110" s="3">
        <v>114445</v>
      </c>
      <c r="E1110" s="3" t="s">
        <v>27</v>
      </c>
      <c r="F1110" s="3">
        <v>681154</v>
      </c>
      <c r="G1110" s="3">
        <v>83794</v>
      </c>
      <c r="H1110" s="3">
        <v>328299</v>
      </c>
      <c r="I1110" s="3">
        <v>30651</v>
      </c>
    </row>
    <row r="1111" spans="1:9">
      <c r="A1111" s="3" t="s">
        <v>1136</v>
      </c>
      <c r="B1111" s="3" t="s">
        <v>26</v>
      </c>
      <c r="C1111" s="3">
        <v>939868</v>
      </c>
      <c r="D1111" s="3">
        <v>88223</v>
      </c>
      <c r="E1111" s="3" t="s">
        <v>27</v>
      </c>
      <c r="F1111" s="3">
        <v>587985</v>
      </c>
      <c r="G1111" s="3">
        <v>58440</v>
      </c>
      <c r="H1111" s="3">
        <v>351883</v>
      </c>
      <c r="I1111" s="3">
        <v>29783</v>
      </c>
    </row>
    <row r="1112" spans="1:9">
      <c r="A1112" s="3" t="s">
        <v>1137</v>
      </c>
      <c r="B1112" s="3" t="s">
        <v>26</v>
      </c>
      <c r="C1112" s="3">
        <v>1684670</v>
      </c>
      <c r="D1112" s="3">
        <v>400808</v>
      </c>
      <c r="E1112" s="3" t="s">
        <v>27</v>
      </c>
      <c r="F1112" s="3">
        <v>1224359</v>
      </c>
      <c r="G1112" s="3">
        <v>283916</v>
      </c>
      <c r="H1112" s="3">
        <v>460311</v>
      </c>
      <c r="I1112" s="3">
        <v>116892</v>
      </c>
    </row>
    <row r="1113" spans="1:9">
      <c r="A1113" s="3" t="s">
        <v>1138</v>
      </c>
      <c r="B1113" s="3" t="s">
        <v>26</v>
      </c>
      <c r="C1113" s="3">
        <v>1008308</v>
      </c>
      <c r="D1113" s="3">
        <v>113082</v>
      </c>
      <c r="E1113" s="3" t="s">
        <v>27</v>
      </c>
      <c r="F1113" s="3">
        <v>695680</v>
      </c>
      <c r="G1113" s="3">
        <v>77099</v>
      </c>
      <c r="H1113" s="3">
        <v>312628</v>
      </c>
      <c r="I1113" s="3">
        <v>35983</v>
      </c>
    </row>
    <row r="1114" spans="1:9">
      <c r="A1114" s="3" t="s">
        <v>1139</v>
      </c>
      <c r="B1114" s="3" t="s">
        <v>26</v>
      </c>
      <c r="C1114" s="3">
        <v>1027094</v>
      </c>
      <c r="D1114" s="3">
        <v>100038</v>
      </c>
      <c r="E1114" s="3" t="s">
        <v>27</v>
      </c>
      <c r="F1114" s="3">
        <v>608920</v>
      </c>
      <c r="G1114" s="3">
        <v>64782</v>
      </c>
      <c r="H1114" s="3">
        <v>418174</v>
      </c>
      <c r="I1114" s="3">
        <v>35256</v>
      </c>
    </row>
    <row r="1115" spans="1:9">
      <c r="A1115" s="3" t="s">
        <v>1140</v>
      </c>
      <c r="B1115" s="3" t="s">
        <v>26</v>
      </c>
      <c r="C1115" s="3">
        <v>783484</v>
      </c>
      <c r="D1115" s="3">
        <v>25370</v>
      </c>
      <c r="E1115" s="3" t="s">
        <v>27</v>
      </c>
      <c r="F1115" s="3">
        <v>401476</v>
      </c>
      <c r="G1115" s="3">
        <v>14386</v>
      </c>
      <c r="H1115" s="3">
        <v>382008</v>
      </c>
      <c r="I1115" s="3">
        <v>10984</v>
      </c>
    </row>
    <row r="1116" spans="1:9">
      <c r="A1116" s="3" t="s">
        <v>1141</v>
      </c>
      <c r="B1116" s="3" t="s">
        <v>26</v>
      </c>
      <c r="C1116" s="3">
        <v>1694905</v>
      </c>
      <c r="D1116" s="3">
        <v>347926</v>
      </c>
      <c r="E1116" s="3" t="s">
        <v>27</v>
      </c>
      <c r="F1116" s="3">
        <v>1245835</v>
      </c>
      <c r="G1116" s="3">
        <v>247228</v>
      </c>
      <c r="H1116" s="3">
        <v>449070</v>
      </c>
      <c r="I1116" s="3">
        <v>100698</v>
      </c>
    </row>
    <row r="1117" spans="1:9">
      <c r="A1117" s="3" t="s">
        <v>1142</v>
      </c>
      <c r="B1117" s="3" t="s">
        <v>26</v>
      </c>
      <c r="C1117" s="3">
        <v>1039177</v>
      </c>
      <c r="D1117" s="3">
        <v>23637</v>
      </c>
      <c r="E1117" s="3" t="s">
        <v>27</v>
      </c>
      <c r="F1117" s="3">
        <v>555287</v>
      </c>
      <c r="G1117" s="3">
        <v>14320</v>
      </c>
      <c r="H1117" s="3">
        <v>483890</v>
      </c>
      <c r="I1117" s="3">
        <v>9317</v>
      </c>
    </row>
    <row r="1118" spans="1:9">
      <c r="A1118" s="3" t="s">
        <v>1143</v>
      </c>
      <c r="B1118" s="3" t="s">
        <v>26</v>
      </c>
      <c r="C1118" s="3">
        <v>1093423</v>
      </c>
      <c r="D1118" s="3">
        <v>121600</v>
      </c>
      <c r="E1118" s="3" t="s">
        <v>27</v>
      </c>
      <c r="F1118" s="3">
        <v>674269</v>
      </c>
      <c r="G1118" s="3">
        <v>88041</v>
      </c>
      <c r="H1118" s="3">
        <v>419154</v>
      </c>
      <c r="I1118" s="3">
        <v>33559</v>
      </c>
    </row>
    <row r="1119" spans="1:9">
      <c r="A1119" s="3" t="s">
        <v>1144</v>
      </c>
      <c r="B1119" s="3" t="s">
        <v>26</v>
      </c>
      <c r="C1119" s="3">
        <v>1971439</v>
      </c>
      <c r="D1119" s="3">
        <v>862784</v>
      </c>
      <c r="E1119" s="3" t="s">
        <v>27</v>
      </c>
      <c r="F1119" s="3">
        <v>1430887</v>
      </c>
      <c r="G1119" s="3">
        <v>610513</v>
      </c>
      <c r="H1119" s="3">
        <v>540552</v>
      </c>
      <c r="I1119" s="3">
        <v>252271</v>
      </c>
    </row>
    <row r="1120" spans="1:9">
      <c r="A1120" s="3" t="s">
        <v>1145</v>
      </c>
      <c r="B1120" s="3" t="s">
        <v>26</v>
      </c>
      <c r="C1120" s="3">
        <v>1769042</v>
      </c>
      <c r="D1120" s="3">
        <v>718057</v>
      </c>
      <c r="E1120" s="3" t="s">
        <v>27</v>
      </c>
      <c r="F1120" s="3">
        <v>1449544</v>
      </c>
      <c r="G1120" s="3">
        <v>565746</v>
      </c>
      <c r="H1120" s="3">
        <v>319498</v>
      </c>
      <c r="I1120" s="3">
        <v>152311</v>
      </c>
    </row>
    <row r="1121" spans="1:9">
      <c r="A1121" s="3" t="s">
        <v>1146</v>
      </c>
      <c r="B1121" s="3" t="s">
        <v>26</v>
      </c>
      <c r="C1121" s="3">
        <v>2168985</v>
      </c>
      <c r="D1121" s="3">
        <v>980233</v>
      </c>
      <c r="E1121" s="3" t="s">
        <v>27</v>
      </c>
      <c r="F1121" s="3">
        <v>1481691</v>
      </c>
      <c r="G1121" s="3">
        <v>653960</v>
      </c>
      <c r="H1121" s="3">
        <v>687294</v>
      </c>
      <c r="I1121" s="3">
        <v>326273</v>
      </c>
    </row>
    <row r="1122" spans="1:9">
      <c r="A1122" s="3" t="s">
        <v>1147</v>
      </c>
      <c r="B1122" s="3" t="s">
        <v>26</v>
      </c>
      <c r="C1122" s="3">
        <v>1030639</v>
      </c>
      <c r="D1122" s="3">
        <v>3971</v>
      </c>
      <c r="E1122" s="3" t="s">
        <v>27</v>
      </c>
      <c r="F1122" s="3">
        <v>402681</v>
      </c>
      <c r="G1122" s="3">
        <v>1624</v>
      </c>
      <c r="H1122" s="3">
        <v>627958</v>
      </c>
      <c r="I1122" s="3">
        <v>2347</v>
      </c>
    </row>
    <row r="1123" spans="1:9">
      <c r="A1123" s="3" t="s">
        <v>1148</v>
      </c>
      <c r="B1123" s="3" t="s">
        <v>26</v>
      </c>
      <c r="C1123" s="3">
        <v>1555406</v>
      </c>
      <c r="D1123" s="3">
        <v>520362</v>
      </c>
      <c r="E1123" s="3" t="s">
        <v>27</v>
      </c>
      <c r="F1123" s="3">
        <v>1196320</v>
      </c>
      <c r="G1123" s="3">
        <v>373593</v>
      </c>
      <c r="H1123" s="3">
        <v>359086</v>
      </c>
      <c r="I1123" s="3">
        <v>146769</v>
      </c>
    </row>
    <row r="1124" spans="1:9">
      <c r="A1124" s="3" t="s">
        <v>1149</v>
      </c>
      <c r="B1124" s="3" t="s">
        <v>26</v>
      </c>
      <c r="C1124" s="3">
        <v>1761441</v>
      </c>
      <c r="D1124" s="3">
        <v>757460</v>
      </c>
      <c r="E1124" s="3" t="s">
        <v>27</v>
      </c>
      <c r="F1124" s="3">
        <v>1410973</v>
      </c>
      <c r="G1124" s="3">
        <v>595830</v>
      </c>
      <c r="H1124" s="3">
        <v>350468</v>
      </c>
      <c r="I1124" s="3">
        <v>161630</v>
      </c>
    </row>
    <row r="1125" spans="1:9">
      <c r="A1125" s="3" t="s">
        <v>1150</v>
      </c>
      <c r="B1125" s="3" t="s">
        <v>26</v>
      </c>
      <c r="C1125" s="3">
        <v>844646</v>
      </c>
      <c r="D1125" s="3">
        <v>17331</v>
      </c>
      <c r="E1125" s="3" t="s">
        <v>27</v>
      </c>
      <c r="F1125" s="3">
        <v>400160</v>
      </c>
      <c r="G1125" s="3">
        <v>6486</v>
      </c>
      <c r="H1125" s="3">
        <v>444486</v>
      </c>
      <c r="I1125" s="3">
        <v>10845</v>
      </c>
    </row>
    <row r="1126" spans="1:9">
      <c r="A1126" s="3" t="s">
        <v>1151</v>
      </c>
      <c r="B1126" s="3" t="s">
        <v>26</v>
      </c>
      <c r="C1126" s="3">
        <v>913631</v>
      </c>
      <c r="D1126" s="3">
        <v>114254</v>
      </c>
      <c r="E1126" s="3" t="s">
        <v>27</v>
      </c>
      <c r="F1126" s="3">
        <v>548560</v>
      </c>
      <c r="G1126" s="3">
        <v>78465</v>
      </c>
      <c r="H1126" s="3">
        <v>365071</v>
      </c>
      <c r="I1126" s="3">
        <v>35789</v>
      </c>
    </row>
    <row r="1127" spans="1:9">
      <c r="A1127" s="3" t="s">
        <v>1152</v>
      </c>
      <c r="B1127" s="3" t="s">
        <v>26</v>
      </c>
      <c r="C1127" s="3">
        <v>2015196</v>
      </c>
      <c r="D1127" s="3">
        <v>813734</v>
      </c>
      <c r="E1127" s="3" t="s">
        <v>27</v>
      </c>
      <c r="F1127" s="3">
        <v>1630522</v>
      </c>
      <c r="G1127" s="3">
        <v>644704</v>
      </c>
      <c r="H1127" s="3">
        <v>384674</v>
      </c>
      <c r="I1127" s="3">
        <v>169030</v>
      </c>
    </row>
    <row r="1128" spans="1:9">
      <c r="A1128" s="3" t="s">
        <v>1153</v>
      </c>
      <c r="B1128" s="3" t="s">
        <v>26</v>
      </c>
      <c r="C1128" s="3">
        <v>2178136</v>
      </c>
      <c r="D1128" s="3">
        <v>944455</v>
      </c>
      <c r="E1128" s="3" t="s">
        <v>27</v>
      </c>
      <c r="F1128" s="3">
        <v>1556077</v>
      </c>
      <c r="G1128" s="3">
        <v>668214</v>
      </c>
      <c r="H1128" s="3">
        <v>622059</v>
      </c>
      <c r="I1128" s="3">
        <v>276241</v>
      </c>
    </row>
    <row r="1129" spans="1:9">
      <c r="A1129" s="3" t="s">
        <v>1154</v>
      </c>
      <c r="B1129" s="3" t="s">
        <v>26</v>
      </c>
      <c r="C1129" s="3">
        <v>1205676</v>
      </c>
      <c r="D1129" s="3">
        <v>374828</v>
      </c>
      <c r="E1129" s="3" t="s">
        <v>27</v>
      </c>
      <c r="F1129" s="3">
        <v>995685</v>
      </c>
      <c r="G1129" s="3">
        <v>291073</v>
      </c>
      <c r="H1129" s="3">
        <v>209991</v>
      </c>
      <c r="I1129" s="3">
        <v>83755</v>
      </c>
    </row>
    <row r="1130" spans="1:9">
      <c r="A1130" s="3" t="s">
        <v>1155</v>
      </c>
      <c r="B1130" s="3" t="s">
        <v>26</v>
      </c>
      <c r="C1130" s="3">
        <v>1558100</v>
      </c>
      <c r="D1130" s="3">
        <v>473205</v>
      </c>
      <c r="E1130" s="3" t="s">
        <v>27</v>
      </c>
      <c r="F1130" s="3">
        <v>1143839</v>
      </c>
      <c r="G1130" s="3">
        <v>370589</v>
      </c>
      <c r="H1130" s="3">
        <v>414261</v>
      </c>
      <c r="I1130" s="3">
        <v>102616</v>
      </c>
    </row>
    <row r="1131" spans="1:9">
      <c r="A1131" s="3" t="s">
        <v>1156</v>
      </c>
      <c r="B1131" s="3" t="s">
        <v>26</v>
      </c>
      <c r="C1131" s="3">
        <v>1857644</v>
      </c>
      <c r="D1131" s="3">
        <v>847880</v>
      </c>
      <c r="E1131" s="3" t="s">
        <v>27</v>
      </c>
      <c r="F1131" s="3">
        <v>1680084</v>
      </c>
      <c r="G1131" s="3">
        <v>754527</v>
      </c>
      <c r="H1131" s="3">
        <v>177560</v>
      </c>
      <c r="I1131" s="3">
        <v>93353</v>
      </c>
    </row>
    <row r="1132" spans="1:9">
      <c r="A1132" s="3" t="s">
        <v>1157</v>
      </c>
      <c r="B1132" s="3" t="s">
        <v>26</v>
      </c>
      <c r="C1132" s="3">
        <v>696517</v>
      </c>
      <c r="D1132" s="3">
        <v>2264</v>
      </c>
      <c r="E1132" s="3" t="s">
        <v>27</v>
      </c>
      <c r="F1132" s="3">
        <v>356205</v>
      </c>
      <c r="G1132" s="3">
        <v>844</v>
      </c>
      <c r="H1132" s="3">
        <v>340312</v>
      </c>
      <c r="I1132" s="3">
        <v>1420</v>
      </c>
    </row>
    <row r="1133" spans="1:9">
      <c r="A1133" s="3" t="s">
        <v>1158</v>
      </c>
      <c r="B1133" s="3" t="s">
        <v>26</v>
      </c>
      <c r="C1133" s="3">
        <v>1622857</v>
      </c>
      <c r="D1133" s="3">
        <v>324323</v>
      </c>
      <c r="E1133" s="3" t="s">
        <v>27</v>
      </c>
      <c r="F1133" s="3">
        <v>941831</v>
      </c>
      <c r="G1133" s="3">
        <v>197250</v>
      </c>
      <c r="H1133" s="3">
        <v>681026</v>
      </c>
      <c r="I1133" s="3">
        <v>127073</v>
      </c>
    </row>
    <row r="1134" spans="1:9">
      <c r="A1134" s="3" t="s">
        <v>1159</v>
      </c>
      <c r="B1134" s="3" t="s">
        <v>26</v>
      </c>
      <c r="C1134" s="3">
        <v>1310506</v>
      </c>
      <c r="D1134" s="3">
        <v>408672</v>
      </c>
      <c r="E1134" s="3" t="s">
        <v>27</v>
      </c>
      <c r="F1134" s="3">
        <v>1160878</v>
      </c>
      <c r="G1134" s="3">
        <v>339441</v>
      </c>
      <c r="H1134" s="3">
        <v>149628</v>
      </c>
      <c r="I1134" s="3">
        <v>69231</v>
      </c>
    </row>
    <row r="1135" spans="1:9">
      <c r="A1135" s="3" t="s">
        <v>1160</v>
      </c>
      <c r="B1135" s="3" t="s">
        <v>26</v>
      </c>
      <c r="C1135" s="3">
        <v>2238694</v>
      </c>
      <c r="D1135" s="3">
        <v>1062953</v>
      </c>
      <c r="E1135" s="3" t="s">
        <v>27</v>
      </c>
      <c r="F1135" s="3">
        <v>1671807</v>
      </c>
      <c r="G1135" s="3">
        <v>775571</v>
      </c>
      <c r="H1135" s="3">
        <v>566887</v>
      </c>
      <c r="I1135" s="3">
        <v>287382</v>
      </c>
    </row>
    <row r="1136" spans="1:9">
      <c r="A1136" s="3" t="s">
        <v>1161</v>
      </c>
      <c r="B1136" s="3" t="s">
        <v>26</v>
      </c>
      <c r="C1136" s="3">
        <v>1647328</v>
      </c>
      <c r="D1136" s="3">
        <v>574346</v>
      </c>
      <c r="E1136" s="3" t="s">
        <v>27</v>
      </c>
      <c r="F1136" s="3">
        <v>1297589</v>
      </c>
      <c r="G1136" s="3">
        <v>484579</v>
      </c>
      <c r="H1136" s="3">
        <v>349739</v>
      </c>
      <c r="I1136" s="3">
        <v>89767</v>
      </c>
    </row>
    <row r="1137" spans="1:9">
      <c r="A1137" s="3" t="s">
        <v>1162</v>
      </c>
      <c r="B1137" s="3" t="s">
        <v>26</v>
      </c>
      <c r="C1137" s="3">
        <v>665364</v>
      </c>
      <c r="D1137" s="3">
        <v>675</v>
      </c>
      <c r="E1137" s="3" t="s">
        <v>27</v>
      </c>
      <c r="F1137" s="3">
        <v>342230</v>
      </c>
      <c r="G1137" s="3">
        <v>341</v>
      </c>
      <c r="H1137" s="3">
        <v>323134</v>
      </c>
      <c r="I1137" s="3">
        <v>334</v>
      </c>
    </row>
    <row r="1138" spans="1:9">
      <c r="A1138" s="3" t="s">
        <v>1163</v>
      </c>
      <c r="B1138" s="3" t="s">
        <v>26</v>
      </c>
      <c r="C1138" s="3">
        <v>1808091</v>
      </c>
      <c r="D1138" s="3">
        <v>652193</v>
      </c>
      <c r="E1138" s="3" t="s">
        <v>27</v>
      </c>
      <c r="F1138" s="3">
        <v>1453010</v>
      </c>
      <c r="G1138" s="3">
        <v>506385</v>
      </c>
      <c r="H1138" s="3">
        <v>355081</v>
      </c>
      <c r="I1138" s="3">
        <v>145808</v>
      </c>
    </row>
    <row r="1139" spans="1:9">
      <c r="A1139" s="3" t="s">
        <v>1164</v>
      </c>
      <c r="B1139" s="3" t="s">
        <v>26</v>
      </c>
      <c r="C1139" s="3">
        <v>1942903</v>
      </c>
      <c r="D1139" s="3">
        <v>844208</v>
      </c>
      <c r="E1139" s="3" t="s">
        <v>27</v>
      </c>
      <c r="F1139" s="3">
        <v>1423323</v>
      </c>
      <c r="G1139" s="3">
        <v>609326</v>
      </c>
      <c r="H1139" s="3">
        <v>519580</v>
      </c>
      <c r="I1139" s="3">
        <v>234882</v>
      </c>
    </row>
    <row r="1140" spans="1:9">
      <c r="A1140" s="3" t="s">
        <v>1165</v>
      </c>
      <c r="B1140" s="3" t="s">
        <v>26</v>
      </c>
      <c r="C1140" s="3">
        <v>1607803</v>
      </c>
      <c r="D1140" s="3">
        <v>670978</v>
      </c>
      <c r="E1140" s="3" t="s">
        <v>27</v>
      </c>
      <c r="F1140" s="3">
        <v>1286969</v>
      </c>
      <c r="G1140" s="3">
        <v>505429</v>
      </c>
      <c r="H1140" s="3">
        <v>320834</v>
      </c>
      <c r="I1140" s="3">
        <v>165549</v>
      </c>
    </row>
    <row r="1141" spans="1:9">
      <c r="A1141" s="3" t="s">
        <v>1166</v>
      </c>
      <c r="B1141" s="3" t="s">
        <v>26</v>
      </c>
      <c r="C1141" s="3">
        <v>1247391</v>
      </c>
      <c r="D1141" s="3">
        <v>5792</v>
      </c>
      <c r="E1141" s="3" t="s">
        <v>27</v>
      </c>
      <c r="F1141" s="3">
        <v>646412</v>
      </c>
      <c r="G1141" s="3">
        <v>1911</v>
      </c>
      <c r="H1141" s="3">
        <v>600979</v>
      </c>
      <c r="I1141" s="3">
        <v>3881</v>
      </c>
    </row>
    <row r="1142" spans="1:9">
      <c r="A1142" s="3" t="s">
        <v>1167</v>
      </c>
      <c r="B1142" s="3" t="s">
        <v>26</v>
      </c>
      <c r="C1142" s="3">
        <v>2016766</v>
      </c>
      <c r="D1142" s="3">
        <v>855389</v>
      </c>
      <c r="E1142" s="3" t="s">
        <v>27</v>
      </c>
      <c r="F1142" s="3">
        <v>1404698</v>
      </c>
      <c r="G1142" s="3">
        <v>589890</v>
      </c>
      <c r="H1142" s="3">
        <v>612068</v>
      </c>
      <c r="I1142" s="3">
        <v>265499</v>
      </c>
    </row>
    <row r="1143" spans="1:9">
      <c r="A1143" s="3" t="s">
        <v>1168</v>
      </c>
      <c r="B1143" s="3" t="s">
        <v>26</v>
      </c>
      <c r="C1143" s="3">
        <v>1270456</v>
      </c>
      <c r="D1143" s="3">
        <v>222216</v>
      </c>
      <c r="E1143" s="3" t="s">
        <v>27</v>
      </c>
      <c r="F1143" s="3">
        <v>798132</v>
      </c>
      <c r="G1143" s="3">
        <v>141535</v>
      </c>
      <c r="H1143" s="3">
        <v>472324</v>
      </c>
      <c r="I1143" s="3">
        <v>80681</v>
      </c>
    </row>
    <row r="1144" spans="1:9">
      <c r="A1144" s="3" t="s">
        <v>1169</v>
      </c>
      <c r="B1144" s="3" t="s">
        <v>26</v>
      </c>
      <c r="C1144" s="3">
        <v>2068143</v>
      </c>
      <c r="D1144" s="3">
        <v>935980</v>
      </c>
      <c r="E1144" s="3" t="s">
        <v>27</v>
      </c>
      <c r="F1144" s="3">
        <v>1377183</v>
      </c>
      <c r="G1144" s="3">
        <v>603941</v>
      </c>
      <c r="H1144" s="3">
        <v>690960</v>
      </c>
      <c r="I1144" s="3">
        <v>332039</v>
      </c>
    </row>
    <row r="1145" spans="1:9">
      <c r="A1145" s="3" t="s">
        <v>1170</v>
      </c>
      <c r="B1145" s="3" t="s">
        <v>26</v>
      </c>
      <c r="C1145" s="3">
        <v>1955799</v>
      </c>
      <c r="D1145" s="3">
        <v>927153</v>
      </c>
      <c r="E1145" s="3" t="s">
        <v>27</v>
      </c>
      <c r="F1145" s="3">
        <v>1493090</v>
      </c>
      <c r="G1145" s="3">
        <v>672106</v>
      </c>
      <c r="H1145" s="3">
        <v>462709</v>
      </c>
      <c r="I1145" s="3">
        <v>255047</v>
      </c>
    </row>
    <row r="1146" spans="1:9">
      <c r="A1146" s="3" t="s">
        <v>1171</v>
      </c>
      <c r="B1146" s="3" t="s">
        <v>26</v>
      </c>
      <c r="C1146" s="3">
        <v>2103376</v>
      </c>
      <c r="D1146" s="3">
        <v>877826</v>
      </c>
      <c r="E1146" s="3" t="s">
        <v>27</v>
      </c>
      <c r="F1146" s="3">
        <v>1703373</v>
      </c>
      <c r="G1146" s="3">
        <v>703275</v>
      </c>
      <c r="H1146" s="3">
        <v>400003</v>
      </c>
      <c r="I1146" s="3">
        <v>174551</v>
      </c>
    </row>
    <row r="1147" spans="1:9">
      <c r="A1147" s="3" t="s">
        <v>1172</v>
      </c>
      <c r="B1147" s="3" t="s">
        <v>26</v>
      </c>
      <c r="C1147" s="3">
        <v>1775689</v>
      </c>
      <c r="D1147" s="3">
        <v>854041</v>
      </c>
      <c r="E1147" s="3" t="s">
        <v>27</v>
      </c>
      <c r="F1147" s="3">
        <v>1662476</v>
      </c>
      <c r="G1147" s="3">
        <v>785425</v>
      </c>
      <c r="H1147" s="3">
        <v>113213</v>
      </c>
      <c r="I1147" s="3">
        <v>68616</v>
      </c>
    </row>
    <row r="1148" spans="1:9">
      <c r="A1148" s="3" t="s">
        <v>1173</v>
      </c>
      <c r="B1148" s="3" t="s">
        <v>26</v>
      </c>
      <c r="C1148" s="3">
        <v>1746180</v>
      </c>
      <c r="D1148" s="3">
        <v>461985</v>
      </c>
      <c r="E1148" s="3" t="s">
        <v>27</v>
      </c>
      <c r="F1148" s="3">
        <v>1082800</v>
      </c>
      <c r="G1148" s="3">
        <v>317010</v>
      </c>
      <c r="H1148" s="3">
        <v>663380</v>
      </c>
      <c r="I1148" s="3">
        <v>144975</v>
      </c>
    </row>
    <row r="1149" spans="1:9">
      <c r="A1149" s="3" t="s">
        <v>1174</v>
      </c>
      <c r="B1149" s="3" t="s">
        <v>26</v>
      </c>
      <c r="C1149" s="3">
        <v>2001661</v>
      </c>
      <c r="D1149" s="3">
        <v>613984</v>
      </c>
      <c r="E1149" s="3" t="s">
        <v>27</v>
      </c>
      <c r="F1149" s="3">
        <v>1288411</v>
      </c>
      <c r="G1149" s="3">
        <v>402854</v>
      </c>
      <c r="H1149" s="3">
        <v>713250</v>
      </c>
      <c r="I1149" s="3">
        <v>211130</v>
      </c>
    </row>
    <row r="1150" spans="1:9">
      <c r="A1150" s="3" t="s">
        <v>1175</v>
      </c>
      <c r="B1150" s="3" t="s">
        <v>26</v>
      </c>
      <c r="C1150" s="3">
        <v>2596797</v>
      </c>
      <c r="D1150" s="3">
        <v>880971</v>
      </c>
      <c r="E1150" s="3" t="s">
        <v>27</v>
      </c>
      <c r="F1150" s="3">
        <v>1702410</v>
      </c>
      <c r="G1150" s="3">
        <v>582667</v>
      </c>
      <c r="H1150" s="3">
        <v>894387</v>
      </c>
      <c r="I1150" s="3">
        <v>298304</v>
      </c>
    </row>
    <row r="1151" spans="1:9">
      <c r="A1151" s="3" t="s">
        <v>1176</v>
      </c>
      <c r="B1151" s="3" t="s">
        <v>26</v>
      </c>
      <c r="C1151" s="3">
        <v>16409</v>
      </c>
      <c r="D1151" s="3">
        <v>2109</v>
      </c>
      <c r="E1151" s="3" t="s">
        <v>27</v>
      </c>
      <c r="F1151" s="3">
        <v>16409</v>
      </c>
      <c r="G1151" s="3">
        <v>2109</v>
      </c>
      <c r="H1151" s="3">
        <v>0</v>
      </c>
      <c r="I1151" s="3">
        <v>0</v>
      </c>
    </row>
    <row r="1152" spans="1:9">
      <c r="A1152" s="3" t="s">
        <v>1177</v>
      </c>
      <c r="B1152" s="3" t="s">
        <v>26</v>
      </c>
      <c r="C1152" s="3">
        <v>1392134</v>
      </c>
      <c r="D1152" s="3">
        <v>142847</v>
      </c>
      <c r="E1152" s="3" t="s">
        <v>27</v>
      </c>
      <c r="F1152" s="3">
        <v>737547</v>
      </c>
      <c r="G1152" s="3">
        <v>78998</v>
      </c>
      <c r="H1152" s="3">
        <v>654587</v>
      </c>
      <c r="I1152" s="3">
        <v>63849</v>
      </c>
    </row>
    <row r="1153" spans="1:9">
      <c r="A1153" s="3" t="s">
        <v>1178</v>
      </c>
      <c r="B1153" s="3" t="s">
        <v>26</v>
      </c>
      <c r="C1153" s="3">
        <v>1631278</v>
      </c>
      <c r="D1153" s="3">
        <v>497437</v>
      </c>
      <c r="E1153" s="3" t="s">
        <v>27</v>
      </c>
      <c r="F1153" s="3">
        <v>1374273</v>
      </c>
      <c r="G1153" s="3">
        <v>450919</v>
      </c>
      <c r="H1153" s="3">
        <v>257005</v>
      </c>
      <c r="I1153" s="3">
        <v>46518</v>
      </c>
    </row>
    <row r="1154" spans="1:9">
      <c r="A1154" s="3" t="s">
        <v>1179</v>
      </c>
      <c r="B1154" s="3" t="s">
        <v>26</v>
      </c>
      <c r="C1154" s="3">
        <v>1857255</v>
      </c>
      <c r="D1154" s="3">
        <v>556621</v>
      </c>
      <c r="E1154" s="3" t="s">
        <v>27</v>
      </c>
      <c r="F1154" s="3">
        <v>1238884</v>
      </c>
      <c r="G1154" s="3">
        <v>381484</v>
      </c>
      <c r="H1154" s="3">
        <v>618371</v>
      </c>
      <c r="I1154" s="3">
        <v>175137</v>
      </c>
    </row>
    <row r="1155" spans="1:9">
      <c r="A1155" s="3" t="s">
        <v>1180</v>
      </c>
      <c r="B1155" s="3" t="s">
        <v>26</v>
      </c>
      <c r="C1155" s="3">
        <v>1920903</v>
      </c>
      <c r="D1155" s="3">
        <v>863441</v>
      </c>
      <c r="E1155" s="3" t="s">
        <v>27</v>
      </c>
      <c r="F1155" s="3">
        <v>1390841</v>
      </c>
      <c r="G1155" s="3">
        <v>600755</v>
      </c>
      <c r="H1155" s="3">
        <v>530062</v>
      </c>
      <c r="I1155" s="3">
        <v>262686</v>
      </c>
    </row>
    <row r="1156" spans="1:9">
      <c r="A1156" s="3" t="s">
        <v>1181</v>
      </c>
      <c r="B1156" s="3" t="s">
        <v>26</v>
      </c>
      <c r="C1156" s="3">
        <v>2198372</v>
      </c>
      <c r="D1156" s="3">
        <v>828948</v>
      </c>
      <c r="E1156" s="3" t="s">
        <v>27</v>
      </c>
      <c r="F1156" s="3">
        <v>1725883</v>
      </c>
      <c r="G1156" s="3">
        <v>627913</v>
      </c>
      <c r="H1156" s="3">
        <v>472489</v>
      </c>
      <c r="I1156" s="3">
        <v>201035</v>
      </c>
    </row>
    <row r="1157" spans="1:9">
      <c r="A1157" s="3" t="s">
        <v>1182</v>
      </c>
      <c r="B1157" s="3" t="s">
        <v>26</v>
      </c>
      <c r="C1157" s="3">
        <v>2215</v>
      </c>
      <c r="D1157" s="3">
        <v>355</v>
      </c>
      <c r="E1157" s="3" t="s">
        <v>27</v>
      </c>
      <c r="F1157" s="3">
        <v>2215</v>
      </c>
      <c r="G1157" s="3">
        <v>355</v>
      </c>
      <c r="H1157" s="3">
        <v>0</v>
      </c>
      <c r="I1157" s="3">
        <v>0</v>
      </c>
    </row>
    <row r="1158" spans="1:9">
      <c r="A1158" s="3" t="s">
        <v>1183</v>
      </c>
      <c r="B1158" s="3" t="s">
        <v>26</v>
      </c>
      <c r="C1158" s="3">
        <v>1892358</v>
      </c>
      <c r="D1158" s="3">
        <v>622212</v>
      </c>
      <c r="E1158" s="3" t="s">
        <v>27</v>
      </c>
      <c r="F1158" s="3">
        <v>1332344</v>
      </c>
      <c r="G1158" s="3">
        <v>451032</v>
      </c>
      <c r="H1158" s="3">
        <v>560014</v>
      </c>
      <c r="I1158" s="3">
        <v>171180</v>
      </c>
    </row>
    <row r="1159" spans="1:9">
      <c r="A1159" s="3" t="s">
        <v>1184</v>
      </c>
      <c r="B1159" s="3" t="s">
        <v>26</v>
      </c>
      <c r="C1159" s="3">
        <v>2533784</v>
      </c>
      <c r="D1159" s="3">
        <v>1139277</v>
      </c>
      <c r="E1159" s="3" t="s">
        <v>27</v>
      </c>
      <c r="F1159" s="3">
        <v>1945718</v>
      </c>
      <c r="G1159" s="3">
        <v>854529</v>
      </c>
      <c r="H1159" s="3">
        <v>588066</v>
      </c>
      <c r="I1159" s="3">
        <v>284748</v>
      </c>
    </row>
    <row r="1160" spans="1:9">
      <c r="A1160" s="3" t="s">
        <v>1185</v>
      </c>
      <c r="B1160" s="3" t="s">
        <v>26</v>
      </c>
      <c r="C1160" s="3">
        <v>2100504</v>
      </c>
      <c r="D1160" s="3">
        <v>794890</v>
      </c>
      <c r="E1160" s="3" t="s">
        <v>27</v>
      </c>
      <c r="F1160" s="3">
        <v>1506160</v>
      </c>
      <c r="G1160" s="3">
        <v>573780</v>
      </c>
      <c r="H1160" s="3">
        <v>594344</v>
      </c>
      <c r="I1160" s="3">
        <v>221110</v>
      </c>
    </row>
    <row r="1161" spans="1:9">
      <c r="A1161" s="3" t="s">
        <v>1186</v>
      </c>
      <c r="B1161" s="3" t="s">
        <v>26</v>
      </c>
      <c r="C1161" s="3">
        <v>2773746</v>
      </c>
      <c r="D1161" s="3">
        <v>1088927</v>
      </c>
      <c r="E1161" s="3" t="s">
        <v>27</v>
      </c>
      <c r="F1161" s="3">
        <v>1885839</v>
      </c>
      <c r="G1161" s="3">
        <v>708159</v>
      </c>
      <c r="H1161" s="3">
        <v>887907</v>
      </c>
      <c r="I1161" s="3">
        <v>380768</v>
      </c>
    </row>
    <row r="1162" spans="1:9">
      <c r="A1162" s="3" t="s">
        <v>1187</v>
      </c>
      <c r="B1162" s="3" t="s">
        <v>26</v>
      </c>
      <c r="C1162" s="3">
        <v>2183759</v>
      </c>
      <c r="D1162" s="3">
        <v>997955</v>
      </c>
      <c r="E1162" s="3" t="s">
        <v>27</v>
      </c>
      <c r="F1162" s="3">
        <v>1916826</v>
      </c>
      <c r="G1162" s="3">
        <v>858363</v>
      </c>
      <c r="H1162" s="3">
        <v>266933</v>
      </c>
      <c r="I1162" s="3">
        <v>139592</v>
      </c>
    </row>
    <row r="1163" spans="1:9">
      <c r="A1163" s="3" t="s">
        <v>1188</v>
      </c>
      <c r="B1163" s="3" t="s">
        <v>26</v>
      </c>
      <c r="C1163" s="3">
        <v>2492569</v>
      </c>
      <c r="D1163" s="3">
        <v>1249101</v>
      </c>
      <c r="E1163" s="3" t="s">
        <v>27</v>
      </c>
      <c r="F1163" s="3">
        <v>1944636</v>
      </c>
      <c r="G1163" s="3">
        <v>941313</v>
      </c>
      <c r="H1163" s="3">
        <v>547933</v>
      </c>
      <c r="I1163" s="3">
        <v>307788</v>
      </c>
    </row>
    <row r="1164" spans="1:9">
      <c r="A1164" s="3" t="s">
        <v>1189</v>
      </c>
      <c r="B1164" s="3" t="s">
        <v>26</v>
      </c>
      <c r="C1164" s="3">
        <v>2618354</v>
      </c>
      <c r="D1164" s="3">
        <v>1195641</v>
      </c>
      <c r="E1164" s="3" t="s">
        <v>27</v>
      </c>
      <c r="F1164" s="3">
        <v>1775752</v>
      </c>
      <c r="G1164" s="3">
        <v>792417</v>
      </c>
      <c r="H1164" s="3">
        <v>842602</v>
      </c>
      <c r="I1164" s="3">
        <v>403224</v>
      </c>
    </row>
    <row r="1165" spans="1:9">
      <c r="A1165" s="3" t="s">
        <v>1190</v>
      </c>
      <c r="B1165" s="3" t="s">
        <v>26</v>
      </c>
      <c r="C1165" s="3">
        <v>2421034</v>
      </c>
      <c r="D1165" s="3">
        <v>1042416</v>
      </c>
      <c r="E1165" s="3" t="s">
        <v>27</v>
      </c>
      <c r="F1165" s="3">
        <v>1588574</v>
      </c>
      <c r="G1165" s="3">
        <v>708043</v>
      </c>
      <c r="H1165" s="3">
        <v>832460</v>
      </c>
      <c r="I1165" s="3">
        <v>334373</v>
      </c>
    </row>
    <row r="1166" spans="1:9">
      <c r="A1166" s="3" t="s">
        <v>1191</v>
      </c>
      <c r="B1166" s="3" t="s">
        <v>26</v>
      </c>
      <c r="C1166" s="3">
        <v>1745904</v>
      </c>
      <c r="D1166" s="3">
        <v>492009</v>
      </c>
      <c r="E1166" s="3" t="s">
        <v>27</v>
      </c>
      <c r="F1166" s="3">
        <v>1246025</v>
      </c>
      <c r="G1166" s="3">
        <v>398836</v>
      </c>
      <c r="H1166" s="3">
        <v>499879</v>
      </c>
      <c r="I1166" s="3">
        <v>93173</v>
      </c>
    </row>
    <row r="1167" spans="1:9">
      <c r="A1167" s="3" t="s">
        <v>1192</v>
      </c>
      <c r="B1167" s="3" t="s">
        <v>26</v>
      </c>
      <c r="C1167" s="3">
        <v>2195965</v>
      </c>
      <c r="D1167" s="3">
        <v>781488</v>
      </c>
      <c r="E1167" s="3" t="s">
        <v>27</v>
      </c>
      <c r="F1167" s="3">
        <v>1539092</v>
      </c>
      <c r="G1167" s="3">
        <v>537175</v>
      </c>
      <c r="H1167" s="3">
        <v>656873</v>
      </c>
      <c r="I1167" s="3">
        <v>244313</v>
      </c>
    </row>
    <row r="1168" spans="1:9">
      <c r="A1168" s="3" t="s">
        <v>1193</v>
      </c>
      <c r="B1168" s="3" t="s">
        <v>26</v>
      </c>
      <c r="C1168" s="3">
        <v>1703605</v>
      </c>
      <c r="D1168" s="3">
        <v>670593</v>
      </c>
      <c r="E1168" s="3" t="s">
        <v>27</v>
      </c>
      <c r="F1168" s="3">
        <v>1356503</v>
      </c>
      <c r="G1168" s="3">
        <v>531985</v>
      </c>
      <c r="H1168" s="3">
        <v>347102</v>
      </c>
      <c r="I1168" s="3">
        <v>138608</v>
      </c>
    </row>
    <row r="1169" spans="1:9">
      <c r="A1169" s="3" t="s">
        <v>1194</v>
      </c>
      <c r="B1169" s="3" t="s">
        <v>26</v>
      </c>
      <c r="C1169" s="3">
        <v>2391442</v>
      </c>
      <c r="D1169" s="3">
        <v>1116314</v>
      </c>
      <c r="E1169" s="3" t="s">
        <v>27</v>
      </c>
      <c r="F1169" s="3">
        <v>2006663</v>
      </c>
      <c r="G1169" s="3">
        <v>917947</v>
      </c>
      <c r="H1169" s="3">
        <v>384779</v>
      </c>
      <c r="I1169" s="3">
        <v>198367</v>
      </c>
    </row>
    <row r="1170" spans="1:9">
      <c r="A1170" s="3" t="s">
        <v>1195</v>
      </c>
      <c r="B1170" s="3" t="s">
        <v>26</v>
      </c>
      <c r="C1170" s="3">
        <v>1886067</v>
      </c>
      <c r="D1170" s="3">
        <v>615825</v>
      </c>
      <c r="E1170" s="3" t="s">
        <v>27</v>
      </c>
      <c r="F1170" s="3">
        <v>1458999</v>
      </c>
      <c r="G1170" s="3">
        <v>537109</v>
      </c>
      <c r="H1170" s="3">
        <v>427068</v>
      </c>
      <c r="I1170" s="3">
        <v>78716</v>
      </c>
    </row>
    <row r="1171" spans="1:9">
      <c r="A1171" s="3" t="s">
        <v>1196</v>
      </c>
      <c r="B1171" s="3" t="s">
        <v>26</v>
      </c>
      <c r="C1171" s="3">
        <v>2703819</v>
      </c>
      <c r="D1171" s="3">
        <v>975381</v>
      </c>
      <c r="E1171" s="3" t="s">
        <v>27</v>
      </c>
      <c r="F1171" s="3">
        <v>1702231</v>
      </c>
      <c r="G1171" s="3">
        <v>646730</v>
      </c>
      <c r="H1171" s="3">
        <v>1001588</v>
      </c>
      <c r="I1171" s="3">
        <v>328651</v>
      </c>
    </row>
    <row r="1172" spans="1:9">
      <c r="A1172" s="3" t="s">
        <v>1197</v>
      </c>
      <c r="B1172" s="3" t="s">
        <v>26</v>
      </c>
      <c r="C1172" s="3">
        <v>2131633</v>
      </c>
      <c r="D1172" s="3">
        <v>739570</v>
      </c>
      <c r="E1172" s="3" t="s">
        <v>27</v>
      </c>
      <c r="F1172" s="3">
        <v>1665281</v>
      </c>
      <c r="G1172" s="3">
        <v>589124</v>
      </c>
      <c r="H1172" s="3">
        <v>466352</v>
      </c>
      <c r="I1172" s="3">
        <v>150446</v>
      </c>
    </row>
    <row r="1173" spans="1:9">
      <c r="A1173" s="3" t="s">
        <v>1198</v>
      </c>
      <c r="B1173" s="3" t="s">
        <v>26</v>
      </c>
      <c r="C1173" s="3">
        <v>1363146</v>
      </c>
      <c r="D1173" s="3">
        <v>83089</v>
      </c>
      <c r="E1173" s="3" t="s">
        <v>27</v>
      </c>
      <c r="F1173" s="3">
        <v>778520</v>
      </c>
      <c r="G1173" s="3">
        <v>44764</v>
      </c>
      <c r="H1173" s="3">
        <v>584626</v>
      </c>
      <c r="I1173" s="3">
        <v>38325</v>
      </c>
    </row>
    <row r="1174" spans="1:9">
      <c r="A1174" s="3" t="s">
        <v>1199</v>
      </c>
      <c r="B1174" s="3" t="s">
        <v>26</v>
      </c>
      <c r="C1174" s="3">
        <v>2437241</v>
      </c>
      <c r="D1174" s="3">
        <v>1028598</v>
      </c>
      <c r="E1174" s="3" t="s">
        <v>27</v>
      </c>
      <c r="F1174" s="3">
        <v>2236809</v>
      </c>
      <c r="G1174" s="3">
        <v>942269</v>
      </c>
      <c r="H1174" s="3">
        <v>200432</v>
      </c>
      <c r="I1174" s="3">
        <v>86329</v>
      </c>
    </row>
    <row r="1175" spans="1:9">
      <c r="A1175" s="3" t="s">
        <v>1200</v>
      </c>
      <c r="B1175" s="3" t="s">
        <v>26</v>
      </c>
      <c r="C1175" s="3">
        <v>2170385</v>
      </c>
      <c r="D1175" s="3">
        <v>855280</v>
      </c>
      <c r="E1175" s="3" t="s">
        <v>27</v>
      </c>
      <c r="F1175" s="3">
        <v>1711457</v>
      </c>
      <c r="G1175" s="3">
        <v>712109</v>
      </c>
      <c r="H1175" s="3">
        <v>458928</v>
      </c>
      <c r="I1175" s="3">
        <v>143171</v>
      </c>
    </row>
    <row r="1176" spans="1:9">
      <c r="A1176" s="3" t="s">
        <v>1201</v>
      </c>
      <c r="B1176" s="3" t="s">
        <v>26</v>
      </c>
      <c r="C1176" s="3">
        <v>1062155</v>
      </c>
      <c r="D1176" s="3">
        <v>3098</v>
      </c>
      <c r="E1176" s="3" t="s">
        <v>27</v>
      </c>
      <c r="F1176" s="3">
        <v>545527</v>
      </c>
      <c r="G1176" s="3">
        <v>1624</v>
      </c>
      <c r="H1176" s="3">
        <v>516628</v>
      </c>
      <c r="I1176" s="3">
        <v>1474</v>
      </c>
    </row>
    <row r="1177" spans="1:9">
      <c r="A1177" s="3" t="s">
        <v>1202</v>
      </c>
      <c r="B1177" s="3" t="s">
        <v>26</v>
      </c>
      <c r="C1177" s="3">
        <v>875780</v>
      </c>
      <c r="D1177" s="3">
        <v>4451</v>
      </c>
      <c r="E1177" s="3" t="s">
        <v>27</v>
      </c>
      <c r="F1177" s="3">
        <v>453926</v>
      </c>
      <c r="G1177" s="3">
        <v>2064</v>
      </c>
      <c r="H1177" s="3">
        <v>421854</v>
      </c>
      <c r="I1177" s="3">
        <v>2387</v>
      </c>
    </row>
    <row r="1178" spans="1:9">
      <c r="A1178" s="3" t="s">
        <v>1203</v>
      </c>
      <c r="B1178" s="3" t="s">
        <v>26</v>
      </c>
      <c r="C1178" s="3">
        <v>2261107</v>
      </c>
      <c r="D1178" s="3">
        <v>975052</v>
      </c>
      <c r="E1178" s="3" t="s">
        <v>27</v>
      </c>
      <c r="F1178" s="3">
        <v>1827411</v>
      </c>
      <c r="G1178" s="3">
        <v>779177</v>
      </c>
      <c r="H1178" s="3">
        <v>433696</v>
      </c>
      <c r="I1178" s="3">
        <v>195875</v>
      </c>
    </row>
    <row r="1179" spans="1:9">
      <c r="A1179" s="3" t="s">
        <v>1204</v>
      </c>
      <c r="B1179" s="3" t="s">
        <v>26</v>
      </c>
      <c r="C1179" s="3">
        <v>2706863</v>
      </c>
      <c r="D1179" s="3">
        <v>1192100</v>
      </c>
      <c r="E1179" s="3" t="s">
        <v>27</v>
      </c>
      <c r="F1179" s="3">
        <v>1990559</v>
      </c>
      <c r="G1179" s="3">
        <v>872985</v>
      </c>
      <c r="H1179" s="3">
        <v>716304</v>
      </c>
      <c r="I1179" s="3">
        <v>319115</v>
      </c>
    </row>
    <row r="1180" spans="1:9">
      <c r="A1180" s="3" t="s">
        <v>1205</v>
      </c>
      <c r="B1180" s="3" t="s">
        <v>26</v>
      </c>
      <c r="C1180" s="3">
        <v>1572820</v>
      </c>
      <c r="D1180" s="3">
        <v>273004</v>
      </c>
      <c r="E1180" s="3" t="s">
        <v>27</v>
      </c>
      <c r="F1180" s="3">
        <v>1049609</v>
      </c>
      <c r="G1180" s="3">
        <v>192841</v>
      </c>
      <c r="H1180" s="3">
        <v>523211</v>
      </c>
      <c r="I1180" s="3">
        <v>80163</v>
      </c>
    </row>
    <row r="1181" spans="1:9">
      <c r="A1181" s="3" t="s">
        <v>1206</v>
      </c>
      <c r="B1181" s="3" t="s">
        <v>26</v>
      </c>
      <c r="C1181" s="3">
        <v>2537267</v>
      </c>
      <c r="D1181" s="3">
        <v>1086404</v>
      </c>
      <c r="E1181" s="3" t="s">
        <v>27</v>
      </c>
      <c r="F1181" s="3">
        <v>1682816</v>
      </c>
      <c r="G1181" s="3">
        <v>705082</v>
      </c>
      <c r="H1181" s="3">
        <v>854451</v>
      </c>
      <c r="I1181" s="3">
        <v>381322</v>
      </c>
    </row>
    <row r="1182" spans="1:9">
      <c r="A1182" s="3" t="s">
        <v>1207</v>
      </c>
      <c r="B1182" s="3" t="s">
        <v>26</v>
      </c>
      <c r="C1182" s="3">
        <v>2609889</v>
      </c>
      <c r="D1182" s="3">
        <v>1051883</v>
      </c>
      <c r="E1182" s="3" t="s">
        <v>27</v>
      </c>
      <c r="F1182" s="3">
        <v>1691906</v>
      </c>
      <c r="G1182" s="3">
        <v>661603</v>
      </c>
      <c r="H1182" s="3">
        <v>917983</v>
      </c>
      <c r="I1182" s="3">
        <v>390280</v>
      </c>
    </row>
    <row r="1183" spans="1:9">
      <c r="A1183" s="3" t="s">
        <v>1208</v>
      </c>
      <c r="B1183" s="3" t="s">
        <v>26</v>
      </c>
      <c r="C1183" s="3">
        <v>1129838</v>
      </c>
      <c r="D1183" s="3">
        <v>24638</v>
      </c>
      <c r="E1183" s="3" t="s">
        <v>27</v>
      </c>
      <c r="F1183" s="3">
        <v>609443</v>
      </c>
      <c r="G1183" s="3">
        <v>13444</v>
      </c>
      <c r="H1183" s="3">
        <v>520395</v>
      </c>
      <c r="I1183" s="3">
        <v>11194</v>
      </c>
    </row>
    <row r="1184" spans="1:9">
      <c r="A1184" s="3" t="s">
        <v>1209</v>
      </c>
      <c r="B1184" s="3" t="s">
        <v>26</v>
      </c>
      <c r="C1184" s="3">
        <v>1227769</v>
      </c>
      <c r="D1184" s="3">
        <v>230841</v>
      </c>
      <c r="E1184" s="3" t="s">
        <v>27</v>
      </c>
      <c r="F1184" s="3">
        <v>843268</v>
      </c>
      <c r="G1184" s="3">
        <v>183005</v>
      </c>
      <c r="H1184" s="3">
        <v>384501</v>
      </c>
      <c r="I1184" s="3">
        <v>47836</v>
      </c>
    </row>
    <row r="1185" spans="1:9">
      <c r="A1185" s="3" t="s">
        <v>1210</v>
      </c>
      <c r="B1185" s="3" t="s">
        <v>26</v>
      </c>
      <c r="C1185" s="3">
        <v>2240147</v>
      </c>
      <c r="D1185" s="3">
        <v>1104566</v>
      </c>
      <c r="E1185" s="3" t="s">
        <v>27</v>
      </c>
      <c r="F1185" s="3">
        <v>1778828</v>
      </c>
      <c r="G1185" s="3">
        <v>855788</v>
      </c>
      <c r="H1185" s="3">
        <v>461319</v>
      </c>
      <c r="I1185" s="3">
        <v>248778</v>
      </c>
    </row>
    <row r="1186" spans="1:9">
      <c r="A1186" s="3" t="s">
        <v>1211</v>
      </c>
      <c r="B1186" s="3" t="s">
        <v>26</v>
      </c>
      <c r="C1186" s="3">
        <v>2594091</v>
      </c>
      <c r="D1186" s="3">
        <v>1215002</v>
      </c>
      <c r="E1186" s="3" t="s">
        <v>27</v>
      </c>
      <c r="F1186" s="3">
        <v>1959716</v>
      </c>
      <c r="G1186" s="3">
        <v>888567</v>
      </c>
      <c r="H1186" s="3">
        <v>634375</v>
      </c>
      <c r="I1186" s="3">
        <v>326435</v>
      </c>
    </row>
    <row r="1187" spans="1:9">
      <c r="A1187" s="3" t="s">
        <v>1212</v>
      </c>
      <c r="B1187" s="3" t="s">
        <v>26</v>
      </c>
      <c r="C1187" s="3">
        <v>2139602</v>
      </c>
      <c r="D1187" s="3">
        <v>724511</v>
      </c>
      <c r="E1187" s="3" t="s">
        <v>27</v>
      </c>
      <c r="F1187" s="3">
        <v>1545910</v>
      </c>
      <c r="G1187" s="3">
        <v>543691</v>
      </c>
      <c r="H1187" s="3">
        <v>593692</v>
      </c>
      <c r="I1187" s="3">
        <v>180820</v>
      </c>
    </row>
    <row r="1188" spans="1:9">
      <c r="A1188" s="3" t="s">
        <v>1213</v>
      </c>
      <c r="B1188" s="3" t="s">
        <v>26</v>
      </c>
      <c r="C1188" s="3">
        <v>2597163</v>
      </c>
      <c r="D1188" s="3">
        <v>1238582</v>
      </c>
      <c r="E1188" s="3" t="s">
        <v>27</v>
      </c>
      <c r="F1188" s="3">
        <v>1891000</v>
      </c>
      <c r="G1188" s="3">
        <v>889308</v>
      </c>
      <c r="H1188" s="3">
        <v>706163</v>
      </c>
      <c r="I1188" s="3">
        <v>349274</v>
      </c>
    </row>
    <row r="1189" spans="1:9">
      <c r="A1189" s="3" t="s">
        <v>1214</v>
      </c>
      <c r="B1189" s="3" t="s">
        <v>26</v>
      </c>
      <c r="C1189" s="3">
        <v>1995148</v>
      </c>
      <c r="D1189" s="3">
        <v>689134</v>
      </c>
      <c r="E1189" s="3" t="s">
        <v>27</v>
      </c>
      <c r="F1189" s="3">
        <v>1297589</v>
      </c>
      <c r="G1189" s="3">
        <v>419048</v>
      </c>
      <c r="H1189" s="3">
        <v>697559</v>
      </c>
      <c r="I1189" s="3">
        <v>270086</v>
      </c>
    </row>
    <row r="1190" spans="1:9">
      <c r="A1190" s="3" t="s">
        <v>1215</v>
      </c>
      <c r="B1190" s="3" t="s">
        <v>26</v>
      </c>
      <c r="C1190" s="3">
        <v>2139229</v>
      </c>
      <c r="D1190" s="3">
        <v>899475</v>
      </c>
      <c r="E1190" s="3" t="s">
        <v>27</v>
      </c>
      <c r="F1190" s="3">
        <v>1609329</v>
      </c>
      <c r="G1190" s="3">
        <v>679956</v>
      </c>
      <c r="H1190" s="3">
        <v>529900</v>
      </c>
      <c r="I1190" s="3">
        <v>219519</v>
      </c>
    </row>
    <row r="1191" spans="1:9">
      <c r="A1191" s="3" t="s">
        <v>1216</v>
      </c>
      <c r="B1191" s="3" t="s">
        <v>26</v>
      </c>
      <c r="C1191" s="3">
        <v>2271111</v>
      </c>
      <c r="D1191" s="3">
        <v>972080</v>
      </c>
      <c r="E1191" s="3" t="s">
        <v>27</v>
      </c>
      <c r="F1191" s="3">
        <v>1849227</v>
      </c>
      <c r="G1191" s="3">
        <v>767234</v>
      </c>
      <c r="H1191" s="3">
        <v>421884</v>
      </c>
      <c r="I1191" s="3">
        <v>204846</v>
      </c>
    </row>
    <row r="1192" spans="1:9">
      <c r="A1192" s="3" t="s">
        <v>1217</v>
      </c>
      <c r="B1192" s="3" t="s">
        <v>26</v>
      </c>
      <c r="C1192" s="3">
        <v>2422246</v>
      </c>
      <c r="D1192" s="3">
        <v>1045754</v>
      </c>
      <c r="E1192" s="3" t="s">
        <v>27</v>
      </c>
      <c r="F1192" s="3">
        <v>1847570</v>
      </c>
      <c r="G1192" s="3">
        <v>775725</v>
      </c>
      <c r="H1192" s="3">
        <v>574676</v>
      </c>
      <c r="I1192" s="3">
        <v>270029</v>
      </c>
    </row>
    <row r="1193" spans="1:9">
      <c r="A1193" s="3" t="s">
        <v>1218</v>
      </c>
      <c r="B1193" s="3" t="s">
        <v>26</v>
      </c>
      <c r="C1193" s="3">
        <v>2052914</v>
      </c>
      <c r="D1193" s="3">
        <v>716282</v>
      </c>
      <c r="E1193" s="3" t="s">
        <v>27</v>
      </c>
      <c r="F1193" s="3">
        <v>1913846</v>
      </c>
      <c r="G1193" s="3">
        <v>654996</v>
      </c>
      <c r="H1193" s="3">
        <v>139068</v>
      </c>
      <c r="I1193" s="3">
        <v>61286</v>
      </c>
    </row>
    <row r="1194" spans="1:9">
      <c r="A1194" s="3" t="s">
        <v>1219</v>
      </c>
      <c r="B1194" s="3" t="s">
        <v>26</v>
      </c>
      <c r="C1194" s="3">
        <v>2322764</v>
      </c>
      <c r="D1194" s="3">
        <v>881160</v>
      </c>
      <c r="E1194" s="3" t="s">
        <v>27</v>
      </c>
      <c r="F1194" s="3">
        <v>1725077</v>
      </c>
      <c r="G1194" s="3">
        <v>604684</v>
      </c>
      <c r="H1194" s="3">
        <v>597687</v>
      </c>
      <c r="I1194" s="3">
        <v>276476</v>
      </c>
    </row>
    <row r="1195" spans="1:9">
      <c r="A1195" s="3" t="s">
        <v>1220</v>
      </c>
      <c r="B1195" s="3" t="s">
        <v>26</v>
      </c>
      <c r="C1195" s="3">
        <v>1862901</v>
      </c>
      <c r="D1195" s="3">
        <v>489468</v>
      </c>
      <c r="E1195" s="3" t="s">
        <v>27</v>
      </c>
      <c r="F1195" s="3">
        <v>1193986</v>
      </c>
      <c r="G1195" s="3">
        <v>344998</v>
      </c>
      <c r="H1195" s="3">
        <v>668915</v>
      </c>
      <c r="I1195" s="3">
        <v>144470</v>
      </c>
    </row>
    <row r="1196" spans="1:9">
      <c r="A1196" s="3" t="s">
        <v>1221</v>
      </c>
      <c r="B1196" s="3" t="s">
        <v>26</v>
      </c>
      <c r="C1196" s="3">
        <v>2310152</v>
      </c>
      <c r="D1196" s="3">
        <v>1014877</v>
      </c>
      <c r="E1196" s="3" t="s">
        <v>27</v>
      </c>
      <c r="F1196" s="3">
        <v>1759518</v>
      </c>
      <c r="G1196" s="3">
        <v>768464</v>
      </c>
      <c r="H1196" s="3">
        <v>550634</v>
      </c>
      <c r="I1196" s="3">
        <v>246413</v>
      </c>
    </row>
    <row r="1197" spans="1:9">
      <c r="A1197" s="3" t="s">
        <v>1222</v>
      </c>
      <c r="B1197" s="3" t="s">
        <v>26</v>
      </c>
      <c r="C1197" s="3">
        <v>2669118</v>
      </c>
      <c r="D1197" s="3">
        <v>1197813</v>
      </c>
      <c r="E1197" s="3" t="s">
        <v>27</v>
      </c>
      <c r="F1197" s="3">
        <v>1965096</v>
      </c>
      <c r="G1197" s="3">
        <v>872598</v>
      </c>
      <c r="H1197" s="3">
        <v>704022</v>
      </c>
      <c r="I1197" s="3">
        <v>325215</v>
      </c>
    </row>
    <row r="1198" spans="1:9">
      <c r="A1198" s="3" t="s">
        <v>1223</v>
      </c>
      <c r="B1198" s="3" t="s">
        <v>26</v>
      </c>
      <c r="C1198" s="3">
        <v>2415042</v>
      </c>
      <c r="D1198" s="3">
        <v>766118</v>
      </c>
      <c r="E1198" s="3" t="s">
        <v>27</v>
      </c>
      <c r="F1198" s="3">
        <v>1713537</v>
      </c>
      <c r="G1198" s="3">
        <v>588879</v>
      </c>
      <c r="H1198" s="3">
        <v>701505</v>
      </c>
      <c r="I1198" s="3">
        <v>177239</v>
      </c>
    </row>
    <row r="1199" spans="1:9">
      <c r="A1199" s="3" t="s">
        <v>1224</v>
      </c>
      <c r="B1199" s="3" t="s">
        <v>26</v>
      </c>
      <c r="C1199" s="3">
        <v>1500981</v>
      </c>
      <c r="D1199" s="3">
        <v>448455</v>
      </c>
      <c r="E1199" s="3" t="s">
        <v>27</v>
      </c>
      <c r="F1199" s="3">
        <v>1192094</v>
      </c>
      <c r="G1199" s="3">
        <v>367929</v>
      </c>
      <c r="H1199" s="3">
        <v>308887</v>
      </c>
      <c r="I1199" s="3">
        <v>80526</v>
      </c>
    </row>
    <row r="1200" spans="1:9">
      <c r="A1200" s="3" t="s">
        <v>1225</v>
      </c>
      <c r="B1200" s="3" t="s">
        <v>26</v>
      </c>
      <c r="C1200" s="3">
        <v>2050506</v>
      </c>
      <c r="D1200" s="3">
        <v>857322</v>
      </c>
      <c r="E1200" s="3" t="s">
        <v>27</v>
      </c>
      <c r="F1200" s="3">
        <v>1602695</v>
      </c>
      <c r="G1200" s="3">
        <v>656014</v>
      </c>
      <c r="H1200" s="3">
        <v>447811</v>
      </c>
      <c r="I1200" s="3">
        <v>201308</v>
      </c>
    </row>
    <row r="1201" spans="1:9">
      <c r="A1201" s="3" t="s">
        <v>1226</v>
      </c>
      <c r="B1201" s="3" t="s">
        <v>26</v>
      </c>
      <c r="C1201" s="3">
        <v>1124834</v>
      </c>
      <c r="D1201" s="3">
        <v>57569</v>
      </c>
      <c r="E1201" s="3" t="s">
        <v>27</v>
      </c>
      <c r="F1201" s="3">
        <v>653286</v>
      </c>
      <c r="G1201" s="3">
        <v>39372</v>
      </c>
      <c r="H1201" s="3">
        <v>471548</v>
      </c>
      <c r="I1201" s="3">
        <v>18197</v>
      </c>
    </row>
    <row r="1202" spans="1:9">
      <c r="A1202" s="3" t="s">
        <v>1227</v>
      </c>
      <c r="B1202" s="3" t="s">
        <v>26</v>
      </c>
      <c r="C1202" s="3">
        <v>2333406</v>
      </c>
      <c r="D1202" s="3">
        <v>950771</v>
      </c>
      <c r="E1202" s="3" t="s">
        <v>27</v>
      </c>
      <c r="F1202" s="3">
        <v>1597730</v>
      </c>
      <c r="G1202" s="3">
        <v>647494</v>
      </c>
      <c r="H1202" s="3">
        <v>735676</v>
      </c>
      <c r="I1202" s="3">
        <v>303277</v>
      </c>
    </row>
    <row r="1203" spans="1:9">
      <c r="A1203" s="3" t="s">
        <v>1228</v>
      </c>
      <c r="B1203" s="3" t="s">
        <v>26</v>
      </c>
      <c r="C1203" s="3">
        <v>1670334</v>
      </c>
      <c r="D1203" s="3">
        <v>513883</v>
      </c>
      <c r="E1203" s="3" t="s">
        <v>27</v>
      </c>
      <c r="F1203" s="3">
        <v>1230061</v>
      </c>
      <c r="G1203" s="3">
        <v>401250</v>
      </c>
      <c r="H1203" s="3">
        <v>440273</v>
      </c>
      <c r="I1203" s="3">
        <v>112633</v>
      </c>
    </row>
    <row r="1204" spans="1:9">
      <c r="A1204" s="3" t="s">
        <v>1229</v>
      </c>
      <c r="B1204" s="3" t="s">
        <v>26</v>
      </c>
      <c r="C1204" s="3">
        <v>1406270</v>
      </c>
      <c r="D1204" s="3">
        <v>83129</v>
      </c>
      <c r="E1204" s="3" t="s">
        <v>27</v>
      </c>
      <c r="F1204" s="3">
        <v>760183</v>
      </c>
      <c r="G1204" s="3">
        <v>45060</v>
      </c>
      <c r="H1204" s="3">
        <v>646087</v>
      </c>
      <c r="I1204" s="3">
        <v>38069</v>
      </c>
    </row>
    <row r="1205" spans="1:9">
      <c r="A1205" s="3" t="s">
        <v>1230</v>
      </c>
      <c r="B1205" s="3" t="s">
        <v>26</v>
      </c>
      <c r="C1205" s="3">
        <v>2401097</v>
      </c>
      <c r="D1205" s="3">
        <v>1112784</v>
      </c>
      <c r="E1205" s="3" t="s">
        <v>27</v>
      </c>
      <c r="F1205" s="3">
        <v>2043023</v>
      </c>
      <c r="G1205" s="3">
        <v>964627</v>
      </c>
      <c r="H1205" s="3">
        <v>358074</v>
      </c>
      <c r="I1205" s="3">
        <v>148157</v>
      </c>
    </row>
    <row r="1206" spans="1:9">
      <c r="A1206" s="3" t="s">
        <v>1231</v>
      </c>
      <c r="B1206" s="3" t="s">
        <v>26</v>
      </c>
      <c r="C1206" s="3">
        <v>1758860</v>
      </c>
      <c r="D1206" s="3">
        <v>252810</v>
      </c>
      <c r="E1206" s="3" t="s">
        <v>27</v>
      </c>
      <c r="F1206" s="3">
        <v>1105970</v>
      </c>
      <c r="G1206" s="3">
        <v>200146</v>
      </c>
      <c r="H1206" s="3">
        <v>652890</v>
      </c>
      <c r="I1206" s="3">
        <v>52664</v>
      </c>
    </row>
    <row r="1207" spans="1:9">
      <c r="A1207" s="3" t="s">
        <v>1232</v>
      </c>
      <c r="B1207" s="3" t="s">
        <v>26</v>
      </c>
      <c r="C1207" s="3">
        <v>1340065</v>
      </c>
      <c r="D1207" s="3">
        <v>31783</v>
      </c>
      <c r="E1207" s="3" t="s">
        <v>27</v>
      </c>
      <c r="F1207" s="3">
        <v>700580</v>
      </c>
      <c r="G1207" s="3">
        <v>18395</v>
      </c>
      <c r="H1207" s="3">
        <v>639485</v>
      </c>
      <c r="I1207" s="3">
        <v>13388</v>
      </c>
    </row>
    <row r="1208" spans="1:9">
      <c r="A1208" s="3" t="s">
        <v>1233</v>
      </c>
      <c r="B1208" s="3" t="s">
        <v>26</v>
      </c>
      <c r="C1208" s="3">
        <v>953770</v>
      </c>
      <c r="D1208" s="3">
        <v>30543</v>
      </c>
      <c r="E1208" s="3" t="s">
        <v>27</v>
      </c>
      <c r="F1208" s="3">
        <v>505497</v>
      </c>
      <c r="G1208" s="3">
        <v>20606</v>
      </c>
      <c r="H1208" s="3">
        <v>448273</v>
      </c>
      <c r="I1208" s="3">
        <v>9937</v>
      </c>
    </row>
    <row r="1209" spans="1:9">
      <c r="A1209" s="3" t="s">
        <v>1234</v>
      </c>
      <c r="B1209" s="3" t="s">
        <v>26</v>
      </c>
      <c r="C1209" s="3">
        <v>2405152</v>
      </c>
      <c r="D1209" s="3">
        <v>1125762</v>
      </c>
      <c r="E1209" s="3" t="s">
        <v>27</v>
      </c>
      <c r="F1209" s="3">
        <v>2063992</v>
      </c>
      <c r="G1209" s="3">
        <v>929076</v>
      </c>
      <c r="H1209" s="3">
        <v>341160</v>
      </c>
      <c r="I1209" s="3">
        <v>196686</v>
      </c>
    </row>
    <row r="1210" spans="1:9">
      <c r="A1210" s="3" t="s">
        <v>1235</v>
      </c>
      <c r="B1210" s="3" t="s">
        <v>26</v>
      </c>
      <c r="C1210" s="3">
        <v>1922653</v>
      </c>
      <c r="D1210" s="3">
        <v>523894</v>
      </c>
      <c r="E1210" s="3" t="s">
        <v>27</v>
      </c>
      <c r="F1210" s="3">
        <v>1367048</v>
      </c>
      <c r="G1210" s="3">
        <v>401887</v>
      </c>
      <c r="H1210" s="3">
        <v>555605</v>
      </c>
      <c r="I1210" s="3">
        <v>122007</v>
      </c>
    </row>
    <row r="1211" spans="1:9">
      <c r="A1211" s="3" t="s">
        <v>1236</v>
      </c>
      <c r="B1211" s="3" t="s">
        <v>26</v>
      </c>
      <c r="C1211" s="3">
        <v>1227574</v>
      </c>
      <c r="D1211" s="3">
        <v>38510</v>
      </c>
      <c r="E1211" s="3" t="s">
        <v>27</v>
      </c>
      <c r="F1211" s="3">
        <v>657603</v>
      </c>
      <c r="G1211" s="3">
        <v>17855</v>
      </c>
      <c r="H1211" s="3">
        <v>569971</v>
      </c>
      <c r="I1211" s="3">
        <v>20655</v>
      </c>
    </row>
    <row r="1212" spans="1:9">
      <c r="A1212" s="3" t="s">
        <v>1237</v>
      </c>
      <c r="B1212" s="3" t="s">
        <v>26</v>
      </c>
      <c r="C1212" s="3">
        <v>2209395</v>
      </c>
      <c r="D1212" s="3">
        <v>1084873</v>
      </c>
      <c r="E1212" s="3" t="s">
        <v>27</v>
      </c>
      <c r="F1212" s="3">
        <v>1796310</v>
      </c>
      <c r="G1212" s="3">
        <v>858874</v>
      </c>
      <c r="H1212" s="3">
        <v>413085</v>
      </c>
      <c r="I1212" s="3">
        <v>225999</v>
      </c>
    </row>
    <row r="1213" spans="1:9">
      <c r="A1213" s="3" t="s">
        <v>1238</v>
      </c>
      <c r="B1213" s="3" t="s">
        <v>26</v>
      </c>
      <c r="C1213" s="3">
        <v>2101751</v>
      </c>
      <c r="D1213" s="3">
        <v>916475</v>
      </c>
      <c r="E1213" s="3" t="s">
        <v>27</v>
      </c>
      <c r="F1213" s="3">
        <v>1710894</v>
      </c>
      <c r="G1213" s="3">
        <v>739588</v>
      </c>
      <c r="H1213" s="3">
        <v>390857</v>
      </c>
      <c r="I1213" s="3">
        <v>176887</v>
      </c>
    </row>
    <row r="1214" spans="1:9">
      <c r="A1214" s="3" t="s">
        <v>1239</v>
      </c>
      <c r="B1214" s="3" t="s">
        <v>26</v>
      </c>
      <c r="C1214" s="3">
        <v>2087661</v>
      </c>
      <c r="D1214" s="3">
        <v>558523</v>
      </c>
      <c r="E1214" s="3" t="s">
        <v>27</v>
      </c>
      <c r="F1214" s="3">
        <v>1317955</v>
      </c>
      <c r="G1214" s="3">
        <v>371461</v>
      </c>
      <c r="H1214" s="3">
        <v>769706</v>
      </c>
      <c r="I1214" s="3">
        <v>187062</v>
      </c>
    </row>
    <row r="1215" spans="1:9">
      <c r="A1215" s="3" t="s">
        <v>1240</v>
      </c>
      <c r="B1215" s="3" t="s">
        <v>26</v>
      </c>
      <c r="C1215" s="3">
        <v>1496156</v>
      </c>
      <c r="D1215" s="3">
        <v>261177</v>
      </c>
      <c r="E1215" s="3" t="s">
        <v>27</v>
      </c>
      <c r="F1215" s="3">
        <v>894097</v>
      </c>
      <c r="G1215" s="3">
        <v>183244</v>
      </c>
      <c r="H1215" s="3">
        <v>602059</v>
      </c>
      <c r="I1215" s="3">
        <v>77933</v>
      </c>
    </row>
    <row r="1216" spans="1:9">
      <c r="A1216" s="3" t="s">
        <v>1241</v>
      </c>
      <c r="B1216" s="3" t="s">
        <v>26</v>
      </c>
      <c r="C1216" s="3">
        <v>1933985</v>
      </c>
      <c r="D1216" s="3">
        <v>847555</v>
      </c>
      <c r="E1216" s="3" t="s">
        <v>27</v>
      </c>
      <c r="F1216" s="3">
        <v>1590176</v>
      </c>
      <c r="G1216" s="3">
        <v>672160</v>
      </c>
      <c r="H1216" s="3">
        <v>343809</v>
      </c>
      <c r="I1216" s="3">
        <v>175395</v>
      </c>
    </row>
    <row r="1217" spans="1:9">
      <c r="A1217" s="3" t="s">
        <v>1242</v>
      </c>
      <c r="B1217" s="3" t="s">
        <v>26</v>
      </c>
      <c r="C1217" s="3">
        <v>2016018</v>
      </c>
      <c r="D1217" s="3">
        <v>829052</v>
      </c>
      <c r="E1217" s="3" t="s">
        <v>27</v>
      </c>
      <c r="F1217" s="3">
        <v>1721980</v>
      </c>
      <c r="G1217" s="3">
        <v>705277</v>
      </c>
      <c r="H1217" s="3">
        <v>294038</v>
      </c>
      <c r="I1217" s="3">
        <v>123775</v>
      </c>
    </row>
    <row r="1218" spans="1:9">
      <c r="A1218" s="3" t="s">
        <v>1243</v>
      </c>
      <c r="B1218" s="3" t="s">
        <v>26</v>
      </c>
      <c r="C1218" s="3">
        <v>830136</v>
      </c>
      <c r="D1218" s="3">
        <v>34541</v>
      </c>
      <c r="E1218" s="3" t="s">
        <v>27</v>
      </c>
      <c r="F1218" s="3">
        <v>441767</v>
      </c>
      <c r="G1218" s="3">
        <v>16305</v>
      </c>
      <c r="H1218" s="3">
        <v>388369</v>
      </c>
      <c r="I1218" s="3">
        <v>18236</v>
      </c>
    </row>
    <row r="1219" spans="1:9">
      <c r="A1219" s="3" t="s">
        <v>1244</v>
      </c>
      <c r="B1219" s="3" t="s">
        <v>26</v>
      </c>
      <c r="C1219" s="3">
        <v>1194547</v>
      </c>
      <c r="D1219" s="3">
        <v>244244</v>
      </c>
      <c r="E1219" s="3" t="s">
        <v>27</v>
      </c>
      <c r="F1219" s="3">
        <v>709883</v>
      </c>
      <c r="G1219" s="3">
        <v>156937</v>
      </c>
      <c r="H1219" s="3">
        <v>484664</v>
      </c>
      <c r="I1219" s="3">
        <v>87307</v>
      </c>
    </row>
    <row r="1220" spans="1:9">
      <c r="A1220" s="3" t="s">
        <v>1245</v>
      </c>
      <c r="B1220" s="3" t="s">
        <v>26</v>
      </c>
      <c r="C1220" s="3">
        <v>1931560</v>
      </c>
      <c r="D1220" s="3">
        <v>912771</v>
      </c>
      <c r="E1220" s="3" t="s">
        <v>27</v>
      </c>
      <c r="F1220" s="3">
        <v>1588962</v>
      </c>
      <c r="G1220" s="3">
        <v>736264</v>
      </c>
      <c r="H1220" s="3">
        <v>342598</v>
      </c>
      <c r="I1220" s="3">
        <v>176507</v>
      </c>
    </row>
    <row r="1221" spans="1:9">
      <c r="A1221" s="3" t="s">
        <v>1246</v>
      </c>
      <c r="B1221" s="3" t="s">
        <v>26</v>
      </c>
      <c r="C1221" s="3">
        <v>2025286</v>
      </c>
      <c r="D1221" s="3">
        <v>867239</v>
      </c>
      <c r="E1221" s="3" t="s">
        <v>27</v>
      </c>
      <c r="F1221" s="3">
        <v>1430518</v>
      </c>
      <c r="G1221" s="3">
        <v>596231</v>
      </c>
      <c r="H1221" s="3">
        <v>594768</v>
      </c>
      <c r="I1221" s="3">
        <v>271008</v>
      </c>
    </row>
    <row r="1222" spans="1:9">
      <c r="A1222" s="3" t="s">
        <v>1247</v>
      </c>
      <c r="B1222" s="3" t="s">
        <v>26</v>
      </c>
      <c r="C1222" s="3">
        <v>1624357</v>
      </c>
      <c r="D1222" s="3">
        <v>617829</v>
      </c>
      <c r="E1222" s="3" t="s">
        <v>27</v>
      </c>
      <c r="F1222" s="3">
        <v>1366563</v>
      </c>
      <c r="G1222" s="3">
        <v>506051</v>
      </c>
      <c r="H1222" s="3">
        <v>257794</v>
      </c>
      <c r="I1222" s="3">
        <v>111778</v>
      </c>
    </row>
    <row r="1223" spans="1:9">
      <c r="A1223" s="3" t="s">
        <v>1248</v>
      </c>
      <c r="B1223" s="3" t="s">
        <v>26</v>
      </c>
      <c r="C1223" s="3">
        <v>2094148</v>
      </c>
      <c r="D1223" s="3">
        <v>1039154</v>
      </c>
      <c r="E1223" s="3" t="s">
        <v>27</v>
      </c>
      <c r="F1223" s="3">
        <v>1622789</v>
      </c>
      <c r="G1223" s="3">
        <v>808426</v>
      </c>
      <c r="H1223" s="3">
        <v>471359</v>
      </c>
      <c r="I1223" s="3">
        <v>230728</v>
      </c>
    </row>
    <row r="1224" spans="1:9">
      <c r="A1224" s="3" t="s">
        <v>1249</v>
      </c>
      <c r="B1224" s="3" t="s">
        <v>26</v>
      </c>
      <c r="C1224" s="3">
        <v>1002018</v>
      </c>
      <c r="D1224" s="3">
        <v>273571</v>
      </c>
      <c r="E1224" s="3" t="s">
        <v>27</v>
      </c>
      <c r="F1224" s="3">
        <v>932917</v>
      </c>
      <c r="G1224" s="3">
        <v>248293</v>
      </c>
      <c r="H1224" s="3">
        <v>69101</v>
      </c>
      <c r="I1224" s="3">
        <v>25278</v>
      </c>
    </row>
    <row r="1225" spans="1:9">
      <c r="A1225" s="3" t="s">
        <v>1250</v>
      </c>
      <c r="B1225" s="3" t="s">
        <v>26</v>
      </c>
      <c r="C1225" s="3">
        <v>795260</v>
      </c>
      <c r="D1225" s="3">
        <v>1236</v>
      </c>
      <c r="E1225" s="3" t="s">
        <v>27</v>
      </c>
      <c r="F1225" s="3">
        <v>406810</v>
      </c>
      <c r="G1225" s="3">
        <v>491</v>
      </c>
      <c r="H1225" s="3">
        <v>388450</v>
      </c>
      <c r="I1225" s="3">
        <v>745</v>
      </c>
    </row>
    <row r="1226" spans="1:9">
      <c r="A1226" s="3" t="s">
        <v>1251</v>
      </c>
      <c r="B1226" s="3" t="s">
        <v>26</v>
      </c>
      <c r="C1226" s="3">
        <v>1888679</v>
      </c>
      <c r="D1226" s="3">
        <v>755365</v>
      </c>
      <c r="E1226" s="3" t="s">
        <v>27</v>
      </c>
      <c r="F1226" s="3">
        <v>1165901</v>
      </c>
      <c r="G1226" s="3">
        <v>462555</v>
      </c>
      <c r="H1226" s="3">
        <v>722778</v>
      </c>
      <c r="I1226" s="3">
        <v>292810</v>
      </c>
    </row>
    <row r="1227" spans="1:9">
      <c r="A1227" s="3" t="s">
        <v>1252</v>
      </c>
      <c r="B1227" s="3" t="s">
        <v>26</v>
      </c>
      <c r="C1227" s="3">
        <v>2046231</v>
      </c>
      <c r="D1227" s="3">
        <v>862149</v>
      </c>
      <c r="E1227" s="3" t="s">
        <v>27</v>
      </c>
      <c r="F1227" s="3">
        <v>1611354</v>
      </c>
      <c r="G1227" s="3">
        <v>667801</v>
      </c>
      <c r="H1227" s="3">
        <v>434877</v>
      </c>
      <c r="I1227" s="3">
        <v>194348</v>
      </c>
    </row>
    <row r="1228" spans="1:9">
      <c r="A1228" s="3" t="s">
        <v>1253</v>
      </c>
      <c r="B1228" s="3" t="s">
        <v>26</v>
      </c>
      <c r="C1228" s="3">
        <v>2173027</v>
      </c>
      <c r="D1228" s="3">
        <v>1021557</v>
      </c>
      <c r="E1228" s="3" t="s">
        <v>27</v>
      </c>
      <c r="F1228" s="3">
        <v>1789490</v>
      </c>
      <c r="G1228" s="3">
        <v>825215</v>
      </c>
      <c r="H1228" s="3">
        <v>383537</v>
      </c>
      <c r="I1228" s="3">
        <v>196342</v>
      </c>
    </row>
    <row r="1229" spans="1:9">
      <c r="A1229" s="3" t="s">
        <v>1254</v>
      </c>
      <c r="B1229" s="3" t="s">
        <v>26</v>
      </c>
      <c r="C1229" s="3">
        <v>2068375</v>
      </c>
      <c r="D1229" s="3">
        <v>1076315</v>
      </c>
      <c r="E1229" s="3" t="s">
        <v>27</v>
      </c>
      <c r="F1229" s="3">
        <v>1746112</v>
      </c>
      <c r="G1229" s="3">
        <v>889999</v>
      </c>
      <c r="H1229" s="3">
        <v>322263</v>
      </c>
      <c r="I1229" s="3">
        <v>186316</v>
      </c>
    </row>
    <row r="1230" spans="1:9">
      <c r="A1230" s="3" t="s">
        <v>1255</v>
      </c>
      <c r="B1230" s="3" t="s">
        <v>26</v>
      </c>
      <c r="C1230" s="3">
        <v>1174000</v>
      </c>
      <c r="D1230" s="3">
        <v>3059</v>
      </c>
      <c r="E1230" s="3" t="s">
        <v>27</v>
      </c>
      <c r="F1230" s="3">
        <v>408366</v>
      </c>
      <c r="G1230" s="3">
        <v>1300</v>
      </c>
      <c r="H1230" s="3">
        <v>765634</v>
      </c>
      <c r="I1230" s="3">
        <v>1759</v>
      </c>
    </row>
    <row r="1231" spans="1:9">
      <c r="A1231" s="3" t="s">
        <v>1256</v>
      </c>
      <c r="B1231" s="3" t="s">
        <v>26</v>
      </c>
      <c r="C1231" s="3">
        <v>2083503</v>
      </c>
      <c r="D1231" s="3">
        <v>1007639</v>
      </c>
      <c r="E1231" s="3" t="s">
        <v>27</v>
      </c>
      <c r="F1231" s="3">
        <v>1762089</v>
      </c>
      <c r="G1231" s="3">
        <v>827171</v>
      </c>
      <c r="H1231" s="3">
        <v>321414</v>
      </c>
      <c r="I1231" s="3">
        <v>180468</v>
      </c>
    </row>
    <row r="1232" spans="1:9">
      <c r="A1232" s="3" t="s">
        <v>1257</v>
      </c>
      <c r="B1232" s="3" t="s">
        <v>26</v>
      </c>
      <c r="C1232" s="3">
        <v>2234870</v>
      </c>
      <c r="D1232" s="3">
        <v>1080496</v>
      </c>
      <c r="E1232" s="3" t="s">
        <v>27</v>
      </c>
      <c r="F1232" s="3">
        <v>1713643</v>
      </c>
      <c r="G1232" s="3">
        <v>806811</v>
      </c>
      <c r="H1232" s="3">
        <v>521227</v>
      </c>
      <c r="I1232" s="3">
        <v>273685</v>
      </c>
    </row>
    <row r="1233" spans="1:9">
      <c r="A1233" s="3" t="s">
        <v>1258</v>
      </c>
      <c r="B1233" s="3" t="s">
        <v>26</v>
      </c>
      <c r="C1233" s="3">
        <v>1673401</v>
      </c>
      <c r="D1233" s="3">
        <v>672518</v>
      </c>
      <c r="E1233" s="3" t="s">
        <v>27</v>
      </c>
      <c r="F1233" s="3">
        <v>1478595</v>
      </c>
      <c r="G1233" s="3">
        <v>580189</v>
      </c>
      <c r="H1233" s="3">
        <v>194806</v>
      </c>
      <c r="I1233" s="3">
        <v>92329</v>
      </c>
    </row>
    <row r="1234" spans="1:9">
      <c r="A1234" s="3" t="s">
        <v>1259</v>
      </c>
      <c r="B1234" s="3" t="s">
        <v>26</v>
      </c>
      <c r="C1234" s="3">
        <v>1611966</v>
      </c>
      <c r="D1234" s="3">
        <v>408242</v>
      </c>
      <c r="E1234" s="3" t="s">
        <v>27</v>
      </c>
      <c r="F1234" s="3">
        <v>983366</v>
      </c>
      <c r="G1234" s="3">
        <v>267010</v>
      </c>
      <c r="H1234" s="3">
        <v>628600</v>
      </c>
      <c r="I1234" s="3">
        <v>141232</v>
      </c>
    </row>
    <row r="1235" spans="1:9">
      <c r="A1235" s="3" t="s">
        <v>1260</v>
      </c>
      <c r="B1235" s="3" t="s">
        <v>26</v>
      </c>
      <c r="C1235" s="3">
        <v>1853726</v>
      </c>
      <c r="D1235" s="3">
        <v>857824</v>
      </c>
      <c r="E1235" s="3" t="s">
        <v>27</v>
      </c>
      <c r="F1235" s="3">
        <v>1364388</v>
      </c>
      <c r="G1235" s="3">
        <v>617738</v>
      </c>
      <c r="H1235" s="3">
        <v>489338</v>
      </c>
      <c r="I1235" s="3">
        <v>240086</v>
      </c>
    </row>
    <row r="1236" spans="1:9">
      <c r="A1236" s="3" t="s">
        <v>1261</v>
      </c>
      <c r="B1236" s="3" t="s">
        <v>26</v>
      </c>
      <c r="C1236" s="3">
        <v>2574341</v>
      </c>
      <c r="D1236" s="3">
        <v>1256270</v>
      </c>
      <c r="E1236" s="3" t="s">
        <v>27</v>
      </c>
      <c r="F1236" s="3">
        <v>1701576</v>
      </c>
      <c r="G1236" s="3">
        <v>829508</v>
      </c>
      <c r="H1236" s="3">
        <v>872765</v>
      </c>
      <c r="I1236" s="3">
        <v>426762</v>
      </c>
    </row>
    <row r="1237" spans="1:9">
      <c r="A1237" s="3" t="s">
        <v>1262</v>
      </c>
      <c r="B1237" s="3" t="s">
        <v>26</v>
      </c>
      <c r="C1237" s="3">
        <v>2161281</v>
      </c>
      <c r="D1237" s="3">
        <v>837619</v>
      </c>
      <c r="E1237" s="3" t="s">
        <v>27</v>
      </c>
      <c r="F1237" s="3">
        <v>1450968</v>
      </c>
      <c r="G1237" s="3">
        <v>561642</v>
      </c>
      <c r="H1237" s="3">
        <v>710313</v>
      </c>
      <c r="I1237" s="3">
        <v>275977</v>
      </c>
    </row>
    <row r="1238" spans="1:9">
      <c r="A1238" s="3" t="s">
        <v>1263</v>
      </c>
      <c r="B1238" s="3" t="s">
        <v>26</v>
      </c>
      <c r="C1238" s="3">
        <v>2322649</v>
      </c>
      <c r="D1238" s="3">
        <v>1026425</v>
      </c>
      <c r="E1238" s="3" t="s">
        <v>27</v>
      </c>
      <c r="F1238" s="3">
        <v>1827455</v>
      </c>
      <c r="G1238" s="3">
        <v>769806</v>
      </c>
      <c r="H1238" s="3">
        <v>495194</v>
      </c>
      <c r="I1238" s="3">
        <v>256619</v>
      </c>
    </row>
    <row r="1239" spans="1:9">
      <c r="A1239" s="3" t="s">
        <v>1264</v>
      </c>
      <c r="B1239" s="3" t="s">
        <v>26</v>
      </c>
      <c r="C1239" s="3">
        <v>2162199</v>
      </c>
      <c r="D1239" s="3">
        <v>1011109</v>
      </c>
      <c r="E1239" s="3" t="s">
        <v>27</v>
      </c>
      <c r="F1239" s="3">
        <v>1806467</v>
      </c>
      <c r="G1239" s="3">
        <v>842526</v>
      </c>
      <c r="H1239" s="3">
        <v>355732</v>
      </c>
      <c r="I1239" s="3">
        <v>168583</v>
      </c>
    </row>
    <row r="1240" spans="1:9">
      <c r="A1240" s="3" t="s">
        <v>1265</v>
      </c>
      <c r="B1240" s="3" t="s">
        <v>26</v>
      </c>
      <c r="C1240" s="3">
        <v>1440745</v>
      </c>
      <c r="D1240" s="3">
        <v>484807</v>
      </c>
      <c r="E1240" s="3" t="s">
        <v>27</v>
      </c>
      <c r="F1240" s="3">
        <v>1300185</v>
      </c>
      <c r="G1240" s="3">
        <v>418704</v>
      </c>
      <c r="H1240" s="3">
        <v>140560</v>
      </c>
      <c r="I1240" s="3">
        <v>66103</v>
      </c>
    </row>
    <row r="1241" spans="1:9">
      <c r="A1241" s="3" t="s">
        <v>1266</v>
      </c>
      <c r="B1241" s="3" t="s">
        <v>26</v>
      </c>
      <c r="C1241" s="3">
        <v>1168622</v>
      </c>
      <c r="D1241" s="3">
        <v>16823</v>
      </c>
      <c r="E1241" s="3" t="s">
        <v>27</v>
      </c>
      <c r="F1241" s="3">
        <v>624813</v>
      </c>
      <c r="G1241" s="3">
        <v>10580</v>
      </c>
      <c r="H1241" s="3">
        <v>543809</v>
      </c>
      <c r="I1241" s="3">
        <v>6243</v>
      </c>
    </row>
    <row r="1242" spans="1:9">
      <c r="A1242" s="3" t="s">
        <v>1267</v>
      </c>
      <c r="B1242" s="3" t="s">
        <v>26</v>
      </c>
      <c r="C1242" s="3">
        <v>2974908</v>
      </c>
      <c r="D1242" s="3">
        <v>1593753</v>
      </c>
      <c r="E1242" s="3" t="s">
        <v>27</v>
      </c>
      <c r="F1242" s="3">
        <v>2178231</v>
      </c>
      <c r="G1242" s="3">
        <v>1161020</v>
      </c>
      <c r="H1242" s="3">
        <v>796677</v>
      </c>
      <c r="I1242" s="3">
        <v>432733</v>
      </c>
    </row>
    <row r="1243" spans="1:9">
      <c r="A1243" s="3" t="s">
        <v>1268</v>
      </c>
      <c r="B1243" s="3" t="s">
        <v>26</v>
      </c>
      <c r="C1243" s="3">
        <v>2870543</v>
      </c>
      <c r="D1243" s="3">
        <v>1618419</v>
      </c>
      <c r="E1243" s="3" t="s">
        <v>27</v>
      </c>
      <c r="F1243" s="3">
        <v>2251399</v>
      </c>
      <c r="G1243" s="3">
        <v>1248271</v>
      </c>
      <c r="H1243" s="3">
        <v>619144</v>
      </c>
      <c r="I1243" s="3">
        <v>370148</v>
      </c>
    </row>
    <row r="1244" spans="1:9">
      <c r="A1244" s="3" t="s">
        <v>1269</v>
      </c>
      <c r="B1244" s="3" t="s">
        <v>26</v>
      </c>
      <c r="C1244" s="3">
        <v>2321486</v>
      </c>
      <c r="D1244" s="3">
        <v>1150766</v>
      </c>
      <c r="E1244" s="3" t="s">
        <v>27</v>
      </c>
      <c r="F1244" s="3">
        <v>1777114</v>
      </c>
      <c r="G1244" s="3">
        <v>847034</v>
      </c>
      <c r="H1244" s="3">
        <v>544372</v>
      </c>
      <c r="I1244" s="3">
        <v>303732</v>
      </c>
    </row>
    <row r="1245" spans="1:9">
      <c r="A1245" s="3" t="s">
        <v>1270</v>
      </c>
      <c r="B1245" s="3" t="s">
        <v>26</v>
      </c>
      <c r="C1245" s="3">
        <v>2390190</v>
      </c>
      <c r="D1245" s="3">
        <v>1069032</v>
      </c>
      <c r="E1245" s="3" t="s">
        <v>27</v>
      </c>
      <c r="F1245" s="3">
        <v>1720041</v>
      </c>
      <c r="G1245" s="3">
        <v>767025</v>
      </c>
      <c r="H1245" s="3">
        <v>670149</v>
      </c>
      <c r="I1245" s="3">
        <v>302007</v>
      </c>
    </row>
    <row r="1246" spans="1:9">
      <c r="A1246" s="3" t="s">
        <v>1271</v>
      </c>
      <c r="B1246" s="3" t="s">
        <v>26</v>
      </c>
      <c r="C1246" s="3">
        <v>1799691</v>
      </c>
      <c r="D1246" s="3">
        <v>550790</v>
      </c>
      <c r="E1246" s="3" t="s">
        <v>27</v>
      </c>
      <c r="F1246" s="3">
        <v>1328922</v>
      </c>
      <c r="G1246" s="3">
        <v>438708</v>
      </c>
      <c r="H1246" s="3">
        <v>470769</v>
      </c>
      <c r="I1246" s="3">
        <v>112082</v>
      </c>
    </row>
    <row r="1247" spans="1:9">
      <c r="A1247" s="3" t="s">
        <v>1272</v>
      </c>
      <c r="B1247" s="3" t="s">
        <v>26</v>
      </c>
      <c r="C1247" s="3">
        <v>2456423</v>
      </c>
      <c r="D1247" s="3">
        <v>458635</v>
      </c>
      <c r="E1247" s="3" t="s">
        <v>27</v>
      </c>
      <c r="F1247" s="3">
        <v>1975907</v>
      </c>
      <c r="G1247" s="3">
        <v>378843</v>
      </c>
      <c r="H1247" s="3">
        <v>480516</v>
      </c>
      <c r="I1247" s="3">
        <v>79792</v>
      </c>
    </row>
    <row r="1248" spans="1:9">
      <c r="A1248" s="3" t="s">
        <v>1273</v>
      </c>
      <c r="B1248" s="3" t="s">
        <v>26</v>
      </c>
      <c r="C1248" s="3">
        <v>2410914</v>
      </c>
      <c r="D1248" s="3">
        <v>1100716</v>
      </c>
      <c r="E1248" s="3" t="s">
        <v>27</v>
      </c>
      <c r="F1248" s="3">
        <v>1774401</v>
      </c>
      <c r="G1248" s="3">
        <v>769550</v>
      </c>
      <c r="H1248" s="3">
        <v>636513</v>
      </c>
      <c r="I1248" s="3">
        <v>331166</v>
      </c>
    </row>
    <row r="1249" spans="1:9">
      <c r="A1249" s="3" t="s">
        <v>1274</v>
      </c>
      <c r="B1249" s="3" t="s">
        <v>26</v>
      </c>
      <c r="C1249" s="3">
        <v>196031</v>
      </c>
      <c r="D1249" s="3">
        <v>5823</v>
      </c>
      <c r="E1249" s="3" t="s">
        <v>27</v>
      </c>
      <c r="F1249" s="3">
        <v>88900</v>
      </c>
      <c r="G1249" s="3">
        <v>3265</v>
      </c>
      <c r="H1249" s="3">
        <v>107131</v>
      </c>
      <c r="I1249" s="3">
        <v>2558</v>
      </c>
    </row>
    <row r="1250" spans="1:9">
      <c r="A1250" s="3" t="s">
        <v>1275</v>
      </c>
      <c r="B1250" s="3" t="s">
        <v>26</v>
      </c>
      <c r="C1250" s="3">
        <v>1855523</v>
      </c>
      <c r="D1250" s="3">
        <v>552371</v>
      </c>
      <c r="E1250" s="3" t="s">
        <v>27</v>
      </c>
      <c r="F1250" s="3">
        <v>1228767</v>
      </c>
      <c r="G1250" s="3">
        <v>453701</v>
      </c>
      <c r="H1250" s="3">
        <v>626756</v>
      </c>
      <c r="I1250" s="3">
        <v>98670</v>
      </c>
    </row>
    <row r="1251" spans="1:9">
      <c r="A1251" s="3" t="s">
        <v>1276</v>
      </c>
      <c r="B1251" s="3" t="s">
        <v>26</v>
      </c>
      <c r="C1251" s="3">
        <v>2440076</v>
      </c>
      <c r="D1251" s="3">
        <v>960305</v>
      </c>
      <c r="E1251" s="3" t="s">
        <v>27</v>
      </c>
      <c r="F1251" s="3">
        <v>2145144</v>
      </c>
      <c r="G1251" s="3">
        <v>896581</v>
      </c>
      <c r="H1251" s="3">
        <v>294932</v>
      </c>
      <c r="I1251" s="3">
        <v>63724</v>
      </c>
    </row>
    <row r="1252" spans="1:9">
      <c r="A1252" s="3" t="s">
        <v>1277</v>
      </c>
      <c r="B1252" s="3" t="s">
        <v>26</v>
      </c>
      <c r="C1252" s="3">
        <v>2706515</v>
      </c>
      <c r="D1252" s="3">
        <v>1225890</v>
      </c>
      <c r="E1252" s="3" t="s">
        <v>27</v>
      </c>
      <c r="F1252" s="3">
        <v>2115455</v>
      </c>
      <c r="G1252" s="3">
        <v>920313</v>
      </c>
      <c r="H1252" s="3">
        <v>591060</v>
      </c>
      <c r="I1252" s="3">
        <v>305577</v>
      </c>
    </row>
    <row r="1253" spans="1:9">
      <c r="A1253" s="3" t="s">
        <v>1278</v>
      </c>
      <c r="B1253" s="3" t="s">
        <v>26</v>
      </c>
      <c r="C1253" s="3">
        <v>2683747</v>
      </c>
      <c r="D1253" s="3">
        <v>1388722</v>
      </c>
      <c r="E1253" s="3" t="s">
        <v>27</v>
      </c>
      <c r="F1253" s="3">
        <v>1857736</v>
      </c>
      <c r="G1253" s="3">
        <v>923720</v>
      </c>
      <c r="H1253" s="3">
        <v>826011</v>
      </c>
      <c r="I1253" s="3">
        <v>465002</v>
      </c>
    </row>
    <row r="1254" spans="1:9">
      <c r="A1254" s="3" t="s">
        <v>1279</v>
      </c>
      <c r="B1254" s="3" t="s">
        <v>26</v>
      </c>
      <c r="C1254" s="3">
        <v>2557965</v>
      </c>
      <c r="D1254" s="3">
        <v>1179736</v>
      </c>
      <c r="E1254" s="3" t="s">
        <v>27</v>
      </c>
      <c r="F1254" s="3">
        <v>2267546</v>
      </c>
      <c r="G1254" s="3">
        <v>1034872</v>
      </c>
      <c r="H1254" s="3">
        <v>290419</v>
      </c>
      <c r="I1254" s="3">
        <v>144864</v>
      </c>
    </row>
    <row r="1255" spans="1:9">
      <c r="A1255" s="3" t="s">
        <v>1280</v>
      </c>
      <c r="B1255" s="3" t="s">
        <v>26</v>
      </c>
      <c r="C1255" s="3">
        <v>2773812</v>
      </c>
      <c r="D1255" s="3">
        <v>1410215</v>
      </c>
      <c r="E1255" s="3" t="s">
        <v>27</v>
      </c>
      <c r="F1255" s="3">
        <v>1934417</v>
      </c>
      <c r="G1255" s="3">
        <v>954501</v>
      </c>
      <c r="H1255" s="3">
        <v>839395</v>
      </c>
      <c r="I1255" s="3">
        <v>455714</v>
      </c>
    </row>
    <row r="1256" spans="1:9">
      <c r="A1256" s="3" t="s">
        <v>1281</v>
      </c>
      <c r="B1256" s="3" t="s">
        <v>26</v>
      </c>
      <c r="C1256" s="3">
        <v>2330232</v>
      </c>
      <c r="D1256" s="3">
        <v>1039149</v>
      </c>
      <c r="E1256" s="3" t="s">
        <v>27</v>
      </c>
      <c r="F1256" s="3">
        <v>1567258</v>
      </c>
      <c r="G1256" s="3">
        <v>677655</v>
      </c>
      <c r="H1256" s="3">
        <v>762974</v>
      </c>
      <c r="I1256" s="3">
        <v>361494</v>
      </c>
    </row>
    <row r="1257" spans="1:9">
      <c r="A1257" s="3" t="s">
        <v>1282</v>
      </c>
      <c r="B1257" s="3" t="s">
        <v>26</v>
      </c>
      <c r="C1257" s="3">
        <v>2687496</v>
      </c>
      <c r="D1257" s="3">
        <v>1356682</v>
      </c>
      <c r="E1257" s="3" t="s">
        <v>27</v>
      </c>
      <c r="F1257" s="3">
        <v>2107573</v>
      </c>
      <c r="G1257" s="3">
        <v>1059343</v>
      </c>
      <c r="H1257" s="3">
        <v>579923</v>
      </c>
      <c r="I1257" s="3">
        <v>297339</v>
      </c>
    </row>
    <row r="1258" spans="1:9">
      <c r="A1258" s="3" t="s">
        <v>1283</v>
      </c>
      <c r="B1258" s="3" t="s">
        <v>26</v>
      </c>
      <c r="C1258" s="3">
        <v>1369843</v>
      </c>
      <c r="D1258" s="3">
        <v>81159</v>
      </c>
      <c r="E1258" s="3" t="s">
        <v>27</v>
      </c>
      <c r="F1258" s="3">
        <v>865957</v>
      </c>
      <c r="G1258" s="3">
        <v>50542</v>
      </c>
      <c r="H1258" s="3">
        <v>503886</v>
      </c>
      <c r="I1258" s="3">
        <v>30617</v>
      </c>
    </row>
    <row r="1259" spans="1:9">
      <c r="A1259" s="3" t="s">
        <v>1284</v>
      </c>
      <c r="B1259" s="3" t="s">
        <v>26</v>
      </c>
      <c r="C1259" s="3">
        <v>1770443</v>
      </c>
      <c r="D1259" s="3">
        <v>418105</v>
      </c>
      <c r="E1259" s="3" t="s">
        <v>27</v>
      </c>
      <c r="F1259" s="3">
        <v>1210949</v>
      </c>
      <c r="G1259" s="3">
        <v>307157</v>
      </c>
      <c r="H1259" s="3">
        <v>559494</v>
      </c>
      <c r="I1259" s="3">
        <v>110948</v>
      </c>
    </row>
    <row r="1260" spans="1:9">
      <c r="A1260" s="3" t="s">
        <v>1285</v>
      </c>
      <c r="B1260" s="3" t="s">
        <v>26</v>
      </c>
      <c r="C1260" s="3">
        <v>2046482</v>
      </c>
      <c r="D1260" s="3">
        <v>638275</v>
      </c>
      <c r="E1260" s="3" t="s">
        <v>27</v>
      </c>
      <c r="F1260" s="3">
        <v>1645125</v>
      </c>
      <c r="G1260" s="3">
        <v>499214</v>
      </c>
      <c r="H1260" s="3">
        <v>401357</v>
      </c>
      <c r="I1260" s="3">
        <v>139061</v>
      </c>
    </row>
    <row r="1261" spans="1:9">
      <c r="A1261" s="3" t="s">
        <v>1286</v>
      </c>
      <c r="B1261" s="3" t="s">
        <v>26</v>
      </c>
      <c r="C1261" s="3">
        <v>2576958</v>
      </c>
      <c r="D1261" s="3">
        <v>1290348</v>
      </c>
      <c r="E1261" s="3" t="s">
        <v>27</v>
      </c>
      <c r="F1261" s="3">
        <v>2150575</v>
      </c>
      <c r="G1261" s="3">
        <v>1050807</v>
      </c>
      <c r="H1261" s="3">
        <v>426383</v>
      </c>
      <c r="I1261" s="3">
        <v>239541</v>
      </c>
    </row>
    <row r="1262" spans="1:9">
      <c r="A1262" s="3" t="s">
        <v>1287</v>
      </c>
      <c r="B1262" s="3" t="s">
        <v>26</v>
      </c>
      <c r="C1262" s="3">
        <v>1911633</v>
      </c>
      <c r="D1262" s="3">
        <v>586958</v>
      </c>
      <c r="E1262" s="3" t="s">
        <v>27</v>
      </c>
      <c r="F1262" s="3">
        <v>1282634</v>
      </c>
      <c r="G1262" s="3">
        <v>410139</v>
      </c>
      <c r="H1262" s="3">
        <v>628999</v>
      </c>
      <c r="I1262" s="3">
        <v>176819</v>
      </c>
    </row>
    <row r="1263" spans="1:9">
      <c r="A1263" s="3" t="s">
        <v>1288</v>
      </c>
      <c r="B1263" s="3" t="s">
        <v>26</v>
      </c>
      <c r="C1263" s="3">
        <v>2238301</v>
      </c>
      <c r="D1263" s="3">
        <v>947036</v>
      </c>
      <c r="E1263" s="3" t="s">
        <v>27</v>
      </c>
      <c r="F1263" s="3">
        <v>1654096</v>
      </c>
      <c r="G1263" s="3">
        <v>702390</v>
      </c>
      <c r="H1263" s="3">
        <v>584205</v>
      </c>
      <c r="I1263" s="3">
        <v>244646</v>
      </c>
    </row>
    <row r="1264" spans="1:9">
      <c r="A1264" s="3" t="s">
        <v>1289</v>
      </c>
      <c r="B1264" s="3" t="s">
        <v>26</v>
      </c>
      <c r="C1264" s="3">
        <v>1813572</v>
      </c>
      <c r="D1264" s="3">
        <v>419503</v>
      </c>
      <c r="E1264" s="3" t="s">
        <v>27</v>
      </c>
      <c r="F1264" s="3">
        <v>1410455</v>
      </c>
      <c r="G1264" s="3">
        <v>349588</v>
      </c>
      <c r="H1264" s="3">
        <v>403117</v>
      </c>
      <c r="I1264" s="3">
        <v>69915</v>
      </c>
    </row>
    <row r="1265" spans="1:9">
      <c r="A1265" s="3" t="s">
        <v>1290</v>
      </c>
      <c r="B1265" s="3" t="s">
        <v>26</v>
      </c>
      <c r="C1265" s="3">
        <v>2473338</v>
      </c>
      <c r="D1265" s="3">
        <v>1144203</v>
      </c>
      <c r="E1265" s="3" t="s">
        <v>27</v>
      </c>
      <c r="F1265" s="3">
        <v>1741510</v>
      </c>
      <c r="G1265" s="3">
        <v>827459</v>
      </c>
      <c r="H1265" s="3">
        <v>731828</v>
      </c>
      <c r="I1265" s="3">
        <v>316744</v>
      </c>
    </row>
    <row r="1266" spans="1:9">
      <c r="A1266" s="3" t="s">
        <v>1291</v>
      </c>
      <c r="B1266" s="3" t="s">
        <v>26</v>
      </c>
      <c r="C1266" s="3">
        <v>2594432</v>
      </c>
      <c r="D1266" s="3">
        <v>1209716</v>
      </c>
      <c r="E1266" s="3" t="s">
        <v>27</v>
      </c>
      <c r="F1266" s="3">
        <v>2211231</v>
      </c>
      <c r="G1266" s="3">
        <v>1035328</v>
      </c>
      <c r="H1266" s="3">
        <v>383201</v>
      </c>
      <c r="I1266" s="3">
        <v>174388</v>
      </c>
    </row>
    <row r="1267" spans="1:9">
      <c r="A1267" s="3" t="s">
        <v>1292</v>
      </c>
      <c r="B1267" s="3" t="s">
        <v>26</v>
      </c>
      <c r="C1267" s="3">
        <v>2014532</v>
      </c>
      <c r="D1267" s="3">
        <v>751916</v>
      </c>
      <c r="E1267" s="3" t="s">
        <v>27</v>
      </c>
      <c r="F1267" s="3">
        <v>1597246</v>
      </c>
      <c r="G1267" s="3">
        <v>627723</v>
      </c>
      <c r="H1267" s="3">
        <v>417286</v>
      </c>
      <c r="I1267" s="3">
        <v>124193</v>
      </c>
    </row>
    <row r="1268" spans="1:9">
      <c r="A1268" s="3" t="s">
        <v>1293</v>
      </c>
      <c r="B1268" s="3" t="s">
        <v>26</v>
      </c>
      <c r="C1268" s="3">
        <v>1377831</v>
      </c>
      <c r="D1268" s="3">
        <v>8479</v>
      </c>
      <c r="E1268" s="3" t="s">
        <v>27</v>
      </c>
      <c r="F1268" s="3">
        <v>710153</v>
      </c>
      <c r="G1268" s="3">
        <v>3904</v>
      </c>
      <c r="H1268" s="3">
        <v>667678</v>
      </c>
      <c r="I1268" s="3">
        <v>4575</v>
      </c>
    </row>
    <row r="1269" spans="1:9">
      <c r="A1269" s="3" t="s">
        <v>1294</v>
      </c>
      <c r="B1269" s="3" t="s">
        <v>26</v>
      </c>
      <c r="C1269" s="3">
        <v>1201041</v>
      </c>
      <c r="D1269" s="3">
        <v>14947</v>
      </c>
      <c r="E1269" s="3" t="s">
        <v>27</v>
      </c>
      <c r="F1269" s="3">
        <v>619510</v>
      </c>
      <c r="G1269" s="3">
        <v>7411</v>
      </c>
      <c r="H1269" s="3">
        <v>581531</v>
      </c>
      <c r="I1269" s="3">
        <v>7536</v>
      </c>
    </row>
    <row r="1270" spans="1:9">
      <c r="A1270" s="3" t="s">
        <v>1295</v>
      </c>
      <c r="B1270" s="3" t="s">
        <v>26</v>
      </c>
      <c r="C1270" s="3">
        <v>2605328</v>
      </c>
      <c r="D1270" s="3">
        <v>1210537</v>
      </c>
      <c r="E1270" s="3" t="s">
        <v>27</v>
      </c>
      <c r="F1270" s="3">
        <v>2196978</v>
      </c>
      <c r="G1270" s="3">
        <v>986121</v>
      </c>
      <c r="H1270" s="3">
        <v>408350</v>
      </c>
      <c r="I1270" s="3">
        <v>224416</v>
      </c>
    </row>
    <row r="1271" spans="1:9">
      <c r="A1271" s="3" t="s">
        <v>1296</v>
      </c>
      <c r="B1271" s="3" t="s">
        <v>26</v>
      </c>
      <c r="C1271" s="3">
        <v>3065832</v>
      </c>
      <c r="D1271" s="3">
        <v>1566994</v>
      </c>
      <c r="E1271" s="3" t="s">
        <v>27</v>
      </c>
      <c r="F1271" s="3">
        <v>2180634</v>
      </c>
      <c r="G1271" s="3">
        <v>1094395</v>
      </c>
      <c r="H1271" s="3">
        <v>885198</v>
      </c>
      <c r="I1271" s="3">
        <v>472599</v>
      </c>
    </row>
    <row r="1272" spans="1:9">
      <c r="A1272" s="3" t="s">
        <v>1297</v>
      </c>
      <c r="B1272" s="3" t="s">
        <v>26</v>
      </c>
      <c r="C1272" s="3">
        <v>2673895</v>
      </c>
      <c r="D1272" s="3">
        <v>1212503</v>
      </c>
      <c r="E1272" s="3" t="s">
        <v>27</v>
      </c>
      <c r="F1272" s="3">
        <v>2156408</v>
      </c>
      <c r="G1272" s="3">
        <v>950574</v>
      </c>
      <c r="H1272" s="3">
        <v>517487</v>
      </c>
      <c r="I1272" s="3">
        <v>261929</v>
      </c>
    </row>
    <row r="1273" spans="1:9">
      <c r="A1273" s="3" t="s">
        <v>1298</v>
      </c>
      <c r="B1273" s="3" t="s">
        <v>26</v>
      </c>
      <c r="C1273" s="3">
        <v>2712419</v>
      </c>
      <c r="D1273" s="3">
        <v>1335644</v>
      </c>
      <c r="E1273" s="3" t="s">
        <v>27</v>
      </c>
      <c r="F1273" s="3">
        <v>2058009</v>
      </c>
      <c r="G1273" s="3">
        <v>1000200</v>
      </c>
      <c r="H1273" s="3">
        <v>654410</v>
      </c>
      <c r="I1273" s="3">
        <v>335444</v>
      </c>
    </row>
    <row r="1274" spans="1:9">
      <c r="A1274" s="3" t="s">
        <v>1299</v>
      </c>
      <c r="B1274" s="3" t="s">
        <v>26</v>
      </c>
      <c r="C1274" s="3">
        <v>2923066</v>
      </c>
      <c r="D1274" s="3">
        <v>1456418</v>
      </c>
      <c r="E1274" s="3" t="s">
        <v>27</v>
      </c>
      <c r="F1274" s="3">
        <v>2227336</v>
      </c>
      <c r="G1274" s="3">
        <v>1083380</v>
      </c>
      <c r="H1274" s="3">
        <v>695730</v>
      </c>
      <c r="I1274" s="3">
        <v>373038</v>
      </c>
    </row>
    <row r="1275" spans="1:9">
      <c r="A1275" s="3" t="s">
        <v>1300</v>
      </c>
      <c r="B1275" s="3" t="s">
        <v>26</v>
      </c>
      <c r="C1275" s="3">
        <v>1557676</v>
      </c>
      <c r="D1275" s="3">
        <v>18730</v>
      </c>
      <c r="E1275" s="3" t="s">
        <v>27</v>
      </c>
      <c r="F1275" s="3">
        <v>818878</v>
      </c>
      <c r="G1275" s="3">
        <v>7212</v>
      </c>
      <c r="H1275" s="3">
        <v>738798</v>
      </c>
      <c r="I1275" s="3">
        <v>11518</v>
      </c>
    </row>
    <row r="1276" spans="1:9">
      <c r="A1276" s="3" t="s">
        <v>1301</v>
      </c>
      <c r="B1276" s="3" t="s">
        <v>26</v>
      </c>
      <c r="C1276" s="3">
        <v>1217487</v>
      </c>
      <c r="D1276" s="3">
        <v>119562</v>
      </c>
      <c r="E1276" s="3" t="s">
        <v>27</v>
      </c>
      <c r="F1276" s="3">
        <v>774868</v>
      </c>
      <c r="G1276" s="3">
        <v>92689</v>
      </c>
      <c r="H1276" s="3">
        <v>442619</v>
      </c>
      <c r="I1276" s="3">
        <v>26873</v>
      </c>
    </row>
    <row r="1277" spans="1:9">
      <c r="A1277" s="3" t="s">
        <v>1302</v>
      </c>
      <c r="B1277" s="3" t="s">
        <v>26</v>
      </c>
      <c r="C1277" s="3">
        <v>2356524</v>
      </c>
      <c r="D1277" s="3">
        <v>573959</v>
      </c>
      <c r="E1277" s="3" t="s">
        <v>27</v>
      </c>
      <c r="F1277" s="3">
        <v>1559215</v>
      </c>
      <c r="G1277" s="3">
        <v>410087</v>
      </c>
      <c r="H1277" s="3">
        <v>797309</v>
      </c>
      <c r="I1277" s="3">
        <v>163872</v>
      </c>
    </row>
    <row r="1278" spans="1:9">
      <c r="A1278" s="3" t="s">
        <v>1303</v>
      </c>
      <c r="B1278" s="3" t="s">
        <v>26</v>
      </c>
      <c r="C1278" s="3">
        <v>2715811</v>
      </c>
      <c r="D1278" s="3">
        <v>1420140</v>
      </c>
      <c r="E1278" s="3" t="s">
        <v>27</v>
      </c>
      <c r="F1278" s="3">
        <v>2179314</v>
      </c>
      <c r="G1278" s="3">
        <v>1111193</v>
      </c>
      <c r="H1278" s="3">
        <v>536497</v>
      </c>
      <c r="I1278" s="3">
        <v>308947</v>
      </c>
    </row>
    <row r="1279" spans="1:9">
      <c r="A1279" s="3" t="s">
        <v>1304</v>
      </c>
      <c r="B1279" s="3" t="s">
        <v>26</v>
      </c>
      <c r="C1279" s="3">
        <v>2285076</v>
      </c>
      <c r="D1279" s="3">
        <v>953900</v>
      </c>
      <c r="E1279" s="3" t="s">
        <v>27</v>
      </c>
      <c r="F1279" s="3">
        <v>1773793</v>
      </c>
      <c r="G1279" s="3">
        <v>743599</v>
      </c>
      <c r="H1279" s="3">
        <v>511283</v>
      </c>
      <c r="I1279" s="3">
        <v>210301</v>
      </c>
    </row>
    <row r="1280" spans="1:9">
      <c r="A1280" s="3" t="s">
        <v>1305</v>
      </c>
      <c r="B1280" s="3" t="s">
        <v>26</v>
      </c>
      <c r="C1280" s="3">
        <v>2825816</v>
      </c>
      <c r="D1280" s="3">
        <v>1323547</v>
      </c>
      <c r="E1280" s="3" t="s">
        <v>27</v>
      </c>
      <c r="F1280" s="3">
        <v>2060823</v>
      </c>
      <c r="G1280" s="3">
        <v>929466</v>
      </c>
      <c r="H1280" s="3">
        <v>764993</v>
      </c>
      <c r="I1280" s="3">
        <v>394081</v>
      </c>
    </row>
    <row r="1281" spans="1:9">
      <c r="A1281" s="3" t="s">
        <v>1306</v>
      </c>
      <c r="B1281" s="3" t="s">
        <v>26</v>
      </c>
      <c r="C1281" s="3">
        <v>2510684</v>
      </c>
      <c r="D1281" s="3">
        <v>1031580</v>
      </c>
      <c r="E1281" s="3" t="s">
        <v>27</v>
      </c>
      <c r="F1281" s="3">
        <v>1785174</v>
      </c>
      <c r="G1281" s="3">
        <v>675293</v>
      </c>
      <c r="H1281" s="3">
        <v>725510</v>
      </c>
      <c r="I1281" s="3">
        <v>356287</v>
      </c>
    </row>
    <row r="1282" spans="1:9">
      <c r="A1282" s="3" t="s">
        <v>1307</v>
      </c>
      <c r="B1282" s="3" t="s">
        <v>26</v>
      </c>
      <c r="C1282" s="3">
        <v>3041216</v>
      </c>
      <c r="D1282" s="3">
        <v>1439290</v>
      </c>
      <c r="E1282" s="3" t="s">
        <v>27</v>
      </c>
      <c r="F1282" s="3">
        <v>2172217</v>
      </c>
      <c r="G1282" s="3">
        <v>1003210</v>
      </c>
      <c r="H1282" s="3">
        <v>868999</v>
      </c>
      <c r="I1282" s="3">
        <v>436080</v>
      </c>
    </row>
    <row r="1283" spans="1:9">
      <c r="A1283" s="3" t="s">
        <v>1308</v>
      </c>
      <c r="B1283" s="3" t="s">
        <v>26</v>
      </c>
      <c r="C1283" s="3">
        <v>2467592</v>
      </c>
      <c r="D1283" s="3">
        <v>1063705</v>
      </c>
      <c r="E1283" s="3" t="s">
        <v>27</v>
      </c>
      <c r="F1283" s="3">
        <v>1919387</v>
      </c>
      <c r="G1283" s="3">
        <v>784284</v>
      </c>
      <c r="H1283" s="3">
        <v>548205</v>
      </c>
      <c r="I1283" s="3">
        <v>279421</v>
      </c>
    </row>
    <row r="1284" spans="1:9">
      <c r="A1284" s="3" t="s">
        <v>1309</v>
      </c>
      <c r="B1284" s="3" t="s">
        <v>26</v>
      </c>
      <c r="C1284" s="3">
        <v>2268817</v>
      </c>
      <c r="D1284" s="3">
        <v>1102753</v>
      </c>
      <c r="E1284" s="3" t="s">
        <v>27</v>
      </c>
      <c r="F1284" s="3">
        <v>1741903</v>
      </c>
      <c r="G1284" s="3">
        <v>814501</v>
      </c>
      <c r="H1284" s="3">
        <v>526914</v>
      </c>
      <c r="I1284" s="3">
        <v>288252</v>
      </c>
    </row>
    <row r="1285" spans="1:9">
      <c r="A1285" s="3" t="s">
        <v>1310</v>
      </c>
      <c r="B1285" s="3" t="s">
        <v>26</v>
      </c>
      <c r="C1285" s="3">
        <v>1946233</v>
      </c>
      <c r="D1285" s="3">
        <v>656202</v>
      </c>
      <c r="E1285" s="3" t="s">
        <v>27</v>
      </c>
      <c r="F1285" s="3">
        <v>1809045</v>
      </c>
      <c r="G1285" s="3">
        <v>599877</v>
      </c>
      <c r="H1285" s="3">
        <v>137188</v>
      </c>
      <c r="I1285" s="3">
        <v>56325</v>
      </c>
    </row>
    <row r="1286" spans="1:9">
      <c r="A1286" s="3" t="s">
        <v>1311</v>
      </c>
      <c r="B1286" s="3" t="s">
        <v>26</v>
      </c>
      <c r="C1286" s="3">
        <v>2188846</v>
      </c>
      <c r="D1286" s="3">
        <v>938113</v>
      </c>
      <c r="E1286" s="3" t="s">
        <v>27</v>
      </c>
      <c r="F1286" s="3">
        <v>1525642</v>
      </c>
      <c r="G1286" s="3">
        <v>649730</v>
      </c>
      <c r="H1286" s="3">
        <v>663204</v>
      </c>
      <c r="I1286" s="3">
        <v>288383</v>
      </c>
    </row>
    <row r="1287" spans="1:9">
      <c r="A1287" s="3" t="s">
        <v>1312</v>
      </c>
      <c r="B1287" s="3" t="s">
        <v>26</v>
      </c>
      <c r="C1287" s="3">
        <v>2075098</v>
      </c>
      <c r="D1287" s="3">
        <v>737576</v>
      </c>
      <c r="E1287" s="3" t="s">
        <v>27</v>
      </c>
      <c r="F1287" s="3">
        <v>1325139</v>
      </c>
      <c r="G1287" s="3">
        <v>540481</v>
      </c>
      <c r="H1287" s="3">
        <v>749959</v>
      </c>
      <c r="I1287" s="3">
        <v>197095</v>
      </c>
    </row>
    <row r="1288" spans="1:9">
      <c r="A1288" s="3" t="s">
        <v>1313</v>
      </c>
      <c r="B1288" s="3" t="s">
        <v>26</v>
      </c>
      <c r="C1288" s="3">
        <v>2348758</v>
      </c>
      <c r="D1288" s="3">
        <v>912656</v>
      </c>
      <c r="E1288" s="3" t="s">
        <v>27</v>
      </c>
      <c r="F1288" s="3">
        <v>1681845</v>
      </c>
      <c r="G1288" s="3">
        <v>628764</v>
      </c>
      <c r="H1288" s="3">
        <v>666913</v>
      </c>
      <c r="I1288" s="3">
        <v>283892</v>
      </c>
    </row>
    <row r="1289" spans="1:9">
      <c r="A1289" s="3" t="s">
        <v>1314</v>
      </c>
      <c r="B1289" s="3" t="s">
        <v>26</v>
      </c>
      <c r="C1289" s="3">
        <v>2790743</v>
      </c>
      <c r="D1289" s="3">
        <v>1533326</v>
      </c>
      <c r="E1289" s="3" t="s">
        <v>27</v>
      </c>
      <c r="F1289" s="3">
        <v>2241810</v>
      </c>
      <c r="G1289" s="3">
        <v>1206228</v>
      </c>
      <c r="H1289" s="3">
        <v>548933</v>
      </c>
      <c r="I1289" s="3">
        <v>327098</v>
      </c>
    </row>
    <row r="1290" spans="1:9">
      <c r="A1290" s="3" t="s">
        <v>1315</v>
      </c>
      <c r="B1290" s="3" t="s">
        <v>26</v>
      </c>
      <c r="C1290" s="3">
        <v>2101248</v>
      </c>
      <c r="D1290" s="3">
        <v>444433</v>
      </c>
      <c r="E1290" s="3" t="s">
        <v>27</v>
      </c>
      <c r="F1290" s="3">
        <v>1386036</v>
      </c>
      <c r="G1290" s="3">
        <v>312477</v>
      </c>
      <c r="H1290" s="3">
        <v>715212</v>
      </c>
      <c r="I1290" s="3">
        <v>131956</v>
      </c>
    </row>
    <row r="1291" spans="1:9">
      <c r="A1291" s="3" t="s">
        <v>1316</v>
      </c>
      <c r="B1291" s="3" t="s">
        <v>26</v>
      </c>
      <c r="C1291" s="3">
        <v>2324907</v>
      </c>
      <c r="D1291" s="3">
        <v>896618</v>
      </c>
      <c r="E1291" s="3" t="s">
        <v>27</v>
      </c>
      <c r="F1291" s="3">
        <v>1998379</v>
      </c>
      <c r="G1291" s="3">
        <v>803250</v>
      </c>
      <c r="H1291" s="3">
        <v>326528</v>
      </c>
      <c r="I1291" s="3">
        <v>93368</v>
      </c>
    </row>
    <row r="1292" spans="1:9">
      <c r="A1292" s="3" t="s">
        <v>1317</v>
      </c>
      <c r="B1292" s="3" t="s">
        <v>26</v>
      </c>
      <c r="C1292" s="3">
        <v>2240165</v>
      </c>
      <c r="D1292" s="3">
        <v>1016922</v>
      </c>
      <c r="E1292" s="3" t="s">
        <v>27</v>
      </c>
      <c r="F1292" s="3">
        <v>1746891</v>
      </c>
      <c r="G1292" s="3">
        <v>764531</v>
      </c>
      <c r="H1292" s="3">
        <v>493274</v>
      </c>
      <c r="I1292" s="3">
        <v>252391</v>
      </c>
    </row>
    <row r="1293" spans="1:9">
      <c r="A1293" s="3" t="s">
        <v>1318</v>
      </c>
      <c r="B1293" s="3" t="s">
        <v>26</v>
      </c>
      <c r="C1293" s="3">
        <v>1054742</v>
      </c>
      <c r="D1293" s="3">
        <v>14563</v>
      </c>
      <c r="E1293" s="3" t="s">
        <v>27</v>
      </c>
      <c r="F1293" s="3">
        <v>541662</v>
      </c>
      <c r="G1293" s="3">
        <v>7364</v>
      </c>
      <c r="H1293" s="3">
        <v>513080</v>
      </c>
      <c r="I1293" s="3">
        <v>7199</v>
      </c>
    </row>
    <row r="1294" spans="1:9">
      <c r="A1294" s="3" t="s">
        <v>1319</v>
      </c>
      <c r="B1294" s="3" t="s">
        <v>26</v>
      </c>
      <c r="C1294" s="3">
        <v>2033898</v>
      </c>
      <c r="D1294" s="3">
        <v>82955</v>
      </c>
      <c r="E1294" s="3" t="s">
        <v>27</v>
      </c>
      <c r="F1294" s="3">
        <v>1162874</v>
      </c>
      <c r="G1294" s="3">
        <v>45924</v>
      </c>
      <c r="H1294" s="3">
        <v>871024</v>
      </c>
      <c r="I1294" s="3">
        <v>37031</v>
      </c>
    </row>
    <row r="1295" spans="1:9">
      <c r="A1295" s="3" t="s">
        <v>1320</v>
      </c>
      <c r="B1295" s="3" t="s">
        <v>26</v>
      </c>
      <c r="C1295" s="3">
        <v>2344140</v>
      </c>
      <c r="D1295" s="3">
        <v>1034103</v>
      </c>
      <c r="E1295" s="3" t="s">
        <v>27</v>
      </c>
      <c r="F1295" s="3">
        <v>1902385</v>
      </c>
      <c r="G1295" s="3">
        <v>859640</v>
      </c>
      <c r="H1295" s="3">
        <v>441755</v>
      </c>
      <c r="I1295" s="3">
        <v>174463</v>
      </c>
    </row>
    <row r="1296" spans="1:9">
      <c r="A1296" s="3" t="s">
        <v>1321</v>
      </c>
      <c r="B1296" s="3" t="s">
        <v>26</v>
      </c>
      <c r="C1296" s="3">
        <v>2535025</v>
      </c>
      <c r="D1296" s="3">
        <v>1351101</v>
      </c>
      <c r="E1296" s="3" t="s">
        <v>27</v>
      </c>
      <c r="F1296" s="3">
        <v>1871797</v>
      </c>
      <c r="G1296" s="3">
        <v>987891</v>
      </c>
      <c r="H1296" s="3">
        <v>663228</v>
      </c>
      <c r="I1296" s="3">
        <v>363210</v>
      </c>
    </row>
    <row r="1297" spans="1:9">
      <c r="A1297" s="3" t="s">
        <v>1322</v>
      </c>
      <c r="B1297" s="3" t="s">
        <v>26</v>
      </c>
      <c r="C1297" s="3">
        <v>2505160</v>
      </c>
      <c r="D1297" s="3">
        <v>1184605</v>
      </c>
      <c r="E1297" s="3" t="s">
        <v>27</v>
      </c>
      <c r="F1297" s="3">
        <v>2182567</v>
      </c>
      <c r="G1297" s="3">
        <v>1067979</v>
      </c>
      <c r="H1297" s="3">
        <v>322593</v>
      </c>
      <c r="I1297" s="3">
        <v>116626</v>
      </c>
    </row>
    <row r="1298" spans="1:9">
      <c r="A1298" s="3" t="s">
        <v>1323</v>
      </c>
      <c r="B1298" s="3" t="s">
        <v>26</v>
      </c>
      <c r="C1298" s="3">
        <v>2374865</v>
      </c>
      <c r="D1298" s="3">
        <v>978839</v>
      </c>
      <c r="E1298" s="3" t="s">
        <v>27</v>
      </c>
      <c r="F1298" s="3">
        <v>1914103</v>
      </c>
      <c r="G1298" s="3">
        <v>819594</v>
      </c>
      <c r="H1298" s="3">
        <v>460762</v>
      </c>
      <c r="I1298" s="3">
        <v>159245</v>
      </c>
    </row>
    <row r="1299" spans="1:9">
      <c r="A1299" s="3" t="s">
        <v>1324</v>
      </c>
      <c r="B1299" s="3" t="s">
        <v>26</v>
      </c>
      <c r="C1299" s="3">
        <v>985046</v>
      </c>
      <c r="D1299" s="3">
        <v>15738</v>
      </c>
      <c r="E1299" s="3" t="s">
        <v>27</v>
      </c>
      <c r="F1299" s="3">
        <v>528040</v>
      </c>
      <c r="G1299" s="3">
        <v>6901</v>
      </c>
      <c r="H1299" s="3">
        <v>457006</v>
      </c>
      <c r="I1299" s="3">
        <v>8837</v>
      </c>
    </row>
    <row r="1300" spans="1:9">
      <c r="A1300" s="3" t="s">
        <v>1325</v>
      </c>
      <c r="B1300" s="3" t="s">
        <v>26</v>
      </c>
      <c r="C1300" s="3">
        <v>1244696</v>
      </c>
      <c r="D1300" s="3">
        <v>14076</v>
      </c>
      <c r="E1300" s="3" t="s">
        <v>27</v>
      </c>
      <c r="F1300" s="3">
        <v>665002</v>
      </c>
      <c r="G1300" s="3">
        <v>8971</v>
      </c>
      <c r="H1300" s="3">
        <v>579694</v>
      </c>
      <c r="I1300" s="3">
        <v>5105</v>
      </c>
    </row>
    <row r="1301" spans="1:9">
      <c r="A1301" s="3" t="s">
        <v>1326</v>
      </c>
      <c r="B1301" s="3" t="s">
        <v>26</v>
      </c>
      <c r="C1301" s="3">
        <v>2369232</v>
      </c>
      <c r="D1301" s="3">
        <v>974673</v>
      </c>
      <c r="E1301" s="3" t="s">
        <v>27</v>
      </c>
      <c r="F1301" s="3">
        <v>1967808</v>
      </c>
      <c r="G1301" s="3">
        <v>766923</v>
      </c>
      <c r="H1301" s="3">
        <v>401424</v>
      </c>
      <c r="I1301" s="3">
        <v>207750</v>
      </c>
    </row>
    <row r="1302" spans="1:9">
      <c r="A1302" s="3" t="s">
        <v>1327</v>
      </c>
      <c r="B1302" s="3" t="s">
        <v>26</v>
      </c>
      <c r="C1302" s="3">
        <v>2063235</v>
      </c>
      <c r="D1302" s="3">
        <v>325107</v>
      </c>
      <c r="E1302" s="3" t="s">
        <v>27</v>
      </c>
      <c r="F1302" s="3">
        <v>1207283</v>
      </c>
      <c r="G1302" s="3">
        <v>193316</v>
      </c>
      <c r="H1302" s="3">
        <v>855952</v>
      </c>
      <c r="I1302" s="3">
        <v>131791</v>
      </c>
    </row>
    <row r="1303" spans="1:9">
      <c r="A1303" s="3" t="s">
        <v>1328</v>
      </c>
      <c r="B1303" s="3" t="s">
        <v>26</v>
      </c>
      <c r="C1303" s="3">
        <v>1025565</v>
      </c>
      <c r="D1303" s="3">
        <v>254231</v>
      </c>
      <c r="E1303" s="3" t="s">
        <v>27</v>
      </c>
      <c r="F1303" s="3">
        <v>733698</v>
      </c>
      <c r="G1303" s="3">
        <v>208586</v>
      </c>
      <c r="H1303" s="3">
        <v>291867</v>
      </c>
      <c r="I1303" s="3">
        <v>45645</v>
      </c>
    </row>
    <row r="1304" spans="1:9">
      <c r="A1304" s="3" t="s">
        <v>1329</v>
      </c>
      <c r="B1304" s="3" t="s">
        <v>26</v>
      </c>
      <c r="C1304" s="3">
        <v>1514166</v>
      </c>
      <c r="D1304" s="3">
        <v>450931</v>
      </c>
      <c r="E1304" s="3" t="s">
        <v>27</v>
      </c>
      <c r="F1304" s="3">
        <v>1092488</v>
      </c>
      <c r="G1304" s="3">
        <v>314083</v>
      </c>
      <c r="H1304" s="3">
        <v>421678</v>
      </c>
      <c r="I1304" s="3">
        <v>136848</v>
      </c>
    </row>
    <row r="1305" spans="1:9">
      <c r="A1305" s="3" t="s">
        <v>1330</v>
      </c>
      <c r="B1305" s="3" t="s">
        <v>26</v>
      </c>
      <c r="C1305" s="3">
        <v>1480420</v>
      </c>
      <c r="D1305" s="3">
        <v>530595</v>
      </c>
      <c r="E1305" s="3" t="s">
        <v>27</v>
      </c>
      <c r="F1305" s="3">
        <v>1271352</v>
      </c>
      <c r="G1305" s="3">
        <v>438660</v>
      </c>
      <c r="H1305" s="3">
        <v>209068</v>
      </c>
      <c r="I1305" s="3">
        <v>91935</v>
      </c>
    </row>
    <row r="1306" spans="1:9">
      <c r="A1306" s="3" t="s">
        <v>1331</v>
      </c>
      <c r="B1306" s="3" t="s">
        <v>26</v>
      </c>
      <c r="C1306" s="3">
        <v>1625411</v>
      </c>
      <c r="D1306" s="3">
        <v>523021</v>
      </c>
      <c r="E1306" s="3" t="s">
        <v>27</v>
      </c>
      <c r="F1306" s="3">
        <v>1108932</v>
      </c>
      <c r="G1306" s="3">
        <v>357555</v>
      </c>
      <c r="H1306" s="3">
        <v>516479</v>
      </c>
      <c r="I1306" s="3">
        <v>165466</v>
      </c>
    </row>
    <row r="1307" spans="1:9">
      <c r="A1307" s="3" t="s">
        <v>1332</v>
      </c>
      <c r="B1307" s="3" t="s">
        <v>26</v>
      </c>
      <c r="C1307" s="3">
        <v>929730</v>
      </c>
      <c r="D1307" s="3">
        <v>189375</v>
      </c>
      <c r="E1307" s="3" t="s">
        <v>27</v>
      </c>
      <c r="F1307" s="3">
        <v>578543</v>
      </c>
      <c r="G1307" s="3">
        <v>131266</v>
      </c>
      <c r="H1307" s="3">
        <v>351187</v>
      </c>
      <c r="I1307" s="3">
        <v>58109</v>
      </c>
    </row>
    <row r="1308" spans="1:9">
      <c r="A1308" s="3" t="s">
        <v>1333</v>
      </c>
      <c r="B1308" s="3" t="s">
        <v>26</v>
      </c>
      <c r="C1308" s="3">
        <v>1540895</v>
      </c>
      <c r="D1308" s="3">
        <v>542667</v>
      </c>
      <c r="E1308" s="3" t="s">
        <v>27</v>
      </c>
      <c r="F1308" s="3">
        <v>1163453</v>
      </c>
      <c r="G1308" s="3">
        <v>384174</v>
      </c>
      <c r="H1308" s="3">
        <v>377442</v>
      </c>
      <c r="I1308" s="3">
        <v>158493</v>
      </c>
    </row>
    <row r="1309" spans="1:9">
      <c r="A1309" s="3" t="s">
        <v>1334</v>
      </c>
      <c r="B1309" s="3" t="s">
        <v>26</v>
      </c>
      <c r="C1309" s="3">
        <v>1507412</v>
      </c>
      <c r="D1309" s="3">
        <v>534395</v>
      </c>
      <c r="E1309" s="3" t="s">
        <v>27</v>
      </c>
      <c r="F1309" s="3">
        <v>1172064</v>
      </c>
      <c r="G1309" s="3">
        <v>403580</v>
      </c>
      <c r="H1309" s="3">
        <v>335348</v>
      </c>
      <c r="I1309" s="3">
        <v>130815</v>
      </c>
    </row>
    <row r="1310" spans="1:9">
      <c r="A1310" s="3" t="s">
        <v>1335</v>
      </c>
      <c r="B1310" s="3" t="s">
        <v>26</v>
      </c>
      <c r="C1310" s="3">
        <v>642367</v>
      </c>
      <c r="D1310" s="3">
        <v>51947</v>
      </c>
      <c r="E1310" s="3" t="s">
        <v>27</v>
      </c>
      <c r="F1310" s="3">
        <v>375756</v>
      </c>
      <c r="G1310" s="3">
        <v>34194</v>
      </c>
      <c r="H1310" s="3">
        <v>266611</v>
      </c>
      <c r="I1310" s="3">
        <v>17753</v>
      </c>
    </row>
    <row r="1311" spans="1:9">
      <c r="A1311" s="3" t="s">
        <v>1336</v>
      </c>
      <c r="B1311" s="3" t="s">
        <v>26</v>
      </c>
      <c r="C1311" s="3">
        <v>594640</v>
      </c>
      <c r="D1311" s="3">
        <v>3581</v>
      </c>
      <c r="E1311" s="3" t="s">
        <v>27</v>
      </c>
      <c r="F1311" s="3">
        <v>318434</v>
      </c>
      <c r="G1311" s="3">
        <v>2176</v>
      </c>
      <c r="H1311" s="3">
        <v>276206</v>
      </c>
      <c r="I1311" s="3">
        <v>1405</v>
      </c>
    </row>
    <row r="1312" spans="1:9">
      <c r="A1312" s="3" t="s">
        <v>1337</v>
      </c>
      <c r="B1312" s="3" t="s">
        <v>26</v>
      </c>
      <c r="C1312" s="3">
        <v>1610751</v>
      </c>
      <c r="D1312" s="3">
        <v>584870</v>
      </c>
      <c r="E1312" s="3" t="s">
        <v>27</v>
      </c>
      <c r="F1312" s="3">
        <v>1299362</v>
      </c>
      <c r="G1312" s="3">
        <v>460785</v>
      </c>
      <c r="H1312" s="3">
        <v>311389</v>
      </c>
      <c r="I1312" s="3">
        <v>124085</v>
      </c>
    </row>
    <row r="1313" spans="1:9">
      <c r="A1313" s="3" t="s">
        <v>1338</v>
      </c>
      <c r="B1313" s="3" t="s">
        <v>26</v>
      </c>
      <c r="C1313" s="3">
        <v>1151574</v>
      </c>
      <c r="D1313" s="3">
        <v>385861</v>
      </c>
      <c r="E1313" s="3" t="s">
        <v>27</v>
      </c>
      <c r="F1313" s="3">
        <v>750263</v>
      </c>
      <c r="G1313" s="3">
        <v>246053</v>
      </c>
      <c r="H1313" s="3">
        <v>401311</v>
      </c>
      <c r="I1313" s="3">
        <v>139808</v>
      </c>
    </row>
    <row r="1314" spans="1:9">
      <c r="A1314" s="3" t="s">
        <v>1339</v>
      </c>
      <c r="B1314" s="3" t="s">
        <v>26</v>
      </c>
      <c r="C1314" s="3">
        <v>1608611</v>
      </c>
      <c r="D1314" s="3">
        <v>585743</v>
      </c>
      <c r="E1314" s="3" t="s">
        <v>27</v>
      </c>
      <c r="F1314" s="3">
        <v>1451156</v>
      </c>
      <c r="G1314" s="3">
        <v>510455</v>
      </c>
      <c r="H1314" s="3">
        <v>157455</v>
      </c>
      <c r="I1314" s="3">
        <v>75288</v>
      </c>
    </row>
    <row r="1315" spans="1:9">
      <c r="A1315" s="3" t="s">
        <v>1340</v>
      </c>
      <c r="B1315" s="3" t="s">
        <v>26</v>
      </c>
      <c r="C1315" s="3">
        <v>1068079</v>
      </c>
      <c r="D1315" s="3">
        <v>233010</v>
      </c>
      <c r="E1315" s="3" t="s">
        <v>27</v>
      </c>
      <c r="F1315" s="3">
        <v>774599</v>
      </c>
      <c r="G1315" s="3">
        <v>189374</v>
      </c>
      <c r="H1315" s="3">
        <v>293480</v>
      </c>
      <c r="I1315" s="3">
        <v>43636</v>
      </c>
    </row>
    <row r="1316" spans="1:9">
      <c r="A1316" s="3" t="s">
        <v>1341</v>
      </c>
      <c r="B1316" s="3" t="s">
        <v>26</v>
      </c>
      <c r="C1316" s="3">
        <v>1338290</v>
      </c>
      <c r="D1316" s="3">
        <v>468761</v>
      </c>
      <c r="E1316" s="3" t="s">
        <v>27</v>
      </c>
      <c r="F1316" s="3">
        <v>1232833</v>
      </c>
      <c r="G1316" s="3">
        <v>423564</v>
      </c>
      <c r="H1316" s="3">
        <v>105457</v>
      </c>
      <c r="I1316" s="3">
        <v>45197</v>
      </c>
    </row>
    <row r="1317" spans="1:9">
      <c r="A1317" s="3" t="s">
        <v>1342</v>
      </c>
      <c r="B1317" s="3" t="s">
        <v>26</v>
      </c>
      <c r="C1317" s="3">
        <v>509320</v>
      </c>
      <c r="D1317" s="3">
        <v>1248</v>
      </c>
      <c r="E1317" s="3" t="s">
        <v>27</v>
      </c>
      <c r="F1317" s="3">
        <v>261920</v>
      </c>
      <c r="G1317" s="3">
        <v>592</v>
      </c>
      <c r="H1317" s="3">
        <v>247400</v>
      </c>
      <c r="I1317" s="3">
        <v>656</v>
      </c>
    </row>
    <row r="1318" spans="1:9">
      <c r="A1318" s="3" t="s">
        <v>1343</v>
      </c>
      <c r="B1318" s="3" t="s">
        <v>26</v>
      </c>
      <c r="C1318" s="3">
        <v>914755</v>
      </c>
      <c r="D1318" s="3">
        <v>175077</v>
      </c>
      <c r="E1318" s="3" t="s">
        <v>27</v>
      </c>
      <c r="F1318" s="3">
        <v>574638</v>
      </c>
      <c r="G1318" s="3">
        <v>122016</v>
      </c>
      <c r="H1318" s="3">
        <v>340117</v>
      </c>
      <c r="I1318" s="3">
        <v>53061</v>
      </c>
    </row>
    <row r="1319" spans="1:9">
      <c r="A1319" s="3" t="s">
        <v>1344</v>
      </c>
      <c r="B1319" s="3" t="s">
        <v>26</v>
      </c>
      <c r="C1319" s="3">
        <v>1691255</v>
      </c>
      <c r="D1319" s="3">
        <v>656381</v>
      </c>
      <c r="E1319" s="3" t="s">
        <v>27</v>
      </c>
      <c r="F1319" s="3">
        <v>1342997</v>
      </c>
      <c r="G1319" s="3">
        <v>497820</v>
      </c>
      <c r="H1319" s="3">
        <v>348258</v>
      </c>
      <c r="I1319" s="3">
        <v>158561</v>
      </c>
    </row>
    <row r="1320" spans="1:9">
      <c r="A1320" s="3" t="s">
        <v>1345</v>
      </c>
      <c r="B1320" s="3" t="s">
        <v>26</v>
      </c>
      <c r="C1320" s="3">
        <v>1683042</v>
      </c>
      <c r="D1320" s="3">
        <v>681416</v>
      </c>
      <c r="E1320" s="3" t="s">
        <v>27</v>
      </c>
      <c r="F1320" s="3">
        <v>1313199</v>
      </c>
      <c r="G1320" s="3">
        <v>525172</v>
      </c>
      <c r="H1320" s="3">
        <v>369843</v>
      </c>
      <c r="I1320" s="3">
        <v>156244</v>
      </c>
    </row>
    <row r="1321" spans="1:9">
      <c r="A1321" s="3" t="s">
        <v>1346</v>
      </c>
      <c r="B1321" s="3" t="s">
        <v>26</v>
      </c>
      <c r="C1321" s="3">
        <v>1557766</v>
      </c>
      <c r="D1321" s="3">
        <v>464581</v>
      </c>
      <c r="E1321" s="3" t="s">
        <v>27</v>
      </c>
      <c r="F1321" s="3">
        <v>1222824</v>
      </c>
      <c r="G1321" s="3">
        <v>365374</v>
      </c>
      <c r="H1321" s="3">
        <v>334942</v>
      </c>
      <c r="I1321" s="3">
        <v>99207</v>
      </c>
    </row>
    <row r="1322" spans="1:9">
      <c r="A1322" s="3" t="s">
        <v>1347</v>
      </c>
      <c r="B1322" s="3" t="s">
        <v>26</v>
      </c>
      <c r="C1322" s="3">
        <v>506350</v>
      </c>
      <c r="D1322" s="3">
        <v>449</v>
      </c>
      <c r="E1322" s="3" t="s">
        <v>27</v>
      </c>
      <c r="F1322" s="3">
        <v>261142</v>
      </c>
      <c r="G1322" s="3">
        <v>191</v>
      </c>
      <c r="H1322" s="3">
        <v>245208</v>
      </c>
      <c r="I1322" s="3">
        <v>258</v>
      </c>
    </row>
    <row r="1323" spans="1:9">
      <c r="A1323" s="3" t="s">
        <v>1348</v>
      </c>
      <c r="B1323" s="3" t="s">
        <v>26</v>
      </c>
      <c r="C1323" s="3">
        <v>1614535</v>
      </c>
      <c r="D1323" s="3">
        <v>599059</v>
      </c>
      <c r="E1323" s="3" t="s">
        <v>27</v>
      </c>
      <c r="F1323" s="3">
        <v>1362039</v>
      </c>
      <c r="G1323" s="3">
        <v>492377</v>
      </c>
      <c r="H1323" s="3">
        <v>252496</v>
      </c>
      <c r="I1323" s="3">
        <v>106682</v>
      </c>
    </row>
    <row r="1324" spans="1:9">
      <c r="A1324" s="3" t="s">
        <v>1349</v>
      </c>
      <c r="B1324" s="3" t="s">
        <v>26</v>
      </c>
      <c r="C1324" s="3">
        <v>1722125</v>
      </c>
      <c r="D1324" s="3">
        <v>685666</v>
      </c>
      <c r="E1324" s="3" t="s">
        <v>27</v>
      </c>
      <c r="F1324" s="3">
        <v>1240969</v>
      </c>
      <c r="G1324" s="3">
        <v>465436</v>
      </c>
      <c r="H1324" s="3">
        <v>481156</v>
      </c>
      <c r="I1324" s="3">
        <v>220230</v>
      </c>
    </row>
    <row r="1325" spans="1:9">
      <c r="A1325" s="3" t="s">
        <v>1350</v>
      </c>
      <c r="B1325" s="3" t="s">
        <v>26</v>
      </c>
      <c r="C1325" s="3">
        <v>1615726</v>
      </c>
      <c r="D1325" s="3">
        <v>621491</v>
      </c>
      <c r="E1325" s="3" t="s">
        <v>27</v>
      </c>
      <c r="F1325" s="3">
        <v>1280935</v>
      </c>
      <c r="G1325" s="3">
        <v>480143</v>
      </c>
      <c r="H1325" s="3">
        <v>334791</v>
      </c>
      <c r="I1325" s="3">
        <v>141348</v>
      </c>
    </row>
    <row r="1326" spans="1:9">
      <c r="A1326" s="3" t="s">
        <v>1351</v>
      </c>
      <c r="B1326" s="3" t="s">
        <v>26</v>
      </c>
      <c r="C1326" s="3">
        <v>758539</v>
      </c>
      <c r="D1326" s="3">
        <v>11909</v>
      </c>
      <c r="E1326" s="3" t="s">
        <v>27</v>
      </c>
      <c r="F1326" s="3">
        <v>484889</v>
      </c>
      <c r="G1326" s="3">
        <v>7935</v>
      </c>
      <c r="H1326" s="3">
        <v>273650</v>
      </c>
      <c r="I1326" s="3">
        <v>3974</v>
      </c>
    </row>
    <row r="1327" spans="1:9">
      <c r="A1327" s="3" t="s">
        <v>1352</v>
      </c>
      <c r="B1327" s="3" t="s">
        <v>26</v>
      </c>
      <c r="C1327" s="3">
        <v>1681360</v>
      </c>
      <c r="D1327" s="3">
        <v>632235</v>
      </c>
      <c r="E1327" s="3" t="s">
        <v>27</v>
      </c>
      <c r="F1327" s="3">
        <v>1211277</v>
      </c>
      <c r="G1327" s="3">
        <v>450191</v>
      </c>
      <c r="H1327" s="3">
        <v>470083</v>
      </c>
      <c r="I1327" s="3">
        <v>182044</v>
      </c>
    </row>
    <row r="1328" spans="1:9">
      <c r="A1328" s="3" t="s">
        <v>1353</v>
      </c>
      <c r="B1328" s="3" t="s">
        <v>26</v>
      </c>
      <c r="C1328" s="3">
        <v>1534810</v>
      </c>
      <c r="D1328" s="3">
        <v>544323</v>
      </c>
      <c r="E1328" s="3" t="s">
        <v>27</v>
      </c>
      <c r="F1328" s="3">
        <v>1092762</v>
      </c>
      <c r="G1328" s="3">
        <v>389359</v>
      </c>
      <c r="H1328" s="3">
        <v>442048</v>
      </c>
      <c r="I1328" s="3">
        <v>154964</v>
      </c>
    </row>
    <row r="1329" spans="1:9">
      <c r="A1329" s="3" t="s">
        <v>1354</v>
      </c>
      <c r="B1329" s="3" t="s">
        <v>26</v>
      </c>
      <c r="C1329" s="3">
        <v>1481795</v>
      </c>
      <c r="D1329" s="3">
        <v>384291</v>
      </c>
      <c r="E1329" s="3" t="s">
        <v>27</v>
      </c>
      <c r="F1329" s="3">
        <v>994553</v>
      </c>
      <c r="G1329" s="3">
        <v>269836</v>
      </c>
      <c r="H1329" s="3">
        <v>487242</v>
      </c>
      <c r="I1329" s="3">
        <v>114455</v>
      </c>
    </row>
    <row r="1330" spans="1:9">
      <c r="A1330" s="3" t="s">
        <v>1355</v>
      </c>
      <c r="B1330" s="3" t="s">
        <v>26</v>
      </c>
      <c r="C1330" s="3">
        <v>1693230</v>
      </c>
      <c r="D1330" s="3">
        <v>659152</v>
      </c>
      <c r="E1330" s="3" t="s">
        <v>27</v>
      </c>
      <c r="F1330" s="3">
        <v>1246393</v>
      </c>
      <c r="G1330" s="3">
        <v>460466</v>
      </c>
      <c r="H1330" s="3">
        <v>446837</v>
      </c>
      <c r="I1330" s="3">
        <v>198686</v>
      </c>
    </row>
    <row r="1331" spans="1:9">
      <c r="A1331" s="3" t="s">
        <v>1356</v>
      </c>
      <c r="B1331" s="3" t="s">
        <v>26</v>
      </c>
      <c r="C1331" s="3">
        <v>1832737</v>
      </c>
      <c r="D1331" s="3">
        <v>772049</v>
      </c>
      <c r="E1331" s="3" t="s">
        <v>27</v>
      </c>
      <c r="F1331" s="3">
        <v>1523952</v>
      </c>
      <c r="G1331" s="3">
        <v>631465</v>
      </c>
      <c r="H1331" s="3">
        <v>308785</v>
      </c>
      <c r="I1331" s="3">
        <v>140584</v>
      </c>
    </row>
    <row r="1332" spans="1:9">
      <c r="A1332" s="3" t="s">
        <v>1357</v>
      </c>
      <c r="B1332" s="3" t="s">
        <v>26</v>
      </c>
      <c r="C1332" s="3">
        <v>1595971</v>
      </c>
      <c r="D1332" s="3">
        <v>597472</v>
      </c>
      <c r="E1332" s="3" t="s">
        <v>27</v>
      </c>
      <c r="F1332" s="3">
        <v>1411309</v>
      </c>
      <c r="G1332" s="3">
        <v>511514</v>
      </c>
      <c r="H1332" s="3">
        <v>184662</v>
      </c>
      <c r="I1332" s="3">
        <v>85958</v>
      </c>
    </row>
    <row r="1333" spans="1:9">
      <c r="A1333" s="3" t="s">
        <v>1358</v>
      </c>
      <c r="B1333" s="3" t="s">
        <v>26</v>
      </c>
      <c r="C1333" s="3">
        <v>1793318</v>
      </c>
      <c r="D1333" s="3">
        <v>560859</v>
      </c>
      <c r="E1333" s="3" t="s">
        <v>27</v>
      </c>
      <c r="F1333" s="3">
        <v>1149672</v>
      </c>
      <c r="G1333" s="3">
        <v>361827</v>
      </c>
      <c r="H1333" s="3">
        <v>643646</v>
      </c>
      <c r="I1333" s="3">
        <v>199032</v>
      </c>
    </row>
    <row r="1334" spans="1:9">
      <c r="A1334" s="3" t="s">
        <v>1359</v>
      </c>
      <c r="B1334" s="3" t="s">
        <v>26</v>
      </c>
      <c r="C1334" s="3">
        <v>1360559</v>
      </c>
      <c r="D1334" s="3">
        <v>350066</v>
      </c>
      <c r="E1334" s="3" t="s">
        <v>27</v>
      </c>
      <c r="F1334" s="3">
        <v>1145550</v>
      </c>
      <c r="G1334" s="3">
        <v>291815</v>
      </c>
      <c r="H1334" s="3">
        <v>215009</v>
      </c>
      <c r="I1334" s="3">
        <v>58251</v>
      </c>
    </row>
    <row r="1335" spans="1:9">
      <c r="A1335" s="3" t="s">
        <v>1360</v>
      </c>
      <c r="B1335" s="3" t="s">
        <v>26</v>
      </c>
      <c r="C1335" s="3">
        <v>1146506</v>
      </c>
      <c r="D1335" s="3">
        <v>57993</v>
      </c>
      <c r="E1335" s="3" t="s">
        <v>27</v>
      </c>
      <c r="F1335" s="3">
        <v>602395</v>
      </c>
      <c r="G1335" s="3">
        <v>29717</v>
      </c>
      <c r="H1335" s="3">
        <v>544111</v>
      </c>
      <c r="I1335" s="3">
        <v>28276</v>
      </c>
    </row>
    <row r="1336" spans="1:9">
      <c r="A1336" s="3" t="s">
        <v>1361</v>
      </c>
      <c r="B1336" s="3" t="s">
        <v>26</v>
      </c>
      <c r="C1336" s="3">
        <v>979595</v>
      </c>
      <c r="D1336" s="3">
        <v>35929</v>
      </c>
      <c r="E1336" s="3" t="s">
        <v>27</v>
      </c>
      <c r="F1336" s="3">
        <v>518447</v>
      </c>
      <c r="G1336" s="3">
        <v>17227</v>
      </c>
      <c r="H1336" s="3">
        <v>461148</v>
      </c>
      <c r="I1336" s="3">
        <v>18702</v>
      </c>
    </row>
    <row r="1337" spans="1:9">
      <c r="A1337" s="3" t="s">
        <v>1362</v>
      </c>
      <c r="B1337" s="3" t="s">
        <v>26</v>
      </c>
      <c r="C1337" s="3">
        <v>1997433</v>
      </c>
      <c r="D1337" s="3">
        <v>770522</v>
      </c>
      <c r="E1337" s="3" t="s">
        <v>27</v>
      </c>
      <c r="F1337" s="3">
        <v>1461712</v>
      </c>
      <c r="G1337" s="3">
        <v>544142</v>
      </c>
      <c r="H1337" s="3">
        <v>535721</v>
      </c>
      <c r="I1337" s="3">
        <v>226380</v>
      </c>
    </row>
    <row r="1338" spans="1:9">
      <c r="A1338" s="3" t="s">
        <v>1363</v>
      </c>
      <c r="B1338" s="3" t="s">
        <v>26</v>
      </c>
      <c r="C1338" s="3">
        <v>1084239</v>
      </c>
      <c r="D1338" s="3">
        <v>226536</v>
      </c>
      <c r="E1338" s="3" t="s">
        <v>27</v>
      </c>
      <c r="F1338" s="3">
        <v>818931</v>
      </c>
      <c r="G1338" s="3">
        <v>181558</v>
      </c>
      <c r="H1338" s="3">
        <v>265308</v>
      </c>
      <c r="I1338" s="3">
        <v>44978</v>
      </c>
    </row>
    <row r="1339" spans="1:9">
      <c r="A1339" s="3" t="s">
        <v>1364</v>
      </c>
      <c r="B1339" s="3" t="s">
        <v>26</v>
      </c>
      <c r="C1339" s="3">
        <v>1976548</v>
      </c>
      <c r="D1339" s="3">
        <v>795333</v>
      </c>
      <c r="E1339" s="3" t="s">
        <v>27</v>
      </c>
      <c r="F1339" s="3">
        <v>1573211</v>
      </c>
      <c r="G1339" s="3">
        <v>610081</v>
      </c>
      <c r="H1339" s="3">
        <v>403337</v>
      </c>
      <c r="I1339" s="3">
        <v>185252</v>
      </c>
    </row>
    <row r="1340" spans="1:9">
      <c r="A1340" s="3" t="s">
        <v>1365</v>
      </c>
      <c r="B1340" s="3" t="s">
        <v>26</v>
      </c>
      <c r="C1340" s="3">
        <v>1507965</v>
      </c>
      <c r="D1340" s="3">
        <v>427666</v>
      </c>
      <c r="E1340" s="3" t="s">
        <v>27</v>
      </c>
      <c r="F1340" s="3">
        <v>1035367</v>
      </c>
      <c r="G1340" s="3">
        <v>311472</v>
      </c>
      <c r="H1340" s="3">
        <v>472598</v>
      </c>
      <c r="I1340" s="3">
        <v>116194</v>
      </c>
    </row>
    <row r="1341" spans="1:9">
      <c r="A1341" s="3" t="s">
        <v>1366</v>
      </c>
      <c r="B1341" s="3" t="s">
        <v>26</v>
      </c>
      <c r="C1341" s="3">
        <v>1858121</v>
      </c>
      <c r="D1341" s="3">
        <v>695653</v>
      </c>
      <c r="E1341" s="3" t="s">
        <v>27</v>
      </c>
      <c r="F1341" s="3">
        <v>1465339</v>
      </c>
      <c r="G1341" s="3">
        <v>547667</v>
      </c>
      <c r="H1341" s="3">
        <v>392782</v>
      </c>
      <c r="I1341" s="3">
        <v>147986</v>
      </c>
    </row>
    <row r="1342" spans="1:9">
      <c r="A1342" s="3" t="s">
        <v>1367</v>
      </c>
      <c r="B1342" s="3" t="s">
        <v>26</v>
      </c>
      <c r="C1342" s="3">
        <v>1593567</v>
      </c>
      <c r="D1342" s="3">
        <v>381148</v>
      </c>
      <c r="E1342" s="3" t="s">
        <v>27</v>
      </c>
      <c r="F1342" s="3">
        <v>976020</v>
      </c>
      <c r="G1342" s="3">
        <v>246590</v>
      </c>
      <c r="H1342" s="3">
        <v>617547</v>
      </c>
      <c r="I1342" s="3">
        <v>134558</v>
      </c>
    </row>
    <row r="1343" spans="1:9">
      <c r="A1343" s="3" t="s">
        <v>1368</v>
      </c>
      <c r="B1343" s="3" t="s">
        <v>26</v>
      </c>
      <c r="C1343" s="3">
        <v>959902</v>
      </c>
      <c r="D1343" s="3">
        <v>142934</v>
      </c>
      <c r="E1343" s="3" t="s">
        <v>27</v>
      </c>
      <c r="F1343" s="3">
        <v>608895</v>
      </c>
      <c r="G1343" s="3">
        <v>94163</v>
      </c>
      <c r="H1343" s="3">
        <v>351007</v>
      </c>
      <c r="I1343" s="3">
        <v>48771</v>
      </c>
    </row>
    <row r="1344" spans="1:9">
      <c r="A1344" s="3" t="s">
        <v>1369</v>
      </c>
      <c r="B1344" s="3" t="s">
        <v>26</v>
      </c>
      <c r="C1344" s="3">
        <v>795490</v>
      </c>
      <c r="D1344" s="3">
        <v>93263</v>
      </c>
      <c r="E1344" s="3" t="s">
        <v>27</v>
      </c>
      <c r="F1344" s="3">
        <v>454685</v>
      </c>
      <c r="G1344" s="3">
        <v>51102</v>
      </c>
      <c r="H1344" s="3">
        <v>340805</v>
      </c>
      <c r="I1344" s="3">
        <v>42161</v>
      </c>
    </row>
    <row r="1345" spans="1:9">
      <c r="A1345" s="3" t="s">
        <v>1370</v>
      </c>
      <c r="B1345" s="3" t="s">
        <v>26</v>
      </c>
      <c r="C1345" s="3">
        <v>1080061</v>
      </c>
      <c r="D1345" s="3">
        <v>195305</v>
      </c>
      <c r="E1345" s="3" t="s">
        <v>27</v>
      </c>
      <c r="F1345" s="3">
        <v>783729</v>
      </c>
      <c r="G1345" s="3">
        <v>130334</v>
      </c>
      <c r="H1345" s="3">
        <v>296332</v>
      </c>
      <c r="I1345" s="3">
        <v>64971</v>
      </c>
    </row>
    <row r="1346" spans="1:9">
      <c r="A1346" s="3" t="s">
        <v>1371</v>
      </c>
      <c r="B1346" s="3" t="s">
        <v>26</v>
      </c>
      <c r="C1346" s="3">
        <v>2064525</v>
      </c>
      <c r="D1346" s="3">
        <v>814911</v>
      </c>
      <c r="E1346" s="3" t="s">
        <v>27</v>
      </c>
      <c r="F1346" s="3">
        <v>1541493</v>
      </c>
      <c r="G1346" s="3">
        <v>591919</v>
      </c>
      <c r="H1346" s="3">
        <v>523032</v>
      </c>
      <c r="I1346" s="3">
        <v>222992</v>
      </c>
    </row>
    <row r="1347" spans="1:9">
      <c r="A1347" s="3" t="s">
        <v>1372</v>
      </c>
      <c r="B1347" s="3" t="s">
        <v>26</v>
      </c>
      <c r="C1347" s="3">
        <v>1478082</v>
      </c>
      <c r="D1347" s="3">
        <v>446963</v>
      </c>
      <c r="E1347" s="3" t="s">
        <v>27</v>
      </c>
      <c r="F1347" s="3">
        <v>1270598</v>
      </c>
      <c r="G1347" s="3">
        <v>392324</v>
      </c>
      <c r="H1347" s="3">
        <v>207484</v>
      </c>
      <c r="I1347" s="3">
        <v>54639</v>
      </c>
    </row>
    <row r="1348" spans="1:9">
      <c r="A1348" s="3" t="s">
        <v>1373</v>
      </c>
      <c r="B1348" s="3" t="s">
        <v>26</v>
      </c>
      <c r="C1348" s="3">
        <v>1340391</v>
      </c>
      <c r="D1348" s="3">
        <v>238132</v>
      </c>
      <c r="E1348" s="3" t="s">
        <v>27</v>
      </c>
      <c r="F1348" s="3">
        <v>840858</v>
      </c>
      <c r="G1348" s="3">
        <v>155683</v>
      </c>
      <c r="H1348" s="3">
        <v>499533</v>
      </c>
      <c r="I1348" s="3">
        <v>82449</v>
      </c>
    </row>
    <row r="1349" spans="1:9">
      <c r="A1349" s="3" t="s">
        <v>1374</v>
      </c>
      <c r="B1349" s="3" t="s">
        <v>26</v>
      </c>
      <c r="C1349" s="3">
        <v>1715105</v>
      </c>
      <c r="D1349" s="3">
        <v>545055</v>
      </c>
      <c r="E1349" s="3" t="s">
        <v>27</v>
      </c>
      <c r="F1349" s="3">
        <v>1156306</v>
      </c>
      <c r="G1349" s="3">
        <v>377574</v>
      </c>
      <c r="H1349" s="3">
        <v>558799</v>
      </c>
      <c r="I1349" s="3">
        <v>167481</v>
      </c>
    </row>
    <row r="1350" spans="1:9">
      <c r="A1350" s="3" t="s">
        <v>1375</v>
      </c>
      <c r="B1350" s="3" t="s">
        <v>26</v>
      </c>
      <c r="C1350" s="3">
        <v>1222508</v>
      </c>
      <c r="D1350" s="3">
        <v>246917</v>
      </c>
      <c r="E1350" s="3" t="s">
        <v>27</v>
      </c>
      <c r="F1350" s="3">
        <v>875592</v>
      </c>
      <c r="G1350" s="3">
        <v>179842</v>
      </c>
      <c r="H1350" s="3">
        <v>346916</v>
      </c>
      <c r="I1350" s="3">
        <v>67075</v>
      </c>
    </row>
    <row r="1351" spans="1:9">
      <c r="A1351" s="3" t="s">
        <v>1376</v>
      </c>
      <c r="B1351" s="3" t="s">
        <v>26</v>
      </c>
      <c r="C1351" s="3">
        <v>1827352</v>
      </c>
      <c r="D1351" s="3">
        <v>581318</v>
      </c>
      <c r="E1351" s="3" t="s">
        <v>27</v>
      </c>
      <c r="F1351" s="3">
        <v>1263866</v>
      </c>
      <c r="G1351" s="3">
        <v>403993</v>
      </c>
      <c r="H1351" s="3">
        <v>563486</v>
      </c>
      <c r="I1351" s="3">
        <v>177325</v>
      </c>
    </row>
    <row r="1352" spans="1:9">
      <c r="A1352" s="3" t="s">
        <v>1377</v>
      </c>
      <c r="B1352" s="3" t="s">
        <v>26</v>
      </c>
      <c r="C1352" s="3">
        <v>1255658</v>
      </c>
      <c r="D1352" s="3">
        <v>171678</v>
      </c>
      <c r="E1352" s="3" t="s">
        <v>27</v>
      </c>
      <c r="F1352" s="3">
        <v>818474</v>
      </c>
      <c r="G1352" s="3">
        <v>136381</v>
      </c>
      <c r="H1352" s="3">
        <v>437184</v>
      </c>
      <c r="I1352" s="3">
        <v>35297</v>
      </c>
    </row>
    <row r="1353" spans="1:9">
      <c r="A1353" s="3" t="s">
        <v>1378</v>
      </c>
      <c r="B1353" s="3" t="s">
        <v>26</v>
      </c>
      <c r="C1353" s="3">
        <v>1718872</v>
      </c>
      <c r="D1353" s="3">
        <v>583484</v>
      </c>
      <c r="E1353" s="3" t="s">
        <v>27</v>
      </c>
      <c r="F1353" s="3">
        <v>1401372</v>
      </c>
      <c r="G1353" s="3">
        <v>471860</v>
      </c>
      <c r="H1353" s="3">
        <v>317500</v>
      </c>
      <c r="I1353" s="3">
        <v>111624</v>
      </c>
    </row>
    <row r="1354" spans="1:9">
      <c r="A1354" s="3" t="s">
        <v>1379</v>
      </c>
      <c r="B1354" s="3" t="s">
        <v>26</v>
      </c>
      <c r="C1354" s="3">
        <v>1707787</v>
      </c>
      <c r="D1354" s="3">
        <v>644845</v>
      </c>
      <c r="E1354" s="3" t="s">
        <v>27</v>
      </c>
      <c r="F1354" s="3">
        <v>1378717</v>
      </c>
      <c r="G1354" s="3">
        <v>501796</v>
      </c>
      <c r="H1354" s="3">
        <v>329070</v>
      </c>
      <c r="I1354" s="3">
        <v>143049</v>
      </c>
    </row>
    <row r="1355" spans="1:9">
      <c r="A1355" s="3" t="s">
        <v>1380</v>
      </c>
      <c r="B1355" s="3" t="s">
        <v>26</v>
      </c>
      <c r="C1355" s="3">
        <v>1183903</v>
      </c>
      <c r="D1355" s="3">
        <v>336267</v>
      </c>
      <c r="E1355" s="3" t="s">
        <v>27</v>
      </c>
      <c r="F1355" s="3">
        <v>888302</v>
      </c>
      <c r="G1355" s="3">
        <v>264568</v>
      </c>
      <c r="H1355" s="3">
        <v>295601</v>
      </c>
      <c r="I1355" s="3">
        <v>71699</v>
      </c>
    </row>
    <row r="1356" spans="1:9">
      <c r="A1356" s="3" t="s">
        <v>1381</v>
      </c>
      <c r="B1356" s="3" t="s">
        <v>26</v>
      </c>
      <c r="C1356" s="3">
        <v>1770666</v>
      </c>
      <c r="D1356" s="3">
        <v>210556</v>
      </c>
      <c r="E1356" s="3" t="s">
        <v>27</v>
      </c>
      <c r="F1356" s="3">
        <v>1441835</v>
      </c>
      <c r="G1356" s="3">
        <v>147851</v>
      </c>
      <c r="H1356" s="3">
        <v>328831</v>
      </c>
      <c r="I1356" s="3">
        <v>62705</v>
      </c>
    </row>
    <row r="1357" spans="1:9">
      <c r="A1357" s="3" t="s">
        <v>1382</v>
      </c>
      <c r="B1357" s="3" t="s">
        <v>26</v>
      </c>
      <c r="C1357" s="3">
        <v>1372764</v>
      </c>
      <c r="D1357" s="3">
        <v>366154</v>
      </c>
      <c r="E1357" s="3" t="s">
        <v>27</v>
      </c>
      <c r="F1357" s="3">
        <v>1047349</v>
      </c>
      <c r="G1357" s="3">
        <v>307741</v>
      </c>
      <c r="H1357" s="3">
        <v>325415</v>
      </c>
      <c r="I1357" s="3">
        <v>58413</v>
      </c>
    </row>
    <row r="1358" spans="1:9">
      <c r="A1358" s="3" t="s">
        <v>1383</v>
      </c>
      <c r="B1358" s="3" t="s">
        <v>26</v>
      </c>
      <c r="C1358" s="3">
        <v>1249184</v>
      </c>
      <c r="D1358" s="3">
        <v>192969</v>
      </c>
      <c r="E1358" s="3" t="s">
        <v>27</v>
      </c>
      <c r="F1358" s="3">
        <v>784417</v>
      </c>
      <c r="G1358" s="3">
        <v>123870</v>
      </c>
      <c r="H1358" s="3">
        <v>464767</v>
      </c>
      <c r="I1358" s="3">
        <v>69099</v>
      </c>
    </row>
    <row r="1359" spans="1:9">
      <c r="A1359" s="3" t="s">
        <v>1384</v>
      </c>
      <c r="B1359" s="3" t="s">
        <v>26</v>
      </c>
      <c r="C1359" s="3">
        <v>1559950</v>
      </c>
      <c r="D1359" s="3">
        <v>448934</v>
      </c>
      <c r="E1359" s="3" t="s">
        <v>27</v>
      </c>
      <c r="F1359" s="3">
        <v>1148710</v>
      </c>
      <c r="G1359" s="3">
        <v>342477</v>
      </c>
      <c r="H1359" s="3">
        <v>411240</v>
      </c>
      <c r="I1359" s="3">
        <v>106457</v>
      </c>
    </row>
    <row r="1360" spans="1:9">
      <c r="A1360" s="3" t="s">
        <v>1385</v>
      </c>
      <c r="B1360" s="3" t="s">
        <v>26</v>
      </c>
      <c r="C1360" s="3">
        <v>1363284</v>
      </c>
      <c r="D1360" s="3">
        <v>338111</v>
      </c>
      <c r="E1360" s="3" t="s">
        <v>27</v>
      </c>
      <c r="F1360" s="3">
        <v>1039225</v>
      </c>
      <c r="G1360" s="3">
        <v>246415</v>
      </c>
      <c r="H1360" s="3">
        <v>324059</v>
      </c>
      <c r="I1360" s="3">
        <v>91696</v>
      </c>
    </row>
    <row r="1361" spans="1:9">
      <c r="A1361" s="3" t="s">
        <v>1386</v>
      </c>
      <c r="B1361" s="3" t="s">
        <v>26</v>
      </c>
      <c r="C1361" s="3">
        <v>681918</v>
      </c>
      <c r="D1361" s="3">
        <v>6217</v>
      </c>
      <c r="E1361" s="3" t="s">
        <v>27</v>
      </c>
      <c r="F1361" s="3">
        <v>356727</v>
      </c>
      <c r="G1361" s="3">
        <v>3261</v>
      </c>
      <c r="H1361" s="3">
        <v>325191</v>
      </c>
      <c r="I1361" s="3">
        <v>2956</v>
      </c>
    </row>
    <row r="1362" spans="1:9">
      <c r="A1362" s="3" t="s">
        <v>1387</v>
      </c>
      <c r="B1362" s="3" t="s">
        <v>26</v>
      </c>
      <c r="C1362" s="3">
        <v>655547</v>
      </c>
      <c r="D1362" s="3">
        <v>1454</v>
      </c>
      <c r="E1362" s="3" t="s">
        <v>27</v>
      </c>
      <c r="F1362" s="3">
        <v>278589</v>
      </c>
      <c r="G1362" s="3">
        <v>275</v>
      </c>
      <c r="H1362" s="3">
        <v>376958</v>
      </c>
      <c r="I1362" s="3">
        <v>1179</v>
      </c>
    </row>
    <row r="1363" spans="1:9">
      <c r="A1363" s="3" t="s">
        <v>1388</v>
      </c>
      <c r="B1363" s="3" t="s">
        <v>26</v>
      </c>
      <c r="C1363" s="3">
        <v>1710121</v>
      </c>
      <c r="D1363" s="3">
        <v>526664</v>
      </c>
      <c r="E1363" s="3" t="s">
        <v>27</v>
      </c>
      <c r="F1363" s="3">
        <v>1287826</v>
      </c>
      <c r="G1363" s="3">
        <v>382533</v>
      </c>
      <c r="H1363" s="3">
        <v>422295</v>
      </c>
      <c r="I1363" s="3">
        <v>144131</v>
      </c>
    </row>
    <row r="1364" spans="1:9">
      <c r="A1364" s="3" t="s">
        <v>1389</v>
      </c>
      <c r="B1364" s="3" t="s">
        <v>26</v>
      </c>
      <c r="C1364" s="3">
        <v>1173418</v>
      </c>
      <c r="D1364" s="3">
        <v>250711</v>
      </c>
      <c r="E1364" s="3" t="s">
        <v>27</v>
      </c>
      <c r="F1364" s="3">
        <v>747366</v>
      </c>
      <c r="G1364" s="3">
        <v>179400</v>
      </c>
      <c r="H1364" s="3">
        <v>426052</v>
      </c>
      <c r="I1364" s="3">
        <v>71311</v>
      </c>
    </row>
    <row r="1365" spans="1:9">
      <c r="A1365" s="3" t="s">
        <v>1390</v>
      </c>
      <c r="B1365" s="3" t="s">
        <v>26</v>
      </c>
      <c r="C1365" s="3">
        <v>1611169</v>
      </c>
      <c r="D1365" s="3">
        <v>528552</v>
      </c>
      <c r="E1365" s="3" t="s">
        <v>27</v>
      </c>
      <c r="F1365" s="3">
        <v>1052174</v>
      </c>
      <c r="G1365" s="3">
        <v>332764</v>
      </c>
      <c r="H1365" s="3">
        <v>558995</v>
      </c>
      <c r="I1365" s="3">
        <v>195788</v>
      </c>
    </row>
    <row r="1366" spans="1:9">
      <c r="A1366" s="3" t="s">
        <v>1391</v>
      </c>
      <c r="B1366" s="3" t="s">
        <v>26</v>
      </c>
      <c r="C1366" s="3">
        <v>1057778</v>
      </c>
      <c r="D1366" s="3">
        <v>7899</v>
      </c>
      <c r="E1366" s="3" t="s">
        <v>27</v>
      </c>
      <c r="F1366" s="3">
        <v>540292</v>
      </c>
      <c r="G1366" s="3">
        <v>4137</v>
      </c>
      <c r="H1366" s="3">
        <v>517486</v>
      </c>
      <c r="I1366" s="3">
        <v>3762</v>
      </c>
    </row>
    <row r="1367" spans="1:9">
      <c r="A1367" s="3" t="s">
        <v>1392</v>
      </c>
      <c r="B1367" s="3" t="s">
        <v>26</v>
      </c>
      <c r="C1367" s="3">
        <v>1932101</v>
      </c>
      <c r="D1367" s="3">
        <v>714622</v>
      </c>
      <c r="E1367" s="3" t="s">
        <v>27</v>
      </c>
      <c r="F1367" s="3">
        <v>1292144</v>
      </c>
      <c r="G1367" s="3">
        <v>469865</v>
      </c>
      <c r="H1367" s="3">
        <v>639957</v>
      </c>
      <c r="I1367" s="3">
        <v>244757</v>
      </c>
    </row>
    <row r="1368" spans="1:9">
      <c r="A1368" s="3" t="s">
        <v>1393</v>
      </c>
      <c r="B1368" s="3" t="s">
        <v>26</v>
      </c>
      <c r="C1368" s="3">
        <v>931018</v>
      </c>
      <c r="D1368" s="3">
        <v>79093</v>
      </c>
      <c r="E1368" s="3" t="s">
        <v>27</v>
      </c>
      <c r="F1368" s="3">
        <v>521892</v>
      </c>
      <c r="G1368" s="3">
        <v>47266</v>
      </c>
      <c r="H1368" s="3">
        <v>409126</v>
      </c>
      <c r="I1368" s="3">
        <v>31827</v>
      </c>
    </row>
    <row r="1369" spans="1:9">
      <c r="A1369" s="3" t="s">
        <v>1394</v>
      </c>
      <c r="B1369" s="3" t="s">
        <v>26</v>
      </c>
      <c r="C1369" s="3">
        <v>670550</v>
      </c>
      <c r="D1369" s="3">
        <v>11588</v>
      </c>
      <c r="E1369" s="3" t="s">
        <v>27</v>
      </c>
      <c r="F1369" s="3">
        <v>385878</v>
      </c>
      <c r="G1369" s="3">
        <v>7402</v>
      </c>
      <c r="H1369" s="3">
        <v>284672</v>
      </c>
      <c r="I1369" s="3">
        <v>4186</v>
      </c>
    </row>
    <row r="1370" spans="1:9">
      <c r="A1370" s="3" t="s">
        <v>1395</v>
      </c>
      <c r="B1370" s="3" t="s">
        <v>26</v>
      </c>
      <c r="C1370" s="3">
        <v>1789842</v>
      </c>
      <c r="D1370" s="3">
        <v>586809</v>
      </c>
      <c r="E1370" s="3" t="s">
        <v>27</v>
      </c>
      <c r="F1370" s="3">
        <v>1241849</v>
      </c>
      <c r="G1370" s="3">
        <v>405804</v>
      </c>
      <c r="H1370" s="3">
        <v>547993</v>
      </c>
      <c r="I1370" s="3">
        <v>181005</v>
      </c>
    </row>
    <row r="1371" spans="1:9">
      <c r="A1371" s="3" t="s">
        <v>1396</v>
      </c>
      <c r="B1371" s="3" t="s">
        <v>26</v>
      </c>
      <c r="C1371" s="3">
        <v>1644242</v>
      </c>
      <c r="D1371" s="3">
        <v>542962</v>
      </c>
      <c r="E1371" s="3" t="s">
        <v>27</v>
      </c>
      <c r="F1371" s="3">
        <v>1193789</v>
      </c>
      <c r="G1371" s="3">
        <v>397150</v>
      </c>
      <c r="H1371" s="3">
        <v>450453</v>
      </c>
      <c r="I1371" s="3">
        <v>145812</v>
      </c>
    </row>
    <row r="1372" spans="1:9">
      <c r="A1372" s="3" t="s">
        <v>1397</v>
      </c>
      <c r="B1372" s="3" t="s">
        <v>26</v>
      </c>
      <c r="C1372" s="3">
        <v>1134999</v>
      </c>
      <c r="D1372" s="3">
        <v>244255</v>
      </c>
      <c r="E1372" s="3" t="s">
        <v>27</v>
      </c>
      <c r="F1372" s="3">
        <v>804109</v>
      </c>
      <c r="G1372" s="3">
        <v>170884</v>
      </c>
      <c r="H1372" s="3">
        <v>330890</v>
      </c>
      <c r="I1372" s="3">
        <v>73371</v>
      </c>
    </row>
    <row r="1373" spans="1:9">
      <c r="A1373" s="3" t="s">
        <v>1398</v>
      </c>
      <c r="B1373" s="3" t="s">
        <v>26</v>
      </c>
      <c r="C1373" s="3">
        <v>1362366</v>
      </c>
      <c r="D1373" s="3">
        <v>418939</v>
      </c>
      <c r="E1373" s="3" t="s">
        <v>27</v>
      </c>
      <c r="F1373" s="3">
        <v>913065</v>
      </c>
      <c r="G1373" s="3">
        <v>269013</v>
      </c>
      <c r="H1373" s="3">
        <v>449301</v>
      </c>
      <c r="I1373" s="3">
        <v>149926</v>
      </c>
    </row>
    <row r="1374" spans="1:9">
      <c r="A1374" s="3" t="s">
        <v>1399</v>
      </c>
      <c r="B1374" s="3" t="s">
        <v>26</v>
      </c>
      <c r="C1374" s="3">
        <v>1024717</v>
      </c>
      <c r="D1374" s="3">
        <v>193814</v>
      </c>
      <c r="E1374" s="3" t="s">
        <v>27</v>
      </c>
      <c r="F1374" s="3">
        <v>675745</v>
      </c>
      <c r="G1374" s="3">
        <v>130405</v>
      </c>
      <c r="H1374" s="3">
        <v>348972</v>
      </c>
      <c r="I1374" s="3">
        <v>63409</v>
      </c>
    </row>
    <row r="1375" spans="1:9">
      <c r="A1375" s="3" t="s">
        <v>1400</v>
      </c>
      <c r="B1375" s="3" t="s">
        <v>26</v>
      </c>
      <c r="C1375" s="3">
        <v>1318480</v>
      </c>
      <c r="D1375" s="3">
        <v>350952</v>
      </c>
      <c r="E1375" s="3" t="s">
        <v>27</v>
      </c>
      <c r="F1375" s="3">
        <v>932573</v>
      </c>
      <c r="G1375" s="3">
        <v>271082</v>
      </c>
      <c r="H1375" s="3">
        <v>385907</v>
      </c>
      <c r="I1375" s="3">
        <v>79870</v>
      </c>
    </row>
    <row r="1376" spans="1:9">
      <c r="A1376" s="3" t="s">
        <v>1401</v>
      </c>
      <c r="B1376" s="3" t="s">
        <v>26</v>
      </c>
      <c r="C1376" s="3">
        <v>1467133</v>
      </c>
      <c r="D1376" s="3">
        <v>488009</v>
      </c>
      <c r="E1376" s="3" t="s">
        <v>27</v>
      </c>
      <c r="F1376" s="3">
        <v>1118920</v>
      </c>
      <c r="G1376" s="3">
        <v>356409</v>
      </c>
      <c r="H1376" s="3">
        <v>348213</v>
      </c>
      <c r="I1376" s="3">
        <v>131600</v>
      </c>
    </row>
    <row r="1377" spans="1:9">
      <c r="A1377" s="3" t="s">
        <v>1402</v>
      </c>
      <c r="B1377" s="3" t="s">
        <v>26</v>
      </c>
      <c r="C1377" s="3">
        <v>988289</v>
      </c>
      <c r="D1377" s="3">
        <v>243580</v>
      </c>
      <c r="E1377" s="3" t="s">
        <v>27</v>
      </c>
      <c r="F1377" s="3">
        <v>617823</v>
      </c>
      <c r="G1377" s="3">
        <v>144702</v>
      </c>
      <c r="H1377" s="3">
        <v>370466</v>
      </c>
      <c r="I1377" s="3">
        <v>98878</v>
      </c>
    </row>
    <row r="1378" spans="1:9">
      <c r="A1378" s="3" t="s">
        <v>1403</v>
      </c>
      <c r="B1378" s="3" t="s">
        <v>26</v>
      </c>
      <c r="C1378" s="3">
        <v>1372655</v>
      </c>
      <c r="D1378" s="3">
        <v>332190</v>
      </c>
      <c r="E1378" s="3" t="s">
        <v>27</v>
      </c>
      <c r="F1378" s="3">
        <v>1275471</v>
      </c>
      <c r="G1378" s="3">
        <v>295116</v>
      </c>
      <c r="H1378" s="3">
        <v>97184</v>
      </c>
      <c r="I1378" s="3">
        <v>37074</v>
      </c>
    </row>
    <row r="1379" spans="1:9">
      <c r="A1379" s="3" t="s">
        <v>1404</v>
      </c>
      <c r="B1379" s="3" t="s">
        <v>26</v>
      </c>
      <c r="C1379" s="3">
        <v>1673110</v>
      </c>
      <c r="D1379" s="3">
        <v>548899</v>
      </c>
      <c r="E1379" s="3" t="s">
        <v>27</v>
      </c>
      <c r="F1379" s="3">
        <v>1097352</v>
      </c>
      <c r="G1379" s="3">
        <v>354113</v>
      </c>
      <c r="H1379" s="3">
        <v>575758</v>
      </c>
      <c r="I1379" s="3">
        <v>194786</v>
      </c>
    </row>
    <row r="1380" spans="1:9">
      <c r="A1380" s="3" t="s">
        <v>1405</v>
      </c>
      <c r="B1380" s="3" t="s">
        <v>26</v>
      </c>
      <c r="C1380" s="3">
        <v>1476074</v>
      </c>
      <c r="D1380" s="3">
        <v>377502</v>
      </c>
      <c r="E1380" s="3" t="s">
        <v>27</v>
      </c>
      <c r="F1380" s="3">
        <v>913843</v>
      </c>
      <c r="G1380" s="3">
        <v>240022</v>
      </c>
      <c r="H1380" s="3">
        <v>562231</v>
      </c>
      <c r="I1380" s="3">
        <v>137480</v>
      </c>
    </row>
    <row r="1381" spans="1:9">
      <c r="A1381" s="3" t="s">
        <v>1406</v>
      </c>
      <c r="B1381" s="3" t="s">
        <v>26</v>
      </c>
      <c r="C1381" s="3">
        <v>1190475</v>
      </c>
      <c r="D1381" s="3">
        <v>83215</v>
      </c>
      <c r="E1381" s="3" t="s">
        <v>27</v>
      </c>
      <c r="F1381" s="3">
        <v>682080</v>
      </c>
      <c r="G1381" s="3">
        <v>56444</v>
      </c>
      <c r="H1381" s="3">
        <v>508395</v>
      </c>
      <c r="I1381" s="3">
        <v>26771</v>
      </c>
    </row>
    <row r="1382" spans="1:9">
      <c r="A1382" s="3" t="s">
        <v>1407</v>
      </c>
      <c r="B1382" s="3" t="s">
        <v>26</v>
      </c>
      <c r="C1382" s="3">
        <v>1679034</v>
      </c>
      <c r="D1382" s="3">
        <v>488863</v>
      </c>
      <c r="E1382" s="3" t="s">
        <v>27</v>
      </c>
      <c r="F1382" s="3">
        <v>1167250</v>
      </c>
      <c r="G1382" s="3">
        <v>366520</v>
      </c>
      <c r="H1382" s="3">
        <v>511784</v>
      </c>
      <c r="I1382" s="3">
        <v>122343</v>
      </c>
    </row>
    <row r="1383" spans="1:9">
      <c r="A1383" s="3" t="s">
        <v>1408</v>
      </c>
      <c r="B1383" s="3" t="s">
        <v>26</v>
      </c>
      <c r="C1383" s="3">
        <v>2118549</v>
      </c>
      <c r="D1383" s="3">
        <v>871261</v>
      </c>
      <c r="E1383" s="3" t="s">
        <v>27</v>
      </c>
      <c r="F1383" s="3">
        <v>1505438</v>
      </c>
      <c r="G1383" s="3">
        <v>597714</v>
      </c>
      <c r="H1383" s="3">
        <v>613111</v>
      </c>
      <c r="I1383" s="3">
        <v>273547</v>
      </c>
    </row>
    <row r="1384" spans="1:9">
      <c r="A1384" s="3" t="s">
        <v>1409</v>
      </c>
      <c r="B1384" s="3" t="s">
        <v>26</v>
      </c>
      <c r="C1384" s="3">
        <v>1202604</v>
      </c>
      <c r="D1384" s="3">
        <v>322949</v>
      </c>
      <c r="E1384" s="3" t="s">
        <v>27</v>
      </c>
      <c r="F1384" s="3">
        <v>941033</v>
      </c>
      <c r="G1384" s="3">
        <v>262582</v>
      </c>
      <c r="H1384" s="3">
        <v>261571</v>
      </c>
      <c r="I1384" s="3">
        <v>60367</v>
      </c>
    </row>
    <row r="1385" spans="1:9">
      <c r="A1385" s="3" t="s">
        <v>1410</v>
      </c>
      <c r="B1385" s="3" t="s">
        <v>26</v>
      </c>
      <c r="C1385" s="3">
        <v>1781585</v>
      </c>
      <c r="D1385" s="3">
        <v>685393</v>
      </c>
      <c r="E1385" s="3" t="s">
        <v>27</v>
      </c>
      <c r="F1385" s="3">
        <v>1490090</v>
      </c>
      <c r="G1385" s="3">
        <v>549615</v>
      </c>
      <c r="H1385" s="3">
        <v>291495</v>
      </c>
      <c r="I1385" s="3">
        <v>135778</v>
      </c>
    </row>
    <row r="1386" spans="1:9">
      <c r="A1386" s="3" t="s">
        <v>1411</v>
      </c>
      <c r="B1386" s="3" t="s">
        <v>26</v>
      </c>
      <c r="C1386" s="3">
        <v>1267752</v>
      </c>
      <c r="D1386" s="3">
        <v>304833</v>
      </c>
      <c r="E1386" s="3" t="s">
        <v>27</v>
      </c>
      <c r="F1386" s="3">
        <v>919878</v>
      </c>
      <c r="G1386" s="3">
        <v>237648</v>
      </c>
      <c r="H1386" s="3">
        <v>347874</v>
      </c>
      <c r="I1386" s="3">
        <v>67185</v>
      </c>
    </row>
    <row r="1387" spans="1:9">
      <c r="A1387" s="3" t="s">
        <v>1412</v>
      </c>
      <c r="B1387" s="3" t="s">
        <v>26</v>
      </c>
      <c r="C1387" s="3">
        <v>1770413</v>
      </c>
      <c r="D1387" s="3">
        <v>588287</v>
      </c>
      <c r="E1387" s="3" t="s">
        <v>27</v>
      </c>
      <c r="F1387" s="3">
        <v>1270809</v>
      </c>
      <c r="G1387" s="3">
        <v>397332</v>
      </c>
      <c r="H1387" s="3">
        <v>499604</v>
      </c>
      <c r="I1387" s="3">
        <v>190955</v>
      </c>
    </row>
    <row r="1388" spans="1:9">
      <c r="A1388" s="3" t="s">
        <v>1413</v>
      </c>
      <c r="B1388" s="3" t="s">
        <v>26</v>
      </c>
      <c r="C1388" s="3">
        <v>1698653</v>
      </c>
      <c r="D1388" s="3">
        <v>588007</v>
      </c>
      <c r="E1388" s="3" t="s">
        <v>27</v>
      </c>
      <c r="F1388" s="3">
        <v>1349876</v>
      </c>
      <c r="G1388" s="3">
        <v>498726</v>
      </c>
      <c r="H1388" s="3">
        <v>348777</v>
      </c>
      <c r="I1388" s="3">
        <v>89281</v>
      </c>
    </row>
    <row r="1389" spans="1:9">
      <c r="A1389" s="3" t="s">
        <v>1414</v>
      </c>
      <c r="B1389" s="3" t="s">
        <v>26</v>
      </c>
      <c r="C1389" s="3">
        <v>851878</v>
      </c>
      <c r="D1389" s="3">
        <v>27960</v>
      </c>
      <c r="E1389" s="3" t="s">
        <v>27</v>
      </c>
      <c r="F1389" s="3">
        <v>519550</v>
      </c>
      <c r="G1389" s="3">
        <v>16403</v>
      </c>
      <c r="H1389" s="3">
        <v>332328</v>
      </c>
      <c r="I1389" s="3">
        <v>11557</v>
      </c>
    </row>
    <row r="1390" spans="1:9">
      <c r="A1390" s="3" t="s">
        <v>1415</v>
      </c>
      <c r="B1390" s="3" t="s">
        <v>26</v>
      </c>
      <c r="C1390" s="3">
        <v>1545033</v>
      </c>
      <c r="D1390" s="3">
        <v>593590</v>
      </c>
      <c r="E1390" s="3" t="s">
        <v>27</v>
      </c>
      <c r="F1390" s="3">
        <v>1286267</v>
      </c>
      <c r="G1390" s="3">
        <v>497044</v>
      </c>
      <c r="H1390" s="3">
        <v>258766</v>
      </c>
      <c r="I1390" s="3">
        <v>96546</v>
      </c>
    </row>
    <row r="1391" spans="1:9">
      <c r="A1391" s="3" t="s">
        <v>1416</v>
      </c>
      <c r="B1391" s="3" t="s">
        <v>26</v>
      </c>
      <c r="C1391" s="3">
        <v>1496153</v>
      </c>
      <c r="D1391" s="3">
        <v>372992</v>
      </c>
      <c r="E1391" s="3" t="s">
        <v>27</v>
      </c>
      <c r="F1391" s="3">
        <v>1125005</v>
      </c>
      <c r="G1391" s="3">
        <v>295084</v>
      </c>
      <c r="H1391" s="3">
        <v>371148</v>
      </c>
      <c r="I1391" s="3">
        <v>77908</v>
      </c>
    </row>
    <row r="1392" spans="1:9">
      <c r="A1392" s="3" t="s">
        <v>1417</v>
      </c>
      <c r="B1392" s="3" t="s">
        <v>26</v>
      </c>
      <c r="C1392" s="3">
        <v>1286739</v>
      </c>
      <c r="D1392" s="3">
        <v>333741</v>
      </c>
      <c r="E1392" s="3" t="s">
        <v>27</v>
      </c>
      <c r="F1392" s="3">
        <v>851852</v>
      </c>
      <c r="G1392" s="3">
        <v>240424</v>
      </c>
      <c r="H1392" s="3">
        <v>434887</v>
      </c>
      <c r="I1392" s="3">
        <v>93317</v>
      </c>
    </row>
    <row r="1393" spans="1:9">
      <c r="A1393" s="3" t="s">
        <v>1418</v>
      </c>
      <c r="B1393" s="3" t="s">
        <v>26</v>
      </c>
      <c r="C1393" s="3">
        <v>589319</v>
      </c>
      <c r="D1393" s="3">
        <v>4560</v>
      </c>
      <c r="E1393" s="3" t="s">
        <v>27</v>
      </c>
      <c r="F1393" s="3">
        <v>313581</v>
      </c>
      <c r="G1393" s="3">
        <v>3447</v>
      </c>
      <c r="H1393" s="3">
        <v>275738</v>
      </c>
      <c r="I1393" s="3">
        <v>1113</v>
      </c>
    </row>
    <row r="1394" spans="1:9">
      <c r="A1394" s="3" t="s">
        <v>1419</v>
      </c>
      <c r="B1394" s="3" t="s">
        <v>26</v>
      </c>
      <c r="C1394" s="3">
        <v>1425170</v>
      </c>
      <c r="D1394" s="3">
        <v>455531</v>
      </c>
      <c r="E1394" s="3" t="s">
        <v>27</v>
      </c>
      <c r="F1394" s="3">
        <v>1096172</v>
      </c>
      <c r="G1394" s="3">
        <v>328851</v>
      </c>
      <c r="H1394" s="3">
        <v>328998</v>
      </c>
      <c r="I1394" s="3">
        <v>126680</v>
      </c>
    </row>
    <row r="1395" spans="1:9">
      <c r="A1395" s="3" t="s">
        <v>1420</v>
      </c>
      <c r="B1395" s="3" t="s">
        <v>26</v>
      </c>
      <c r="C1395" s="3">
        <v>1151234</v>
      </c>
      <c r="D1395" s="3">
        <v>222783</v>
      </c>
      <c r="E1395" s="3" t="s">
        <v>27</v>
      </c>
      <c r="F1395" s="3">
        <v>738636</v>
      </c>
      <c r="G1395" s="3">
        <v>147882</v>
      </c>
      <c r="H1395" s="3">
        <v>412598</v>
      </c>
      <c r="I1395" s="3">
        <v>74901</v>
      </c>
    </row>
    <row r="1396" spans="1:9">
      <c r="A1396" s="3" t="s">
        <v>1421</v>
      </c>
      <c r="B1396" s="3" t="s">
        <v>26</v>
      </c>
      <c r="C1396" s="3">
        <v>1158360</v>
      </c>
      <c r="D1396" s="3">
        <v>151746</v>
      </c>
      <c r="E1396" s="3" t="s">
        <v>27</v>
      </c>
      <c r="F1396" s="3">
        <v>720682</v>
      </c>
      <c r="G1396" s="3">
        <v>109570</v>
      </c>
      <c r="H1396" s="3">
        <v>437678</v>
      </c>
      <c r="I1396" s="3">
        <v>42176</v>
      </c>
    </row>
    <row r="1397" spans="1:9">
      <c r="A1397" s="3" t="s">
        <v>1422</v>
      </c>
      <c r="B1397" s="3" t="s">
        <v>26</v>
      </c>
      <c r="C1397" s="3">
        <v>2129044</v>
      </c>
      <c r="D1397" s="3">
        <v>861967</v>
      </c>
      <c r="E1397" s="3" t="s">
        <v>27</v>
      </c>
      <c r="F1397" s="3">
        <v>1531271</v>
      </c>
      <c r="G1397" s="3">
        <v>595732</v>
      </c>
      <c r="H1397" s="3">
        <v>597773</v>
      </c>
      <c r="I1397" s="3">
        <v>266235</v>
      </c>
    </row>
    <row r="1398" spans="1:9">
      <c r="A1398" s="3" t="s">
        <v>1423</v>
      </c>
      <c r="B1398" s="3" t="s">
        <v>26</v>
      </c>
      <c r="C1398" s="3">
        <v>1818402</v>
      </c>
      <c r="D1398" s="3">
        <v>643772</v>
      </c>
      <c r="E1398" s="3" t="s">
        <v>27</v>
      </c>
      <c r="F1398" s="3">
        <v>1458933</v>
      </c>
      <c r="G1398" s="3">
        <v>502798</v>
      </c>
      <c r="H1398" s="3">
        <v>359469</v>
      </c>
      <c r="I1398" s="3">
        <v>140974</v>
      </c>
    </row>
    <row r="1399" spans="1:9">
      <c r="A1399" s="3" t="s">
        <v>1424</v>
      </c>
      <c r="B1399" s="3" t="s">
        <v>26</v>
      </c>
      <c r="C1399" s="3">
        <v>2356733</v>
      </c>
      <c r="D1399" s="3">
        <v>958303</v>
      </c>
      <c r="E1399" s="3" t="s">
        <v>27</v>
      </c>
      <c r="F1399" s="3">
        <v>1587442</v>
      </c>
      <c r="G1399" s="3">
        <v>625422</v>
      </c>
      <c r="H1399" s="3">
        <v>769291</v>
      </c>
      <c r="I1399" s="3">
        <v>332881</v>
      </c>
    </row>
    <row r="1400" spans="1:9">
      <c r="A1400" s="3" t="s">
        <v>1425</v>
      </c>
      <c r="B1400" s="3" t="s">
        <v>26</v>
      </c>
      <c r="C1400" s="3">
        <v>1030639</v>
      </c>
      <c r="D1400" s="3">
        <v>3971</v>
      </c>
      <c r="E1400" s="3" t="s">
        <v>27</v>
      </c>
      <c r="F1400" s="3">
        <v>402681</v>
      </c>
      <c r="G1400" s="3">
        <v>1624</v>
      </c>
      <c r="H1400" s="3">
        <v>627958</v>
      </c>
      <c r="I1400" s="3">
        <v>2347</v>
      </c>
    </row>
    <row r="1401" spans="1:9">
      <c r="A1401" s="3" t="s">
        <v>1426</v>
      </c>
      <c r="B1401" s="3" t="s">
        <v>26</v>
      </c>
      <c r="C1401" s="3">
        <v>1883774</v>
      </c>
      <c r="D1401" s="3">
        <v>806324</v>
      </c>
      <c r="E1401" s="3" t="s">
        <v>27</v>
      </c>
      <c r="F1401" s="3">
        <v>1494611</v>
      </c>
      <c r="G1401" s="3">
        <v>606818</v>
      </c>
      <c r="H1401" s="3">
        <v>389163</v>
      </c>
      <c r="I1401" s="3">
        <v>199506</v>
      </c>
    </row>
    <row r="1402" spans="1:9">
      <c r="A1402" s="3" t="s">
        <v>1427</v>
      </c>
      <c r="B1402" s="3" t="s">
        <v>26</v>
      </c>
      <c r="C1402" s="3">
        <v>1964987</v>
      </c>
      <c r="D1402" s="3">
        <v>735679</v>
      </c>
      <c r="E1402" s="3" t="s">
        <v>27</v>
      </c>
      <c r="F1402" s="3">
        <v>1522649</v>
      </c>
      <c r="G1402" s="3">
        <v>551090</v>
      </c>
      <c r="H1402" s="3">
        <v>442338</v>
      </c>
      <c r="I1402" s="3">
        <v>184589</v>
      </c>
    </row>
    <row r="1403" spans="1:9">
      <c r="A1403" s="3" t="s">
        <v>1428</v>
      </c>
      <c r="B1403" s="3" t="s">
        <v>26</v>
      </c>
      <c r="C1403" s="3">
        <v>865388</v>
      </c>
      <c r="D1403" s="3">
        <v>20550</v>
      </c>
      <c r="E1403" s="3" t="s">
        <v>27</v>
      </c>
      <c r="F1403" s="3">
        <v>415663</v>
      </c>
      <c r="G1403" s="3">
        <v>8104</v>
      </c>
      <c r="H1403" s="3">
        <v>449725</v>
      </c>
      <c r="I1403" s="3">
        <v>12446</v>
      </c>
    </row>
    <row r="1404" spans="1:9">
      <c r="A1404" s="3" t="s">
        <v>1429</v>
      </c>
      <c r="B1404" s="3" t="s">
        <v>26</v>
      </c>
      <c r="C1404" s="3">
        <v>986926</v>
      </c>
      <c r="D1404" s="3">
        <v>125395</v>
      </c>
      <c r="E1404" s="3" t="s">
        <v>27</v>
      </c>
      <c r="F1404" s="3">
        <v>574671</v>
      </c>
      <c r="G1404" s="3">
        <v>85799</v>
      </c>
      <c r="H1404" s="3">
        <v>412255</v>
      </c>
      <c r="I1404" s="3">
        <v>39596</v>
      </c>
    </row>
    <row r="1405" spans="1:9">
      <c r="A1405" s="3" t="s">
        <v>1430</v>
      </c>
      <c r="B1405" s="3" t="s">
        <v>26</v>
      </c>
      <c r="C1405" s="3">
        <v>2181440</v>
      </c>
      <c r="D1405" s="3">
        <v>904342</v>
      </c>
      <c r="E1405" s="3" t="s">
        <v>27</v>
      </c>
      <c r="F1405" s="3">
        <v>1748996</v>
      </c>
      <c r="G1405" s="3">
        <v>709162</v>
      </c>
      <c r="H1405" s="3">
        <v>432444</v>
      </c>
      <c r="I1405" s="3">
        <v>195180</v>
      </c>
    </row>
    <row r="1406" spans="1:9">
      <c r="A1406" s="3" t="s">
        <v>1431</v>
      </c>
      <c r="B1406" s="3" t="s">
        <v>26</v>
      </c>
      <c r="C1406" s="3">
        <v>1984961</v>
      </c>
      <c r="D1406" s="3">
        <v>685821</v>
      </c>
      <c r="E1406" s="3" t="s">
        <v>27</v>
      </c>
      <c r="F1406" s="3">
        <v>1346561</v>
      </c>
      <c r="G1406" s="3">
        <v>456340</v>
      </c>
      <c r="H1406" s="3">
        <v>638400</v>
      </c>
      <c r="I1406" s="3">
        <v>229481</v>
      </c>
    </row>
    <row r="1407" spans="1:9">
      <c r="A1407" s="3" t="s">
        <v>1432</v>
      </c>
      <c r="B1407" s="3" t="s">
        <v>26</v>
      </c>
      <c r="C1407" s="3">
        <v>1472237</v>
      </c>
      <c r="D1407" s="3">
        <v>443803</v>
      </c>
      <c r="E1407" s="3" t="s">
        <v>27</v>
      </c>
      <c r="F1407" s="3">
        <v>1273092</v>
      </c>
      <c r="G1407" s="3">
        <v>367925</v>
      </c>
      <c r="H1407" s="3">
        <v>199145</v>
      </c>
      <c r="I1407" s="3">
        <v>75878</v>
      </c>
    </row>
    <row r="1408" spans="1:9">
      <c r="A1408" s="3" t="s">
        <v>1433</v>
      </c>
      <c r="B1408" s="3" t="s">
        <v>26</v>
      </c>
      <c r="C1408" s="3">
        <v>1577033</v>
      </c>
      <c r="D1408" s="3">
        <v>484952</v>
      </c>
      <c r="E1408" s="3" t="s">
        <v>27</v>
      </c>
      <c r="F1408" s="3">
        <v>1186370</v>
      </c>
      <c r="G1408" s="3">
        <v>375798</v>
      </c>
      <c r="H1408" s="3">
        <v>390663</v>
      </c>
      <c r="I1408" s="3">
        <v>109154</v>
      </c>
    </row>
    <row r="1409" spans="1:9">
      <c r="A1409" s="3" t="s">
        <v>1434</v>
      </c>
      <c r="B1409" s="3" t="s">
        <v>26</v>
      </c>
      <c r="C1409" s="3">
        <v>1716534</v>
      </c>
      <c r="D1409" s="3">
        <v>644596</v>
      </c>
      <c r="E1409" s="3" t="s">
        <v>27</v>
      </c>
      <c r="F1409" s="3">
        <v>1430211</v>
      </c>
      <c r="G1409" s="3">
        <v>524810</v>
      </c>
      <c r="H1409" s="3">
        <v>286323</v>
      </c>
      <c r="I1409" s="3">
        <v>119786</v>
      </c>
    </row>
    <row r="1410" spans="1:9">
      <c r="A1410" s="3" t="s">
        <v>1435</v>
      </c>
      <c r="B1410" s="3" t="s">
        <v>26</v>
      </c>
      <c r="C1410" s="3">
        <v>696517</v>
      </c>
      <c r="D1410" s="3">
        <v>2264</v>
      </c>
      <c r="E1410" s="3" t="s">
        <v>27</v>
      </c>
      <c r="F1410" s="3">
        <v>356205</v>
      </c>
      <c r="G1410" s="3">
        <v>844</v>
      </c>
      <c r="H1410" s="3">
        <v>340312</v>
      </c>
      <c r="I1410" s="3">
        <v>1420</v>
      </c>
    </row>
    <row r="1411" spans="1:9">
      <c r="A1411" s="3" t="s">
        <v>1436</v>
      </c>
      <c r="B1411" s="3" t="s">
        <v>26</v>
      </c>
      <c r="C1411" s="3">
        <v>1004107</v>
      </c>
      <c r="D1411" s="3">
        <v>31086</v>
      </c>
      <c r="E1411" s="3" t="s">
        <v>27</v>
      </c>
      <c r="F1411" s="3">
        <v>524837</v>
      </c>
      <c r="G1411" s="3">
        <v>19361</v>
      </c>
      <c r="H1411" s="3">
        <v>479270</v>
      </c>
      <c r="I1411" s="3">
        <v>11725</v>
      </c>
    </row>
    <row r="1412" spans="1:9">
      <c r="A1412" s="3" t="s">
        <v>1437</v>
      </c>
      <c r="B1412" s="3" t="s">
        <v>26</v>
      </c>
      <c r="C1412" s="3">
        <v>1558714</v>
      </c>
      <c r="D1412" s="3">
        <v>538219</v>
      </c>
      <c r="E1412" s="3" t="s">
        <v>27</v>
      </c>
      <c r="F1412" s="3">
        <v>1211298</v>
      </c>
      <c r="G1412" s="3">
        <v>396616</v>
      </c>
      <c r="H1412" s="3">
        <v>347416</v>
      </c>
      <c r="I1412" s="3">
        <v>141603</v>
      </c>
    </row>
    <row r="1413" spans="1:9">
      <c r="A1413" s="3" t="s">
        <v>1438</v>
      </c>
      <c r="B1413" s="3" t="s">
        <v>26</v>
      </c>
      <c r="C1413" s="3">
        <v>2182274</v>
      </c>
      <c r="D1413" s="3">
        <v>831256</v>
      </c>
      <c r="E1413" s="3" t="s">
        <v>27</v>
      </c>
      <c r="F1413" s="3">
        <v>1568675</v>
      </c>
      <c r="G1413" s="3">
        <v>580208</v>
      </c>
      <c r="H1413" s="3">
        <v>613599</v>
      </c>
      <c r="I1413" s="3">
        <v>251048</v>
      </c>
    </row>
    <row r="1414" spans="1:9">
      <c r="A1414" s="3" t="s">
        <v>1439</v>
      </c>
      <c r="B1414" s="3" t="s">
        <v>26</v>
      </c>
      <c r="C1414" s="3">
        <v>1422465</v>
      </c>
      <c r="D1414" s="3">
        <v>366576</v>
      </c>
      <c r="E1414" s="3" t="s">
        <v>27</v>
      </c>
      <c r="F1414" s="3">
        <v>1080843</v>
      </c>
      <c r="G1414" s="3">
        <v>290163</v>
      </c>
      <c r="H1414" s="3">
        <v>341622</v>
      </c>
      <c r="I1414" s="3">
        <v>76413</v>
      </c>
    </row>
    <row r="1415" spans="1:9">
      <c r="A1415" s="3" t="s">
        <v>1440</v>
      </c>
      <c r="B1415" s="3" t="s">
        <v>26</v>
      </c>
      <c r="C1415" s="3">
        <v>665364</v>
      </c>
      <c r="D1415" s="3">
        <v>675</v>
      </c>
      <c r="E1415" s="3" t="s">
        <v>27</v>
      </c>
      <c r="F1415" s="3">
        <v>342230</v>
      </c>
      <c r="G1415" s="3">
        <v>341</v>
      </c>
      <c r="H1415" s="3">
        <v>323134</v>
      </c>
      <c r="I1415" s="3">
        <v>334</v>
      </c>
    </row>
    <row r="1416" spans="1:9">
      <c r="A1416" s="3" t="s">
        <v>1441</v>
      </c>
      <c r="B1416" s="3" t="s">
        <v>26</v>
      </c>
      <c r="C1416" s="3">
        <v>1973207</v>
      </c>
      <c r="D1416" s="3">
        <v>785619</v>
      </c>
      <c r="E1416" s="3" t="s">
        <v>27</v>
      </c>
      <c r="F1416" s="3">
        <v>1596591</v>
      </c>
      <c r="G1416" s="3">
        <v>615947</v>
      </c>
      <c r="H1416" s="3">
        <v>376616</v>
      </c>
      <c r="I1416" s="3">
        <v>169672</v>
      </c>
    </row>
    <row r="1417" spans="1:9">
      <c r="A1417" s="3" t="s">
        <v>1442</v>
      </c>
      <c r="B1417" s="3" t="s">
        <v>26</v>
      </c>
      <c r="C1417" s="3">
        <v>1703877</v>
      </c>
      <c r="D1417" s="3">
        <v>568381</v>
      </c>
      <c r="E1417" s="3" t="s">
        <v>27</v>
      </c>
      <c r="F1417" s="3">
        <v>1149571</v>
      </c>
      <c r="G1417" s="3">
        <v>395236</v>
      </c>
      <c r="H1417" s="3">
        <v>554306</v>
      </c>
      <c r="I1417" s="3">
        <v>173145</v>
      </c>
    </row>
    <row r="1418" spans="1:9">
      <c r="A1418" s="3" t="s">
        <v>1443</v>
      </c>
      <c r="B1418" s="3" t="s">
        <v>26</v>
      </c>
      <c r="C1418" s="3">
        <v>1957187</v>
      </c>
      <c r="D1418" s="3">
        <v>628597</v>
      </c>
      <c r="E1418" s="3" t="s">
        <v>27</v>
      </c>
      <c r="F1418" s="3">
        <v>1452238</v>
      </c>
      <c r="G1418" s="3">
        <v>440492</v>
      </c>
      <c r="H1418" s="3">
        <v>504949</v>
      </c>
      <c r="I1418" s="3">
        <v>188105</v>
      </c>
    </row>
    <row r="1419" spans="1:9">
      <c r="A1419" s="3" t="s">
        <v>1444</v>
      </c>
      <c r="B1419" s="3" t="s">
        <v>26</v>
      </c>
      <c r="C1419" s="3">
        <v>1247391</v>
      </c>
      <c r="D1419" s="3">
        <v>5792</v>
      </c>
      <c r="E1419" s="3" t="s">
        <v>27</v>
      </c>
      <c r="F1419" s="3">
        <v>646412</v>
      </c>
      <c r="G1419" s="3">
        <v>1911</v>
      </c>
      <c r="H1419" s="3">
        <v>600979</v>
      </c>
      <c r="I1419" s="3">
        <v>3881</v>
      </c>
    </row>
    <row r="1420" spans="1:9">
      <c r="A1420" s="3" t="s">
        <v>1445</v>
      </c>
      <c r="B1420" s="3" t="s">
        <v>26</v>
      </c>
      <c r="C1420" s="3">
        <v>2308045</v>
      </c>
      <c r="D1420" s="3">
        <v>980608</v>
      </c>
      <c r="E1420" s="3" t="s">
        <v>27</v>
      </c>
      <c r="F1420" s="3">
        <v>1631958</v>
      </c>
      <c r="G1420" s="3">
        <v>680796</v>
      </c>
      <c r="H1420" s="3">
        <v>676087</v>
      </c>
      <c r="I1420" s="3">
        <v>299812</v>
      </c>
    </row>
    <row r="1421" spans="1:9">
      <c r="A1421" s="3" t="s">
        <v>1446</v>
      </c>
      <c r="B1421" s="3" t="s">
        <v>26</v>
      </c>
      <c r="C1421" s="3">
        <v>1066764</v>
      </c>
      <c r="D1421" s="3">
        <v>13529</v>
      </c>
      <c r="E1421" s="3" t="s">
        <v>27</v>
      </c>
      <c r="F1421" s="3">
        <v>597070</v>
      </c>
      <c r="G1421" s="3">
        <v>7003</v>
      </c>
      <c r="H1421" s="3">
        <v>469694</v>
      </c>
      <c r="I1421" s="3">
        <v>6526</v>
      </c>
    </row>
    <row r="1422" spans="1:9">
      <c r="A1422" s="3" t="s">
        <v>1447</v>
      </c>
      <c r="B1422" s="3" t="s">
        <v>26</v>
      </c>
      <c r="C1422" s="3">
        <v>1979303</v>
      </c>
      <c r="D1422" s="3">
        <v>623248</v>
      </c>
      <c r="E1422" s="3" t="s">
        <v>27</v>
      </c>
      <c r="F1422" s="3">
        <v>1250816</v>
      </c>
      <c r="G1422" s="3">
        <v>393376</v>
      </c>
      <c r="H1422" s="3">
        <v>728487</v>
      </c>
      <c r="I1422" s="3">
        <v>229872</v>
      </c>
    </row>
    <row r="1423" spans="1:9">
      <c r="A1423" s="3" t="s">
        <v>1448</v>
      </c>
      <c r="B1423" s="3" t="s">
        <v>26</v>
      </c>
      <c r="C1423" s="3">
        <v>1818395</v>
      </c>
      <c r="D1423" s="3">
        <v>615724</v>
      </c>
      <c r="E1423" s="3" t="s">
        <v>27</v>
      </c>
      <c r="F1423" s="3">
        <v>1304278</v>
      </c>
      <c r="G1423" s="3">
        <v>423696</v>
      </c>
      <c r="H1423" s="3">
        <v>514117</v>
      </c>
      <c r="I1423" s="3">
        <v>192028</v>
      </c>
    </row>
    <row r="1424" spans="1:9">
      <c r="A1424" s="3" t="s">
        <v>1449</v>
      </c>
      <c r="B1424" s="3" t="s">
        <v>26</v>
      </c>
      <c r="C1424" s="3">
        <v>1808163</v>
      </c>
      <c r="D1424" s="3">
        <v>597990</v>
      </c>
      <c r="E1424" s="3" t="s">
        <v>27</v>
      </c>
      <c r="F1424" s="3">
        <v>1406882</v>
      </c>
      <c r="G1424" s="3">
        <v>443074</v>
      </c>
      <c r="H1424" s="3">
        <v>401281</v>
      </c>
      <c r="I1424" s="3">
        <v>154916</v>
      </c>
    </row>
    <row r="1425" spans="1:9">
      <c r="A1425" s="3" t="s">
        <v>1450</v>
      </c>
      <c r="B1425" s="3" t="s">
        <v>26</v>
      </c>
      <c r="C1425" s="3">
        <v>1746200</v>
      </c>
      <c r="D1425" s="3">
        <v>680304</v>
      </c>
      <c r="E1425" s="3" t="s">
        <v>27</v>
      </c>
      <c r="F1425" s="3">
        <v>1479858</v>
      </c>
      <c r="G1425" s="3">
        <v>553186</v>
      </c>
      <c r="H1425" s="3">
        <v>266342</v>
      </c>
      <c r="I1425" s="3">
        <v>127118</v>
      </c>
    </row>
    <row r="1426" spans="1:9">
      <c r="A1426" s="3" t="s">
        <v>1451</v>
      </c>
      <c r="B1426" s="3" t="s">
        <v>26</v>
      </c>
      <c r="C1426" s="3">
        <v>1000939</v>
      </c>
      <c r="D1426" s="3">
        <v>16306</v>
      </c>
      <c r="E1426" s="3" t="s">
        <v>27</v>
      </c>
      <c r="F1426" s="3">
        <v>527300</v>
      </c>
      <c r="G1426" s="3">
        <v>8129</v>
      </c>
      <c r="H1426" s="3">
        <v>473639</v>
      </c>
      <c r="I1426" s="3">
        <v>8177</v>
      </c>
    </row>
    <row r="1427" spans="1:9">
      <c r="A1427" s="3" t="s">
        <v>1452</v>
      </c>
      <c r="B1427" s="3" t="s">
        <v>26</v>
      </c>
      <c r="C1427" s="3">
        <v>1754301</v>
      </c>
      <c r="D1427" s="3">
        <v>444785</v>
      </c>
      <c r="E1427" s="3" t="s">
        <v>27</v>
      </c>
      <c r="F1427" s="3">
        <v>1170713</v>
      </c>
      <c r="G1427" s="3">
        <v>306843</v>
      </c>
      <c r="H1427" s="3">
        <v>583588</v>
      </c>
      <c r="I1427" s="3">
        <v>137942</v>
      </c>
    </row>
    <row r="1428" spans="1:9">
      <c r="A1428" s="3" t="s">
        <v>1453</v>
      </c>
      <c r="B1428" s="3" t="s">
        <v>26</v>
      </c>
      <c r="C1428" s="3">
        <v>1684860</v>
      </c>
      <c r="D1428" s="3">
        <v>228577</v>
      </c>
      <c r="E1428" s="3" t="s">
        <v>27</v>
      </c>
      <c r="F1428" s="3">
        <v>1026506</v>
      </c>
      <c r="G1428" s="3">
        <v>151076</v>
      </c>
      <c r="H1428" s="3">
        <v>658354</v>
      </c>
      <c r="I1428" s="3">
        <v>77501</v>
      </c>
    </row>
    <row r="1429" spans="1:9">
      <c r="A1429" s="3" t="s">
        <v>1454</v>
      </c>
      <c r="B1429" s="3" t="s">
        <v>26</v>
      </c>
      <c r="C1429" s="3">
        <v>16409</v>
      </c>
      <c r="D1429" s="3">
        <v>2109</v>
      </c>
      <c r="E1429" s="3" t="s">
        <v>27</v>
      </c>
      <c r="F1429" s="3">
        <v>16409</v>
      </c>
      <c r="G1429" s="3">
        <v>2109</v>
      </c>
      <c r="H1429" s="3">
        <v>0</v>
      </c>
      <c r="I1429" s="3">
        <v>0</v>
      </c>
    </row>
    <row r="1430" spans="1:9">
      <c r="A1430" s="3" t="s">
        <v>1455</v>
      </c>
      <c r="B1430" s="3" t="s">
        <v>26</v>
      </c>
      <c r="C1430" s="3">
        <v>1360490</v>
      </c>
      <c r="D1430" s="3">
        <v>98994</v>
      </c>
      <c r="E1430" s="3" t="s">
        <v>27</v>
      </c>
      <c r="F1430" s="3">
        <v>729825</v>
      </c>
      <c r="G1430" s="3">
        <v>55687</v>
      </c>
      <c r="H1430" s="3">
        <v>630665</v>
      </c>
      <c r="I1430" s="3">
        <v>43307</v>
      </c>
    </row>
    <row r="1431" spans="1:9">
      <c r="A1431" s="3" t="s">
        <v>1456</v>
      </c>
      <c r="B1431" s="3" t="s">
        <v>26</v>
      </c>
      <c r="C1431" s="3">
        <v>1590524</v>
      </c>
      <c r="D1431" s="3">
        <v>429052</v>
      </c>
      <c r="E1431" s="3" t="s">
        <v>27</v>
      </c>
      <c r="F1431" s="3">
        <v>1224940</v>
      </c>
      <c r="G1431" s="3">
        <v>337636</v>
      </c>
      <c r="H1431" s="3">
        <v>365584</v>
      </c>
      <c r="I1431" s="3">
        <v>91416</v>
      </c>
    </row>
    <row r="1432" spans="1:9">
      <c r="A1432" s="3" t="s">
        <v>1457</v>
      </c>
      <c r="B1432" s="3" t="s">
        <v>26</v>
      </c>
      <c r="C1432" s="3">
        <v>2186494</v>
      </c>
      <c r="D1432" s="3">
        <v>569338</v>
      </c>
      <c r="E1432" s="3" t="s">
        <v>27</v>
      </c>
      <c r="F1432" s="3">
        <v>1400052</v>
      </c>
      <c r="G1432" s="3">
        <v>376593</v>
      </c>
      <c r="H1432" s="3">
        <v>786442</v>
      </c>
      <c r="I1432" s="3">
        <v>192745</v>
      </c>
    </row>
    <row r="1433" spans="1:9">
      <c r="A1433" s="3" t="s">
        <v>1458</v>
      </c>
      <c r="B1433" s="3" t="s">
        <v>26</v>
      </c>
      <c r="C1433" s="3">
        <v>1666391</v>
      </c>
      <c r="D1433" s="3">
        <v>293204</v>
      </c>
      <c r="E1433" s="3" t="s">
        <v>27</v>
      </c>
      <c r="F1433" s="3">
        <v>1127978</v>
      </c>
      <c r="G1433" s="3">
        <v>208381</v>
      </c>
      <c r="H1433" s="3">
        <v>538413</v>
      </c>
      <c r="I1433" s="3">
        <v>84823</v>
      </c>
    </row>
    <row r="1434" spans="1:9">
      <c r="A1434" s="3" t="s">
        <v>1459</v>
      </c>
      <c r="B1434" s="3" t="s">
        <v>26</v>
      </c>
      <c r="C1434" s="3">
        <v>2084282</v>
      </c>
      <c r="D1434" s="3">
        <v>533860</v>
      </c>
      <c r="E1434" s="3" t="s">
        <v>27</v>
      </c>
      <c r="F1434" s="3">
        <v>1504906</v>
      </c>
      <c r="G1434" s="3">
        <v>385616</v>
      </c>
      <c r="H1434" s="3">
        <v>579376</v>
      </c>
      <c r="I1434" s="3">
        <v>148244</v>
      </c>
    </row>
    <row r="1435" spans="1:9">
      <c r="A1435" s="3" t="s">
        <v>1460</v>
      </c>
      <c r="B1435" s="3" t="s">
        <v>26</v>
      </c>
      <c r="C1435" s="3">
        <v>2215</v>
      </c>
      <c r="D1435" s="3">
        <v>355</v>
      </c>
      <c r="E1435" s="3" t="s">
        <v>27</v>
      </c>
      <c r="F1435" s="3">
        <v>2215</v>
      </c>
      <c r="G1435" s="3">
        <v>355</v>
      </c>
      <c r="H1435" s="3">
        <v>0</v>
      </c>
      <c r="I1435" s="3">
        <v>0</v>
      </c>
    </row>
    <row r="1436" spans="1:9">
      <c r="A1436" s="3" t="s">
        <v>1461</v>
      </c>
      <c r="B1436" s="3" t="s">
        <v>26</v>
      </c>
      <c r="C1436" s="3">
        <v>1942120</v>
      </c>
      <c r="D1436" s="3">
        <v>430563</v>
      </c>
      <c r="E1436" s="3" t="s">
        <v>27</v>
      </c>
      <c r="F1436" s="3">
        <v>1255508</v>
      </c>
      <c r="G1436" s="3">
        <v>291848</v>
      </c>
      <c r="H1436" s="3">
        <v>686612</v>
      </c>
      <c r="I1436" s="3">
        <v>138715</v>
      </c>
    </row>
    <row r="1437" spans="1:9">
      <c r="A1437" s="3" t="s">
        <v>1462</v>
      </c>
      <c r="B1437" s="3" t="s">
        <v>26</v>
      </c>
      <c r="C1437" s="3">
        <v>1943537</v>
      </c>
      <c r="D1437" s="3">
        <v>578609</v>
      </c>
      <c r="E1437" s="3" t="s">
        <v>27</v>
      </c>
      <c r="F1437" s="3">
        <v>1318661</v>
      </c>
      <c r="G1437" s="3">
        <v>400361</v>
      </c>
      <c r="H1437" s="3">
        <v>624876</v>
      </c>
      <c r="I1437" s="3">
        <v>178248</v>
      </c>
    </row>
    <row r="1438" spans="1:9">
      <c r="A1438" s="3" t="s">
        <v>1463</v>
      </c>
      <c r="B1438" s="3" t="s">
        <v>26</v>
      </c>
      <c r="C1438" s="3">
        <v>2183558</v>
      </c>
      <c r="D1438" s="3">
        <v>561082</v>
      </c>
      <c r="E1438" s="3" t="s">
        <v>27</v>
      </c>
      <c r="F1438" s="3">
        <v>1727252</v>
      </c>
      <c r="G1438" s="3">
        <v>431884</v>
      </c>
      <c r="H1438" s="3">
        <v>456306</v>
      </c>
      <c r="I1438" s="3">
        <v>129198</v>
      </c>
    </row>
    <row r="1439" spans="1:9">
      <c r="A1439" s="3" t="s">
        <v>1464</v>
      </c>
      <c r="B1439" s="3" t="s">
        <v>26</v>
      </c>
      <c r="C1439" s="3">
        <v>2127805</v>
      </c>
      <c r="D1439" s="3">
        <v>502781</v>
      </c>
      <c r="E1439" s="3" t="s">
        <v>27</v>
      </c>
      <c r="F1439" s="3">
        <v>1448516</v>
      </c>
      <c r="G1439" s="3">
        <v>348257</v>
      </c>
      <c r="H1439" s="3">
        <v>679289</v>
      </c>
      <c r="I1439" s="3">
        <v>154524</v>
      </c>
    </row>
    <row r="1440" spans="1:9">
      <c r="A1440" s="3" t="s">
        <v>1465</v>
      </c>
      <c r="B1440" s="3" t="s">
        <v>26</v>
      </c>
      <c r="C1440" s="3">
        <v>1352229</v>
      </c>
      <c r="D1440" s="3">
        <v>406690</v>
      </c>
      <c r="E1440" s="3" t="s">
        <v>27</v>
      </c>
      <c r="F1440" s="3">
        <v>1124647</v>
      </c>
      <c r="G1440" s="3">
        <v>317009</v>
      </c>
      <c r="H1440" s="3">
        <v>227582</v>
      </c>
      <c r="I1440" s="3">
        <v>89681</v>
      </c>
    </row>
    <row r="1441" spans="1:9">
      <c r="A1441" s="3" t="s">
        <v>1466</v>
      </c>
      <c r="B1441" s="3" t="s">
        <v>26</v>
      </c>
      <c r="C1441" s="3">
        <v>2743718</v>
      </c>
      <c r="D1441" s="3">
        <v>1003329</v>
      </c>
      <c r="E1441" s="3" t="s">
        <v>27</v>
      </c>
      <c r="F1441" s="3">
        <v>1907090</v>
      </c>
      <c r="G1441" s="3">
        <v>690336</v>
      </c>
      <c r="H1441" s="3">
        <v>836628</v>
      </c>
      <c r="I1441" s="3">
        <v>312993</v>
      </c>
    </row>
    <row r="1442" spans="1:9">
      <c r="A1442" s="3" t="s">
        <v>1467</v>
      </c>
      <c r="B1442" s="3" t="s">
        <v>26</v>
      </c>
      <c r="C1442" s="3">
        <v>2761177</v>
      </c>
      <c r="D1442" s="3">
        <v>927515</v>
      </c>
      <c r="E1442" s="3" t="s">
        <v>27</v>
      </c>
      <c r="F1442" s="3">
        <v>1810246</v>
      </c>
      <c r="G1442" s="3">
        <v>599347</v>
      </c>
      <c r="H1442" s="3">
        <v>950931</v>
      </c>
      <c r="I1442" s="3">
        <v>328168</v>
      </c>
    </row>
    <row r="1443" spans="1:9">
      <c r="A1443" s="3" t="s">
        <v>1468</v>
      </c>
      <c r="B1443" s="3" t="s">
        <v>26</v>
      </c>
      <c r="C1443" s="3">
        <v>945563</v>
      </c>
      <c r="D1443" s="3">
        <v>27116</v>
      </c>
      <c r="E1443" s="3" t="s">
        <v>27</v>
      </c>
      <c r="F1443" s="3">
        <v>511610</v>
      </c>
      <c r="G1443" s="3">
        <v>14978</v>
      </c>
      <c r="H1443" s="3">
        <v>433953</v>
      </c>
      <c r="I1443" s="3">
        <v>12138</v>
      </c>
    </row>
    <row r="1444" spans="1:9">
      <c r="A1444" s="3" t="s">
        <v>1469</v>
      </c>
      <c r="B1444" s="3" t="s">
        <v>26</v>
      </c>
      <c r="C1444" s="3">
        <v>1928930</v>
      </c>
      <c r="D1444" s="3">
        <v>396885</v>
      </c>
      <c r="E1444" s="3" t="s">
        <v>27</v>
      </c>
      <c r="F1444" s="3">
        <v>1335297</v>
      </c>
      <c r="G1444" s="3">
        <v>305429</v>
      </c>
      <c r="H1444" s="3">
        <v>593633</v>
      </c>
      <c r="I1444" s="3">
        <v>91456</v>
      </c>
    </row>
    <row r="1445" spans="1:9">
      <c r="A1445" s="3" t="s">
        <v>1470</v>
      </c>
      <c r="B1445" s="3" t="s">
        <v>26</v>
      </c>
      <c r="C1445" s="3">
        <v>2145092</v>
      </c>
      <c r="D1445" s="3">
        <v>595269</v>
      </c>
      <c r="E1445" s="3" t="s">
        <v>27</v>
      </c>
      <c r="F1445" s="3">
        <v>1514632</v>
      </c>
      <c r="G1445" s="3">
        <v>424437</v>
      </c>
      <c r="H1445" s="3">
        <v>630460</v>
      </c>
      <c r="I1445" s="3">
        <v>170832</v>
      </c>
    </row>
    <row r="1446" spans="1:9">
      <c r="A1446" s="3" t="s">
        <v>1471</v>
      </c>
      <c r="B1446" s="3" t="s">
        <v>26</v>
      </c>
      <c r="C1446" s="3">
        <v>2077580</v>
      </c>
      <c r="D1446" s="3">
        <v>780719</v>
      </c>
      <c r="E1446" s="3" t="s">
        <v>27</v>
      </c>
      <c r="F1446" s="3">
        <v>1612386</v>
      </c>
      <c r="G1446" s="3">
        <v>593393</v>
      </c>
      <c r="H1446" s="3">
        <v>465194</v>
      </c>
      <c r="I1446" s="3">
        <v>187326</v>
      </c>
    </row>
    <row r="1447" spans="1:9">
      <c r="A1447" s="3" t="s">
        <v>1472</v>
      </c>
      <c r="B1447" s="3" t="s">
        <v>26</v>
      </c>
      <c r="C1447" s="3">
        <v>2739628</v>
      </c>
      <c r="D1447" s="3">
        <v>1074409</v>
      </c>
      <c r="E1447" s="3" t="s">
        <v>27</v>
      </c>
      <c r="F1447" s="3">
        <v>2146091</v>
      </c>
      <c r="G1447" s="3">
        <v>818260</v>
      </c>
      <c r="H1447" s="3">
        <v>593537</v>
      </c>
      <c r="I1447" s="3">
        <v>256149</v>
      </c>
    </row>
    <row r="1448" spans="1:9">
      <c r="A1448" s="3" t="s">
        <v>1473</v>
      </c>
      <c r="B1448" s="3" t="s">
        <v>26</v>
      </c>
      <c r="C1448" s="3">
        <v>1606306</v>
      </c>
      <c r="D1448" s="3">
        <v>373434</v>
      </c>
      <c r="E1448" s="3" t="s">
        <v>27</v>
      </c>
      <c r="F1448" s="3">
        <v>1179755</v>
      </c>
      <c r="G1448" s="3">
        <v>302600</v>
      </c>
      <c r="H1448" s="3">
        <v>426551</v>
      </c>
      <c r="I1448" s="3">
        <v>70834</v>
      </c>
    </row>
    <row r="1449" spans="1:9">
      <c r="A1449" s="3" t="s">
        <v>1474</v>
      </c>
      <c r="B1449" s="3" t="s">
        <v>26</v>
      </c>
      <c r="C1449" s="3">
        <v>2139953</v>
      </c>
      <c r="D1449" s="3">
        <v>275142</v>
      </c>
      <c r="E1449" s="3" t="s">
        <v>27</v>
      </c>
      <c r="F1449" s="3">
        <v>1209266</v>
      </c>
      <c r="G1449" s="3">
        <v>166412</v>
      </c>
      <c r="H1449" s="3">
        <v>930687</v>
      </c>
      <c r="I1449" s="3">
        <v>108730</v>
      </c>
    </row>
    <row r="1450" spans="1:9">
      <c r="A1450" s="3" t="s">
        <v>1475</v>
      </c>
      <c r="B1450" s="3" t="s">
        <v>26</v>
      </c>
      <c r="C1450" s="3">
        <v>2233948</v>
      </c>
      <c r="D1450" s="3">
        <v>699102</v>
      </c>
      <c r="E1450" s="3" t="s">
        <v>27</v>
      </c>
      <c r="F1450" s="3">
        <v>1682599</v>
      </c>
      <c r="G1450" s="3">
        <v>554068</v>
      </c>
      <c r="H1450" s="3">
        <v>551349</v>
      </c>
      <c r="I1450" s="3">
        <v>145034</v>
      </c>
    </row>
    <row r="1451" spans="1:9">
      <c r="A1451" s="3" t="s">
        <v>1476</v>
      </c>
      <c r="B1451" s="3" t="s">
        <v>26</v>
      </c>
      <c r="C1451" s="3">
        <v>1720521</v>
      </c>
      <c r="D1451" s="3">
        <v>353795</v>
      </c>
      <c r="E1451" s="3" t="s">
        <v>27</v>
      </c>
      <c r="F1451" s="3">
        <v>1039161</v>
      </c>
      <c r="G1451" s="3">
        <v>212985</v>
      </c>
      <c r="H1451" s="3">
        <v>681360</v>
      </c>
      <c r="I1451" s="3">
        <v>140810</v>
      </c>
    </row>
    <row r="1452" spans="1:9">
      <c r="A1452" s="3" t="s">
        <v>1477</v>
      </c>
      <c r="B1452" s="3" t="s">
        <v>26</v>
      </c>
      <c r="C1452" s="3">
        <v>2226795</v>
      </c>
      <c r="D1452" s="3">
        <v>824492</v>
      </c>
      <c r="E1452" s="3" t="s">
        <v>27</v>
      </c>
      <c r="F1452" s="3">
        <v>1686473</v>
      </c>
      <c r="G1452" s="3">
        <v>609023</v>
      </c>
      <c r="H1452" s="3">
        <v>540322</v>
      </c>
      <c r="I1452" s="3">
        <v>215469</v>
      </c>
    </row>
    <row r="1453" spans="1:9">
      <c r="A1453" s="3" t="s">
        <v>1478</v>
      </c>
      <c r="B1453" s="3" t="s">
        <v>26</v>
      </c>
      <c r="C1453" s="3">
        <v>1923880</v>
      </c>
      <c r="D1453" s="3">
        <v>532409</v>
      </c>
      <c r="E1453" s="3" t="s">
        <v>27</v>
      </c>
      <c r="F1453" s="3">
        <v>1428602</v>
      </c>
      <c r="G1453" s="3">
        <v>419626</v>
      </c>
      <c r="H1453" s="3">
        <v>495278</v>
      </c>
      <c r="I1453" s="3">
        <v>112783</v>
      </c>
    </row>
    <row r="1454" spans="1:9">
      <c r="A1454" s="3" t="s">
        <v>1479</v>
      </c>
      <c r="B1454" s="3" t="s">
        <v>26</v>
      </c>
      <c r="C1454" s="3">
        <v>1062155</v>
      </c>
      <c r="D1454" s="3">
        <v>3098</v>
      </c>
      <c r="E1454" s="3" t="s">
        <v>27</v>
      </c>
      <c r="F1454" s="3">
        <v>545527</v>
      </c>
      <c r="G1454" s="3">
        <v>1624</v>
      </c>
      <c r="H1454" s="3">
        <v>516628</v>
      </c>
      <c r="I1454" s="3">
        <v>1474</v>
      </c>
    </row>
    <row r="1455" spans="1:9">
      <c r="A1455" s="3" t="s">
        <v>1480</v>
      </c>
      <c r="B1455" s="3" t="s">
        <v>26</v>
      </c>
      <c r="C1455" s="3">
        <v>875780</v>
      </c>
      <c r="D1455" s="3">
        <v>4451</v>
      </c>
      <c r="E1455" s="3" t="s">
        <v>27</v>
      </c>
      <c r="F1455" s="3">
        <v>453926</v>
      </c>
      <c r="G1455" s="3">
        <v>2064</v>
      </c>
      <c r="H1455" s="3">
        <v>421854</v>
      </c>
      <c r="I1455" s="3">
        <v>2387</v>
      </c>
    </row>
    <row r="1456" spans="1:9">
      <c r="A1456" s="3" t="s">
        <v>1481</v>
      </c>
      <c r="B1456" s="3" t="s">
        <v>26</v>
      </c>
      <c r="C1456" s="3">
        <v>1707881</v>
      </c>
      <c r="D1456" s="3">
        <v>589599</v>
      </c>
      <c r="E1456" s="3" t="s">
        <v>27</v>
      </c>
      <c r="F1456" s="3">
        <v>1364820</v>
      </c>
      <c r="G1456" s="3">
        <v>445979</v>
      </c>
      <c r="H1456" s="3">
        <v>343061</v>
      </c>
      <c r="I1456" s="3">
        <v>143620</v>
      </c>
    </row>
    <row r="1457" spans="1:9">
      <c r="A1457" s="3" t="s">
        <v>1482</v>
      </c>
      <c r="B1457" s="3" t="s">
        <v>26</v>
      </c>
      <c r="C1457" s="3">
        <v>1952801</v>
      </c>
      <c r="D1457" s="3">
        <v>432833</v>
      </c>
      <c r="E1457" s="3" t="s">
        <v>27</v>
      </c>
      <c r="F1457" s="3">
        <v>1176071</v>
      </c>
      <c r="G1457" s="3">
        <v>283631</v>
      </c>
      <c r="H1457" s="3">
        <v>776730</v>
      </c>
      <c r="I1457" s="3">
        <v>149202</v>
      </c>
    </row>
    <row r="1458" spans="1:9">
      <c r="A1458" s="3" t="s">
        <v>1483</v>
      </c>
      <c r="B1458" s="3" t="s">
        <v>26</v>
      </c>
      <c r="C1458" s="3">
        <v>1608012</v>
      </c>
      <c r="D1458" s="3">
        <v>360764</v>
      </c>
      <c r="E1458" s="3" t="s">
        <v>27</v>
      </c>
      <c r="F1458" s="3">
        <v>1080432</v>
      </c>
      <c r="G1458" s="3">
        <v>247314</v>
      </c>
      <c r="H1458" s="3">
        <v>527580</v>
      </c>
      <c r="I1458" s="3">
        <v>113450</v>
      </c>
    </row>
    <row r="1459" spans="1:9">
      <c r="A1459" s="3" t="s">
        <v>1484</v>
      </c>
      <c r="B1459" s="3" t="s">
        <v>26</v>
      </c>
      <c r="C1459" s="3">
        <v>2488465</v>
      </c>
      <c r="D1459" s="3">
        <v>787487</v>
      </c>
      <c r="E1459" s="3" t="s">
        <v>27</v>
      </c>
      <c r="F1459" s="3">
        <v>1536200</v>
      </c>
      <c r="G1459" s="3">
        <v>485198</v>
      </c>
      <c r="H1459" s="3">
        <v>952265</v>
      </c>
      <c r="I1459" s="3">
        <v>302289</v>
      </c>
    </row>
    <row r="1460" spans="1:9">
      <c r="A1460" s="3" t="s">
        <v>1485</v>
      </c>
      <c r="B1460" s="3" t="s">
        <v>26</v>
      </c>
      <c r="C1460" s="3">
        <v>2085092</v>
      </c>
      <c r="D1460" s="3">
        <v>374479</v>
      </c>
      <c r="E1460" s="3" t="s">
        <v>27</v>
      </c>
      <c r="F1460" s="3">
        <v>1176318</v>
      </c>
      <c r="G1460" s="3">
        <v>227562</v>
      </c>
      <c r="H1460" s="3">
        <v>908774</v>
      </c>
      <c r="I1460" s="3">
        <v>146917</v>
      </c>
    </row>
    <row r="1461" spans="1:9">
      <c r="A1461" s="3" t="s">
        <v>1486</v>
      </c>
      <c r="B1461" s="3" t="s">
        <v>26</v>
      </c>
      <c r="C1461" s="3">
        <v>1373254</v>
      </c>
      <c r="D1461" s="3">
        <v>60034</v>
      </c>
      <c r="E1461" s="3" t="s">
        <v>27</v>
      </c>
      <c r="F1461" s="3">
        <v>805122</v>
      </c>
      <c r="G1461" s="3">
        <v>31925</v>
      </c>
      <c r="H1461" s="3">
        <v>568132</v>
      </c>
      <c r="I1461" s="3">
        <v>28109</v>
      </c>
    </row>
    <row r="1462" spans="1:9">
      <c r="A1462" s="3" t="s">
        <v>1487</v>
      </c>
      <c r="B1462" s="3" t="s">
        <v>26</v>
      </c>
      <c r="C1462" s="3">
        <v>1091948</v>
      </c>
      <c r="D1462" s="3">
        <v>105907</v>
      </c>
      <c r="E1462" s="3" t="s">
        <v>27</v>
      </c>
      <c r="F1462" s="3">
        <v>738226</v>
      </c>
      <c r="G1462" s="3">
        <v>80063</v>
      </c>
      <c r="H1462" s="3">
        <v>353722</v>
      </c>
      <c r="I1462" s="3">
        <v>25844</v>
      </c>
    </row>
    <row r="1463" spans="1:9">
      <c r="A1463" s="3" t="s">
        <v>1488</v>
      </c>
      <c r="B1463" s="3" t="s">
        <v>26</v>
      </c>
      <c r="C1463" s="3">
        <v>2445589</v>
      </c>
      <c r="D1463" s="3">
        <v>704515</v>
      </c>
      <c r="E1463" s="3" t="s">
        <v>27</v>
      </c>
      <c r="F1463" s="3">
        <v>1764299</v>
      </c>
      <c r="G1463" s="3">
        <v>513561</v>
      </c>
      <c r="H1463" s="3">
        <v>681290</v>
      </c>
      <c r="I1463" s="3">
        <v>190954</v>
      </c>
    </row>
    <row r="1464" spans="1:9">
      <c r="A1464" s="3" t="s">
        <v>1489</v>
      </c>
      <c r="B1464" s="3" t="s">
        <v>26</v>
      </c>
      <c r="C1464" s="3">
        <v>1278776</v>
      </c>
      <c r="D1464" s="3">
        <v>174818</v>
      </c>
      <c r="E1464" s="3" t="s">
        <v>27</v>
      </c>
      <c r="F1464" s="3">
        <v>862758</v>
      </c>
      <c r="G1464" s="3">
        <v>114640</v>
      </c>
      <c r="H1464" s="3">
        <v>416018</v>
      </c>
      <c r="I1464" s="3">
        <v>60178</v>
      </c>
    </row>
    <row r="1465" spans="1:9">
      <c r="A1465" s="3" t="s">
        <v>1490</v>
      </c>
      <c r="B1465" s="3" t="s">
        <v>26</v>
      </c>
      <c r="C1465" s="3">
        <v>2478350</v>
      </c>
      <c r="D1465" s="3">
        <v>903893</v>
      </c>
      <c r="E1465" s="3" t="s">
        <v>27</v>
      </c>
      <c r="F1465" s="3">
        <v>1841583</v>
      </c>
      <c r="G1465" s="3">
        <v>679206</v>
      </c>
      <c r="H1465" s="3">
        <v>636767</v>
      </c>
      <c r="I1465" s="3">
        <v>224687</v>
      </c>
    </row>
    <row r="1466" spans="1:9">
      <c r="A1466" s="3" t="s">
        <v>1491</v>
      </c>
      <c r="B1466" s="3" t="s">
        <v>26</v>
      </c>
      <c r="C1466" s="3">
        <v>1760591</v>
      </c>
      <c r="D1466" s="3">
        <v>274062</v>
      </c>
      <c r="E1466" s="3" t="s">
        <v>27</v>
      </c>
      <c r="F1466" s="3">
        <v>1084340</v>
      </c>
      <c r="G1466" s="3">
        <v>186195</v>
      </c>
      <c r="H1466" s="3">
        <v>676251</v>
      </c>
      <c r="I1466" s="3">
        <v>87867</v>
      </c>
    </row>
    <row r="1467" spans="1:9">
      <c r="A1467" s="3" t="s">
        <v>1492</v>
      </c>
      <c r="B1467" s="3" t="s">
        <v>26</v>
      </c>
      <c r="C1467" s="3">
        <v>1672621</v>
      </c>
      <c r="D1467" s="3">
        <v>367963</v>
      </c>
      <c r="E1467" s="3" t="s">
        <v>27</v>
      </c>
      <c r="F1467" s="3">
        <v>1058982</v>
      </c>
      <c r="G1467" s="3">
        <v>238648</v>
      </c>
      <c r="H1467" s="3">
        <v>613639</v>
      </c>
      <c r="I1467" s="3">
        <v>129315</v>
      </c>
    </row>
    <row r="1468" spans="1:9">
      <c r="A1468" s="3" t="s">
        <v>1493</v>
      </c>
      <c r="B1468" s="3" t="s">
        <v>26</v>
      </c>
      <c r="C1468" s="3">
        <v>1653719</v>
      </c>
      <c r="D1468" s="3">
        <v>366136</v>
      </c>
      <c r="E1468" s="3" t="s">
        <v>27</v>
      </c>
      <c r="F1468" s="3">
        <v>1132759</v>
      </c>
      <c r="G1468" s="3">
        <v>243042</v>
      </c>
      <c r="H1468" s="3">
        <v>520960</v>
      </c>
      <c r="I1468" s="3">
        <v>123094</v>
      </c>
    </row>
    <row r="1469" spans="1:9">
      <c r="A1469" s="3" t="s">
        <v>1494</v>
      </c>
      <c r="B1469" s="3" t="s">
        <v>26</v>
      </c>
      <c r="C1469" s="3">
        <v>1883433</v>
      </c>
      <c r="D1469" s="3">
        <v>524997</v>
      </c>
      <c r="E1469" s="3" t="s">
        <v>27</v>
      </c>
      <c r="F1469" s="3">
        <v>1519491</v>
      </c>
      <c r="G1469" s="3">
        <v>409457</v>
      </c>
      <c r="H1469" s="3">
        <v>363942</v>
      </c>
      <c r="I1469" s="3">
        <v>115540</v>
      </c>
    </row>
    <row r="1470" spans="1:9">
      <c r="A1470" s="3" t="s">
        <v>1495</v>
      </c>
      <c r="B1470" s="3" t="s">
        <v>26</v>
      </c>
      <c r="C1470" s="3">
        <v>2386290</v>
      </c>
      <c r="D1470" s="3">
        <v>808521</v>
      </c>
      <c r="E1470" s="3" t="s">
        <v>27</v>
      </c>
      <c r="F1470" s="3">
        <v>1781113</v>
      </c>
      <c r="G1470" s="3">
        <v>570286</v>
      </c>
      <c r="H1470" s="3">
        <v>605177</v>
      </c>
      <c r="I1470" s="3">
        <v>238235</v>
      </c>
    </row>
    <row r="1471" spans="1:9">
      <c r="A1471" s="3" t="s">
        <v>1496</v>
      </c>
      <c r="B1471" s="3" t="s">
        <v>26</v>
      </c>
      <c r="C1471" s="3">
        <v>2264810</v>
      </c>
      <c r="D1471" s="3">
        <v>839606</v>
      </c>
      <c r="E1471" s="3" t="s">
        <v>27</v>
      </c>
      <c r="F1471" s="3">
        <v>2016615</v>
      </c>
      <c r="G1471" s="3">
        <v>731868</v>
      </c>
      <c r="H1471" s="3">
        <v>248195</v>
      </c>
      <c r="I1471" s="3">
        <v>107738</v>
      </c>
    </row>
    <row r="1472" spans="1:9">
      <c r="A1472" s="3" t="s">
        <v>1497</v>
      </c>
      <c r="B1472" s="3" t="s">
        <v>26</v>
      </c>
      <c r="C1472" s="3">
        <v>2722175</v>
      </c>
      <c r="D1472" s="3">
        <v>1082466</v>
      </c>
      <c r="E1472" s="3" t="s">
        <v>27</v>
      </c>
      <c r="F1472" s="3">
        <v>2011815</v>
      </c>
      <c r="G1472" s="3">
        <v>789854</v>
      </c>
      <c r="H1472" s="3">
        <v>710360</v>
      </c>
      <c r="I1472" s="3">
        <v>292612</v>
      </c>
    </row>
    <row r="1473" spans="1:9">
      <c r="A1473" s="3" t="s">
        <v>1498</v>
      </c>
      <c r="B1473" s="3" t="s">
        <v>26</v>
      </c>
      <c r="C1473" s="3">
        <v>1960960</v>
      </c>
      <c r="D1473" s="3">
        <v>495445</v>
      </c>
      <c r="E1473" s="3" t="s">
        <v>27</v>
      </c>
      <c r="F1473" s="3">
        <v>1271606</v>
      </c>
      <c r="G1473" s="3">
        <v>329592</v>
      </c>
      <c r="H1473" s="3">
        <v>689354</v>
      </c>
      <c r="I1473" s="3">
        <v>165853</v>
      </c>
    </row>
    <row r="1474" spans="1:9">
      <c r="A1474" s="3" t="s">
        <v>1499</v>
      </c>
      <c r="B1474" s="3" t="s">
        <v>26</v>
      </c>
      <c r="C1474" s="3">
        <v>2326198</v>
      </c>
      <c r="D1474" s="3">
        <v>757799</v>
      </c>
      <c r="E1474" s="3" t="s">
        <v>27</v>
      </c>
      <c r="F1474" s="3">
        <v>1682586</v>
      </c>
      <c r="G1474" s="3">
        <v>525467</v>
      </c>
      <c r="H1474" s="3">
        <v>643612</v>
      </c>
      <c r="I1474" s="3">
        <v>232332</v>
      </c>
    </row>
    <row r="1475" spans="1:9">
      <c r="A1475" s="3" t="s">
        <v>1500</v>
      </c>
      <c r="B1475" s="3" t="s">
        <v>26</v>
      </c>
      <c r="C1475" s="3">
        <v>2069412</v>
      </c>
      <c r="D1475" s="3">
        <v>516357</v>
      </c>
      <c r="E1475" s="3" t="s">
        <v>27</v>
      </c>
      <c r="F1475" s="3">
        <v>1556407</v>
      </c>
      <c r="G1475" s="3">
        <v>418200</v>
      </c>
      <c r="H1475" s="3">
        <v>513005</v>
      </c>
      <c r="I1475" s="3">
        <v>98157</v>
      </c>
    </row>
    <row r="1476" spans="1:9">
      <c r="A1476" s="3" t="s">
        <v>1501</v>
      </c>
      <c r="B1476" s="3" t="s">
        <v>26</v>
      </c>
      <c r="C1476" s="3">
        <v>2241736</v>
      </c>
      <c r="D1476" s="3">
        <v>448480</v>
      </c>
      <c r="E1476" s="3" t="s">
        <v>27</v>
      </c>
      <c r="F1476" s="3">
        <v>1392367</v>
      </c>
      <c r="G1476" s="3">
        <v>291990</v>
      </c>
      <c r="H1476" s="3">
        <v>849369</v>
      </c>
      <c r="I1476" s="3">
        <v>156490</v>
      </c>
    </row>
    <row r="1477" spans="1:9">
      <c r="A1477" s="3" t="s">
        <v>1502</v>
      </c>
      <c r="B1477" s="3" t="s">
        <v>26</v>
      </c>
      <c r="C1477" s="3">
        <v>1829478</v>
      </c>
      <c r="D1477" s="3">
        <v>551512</v>
      </c>
      <c r="E1477" s="3" t="s">
        <v>27</v>
      </c>
      <c r="F1477" s="3">
        <v>1430760</v>
      </c>
      <c r="G1477" s="3">
        <v>432322</v>
      </c>
      <c r="H1477" s="3">
        <v>398718</v>
      </c>
      <c r="I1477" s="3">
        <v>119190</v>
      </c>
    </row>
    <row r="1478" spans="1:9">
      <c r="A1478" s="3" t="s">
        <v>1503</v>
      </c>
      <c r="B1478" s="3" t="s">
        <v>26</v>
      </c>
      <c r="C1478" s="3">
        <v>2568820</v>
      </c>
      <c r="D1478" s="3">
        <v>900064</v>
      </c>
      <c r="E1478" s="3" t="s">
        <v>27</v>
      </c>
      <c r="F1478" s="3">
        <v>1966630</v>
      </c>
      <c r="G1478" s="3">
        <v>664862</v>
      </c>
      <c r="H1478" s="3">
        <v>602190</v>
      </c>
      <c r="I1478" s="3">
        <v>235202</v>
      </c>
    </row>
    <row r="1479" spans="1:9">
      <c r="A1479" s="3" t="s">
        <v>1504</v>
      </c>
      <c r="B1479" s="3" t="s">
        <v>26</v>
      </c>
      <c r="C1479" s="3">
        <v>1583642</v>
      </c>
      <c r="D1479" s="3">
        <v>99499</v>
      </c>
      <c r="E1479" s="3" t="s">
        <v>27</v>
      </c>
      <c r="F1479" s="3">
        <v>888553</v>
      </c>
      <c r="G1479" s="3">
        <v>59100</v>
      </c>
      <c r="H1479" s="3">
        <v>695089</v>
      </c>
      <c r="I1479" s="3">
        <v>40399</v>
      </c>
    </row>
    <row r="1480" spans="1:9">
      <c r="A1480" s="3" t="s">
        <v>1505</v>
      </c>
      <c r="B1480" s="3" t="s">
        <v>26</v>
      </c>
      <c r="C1480" s="3">
        <v>2700562</v>
      </c>
      <c r="D1480" s="3">
        <v>1039065</v>
      </c>
      <c r="E1480" s="3" t="s">
        <v>27</v>
      </c>
      <c r="F1480" s="3">
        <v>1875619</v>
      </c>
      <c r="G1480" s="3">
        <v>704515</v>
      </c>
      <c r="H1480" s="3">
        <v>824943</v>
      </c>
      <c r="I1480" s="3">
        <v>334550</v>
      </c>
    </row>
    <row r="1481" spans="1:9">
      <c r="A1481" s="3" t="s">
        <v>1506</v>
      </c>
      <c r="B1481" s="3" t="s">
        <v>26</v>
      </c>
      <c r="C1481" s="3">
        <v>2175222</v>
      </c>
      <c r="D1481" s="3">
        <v>692467</v>
      </c>
      <c r="E1481" s="3" t="s">
        <v>27</v>
      </c>
      <c r="F1481" s="3">
        <v>1618451</v>
      </c>
      <c r="G1481" s="3">
        <v>530838</v>
      </c>
      <c r="H1481" s="3">
        <v>556771</v>
      </c>
      <c r="I1481" s="3">
        <v>161629</v>
      </c>
    </row>
    <row r="1482" spans="1:9">
      <c r="A1482" s="3" t="s">
        <v>1507</v>
      </c>
      <c r="B1482" s="3" t="s">
        <v>26</v>
      </c>
      <c r="C1482" s="3">
        <v>1094709</v>
      </c>
      <c r="D1482" s="3">
        <v>22448</v>
      </c>
      <c r="E1482" s="3" t="s">
        <v>27</v>
      </c>
      <c r="F1482" s="3">
        <v>660463</v>
      </c>
      <c r="G1482" s="3">
        <v>11496</v>
      </c>
      <c r="H1482" s="3">
        <v>434246</v>
      </c>
      <c r="I1482" s="3">
        <v>10952</v>
      </c>
    </row>
    <row r="1483" spans="1:9">
      <c r="A1483" s="3" t="s">
        <v>1508</v>
      </c>
      <c r="B1483" s="3" t="s">
        <v>26</v>
      </c>
      <c r="C1483" s="3">
        <v>2292492</v>
      </c>
      <c r="D1483" s="3">
        <v>761180</v>
      </c>
      <c r="E1483" s="3" t="s">
        <v>27</v>
      </c>
      <c r="F1483" s="3">
        <v>1803169</v>
      </c>
      <c r="G1483" s="3">
        <v>599765</v>
      </c>
      <c r="H1483" s="3">
        <v>489323</v>
      </c>
      <c r="I1483" s="3">
        <v>161415</v>
      </c>
    </row>
    <row r="1484" spans="1:9">
      <c r="A1484" s="3" t="s">
        <v>1509</v>
      </c>
      <c r="B1484" s="3" t="s">
        <v>26</v>
      </c>
      <c r="C1484" s="3">
        <v>1737314</v>
      </c>
      <c r="D1484" s="3">
        <v>135448</v>
      </c>
      <c r="E1484" s="3" t="s">
        <v>27</v>
      </c>
      <c r="F1484" s="3">
        <v>1082518</v>
      </c>
      <c r="G1484" s="3">
        <v>93465</v>
      </c>
      <c r="H1484" s="3">
        <v>654796</v>
      </c>
      <c r="I1484" s="3">
        <v>41983</v>
      </c>
    </row>
    <row r="1485" spans="1:9">
      <c r="A1485" s="3" t="s">
        <v>1510</v>
      </c>
      <c r="B1485" s="3" t="s">
        <v>26</v>
      </c>
      <c r="C1485" s="3">
        <v>1310518</v>
      </c>
      <c r="D1485" s="3">
        <v>166397</v>
      </c>
      <c r="E1485" s="3" t="s">
        <v>27</v>
      </c>
      <c r="F1485" s="3">
        <v>794098</v>
      </c>
      <c r="G1485" s="3">
        <v>112829</v>
      </c>
      <c r="H1485" s="3">
        <v>516420</v>
      </c>
      <c r="I1485" s="3">
        <v>53568</v>
      </c>
    </row>
    <row r="1486" spans="1:9">
      <c r="A1486" s="3" t="s">
        <v>1511</v>
      </c>
      <c r="B1486" s="3" t="s">
        <v>26</v>
      </c>
      <c r="C1486" s="3">
        <v>1159273</v>
      </c>
      <c r="D1486" s="3">
        <v>68214</v>
      </c>
      <c r="E1486" s="3" t="s">
        <v>27</v>
      </c>
      <c r="F1486" s="3">
        <v>678714</v>
      </c>
      <c r="G1486" s="3">
        <v>41553</v>
      </c>
      <c r="H1486" s="3">
        <v>480559</v>
      </c>
      <c r="I1486" s="3">
        <v>26661</v>
      </c>
    </row>
    <row r="1487" spans="1:9">
      <c r="A1487" s="3" t="s">
        <v>1512</v>
      </c>
      <c r="B1487" s="3" t="s">
        <v>26</v>
      </c>
      <c r="C1487" s="3">
        <v>2247603</v>
      </c>
      <c r="D1487" s="3">
        <v>793481</v>
      </c>
      <c r="E1487" s="3" t="s">
        <v>27</v>
      </c>
      <c r="F1487" s="3">
        <v>1745576</v>
      </c>
      <c r="G1487" s="3">
        <v>586881</v>
      </c>
      <c r="H1487" s="3">
        <v>502027</v>
      </c>
      <c r="I1487" s="3">
        <v>206600</v>
      </c>
    </row>
    <row r="1488" spans="1:9">
      <c r="A1488" s="3" t="s">
        <v>1513</v>
      </c>
      <c r="B1488" s="3" t="s">
        <v>26</v>
      </c>
      <c r="C1488" s="3">
        <v>2103028</v>
      </c>
      <c r="D1488" s="3">
        <v>574913</v>
      </c>
      <c r="E1488" s="3" t="s">
        <v>27</v>
      </c>
      <c r="F1488" s="3">
        <v>1419583</v>
      </c>
      <c r="G1488" s="3">
        <v>384458</v>
      </c>
      <c r="H1488" s="3">
        <v>683445</v>
      </c>
      <c r="I1488" s="3">
        <v>190455</v>
      </c>
    </row>
    <row r="1489" spans="1:9">
      <c r="A1489" s="3" t="s">
        <v>1514</v>
      </c>
      <c r="B1489" s="3" t="s">
        <v>26</v>
      </c>
      <c r="C1489" s="3">
        <v>1236030</v>
      </c>
      <c r="D1489" s="3">
        <v>16283</v>
      </c>
      <c r="E1489" s="3" t="s">
        <v>27</v>
      </c>
      <c r="F1489" s="3">
        <v>675341</v>
      </c>
      <c r="G1489" s="3">
        <v>7439</v>
      </c>
      <c r="H1489" s="3">
        <v>560689</v>
      </c>
      <c r="I1489" s="3">
        <v>8844</v>
      </c>
    </row>
    <row r="1490" spans="1:9">
      <c r="A1490" s="3" t="s">
        <v>1515</v>
      </c>
      <c r="B1490" s="3" t="s">
        <v>26</v>
      </c>
      <c r="C1490" s="3">
        <v>2330633</v>
      </c>
      <c r="D1490" s="3">
        <v>888681</v>
      </c>
      <c r="E1490" s="3" t="s">
        <v>27</v>
      </c>
      <c r="F1490" s="3">
        <v>1642984</v>
      </c>
      <c r="G1490" s="3">
        <v>609842</v>
      </c>
      <c r="H1490" s="3">
        <v>687649</v>
      </c>
      <c r="I1490" s="3">
        <v>278839</v>
      </c>
    </row>
    <row r="1491" spans="1:9">
      <c r="A1491" s="3" t="s">
        <v>1516</v>
      </c>
      <c r="B1491" s="3" t="s">
        <v>26</v>
      </c>
      <c r="C1491" s="3">
        <v>1508296</v>
      </c>
      <c r="D1491" s="3">
        <v>494857</v>
      </c>
      <c r="E1491" s="3" t="s">
        <v>27</v>
      </c>
      <c r="F1491" s="3">
        <v>1265182</v>
      </c>
      <c r="G1491" s="3">
        <v>397726</v>
      </c>
      <c r="H1491" s="3">
        <v>243114</v>
      </c>
      <c r="I1491" s="3">
        <v>97131</v>
      </c>
    </row>
    <row r="1492" spans="1:9">
      <c r="A1492" s="3" t="s">
        <v>1517</v>
      </c>
      <c r="B1492" s="3" t="s">
        <v>26</v>
      </c>
      <c r="C1492" s="3">
        <v>1853063</v>
      </c>
      <c r="D1492" s="3">
        <v>297122</v>
      </c>
      <c r="E1492" s="3" t="s">
        <v>27</v>
      </c>
      <c r="F1492" s="3">
        <v>1084352</v>
      </c>
      <c r="G1492" s="3">
        <v>188372</v>
      </c>
      <c r="H1492" s="3">
        <v>768711</v>
      </c>
      <c r="I1492" s="3">
        <v>108750</v>
      </c>
    </row>
    <row r="1493" spans="1:9">
      <c r="A1493" s="3" t="s">
        <v>1518</v>
      </c>
      <c r="B1493" s="3" t="s">
        <v>26</v>
      </c>
      <c r="C1493" s="3">
        <v>384054</v>
      </c>
      <c r="D1493" s="3">
        <v>118772</v>
      </c>
      <c r="E1493" s="3" t="s">
        <v>27</v>
      </c>
      <c r="F1493" s="3">
        <v>280299</v>
      </c>
      <c r="G1493" s="3">
        <v>82239</v>
      </c>
      <c r="H1493" s="3">
        <v>103755</v>
      </c>
      <c r="I1493" s="3">
        <v>36533</v>
      </c>
    </row>
    <row r="1494" spans="1:9">
      <c r="A1494" s="3" t="s">
        <v>1519</v>
      </c>
      <c r="B1494" s="3" t="s">
        <v>26</v>
      </c>
      <c r="C1494" s="3">
        <v>2196329</v>
      </c>
      <c r="D1494" s="3">
        <v>848523</v>
      </c>
      <c r="E1494" s="3" t="s">
        <v>27</v>
      </c>
      <c r="F1494" s="3">
        <v>1735577</v>
      </c>
      <c r="G1494" s="3">
        <v>647893</v>
      </c>
      <c r="H1494" s="3">
        <v>460752</v>
      </c>
      <c r="I1494" s="3">
        <v>200630</v>
      </c>
    </row>
    <row r="1495" spans="1:9">
      <c r="A1495" s="3" t="s">
        <v>1520</v>
      </c>
      <c r="B1495" s="3" t="s">
        <v>26</v>
      </c>
      <c r="C1495" s="3">
        <v>2261789</v>
      </c>
      <c r="D1495" s="3">
        <v>916452</v>
      </c>
      <c r="E1495" s="3" t="s">
        <v>27</v>
      </c>
      <c r="F1495" s="3">
        <v>1775711</v>
      </c>
      <c r="G1495" s="3">
        <v>703148</v>
      </c>
      <c r="H1495" s="3">
        <v>486078</v>
      </c>
      <c r="I1495" s="3">
        <v>213304</v>
      </c>
    </row>
    <row r="1496" spans="1:9">
      <c r="A1496" s="3" t="s">
        <v>1521</v>
      </c>
      <c r="B1496" s="3" t="s">
        <v>26</v>
      </c>
      <c r="C1496" s="3">
        <v>847245</v>
      </c>
      <c r="D1496" s="3">
        <v>29051</v>
      </c>
      <c r="E1496" s="3" t="s">
        <v>27</v>
      </c>
      <c r="F1496" s="3">
        <v>458672</v>
      </c>
      <c r="G1496" s="3">
        <v>15487</v>
      </c>
      <c r="H1496" s="3">
        <v>388573</v>
      </c>
      <c r="I1496" s="3">
        <v>13564</v>
      </c>
    </row>
    <row r="1497" spans="1:9">
      <c r="A1497" s="3" t="s">
        <v>1522</v>
      </c>
      <c r="B1497" s="3" t="s">
        <v>26</v>
      </c>
      <c r="C1497" s="3">
        <v>1099404</v>
      </c>
      <c r="D1497" s="3">
        <v>95789</v>
      </c>
      <c r="E1497" s="3" t="s">
        <v>27</v>
      </c>
      <c r="F1497" s="3">
        <v>650458</v>
      </c>
      <c r="G1497" s="3">
        <v>64916</v>
      </c>
      <c r="H1497" s="3">
        <v>448946</v>
      </c>
      <c r="I1497" s="3">
        <v>30873</v>
      </c>
    </row>
    <row r="1498" spans="1:9">
      <c r="A1498" s="3" t="s">
        <v>1523</v>
      </c>
      <c r="B1498" s="3" t="s">
        <v>26</v>
      </c>
      <c r="C1498" s="3">
        <v>2475923</v>
      </c>
      <c r="D1498" s="3">
        <v>1128096</v>
      </c>
      <c r="E1498" s="3" t="s">
        <v>27</v>
      </c>
      <c r="F1498" s="3">
        <v>1983726</v>
      </c>
      <c r="G1498" s="3">
        <v>878615</v>
      </c>
      <c r="H1498" s="3">
        <v>492197</v>
      </c>
      <c r="I1498" s="3">
        <v>249481</v>
      </c>
    </row>
    <row r="1499" spans="1:9">
      <c r="A1499" s="3" t="s">
        <v>1524</v>
      </c>
      <c r="B1499" s="3" t="s">
        <v>26</v>
      </c>
      <c r="C1499" s="3">
        <v>2328656</v>
      </c>
      <c r="D1499" s="3">
        <v>962016</v>
      </c>
      <c r="E1499" s="3" t="s">
        <v>27</v>
      </c>
      <c r="F1499" s="3">
        <v>1624687</v>
      </c>
      <c r="G1499" s="3">
        <v>661567</v>
      </c>
      <c r="H1499" s="3">
        <v>703969</v>
      </c>
      <c r="I1499" s="3">
        <v>300449</v>
      </c>
    </row>
    <row r="1500" spans="1:9">
      <c r="A1500" s="3" t="s">
        <v>1525</v>
      </c>
      <c r="B1500" s="3" t="s">
        <v>26</v>
      </c>
      <c r="C1500" s="3">
        <v>501160</v>
      </c>
      <c r="D1500" s="3">
        <v>172693</v>
      </c>
      <c r="E1500" s="3" t="s">
        <v>27</v>
      </c>
      <c r="F1500" s="3">
        <v>410123</v>
      </c>
      <c r="G1500" s="3">
        <v>139126</v>
      </c>
      <c r="H1500" s="3">
        <v>91037</v>
      </c>
      <c r="I1500" s="3">
        <v>33567</v>
      </c>
    </row>
    <row r="1501" spans="1:9">
      <c r="A1501" s="3" t="s">
        <v>1526</v>
      </c>
      <c r="B1501" s="3" t="s">
        <v>26</v>
      </c>
      <c r="C1501" s="3">
        <v>2125994</v>
      </c>
      <c r="D1501" s="3">
        <v>883478</v>
      </c>
      <c r="E1501" s="3" t="s">
        <v>27</v>
      </c>
      <c r="F1501" s="3">
        <v>1611701</v>
      </c>
      <c r="G1501" s="3">
        <v>664524</v>
      </c>
      <c r="H1501" s="3">
        <v>514293</v>
      </c>
      <c r="I1501" s="3">
        <v>218954</v>
      </c>
    </row>
    <row r="1502" spans="1:9">
      <c r="A1502" s="3" t="s">
        <v>1527</v>
      </c>
      <c r="B1502" s="3" t="s">
        <v>26</v>
      </c>
      <c r="C1502" s="3">
        <v>2239507</v>
      </c>
      <c r="D1502" s="3">
        <v>1012280</v>
      </c>
      <c r="E1502" s="3" t="s">
        <v>27</v>
      </c>
      <c r="F1502" s="3">
        <v>1965652</v>
      </c>
      <c r="G1502" s="3">
        <v>867864</v>
      </c>
      <c r="H1502" s="3">
        <v>273855</v>
      </c>
      <c r="I1502" s="3">
        <v>144416</v>
      </c>
    </row>
    <row r="1503" spans="1:9">
      <c r="A1503" s="3" t="s">
        <v>1528</v>
      </c>
      <c r="B1503" s="3" t="s">
        <v>26</v>
      </c>
      <c r="C1503" s="3">
        <v>795260</v>
      </c>
      <c r="D1503" s="3">
        <v>1236</v>
      </c>
      <c r="E1503" s="3" t="s">
        <v>27</v>
      </c>
      <c r="F1503" s="3">
        <v>406810</v>
      </c>
      <c r="G1503" s="3">
        <v>491</v>
      </c>
      <c r="H1503" s="3">
        <v>388450</v>
      </c>
      <c r="I1503" s="3">
        <v>745</v>
      </c>
    </row>
    <row r="1504" spans="1:9">
      <c r="A1504" s="3" t="s">
        <v>1529</v>
      </c>
      <c r="B1504" s="3" t="s">
        <v>26</v>
      </c>
      <c r="C1504" s="3">
        <v>1745890</v>
      </c>
      <c r="D1504" s="3">
        <v>411811</v>
      </c>
      <c r="E1504" s="3" t="s">
        <v>27</v>
      </c>
      <c r="F1504" s="3">
        <v>940725</v>
      </c>
      <c r="G1504" s="3">
        <v>259886</v>
      </c>
      <c r="H1504" s="3">
        <v>805165</v>
      </c>
      <c r="I1504" s="3">
        <v>151925</v>
      </c>
    </row>
    <row r="1505" spans="1:9">
      <c r="A1505" s="3" t="s">
        <v>1530</v>
      </c>
      <c r="B1505" s="3" t="s">
        <v>26</v>
      </c>
      <c r="C1505" s="3">
        <v>2065401</v>
      </c>
      <c r="D1505" s="3">
        <v>747367</v>
      </c>
      <c r="E1505" s="3" t="s">
        <v>27</v>
      </c>
      <c r="F1505" s="3">
        <v>1706552</v>
      </c>
      <c r="G1505" s="3">
        <v>595452</v>
      </c>
      <c r="H1505" s="3">
        <v>358849</v>
      </c>
      <c r="I1505" s="3">
        <v>151915</v>
      </c>
    </row>
    <row r="1506" spans="1:9">
      <c r="A1506" s="3" t="s">
        <v>1531</v>
      </c>
      <c r="B1506" s="3" t="s">
        <v>26</v>
      </c>
      <c r="C1506" s="3">
        <v>2278656</v>
      </c>
      <c r="D1506" s="3">
        <v>947124</v>
      </c>
      <c r="E1506" s="3" t="s">
        <v>27</v>
      </c>
      <c r="F1506" s="3">
        <v>1657524</v>
      </c>
      <c r="G1506" s="3">
        <v>651721</v>
      </c>
      <c r="H1506" s="3">
        <v>621132</v>
      </c>
      <c r="I1506" s="3">
        <v>295403</v>
      </c>
    </row>
    <row r="1507" spans="1:9">
      <c r="A1507" s="3" t="s">
        <v>1532</v>
      </c>
      <c r="B1507" s="3" t="s">
        <v>26</v>
      </c>
      <c r="C1507" s="3">
        <v>2407601</v>
      </c>
      <c r="D1507" s="3">
        <v>1096292</v>
      </c>
      <c r="E1507" s="3" t="s">
        <v>27</v>
      </c>
      <c r="F1507" s="3">
        <v>1984032</v>
      </c>
      <c r="G1507" s="3">
        <v>891908</v>
      </c>
      <c r="H1507" s="3">
        <v>423569</v>
      </c>
      <c r="I1507" s="3">
        <v>204384</v>
      </c>
    </row>
    <row r="1508" spans="1:9">
      <c r="A1508" s="3" t="s">
        <v>1533</v>
      </c>
      <c r="B1508" s="3" t="s">
        <v>26</v>
      </c>
      <c r="C1508" s="3">
        <v>1174000</v>
      </c>
      <c r="D1508" s="3">
        <v>3059</v>
      </c>
      <c r="E1508" s="3" t="s">
        <v>27</v>
      </c>
      <c r="F1508" s="3">
        <v>408366</v>
      </c>
      <c r="G1508" s="3">
        <v>1300</v>
      </c>
      <c r="H1508" s="3">
        <v>765634</v>
      </c>
      <c r="I1508" s="3">
        <v>1759</v>
      </c>
    </row>
    <row r="1509" spans="1:9">
      <c r="A1509" s="3" t="s">
        <v>1534</v>
      </c>
      <c r="B1509" s="3" t="s">
        <v>26</v>
      </c>
      <c r="C1509" s="3">
        <v>2263963</v>
      </c>
      <c r="D1509" s="3">
        <v>922651</v>
      </c>
      <c r="E1509" s="3" t="s">
        <v>27</v>
      </c>
      <c r="F1509" s="3">
        <v>1798581</v>
      </c>
      <c r="G1509" s="3">
        <v>715929</v>
      </c>
      <c r="H1509" s="3">
        <v>465382</v>
      </c>
      <c r="I1509" s="3">
        <v>206722</v>
      </c>
    </row>
    <row r="1510" spans="1:9">
      <c r="A1510" s="3" t="s">
        <v>1535</v>
      </c>
      <c r="B1510" s="3" t="s">
        <v>26</v>
      </c>
      <c r="C1510" s="3">
        <v>2251931</v>
      </c>
      <c r="D1510" s="3">
        <v>818353</v>
      </c>
      <c r="E1510" s="3" t="s">
        <v>27</v>
      </c>
      <c r="F1510" s="3">
        <v>1584335</v>
      </c>
      <c r="G1510" s="3">
        <v>572669</v>
      </c>
      <c r="H1510" s="3">
        <v>667596</v>
      </c>
      <c r="I1510" s="3">
        <v>245684</v>
      </c>
    </row>
    <row r="1511" spans="1:9">
      <c r="A1511" s="3" t="s">
        <v>1536</v>
      </c>
      <c r="B1511" s="3" t="s">
        <v>26</v>
      </c>
      <c r="C1511" s="3">
        <v>2074722</v>
      </c>
      <c r="D1511" s="3">
        <v>850351</v>
      </c>
      <c r="E1511" s="3" t="s">
        <v>27</v>
      </c>
      <c r="F1511" s="3">
        <v>1774571</v>
      </c>
      <c r="G1511" s="3">
        <v>710322</v>
      </c>
      <c r="H1511" s="3">
        <v>300151</v>
      </c>
      <c r="I1511" s="3">
        <v>140029</v>
      </c>
    </row>
    <row r="1512" spans="1:9">
      <c r="A1512" s="3" t="s">
        <v>1537</v>
      </c>
      <c r="B1512" s="3" t="s">
        <v>26</v>
      </c>
      <c r="C1512" s="3">
        <v>1567880</v>
      </c>
      <c r="D1512" s="3">
        <v>123351</v>
      </c>
      <c r="E1512" s="3" t="s">
        <v>27</v>
      </c>
      <c r="F1512" s="3">
        <v>813343</v>
      </c>
      <c r="G1512" s="3">
        <v>68372</v>
      </c>
      <c r="H1512" s="3">
        <v>754537</v>
      </c>
      <c r="I1512" s="3">
        <v>54979</v>
      </c>
    </row>
    <row r="1513" spans="1:9">
      <c r="A1513" s="3" t="s">
        <v>1538</v>
      </c>
      <c r="B1513" s="3" t="s">
        <v>26</v>
      </c>
      <c r="C1513" s="3">
        <v>2248305</v>
      </c>
      <c r="D1513" s="3">
        <v>863779</v>
      </c>
      <c r="E1513" s="3" t="s">
        <v>27</v>
      </c>
      <c r="F1513" s="3">
        <v>1593293</v>
      </c>
      <c r="G1513" s="3">
        <v>592317</v>
      </c>
      <c r="H1513" s="3">
        <v>655012</v>
      </c>
      <c r="I1513" s="3">
        <v>271462</v>
      </c>
    </row>
    <row r="1514" spans="1:9">
      <c r="A1514" s="3" t="s">
        <v>1539</v>
      </c>
      <c r="B1514" s="3" t="s">
        <v>26</v>
      </c>
      <c r="C1514" s="3">
        <v>2064418</v>
      </c>
      <c r="D1514" s="3">
        <v>639068</v>
      </c>
      <c r="E1514" s="3" t="s">
        <v>27</v>
      </c>
      <c r="F1514" s="3">
        <v>1301793</v>
      </c>
      <c r="G1514" s="3">
        <v>413800</v>
      </c>
      <c r="H1514" s="3">
        <v>762625</v>
      </c>
      <c r="I1514" s="3">
        <v>225268</v>
      </c>
    </row>
    <row r="1515" spans="1:9">
      <c r="A1515" s="3" t="s">
        <v>1540</v>
      </c>
      <c r="B1515" s="3" t="s">
        <v>26</v>
      </c>
      <c r="C1515" s="3">
        <v>2527678</v>
      </c>
      <c r="D1515" s="3">
        <v>971974</v>
      </c>
      <c r="E1515" s="3" t="s">
        <v>27</v>
      </c>
      <c r="F1515" s="3">
        <v>1583129</v>
      </c>
      <c r="G1515" s="3">
        <v>610701</v>
      </c>
      <c r="H1515" s="3">
        <v>944549</v>
      </c>
      <c r="I1515" s="3">
        <v>361273</v>
      </c>
    </row>
    <row r="1516" spans="1:9">
      <c r="A1516" s="3" t="s">
        <v>1541</v>
      </c>
      <c r="B1516" s="3" t="s">
        <v>26</v>
      </c>
      <c r="C1516" s="3">
        <v>14870</v>
      </c>
      <c r="D1516" s="3">
        <v>2832</v>
      </c>
      <c r="E1516" s="3" t="s">
        <v>27</v>
      </c>
      <c r="F1516" s="3">
        <v>8230</v>
      </c>
      <c r="G1516" s="3">
        <v>1999</v>
      </c>
      <c r="H1516" s="3">
        <v>6640</v>
      </c>
      <c r="I1516" s="3">
        <v>833</v>
      </c>
    </row>
    <row r="1517" spans="1:9">
      <c r="A1517" s="3" t="s">
        <v>1542</v>
      </c>
      <c r="B1517" s="3" t="s">
        <v>26</v>
      </c>
      <c r="C1517" s="3">
        <v>2208417</v>
      </c>
      <c r="D1517" s="3">
        <v>920565</v>
      </c>
      <c r="E1517" s="3" t="s">
        <v>27</v>
      </c>
      <c r="F1517" s="3">
        <v>1770029</v>
      </c>
      <c r="G1517" s="3">
        <v>715831</v>
      </c>
      <c r="H1517" s="3">
        <v>438388</v>
      </c>
      <c r="I1517" s="3">
        <v>204734</v>
      </c>
    </row>
    <row r="1518" spans="1:9">
      <c r="A1518" s="3" t="s">
        <v>1543</v>
      </c>
      <c r="B1518" s="3" t="s">
        <v>26</v>
      </c>
      <c r="C1518" s="3">
        <v>2081643</v>
      </c>
      <c r="D1518" s="3">
        <v>816144</v>
      </c>
      <c r="E1518" s="3" t="s">
        <v>27</v>
      </c>
      <c r="F1518" s="3">
        <v>1799196</v>
      </c>
      <c r="G1518" s="3">
        <v>681149</v>
      </c>
      <c r="H1518" s="3">
        <v>282447</v>
      </c>
      <c r="I1518" s="3">
        <v>134995</v>
      </c>
    </row>
    <row r="1519" spans="1:9">
      <c r="A1519" s="3" t="s">
        <v>1544</v>
      </c>
      <c r="B1519" s="3" t="s">
        <v>26</v>
      </c>
      <c r="C1519" s="3">
        <v>1168622</v>
      </c>
      <c r="D1519" s="3">
        <v>16823</v>
      </c>
      <c r="E1519" s="3" t="s">
        <v>27</v>
      </c>
      <c r="F1519" s="3">
        <v>624813</v>
      </c>
      <c r="G1519" s="3">
        <v>10580</v>
      </c>
      <c r="H1519" s="3">
        <v>543809</v>
      </c>
      <c r="I1519" s="3">
        <v>6243</v>
      </c>
    </row>
    <row r="1520" spans="1:9">
      <c r="A1520" s="3" t="s">
        <v>1545</v>
      </c>
      <c r="B1520" s="3" t="s">
        <v>26</v>
      </c>
      <c r="C1520" s="3">
        <v>1604994</v>
      </c>
      <c r="D1520" s="3">
        <v>243186</v>
      </c>
      <c r="E1520" s="3" t="s">
        <v>27</v>
      </c>
      <c r="F1520" s="3">
        <v>966903</v>
      </c>
      <c r="G1520" s="3">
        <v>150238</v>
      </c>
      <c r="H1520" s="3">
        <v>638091</v>
      </c>
      <c r="I1520" s="3">
        <v>92948</v>
      </c>
    </row>
    <row r="1521" spans="1:9">
      <c r="A1521" s="3" t="s">
        <v>1546</v>
      </c>
      <c r="B1521" s="3" t="s">
        <v>26</v>
      </c>
      <c r="C1521" s="3">
        <v>2860771</v>
      </c>
      <c r="D1521" s="3">
        <v>1056877</v>
      </c>
      <c r="E1521" s="3" t="s">
        <v>27</v>
      </c>
      <c r="F1521" s="3">
        <v>1869281</v>
      </c>
      <c r="G1521" s="3">
        <v>668331</v>
      </c>
      <c r="H1521" s="3">
        <v>991490</v>
      </c>
      <c r="I1521" s="3">
        <v>388546</v>
      </c>
    </row>
    <row r="1522" spans="1:9">
      <c r="A1522" s="3" t="s">
        <v>1547</v>
      </c>
      <c r="B1522" s="3" t="s">
        <v>26</v>
      </c>
      <c r="C1522" s="3">
        <v>2863581</v>
      </c>
      <c r="D1522" s="3">
        <v>1006190</v>
      </c>
      <c r="E1522" s="3" t="s">
        <v>27</v>
      </c>
      <c r="F1522" s="3">
        <v>1938884</v>
      </c>
      <c r="G1522" s="3">
        <v>669219</v>
      </c>
      <c r="H1522" s="3">
        <v>924697</v>
      </c>
      <c r="I1522" s="3">
        <v>336971</v>
      </c>
    </row>
    <row r="1523" spans="1:9">
      <c r="A1523" s="3" t="s">
        <v>1548</v>
      </c>
      <c r="B1523" s="3" t="s">
        <v>26</v>
      </c>
      <c r="C1523" s="3">
        <v>2486840</v>
      </c>
      <c r="D1523" s="3">
        <v>885155</v>
      </c>
      <c r="E1523" s="3" t="s">
        <v>27</v>
      </c>
      <c r="F1523" s="3">
        <v>1703605</v>
      </c>
      <c r="G1523" s="3">
        <v>606655</v>
      </c>
      <c r="H1523" s="3">
        <v>783235</v>
      </c>
      <c r="I1523" s="3">
        <v>278500</v>
      </c>
    </row>
    <row r="1524" spans="1:9">
      <c r="A1524" s="3" t="s">
        <v>1549</v>
      </c>
      <c r="B1524" s="3" t="s">
        <v>26</v>
      </c>
      <c r="C1524" s="3">
        <v>1507980</v>
      </c>
      <c r="D1524" s="3">
        <v>293155</v>
      </c>
      <c r="E1524" s="3" t="s">
        <v>27</v>
      </c>
      <c r="F1524" s="3">
        <v>1083379</v>
      </c>
      <c r="G1524" s="3">
        <v>223410</v>
      </c>
      <c r="H1524" s="3">
        <v>424601</v>
      </c>
      <c r="I1524" s="3">
        <v>69745</v>
      </c>
    </row>
    <row r="1525" spans="1:9">
      <c r="A1525" s="3" t="s">
        <v>1550</v>
      </c>
      <c r="B1525" s="3" t="s">
        <v>26</v>
      </c>
      <c r="C1525" s="3">
        <v>2868093</v>
      </c>
      <c r="D1525" s="3">
        <v>1034059</v>
      </c>
      <c r="E1525" s="3" t="s">
        <v>27</v>
      </c>
      <c r="F1525" s="3">
        <v>2052384</v>
      </c>
      <c r="G1525" s="3">
        <v>746904</v>
      </c>
      <c r="H1525" s="3">
        <v>815709</v>
      </c>
      <c r="I1525" s="3">
        <v>287155</v>
      </c>
    </row>
    <row r="1526" spans="1:9">
      <c r="A1526" s="3" t="s">
        <v>1551</v>
      </c>
      <c r="B1526" s="3" t="s">
        <v>26</v>
      </c>
      <c r="C1526" s="3">
        <v>1813657</v>
      </c>
      <c r="D1526" s="3">
        <v>331287</v>
      </c>
      <c r="E1526" s="3" t="s">
        <v>27</v>
      </c>
      <c r="F1526" s="3">
        <v>1139515</v>
      </c>
      <c r="G1526" s="3">
        <v>216141</v>
      </c>
      <c r="H1526" s="3">
        <v>674142</v>
      </c>
      <c r="I1526" s="3">
        <v>115146</v>
      </c>
    </row>
    <row r="1527" spans="1:9">
      <c r="A1527" s="3" t="s">
        <v>1552</v>
      </c>
      <c r="B1527" s="3" t="s">
        <v>26</v>
      </c>
      <c r="C1527" s="3">
        <v>196031</v>
      </c>
      <c r="D1527" s="3">
        <v>5823</v>
      </c>
      <c r="E1527" s="3" t="s">
        <v>27</v>
      </c>
      <c r="F1527" s="3">
        <v>88900</v>
      </c>
      <c r="G1527" s="3">
        <v>3265</v>
      </c>
      <c r="H1527" s="3">
        <v>107131</v>
      </c>
      <c r="I1527" s="3">
        <v>2558</v>
      </c>
    </row>
    <row r="1528" spans="1:9">
      <c r="A1528" s="3" t="s">
        <v>1553</v>
      </c>
      <c r="B1528" s="3" t="s">
        <v>26</v>
      </c>
      <c r="C1528" s="3">
        <v>2939758</v>
      </c>
      <c r="D1528" s="3">
        <v>1040628</v>
      </c>
      <c r="E1528" s="3" t="s">
        <v>27</v>
      </c>
      <c r="F1528" s="3">
        <v>1880073</v>
      </c>
      <c r="G1528" s="3">
        <v>663980</v>
      </c>
      <c r="H1528" s="3">
        <v>1059685</v>
      </c>
      <c r="I1528" s="3">
        <v>376648</v>
      </c>
    </row>
    <row r="1529" spans="1:9">
      <c r="A1529" s="3" t="s">
        <v>1554</v>
      </c>
      <c r="B1529" s="3" t="s">
        <v>26</v>
      </c>
      <c r="C1529" s="3">
        <v>2109783</v>
      </c>
      <c r="D1529" s="3">
        <v>426601</v>
      </c>
      <c r="E1529" s="3" t="s">
        <v>27</v>
      </c>
      <c r="F1529" s="3">
        <v>1423263</v>
      </c>
      <c r="G1529" s="3">
        <v>293878</v>
      </c>
      <c r="H1529" s="3">
        <v>686520</v>
      </c>
      <c r="I1529" s="3">
        <v>132723</v>
      </c>
    </row>
    <row r="1530" spans="1:9">
      <c r="A1530" s="3" t="s">
        <v>1555</v>
      </c>
      <c r="B1530" s="3" t="s">
        <v>26</v>
      </c>
      <c r="C1530" s="3">
        <v>2171314</v>
      </c>
      <c r="D1530" s="3">
        <v>586155</v>
      </c>
      <c r="E1530" s="3" t="s">
        <v>27</v>
      </c>
      <c r="F1530" s="3">
        <v>1823103</v>
      </c>
      <c r="G1530" s="3">
        <v>525378</v>
      </c>
      <c r="H1530" s="3">
        <v>348211</v>
      </c>
      <c r="I1530" s="3">
        <v>60777</v>
      </c>
    </row>
    <row r="1531" spans="1:9">
      <c r="A1531" s="3" t="s">
        <v>1556</v>
      </c>
      <c r="B1531" s="3" t="s">
        <v>26</v>
      </c>
      <c r="C1531" s="3">
        <v>2523218</v>
      </c>
      <c r="D1531" s="3">
        <v>652011</v>
      </c>
      <c r="E1531" s="3" t="s">
        <v>27</v>
      </c>
      <c r="F1531" s="3">
        <v>1776709</v>
      </c>
      <c r="G1531" s="3">
        <v>463269</v>
      </c>
      <c r="H1531" s="3">
        <v>746509</v>
      </c>
      <c r="I1531" s="3">
        <v>188742</v>
      </c>
    </row>
    <row r="1532" spans="1:9">
      <c r="A1532" s="3" t="s">
        <v>1557</v>
      </c>
      <c r="B1532" s="3" t="s">
        <v>26</v>
      </c>
      <c r="C1532" s="3">
        <v>1893315</v>
      </c>
      <c r="D1532" s="3">
        <v>421751</v>
      </c>
      <c r="E1532" s="3" t="s">
        <v>27</v>
      </c>
      <c r="F1532" s="3">
        <v>1091228</v>
      </c>
      <c r="G1532" s="3">
        <v>225718</v>
      </c>
      <c r="H1532" s="3">
        <v>802087</v>
      </c>
      <c r="I1532" s="3">
        <v>196033</v>
      </c>
    </row>
    <row r="1533" spans="1:9">
      <c r="A1533" s="3" t="s">
        <v>1558</v>
      </c>
      <c r="B1533" s="3" t="s">
        <v>26</v>
      </c>
      <c r="C1533" s="3">
        <v>2253216</v>
      </c>
      <c r="D1533" s="3">
        <v>805113</v>
      </c>
      <c r="E1533" s="3" t="s">
        <v>27</v>
      </c>
      <c r="F1533" s="3">
        <v>1839546</v>
      </c>
      <c r="G1533" s="3">
        <v>638902</v>
      </c>
      <c r="H1533" s="3">
        <v>413670</v>
      </c>
      <c r="I1533" s="3">
        <v>166211</v>
      </c>
    </row>
    <row r="1534" spans="1:9">
      <c r="A1534" s="3" t="s">
        <v>1559</v>
      </c>
      <c r="B1534" s="3" t="s">
        <v>26</v>
      </c>
      <c r="C1534" s="3">
        <v>2598154</v>
      </c>
      <c r="D1534" s="3">
        <v>970990</v>
      </c>
      <c r="E1534" s="3" t="s">
        <v>27</v>
      </c>
      <c r="F1534" s="3">
        <v>1819968</v>
      </c>
      <c r="G1534" s="3">
        <v>671319</v>
      </c>
      <c r="H1534" s="3">
        <v>778186</v>
      </c>
      <c r="I1534" s="3">
        <v>299671</v>
      </c>
    </row>
    <row r="1535" spans="1:9">
      <c r="A1535" s="3" t="s">
        <v>1560</v>
      </c>
      <c r="B1535" s="3" t="s">
        <v>26</v>
      </c>
      <c r="C1535" s="3">
        <v>3097687</v>
      </c>
      <c r="D1535" s="3">
        <v>1204142</v>
      </c>
      <c r="E1535" s="3" t="s">
        <v>27</v>
      </c>
      <c r="F1535" s="3">
        <v>2068082</v>
      </c>
      <c r="G1535" s="3">
        <v>788937</v>
      </c>
      <c r="H1535" s="3">
        <v>1029605</v>
      </c>
      <c r="I1535" s="3">
        <v>415205</v>
      </c>
    </row>
    <row r="1536" spans="1:9">
      <c r="A1536" s="3" t="s">
        <v>1561</v>
      </c>
      <c r="B1536" s="3" t="s">
        <v>26</v>
      </c>
      <c r="C1536" s="3">
        <v>2151023</v>
      </c>
      <c r="D1536" s="3">
        <v>535837</v>
      </c>
      <c r="E1536" s="3" t="s">
        <v>27</v>
      </c>
      <c r="F1536" s="3">
        <v>1443148</v>
      </c>
      <c r="G1536" s="3">
        <v>376893</v>
      </c>
      <c r="H1536" s="3">
        <v>707875</v>
      </c>
      <c r="I1536" s="3">
        <v>158944</v>
      </c>
    </row>
    <row r="1537" spans="1:9">
      <c r="A1537" s="3" t="s">
        <v>1562</v>
      </c>
      <c r="B1537" s="3" t="s">
        <v>26</v>
      </c>
      <c r="C1537" s="3">
        <v>1768430</v>
      </c>
      <c r="D1537" s="3">
        <v>386157</v>
      </c>
      <c r="E1537" s="3" t="s">
        <v>27</v>
      </c>
      <c r="F1537" s="3">
        <v>1241291</v>
      </c>
      <c r="G1537" s="3">
        <v>307209</v>
      </c>
      <c r="H1537" s="3">
        <v>527139</v>
      </c>
      <c r="I1537" s="3">
        <v>78948</v>
      </c>
    </row>
    <row r="1538" spans="1:9">
      <c r="A1538" s="3" t="s">
        <v>1563</v>
      </c>
      <c r="B1538" s="3" t="s">
        <v>26</v>
      </c>
      <c r="C1538" s="3">
        <v>1756693</v>
      </c>
      <c r="D1538" s="3">
        <v>449272</v>
      </c>
      <c r="E1538" s="3" t="s">
        <v>27</v>
      </c>
      <c r="F1538" s="3">
        <v>1275980</v>
      </c>
      <c r="G1538" s="3">
        <v>314530</v>
      </c>
      <c r="H1538" s="3">
        <v>480713</v>
      </c>
      <c r="I1538" s="3">
        <v>134742</v>
      </c>
    </row>
    <row r="1539" spans="1:9">
      <c r="A1539" s="3" t="s">
        <v>1564</v>
      </c>
      <c r="B1539" s="3" t="s">
        <v>26</v>
      </c>
      <c r="C1539" s="3">
        <v>2462196</v>
      </c>
      <c r="D1539" s="3">
        <v>776645</v>
      </c>
      <c r="E1539" s="3" t="s">
        <v>27</v>
      </c>
      <c r="F1539" s="3">
        <v>1909547</v>
      </c>
      <c r="G1539" s="3">
        <v>601288</v>
      </c>
      <c r="H1539" s="3">
        <v>552649</v>
      </c>
      <c r="I1539" s="3">
        <v>175357</v>
      </c>
    </row>
    <row r="1540" spans="1:9">
      <c r="A1540" s="3" t="s">
        <v>1565</v>
      </c>
      <c r="B1540" s="3" t="s">
        <v>26</v>
      </c>
      <c r="C1540" s="3">
        <v>2304794</v>
      </c>
      <c r="D1540" s="3">
        <v>808054</v>
      </c>
      <c r="E1540" s="3" t="s">
        <v>27</v>
      </c>
      <c r="F1540" s="3">
        <v>1726586</v>
      </c>
      <c r="G1540" s="3">
        <v>586096</v>
      </c>
      <c r="H1540" s="3">
        <v>578208</v>
      </c>
      <c r="I1540" s="3">
        <v>221958</v>
      </c>
    </row>
    <row r="1541" spans="1:9">
      <c r="A1541" s="3" t="s">
        <v>1566</v>
      </c>
      <c r="B1541" s="3" t="s">
        <v>26</v>
      </c>
      <c r="C1541" s="3">
        <v>1918603</v>
      </c>
      <c r="D1541" s="3">
        <v>553137</v>
      </c>
      <c r="E1541" s="3" t="s">
        <v>27</v>
      </c>
      <c r="F1541" s="3">
        <v>1325888</v>
      </c>
      <c r="G1541" s="3">
        <v>412461</v>
      </c>
      <c r="H1541" s="3">
        <v>592715</v>
      </c>
      <c r="I1541" s="3">
        <v>140676</v>
      </c>
    </row>
    <row r="1542" spans="1:9">
      <c r="A1542" s="3" t="s">
        <v>1567</v>
      </c>
      <c r="B1542" s="3" t="s">
        <v>26</v>
      </c>
      <c r="C1542" s="3">
        <v>2762542</v>
      </c>
      <c r="D1542" s="3">
        <v>1048035</v>
      </c>
      <c r="E1542" s="3" t="s">
        <v>27</v>
      </c>
      <c r="F1542" s="3">
        <v>2021644</v>
      </c>
      <c r="G1542" s="3">
        <v>760439</v>
      </c>
      <c r="H1542" s="3">
        <v>740898</v>
      </c>
      <c r="I1542" s="3">
        <v>287596</v>
      </c>
    </row>
    <row r="1543" spans="1:9">
      <c r="A1543" s="3" t="s">
        <v>1568</v>
      </c>
      <c r="B1543" s="3" t="s">
        <v>26</v>
      </c>
      <c r="C1543" s="3">
        <v>2341668</v>
      </c>
      <c r="D1543" s="3">
        <v>733869</v>
      </c>
      <c r="E1543" s="3" t="s">
        <v>27</v>
      </c>
      <c r="F1543" s="3">
        <v>1653405</v>
      </c>
      <c r="G1543" s="3">
        <v>535530</v>
      </c>
      <c r="H1543" s="3">
        <v>688263</v>
      </c>
      <c r="I1543" s="3">
        <v>198339</v>
      </c>
    </row>
    <row r="1544" spans="1:9">
      <c r="A1544" s="3" t="s">
        <v>1569</v>
      </c>
      <c r="B1544" s="3" t="s">
        <v>26</v>
      </c>
      <c r="C1544" s="3">
        <v>2985847</v>
      </c>
      <c r="D1544" s="3">
        <v>1161896</v>
      </c>
      <c r="E1544" s="3" t="s">
        <v>27</v>
      </c>
      <c r="F1544" s="3">
        <v>1961131</v>
      </c>
      <c r="G1544" s="3">
        <v>771361</v>
      </c>
      <c r="H1544" s="3">
        <v>1024716</v>
      </c>
      <c r="I1544" s="3">
        <v>390535</v>
      </c>
    </row>
    <row r="1545" spans="1:9">
      <c r="A1545" s="3" t="s">
        <v>1570</v>
      </c>
      <c r="B1545" s="3" t="s">
        <v>26</v>
      </c>
      <c r="C1545" s="3">
        <v>3010456</v>
      </c>
      <c r="D1545" s="3">
        <v>1152255</v>
      </c>
      <c r="E1545" s="3" t="s">
        <v>27</v>
      </c>
      <c r="F1545" s="3">
        <v>2366716</v>
      </c>
      <c r="G1545" s="3">
        <v>913179</v>
      </c>
      <c r="H1545" s="3">
        <v>643740</v>
      </c>
      <c r="I1545" s="3">
        <v>239076</v>
      </c>
    </row>
    <row r="1546" spans="1:9">
      <c r="A1546" s="3" t="s">
        <v>1571</v>
      </c>
      <c r="B1546" s="3" t="s">
        <v>26</v>
      </c>
      <c r="C1546" s="3">
        <v>2469800</v>
      </c>
      <c r="D1546" s="3">
        <v>815901</v>
      </c>
      <c r="E1546" s="3" t="s">
        <v>27</v>
      </c>
      <c r="F1546" s="3">
        <v>1879204</v>
      </c>
      <c r="G1546" s="3">
        <v>629641</v>
      </c>
      <c r="H1546" s="3">
        <v>590596</v>
      </c>
      <c r="I1546" s="3">
        <v>186260</v>
      </c>
    </row>
    <row r="1547" spans="1:9">
      <c r="A1547" s="3" t="s">
        <v>1572</v>
      </c>
      <c r="B1547" s="3" t="s">
        <v>26</v>
      </c>
      <c r="C1547" s="3">
        <v>1377831</v>
      </c>
      <c r="D1547" s="3">
        <v>8479</v>
      </c>
      <c r="E1547" s="3" t="s">
        <v>27</v>
      </c>
      <c r="F1547" s="3">
        <v>710153</v>
      </c>
      <c r="G1547" s="3">
        <v>3904</v>
      </c>
      <c r="H1547" s="3">
        <v>667678</v>
      </c>
      <c r="I1547" s="3">
        <v>4575</v>
      </c>
    </row>
    <row r="1548" spans="1:9">
      <c r="A1548" s="3" t="s">
        <v>1573</v>
      </c>
      <c r="B1548" s="3" t="s">
        <v>26</v>
      </c>
      <c r="C1548" s="3">
        <v>1893284</v>
      </c>
      <c r="D1548" s="3">
        <v>28049</v>
      </c>
      <c r="E1548" s="3" t="s">
        <v>27</v>
      </c>
      <c r="F1548" s="3">
        <v>969249</v>
      </c>
      <c r="G1548" s="3">
        <v>16674</v>
      </c>
      <c r="H1548" s="3">
        <v>924035</v>
      </c>
      <c r="I1548" s="3">
        <v>11375</v>
      </c>
    </row>
    <row r="1549" spans="1:9">
      <c r="A1549" s="3" t="s">
        <v>1574</v>
      </c>
      <c r="B1549" s="3" t="s">
        <v>26</v>
      </c>
      <c r="C1549" s="3">
        <v>2870432</v>
      </c>
      <c r="D1549" s="3">
        <v>1187738</v>
      </c>
      <c r="E1549" s="3" t="s">
        <v>27</v>
      </c>
      <c r="F1549" s="3">
        <v>2364851</v>
      </c>
      <c r="G1549" s="3">
        <v>943326</v>
      </c>
      <c r="H1549" s="3">
        <v>505581</v>
      </c>
      <c r="I1549" s="3">
        <v>244412</v>
      </c>
    </row>
    <row r="1550" spans="1:9">
      <c r="A1550" s="3" t="s">
        <v>1575</v>
      </c>
      <c r="B1550" s="3" t="s">
        <v>26</v>
      </c>
      <c r="C1550" s="3">
        <v>1843185</v>
      </c>
      <c r="D1550" s="3">
        <v>236588</v>
      </c>
      <c r="E1550" s="3" t="s">
        <v>27</v>
      </c>
      <c r="F1550" s="3">
        <v>1048077</v>
      </c>
      <c r="G1550" s="3">
        <v>136713</v>
      </c>
      <c r="H1550" s="3">
        <v>795108</v>
      </c>
      <c r="I1550" s="3">
        <v>99875</v>
      </c>
    </row>
    <row r="1551" spans="1:9">
      <c r="A1551" s="3" t="s">
        <v>1576</v>
      </c>
      <c r="B1551" s="3" t="s">
        <v>26</v>
      </c>
      <c r="C1551" s="3">
        <v>2395482</v>
      </c>
      <c r="D1551" s="3">
        <v>926611</v>
      </c>
      <c r="E1551" s="3" t="s">
        <v>27</v>
      </c>
      <c r="F1551" s="3">
        <v>1756502</v>
      </c>
      <c r="G1551" s="3">
        <v>641800</v>
      </c>
      <c r="H1551" s="3">
        <v>638980</v>
      </c>
      <c r="I1551" s="3">
        <v>284811</v>
      </c>
    </row>
    <row r="1552" spans="1:9">
      <c r="A1552" s="3" t="s">
        <v>1577</v>
      </c>
      <c r="B1552" s="3" t="s">
        <v>26</v>
      </c>
      <c r="C1552" s="3">
        <v>3203689</v>
      </c>
      <c r="D1552" s="3">
        <v>1272475</v>
      </c>
      <c r="E1552" s="3" t="s">
        <v>27</v>
      </c>
      <c r="F1552" s="3">
        <v>2122695</v>
      </c>
      <c r="G1552" s="3">
        <v>836933</v>
      </c>
      <c r="H1552" s="3">
        <v>1080994</v>
      </c>
      <c r="I1552" s="3">
        <v>435542</v>
      </c>
    </row>
    <row r="1553" spans="1:9">
      <c r="A1553" s="3" t="s">
        <v>1578</v>
      </c>
      <c r="B1553" s="3" t="s">
        <v>26</v>
      </c>
      <c r="C1553" s="3">
        <v>2823677</v>
      </c>
      <c r="D1553" s="3">
        <v>1005426</v>
      </c>
      <c r="E1553" s="3" t="s">
        <v>27</v>
      </c>
      <c r="F1553" s="3">
        <v>1845856</v>
      </c>
      <c r="G1553" s="3">
        <v>660096</v>
      </c>
      <c r="H1553" s="3">
        <v>977821</v>
      </c>
      <c r="I1553" s="3">
        <v>345330</v>
      </c>
    </row>
    <row r="1554" spans="1:9">
      <c r="A1554" s="3" t="s">
        <v>1579</v>
      </c>
      <c r="B1554" s="3" t="s">
        <v>26</v>
      </c>
      <c r="C1554" s="3">
        <v>1557676</v>
      </c>
      <c r="D1554" s="3">
        <v>18730</v>
      </c>
      <c r="E1554" s="3" t="s">
        <v>27</v>
      </c>
      <c r="F1554" s="3">
        <v>818878</v>
      </c>
      <c r="G1554" s="3">
        <v>7212</v>
      </c>
      <c r="H1554" s="3">
        <v>738798</v>
      </c>
      <c r="I1554" s="3">
        <v>11518</v>
      </c>
    </row>
    <row r="1555" spans="1:9">
      <c r="A1555" s="3" t="s">
        <v>1580</v>
      </c>
      <c r="B1555" s="3" t="s">
        <v>26</v>
      </c>
      <c r="C1555" s="3">
        <v>1255357</v>
      </c>
      <c r="D1555" s="3">
        <v>124913</v>
      </c>
      <c r="E1555" s="3" t="s">
        <v>27</v>
      </c>
      <c r="F1555" s="3">
        <v>745193</v>
      </c>
      <c r="G1555" s="3">
        <v>85987</v>
      </c>
      <c r="H1555" s="3">
        <v>510164</v>
      </c>
      <c r="I1555" s="3">
        <v>38926</v>
      </c>
    </row>
    <row r="1556" spans="1:9">
      <c r="A1556" s="3" t="s">
        <v>1581</v>
      </c>
      <c r="B1556" s="3" t="s">
        <v>26</v>
      </c>
      <c r="C1556" s="3">
        <v>2529489</v>
      </c>
      <c r="D1556" s="3">
        <v>505515</v>
      </c>
      <c r="E1556" s="3" t="s">
        <v>27</v>
      </c>
      <c r="F1556" s="3">
        <v>1707876</v>
      </c>
      <c r="G1556" s="3">
        <v>356952</v>
      </c>
      <c r="H1556" s="3">
        <v>821613</v>
      </c>
      <c r="I1556" s="3">
        <v>148563</v>
      </c>
    </row>
    <row r="1557" spans="1:9">
      <c r="A1557" s="3" t="s">
        <v>1582</v>
      </c>
      <c r="B1557" s="3" t="s">
        <v>26</v>
      </c>
      <c r="C1557" s="3">
        <v>2912293</v>
      </c>
      <c r="D1557" s="3">
        <v>998502</v>
      </c>
      <c r="E1557" s="3" t="s">
        <v>27</v>
      </c>
      <c r="F1557" s="3">
        <v>2057444</v>
      </c>
      <c r="G1557" s="3">
        <v>691930</v>
      </c>
      <c r="H1557" s="3">
        <v>854849</v>
      </c>
      <c r="I1557" s="3">
        <v>306572</v>
      </c>
    </row>
    <row r="1558" spans="1:9">
      <c r="A1558" s="3" t="s">
        <v>1583</v>
      </c>
      <c r="B1558" s="3" t="s">
        <v>26</v>
      </c>
      <c r="C1558" s="3">
        <v>2390323</v>
      </c>
      <c r="D1558" s="3">
        <v>825726</v>
      </c>
      <c r="E1558" s="3" t="s">
        <v>27</v>
      </c>
      <c r="F1558" s="3">
        <v>1895345</v>
      </c>
      <c r="G1558" s="3">
        <v>658363</v>
      </c>
      <c r="H1558" s="3">
        <v>494978</v>
      </c>
      <c r="I1558" s="3">
        <v>167363</v>
      </c>
    </row>
    <row r="1559" spans="1:9">
      <c r="A1559" s="3" t="s">
        <v>1584</v>
      </c>
      <c r="B1559" s="3" t="s">
        <v>26</v>
      </c>
      <c r="C1559" s="3">
        <v>3047548</v>
      </c>
      <c r="D1559" s="3">
        <v>1142259</v>
      </c>
      <c r="E1559" s="3" t="s">
        <v>27</v>
      </c>
      <c r="F1559" s="3">
        <v>2005966</v>
      </c>
      <c r="G1559" s="3">
        <v>745013</v>
      </c>
      <c r="H1559" s="3">
        <v>1041582</v>
      </c>
      <c r="I1559" s="3">
        <v>397246</v>
      </c>
    </row>
    <row r="1560" spans="1:9">
      <c r="A1560" s="3" t="s">
        <v>1585</v>
      </c>
      <c r="B1560" s="3" t="s">
        <v>26</v>
      </c>
      <c r="C1560" s="3">
        <v>2001322</v>
      </c>
      <c r="D1560" s="3">
        <v>405772</v>
      </c>
      <c r="E1560" s="3" t="s">
        <v>27</v>
      </c>
      <c r="F1560" s="3">
        <v>1274939</v>
      </c>
      <c r="G1560" s="3">
        <v>251707</v>
      </c>
      <c r="H1560" s="3">
        <v>726383</v>
      </c>
      <c r="I1560" s="3">
        <v>154065</v>
      </c>
    </row>
    <row r="1561" spans="1:9">
      <c r="A1561" s="3" t="s">
        <v>1586</v>
      </c>
      <c r="B1561" s="3" t="s">
        <v>26</v>
      </c>
      <c r="C1561" s="3">
        <v>2589248</v>
      </c>
      <c r="D1561" s="3">
        <v>894057</v>
      </c>
      <c r="E1561" s="3" t="s">
        <v>27</v>
      </c>
      <c r="F1561" s="3">
        <v>1768700</v>
      </c>
      <c r="G1561" s="3">
        <v>636868</v>
      </c>
      <c r="H1561" s="3">
        <v>820548</v>
      </c>
      <c r="I1561" s="3">
        <v>257189</v>
      </c>
    </row>
    <row r="1562" spans="1:9">
      <c r="A1562" s="3" t="s">
        <v>1587</v>
      </c>
      <c r="B1562" s="3" t="s">
        <v>26</v>
      </c>
      <c r="C1562" s="3">
        <v>2683461</v>
      </c>
      <c r="D1562" s="3">
        <v>1035972</v>
      </c>
      <c r="E1562" s="3" t="s">
        <v>27</v>
      </c>
      <c r="F1562" s="3">
        <v>2134676</v>
      </c>
      <c r="G1562" s="3">
        <v>816165</v>
      </c>
      <c r="H1562" s="3">
        <v>548785</v>
      </c>
      <c r="I1562" s="3">
        <v>219807</v>
      </c>
    </row>
    <row r="1563" spans="1:9">
      <c r="A1563" s="3" t="s">
        <v>1588</v>
      </c>
      <c r="B1563" s="3" t="s">
        <v>26</v>
      </c>
      <c r="C1563" s="3">
        <v>2879559</v>
      </c>
      <c r="D1563" s="3">
        <v>1197696</v>
      </c>
      <c r="E1563" s="3" t="s">
        <v>27</v>
      </c>
      <c r="F1563" s="3">
        <v>2244967</v>
      </c>
      <c r="G1563" s="3">
        <v>895580</v>
      </c>
      <c r="H1563" s="3">
        <v>634592</v>
      </c>
      <c r="I1563" s="3">
        <v>302116</v>
      </c>
    </row>
    <row r="1564" spans="1:9">
      <c r="A1564" s="3" t="s">
        <v>1589</v>
      </c>
      <c r="B1564" s="3" t="s">
        <v>26</v>
      </c>
      <c r="C1564" s="3">
        <v>2455732</v>
      </c>
      <c r="D1564" s="3">
        <v>880017</v>
      </c>
      <c r="E1564" s="3" t="s">
        <v>27</v>
      </c>
      <c r="F1564" s="3">
        <v>2275742</v>
      </c>
      <c r="G1564" s="3">
        <v>795285</v>
      </c>
      <c r="H1564" s="3">
        <v>179990</v>
      </c>
      <c r="I1564" s="3">
        <v>84732</v>
      </c>
    </row>
    <row r="1565" spans="1:9">
      <c r="A1565" s="3" t="s">
        <v>1590</v>
      </c>
      <c r="B1565" s="3" t="s">
        <v>26</v>
      </c>
      <c r="C1565" s="3">
        <v>2664849</v>
      </c>
      <c r="D1565" s="3">
        <v>927710</v>
      </c>
      <c r="E1565" s="3" t="s">
        <v>27</v>
      </c>
      <c r="F1565" s="3">
        <v>1853913</v>
      </c>
      <c r="G1565" s="3">
        <v>617624</v>
      </c>
      <c r="H1565" s="3">
        <v>810936</v>
      </c>
      <c r="I1565" s="3">
        <v>310086</v>
      </c>
    </row>
    <row r="1566" spans="1:9">
      <c r="A1566" s="3" t="s">
        <v>1591</v>
      </c>
      <c r="B1566" s="3" t="s">
        <v>26</v>
      </c>
      <c r="C1566" s="3">
        <v>2559635</v>
      </c>
      <c r="D1566" s="3">
        <v>732814</v>
      </c>
      <c r="E1566" s="3" t="s">
        <v>27</v>
      </c>
      <c r="F1566" s="3">
        <v>1562591</v>
      </c>
      <c r="G1566" s="3">
        <v>474009</v>
      </c>
      <c r="H1566" s="3">
        <v>997044</v>
      </c>
      <c r="I1566" s="3">
        <v>258805</v>
      </c>
    </row>
    <row r="1567" spans="1:9">
      <c r="A1567" s="3" t="s">
        <v>1592</v>
      </c>
      <c r="B1567" s="3" t="s">
        <v>26</v>
      </c>
      <c r="C1567" s="3">
        <v>2529072</v>
      </c>
      <c r="D1567" s="3">
        <v>768848</v>
      </c>
      <c r="E1567" s="3" t="s">
        <v>27</v>
      </c>
      <c r="F1567" s="3">
        <v>1682783</v>
      </c>
      <c r="G1567" s="3">
        <v>564280</v>
      </c>
      <c r="H1567" s="3">
        <v>846289</v>
      </c>
      <c r="I1567" s="3">
        <v>204568</v>
      </c>
    </row>
    <row r="1568" spans="1:9">
      <c r="A1568" s="3" t="s">
        <v>1593</v>
      </c>
      <c r="B1568" s="3" t="s">
        <v>26</v>
      </c>
      <c r="C1568" s="3">
        <v>2170925</v>
      </c>
      <c r="D1568" s="3">
        <v>488837</v>
      </c>
      <c r="E1568" s="3" t="s">
        <v>27</v>
      </c>
      <c r="F1568" s="3">
        <v>1648342</v>
      </c>
      <c r="G1568" s="3">
        <v>389961</v>
      </c>
      <c r="H1568" s="3">
        <v>522583</v>
      </c>
      <c r="I1568" s="3">
        <v>98876</v>
      </c>
    </row>
    <row r="1569" spans="1:9">
      <c r="A1569" s="3" t="s">
        <v>1594</v>
      </c>
      <c r="B1569" s="3" t="s">
        <v>26</v>
      </c>
      <c r="C1569" s="3">
        <v>3208646</v>
      </c>
      <c r="D1569" s="3">
        <v>1342799</v>
      </c>
      <c r="E1569" s="3" t="s">
        <v>27</v>
      </c>
      <c r="F1569" s="3">
        <v>2304429</v>
      </c>
      <c r="G1569" s="3">
        <v>943182</v>
      </c>
      <c r="H1569" s="3">
        <v>904217</v>
      </c>
      <c r="I1569" s="3">
        <v>399617</v>
      </c>
    </row>
    <row r="1570" spans="1:9">
      <c r="A1570" s="3" t="s">
        <v>1595</v>
      </c>
      <c r="B1570" s="3" t="s">
        <v>26</v>
      </c>
      <c r="C1570" s="3">
        <v>2699171</v>
      </c>
      <c r="D1570" s="3">
        <v>1053547</v>
      </c>
      <c r="E1570" s="3" t="s">
        <v>27</v>
      </c>
      <c r="F1570" s="3">
        <v>2224820</v>
      </c>
      <c r="G1570" s="3">
        <v>870000</v>
      </c>
      <c r="H1570" s="3">
        <v>474351</v>
      </c>
      <c r="I1570" s="3">
        <v>183547</v>
      </c>
    </row>
    <row r="1571" spans="1:9">
      <c r="A1571" s="3" t="s">
        <v>1596</v>
      </c>
      <c r="B1571" s="3" t="s">
        <v>26</v>
      </c>
      <c r="C1571" s="3">
        <v>2700256</v>
      </c>
      <c r="D1571" s="3">
        <v>966459</v>
      </c>
      <c r="E1571" s="3" t="s">
        <v>27</v>
      </c>
      <c r="F1571" s="3">
        <v>1958329</v>
      </c>
      <c r="G1571" s="3">
        <v>686867</v>
      </c>
      <c r="H1571" s="3">
        <v>741927</v>
      </c>
      <c r="I1571" s="3">
        <v>279592</v>
      </c>
    </row>
    <row r="1572" spans="1:9">
      <c r="A1572" s="3" t="s">
        <v>1597</v>
      </c>
      <c r="B1572" s="3" t="s">
        <v>26</v>
      </c>
      <c r="C1572" s="3">
        <v>1049076</v>
      </c>
      <c r="D1572" s="3">
        <v>12239</v>
      </c>
      <c r="E1572" s="3" t="s">
        <v>27</v>
      </c>
      <c r="F1572" s="3">
        <v>539376</v>
      </c>
      <c r="G1572" s="3">
        <v>6109</v>
      </c>
      <c r="H1572" s="3">
        <v>509700</v>
      </c>
      <c r="I1572" s="3">
        <v>6130</v>
      </c>
    </row>
    <row r="1573" spans="1:9">
      <c r="A1573" s="3" t="s">
        <v>1598</v>
      </c>
      <c r="B1573" s="3" t="s">
        <v>26</v>
      </c>
      <c r="C1573" s="3">
        <v>1965145</v>
      </c>
      <c r="D1573" s="3">
        <v>33918</v>
      </c>
      <c r="E1573" s="3" t="s">
        <v>27</v>
      </c>
      <c r="F1573" s="3">
        <v>1036132</v>
      </c>
      <c r="G1573" s="3">
        <v>20016</v>
      </c>
      <c r="H1573" s="3">
        <v>929013</v>
      </c>
      <c r="I1573" s="3">
        <v>13902</v>
      </c>
    </row>
    <row r="1574" spans="1:9">
      <c r="A1574" s="3" t="s">
        <v>1599</v>
      </c>
      <c r="B1574" s="3" t="s">
        <v>26</v>
      </c>
      <c r="C1574" s="3">
        <v>2327901</v>
      </c>
      <c r="D1574" s="3">
        <v>827494</v>
      </c>
      <c r="E1574" s="3" t="s">
        <v>27</v>
      </c>
      <c r="F1574" s="3">
        <v>1849697</v>
      </c>
      <c r="G1574" s="3">
        <v>666687</v>
      </c>
      <c r="H1574" s="3">
        <v>478204</v>
      </c>
      <c r="I1574" s="3">
        <v>160807</v>
      </c>
    </row>
    <row r="1575" spans="1:9">
      <c r="A1575" s="3" t="s">
        <v>1600</v>
      </c>
      <c r="B1575" s="3" t="s">
        <v>26</v>
      </c>
      <c r="C1575" s="3">
        <v>2262552</v>
      </c>
      <c r="D1575" s="3">
        <v>649596</v>
      </c>
      <c r="E1575" s="3" t="s">
        <v>27</v>
      </c>
      <c r="F1575" s="3">
        <v>1422975</v>
      </c>
      <c r="G1575" s="3">
        <v>421387</v>
      </c>
      <c r="H1575" s="3">
        <v>839577</v>
      </c>
      <c r="I1575" s="3">
        <v>228209</v>
      </c>
    </row>
    <row r="1576" spans="1:9">
      <c r="A1576" s="3" t="s">
        <v>1601</v>
      </c>
      <c r="B1576" s="3" t="s">
        <v>26</v>
      </c>
      <c r="C1576" s="3">
        <v>2544575</v>
      </c>
      <c r="D1576" s="3">
        <v>891644</v>
      </c>
      <c r="E1576" s="3" t="s">
        <v>27</v>
      </c>
      <c r="F1576" s="3">
        <v>2094413</v>
      </c>
      <c r="G1576" s="3">
        <v>739803</v>
      </c>
      <c r="H1576" s="3">
        <v>450162</v>
      </c>
      <c r="I1576" s="3">
        <v>151841</v>
      </c>
    </row>
    <row r="1577" spans="1:9">
      <c r="A1577" s="3" t="s">
        <v>1602</v>
      </c>
      <c r="B1577" s="3" t="s">
        <v>26</v>
      </c>
      <c r="C1577" s="3">
        <v>2719000</v>
      </c>
      <c r="D1577" s="3">
        <v>842589</v>
      </c>
      <c r="E1577" s="3" t="s">
        <v>27</v>
      </c>
      <c r="F1577" s="3">
        <v>1970579</v>
      </c>
      <c r="G1577" s="3">
        <v>624006</v>
      </c>
      <c r="H1577" s="3">
        <v>748421</v>
      </c>
      <c r="I1577" s="3">
        <v>218583</v>
      </c>
    </row>
    <row r="1578" spans="1:9">
      <c r="A1578" s="3" t="s">
        <v>1603</v>
      </c>
      <c r="B1578" s="3" t="s">
        <v>26</v>
      </c>
      <c r="C1578" s="3">
        <v>1571606</v>
      </c>
      <c r="D1578" s="3">
        <v>325415</v>
      </c>
      <c r="E1578" s="3" t="s">
        <v>27</v>
      </c>
      <c r="F1578" s="3">
        <v>908198</v>
      </c>
      <c r="G1578" s="3">
        <v>212556</v>
      </c>
      <c r="H1578" s="3">
        <v>663408</v>
      </c>
      <c r="I1578" s="3">
        <v>112859</v>
      </c>
    </row>
    <row r="1579" spans="1:9">
      <c r="A1579" s="3" t="s">
        <v>1604</v>
      </c>
      <c r="B1579" s="3" t="s">
        <v>26</v>
      </c>
      <c r="C1579" s="3">
        <v>1054807</v>
      </c>
      <c r="D1579" s="3">
        <v>18549</v>
      </c>
      <c r="E1579" s="3" t="s">
        <v>27</v>
      </c>
      <c r="F1579" s="3">
        <v>593065</v>
      </c>
      <c r="G1579" s="3">
        <v>12252</v>
      </c>
      <c r="H1579" s="3">
        <v>461742</v>
      </c>
      <c r="I1579" s="3">
        <v>6297</v>
      </c>
    </row>
    <row r="1580" spans="1:9">
      <c r="A1580" s="3" t="s">
        <v>1605</v>
      </c>
      <c r="B1580" s="3" t="s">
        <v>26</v>
      </c>
      <c r="C1580" s="3">
        <v>2350198</v>
      </c>
      <c r="D1580" s="3">
        <v>883955</v>
      </c>
      <c r="E1580" s="3" t="s">
        <v>27</v>
      </c>
      <c r="F1580" s="3">
        <v>1915396</v>
      </c>
      <c r="G1580" s="3">
        <v>692363</v>
      </c>
      <c r="H1580" s="3">
        <v>434802</v>
      </c>
      <c r="I1580" s="3">
        <v>191592</v>
      </c>
    </row>
    <row r="1581" spans="1:9">
      <c r="A1581" s="3" t="s">
        <v>1606</v>
      </c>
      <c r="B1581" s="3" t="s">
        <v>26</v>
      </c>
      <c r="C1581" s="3">
        <v>1864866</v>
      </c>
      <c r="D1581" s="3">
        <v>99980</v>
      </c>
      <c r="E1581" s="3" t="s">
        <v>27</v>
      </c>
      <c r="F1581" s="3">
        <v>1055293</v>
      </c>
      <c r="G1581" s="3">
        <v>56552</v>
      </c>
      <c r="H1581" s="3">
        <v>809573</v>
      </c>
      <c r="I1581" s="3">
        <v>43428</v>
      </c>
    </row>
    <row r="1582" spans="1:9">
      <c r="A1582" s="3" t="s">
        <v>1607</v>
      </c>
      <c r="B1582" s="3" t="s">
        <v>26</v>
      </c>
      <c r="C1582" s="3">
        <v>873901</v>
      </c>
      <c r="D1582" s="3">
        <v>89988</v>
      </c>
      <c r="E1582" s="3" t="s">
        <v>27</v>
      </c>
      <c r="F1582" s="3">
        <v>569611</v>
      </c>
      <c r="G1582" s="3">
        <v>62984</v>
      </c>
      <c r="H1582" s="3">
        <v>304290</v>
      </c>
      <c r="I1582" s="3">
        <v>27004</v>
      </c>
    </row>
    <row r="1583" spans="1:9">
      <c r="A1583" s="3" t="s">
        <v>1608</v>
      </c>
      <c r="B1583" s="3" t="s">
        <v>26</v>
      </c>
      <c r="C1583" s="3">
        <v>1669374</v>
      </c>
      <c r="D1583" s="3">
        <v>540874</v>
      </c>
      <c r="E1583" s="3" t="s">
        <v>27</v>
      </c>
      <c r="F1583" s="3">
        <v>1169378</v>
      </c>
      <c r="G1583" s="3">
        <v>371802</v>
      </c>
      <c r="H1583" s="3">
        <v>499996</v>
      </c>
      <c r="I1583" s="3">
        <v>169072</v>
      </c>
    </row>
    <row r="1584" spans="1:9">
      <c r="A1584" s="3" t="s">
        <v>1609</v>
      </c>
      <c r="B1584" s="3" t="s">
        <v>26</v>
      </c>
      <c r="C1584" s="3">
        <v>1407467</v>
      </c>
      <c r="D1584" s="3">
        <v>480516</v>
      </c>
      <c r="E1584" s="3" t="s">
        <v>27</v>
      </c>
      <c r="F1584" s="3">
        <v>1186916</v>
      </c>
      <c r="G1584" s="3">
        <v>389444</v>
      </c>
      <c r="H1584" s="3">
        <v>220551</v>
      </c>
      <c r="I1584" s="3">
        <v>91072</v>
      </c>
    </row>
    <row r="1585" spans="1:9">
      <c r="A1585" s="3" t="s">
        <v>1610</v>
      </c>
      <c r="B1585" s="3" t="s">
        <v>26</v>
      </c>
      <c r="C1585" s="3">
        <v>1266380</v>
      </c>
      <c r="D1585" s="3">
        <v>168430</v>
      </c>
      <c r="E1585" s="3" t="s">
        <v>27</v>
      </c>
      <c r="F1585" s="3">
        <v>737029</v>
      </c>
      <c r="G1585" s="3">
        <v>104501</v>
      </c>
      <c r="H1585" s="3">
        <v>529351</v>
      </c>
      <c r="I1585" s="3">
        <v>63929</v>
      </c>
    </row>
    <row r="1586" spans="1:9">
      <c r="A1586" s="3" t="s">
        <v>1611</v>
      </c>
      <c r="B1586" s="3" t="s">
        <v>26</v>
      </c>
      <c r="C1586" s="3">
        <v>736671</v>
      </c>
      <c r="D1586" s="3">
        <v>67964</v>
      </c>
      <c r="E1586" s="3" t="s">
        <v>27</v>
      </c>
      <c r="F1586" s="3">
        <v>402866</v>
      </c>
      <c r="G1586" s="3">
        <v>39418</v>
      </c>
      <c r="H1586" s="3">
        <v>333805</v>
      </c>
      <c r="I1586" s="3">
        <v>28546</v>
      </c>
    </row>
    <row r="1587" spans="1:9">
      <c r="A1587" s="3" t="s">
        <v>1612</v>
      </c>
      <c r="B1587" s="3" t="s">
        <v>26</v>
      </c>
      <c r="C1587" s="3">
        <v>1304917</v>
      </c>
      <c r="D1587" s="3">
        <v>368464</v>
      </c>
      <c r="E1587" s="3" t="s">
        <v>27</v>
      </c>
      <c r="F1587" s="3">
        <v>1036658</v>
      </c>
      <c r="G1587" s="3">
        <v>276853</v>
      </c>
      <c r="H1587" s="3">
        <v>268259</v>
      </c>
      <c r="I1587" s="3">
        <v>91611</v>
      </c>
    </row>
    <row r="1588" spans="1:9">
      <c r="A1588" s="3" t="s">
        <v>1613</v>
      </c>
      <c r="B1588" s="3" t="s">
        <v>26</v>
      </c>
      <c r="C1588" s="3">
        <v>1562871</v>
      </c>
      <c r="D1588" s="3">
        <v>520790</v>
      </c>
      <c r="E1588" s="3" t="s">
        <v>27</v>
      </c>
      <c r="F1588" s="3">
        <v>1214075</v>
      </c>
      <c r="G1588" s="3">
        <v>392347</v>
      </c>
      <c r="H1588" s="3">
        <v>348796</v>
      </c>
      <c r="I1588" s="3">
        <v>128443</v>
      </c>
    </row>
    <row r="1589" spans="1:9">
      <c r="A1589" s="3" t="s">
        <v>1614</v>
      </c>
      <c r="B1589" s="3" t="s">
        <v>26</v>
      </c>
      <c r="C1589" s="3">
        <v>630050</v>
      </c>
      <c r="D1589" s="3">
        <v>18090</v>
      </c>
      <c r="E1589" s="3" t="s">
        <v>27</v>
      </c>
      <c r="F1589" s="3">
        <v>331896</v>
      </c>
      <c r="G1589" s="3">
        <v>7793</v>
      </c>
      <c r="H1589" s="3">
        <v>298154</v>
      </c>
      <c r="I1589" s="3">
        <v>10297</v>
      </c>
    </row>
    <row r="1590" spans="1:9">
      <c r="A1590" s="3" t="s">
        <v>1615</v>
      </c>
      <c r="B1590" s="3" t="s">
        <v>26</v>
      </c>
      <c r="C1590" s="3">
        <v>594640</v>
      </c>
      <c r="D1590" s="3">
        <v>3581</v>
      </c>
      <c r="E1590" s="3" t="s">
        <v>27</v>
      </c>
      <c r="F1590" s="3">
        <v>318434</v>
      </c>
      <c r="G1590" s="3">
        <v>2176</v>
      </c>
      <c r="H1590" s="3">
        <v>276206</v>
      </c>
      <c r="I1590" s="3">
        <v>1405</v>
      </c>
    </row>
    <row r="1591" spans="1:9">
      <c r="A1591" s="3" t="s">
        <v>1616</v>
      </c>
      <c r="B1591" s="3" t="s">
        <v>26</v>
      </c>
      <c r="C1591" s="3">
        <v>1676019</v>
      </c>
      <c r="D1591" s="3">
        <v>561210</v>
      </c>
      <c r="E1591" s="3" t="s">
        <v>27</v>
      </c>
      <c r="F1591" s="3">
        <v>1263000</v>
      </c>
      <c r="G1591" s="3">
        <v>404091</v>
      </c>
      <c r="H1591" s="3">
        <v>413019</v>
      </c>
      <c r="I1591" s="3">
        <v>157119</v>
      </c>
    </row>
    <row r="1592" spans="1:9">
      <c r="A1592" s="3" t="s">
        <v>1617</v>
      </c>
      <c r="B1592" s="3" t="s">
        <v>26</v>
      </c>
      <c r="C1592" s="3">
        <v>1371949</v>
      </c>
      <c r="D1592" s="3">
        <v>277390</v>
      </c>
      <c r="E1592" s="3" t="s">
        <v>27</v>
      </c>
      <c r="F1592" s="3">
        <v>828439</v>
      </c>
      <c r="G1592" s="3">
        <v>177192</v>
      </c>
      <c r="H1592" s="3">
        <v>543510</v>
      </c>
      <c r="I1592" s="3">
        <v>100198</v>
      </c>
    </row>
    <row r="1593" spans="1:9">
      <c r="A1593" s="3" t="s">
        <v>1618</v>
      </c>
      <c r="B1593" s="3" t="s">
        <v>26</v>
      </c>
      <c r="C1593" s="3">
        <v>1694204</v>
      </c>
      <c r="D1593" s="3">
        <v>419730</v>
      </c>
      <c r="E1593" s="3" t="s">
        <v>27</v>
      </c>
      <c r="F1593" s="3">
        <v>1551095</v>
      </c>
      <c r="G1593" s="3">
        <v>367160</v>
      </c>
      <c r="H1593" s="3">
        <v>143109</v>
      </c>
      <c r="I1593" s="3">
        <v>52570</v>
      </c>
    </row>
    <row r="1594" spans="1:9">
      <c r="A1594" s="3" t="s">
        <v>1619</v>
      </c>
      <c r="B1594" s="3" t="s">
        <v>26</v>
      </c>
      <c r="C1594" s="3">
        <v>1176912</v>
      </c>
      <c r="D1594" s="3">
        <v>252004</v>
      </c>
      <c r="E1594" s="3" t="s">
        <v>27</v>
      </c>
      <c r="F1594" s="3">
        <v>844126</v>
      </c>
      <c r="G1594" s="3">
        <v>194466</v>
      </c>
      <c r="H1594" s="3">
        <v>332786</v>
      </c>
      <c r="I1594" s="3">
        <v>57538</v>
      </c>
    </row>
    <row r="1595" spans="1:9">
      <c r="A1595" s="3" t="s">
        <v>1620</v>
      </c>
      <c r="B1595" s="3" t="s">
        <v>26</v>
      </c>
      <c r="C1595" s="3">
        <v>1392493</v>
      </c>
      <c r="D1595" s="3">
        <v>439214</v>
      </c>
      <c r="E1595" s="3" t="s">
        <v>27</v>
      </c>
      <c r="F1595" s="3">
        <v>1166884</v>
      </c>
      <c r="G1595" s="3">
        <v>355106</v>
      </c>
      <c r="H1595" s="3">
        <v>225609</v>
      </c>
      <c r="I1595" s="3">
        <v>84108</v>
      </c>
    </row>
    <row r="1596" spans="1:9">
      <c r="A1596" s="3" t="s">
        <v>1621</v>
      </c>
      <c r="B1596" s="3" t="s">
        <v>26</v>
      </c>
      <c r="C1596" s="3">
        <v>509320</v>
      </c>
      <c r="D1596" s="3">
        <v>1248</v>
      </c>
      <c r="E1596" s="3" t="s">
        <v>27</v>
      </c>
      <c r="F1596" s="3">
        <v>261920</v>
      </c>
      <c r="G1596" s="3">
        <v>592</v>
      </c>
      <c r="H1596" s="3">
        <v>247400</v>
      </c>
      <c r="I1596" s="3">
        <v>656</v>
      </c>
    </row>
    <row r="1597" spans="1:9">
      <c r="A1597" s="3" t="s">
        <v>1622</v>
      </c>
      <c r="B1597" s="3" t="s">
        <v>26</v>
      </c>
      <c r="C1597" s="3">
        <v>1099158</v>
      </c>
      <c r="D1597" s="3">
        <v>195327</v>
      </c>
      <c r="E1597" s="3" t="s">
        <v>27</v>
      </c>
      <c r="F1597" s="3">
        <v>611776</v>
      </c>
      <c r="G1597" s="3">
        <v>128532</v>
      </c>
      <c r="H1597" s="3">
        <v>487382</v>
      </c>
      <c r="I1597" s="3">
        <v>66795</v>
      </c>
    </row>
    <row r="1598" spans="1:9">
      <c r="A1598" s="3" t="s">
        <v>1623</v>
      </c>
      <c r="B1598" s="3" t="s">
        <v>26</v>
      </c>
      <c r="C1598" s="3">
        <v>1590913</v>
      </c>
      <c r="D1598" s="3">
        <v>519854</v>
      </c>
      <c r="E1598" s="3" t="s">
        <v>27</v>
      </c>
      <c r="F1598" s="3">
        <v>1214572</v>
      </c>
      <c r="G1598" s="3">
        <v>382913</v>
      </c>
      <c r="H1598" s="3">
        <v>376341</v>
      </c>
      <c r="I1598" s="3">
        <v>136941</v>
      </c>
    </row>
    <row r="1599" spans="1:9">
      <c r="A1599" s="3" t="s">
        <v>1624</v>
      </c>
      <c r="B1599" s="3" t="s">
        <v>26</v>
      </c>
      <c r="C1599" s="3">
        <v>1674677</v>
      </c>
      <c r="D1599" s="3">
        <v>540750</v>
      </c>
      <c r="E1599" s="3" t="s">
        <v>27</v>
      </c>
      <c r="F1599" s="3">
        <v>1220697</v>
      </c>
      <c r="G1599" s="3">
        <v>377101</v>
      </c>
      <c r="H1599" s="3">
        <v>453980</v>
      </c>
      <c r="I1599" s="3">
        <v>163649</v>
      </c>
    </row>
    <row r="1600" spans="1:9">
      <c r="A1600" s="3" t="s">
        <v>1625</v>
      </c>
      <c r="B1600" s="3" t="s">
        <v>26</v>
      </c>
      <c r="C1600" s="3">
        <v>1163670</v>
      </c>
      <c r="D1600" s="3">
        <v>297272</v>
      </c>
      <c r="E1600" s="3" t="s">
        <v>27</v>
      </c>
      <c r="F1600" s="3">
        <v>921105</v>
      </c>
      <c r="G1600" s="3">
        <v>231613</v>
      </c>
      <c r="H1600" s="3">
        <v>242565</v>
      </c>
      <c r="I1600" s="3">
        <v>65659</v>
      </c>
    </row>
    <row r="1601" spans="1:9">
      <c r="A1601" s="3" t="s">
        <v>1626</v>
      </c>
      <c r="B1601" s="3" t="s">
        <v>26</v>
      </c>
      <c r="C1601" s="3">
        <v>506350</v>
      </c>
      <c r="D1601" s="3">
        <v>449</v>
      </c>
      <c r="E1601" s="3" t="s">
        <v>27</v>
      </c>
      <c r="F1601" s="3">
        <v>261142</v>
      </c>
      <c r="G1601" s="3">
        <v>191</v>
      </c>
      <c r="H1601" s="3">
        <v>245208</v>
      </c>
      <c r="I1601" s="3">
        <v>258</v>
      </c>
    </row>
    <row r="1602" spans="1:9">
      <c r="A1602" s="3" t="s">
        <v>1627</v>
      </c>
      <c r="B1602" s="3" t="s">
        <v>26</v>
      </c>
      <c r="C1602" s="3">
        <v>1610239</v>
      </c>
      <c r="D1602" s="3">
        <v>539320</v>
      </c>
      <c r="E1602" s="3" t="s">
        <v>27</v>
      </c>
      <c r="F1602" s="3">
        <v>1257626</v>
      </c>
      <c r="G1602" s="3">
        <v>400273</v>
      </c>
      <c r="H1602" s="3">
        <v>352613</v>
      </c>
      <c r="I1602" s="3">
        <v>139047</v>
      </c>
    </row>
    <row r="1603" spans="1:9">
      <c r="A1603" s="3" t="s">
        <v>1628</v>
      </c>
      <c r="B1603" s="3" t="s">
        <v>26</v>
      </c>
      <c r="C1603" s="3">
        <v>1657601</v>
      </c>
      <c r="D1603" s="3">
        <v>541050</v>
      </c>
      <c r="E1603" s="3" t="s">
        <v>27</v>
      </c>
      <c r="F1603" s="3">
        <v>1177588</v>
      </c>
      <c r="G1603" s="3">
        <v>378047</v>
      </c>
      <c r="H1603" s="3">
        <v>480013</v>
      </c>
      <c r="I1603" s="3">
        <v>163003</v>
      </c>
    </row>
    <row r="1604" spans="1:9">
      <c r="A1604" s="3" t="s">
        <v>1629</v>
      </c>
      <c r="B1604" s="3" t="s">
        <v>26</v>
      </c>
      <c r="C1604" s="3">
        <v>1487657</v>
      </c>
      <c r="D1604" s="3">
        <v>469292</v>
      </c>
      <c r="E1604" s="3" t="s">
        <v>27</v>
      </c>
      <c r="F1604" s="3">
        <v>1062737</v>
      </c>
      <c r="G1604" s="3">
        <v>314056</v>
      </c>
      <c r="H1604" s="3">
        <v>424920</v>
      </c>
      <c r="I1604" s="3">
        <v>155236</v>
      </c>
    </row>
    <row r="1605" spans="1:9">
      <c r="A1605" s="3" t="s">
        <v>1630</v>
      </c>
      <c r="B1605" s="3" t="s">
        <v>26</v>
      </c>
      <c r="C1605" s="3">
        <v>990692</v>
      </c>
      <c r="D1605" s="3">
        <v>29434</v>
      </c>
      <c r="E1605" s="3" t="s">
        <v>27</v>
      </c>
      <c r="F1605" s="3">
        <v>510532</v>
      </c>
      <c r="G1605" s="3">
        <v>14404</v>
      </c>
      <c r="H1605" s="3">
        <v>480160</v>
      </c>
      <c r="I1605" s="3">
        <v>15030</v>
      </c>
    </row>
    <row r="1606" spans="1:9">
      <c r="A1606" s="3" t="s">
        <v>1631</v>
      </c>
      <c r="B1606" s="3" t="s">
        <v>26</v>
      </c>
      <c r="C1606" s="3">
        <v>1453548</v>
      </c>
      <c r="D1606" s="3">
        <v>365620</v>
      </c>
      <c r="E1606" s="3" t="s">
        <v>27</v>
      </c>
      <c r="F1606" s="3">
        <v>954735</v>
      </c>
      <c r="G1606" s="3">
        <v>234285</v>
      </c>
      <c r="H1606" s="3">
        <v>498813</v>
      </c>
      <c r="I1606" s="3">
        <v>131335</v>
      </c>
    </row>
    <row r="1607" spans="1:9">
      <c r="A1607" s="3" t="s">
        <v>1632</v>
      </c>
      <c r="B1607" s="3" t="s">
        <v>26</v>
      </c>
      <c r="C1607" s="3">
        <v>1302039</v>
      </c>
      <c r="D1607" s="3">
        <v>239344</v>
      </c>
      <c r="E1607" s="3" t="s">
        <v>27</v>
      </c>
      <c r="F1607" s="3">
        <v>792041</v>
      </c>
      <c r="G1607" s="3">
        <v>152843</v>
      </c>
      <c r="H1607" s="3">
        <v>509998</v>
      </c>
      <c r="I1607" s="3">
        <v>86501</v>
      </c>
    </row>
    <row r="1608" spans="1:9">
      <c r="A1608" s="3" t="s">
        <v>1633</v>
      </c>
      <c r="B1608" s="3" t="s">
        <v>26</v>
      </c>
      <c r="C1608" s="3">
        <v>1238236</v>
      </c>
      <c r="D1608" s="3">
        <v>157910</v>
      </c>
      <c r="E1608" s="3" t="s">
        <v>27</v>
      </c>
      <c r="F1608" s="3">
        <v>687280</v>
      </c>
      <c r="G1608" s="3">
        <v>93725</v>
      </c>
      <c r="H1608" s="3">
        <v>550956</v>
      </c>
      <c r="I1608" s="3">
        <v>64185</v>
      </c>
    </row>
    <row r="1609" spans="1:9">
      <c r="A1609" s="3" t="s">
        <v>1634</v>
      </c>
      <c r="B1609" s="3" t="s">
        <v>26</v>
      </c>
      <c r="C1609" s="3">
        <v>1470772</v>
      </c>
      <c r="D1609" s="3">
        <v>419634</v>
      </c>
      <c r="E1609" s="3" t="s">
        <v>27</v>
      </c>
      <c r="F1609" s="3">
        <v>1090920</v>
      </c>
      <c r="G1609" s="3">
        <v>292002</v>
      </c>
      <c r="H1609" s="3">
        <v>379852</v>
      </c>
      <c r="I1609" s="3">
        <v>127632</v>
      </c>
    </row>
    <row r="1610" spans="1:9">
      <c r="A1610" s="3" t="s">
        <v>1635</v>
      </c>
      <c r="B1610" s="3" t="s">
        <v>26</v>
      </c>
      <c r="C1610" s="3">
        <v>1548472</v>
      </c>
      <c r="D1610" s="3">
        <v>526713</v>
      </c>
      <c r="E1610" s="3" t="s">
        <v>27</v>
      </c>
      <c r="F1610" s="3">
        <v>1178971</v>
      </c>
      <c r="G1610" s="3">
        <v>398133</v>
      </c>
      <c r="H1610" s="3">
        <v>369501</v>
      </c>
      <c r="I1610" s="3">
        <v>128580</v>
      </c>
    </row>
    <row r="1611" spans="1:9">
      <c r="A1611" s="3" t="s">
        <v>1636</v>
      </c>
      <c r="B1611" s="3" t="s">
        <v>26</v>
      </c>
      <c r="C1611" s="3">
        <v>1322144</v>
      </c>
      <c r="D1611" s="3">
        <v>445779</v>
      </c>
      <c r="E1611" s="3" t="s">
        <v>27</v>
      </c>
      <c r="F1611" s="3">
        <v>1130789</v>
      </c>
      <c r="G1611" s="3">
        <v>367535</v>
      </c>
      <c r="H1611" s="3">
        <v>191355</v>
      </c>
      <c r="I1611" s="3">
        <v>78244</v>
      </c>
    </row>
    <row r="1612" spans="1:9">
      <c r="A1612" s="3" t="s">
        <v>1637</v>
      </c>
      <c r="B1612" s="3" t="s">
        <v>26</v>
      </c>
      <c r="C1612" s="3">
        <v>746324</v>
      </c>
      <c r="D1612" s="3">
        <v>14155</v>
      </c>
      <c r="E1612" s="3" t="s">
        <v>27</v>
      </c>
      <c r="F1612" s="3">
        <v>409226</v>
      </c>
      <c r="G1612" s="3">
        <v>9379</v>
      </c>
      <c r="H1612" s="3">
        <v>337098</v>
      </c>
      <c r="I1612" s="3">
        <v>4776</v>
      </c>
    </row>
    <row r="1613" spans="1:9">
      <c r="A1613" s="3" t="s">
        <v>1638</v>
      </c>
      <c r="B1613" s="3" t="s">
        <v>26</v>
      </c>
      <c r="C1613" s="3">
        <v>1220330</v>
      </c>
      <c r="D1613" s="3">
        <v>244397</v>
      </c>
      <c r="E1613" s="3" t="s">
        <v>27</v>
      </c>
      <c r="F1613" s="3">
        <v>874296</v>
      </c>
      <c r="G1613" s="3">
        <v>184795</v>
      </c>
      <c r="H1613" s="3">
        <v>346034</v>
      </c>
      <c r="I1613" s="3">
        <v>59602</v>
      </c>
    </row>
    <row r="1614" spans="1:9">
      <c r="A1614" s="3" t="s">
        <v>1639</v>
      </c>
      <c r="B1614" s="3" t="s">
        <v>26</v>
      </c>
      <c r="C1614" s="3">
        <v>1543169</v>
      </c>
      <c r="D1614" s="3">
        <v>268557</v>
      </c>
      <c r="E1614" s="3" t="s">
        <v>27</v>
      </c>
      <c r="F1614" s="3">
        <v>868894</v>
      </c>
      <c r="G1614" s="3">
        <v>153779</v>
      </c>
      <c r="H1614" s="3">
        <v>674275</v>
      </c>
      <c r="I1614" s="3">
        <v>114778</v>
      </c>
    </row>
    <row r="1615" spans="1:9">
      <c r="A1615" s="3" t="s">
        <v>1640</v>
      </c>
      <c r="B1615" s="3" t="s">
        <v>26</v>
      </c>
      <c r="C1615" s="3">
        <v>973512</v>
      </c>
      <c r="D1615" s="3">
        <v>18120</v>
      </c>
      <c r="E1615" s="3" t="s">
        <v>27</v>
      </c>
      <c r="F1615" s="3">
        <v>508876</v>
      </c>
      <c r="G1615" s="3">
        <v>7709</v>
      </c>
      <c r="H1615" s="3">
        <v>464636</v>
      </c>
      <c r="I1615" s="3">
        <v>10411</v>
      </c>
    </row>
    <row r="1616" spans="1:9">
      <c r="A1616" s="3" t="s">
        <v>1641</v>
      </c>
      <c r="B1616" s="3" t="s">
        <v>26</v>
      </c>
      <c r="C1616" s="3">
        <v>1646216</v>
      </c>
      <c r="D1616" s="3">
        <v>442506</v>
      </c>
      <c r="E1616" s="3" t="s">
        <v>27</v>
      </c>
      <c r="F1616" s="3">
        <v>1051696</v>
      </c>
      <c r="G1616" s="3">
        <v>280474</v>
      </c>
      <c r="H1616" s="3">
        <v>594520</v>
      </c>
      <c r="I1616" s="3">
        <v>162032</v>
      </c>
    </row>
    <row r="1617" spans="1:9">
      <c r="A1617" s="3" t="s">
        <v>1642</v>
      </c>
      <c r="B1617" s="3" t="s">
        <v>26</v>
      </c>
      <c r="C1617" s="3">
        <v>1139762</v>
      </c>
      <c r="D1617" s="3">
        <v>254071</v>
      </c>
      <c r="E1617" s="3" t="s">
        <v>27</v>
      </c>
      <c r="F1617" s="3">
        <v>853576</v>
      </c>
      <c r="G1617" s="3">
        <v>197379</v>
      </c>
      <c r="H1617" s="3">
        <v>286186</v>
      </c>
      <c r="I1617" s="3">
        <v>56692</v>
      </c>
    </row>
    <row r="1618" spans="1:9">
      <c r="A1618" s="3" t="s">
        <v>1643</v>
      </c>
      <c r="B1618" s="3" t="s">
        <v>26</v>
      </c>
      <c r="C1618" s="3">
        <v>1658533</v>
      </c>
      <c r="D1618" s="3">
        <v>468536</v>
      </c>
      <c r="E1618" s="3" t="s">
        <v>27</v>
      </c>
      <c r="F1618" s="3">
        <v>1224679</v>
      </c>
      <c r="G1618" s="3">
        <v>357523</v>
      </c>
      <c r="H1618" s="3">
        <v>433854</v>
      </c>
      <c r="I1618" s="3">
        <v>111013</v>
      </c>
    </row>
    <row r="1619" spans="1:9">
      <c r="A1619" s="3" t="s">
        <v>1644</v>
      </c>
      <c r="B1619" s="3" t="s">
        <v>26</v>
      </c>
      <c r="C1619" s="3">
        <v>1119072</v>
      </c>
      <c r="D1619" s="3">
        <v>196829</v>
      </c>
      <c r="E1619" s="3" t="s">
        <v>27</v>
      </c>
      <c r="F1619" s="3">
        <v>726501</v>
      </c>
      <c r="G1619" s="3">
        <v>132858</v>
      </c>
      <c r="H1619" s="3">
        <v>392571</v>
      </c>
      <c r="I1619" s="3">
        <v>63971</v>
      </c>
    </row>
    <row r="1620" spans="1:9">
      <c r="A1620" s="3" t="s">
        <v>1645</v>
      </c>
      <c r="B1620" s="3" t="s">
        <v>26</v>
      </c>
      <c r="C1620" s="3">
        <v>1606334</v>
      </c>
      <c r="D1620" s="3">
        <v>440318</v>
      </c>
      <c r="E1620" s="3" t="s">
        <v>27</v>
      </c>
      <c r="F1620" s="3">
        <v>1201182</v>
      </c>
      <c r="G1620" s="3">
        <v>327844</v>
      </c>
      <c r="H1620" s="3">
        <v>405152</v>
      </c>
      <c r="I1620" s="3">
        <v>112474</v>
      </c>
    </row>
    <row r="1621" spans="1:9">
      <c r="A1621" s="3" t="s">
        <v>1646</v>
      </c>
      <c r="B1621" s="3" t="s">
        <v>26</v>
      </c>
      <c r="C1621" s="3">
        <v>1237841</v>
      </c>
      <c r="D1621" s="3">
        <v>184138</v>
      </c>
      <c r="E1621" s="3" t="s">
        <v>27</v>
      </c>
      <c r="F1621" s="3">
        <v>716678</v>
      </c>
      <c r="G1621" s="3">
        <v>112437</v>
      </c>
      <c r="H1621" s="3">
        <v>521163</v>
      </c>
      <c r="I1621" s="3">
        <v>71701</v>
      </c>
    </row>
    <row r="1622" spans="1:9">
      <c r="A1622" s="3" t="s">
        <v>1647</v>
      </c>
      <c r="B1622" s="3" t="s">
        <v>26</v>
      </c>
      <c r="C1622" s="3">
        <v>996630</v>
      </c>
      <c r="D1622" s="3">
        <v>177991</v>
      </c>
      <c r="E1622" s="3" t="s">
        <v>27</v>
      </c>
      <c r="F1622" s="3">
        <v>686672</v>
      </c>
      <c r="G1622" s="3">
        <v>115792</v>
      </c>
      <c r="H1622" s="3">
        <v>309958</v>
      </c>
      <c r="I1622" s="3">
        <v>62199</v>
      </c>
    </row>
    <row r="1623" spans="1:9">
      <c r="A1623" s="3" t="s">
        <v>1648</v>
      </c>
      <c r="B1623" s="3" t="s">
        <v>26</v>
      </c>
      <c r="C1623" s="3">
        <v>1032941</v>
      </c>
      <c r="D1623" s="3">
        <v>220663</v>
      </c>
      <c r="E1623" s="3" t="s">
        <v>27</v>
      </c>
      <c r="F1623" s="3">
        <v>621925</v>
      </c>
      <c r="G1623" s="3">
        <v>138928</v>
      </c>
      <c r="H1623" s="3">
        <v>411016</v>
      </c>
      <c r="I1623" s="3">
        <v>81735</v>
      </c>
    </row>
    <row r="1624" spans="1:9">
      <c r="A1624" s="3" t="s">
        <v>1649</v>
      </c>
      <c r="B1624" s="3" t="s">
        <v>26</v>
      </c>
      <c r="C1624" s="3">
        <v>1285507</v>
      </c>
      <c r="D1624" s="3">
        <v>284793</v>
      </c>
      <c r="E1624" s="3" t="s">
        <v>27</v>
      </c>
      <c r="F1624" s="3">
        <v>977100</v>
      </c>
      <c r="G1624" s="3">
        <v>220728</v>
      </c>
      <c r="H1624" s="3">
        <v>308407</v>
      </c>
      <c r="I1624" s="3">
        <v>64065</v>
      </c>
    </row>
    <row r="1625" spans="1:9">
      <c r="A1625" s="3" t="s">
        <v>1650</v>
      </c>
      <c r="B1625" s="3" t="s">
        <v>26</v>
      </c>
      <c r="C1625" s="3">
        <v>1160791</v>
      </c>
      <c r="D1625" s="3">
        <v>298864</v>
      </c>
      <c r="E1625" s="3" t="s">
        <v>27</v>
      </c>
      <c r="F1625" s="3">
        <v>824375</v>
      </c>
      <c r="G1625" s="3">
        <v>209893</v>
      </c>
      <c r="H1625" s="3">
        <v>336416</v>
      </c>
      <c r="I1625" s="3">
        <v>88971</v>
      </c>
    </row>
    <row r="1626" spans="1:9">
      <c r="A1626" s="3" t="s">
        <v>1651</v>
      </c>
      <c r="B1626" s="3" t="s">
        <v>26</v>
      </c>
      <c r="C1626" s="3">
        <v>1582855</v>
      </c>
      <c r="D1626" s="3">
        <v>450851</v>
      </c>
      <c r="E1626" s="3" t="s">
        <v>27</v>
      </c>
      <c r="F1626" s="3">
        <v>1255608</v>
      </c>
      <c r="G1626" s="3">
        <v>352605</v>
      </c>
      <c r="H1626" s="3">
        <v>327247</v>
      </c>
      <c r="I1626" s="3">
        <v>98246</v>
      </c>
    </row>
    <row r="1627" spans="1:9">
      <c r="A1627" s="3" t="s">
        <v>1652</v>
      </c>
      <c r="B1627" s="3" t="s">
        <v>26</v>
      </c>
      <c r="C1627" s="3">
        <v>1243627</v>
      </c>
      <c r="D1627" s="3">
        <v>206656</v>
      </c>
      <c r="E1627" s="3" t="s">
        <v>27</v>
      </c>
      <c r="F1627" s="3">
        <v>801769</v>
      </c>
      <c r="G1627" s="3">
        <v>143412</v>
      </c>
      <c r="H1627" s="3">
        <v>441858</v>
      </c>
      <c r="I1627" s="3">
        <v>63244</v>
      </c>
    </row>
    <row r="1628" spans="1:9">
      <c r="A1628" s="3" t="s">
        <v>1653</v>
      </c>
      <c r="B1628" s="3" t="s">
        <v>26</v>
      </c>
      <c r="C1628" s="3">
        <v>1016949</v>
      </c>
      <c r="D1628" s="3">
        <v>58478</v>
      </c>
      <c r="E1628" s="3" t="s">
        <v>27</v>
      </c>
      <c r="F1628" s="3">
        <v>578291</v>
      </c>
      <c r="G1628" s="3">
        <v>38530</v>
      </c>
      <c r="H1628" s="3">
        <v>438658</v>
      </c>
      <c r="I1628" s="3">
        <v>19948</v>
      </c>
    </row>
    <row r="1629" spans="1:9">
      <c r="A1629" s="3" t="s">
        <v>1654</v>
      </c>
      <c r="B1629" s="3" t="s">
        <v>26</v>
      </c>
      <c r="C1629" s="3">
        <v>1398575</v>
      </c>
      <c r="D1629" s="3">
        <v>239666</v>
      </c>
      <c r="E1629" s="3" t="s">
        <v>27</v>
      </c>
      <c r="F1629" s="3">
        <v>957901</v>
      </c>
      <c r="G1629" s="3">
        <v>179587</v>
      </c>
      <c r="H1629" s="3">
        <v>440674</v>
      </c>
      <c r="I1629" s="3">
        <v>60079</v>
      </c>
    </row>
    <row r="1630" spans="1:9">
      <c r="A1630" s="3" t="s">
        <v>1655</v>
      </c>
      <c r="B1630" s="3" t="s">
        <v>26</v>
      </c>
      <c r="C1630" s="3">
        <v>1443921</v>
      </c>
      <c r="D1630" s="3">
        <v>380529</v>
      </c>
      <c r="E1630" s="3" t="s">
        <v>27</v>
      </c>
      <c r="F1630" s="3">
        <v>975569</v>
      </c>
      <c r="G1630" s="3">
        <v>270075</v>
      </c>
      <c r="H1630" s="3">
        <v>468352</v>
      </c>
      <c r="I1630" s="3">
        <v>110454</v>
      </c>
    </row>
    <row r="1631" spans="1:9">
      <c r="A1631" s="3" t="s">
        <v>1656</v>
      </c>
      <c r="B1631" s="3" t="s">
        <v>26</v>
      </c>
      <c r="C1631" s="3">
        <v>1660055</v>
      </c>
      <c r="D1631" s="3">
        <v>480466</v>
      </c>
      <c r="E1631" s="3" t="s">
        <v>27</v>
      </c>
      <c r="F1631" s="3">
        <v>1096675</v>
      </c>
      <c r="G1631" s="3">
        <v>313286</v>
      </c>
      <c r="H1631" s="3">
        <v>563380</v>
      </c>
      <c r="I1631" s="3">
        <v>167180</v>
      </c>
    </row>
    <row r="1632" spans="1:9">
      <c r="A1632" s="3" t="s">
        <v>1657</v>
      </c>
      <c r="B1632" s="3" t="s">
        <v>26</v>
      </c>
      <c r="C1632" s="3">
        <v>1322231</v>
      </c>
      <c r="D1632" s="3">
        <v>335046</v>
      </c>
      <c r="E1632" s="3" t="s">
        <v>27</v>
      </c>
      <c r="F1632" s="3">
        <v>1012145</v>
      </c>
      <c r="G1632" s="3">
        <v>248461</v>
      </c>
      <c r="H1632" s="3">
        <v>310086</v>
      </c>
      <c r="I1632" s="3">
        <v>86585</v>
      </c>
    </row>
    <row r="1633" spans="1:9">
      <c r="A1633" s="3" t="s">
        <v>1658</v>
      </c>
      <c r="B1633" s="3" t="s">
        <v>26</v>
      </c>
      <c r="C1633" s="3">
        <v>1552805</v>
      </c>
      <c r="D1633" s="3">
        <v>460252</v>
      </c>
      <c r="E1633" s="3" t="s">
        <v>27</v>
      </c>
      <c r="F1633" s="3">
        <v>1194557</v>
      </c>
      <c r="G1633" s="3">
        <v>340452</v>
      </c>
      <c r="H1633" s="3">
        <v>358248</v>
      </c>
      <c r="I1633" s="3">
        <v>119800</v>
      </c>
    </row>
    <row r="1634" spans="1:9">
      <c r="A1634" s="3" t="s">
        <v>1659</v>
      </c>
      <c r="B1634" s="3" t="s">
        <v>26</v>
      </c>
      <c r="C1634" s="3">
        <v>1209469</v>
      </c>
      <c r="D1634" s="3">
        <v>281913</v>
      </c>
      <c r="E1634" s="3" t="s">
        <v>27</v>
      </c>
      <c r="F1634" s="3">
        <v>928658</v>
      </c>
      <c r="G1634" s="3">
        <v>224189</v>
      </c>
      <c r="H1634" s="3">
        <v>280811</v>
      </c>
      <c r="I1634" s="3">
        <v>57724</v>
      </c>
    </row>
    <row r="1635" spans="1:9">
      <c r="A1635" s="3" t="s">
        <v>1660</v>
      </c>
      <c r="B1635" s="3" t="s">
        <v>26</v>
      </c>
      <c r="C1635" s="3">
        <v>1367383</v>
      </c>
      <c r="D1635" s="3">
        <v>365777</v>
      </c>
      <c r="E1635" s="3" t="s">
        <v>27</v>
      </c>
      <c r="F1635" s="3">
        <v>874969</v>
      </c>
      <c r="G1635" s="3">
        <v>242691</v>
      </c>
      <c r="H1635" s="3">
        <v>492414</v>
      </c>
      <c r="I1635" s="3">
        <v>123086</v>
      </c>
    </row>
    <row r="1636" spans="1:9">
      <c r="A1636" s="3" t="s">
        <v>1661</v>
      </c>
      <c r="B1636" s="3" t="s">
        <v>26</v>
      </c>
      <c r="C1636" s="3">
        <v>1351623</v>
      </c>
      <c r="D1636" s="3">
        <v>317165</v>
      </c>
      <c r="E1636" s="3" t="s">
        <v>27</v>
      </c>
      <c r="F1636" s="3">
        <v>997801</v>
      </c>
      <c r="G1636" s="3">
        <v>247746</v>
      </c>
      <c r="H1636" s="3">
        <v>353822</v>
      </c>
      <c r="I1636" s="3">
        <v>69419</v>
      </c>
    </row>
    <row r="1637" spans="1:9">
      <c r="A1637" s="3" t="s">
        <v>1662</v>
      </c>
      <c r="B1637" s="3" t="s">
        <v>26</v>
      </c>
      <c r="C1637" s="3">
        <v>1157373</v>
      </c>
      <c r="D1637" s="3">
        <v>178611</v>
      </c>
      <c r="E1637" s="3" t="s">
        <v>27</v>
      </c>
      <c r="F1637" s="3">
        <v>715752</v>
      </c>
      <c r="G1637" s="3">
        <v>116584</v>
      </c>
      <c r="H1637" s="3">
        <v>441621</v>
      </c>
      <c r="I1637" s="3">
        <v>62027</v>
      </c>
    </row>
    <row r="1638" spans="1:9">
      <c r="A1638" s="3" t="s">
        <v>1663</v>
      </c>
      <c r="B1638" s="3" t="s">
        <v>26</v>
      </c>
      <c r="C1638" s="3">
        <v>1512696</v>
      </c>
      <c r="D1638" s="3">
        <v>410383</v>
      </c>
      <c r="E1638" s="3" t="s">
        <v>27</v>
      </c>
      <c r="F1638" s="3">
        <v>1168911</v>
      </c>
      <c r="G1638" s="3">
        <v>326142</v>
      </c>
      <c r="H1638" s="3">
        <v>343785</v>
      </c>
      <c r="I1638" s="3">
        <v>84241</v>
      </c>
    </row>
    <row r="1639" spans="1:9">
      <c r="A1639" s="3" t="s">
        <v>1664</v>
      </c>
      <c r="B1639" s="3" t="s">
        <v>26</v>
      </c>
      <c r="C1639" s="3">
        <v>1570297</v>
      </c>
      <c r="D1639" s="3">
        <v>429613</v>
      </c>
      <c r="E1639" s="3" t="s">
        <v>27</v>
      </c>
      <c r="F1639" s="3">
        <v>1199744</v>
      </c>
      <c r="G1639" s="3">
        <v>314267</v>
      </c>
      <c r="H1639" s="3">
        <v>370553</v>
      </c>
      <c r="I1639" s="3">
        <v>115346</v>
      </c>
    </row>
    <row r="1640" spans="1:9">
      <c r="A1640" s="3" t="s">
        <v>1665</v>
      </c>
      <c r="B1640" s="3" t="s">
        <v>26</v>
      </c>
      <c r="C1640" s="3">
        <v>680918</v>
      </c>
      <c r="D1640" s="3">
        <v>6092</v>
      </c>
      <c r="E1640" s="3" t="s">
        <v>27</v>
      </c>
      <c r="F1640" s="3">
        <v>356537</v>
      </c>
      <c r="G1640" s="3">
        <v>3185</v>
      </c>
      <c r="H1640" s="3">
        <v>324381</v>
      </c>
      <c r="I1640" s="3">
        <v>2907</v>
      </c>
    </row>
    <row r="1641" spans="1:9">
      <c r="A1641" s="3" t="s">
        <v>1666</v>
      </c>
      <c r="B1641" s="3" t="s">
        <v>26</v>
      </c>
      <c r="C1641" s="3">
        <v>655547</v>
      </c>
      <c r="D1641" s="3">
        <v>1454</v>
      </c>
      <c r="E1641" s="3" t="s">
        <v>27</v>
      </c>
      <c r="F1641" s="3">
        <v>278589</v>
      </c>
      <c r="G1641" s="3">
        <v>275</v>
      </c>
      <c r="H1641" s="3">
        <v>376958</v>
      </c>
      <c r="I1641" s="3">
        <v>1179</v>
      </c>
    </row>
    <row r="1642" spans="1:9">
      <c r="A1642" s="3" t="s">
        <v>1667</v>
      </c>
      <c r="B1642" s="3" t="s">
        <v>26</v>
      </c>
      <c r="C1642" s="3">
        <v>1720887</v>
      </c>
      <c r="D1642" s="3">
        <v>519086</v>
      </c>
      <c r="E1642" s="3" t="s">
        <v>27</v>
      </c>
      <c r="F1642" s="3">
        <v>1293630</v>
      </c>
      <c r="G1642" s="3">
        <v>387232</v>
      </c>
      <c r="H1642" s="3">
        <v>427257</v>
      </c>
      <c r="I1642" s="3">
        <v>131854</v>
      </c>
    </row>
    <row r="1643" spans="1:9">
      <c r="A1643" s="3" t="s">
        <v>1668</v>
      </c>
      <c r="B1643" s="3" t="s">
        <v>26</v>
      </c>
      <c r="C1643" s="3">
        <v>977246</v>
      </c>
      <c r="D1643" s="3">
        <v>87219</v>
      </c>
      <c r="E1643" s="3" t="s">
        <v>27</v>
      </c>
      <c r="F1643" s="3">
        <v>562282</v>
      </c>
      <c r="G1643" s="3">
        <v>50182</v>
      </c>
      <c r="H1643" s="3">
        <v>414964</v>
      </c>
      <c r="I1643" s="3">
        <v>37037</v>
      </c>
    </row>
    <row r="1644" spans="1:9">
      <c r="A1644" s="3" t="s">
        <v>1669</v>
      </c>
      <c r="B1644" s="3" t="s">
        <v>26</v>
      </c>
      <c r="C1644" s="3">
        <v>1071519</v>
      </c>
      <c r="D1644" s="3">
        <v>241150</v>
      </c>
      <c r="E1644" s="3" t="s">
        <v>27</v>
      </c>
      <c r="F1644" s="3">
        <v>695547</v>
      </c>
      <c r="G1644" s="3">
        <v>145365</v>
      </c>
      <c r="H1644" s="3">
        <v>375972</v>
      </c>
      <c r="I1644" s="3">
        <v>95785</v>
      </c>
    </row>
    <row r="1645" spans="1:9">
      <c r="A1645" s="3" t="s">
        <v>1670</v>
      </c>
      <c r="B1645" s="3" t="s">
        <v>26</v>
      </c>
      <c r="C1645" s="3">
        <v>1060018</v>
      </c>
      <c r="D1645" s="3">
        <v>8853</v>
      </c>
      <c r="E1645" s="3" t="s">
        <v>27</v>
      </c>
      <c r="F1645" s="3">
        <v>543354</v>
      </c>
      <c r="G1645" s="3">
        <v>4419</v>
      </c>
      <c r="H1645" s="3">
        <v>516664</v>
      </c>
      <c r="I1645" s="3">
        <v>4434</v>
      </c>
    </row>
    <row r="1646" spans="1:9">
      <c r="A1646" s="3" t="s">
        <v>1671</v>
      </c>
      <c r="B1646" s="3" t="s">
        <v>26</v>
      </c>
      <c r="C1646" s="3">
        <v>1884384</v>
      </c>
      <c r="D1646" s="3">
        <v>488717</v>
      </c>
      <c r="E1646" s="3" t="s">
        <v>27</v>
      </c>
      <c r="F1646" s="3">
        <v>1115354</v>
      </c>
      <c r="G1646" s="3">
        <v>286979</v>
      </c>
      <c r="H1646" s="3">
        <v>769030</v>
      </c>
      <c r="I1646" s="3">
        <v>201738</v>
      </c>
    </row>
    <row r="1647" spans="1:9">
      <c r="A1647" s="3" t="s">
        <v>1672</v>
      </c>
      <c r="B1647" s="3" t="s">
        <v>26</v>
      </c>
      <c r="C1647" s="3">
        <v>890818</v>
      </c>
      <c r="D1647" s="3">
        <v>56577</v>
      </c>
      <c r="E1647" s="3" t="s">
        <v>27</v>
      </c>
      <c r="F1647" s="3">
        <v>510091</v>
      </c>
      <c r="G1647" s="3">
        <v>35860</v>
      </c>
      <c r="H1647" s="3">
        <v>380727</v>
      </c>
      <c r="I1647" s="3">
        <v>20717</v>
      </c>
    </row>
    <row r="1648" spans="1:9">
      <c r="A1648" s="3" t="s">
        <v>1673</v>
      </c>
      <c r="B1648" s="3" t="s">
        <v>26</v>
      </c>
      <c r="C1648" s="3">
        <v>651919</v>
      </c>
      <c r="D1648" s="3">
        <v>10634</v>
      </c>
      <c r="E1648" s="3" t="s">
        <v>27</v>
      </c>
      <c r="F1648" s="3">
        <v>368545</v>
      </c>
      <c r="G1648" s="3">
        <v>6843</v>
      </c>
      <c r="H1648" s="3">
        <v>283374</v>
      </c>
      <c r="I1648" s="3">
        <v>3791</v>
      </c>
    </row>
    <row r="1649" spans="1:9">
      <c r="A1649" s="3" t="s">
        <v>1674</v>
      </c>
      <c r="B1649" s="3" t="s">
        <v>26</v>
      </c>
      <c r="C1649" s="3">
        <v>1581799</v>
      </c>
      <c r="D1649" s="3">
        <v>348460</v>
      </c>
      <c r="E1649" s="3" t="s">
        <v>27</v>
      </c>
      <c r="F1649" s="3">
        <v>1026410</v>
      </c>
      <c r="G1649" s="3">
        <v>236918</v>
      </c>
      <c r="H1649" s="3">
        <v>555389</v>
      </c>
      <c r="I1649" s="3">
        <v>111542</v>
      </c>
    </row>
    <row r="1650" spans="1:9">
      <c r="A1650" s="3" t="s">
        <v>1675</v>
      </c>
      <c r="B1650" s="3" t="s">
        <v>26</v>
      </c>
      <c r="C1650" s="3">
        <v>1153089</v>
      </c>
      <c r="D1650" s="3">
        <v>226148</v>
      </c>
      <c r="E1650" s="3" t="s">
        <v>27</v>
      </c>
      <c r="F1650" s="3">
        <v>759279</v>
      </c>
      <c r="G1650" s="3">
        <v>143778</v>
      </c>
      <c r="H1650" s="3">
        <v>393810</v>
      </c>
      <c r="I1650" s="3">
        <v>82370</v>
      </c>
    </row>
    <row r="1651" spans="1:9">
      <c r="A1651" s="3" t="s">
        <v>1676</v>
      </c>
      <c r="B1651" s="3" t="s">
        <v>26</v>
      </c>
      <c r="C1651" s="3">
        <v>1457173</v>
      </c>
      <c r="D1651" s="3">
        <v>368156</v>
      </c>
      <c r="E1651" s="3" t="s">
        <v>27</v>
      </c>
      <c r="F1651" s="3">
        <v>1092284</v>
      </c>
      <c r="G1651" s="3">
        <v>282714</v>
      </c>
      <c r="H1651" s="3">
        <v>364889</v>
      </c>
      <c r="I1651" s="3">
        <v>85442</v>
      </c>
    </row>
    <row r="1652" spans="1:9">
      <c r="A1652" s="3" t="s">
        <v>1677</v>
      </c>
      <c r="B1652" s="3" t="s">
        <v>26</v>
      </c>
      <c r="C1652" s="3">
        <v>1105156</v>
      </c>
      <c r="D1652" s="3">
        <v>139877</v>
      </c>
      <c r="E1652" s="3" t="s">
        <v>27</v>
      </c>
      <c r="F1652" s="3">
        <v>627254</v>
      </c>
      <c r="G1652" s="3">
        <v>81796</v>
      </c>
      <c r="H1652" s="3">
        <v>477902</v>
      </c>
      <c r="I1652" s="3">
        <v>58081</v>
      </c>
    </row>
    <row r="1653" spans="1:9">
      <c r="A1653" s="3" t="s">
        <v>1678</v>
      </c>
      <c r="B1653" s="3" t="s">
        <v>26</v>
      </c>
      <c r="C1653" s="3">
        <v>1141398</v>
      </c>
      <c r="D1653" s="3">
        <v>143901</v>
      </c>
      <c r="E1653" s="3" t="s">
        <v>27</v>
      </c>
      <c r="F1653" s="3">
        <v>668238</v>
      </c>
      <c r="G1653" s="3">
        <v>95038</v>
      </c>
      <c r="H1653" s="3">
        <v>473160</v>
      </c>
      <c r="I1653" s="3">
        <v>48863</v>
      </c>
    </row>
    <row r="1654" spans="1:9">
      <c r="A1654" s="3" t="s">
        <v>1679</v>
      </c>
      <c r="B1654" s="3" t="s">
        <v>26</v>
      </c>
      <c r="C1654" s="3">
        <v>1196991</v>
      </c>
      <c r="D1654" s="3">
        <v>293037</v>
      </c>
      <c r="E1654" s="3" t="s">
        <v>27</v>
      </c>
      <c r="F1654" s="3">
        <v>847472</v>
      </c>
      <c r="G1654" s="3">
        <v>199574</v>
      </c>
      <c r="H1654" s="3">
        <v>349519</v>
      </c>
      <c r="I1654" s="3">
        <v>93463</v>
      </c>
    </row>
    <row r="1655" spans="1:9">
      <c r="A1655" s="3" t="s">
        <v>1680</v>
      </c>
      <c r="B1655" s="3" t="s">
        <v>26</v>
      </c>
      <c r="C1655" s="3">
        <v>1488634</v>
      </c>
      <c r="D1655" s="3">
        <v>367543</v>
      </c>
      <c r="E1655" s="3" t="s">
        <v>27</v>
      </c>
      <c r="F1655" s="3">
        <v>1132407</v>
      </c>
      <c r="G1655" s="3">
        <v>275634</v>
      </c>
      <c r="H1655" s="3">
        <v>356227</v>
      </c>
      <c r="I1655" s="3">
        <v>91909</v>
      </c>
    </row>
    <row r="1656" spans="1:9">
      <c r="A1656" s="3" t="s">
        <v>1681</v>
      </c>
      <c r="B1656" s="3" t="s">
        <v>26</v>
      </c>
      <c r="C1656" s="3">
        <v>1405723</v>
      </c>
      <c r="D1656" s="3">
        <v>403281</v>
      </c>
      <c r="E1656" s="3" t="s">
        <v>27</v>
      </c>
      <c r="F1656" s="3">
        <v>989421</v>
      </c>
      <c r="G1656" s="3">
        <v>281847</v>
      </c>
      <c r="H1656" s="3">
        <v>416302</v>
      </c>
      <c r="I1656" s="3">
        <v>121434</v>
      </c>
    </row>
    <row r="1657" spans="1:9">
      <c r="A1657" s="3" t="s">
        <v>1682</v>
      </c>
      <c r="B1657" s="3" t="s">
        <v>26</v>
      </c>
      <c r="C1657" s="3">
        <v>1213737</v>
      </c>
      <c r="D1657" s="3">
        <v>334495</v>
      </c>
      <c r="E1657" s="3" t="s">
        <v>27</v>
      </c>
      <c r="F1657" s="3">
        <v>1117844</v>
      </c>
      <c r="G1657" s="3">
        <v>297364</v>
      </c>
      <c r="H1657" s="3">
        <v>95893</v>
      </c>
      <c r="I1657" s="3">
        <v>37131</v>
      </c>
    </row>
    <row r="1658" spans="1:9">
      <c r="A1658" s="3" t="s">
        <v>1683</v>
      </c>
      <c r="B1658" s="3" t="s">
        <v>26</v>
      </c>
      <c r="C1658" s="3">
        <v>1335348</v>
      </c>
      <c r="D1658" s="3">
        <v>325919</v>
      </c>
      <c r="E1658" s="3" t="s">
        <v>27</v>
      </c>
      <c r="F1658" s="3">
        <v>944479</v>
      </c>
      <c r="G1658" s="3">
        <v>236253</v>
      </c>
      <c r="H1658" s="3">
        <v>390869</v>
      </c>
      <c r="I1658" s="3">
        <v>89666</v>
      </c>
    </row>
    <row r="1659" spans="1:9">
      <c r="A1659" s="3" t="s">
        <v>1684</v>
      </c>
      <c r="B1659" s="3" t="s">
        <v>26</v>
      </c>
      <c r="C1659" s="3">
        <v>1354445</v>
      </c>
      <c r="D1659" s="3">
        <v>252598</v>
      </c>
      <c r="E1659" s="3" t="s">
        <v>27</v>
      </c>
      <c r="F1659" s="3">
        <v>770675</v>
      </c>
      <c r="G1659" s="3">
        <v>146193</v>
      </c>
      <c r="H1659" s="3">
        <v>583770</v>
      </c>
      <c r="I1659" s="3">
        <v>106405</v>
      </c>
    </row>
    <row r="1660" spans="1:9">
      <c r="A1660" s="3" t="s">
        <v>1685</v>
      </c>
      <c r="B1660" s="3" t="s">
        <v>26</v>
      </c>
      <c r="C1660" s="3">
        <v>1146386</v>
      </c>
      <c r="D1660" s="3">
        <v>112157</v>
      </c>
      <c r="E1660" s="3" t="s">
        <v>27</v>
      </c>
      <c r="F1660" s="3">
        <v>678933</v>
      </c>
      <c r="G1660" s="3">
        <v>77735</v>
      </c>
      <c r="H1660" s="3">
        <v>467453</v>
      </c>
      <c r="I1660" s="3">
        <v>34422</v>
      </c>
    </row>
    <row r="1661" spans="1:9">
      <c r="A1661" s="3" t="s">
        <v>1686</v>
      </c>
      <c r="B1661" s="3" t="s">
        <v>26</v>
      </c>
      <c r="C1661" s="3">
        <v>1320661</v>
      </c>
      <c r="D1661" s="3">
        <v>300033</v>
      </c>
      <c r="E1661" s="3" t="s">
        <v>27</v>
      </c>
      <c r="F1661" s="3">
        <v>950944</v>
      </c>
      <c r="G1661" s="3">
        <v>212545</v>
      </c>
      <c r="H1661" s="3">
        <v>369717</v>
      </c>
      <c r="I1661" s="3">
        <v>87488</v>
      </c>
    </row>
    <row r="1662" spans="1:9">
      <c r="A1662" s="3" t="s">
        <v>1687</v>
      </c>
      <c r="B1662" s="3" t="s">
        <v>26</v>
      </c>
      <c r="C1662" s="3">
        <v>1129671</v>
      </c>
      <c r="D1662" s="3">
        <v>128526</v>
      </c>
      <c r="E1662" s="3" t="s">
        <v>27</v>
      </c>
      <c r="F1662" s="3">
        <v>772163</v>
      </c>
      <c r="G1662" s="3">
        <v>88658</v>
      </c>
      <c r="H1662" s="3">
        <v>357508</v>
      </c>
      <c r="I1662" s="3">
        <v>39868</v>
      </c>
    </row>
    <row r="1663" spans="1:9">
      <c r="A1663" s="3" t="s">
        <v>1688</v>
      </c>
      <c r="B1663" s="3" t="s">
        <v>26</v>
      </c>
      <c r="C1663" s="3">
        <v>1037719</v>
      </c>
      <c r="D1663" s="3">
        <v>221268</v>
      </c>
      <c r="E1663" s="3" t="s">
        <v>27</v>
      </c>
      <c r="F1663" s="3">
        <v>743976</v>
      </c>
      <c r="G1663" s="3">
        <v>164352</v>
      </c>
      <c r="H1663" s="3">
        <v>293743</v>
      </c>
      <c r="I1663" s="3">
        <v>56916</v>
      </c>
    </row>
    <row r="1664" spans="1:9">
      <c r="A1664" s="3" t="s">
        <v>1689</v>
      </c>
      <c r="B1664" s="3" t="s">
        <v>26</v>
      </c>
      <c r="C1664" s="3">
        <v>1570607</v>
      </c>
      <c r="D1664" s="3">
        <v>413837</v>
      </c>
      <c r="E1664" s="3" t="s">
        <v>27</v>
      </c>
      <c r="F1664" s="3">
        <v>1213731</v>
      </c>
      <c r="G1664" s="3">
        <v>316574</v>
      </c>
      <c r="H1664" s="3">
        <v>356876</v>
      </c>
      <c r="I1664" s="3">
        <v>97263</v>
      </c>
    </row>
    <row r="1665" spans="1:9">
      <c r="A1665" s="3" t="s">
        <v>1690</v>
      </c>
      <c r="B1665" s="3" t="s">
        <v>26</v>
      </c>
      <c r="C1665" s="3">
        <v>1423448</v>
      </c>
      <c r="D1665" s="3">
        <v>386085</v>
      </c>
      <c r="E1665" s="3" t="s">
        <v>27</v>
      </c>
      <c r="F1665" s="3">
        <v>1046845</v>
      </c>
      <c r="G1665" s="3">
        <v>302969</v>
      </c>
      <c r="H1665" s="3">
        <v>376603</v>
      </c>
      <c r="I1665" s="3">
        <v>83116</v>
      </c>
    </row>
    <row r="1666" spans="1:9">
      <c r="A1666" s="3" t="s">
        <v>1691</v>
      </c>
      <c r="B1666" s="3" t="s">
        <v>26</v>
      </c>
      <c r="C1666" s="3">
        <v>1513313</v>
      </c>
      <c r="D1666" s="3">
        <v>367112</v>
      </c>
      <c r="E1666" s="3" t="s">
        <v>27</v>
      </c>
      <c r="F1666" s="3">
        <v>1012231</v>
      </c>
      <c r="G1666" s="3">
        <v>253884</v>
      </c>
      <c r="H1666" s="3">
        <v>501082</v>
      </c>
      <c r="I1666" s="3">
        <v>113228</v>
      </c>
    </row>
    <row r="1667" spans="1:9">
      <c r="A1667" s="3" t="s">
        <v>1692</v>
      </c>
      <c r="B1667" s="3" t="s">
        <v>26</v>
      </c>
      <c r="C1667" s="3">
        <v>1535471</v>
      </c>
      <c r="D1667" s="3">
        <v>396623</v>
      </c>
      <c r="E1667" s="3" t="s">
        <v>27</v>
      </c>
      <c r="F1667" s="3">
        <v>1184560</v>
      </c>
      <c r="G1667" s="3">
        <v>323778</v>
      </c>
      <c r="H1667" s="3">
        <v>350911</v>
      </c>
      <c r="I1667" s="3">
        <v>72845</v>
      </c>
    </row>
    <row r="1668" spans="1:9">
      <c r="A1668" s="3" t="s">
        <v>1693</v>
      </c>
      <c r="B1668" s="3" t="s">
        <v>26</v>
      </c>
      <c r="C1668" s="3">
        <v>1255336</v>
      </c>
      <c r="D1668" s="3">
        <v>120515</v>
      </c>
      <c r="E1668" s="3" t="s">
        <v>27</v>
      </c>
      <c r="F1668" s="3">
        <v>785859</v>
      </c>
      <c r="G1668" s="3">
        <v>95685</v>
      </c>
      <c r="H1668" s="3">
        <v>469477</v>
      </c>
      <c r="I1668" s="3">
        <v>24830</v>
      </c>
    </row>
    <row r="1669" spans="1:9">
      <c r="A1669" s="3" t="s">
        <v>1694</v>
      </c>
      <c r="B1669" s="3" t="s">
        <v>26</v>
      </c>
      <c r="C1669" s="3">
        <v>1654088</v>
      </c>
      <c r="D1669" s="3">
        <v>500084</v>
      </c>
      <c r="E1669" s="3" t="s">
        <v>27</v>
      </c>
      <c r="F1669" s="3">
        <v>1292833</v>
      </c>
      <c r="G1669" s="3">
        <v>388005</v>
      </c>
      <c r="H1669" s="3">
        <v>361255</v>
      </c>
      <c r="I1669" s="3">
        <v>112079</v>
      </c>
    </row>
    <row r="1670" spans="1:9">
      <c r="A1670" s="3" t="s">
        <v>1695</v>
      </c>
      <c r="B1670" s="3" t="s">
        <v>26</v>
      </c>
      <c r="C1670" s="3">
        <v>1503295</v>
      </c>
      <c r="D1670" s="3">
        <v>362036</v>
      </c>
      <c r="E1670" s="3" t="s">
        <v>27</v>
      </c>
      <c r="F1670" s="3">
        <v>1176470</v>
      </c>
      <c r="G1670" s="3">
        <v>295869</v>
      </c>
      <c r="H1670" s="3">
        <v>326825</v>
      </c>
      <c r="I1670" s="3">
        <v>66167</v>
      </c>
    </row>
    <row r="1671" spans="1:9">
      <c r="A1671" s="3" t="s">
        <v>1696</v>
      </c>
      <c r="B1671" s="3" t="s">
        <v>26</v>
      </c>
      <c r="C1671" s="3">
        <v>1216235</v>
      </c>
      <c r="D1671" s="3">
        <v>75231</v>
      </c>
      <c r="E1671" s="3" t="s">
        <v>27</v>
      </c>
      <c r="F1671" s="3">
        <v>674015</v>
      </c>
      <c r="G1671" s="3">
        <v>48365</v>
      </c>
      <c r="H1671" s="3">
        <v>542220</v>
      </c>
      <c r="I1671" s="3">
        <v>26866</v>
      </c>
    </row>
    <row r="1672" spans="1:9">
      <c r="A1672" s="3" t="s">
        <v>1697</v>
      </c>
      <c r="B1672" s="3" t="s">
        <v>26</v>
      </c>
      <c r="C1672" s="3">
        <v>589319</v>
      </c>
      <c r="D1672" s="3">
        <v>4560</v>
      </c>
      <c r="E1672" s="3" t="s">
        <v>27</v>
      </c>
      <c r="F1672" s="3">
        <v>313581</v>
      </c>
      <c r="G1672" s="3">
        <v>3447</v>
      </c>
      <c r="H1672" s="3">
        <v>275738</v>
      </c>
      <c r="I1672" s="3">
        <v>1113</v>
      </c>
    </row>
    <row r="1673" spans="1:9">
      <c r="A1673" s="3" t="s">
        <v>1698</v>
      </c>
      <c r="B1673" s="3" t="s">
        <v>26</v>
      </c>
      <c r="C1673" s="3">
        <v>865088</v>
      </c>
      <c r="D1673" s="3">
        <v>223339</v>
      </c>
      <c r="E1673" s="3" t="s">
        <v>27</v>
      </c>
      <c r="F1673" s="3">
        <v>655782</v>
      </c>
      <c r="G1673" s="3">
        <v>145199</v>
      </c>
      <c r="H1673" s="3">
        <v>209306</v>
      </c>
      <c r="I1673" s="3">
        <v>78140</v>
      </c>
    </row>
    <row r="1674" spans="1:9">
      <c r="A1674" s="3" t="s">
        <v>1699</v>
      </c>
      <c r="B1674" s="3" t="s">
        <v>26</v>
      </c>
      <c r="C1674" s="3">
        <v>1365225</v>
      </c>
      <c r="D1674" s="3">
        <v>350016</v>
      </c>
      <c r="E1674" s="3" t="s">
        <v>27</v>
      </c>
      <c r="F1674" s="3">
        <v>845877</v>
      </c>
      <c r="G1674" s="3">
        <v>219720</v>
      </c>
      <c r="H1674" s="3">
        <v>519348</v>
      </c>
      <c r="I1674" s="3">
        <v>130296</v>
      </c>
    </row>
    <row r="1675" spans="1:9">
      <c r="A1675" s="3" t="s">
        <v>1700</v>
      </c>
      <c r="B1675" s="3" t="s">
        <v>26</v>
      </c>
      <c r="C1675" s="3">
        <v>1032820</v>
      </c>
      <c r="D1675" s="3">
        <v>29273</v>
      </c>
      <c r="E1675" s="3" t="s">
        <v>27</v>
      </c>
      <c r="F1675" s="3">
        <v>596407</v>
      </c>
      <c r="G1675" s="3">
        <v>19002</v>
      </c>
      <c r="H1675" s="3">
        <v>436413</v>
      </c>
      <c r="I1675" s="3">
        <v>10271</v>
      </c>
    </row>
    <row r="1676" spans="1:9">
      <c r="A1676" s="3" t="s">
        <v>1701</v>
      </c>
      <c r="B1676" s="3" t="s">
        <v>26</v>
      </c>
      <c r="C1676" s="3">
        <v>2465716</v>
      </c>
      <c r="D1676" s="3">
        <v>910248</v>
      </c>
      <c r="E1676" s="3" t="s">
        <v>27</v>
      </c>
      <c r="F1676" s="3">
        <v>1764443</v>
      </c>
      <c r="G1676" s="3">
        <v>634397</v>
      </c>
      <c r="H1676" s="3">
        <v>701273</v>
      </c>
      <c r="I1676" s="3">
        <v>275851</v>
      </c>
    </row>
    <row r="1677" spans="1:9">
      <c r="A1677" s="3" t="s">
        <v>1702</v>
      </c>
      <c r="B1677" s="3" t="s">
        <v>26</v>
      </c>
      <c r="C1677" s="3">
        <v>1840970</v>
      </c>
      <c r="D1677" s="3">
        <v>603612</v>
      </c>
      <c r="E1677" s="3" t="s">
        <v>27</v>
      </c>
      <c r="F1677" s="3">
        <v>1534885</v>
      </c>
      <c r="G1677" s="3">
        <v>486670</v>
      </c>
      <c r="H1677" s="3">
        <v>306085</v>
      </c>
      <c r="I1677" s="3">
        <v>116942</v>
      </c>
    </row>
    <row r="1678" spans="1:9">
      <c r="A1678" s="3" t="s">
        <v>1703</v>
      </c>
      <c r="B1678" s="3" t="s">
        <v>26</v>
      </c>
      <c r="C1678" s="3">
        <v>1772880</v>
      </c>
      <c r="D1678" s="3">
        <v>317159</v>
      </c>
      <c r="E1678" s="3" t="s">
        <v>27</v>
      </c>
      <c r="F1678" s="3">
        <v>1015709</v>
      </c>
      <c r="G1678" s="3">
        <v>187196</v>
      </c>
      <c r="H1678" s="3">
        <v>757171</v>
      </c>
      <c r="I1678" s="3">
        <v>129963</v>
      </c>
    </row>
    <row r="1679" spans="1:9">
      <c r="A1679" s="3" t="s">
        <v>1704</v>
      </c>
      <c r="B1679" s="3" t="s">
        <v>26</v>
      </c>
      <c r="C1679" s="3">
        <v>860902</v>
      </c>
      <c r="D1679" s="3">
        <v>48862</v>
      </c>
      <c r="E1679" s="3" t="s">
        <v>27</v>
      </c>
      <c r="F1679" s="3">
        <v>431858</v>
      </c>
      <c r="G1679" s="3">
        <v>25835</v>
      </c>
      <c r="H1679" s="3">
        <v>429044</v>
      </c>
      <c r="I1679" s="3">
        <v>23027</v>
      </c>
    </row>
    <row r="1680" spans="1:9">
      <c r="A1680" s="3" t="s">
        <v>1705</v>
      </c>
      <c r="B1680" s="3" t="s">
        <v>26</v>
      </c>
      <c r="C1680" s="3">
        <v>2099037</v>
      </c>
      <c r="D1680" s="3">
        <v>707884</v>
      </c>
      <c r="E1680" s="3" t="s">
        <v>27</v>
      </c>
      <c r="F1680" s="3">
        <v>1587352</v>
      </c>
      <c r="G1680" s="3">
        <v>507329</v>
      </c>
      <c r="H1680" s="3">
        <v>511685</v>
      </c>
      <c r="I1680" s="3">
        <v>200555</v>
      </c>
    </row>
    <row r="1681" spans="1:9">
      <c r="A1681" s="3" t="s">
        <v>1706</v>
      </c>
      <c r="B1681" s="3" t="s">
        <v>26</v>
      </c>
      <c r="C1681" s="3">
        <v>1730615</v>
      </c>
      <c r="D1681" s="3">
        <v>534425</v>
      </c>
      <c r="E1681" s="3" t="s">
        <v>27</v>
      </c>
      <c r="F1681" s="3">
        <v>1425651</v>
      </c>
      <c r="G1681" s="3">
        <v>441241</v>
      </c>
      <c r="H1681" s="3">
        <v>304964</v>
      </c>
      <c r="I1681" s="3">
        <v>93184</v>
      </c>
    </row>
    <row r="1682" spans="1:9">
      <c r="A1682" s="3" t="s">
        <v>1707</v>
      </c>
      <c r="B1682" s="3" t="s">
        <v>26</v>
      </c>
      <c r="C1682" s="3">
        <v>774281</v>
      </c>
      <c r="D1682" s="3">
        <v>23026</v>
      </c>
      <c r="E1682" s="3" t="s">
        <v>27</v>
      </c>
      <c r="F1682" s="3">
        <v>435167</v>
      </c>
      <c r="G1682" s="3">
        <v>14670</v>
      </c>
      <c r="H1682" s="3">
        <v>339114</v>
      </c>
      <c r="I1682" s="3">
        <v>8356</v>
      </c>
    </row>
    <row r="1683" spans="1:9">
      <c r="A1683" s="3" t="s">
        <v>1708</v>
      </c>
      <c r="B1683" s="3" t="s">
        <v>26</v>
      </c>
      <c r="C1683" s="3">
        <v>810494</v>
      </c>
      <c r="D1683" s="3">
        <v>8321</v>
      </c>
      <c r="E1683" s="3" t="s">
        <v>27</v>
      </c>
      <c r="F1683" s="3">
        <v>433698</v>
      </c>
      <c r="G1683" s="3">
        <v>4727</v>
      </c>
      <c r="H1683" s="3">
        <v>376796</v>
      </c>
      <c r="I1683" s="3">
        <v>3594</v>
      </c>
    </row>
    <row r="1684" spans="1:9">
      <c r="A1684" s="3" t="s">
        <v>1709</v>
      </c>
      <c r="B1684" s="3" t="s">
        <v>26</v>
      </c>
      <c r="C1684" s="3">
        <v>2322707</v>
      </c>
      <c r="D1684" s="3">
        <v>936280</v>
      </c>
      <c r="E1684" s="3" t="s">
        <v>27</v>
      </c>
      <c r="F1684" s="3">
        <v>1854548</v>
      </c>
      <c r="G1684" s="3">
        <v>726679</v>
      </c>
      <c r="H1684" s="3">
        <v>468159</v>
      </c>
      <c r="I1684" s="3">
        <v>209601</v>
      </c>
    </row>
    <row r="1685" spans="1:9">
      <c r="A1685" s="3" t="s">
        <v>1710</v>
      </c>
      <c r="B1685" s="3" t="s">
        <v>26</v>
      </c>
      <c r="C1685" s="3">
        <v>1933850</v>
      </c>
      <c r="D1685" s="3">
        <v>552372</v>
      </c>
      <c r="E1685" s="3" t="s">
        <v>27</v>
      </c>
      <c r="F1685" s="3">
        <v>1250391</v>
      </c>
      <c r="G1685" s="3">
        <v>350895</v>
      </c>
      <c r="H1685" s="3">
        <v>683459</v>
      </c>
      <c r="I1685" s="3">
        <v>201477</v>
      </c>
    </row>
    <row r="1686" spans="1:9">
      <c r="A1686" s="3" t="s">
        <v>1711</v>
      </c>
      <c r="B1686" s="3" t="s">
        <v>26</v>
      </c>
      <c r="C1686" s="3">
        <v>2067384</v>
      </c>
      <c r="D1686" s="3">
        <v>696878</v>
      </c>
      <c r="E1686" s="3" t="s">
        <v>27</v>
      </c>
      <c r="F1686" s="3">
        <v>1723030</v>
      </c>
      <c r="G1686" s="3">
        <v>566370</v>
      </c>
      <c r="H1686" s="3">
        <v>344354</v>
      </c>
      <c r="I1686" s="3">
        <v>130508</v>
      </c>
    </row>
    <row r="1687" spans="1:9">
      <c r="A1687" s="3" t="s">
        <v>1712</v>
      </c>
      <c r="B1687" s="3" t="s">
        <v>26</v>
      </c>
      <c r="C1687" s="3">
        <v>1485890</v>
      </c>
      <c r="D1687" s="3">
        <v>293382</v>
      </c>
      <c r="E1687" s="3" t="s">
        <v>27</v>
      </c>
      <c r="F1687" s="3">
        <v>1095058</v>
      </c>
      <c r="G1687" s="3">
        <v>219472</v>
      </c>
      <c r="H1687" s="3">
        <v>390832</v>
      </c>
      <c r="I1687" s="3">
        <v>73910</v>
      </c>
    </row>
    <row r="1688" spans="1:9">
      <c r="A1688" s="3" t="s">
        <v>1713</v>
      </c>
      <c r="B1688" s="3" t="s">
        <v>26</v>
      </c>
      <c r="C1688" s="3">
        <v>1705831</v>
      </c>
      <c r="D1688" s="3">
        <v>495389</v>
      </c>
      <c r="E1688" s="3" t="s">
        <v>27</v>
      </c>
      <c r="F1688" s="3">
        <v>1418756</v>
      </c>
      <c r="G1688" s="3">
        <v>390369</v>
      </c>
      <c r="H1688" s="3">
        <v>287075</v>
      </c>
      <c r="I1688" s="3">
        <v>105020</v>
      </c>
    </row>
    <row r="1689" spans="1:9">
      <c r="A1689" s="3" t="s">
        <v>1714</v>
      </c>
      <c r="B1689" s="3" t="s">
        <v>26</v>
      </c>
      <c r="C1689" s="3">
        <v>964144</v>
      </c>
      <c r="D1689" s="3">
        <v>5421</v>
      </c>
      <c r="E1689" s="3" t="s">
        <v>27</v>
      </c>
      <c r="F1689" s="3">
        <v>360722</v>
      </c>
      <c r="G1689" s="3">
        <v>1642</v>
      </c>
      <c r="H1689" s="3">
        <v>603422</v>
      </c>
      <c r="I1689" s="3">
        <v>3779</v>
      </c>
    </row>
    <row r="1690" spans="1:9">
      <c r="A1690" s="3" t="s">
        <v>1715</v>
      </c>
      <c r="B1690" s="3" t="s">
        <v>26</v>
      </c>
      <c r="C1690" s="3">
        <v>1870204</v>
      </c>
      <c r="D1690" s="3">
        <v>367070</v>
      </c>
      <c r="E1690" s="3" t="s">
        <v>27</v>
      </c>
      <c r="F1690" s="3">
        <v>1054965</v>
      </c>
      <c r="G1690" s="3">
        <v>212872</v>
      </c>
      <c r="H1690" s="3">
        <v>815239</v>
      </c>
      <c r="I1690" s="3">
        <v>154198</v>
      </c>
    </row>
    <row r="1691" spans="1:9">
      <c r="A1691" s="3" t="s">
        <v>1716</v>
      </c>
      <c r="B1691" s="3" t="s">
        <v>26</v>
      </c>
      <c r="C1691" s="3">
        <v>2009469</v>
      </c>
      <c r="D1691" s="3">
        <v>683934</v>
      </c>
      <c r="E1691" s="3" t="s">
        <v>27</v>
      </c>
      <c r="F1691" s="3">
        <v>1605145</v>
      </c>
      <c r="G1691" s="3">
        <v>523315</v>
      </c>
      <c r="H1691" s="3">
        <v>404324</v>
      </c>
      <c r="I1691" s="3">
        <v>160619</v>
      </c>
    </row>
    <row r="1692" spans="1:9">
      <c r="A1692" s="3" t="s">
        <v>1717</v>
      </c>
      <c r="B1692" s="3" t="s">
        <v>26</v>
      </c>
      <c r="C1692" s="3">
        <v>2176608</v>
      </c>
      <c r="D1692" s="3">
        <v>805750</v>
      </c>
      <c r="E1692" s="3" t="s">
        <v>27</v>
      </c>
      <c r="F1692" s="3">
        <v>1549939</v>
      </c>
      <c r="G1692" s="3">
        <v>559870</v>
      </c>
      <c r="H1692" s="3">
        <v>626669</v>
      </c>
      <c r="I1692" s="3">
        <v>245880</v>
      </c>
    </row>
    <row r="1693" spans="1:9">
      <c r="A1693" s="3" t="s">
        <v>1718</v>
      </c>
      <c r="B1693" s="3" t="s">
        <v>26</v>
      </c>
      <c r="C1693" s="3">
        <v>1984409</v>
      </c>
      <c r="D1693" s="3">
        <v>672008</v>
      </c>
      <c r="E1693" s="3" t="s">
        <v>27</v>
      </c>
      <c r="F1693" s="3">
        <v>1568912</v>
      </c>
      <c r="G1693" s="3">
        <v>541770</v>
      </c>
      <c r="H1693" s="3">
        <v>415497</v>
      </c>
      <c r="I1693" s="3">
        <v>130238</v>
      </c>
    </row>
    <row r="1694" spans="1:9">
      <c r="A1694" s="3" t="s">
        <v>1719</v>
      </c>
      <c r="B1694" s="3" t="s">
        <v>26</v>
      </c>
      <c r="C1694" s="3">
        <v>679424</v>
      </c>
      <c r="D1694" s="3">
        <v>3777</v>
      </c>
      <c r="E1694" s="3" t="s">
        <v>27</v>
      </c>
      <c r="F1694" s="3">
        <v>342335</v>
      </c>
      <c r="G1694" s="3">
        <v>651</v>
      </c>
      <c r="H1694" s="3">
        <v>337089</v>
      </c>
      <c r="I1694" s="3">
        <v>3126</v>
      </c>
    </row>
    <row r="1695" spans="1:9">
      <c r="A1695" s="3" t="s">
        <v>1720</v>
      </c>
      <c r="B1695" s="3" t="s">
        <v>26</v>
      </c>
      <c r="C1695" s="3">
        <v>2051891</v>
      </c>
      <c r="D1695" s="3">
        <v>683287</v>
      </c>
      <c r="E1695" s="3" t="s">
        <v>27</v>
      </c>
      <c r="F1695" s="3">
        <v>1582746</v>
      </c>
      <c r="G1695" s="3">
        <v>518896</v>
      </c>
      <c r="H1695" s="3">
        <v>469145</v>
      </c>
      <c r="I1695" s="3">
        <v>164391</v>
      </c>
    </row>
    <row r="1696" spans="1:9">
      <c r="A1696" s="3" t="s">
        <v>1721</v>
      </c>
      <c r="B1696" s="3" t="s">
        <v>26</v>
      </c>
      <c r="C1696" s="3">
        <v>2275935</v>
      </c>
      <c r="D1696" s="3">
        <v>721238</v>
      </c>
      <c r="E1696" s="3" t="s">
        <v>27</v>
      </c>
      <c r="F1696" s="3">
        <v>1595646</v>
      </c>
      <c r="G1696" s="3">
        <v>492782</v>
      </c>
      <c r="H1696" s="3">
        <v>680289</v>
      </c>
      <c r="I1696" s="3">
        <v>228456</v>
      </c>
    </row>
    <row r="1697" spans="1:9">
      <c r="A1697" s="3" t="s">
        <v>1722</v>
      </c>
      <c r="B1697" s="3" t="s">
        <v>26</v>
      </c>
      <c r="C1697" s="3">
        <v>2167663</v>
      </c>
      <c r="D1697" s="3">
        <v>679289</v>
      </c>
      <c r="E1697" s="3" t="s">
        <v>27</v>
      </c>
      <c r="F1697" s="3">
        <v>1593021</v>
      </c>
      <c r="G1697" s="3">
        <v>471783</v>
      </c>
      <c r="H1697" s="3">
        <v>574642</v>
      </c>
      <c r="I1697" s="3">
        <v>207506</v>
      </c>
    </row>
    <row r="1698" spans="1:9">
      <c r="A1698" s="3" t="s">
        <v>1723</v>
      </c>
      <c r="B1698" s="3" t="s">
        <v>26</v>
      </c>
      <c r="C1698" s="3">
        <v>1352969</v>
      </c>
      <c r="D1698" s="3">
        <v>160466</v>
      </c>
      <c r="E1698" s="3" t="s">
        <v>27</v>
      </c>
      <c r="F1698" s="3">
        <v>830247</v>
      </c>
      <c r="G1698" s="3">
        <v>91880</v>
      </c>
      <c r="H1698" s="3">
        <v>522722</v>
      </c>
      <c r="I1698" s="3">
        <v>68586</v>
      </c>
    </row>
    <row r="1699" spans="1:9">
      <c r="A1699" s="3" t="s">
        <v>1724</v>
      </c>
      <c r="B1699" s="3" t="s">
        <v>26</v>
      </c>
      <c r="C1699" s="3">
        <v>2334</v>
      </c>
      <c r="D1699" s="3">
        <v>792</v>
      </c>
      <c r="E1699" s="3" t="s">
        <v>27</v>
      </c>
      <c r="F1699" s="3">
        <v>2054</v>
      </c>
      <c r="G1699" s="3">
        <v>624</v>
      </c>
      <c r="H1699" s="3">
        <v>280</v>
      </c>
      <c r="I1699" s="3">
        <v>168</v>
      </c>
    </row>
    <row r="1700" spans="1:9">
      <c r="A1700" s="3" t="s">
        <v>1725</v>
      </c>
      <c r="B1700" s="3" t="s">
        <v>26</v>
      </c>
      <c r="C1700" s="3">
        <v>1363122</v>
      </c>
      <c r="D1700" s="3">
        <v>208993</v>
      </c>
      <c r="E1700" s="3" t="s">
        <v>27</v>
      </c>
      <c r="F1700" s="3">
        <v>824623</v>
      </c>
      <c r="G1700" s="3">
        <v>128187</v>
      </c>
      <c r="H1700" s="3">
        <v>538499</v>
      </c>
      <c r="I1700" s="3">
        <v>80806</v>
      </c>
    </row>
    <row r="1701" spans="1:9">
      <c r="A1701" s="3" t="s">
        <v>1726</v>
      </c>
      <c r="B1701" s="3" t="s">
        <v>26</v>
      </c>
      <c r="C1701" s="3">
        <v>1782501</v>
      </c>
      <c r="D1701" s="3">
        <v>458904</v>
      </c>
      <c r="E1701" s="3" t="s">
        <v>27</v>
      </c>
      <c r="F1701" s="3">
        <v>1069825</v>
      </c>
      <c r="G1701" s="3">
        <v>277176</v>
      </c>
      <c r="H1701" s="3">
        <v>712676</v>
      </c>
      <c r="I1701" s="3">
        <v>181728</v>
      </c>
    </row>
    <row r="1702" spans="1:9">
      <c r="A1702" s="3" t="s">
        <v>1727</v>
      </c>
      <c r="B1702" s="3" t="s">
        <v>26</v>
      </c>
      <c r="C1702" s="3">
        <v>2088194</v>
      </c>
      <c r="D1702" s="3">
        <v>633637</v>
      </c>
      <c r="E1702" s="3" t="s">
        <v>27</v>
      </c>
      <c r="F1702" s="3">
        <v>1450994</v>
      </c>
      <c r="G1702" s="3">
        <v>431265</v>
      </c>
      <c r="H1702" s="3">
        <v>637200</v>
      </c>
      <c r="I1702" s="3">
        <v>202372</v>
      </c>
    </row>
    <row r="1703" spans="1:9">
      <c r="A1703" s="3" t="s">
        <v>1728</v>
      </c>
      <c r="B1703" s="3" t="s">
        <v>26</v>
      </c>
      <c r="C1703" s="3">
        <v>2099217</v>
      </c>
      <c r="D1703" s="3">
        <v>669931</v>
      </c>
      <c r="E1703" s="3" t="s">
        <v>27</v>
      </c>
      <c r="F1703" s="3">
        <v>1532130</v>
      </c>
      <c r="G1703" s="3">
        <v>476061</v>
      </c>
      <c r="H1703" s="3">
        <v>567087</v>
      </c>
      <c r="I1703" s="3">
        <v>193870</v>
      </c>
    </row>
    <row r="1704" spans="1:9">
      <c r="A1704" s="3" t="s">
        <v>1729</v>
      </c>
      <c r="B1704" s="3" t="s">
        <v>26</v>
      </c>
      <c r="C1704" s="3">
        <v>1900678</v>
      </c>
      <c r="D1704" s="3">
        <v>671938</v>
      </c>
      <c r="E1704" s="3" t="s">
        <v>27</v>
      </c>
      <c r="F1704" s="3">
        <v>1540082</v>
      </c>
      <c r="G1704" s="3">
        <v>521400</v>
      </c>
      <c r="H1704" s="3">
        <v>360596</v>
      </c>
      <c r="I1704" s="3">
        <v>150538</v>
      </c>
    </row>
    <row r="1705" spans="1:9">
      <c r="A1705" s="3" t="s">
        <v>1730</v>
      </c>
      <c r="B1705" s="3" t="s">
        <v>26</v>
      </c>
      <c r="C1705" s="3">
        <v>943136</v>
      </c>
      <c r="D1705" s="3">
        <v>4991</v>
      </c>
      <c r="E1705" s="3" t="s">
        <v>27</v>
      </c>
      <c r="F1705" s="3">
        <v>506222</v>
      </c>
      <c r="G1705" s="3">
        <v>2283</v>
      </c>
      <c r="H1705" s="3">
        <v>436914</v>
      </c>
      <c r="I1705" s="3">
        <v>2708</v>
      </c>
    </row>
    <row r="1706" spans="1:9">
      <c r="A1706" s="3" t="s">
        <v>1731</v>
      </c>
      <c r="B1706" s="3" t="s">
        <v>26</v>
      </c>
      <c r="C1706" s="3">
        <v>1686911</v>
      </c>
      <c r="D1706" s="3">
        <v>343479</v>
      </c>
      <c r="E1706" s="3" t="s">
        <v>27</v>
      </c>
      <c r="F1706" s="3">
        <v>1184144</v>
      </c>
      <c r="G1706" s="3">
        <v>260098</v>
      </c>
      <c r="H1706" s="3">
        <v>502767</v>
      </c>
      <c r="I1706" s="3">
        <v>83381</v>
      </c>
    </row>
    <row r="1707" spans="1:9">
      <c r="A1707" s="3" t="s">
        <v>1732</v>
      </c>
      <c r="B1707" s="3" t="s">
        <v>26</v>
      </c>
      <c r="C1707" s="3">
        <v>1807940</v>
      </c>
      <c r="D1707" s="3">
        <v>324777</v>
      </c>
      <c r="E1707" s="3" t="s">
        <v>27</v>
      </c>
      <c r="F1707" s="3">
        <v>1061772</v>
      </c>
      <c r="G1707" s="3">
        <v>202326</v>
      </c>
      <c r="H1707" s="3">
        <v>746168</v>
      </c>
      <c r="I1707" s="3">
        <v>122451</v>
      </c>
    </row>
    <row r="1708" spans="1:9">
      <c r="A1708" s="3" t="s">
        <v>1733</v>
      </c>
      <c r="B1708" s="3" t="s">
        <v>26</v>
      </c>
      <c r="C1708" s="3">
        <v>1597797</v>
      </c>
      <c r="D1708" s="3">
        <v>75440</v>
      </c>
      <c r="E1708" s="3" t="s">
        <v>27</v>
      </c>
      <c r="F1708" s="3">
        <v>833527</v>
      </c>
      <c r="G1708" s="3">
        <v>34575</v>
      </c>
      <c r="H1708" s="3">
        <v>764270</v>
      </c>
      <c r="I1708" s="3">
        <v>40865</v>
      </c>
    </row>
    <row r="1709" spans="1:9">
      <c r="A1709" s="3" t="s">
        <v>1734</v>
      </c>
      <c r="B1709" s="3" t="s">
        <v>26</v>
      </c>
      <c r="C1709" s="3">
        <v>1505446</v>
      </c>
      <c r="D1709" s="3">
        <v>140535</v>
      </c>
      <c r="E1709" s="3" t="s">
        <v>27</v>
      </c>
      <c r="F1709" s="3">
        <v>952556</v>
      </c>
      <c r="G1709" s="3">
        <v>94353</v>
      </c>
      <c r="H1709" s="3">
        <v>552890</v>
      </c>
      <c r="I1709" s="3">
        <v>46182</v>
      </c>
    </row>
    <row r="1710" spans="1:9">
      <c r="A1710" s="3" t="s">
        <v>1735</v>
      </c>
      <c r="B1710" s="3" t="s">
        <v>26</v>
      </c>
      <c r="C1710" s="3">
        <v>1441759</v>
      </c>
      <c r="D1710" s="3">
        <v>245603</v>
      </c>
      <c r="E1710" s="3" t="s">
        <v>27</v>
      </c>
      <c r="F1710" s="3">
        <v>1094925</v>
      </c>
      <c r="G1710" s="3">
        <v>194191</v>
      </c>
      <c r="H1710" s="3">
        <v>346834</v>
      </c>
      <c r="I1710" s="3">
        <v>51412</v>
      </c>
    </row>
    <row r="1711" spans="1:9">
      <c r="A1711" s="3" t="s">
        <v>1736</v>
      </c>
      <c r="B1711" s="3" t="s">
        <v>26</v>
      </c>
      <c r="C1711" s="3">
        <v>2219699</v>
      </c>
      <c r="D1711" s="3">
        <v>603447</v>
      </c>
      <c r="E1711" s="3" t="s">
        <v>27</v>
      </c>
      <c r="F1711" s="3">
        <v>1617093</v>
      </c>
      <c r="G1711" s="3">
        <v>434407</v>
      </c>
      <c r="H1711" s="3">
        <v>602606</v>
      </c>
      <c r="I1711" s="3">
        <v>169040</v>
      </c>
    </row>
    <row r="1712" spans="1:9">
      <c r="A1712" s="3" t="s">
        <v>1737</v>
      </c>
      <c r="B1712" s="3" t="s">
        <v>26</v>
      </c>
      <c r="C1712" s="3">
        <v>707784</v>
      </c>
      <c r="D1712" s="3">
        <v>117574</v>
      </c>
      <c r="E1712" s="3" t="s">
        <v>27</v>
      </c>
      <c r="F1712" s="3">
        <v>547661</v>
      </c>
      <c r="G1712" s="3">
        <v>76238</v>
      </c>
      <c r="H1712" s="3">
        <v>160123</v>
      </c>
      <c r="I1712" s="3">
        <v>41336</v>
      </c>
    </row>
    <row r="1713" spans="1:9">
      <c r="A1713" s="3" t="s">
        <v>1738</v>
      </c>
      <c r="B1713" s="3" t="s">
        <v>26</v>
      </c>
      <c r="C1713" s="3">
        <v>2109831</v>
      </c>
      <c r="D1713" s="3">
        <v>455168</v>
      </c>
      <c r="E1713" s="3" t="s">
        <v>27</v>
      </c>
      <c r="F1713" s="3">
        <v>1470858</v>
      </c>
      <c r="G1713" s="3">
        <v>321184</v>
      </c>
      <c r="H1713" s="3">
        <v>638973</v>
      </c>
      <c r="I1713" s="3">
        <v>133984</v>
      </c>
    </row>
    <row r="1714" spans="1:9">
      <c r="A1714" s="3" t="s">
        <v>1739</v>
      </c>
      <c r="B1714" s="3" t="s">
        <v>26</v>
      </c>
      <c r="C1714" s="3">
        <v>2039371</v>
      </c>
      <c r="D1714" s="3">
        <v>288622</v>
      </c>
      <c r="E1714" s="3" t="s">
        <v>27</v>
      </c>
      <c r="F1714" s="3">
        <v>1149566</v>
      </c>
      <c r="G1714" s="3">
        <v>164749</v>
      </c>
      <c r="H1714" s="3">
        <v>889805</v>
      </c>
      <c r="I1714" s="3">
        <v>123873</v>
      </c>
    </row>
    <row r="1715" spans="1:9">
      <c r="A1715" s="3" t="s">
        <v>1740</v>
      </c>
      <c r="B1715" s="3" t="s">
        <v>26</v>
      </c>
      <c r="C1715" s="3">
        <v>1799323</v>
      </c>
      <c r="D1715" s="3">
        <v>283881</v>
      </c>
      <c r="E1715" s="3" t="s">
        <v>27</v>
      </c>
      <c r="F1715" s="3">
        <v>1142562</v>
      </c>
      <c r="G1715" s="3">
        <v>184059</v>
      </c>
      <c r="H1715" s="3">
        <v>656761</v>
      </c>
      <c r="I1715" s="3">
        <v>99822</v>
      </c>
    </row>
    <row r="1716" spans="1:9">
      <c r="A1716" s="3" t="s">
        <v>1741</v>
      </c>
      <c r="B1716" s="3" t="s">
        <v>26</v>
      </c>
      <c r="C1716" s="3">
        <v>1958446</v>
      </c>
      <c r="D1716" s="3">
        <v>255565</v>
      </c>
      <c r="E1716" s="3" t="s">
        <v>27</v>
      </c>
      <c r="F1716" s="3">
        <v>1132313</v>
      </c>
      <c r="G1716" s="3">
        <v>160071</v>
      </c>
      <c r="H1716" s="3">
        <v>826133</v>
      </c>
      <c r="I1716" s="3">
        <v>95494</v>
      </c>
    </row>
    <row r="1717" spans="1:9">
      <c r="A1717" s="3" t="s">
        <v>1742</v>
      </c>
      <c r="B1717" s="3" t="s">
        <v>26</v>
      </c>
      <c r="C1717" s="3">
        <v>1417160</v>
      </c>
      <c r="D1717" s="3">
        <v>204771</v>
      </c>
      <c r="E1717" s="3" t="s">
        <v>27</v>
      </c>
      <c r="F1717" s="3">
        <v>988532</v>
      </c>
      <c r="G1717" s="3">
        <v>135079</v>
      </c>
      <c r="H1717" s="3">
        <v>428628</v>
      </c>
      <c r="I1717" s="3">
        <v>69692</v>
      </c>
    </row>
    <row r="1718" spans="1:9">
      <c r="A1718" s="3" t="s">
        <v>1743</v>
      </c>
      <c r="B1718" s="3" t="s">
        <v>26</v>
      </c>
      <c r="C1718" s="3">
        <v>1860293</v>
      </c>
      <c r="D1718" s="3">
        <v>238502</v>
      </c>
      <c r="E1718" s="3" t="s">
        <v>27</v>
      </c>
      <c r="F1718" s="3">
        <v>1139679</v>
      </c>
      <c r="G1718" s="3">
        <v>142959</v>
      </c>
      <c r="H1718" s="3">
        <v>720614</v>
      </c>
      <c r="I1718" s="3">
        <v>95543</v>
      </c>
    </row>
    <row r="1719" spans="1:9">
      <c r="A1719" s="3" t="s">
        <v>1744</v>
      </c>
      <c r="B1719" s="3" t="s">
        <v>26</v>
      </c>
      <c r="C1719" s="3">
        <v>2148819</v>
      </c>
      <c r="D1719" s="3">
        <v>685903</v>
      </c>
      <c r="E1719" s="3" t="s">
        <v>27</v>
      </c>
      <c r="F1719" s="3">
        <v>1909177</v>
      </c>
      <c r="G1719" s="3">
        <v>593049</v>
      </c>
      <c r="H1719" s="3">
        <v>239642</v>
      </c>
      <c r="I1719" s="3">
        <v>92854</v>
      </c>
    </row>
    <row r="1720" spans="1:9">
      <c r="A1720" s="3" t="s">
        <v>1745</v>
      </c>
      <c r="B1720" s="3" t="s">
        <v>26</v>
      </c>
      <c r="C1720" s="3">
        <v>2507789</v>
      </c>
      <c r="D1720" s="3">
        <v>770244</v>
      </c>
      <c r="E1720" s="3" t="s">
        <v>27</v>
      </c>
      <c r="F1720" s="3">
        <v>1594400</v>
      </c>
      <c r="G1720" s="3">
        <v>485607</v>
      </c>
      <c r="H1720" s="3">
        <v>913389</v>
      </c>
      <c r="I1720" s="3">
        <v>284637</v>
      </c>
    </row>
    <row r="1721" spans="1:9">
      <c r="A1721" s="3" t="s">
        <v>1746</v>
      </c>
      <c r="B1721" s="3" t="s">
        <v>26</v>
      </c>
      <c r="C1721" s="3">
        <v>263501</v>
      </c>
      <c r="D1721" s="3">
        <v>7160</v>
      </c>
      <c r="E1721" s="3" t="s">
        <v>27</v>
      </c>
      <c r="F1721" s="3">
        <v>151392</v>
      </c>
      <c r="G1721" s="3">
        <v>4453</v>
      </c>
      <c r="H1721" s="3">
        <v>112109</v>
      </c>
      <c r="I1721" s="3">
        <v>2707</v>
      </c>
    </row>
    <row r="1722" spans="1:9">
      <c r="A1722" s="3" t="s">
        <v>1747</v>
      </c>
      <c r="B1722" s="3" t="s">
        <v>26</v>
      </c>
      <c r="C1722" s="3">
        <v>1553151</v>
      </c>
      <c r="D1722" s="3">
        <v>115833</v>
      </c>
      <c r="E1722" s="3" t="s">
        <v>27</v>
      </c>
      <c r="F1722" s="3">
        <v>950876</v>
      </c>
      <c r="G1722" s="3">
        <v>83123</v>
      </c>
      <c r="H1722" s="3">
        <v>602275</v>
      </c>
      <c r="I1722" s="3">
        <v>32710</v>
      </c>
    </row>
    <row r="1723" spans="1:9">
      <c r="A1723" s="3" t="s">
        <v>1748</v>
      </c>
      <c r="B1723" s="3" t="s">
        <v>26</v>
      </c>
      <c r="C1723" s="3">
        <v>1684626</v>
      </c>
      <c r="D1723" s="3">
        <v>310597</v>
      </c>
      <c r="E1723" s="3" t="s">
        <v>27</v>
      </c>
      <c r="F1723" s="3">
        <v>1103797</v>
      </c>
      <c r="G1723" s="3">
        <v>215645</v>
      </c>
      <c r="H1723" s="3">
        <v>580829</v>
      </c>
      <c r="I1723" s="3">
        <v>94952</v>
      </c>
    </row>
    <row r="1724" spans="1:9">
      <c r="A1724" s="3" t="s">
        <v>1749</v>
      </c>
      <c r="B1724" s="3" t="s">
        <v>26</v>
      </c>
      <c r="C1724" s="3">
        <v>2537757</v>
      </c>
      <c r="D1724" s="3">
        <v>693212</v>
      </c>
      <c r="E1724" s="3" t="s">
        <v>27</v>
      </c>
      <c r="F1724" s="3">
        <v>1751837</v>
      </c>
      <c r="G1724" s="3">
        <v>473943</v>
      </c>
      <c r="H1724" s="3">
        <v>785920</v>
      </c>
      <c r="I1724" s="3">
        <v>219269</v>
      </c>
    </row>
    <row r="1725" spans="1:9">
      <c r="A1725" s="3" t="s">
        <v>1750</v>
      </c>
      <c r="B1725" s="3" t="s">
        <v>26</v>
      </c>
      <c r="C1725" s="3">
        <v>1606347</v>
      </c>
      <c r="D1725" s="3">
        <v>251095</v>
      </c>
      <c r="E1725" s="3" t="s">
        <v>27</v>
      </c>
      <c r="F1725" s="3">
        <v>1168610</v>
      </c>
      <c r="G1725" s="3">
        <v>172109</v>
      </c>
      <c r="H1725" s="3">
        <v>437737</v>
      </c>
      <c r="I1725" s="3">
        <v>78986</v>
      </c>
    </row>
    <row r="1726" spans="1:9">
      <c r="A1726" s="3" t="s">
        <v>1751</v>
      </c>
      <c r="B1726" s="3" t="s">
        <v>26</v>
      </c>
      <c r="C1726" s="3">
        <v>2560317</v>
      </c>
      <c r="D1726" s="3">
        <v>758707</v>
      </c>
      <c r="E1726" s="3" t="s">
        <v>27</v>
      </c>
      <c r="F1726" s="3">
        <v>1987792</v>
      </c>
      <c r="G1726" s="3">
        <v>598139</v>
      </c>
      <c r="H1726" s="3">
        <v>572525</v>
      </c>
      <c r="I1726" s="3">
        <v>160568</v>
      </c>
    </row>
    <row r="1727" spans="1:9">
      <c r="A1727" s="3" t="s">
        <v>1752</v>
      </c>
      <c r="B1727" s="3" t="s">
        <v>26</v>
      </c>
      <c r="C1727" s="3">
        <v>1630355</v>
      </c>
      <c r="D1727" s="3">
        <v>313213</v>
      </c>
      <c r="E1727" s="3" t="s">
        <v>27</v>
      </c>
      <c r="F1727" s="3">
        <v>1058171</v>
      </c>
      <c r="G1727" s="3">
        <v>218745</v>
      </c>
      <c r="H1727" s="3">
        <v>572184</v>
      </c>
      <c r="I1727" s="3">
        <v>94468</v>
      </c>
    </row>
    <row r="1728" spans="1:9">
      <c r="A1728" s="3" t="s">
        <v>1753</v>
      </c>
      <c r="B1728" s="3" t="s">
        <v>26</v>
      </c>
      <c r="C1728" s="3">
        <v>733459</v>
      </c>
      <c r="D1728" s="3">
        <v>22666</v>
      </c>
      <c r="E1728" s="3" t="s">
        <v>27</v>
      </c>
      <c r="F1728" s="3">
        <v>357994</v>
      </c>
      <c r="G1728" s="3">
        <v>12311</v>
      </c>
      <c r="H1728" s="3">
        <v>375465</v>
      </c>
      <c r="I1728" s="3">
        <v>10355</v>
      </c>
    </row>
    <row r="1729" spans="1:9">
      <c r="A1729" s="3" t="s">
        <v>1754</v>
      </c>
      <c r="B1729" s="3" t="s">
        <v>26</v>
      </c>
      <c r="C1729" s="3">
        <v>1528584</v>
      </c>
      <c r="D1729" s="3">
        <v>166709</v>
      </c>
      <c r="E1729" s="3" t="s">
        <v>27</v>
      </c>
      <c r="F1729" s="3">
        <v>839408</v>
      </c>
      <c r="G1729" s="3">
        <v>102816</v>
      </c>
      <c r="H1729" s="3">
        <v>689176</v>
      </c>
      <c r="I1729" s="3">
        <v>63893</v>
      </c>
    </row>
    <row r="1730" spans="1:9">
      <c r="A1730" s="3" t="s">
        <v>1755</v>
      </c>
      <c r="B1730" s="3" t="s">
        <v>26</v>
      </c>
      <c r="C1730" s="3">
        <v>1412461</v>
      </c>
      <c r="D1730" s="3">
        <v>153822</v>
      </c>
      <c r="E1730" s="3" t="s">
        <v>27</v>
      </c>
      <c r="F1730" s="3">
        <v>865091</v>
      </c>
      <c r="G1730" s="3">
        <v>107380</v>
      </c>
      <c r="H1730" s="3">
        <v>547370</v>
      </c>
      <c r="I1730" s="3">
        <v>46442</v>
      </c>
    </row>
    <row r="1731" spans="1:9">
      <c r="A1731" s="3" t="s">
        <v>1756</v>
      </c>
      <c r="B1731" s="3" t="s">
        <v>26</v>
      </c>
      <c r="C1731" s="3">
        <v>2587019</v>
      </c>
      <c r="D1731" s="3">
        <v>803124</v>
      </c>
      <c r="E1731" s="3" t="s">
        <v>27</v>
      </c>
      <c r="F1731" s="3">
        <v>2013685</v>
      </c>
      <c r="G1731" s="3">
        <v>622208</v>
      </c>
      <c r="H1731" s="3">
        <v>573334</v>
      </c>
      <c r="I1731" s="3">
        <v>180916</v>
      </c>
    </row>
    <row r="1732" spans="1:9">
      <c r="A1732" s="3" t="s">
        <v>1757</v>
      </c>
      <c r="B1732" s="3" t="s">
        <v>26</v>
      </c>
      <c r="C1732" s="3">
        <v>2427002</v>
      </c>
      <c r="D1732" s="3">
        <v>664376</v>
      </c>
      <c r="E1732" s="3" t="s">
        <v>27</v>
      </c>
      <c r="F1732" s="3">
        <v>1793326</v>
      </c>
      <c r="G1732" s="3">
        <v>476786</v>
      </c>
      <c r="H1732" s="3">
        <v>633676</v>
      </c>
      <c r="I1732" s="3">
        <v>187590</v>
      </c>
    </row>
    <row r="1733" spans="1:9">
      <c r="A1733" s="3" t="s">
        <v>1758</v>
      </c>
      <c r="B1733" s="3" t="s">
        <v>26</v>
      </c>
      <c r="C1733" s="3">
        <v>1118398</v>
      </c>
      <c r="D1733" s="3">
        <v>43968</v>
      </c>
      <c r="E1733" s="3" t="s">
        <v>27</v>
      </c>
      <c r="F1733" s="3">
        <v>613653</v>
      </c>
      <c r="G1733" s="3">
        <v>29388</v>
      </c>
      <c r="H1733" s="3">
        <v>504745</v>
      </c>
      <c r="I1733" s="3">
        <v>14580</v>
      </c>
    </row>
    <row r="1734" spans="1:9">
      <c r="A1734" s="3" t="s">
        <v>1759</v>
      </c>
      <c r="B1734" s="3" t="s">
        <v>26</v>
      </c>
      <c r="C1734" s="3">
        <v>1161223</v>
      </c>
      <c r="D1734" s="3">
        <v>288</v>
      </c>
      <c r="E1734" s="3" t="s">
        <v>27</v>
      </c>
      <c r="F1734" s="3">
        <v>403463</v>
      </c>
      <c r="G1734" s="3">
        <v>81</v>
      </c>
      <c r="H1734" s="3">
        <v>757760</v>
      </c>
      <c r="I1734" s="3">
        <v>207</v>
      </c>
    </row>
    <row r="1735" spans="1:9">
      <c r="A1735" s="3" t="s">
        <v>1760</v>
      </c>
      <c r="B1735" s="3" t="s">
        <v>26</v>
      </c>
      <c r="C1735" s="3">
        <v>2212916</v>
      </c>
      <c r="D1735" s="3">
        <v>571189</v>
      </c>
      <c r="E1735" s="3" t="s">
        <v>27</v>
      </c>
      <c r="F1735" s="3">
        <v>1596589</v>
      </c>
      <c r="G1735" s="3">
        <v>396547</v>
      </c>
      <c r="H1735" s="3">
        <v>616327</v>
      </c>
      <c r="I1735" s="3">
        <v>174642</v>
      </c>
    </row>
    <row r="1736" spans="1:9">
      <c r="A1736" s="3" t="s">
        <v>1761</v>
      </c>
      <c r="B1736" s="3" t="s">
        <v>26</v>
      </c>
      <c r="C1736" s="3">
        <v>2193646</v>
      </c>
      <c r="D1736" s="3">
        <v>505936</v>
      </c>
      <c r="E1736" s="3" t="s">
        <v>27</v>
      </c>
      <c r="F1736" s="3">
        <v>1527413</v>
      </c>
      <c r="G1736" s="3">
        <v>350676</v>
      </c>
      <c r="H1736" s="3">
        <v>666233</v>
      </c>
      <c r="I1736" s="3">
        <v>155260</v>
      </c>
    </row>
    <row r="1737" spans="1:9">
      <c r="A1737" s="3" t="s">
        <v>1762</v>
      </c>
      <c r="B1737" s="3" t="s">
        <v>26</v>
      </c>
      <c r="C1737" s="3">
        <v>2414766</v>
      </c>
      <c r="D1737" s="3">
        <v>665858</v>
      </c>
      <c r="E1737" s="3" t="s">
        <v>27</v>
      </c>
      <c r="F1737" s="3">
        <v>1753182</v>
      </c>
      <c r="G1737" s="3">
        <v>513789</v>
      </c>
      <c r="H1737" s="3">
        <v>661584</v>
      </c>
      <c r="I1737" s="3">
        <v>152069</v>
      </c>
    </row>
    <row r="1738" spans="1:9">
      <c r="A1738" s="3" t="s">
        <v>1763</v>
      </c>
      <c r="B1738" s="3" t="s">
        <v>26</v>
      </c>
      <c r="C1738" s="3">
        <v>894950</v>
      </c>
      <c r="D1738" s="3">
        <v>121593</v>
      </c>
      <c r="E1738" s="3" t="s">
        <v>27</v>
      </c>
      <c r="F1738" s="3">
        <v>692847</v>
      </c>
      <c r="G1738" s="3">
        <v>75255</v>
      </c>
      <c r="H1738" s="3">
        <v>202103</v>
      </c>
      <c r="I1738" s="3">
        <v>46338</v>
      </c>
    </row>
    <row r="1739" spans="1:9">
      <c r="A1739" s="3" t="s">
        <v>1764</v>
      </c>
      <c r="B1739" s="3" t="s">
        <v>26</v>
      </c>
      <c r="C1739" s="3">
        <v>1476675</v>
      </c>
      <c r="D1739" s="3">
        <v>53524</v>
      </c>
      <c r="E1739" s="3" t="s">
        <v>27</v>
      </c>
      <c r="F1739" s="3">
        <v>839071</v>
      </c>
      <c r="G1739" s="3">
        <v>30077</v>
      </c>
      <c r="H1739" s="3">
        <v>637604</v>
      </c>
      <c r="I1739" s="3">
        <v>23447</v>
      </c>
    </row>
    <row r="1740" spans="1:9">
      <c r="A1740" s="3" t="s">
        <v>1765</v>
      </c>
      <c r="B1740" s="3" t="s">
        <v>26</v>
      </c>
      <c r="C1740" s="3">
        <v>4253147</v>
      </c>
      <c r="D1740" s="3">
        <v>36395</v>
      </c>
      <c r="E1740" s="3" t="s">
        <v>27</v>
      </c>
      <c r="F1740" s="3">
        <v>3894227</v>
      </c>
      <c r="G1740" s="3">
        <v>19322</v>
      </c>
      <c r="H1740" s="3">
        <v>358920</v>
      </c>
      <c r="I1740" s="3">
        <v>17073</v>
      </c>
    </row>
    <row r="1741" spans="1:9">
      <c r="A1741" s="3" t="s">
        <v>1766</v>
      </c>
      <c r="B1741" s="3" t="s">
        <v>26</v>
      </c>
      <c r="C1741" s="3">
        <v>840025</v>
      </c>
      <c r="D1741" s="3">
        <v>7166</v>
      </c>
      <c r="E1741" s="3" t="s">
        <v>27</v>
      </c>
      <c r="F1741" s="3">
        <v>444953</v>
      </c>
      <c r="G1741" s="3">
        <v>1662</v>
      </c>
      <c r="H1741" s="3">
        <v>395072</v>
      </c>
      <c r="I1741" s="3">
        <v>5504</v>
      </c>
    </row>
    <row r="1742" spans="1:9">
      <c r="A1742" s="3" t="s">
        <v>1767</v>
      </c>
      <c r="B1742" s="3" t="s">
        <v>26</v>
      </c>
      <c r="C1742" s="3">
        <v>2250461</v>
      </c>
      <c r="D1742" s="3">
        <v>603761</v>
      </c>
      <c r="E1742" s="3" t="s">
        <v>27</v>
      </c>
      <c r="F1742" s="3">
        <v>1745103</v>
      </c>
      <c r="G1742" s="3">
        <v>479989</v>
      </c>
      <c r="H1742" s="3">
        <v>505358</v>
      </c>
      <c r="I1742" s="3">
        <v>123772</v>
      </c>
    </row>
    <row r="1743" spans="1:9">
      <c r="A1743" s="3" t="s">
        <v>1768</v>
      </c>
      <c r="B1743" s="3" t="s">
        <v>26</v>
      </c>
      <c r="C1743" s="3">
        <v>1552590</v>
      </c>
      <c r="D1743" s="3">
        <v>143046</v>
      </c>
      <c r="E1743" s="3" t="s">
        <v>27</v>
      </c>
      <c r="F1743" s="3">
        <v>971335</v>
      </c>
      <c r="G1743" s="3">
        <v>96095</v>
      </c>
      <c r="H1743" s="3">
        <v>581255</v>
      </c>
      <c r="I1743" s="3">
        <v>46951</v>
      </c>
    </row>
    <row r="1744" spans="1:9">
      <c r="A1744" s="3" t="s">
        <v>1769</v>
      </c>
      <c r="B1744" s="3" t="s">
        <v>26</v>
      </c>
      <c r="C1744" s="3">
        <v>2690646</v>
      </c>
      <c r="D1744" s="3">
        <v>873369</v>
      </c>
      <c r="E1744" s="3" t="s">
        <v>27</v>
      </c>
      <c r="F1744" s="3">
        <v>1987884</v>
      </c>
      <c r="G1744" s="3">
        <v>644289</v>
      </c>
      <c r="H1744" s="3">
        <v>702762</v>
      </c>
      <c r="I1744" s="3">
        <v>229080</v>
      </c>
    </row>
    <row r="1745" spans="1:9">
      <c r="A1745" s="3" t="s">
        <v>1770</v>
      </c>
      <c r="B1745" s="3" t="s">
        <v>26</v>
      </c>
      <c r="C1745" s="3">
        <v>1911169</v>
      </c>
      <c r="D1745" s="3">
        <v>80517</v>
      </c>
      <c r="E1745" s="3" t="s">
        <v>27</v>
      </c>
      <c r="F1745" s="3">
        <v>1424310</v>
      </c>
      <c r="G1745" s="3">
        <v>60432</v>
      </c>
      <c r="H1745" s="3">
        <v>486859</v>
      </c>
      <c r="I1745" s="3">
        <v>20085</v>
      </c>
    </row>
    <row r="1746" spans="1:9">
      <c r="A1746" s="3" t="s">
        <v>1771</v>
      </c>
      <c r="B1746" s="3" t="s">
        <v>26</v>
      </c>
      <c r="C1746" s="3">
        <v>1770165</v>
      </c>
      <c r="D1746" s="3">
        <v>154416</v>
      </c>
      <c r="E1746" s="3" t="s">
        <v>27</v>
      </c>
      <c r="F1746" s="3">
        <v>1039227</v>
      </c>
      <c r="G1746" s="3">
        <v>95363</v>
      </c>
      <c r="H1746" s="3">
        <v>730938</v>
      </c>
      <c r="I1746" s="3">
        <v>59053</v>
      </c>
    </row>
    <row r="1747" spans="1:9">
      <c r="A1747" s="3" t="s">
        <v>1772</v>
      </c>
      <c r="B1747" s="3" t="s">
        <v>26</v>
      </c>
      <c r="C1747" s="3">
        <v>1874349</v>
      </c>
      <c r="D1747" s="3">
        <v>415287</v>
      </c>
      <c r="E1747" s="3" t="s">
        <v>27</v>
      </c>
      <c r="F1747" s="3">
        <v>1348533</v>
      </c>
      <c r="G1747" s="3">
        <v>327321</v>
      </c>
      <c r="H1747" s="3">
        <v>525816</v>
      </c>
      <c r="I1747" s="3">
        <v>87966</v>
      </c>
    </row>
    <row r="1748" spans="1:9">
      <c r="A1748" s="3" t="s">
        <v>1773</v>
      </c>
      <c r="B1748" s="3" t="s">
        <v>26</v>
      </c>
      <c r="C1748" s="3">
        <v>2170155</v>
      </c>
      <c r="D1748" s="3">
        <v>610041</v>
      </c>
      <c r="E1748" s="3" t="s">
        <v>27</v>
      </c>
      <c r="F1748" s="3">
        <v>1748140</v>
      </c>
      <c r="G1748" s="3">
        <v>492738</v>
      </c>
      <c r="H1748" s="3">
        <v>422015</v>
      </c>
      <c r="I1748" s="3">
        <v>117303</v>
      </c>
    </row>
    <row r="1749" spans="1:9">
      <c r="A1749" s="3" t="s">
        <v>1774</v>
      </c>
      <c r="B1749" s="3" t="s">
        <v>26</v>
      </c>
      <c r="C1749" s="3">
        <v>2232679</v>
      </c>
      <c r="D1749" s="3">
        <v>533672</v>
      </c>
      <c r="E1749" s="3" t="s">
        <v>27</v>
      </c>
      <c r="F1749" s="3">
        <v>1528347</v>
      </c>
      <c r="G1749" s="3">
        <v>357405</v>
      </c>
      <c r="H1749" s="3">
        <v>704332</v>
      </c>
      <c r="I1749" s="3">
        <v>176267</v>
      </c>
    </row>
    <row r="1750" spans="1:9">
      <c r="A1750" s="3" t="s">
        <v>1775</v>
      </c>
      <c r="B1750" s="3" t="s">
        <v>26</v>
      </c>
      <c r="C1750" s="3">
        <v>2020</v>
      </c>
      <c r="D1750" s="3">
        <v>615</v>
      </c>
      <c r="E1750" s="3" t="s">
        <v>27</v>
      </c>
      <c r="F1750" s="3">
        <v>1914</v>
      </c>
      <c r="G1750" s="3">
        <v>550</v>
      </c>
      <c r="H1750" s="3">
        <v>106</v>
      </c>
      <c r="I1750" s="3">
        <v>65</v>
      </c>
    </row>
    <row r="1751" spans="1:9">
      <c r="A1751" s="3" t="s">
        <v>1776</v>
      </c>
      <c r="B1751" s="3" t="s">
        <v>26</v>
      </c>
      <c r="C1751" s="3">
        <v>1765915</v>
      </c>
      <c r="D1751" s="3">
        <v>218297</v>
      </c>
      <c r="E1751" s="3" t="s">
        <v>27</v>
      </c>
      <c r="F1751" s="3">
        <v>1124048</v>
      </c>
      <c r="G1751" s="3">
        <v>141604</v>
      </c>
      <c r="H1751" s="3">
        <v>641867</v>
      </c>
      <c r="I1751" s="3">
        <v>76693</v>
      </c>
    </row>
    <row r="1752" spans="1:9">
      <c r="A1752" s="3" t="s">
        <v>1777</v>
      </c>
      <c r="B1752" s="3" t="s">
        <v>26</v>
      </c>
      <c r="C1752" s="3">
        <v>1845303</v>
      </c>
      <c r="D1752" s="3">
        <v>224317</v>
      </c>
      <c r="E1752" s="3" t="s">
        <v>27</v>
      </c>
      <c r="F1752" s="3">
        <v>1078271</v>
      </c>
      <c r="G1752" s="3">
        <v>135464</v>
      </c>
      <c r="H1752" s="3">
        <v>767032</v>
      </c>
      <c r="I1752" s="3">
        <v>88853</v>
      </c>
    </row>
    <row r="1753" spans="1:9">
      <c r="A1753" s="3" t="s">
        <v>1778</v>
      </c>
      <c r="B1753" s="3" t="s">
        <v>26</v>
      </c>
      <c r="C1753" s="3">
        <v>2165462</v>
      </c>
      <c r="D1753" s="3">
        <v>420578</v>
      </c>
      <c r="E1753" s="3" t="s">
        <v>27</v>
      </c>
      <c r="F1753" s="3">
        <v>1304336</v>
      </c>
      <c r="G1753" s="3">
        <v>268098</v>
      </c>
      <c r="H1753" s="3">
        <v>861126</v>
      </c>
      <c r="I1753" s="3">
        <v>152480</v>
      </c>
    </row>
    <row r="1754" spans="1:9">
      <c r="A1754" s="3" t="s">
        <v>1779</v>
      </c>
      <c r="B1754" s="3" t="s">
        <v>26</v>
      </c>
      <c r="C1754" s="3">
        <v>1328611</v>
      </c>
      <c r="D1754" s="3">
        <v>115171</v>
      </c>
      <c r="E1754" s="3" t="s">
        <v>27</v>
      </c>
      <c r="F1754" s="3">
        <v>847923</v>
      </c>
      <c r="G1754" s="3">
        <v>68186</v>
      </c>
      <c r="H1754" s="3">
        <v>480688</v>
      </c>
      <c r="I1754" s="3">
        <v>46985</v>
      </c>
    </row>
    <row r="1755" spans="1:9">
      <c r="A1755" s="3" t="s">
        <v>1780</v>
      </c>
      <c r="B1755" s="3" t="s">
        <v>26</v>
      </c>
      <c r="C1755" s="3">
        <v>2072619</v>
      </c>
      <c r="D1755" s="3">
        <v>456814</v>
      </c>
      <c r="E1755" s="3" t="s">
        <v>27</v>
      </c>
      <c r="F1755" s="3">
        <v>1326664</v>
      </c>
      <c r="G1755" s="3">
        <v>316791</v>
      </c>
      <c r="H1755" s="3">
        <v>745955</v>
      </c>
      <c r="I1755" s="3">
        <v>140023</v>
      </c>
    </row>
    <row r="1756" spans="1:9">
      <c r="A1756" s="3" t="s">
        <v>1781</v>
      </c>
      <c r="B1756" s="3" t="s">
        <v>26</v>
      </c>
      <c r="C1756" s="3">
        <v>2022680</v>
      </c>
      <c r="D1756" s="3">
        <v>546638</v>
      </c>
      <c r="E1756" s="3" t="s">
        <v>27</v>
      </c>
      <c r="F1756" s="3">
        <v>1622608</v>
      </c>
      <c r="G1756" s="3">
        <v>434314</v>
      </c>
      <c r="H1756" s="3">
        <v>400072</v>
      </c>
      <c r="I1756" s="3">
        <v>112324</v>
      </c>
    </row>
    <row r="1757" spans="1:9">
      <c r="A1757" s="3" t="s">
        <v>1782</v>
      </c>
      <c r="B1757" s="3" t="s">
        <v>26</v>
      </c>
      <c r="C1757" s="3">
        <v>1861940</v>
      </c>
      <c r="D1757" s="3">
        <v>396910</v>
      </c>
      <c r="E1757" s="3" t="s">
        <v>27</v>
      </c>
      <c r="F1757" s="3">
        <v>1367298</v>
      </c>
      <c r="G1757" s="3">
        <v>287294</v>
      </c>
      <c r="H1757" s="3">
        <v>494642</v>
      </c>
      <c r="I1757" s="3">
        <v>109616</v>
      </c>
    </row>
    <row r="1758" spans="1:9">
      <c r="A1758" s="3" t="s">
        <v>1783</v>
      </c>
      <c r="B1758" s="3" t="s">
        <v>26</v>
      </c>
      <c r="C1758" s="3">
        <v>1339380</v>
      </c>
      <c r="D1758" s="3">
        <v>176296</v>
      </c>
      <c r="E1758" s="3" t="s">
        <v>27</v>
      </c>
      <c r="F1758" s="3">
        <v>878385</v>
      </c>
      <c r="G1758" s="3">
        <v>134466</v>
      </c>
      <c r="H1758" s="3">
        <v>460995</v>
      </c>
      <c r="I1758" s="3">
        <v>41830</v>
      </c>
    </row>
    <row r="1759" spans="1:9">
      <c r="A1759" s="3" t="s">
        <v>1784</v>
      </c>
      <c r="B1759" s="3" t="s">
        <v>26</v>
      </c>
      <c r="C1759" s="3">
        <v>2219736</v>
      </c>
      <c r="D1759" s="3">
        <v>552734</v>
      </c>
      <c r="E1759" s="3" t="s">
        <v>27</v>
      </c>
      <c r="F1759" s="3">
        <v>1442166</v>
      </c>
      <c r="G1759" s="3">
        <v>367349</v>
      </c>
      <c r="H1759" s="3">
        <v>777570</v>
      </c>
      <c r="I1759" s="3">
        <v>185385</v>
      </c>
    </row>
    <row r="1760" spans="1:9">
      <c r="A1760" s="3" t="s">
        <v>1785</v>
      </c>
      <c r="B1760" s="3" t="s">
        <v>26</v>
      </c>
      <c r="C1760" s="3">
        <v>1728409</v>
      </c>
      <c r="D1760" s="3">
        <v>346141</v>
      </c>
      <c r="E1760" s="3" t="s">
        <v>27</v>
      </c>
      <c r="F1760" s="3">
        <v>1258988</v>
      </c>
      <c r="G1760" s="3">
        <v>284353</v>
      </c>
      <c r="H1760" s="3">
        <v>469421</v>
      </c>
      <c r="I1760" s="3">
        <v>61788</v>
      </c>
    </row>
    <row r="1761" spans="1:9">
      <c r="A1761" s="3" t="s">
        <v>1786</v>
      </c>
      <c r="B1761" s="3" t="s">
        <v>26</v>
      </c>
      <c r="C1761" s="3">
        <v>1600717</v>
      </c>
      <c r="D1761" s="3">
        <v>420380</v>
      </c>
      <c r="E1761" s="3" t="s">
        <v>27</v>
      </c>
      <c r="F1761" s="3">
        <v>1000818</v>
      </c>
      <c r="G1761" s="3">
        <v>284788</v>
      </c>
      <c r="H1761" s="3">
        <v>599899</v>
      </c>
      <c r="I1761" s="3">
        <v>135592</v>
      </c>
    </row>
    <row r="1762" spans="1:9">
      <c r="A1762" s="3" t="s">
        <v>1787</v>
      </c>
      <c r="B1762" s="3" t="s">
        <v>26</v>
      </c>
      <c r="C1762" s="3">
        <v>2436822</v>
      </c>
      <c r="D1762" s="3">
        <v>820740</v>
      </c>
      <c r="E1762" s="3" t="s">
        <v>27</v>
      </c>
      <c r="F1762" s="3">
        <v>1968208</v>
      </c>
      <c r="G1762" s="3">
        <v>677072</v>
      </c>
      <c r="H1762" s="3">
        <v>468614</v>
      </c>
      <c r="I1762" s="3">
        <v>143668</v>
      </c>
    </row>
    <row r="1763" spans="1:9">
      <c r="A1763" s="3" t="s">
        <v>1788</v>
      </c>
      <c r="B1763" s="3" t="s">
        <v>26</v>
      </c>
      <c r="C1763" s="3">
        <v>1995611</v>
      </c>
      <c r="D1763" s="3">
        <v>428160</v>
      </c>
      <c r="E1763" s="3" t="s">
        <v>27</v>
      </c>
      <c r="F1763" s="3">
        <v>1395091</v>
      </c>
      <c r="G1763" s="3">
        <v>314700</v>
      </c>
      <c r="H1763" s="3">
        <v>600520</v>
      </c>
      <c r="I1763" s="3">
        <v>113460</v>
      </c>
    </row>
    <row r="1764" spans="1:9">
      <c r="A1764" s="3" t="s">
        <v>1789</v>
      </c>
      <c r="B1764" s="3" t="s">
        <v>26</v>
      </c>
      <c r="C1764" s="3">
        <v>1533055</v>
      </c>
      <c r="D1764" s="3">
        <v>79886</v>
      </c>
      <c r="E1764" s="3" t="s">
        <v>27</v>
      </c>
      <c r="F1764" s="3">
        <v>811471</v>
      </c>
      <c r="G1764" s="3">
        <v>47309</v>
      </c>
      <c r="H1764" s="3">
        <v>721584</v>
      </c>
      <c r="I1764" s="3">
        <v>32577</v>
      </c>
    </row>
    <row r="1765" spans="1:9">
      <c r="A1765" s="3" t="s">
        <v>1790</v>
      </c>
      <c r="B1765" s="3" t="s">
        <v>26</v>
      </c>
      <c r="C1765" s="3">
        <v>1229804</v>
      </c>
      <c r="D1765" s="3">
        <v>17397</v>
      </c>
      <c r="E1765" s="3" t="s">
        <v>27</v>
      </c>
      <c r="F1765" s="3">
        <v>656022</v>
      </c>
      <c r="G1765" s="3">
        <v>10931</v>
      </c>
      <c r="H1765" s="3">
        <v>573782</v>
      </c>
      <c r="I1765" s="3">
        <v>6466</v>
      </c>
    </row>
    <row r="1766" spans="1:9">
      <c r="A1766" s="3" t="s">
        <v>1791</v>
      </c>
      <c r="B1766" s="3" t="s">
        <v>26</v>
      </c>
      <c r="C1766" s="3">
        <v>2618217</v>
      </c>
      <c r="D1766" s="3">
        <v>1032521</v>
      </c>
      <c r="E1766" s="3" t="s">
        <v>27</v>
      </c>
      <c r="F1766" s="3">
        <v>2192607</v>
      </c>
      <c r="G1766" s="3">
        <v>830775</v>
      </c>
      <c r="H1766" s="3">
        <v>425610</v>
      </c>
      <c r="I1766" s="3">
        <v>201746</v>
      </c>
    </row>
    <row r="1767" spans="1:9">
      <c r="A1767" s="3" t="s">
        <v>1792</v>
      </c>
      <c r="B1767" s="3" t="s">
        <v>26</v>
      </c>
      <c r="C1767" s="3">
        <v>1327984</v>
      </c>
      <c r="D1767" s="3">
        <v>54333</v>
      </c>
      <c r="E1767" s="3" t="s">
        <v>27</v>
      </c>
      <c r="F1767" s="3">
        <v>717650</v>
      </c>
      <c r="G1767" s="3">
        <v>26837</v>
      </c>
      <c r="H1767" s="3">
        <v>610334</v>
      </c>
      <c r="I1767" s="3">
        <v>27496</v>
      </c>
    </row>
    <row r="1768" spans="1:9">
      <c r="A1768" s="3" t="s">
        <v>1793</v>
      </c>
      <c r="B1768" s="3" t="s">
        <v>26</v>
      </c>
      <c r="C1768" s="3">
        <v>1255752</v>
      </c>
      <c r="D1768" s="3">
        <v>94050</v>
      </c>
      <c r="E1768" s="3" t="s">
        <v>27</v>
      </c>
      <c r="F1768" s="3">
        <v>719824</v>
      </c>
      <c r="G1768" s="3">
        <v>58424</v>
      </c>
      <c r="H1768" s="3">
        <v>535928</v>
      </c>
      <c r="I1768" s="3">
        <v>35626</v>
      </c>
    </row>
    <row r="1769" spans="1:9">
      <c r="A1769" s="3" t="s">
        <v>1794</v>
      </c>
      <c r="B1769" s="3" t="s">
        <v>26</v>
      </c>
      <c r="C1769" s="3">
        <v>45642</v>
      </c>
      <c r="D1769" s="3">
        <v>11434</v>
      </c>
      <c r="E1769" s="3" t="s">
        <v>27</v>
      </c>
      <c r="F1769" s="3">
        <v>42768</v>
      </c>
      <c r="G1769" s="3">
        <v>10450</v>
      </c>
      <c r="H1769" s="3">
        <v>2874</v>
      </c>
      <c r="I1769" s="3">
        <v>984</v>
      </c>
    </row>
    <row r="1770" spans="1:9">
      <c r="A1770" s="3" t="s">
        <v>1795</v>
      </c>
      <c r="B1770" s="3" t="s">
        <v>26</v>
      </c>
      <c r="C1770" s="3">
        <v>2745202</v>
      </c>
      <c r="D1770" s="3">
        <v>1117272</v>
      </c>
      <c r="E1770" s="3" t="s">
        <v>27</v>
      </c>
      <c r="F1770" s="3">
        <v>2254284</v>
      </c>
      <c r="G1770" s="3">
        <v>889385</v>
      </c>
      <c r="H1770" s="3">
        <v>490918</v>
      </c>
      <c r="I1770" s="3">
        <v>227887</v>
      </c>
    </row>
    <row r="1771" spans="1:9">
      <c r="A1771" s="3" t="s">
        <v>1796</v>
      </c>
      <c r="B1771" s="3" t="s">
        <v>26</v>
      </c>
      <c r="C1771" s="3">
        <v>1433464</v>
      </c>
      <c r="D1771" s="3">
        <v>264256</v>
      </c>
      <c r="E1771" s="3" t="s">
        <v>27</v>
      </c>
      <c r="F1771" s="3">
        <v>911621</v>
      </c>
      <c r="G1771" s="3">
        <v>190186</v>
      </c>
      <c r="H1771" s="3">
        <v>521843</v>
      </c>
      <c r="I1771" s="3">
        <v>74070</v>
      </c>
    </row>
    <row r="1772" spans="1:9">
      <c r="A1772" s="3" t="s">
        <v>1797</v>
      </c>
      <c r="B1772" s="3" t="s">
        <v>26</v>
      </c>
      <c r="C1772" s="3">
        <v>982513</v>
      </c>
      <c r="D1772" s="3">
        <v>64820</v>
      </c>
      <c r="E1772" s="3" t="s">
        <v>27</v>
      </c>
      <c r="F1772" s="3">
        <v>536438</v>
      </c>
      <c r="G1772" s="3">
        <v>35086</v>
      </c>
      <c r="H1772" s="3">
        <v>446075</v>
      </c>
      <c r="I1772" s="3">
        <v>29734</v>
      </c>
    </row>
    <row r="1773" spans="1:9">
      <c r="A1773" s="3" t="s">
        <v>1798</v>
      </c>
      <c r="B1773" s="3" t="s">
        <v>26</v>
      </c>
      <c r="C1773" s="3">
        <v>1597896</v>
      </c>
      <c r="D1773" s="3">
        <v>508659</v>
      </c>
      <c r="E1773" s="3" t="s">
        <v>27</v>
      </c>
      <c r="F1773" s="3">
        <v>1237213</v>
      </c>
      <c r="G1773" s="3">
        <v>350126</v>
      </c>
      <c r="H1773" s="3">
        <v>360683</v>
      </c>
      <c r="I1773" s="3">
        <v>158533</v>
      </c>
    </row>
    <row r="1774" spans="1:9">
      <c r="A1774" s="3" t="s">
        <v>1799</v>
      </c>
      <c r="B1774" s="3" t="s">
        <v>26</v>
      </c>
      <c r="C1774" s="3">
        <v>2620377</v>
      </c>
      <c r="D1774" s="3">
        <v>886136</v>
      </c>
      <c r="E1774" s="3" t="s">
        <v>27</v>
      </c>
      <c r="F1774" s="3">
        <v>2052558</v>
      </c>
      <c r="G1774" s="3">
        <v>677342</v>
      </c>
      <c r="H1774" s="3">
        <v>567819</v>
      </c>
      <c r="I1774" s="3">
        <v>208794</v>
      </c>
    </row>
    <row r="1775" spans="1:9">
      <c r="A1775" s="3" t="s">
        <v>1800</v>
      </c>
      <c r="B1775" s="3" t="s">
        <v>26</v>
      </c>
      <c r="C1775" s="3">
        <v>904229</v>
      </c>
      <c r="D1775" s="3">
        <v>28928</v>
      </c>
      <c r="E1775" s="3" t="s">
        <v>27</v>
      </c>
      <c r="F1775" s="3">
        <v>484198</v>
      </c>
      <c r="G1775" s="3">
        <v>17256</v>
      </c>
      <c r="H1775" s="3">
        <v>420031</v>
      </c>
      <c r="I1775" s="3">
        <v>11672</v>
      </c>
    </row>
    <row r="1776" spans="1:9">
      <c r="A1776" s="3" t="s">
        <v>1801</v>
      </c>
      <c r="B1776" s="3" t="s">
        <v>26</v>
      </c>
      <c r="C1776" s="3">
        <v>995182</v>
      </c>
      <c r="D1776" s="3">
        <v>14041</v>
      </c>
      <c r="E1776" s="3" t="s">
        <v>27</v>
      </c>
      <c r="F1776" s="3">
        <v>523122</v>
      </c>
      <c r="G1776" s="3">
        <v>4733</v>
      </c>
      <c r="H1776" s="3">
        <v>472060</v>
      </c>
      <c r="I1776" s="3">
        <v>9308</v>
      </c>
    </row>
    <row r="1777" spans="1:9">
      <c r="A1777" s="3" t="s">
        <v>1802</v>
      </c>
      <c r="B1777" s="3" t="s">
        <v>26</v>
      </c>
      <c r="C1777" s="3">
        <v>2727409</v>
      </c>
      <c r="D1777" s="3">
        <v>1104890</v>
      </c>
      <c r="E1777" s="3" t="s">
        <v>27</v>
      </c>
      <c r="F1777" s="3">
        <v>2056302</v>
      </c>
      <c r="G1777" s="3">
        <v>816371</v>
      </c>
      <c r="H1777" s="3">
        <v>671107</v>
      </c>
      <c r="I1777" s="3">
        <v>288519</v>
      </c>
    </row>
    <row r="1778" spans="1:9">
      <c r="A1778" s="3" t="s">
        <v>1803</v>
      </c>
      <c r="B1778" s="3" t="s">
        <v>26</v>
      </c>
      <c r="C1778" s="3">
        <v>2288352</v>
      </c>
      <c r="D1778" s="3">
        <v>615282</v>
      </c>
      <c r="E1778" s="3" t="s">
        <v>27</v>
      </c>
      <c r="F1778" s="3">
        <v>1397747</v>
      </c>
      <c r="G1778" s="3">
        <v>389051</v>
      </c>
      <c r="H1778" s="3">
        <v>890605</v>
      </c>
      <c r="I1778" s="3">
        <v>226231</v>
      </c>
    </row>
    <row r="1779" spans="1:9">
      <c r="A1779" s="3" t="s">
        <v>1804</v>
      </c>
      <c r="B1779" s="3" t="s">
        <v>26</v>
      </c>
      <c r="C1779" s="3">
        <v>1861779</v>
      </c>
      <c r="D1779" s="3">
        <v>604434</v>
      </c>
      <c r="E1779" s="3" t="s">
        <v>27</v>
      </c>
      <c r="F1779" s="3">
        <v>1494381</v>
      </c>
      <c r="G1779" s="3">
        <v>469824</v>
      </c>
      <c r="H1779" s="3">
        <v>367398</v>
      </c>
      <c r="I1779" s="3">
        <v>134610</v>
      </c>
    </row>
    <row r="1780" spans="1:9">
      <c r="A1780" s="3" t="s">
        <v>1805</v>
      </c>
      <c r="B1780" s="3" t="s">
        <v>26</v>
      </c>
      <c r="C1780" s="3">
        <v>1881997</v>
      </c>
      <c r="D1780" s="3">
        <v>583953</v>
      </c>
      <c r="E1780" s="3" t="s">
        <v>27</v>
      </c>
      <c r="F1780" s="3">
        <v>1357752</v>
      </c>
      <c r="G1780" s="3">
        <v>422039</v>
      </c>
      <c r="H1780" s="3">
        <v>524245</v>
      </c>
      <c r="I1780" s="3">
        <v>161914</v>
      </c>
    </row>
    <row r="1781" spans="1:9">
      <c r="A1781" s="3" t="s">
        <v>1806</v>
      </c>
      <c r="B1781" s="3" t="s">
        <v>26</v>
      </c>
      <c r="C1781" s="3">
        <v>2237344</v>
      </c>
      <c r="D1781" s="3">
        <v>782565</v>
      </c>
      <c r="E1781" s="3" t="s">
        <v>27</v>
      </c>
      <c r="F1781" s="3">
        <v>1831836</v>
      </c>
      <c r="G1781" s="3">
        <v>619733</v>
      </c>
      <c r="H1781" s="3">
        <v>405508</v>
      </c>
      <c r="I1781" s="3">
        <v>162832</v>
      </c>
    </row>
    <row r="1782" spans="1:9">
      <c r="A1782" s="3" t="s">
        <v>1807</v>
      </c>
      <c r="B1782" s="3" t="s">
        <v>26</v>
      </c>
      <c r="C1782" s="3">
        <v>1035291</v>
      </c>
      <c r="D1782" s="3">
        <v>9172</v>
      </c>
      <c r="E1782" s="3" t="s">
        <v>27</v>
      </c>
      <c r="F1782" s="3">
        <v>683226</v>
      </c>
      <c r="G1782" s="3">
        <v>4102</v>
      </c>
      <c r="H1782" s="3">
        <v>352065</v>
      </c>
      <c r="I1782" s="3">
        <v>5070</v>
      </c>
    </row>
    <row r="1783" spans="1:9">
      <c r="A1783" s="3" t="s">
        <v>1808</v>
      </c>
      <c r="B1783" s="3" t="s">
        <v>26</v>
      </c>
      <c r="C1783" s="3">
        <v>2251142</v>
      </c>
      <c r="D1783" s="3">
        <v>505114</v>
      </c>
      <c r="E1783" s="3" t="s">
        <v>27</v>
      </c>
      <c r="F1783" s="3">
        <v>1299776</v>
      </c>
      <c r="G1783" s="3">
        <v>309851</v>
      </c>
      <c r="H1783" s="3">
        <v>951366</v>
      </c>
      <c r="I1783" s="3">
        <v>195263</v>
      </c>
    </row>
    <row r="1784" spans="1:9">
      <c r="A1784" s="3" t="s">
        <v>1809</v>
      </c>
      <c r="B1784" s="3" t="s">
        <v>26</v>
      </c>
      <c r="C1784" s="3">
        <v>2402621</v>
      </c>
      <c r="D1784" s="3">
        <v>916284</v>
      </c>
      <c r="E1784" s="3" t="s">
        <v>27</v>
      </c>
      <c r="F1784" s="3">
        <v>1962103</v>
      </c>
      <c r="G1784" s="3">
        <v>727903</v>
      </c>
      <c r="H1784" s="3">
        <v>440518</v>
      </c>
      <c r="I1784" s="3">
        <v>188381</v>
      </c>
    </row>
    <row r="1785" spans="1:9">
      <c r="A1785" s="3" t="s">
        <v>1810</v>
      </c>
      <c r="B1785" s="3" t="s">
        <v>26</v>
      </c>
      <c r="C1785" s="3">
        <v>2695423</v>
      </c>
      <c r="D1785" s="3">
        <v>1093680</v>
      </c>
      <c r="E1785" s="3" t="s">
        <v>27</v>
      </c>
      <c r="F1785" s="3">
        <v>1932313</v>
      </c>
      <c r="G1785" s="3">
        <v>770668</v>
      </c>
      <c r="H1785" s="3">
        <v>763110</v>
      </c>
      <c r="I1785" s="3">
        <v>323012</v>
      </c>
    </row>
    <row r="1786" spans="1:9">
      <c r="A1786" s="3" t="s">
        <v>1811</v>
      </c>
      <c r="B1786" s="3" t="s">
        <v>26</v>
      </c>
      <c r="C1786" s="3">
        <v>2062361</v>
      </c>
      <c r="D1786" s="3">
        <v>687904</v>
      </c>
      <c r="E1786" s="3" t="s">
        <v>27</v>
      </c>
      <c r="F1786" s="3">
        <v>1571760</v>
      </c>
      <c r="G1786" s="3">
        <v>529309</v>
      </c>
      <c r="H1786" s="3">
        <v>490601</v>
      </c>
      <c r="I1786" s="3">
        <v>158595</v>
      </c>
    </row>
    <row r="1787" spans="1:9">
      <c r="A1787" s="3" t="s">
        <v>1812</v>
      </c>
      <c r="B1787" s="3" t="s">
        <v>26</v>
      </c>
      <c r="C1787" s="3">
        <v>783578</v>
      </c>
      <c r="D1787" s="3">
        <v>1013</v>
      </c>
      <c r="E1787" s="3" t="s">
        <v>27</v>
      </c>
      <c r="F1787" s="3">
        <v>401896</v>
      </c>
      <c r="G1787" s="3">
        <v>420</v>
      </c>
      <c r="H1787" s="3">
        <v>381682</v>
      </c>
      <c r="I1787" s="3">
        <v>593</v>
      </c>
    </row>
    <row r="1788" spans="1:9">
      <c r="A1788" s="3" t="s">
        <v>1813</v>
      </c>
      <c r="B1788" s="3" t="s">
        <v>26</v>
      </c>
      <c r="C1788" s="3">
        <v>2429364</v>
      </c>
      <c r="D1788" s="3">
        <v>832942</v>
      </c>
      <c r="E1788" s="3" t="s">
        <v>27</v>
      </c>
      <c r="F1788" s="3">
        <v>1872334</v>
      </c>
      <c r="G1788" s="3">
        <v>618564</v>
      </c>
      <c r="H1788" s="3">
        <v>557030</v>
      </c>
      <c r="I1788" s="3">
        <v>214378</v>
      </c>
    </row>
    <row r="1789" spans="1:9">
      <c r="A1789" s="3" t="s">
        <v>1814</v>
      </c>
      <c r="B1789" s="3" t="s">
        <v>26</v>
      </c>
      <c r="C1789" s="3">
        <v>2908844</v>
      </c>
      <c r="D1789" s="3">
        <v>1183673</v>
      </c>
      <c r="E1789" s="3" t="s">
        <v>27</v>
      </c>
      <c r="F1789" s="3">
        <v>2101647</v>
      </c>
      <c r="G1789" s="3">
        <v>817018</v>
      </c>
      <c r="H1789" s="3">
        <v>807197</v>
      </c>
      <c r="I1789" s="3">
        <v>366655</v>
      </c>
    </row>
    <row r="1790" spans="1:9">
      <c r="A1790" s="3" t="s">
        <v>1815</v>
      </c>
      <c r="B1790" s="3" t="s">
        <v>26</v>
      </c>
      <c r="C1790" s="3">
        <v>2012506</v>
      </c>
      <c r="D1790" s="3">
        <v>736182</v>
      </c>
      <c r="E1790" s="3" t="s">
        <v>27</v>
      </c>
      <c r="F1790" s="3">
        <v>1697919</v>
      </c>
      <c r="G1790" s="3">
        <v>608500</v>
      </c>
      <c r="H1790" s="3">
        <v>314587</v>
      </c>
      <c r="I1790" s="3">
        <v>127682</v>
      </c>
    </row>
    <row r="1791" spans="1:9">
      <c r="A1791" s="3" t="s">
        <v>1816</v>
      </c>
      <c r="B1791" s="3" t="s">
        <v>26</v>
      </c>
      <c r="C1791" s="3">
        <v>1626785</v>
      </c>
      <c r="D1791" s="3">
        <v>27008</v>
      </c>
      <c r="E1791" s="3" t="s">
        <v>27</v>
      </c>
      <c r="F1791" s="3">
        <v>814788</v>
      </c>
      <c r="G1791" s="3">
        <v>13588</v>
      </c>
      <c r="H1791" s="3">
        <v>811997</v>
      </c>
      <c r="I1791" s="3">
        <v>13420</v>
      </c>
    </row>
    <row r="1792" spans="1:9">
      <c r="A1792" s="3" t="s">
        <v>1817</v>
      </c>
      <c r="B1792" s="3" t="s">
        <v>26</v>
      </c>
      <c r="C1792" s="3">
        <v>2764899</v>
      </c>
      <c r="D1792" s="3">
        <v>1097770</v>
      </c>
      <c r="E1792" s="3" t="s">
        <v>27</v>
      </c>
      <c r="F1792" s="3">
        <v>1946157</v>
      </c>
      <c r="G1792" s="3">
        <v>764524</v>
      </c>
      <c r="H1792" s="3">
        <v>818742</v>
      </c>
      <c r="I1792" s="3">
        <v>333246</v>
      </c>
    </row>
    <row r="1793" spans="1:9">
      <c r="A1793" s="3" t="s">
        <v>1818</v>
      </c>
      <c r="B1793" s="3" t="s">
        <v>26</v>
      </c>
      <c r="C1793" s="3">
        <v>1919777</v>
      </c>
      <c r="D1793" s="3">
        <v>360224</v>
      </c>
      <c r="E1793" s="3" t="s">
        <v>27</v>
      </c>
      <c r="F1793" s="3">
        <v>1129542</v>
      </c>
      <c r="G1793" s="3">
        <v>215752</v>
      </c>
      <c r="H1793" s="3">
        <v>790235</v>
      </c>
      <c r="I1793" s="3">
        <v>144472</v>
      </c>
    </row>
    <row r="1794" spans="1:9">
      <c r="A1794" s="3" t="s">
        <v>1819</v>
      </c>
      <c r="B1794" s="3" t="s">
        <v>26</v>
      </c>
      <c r="C1794" s="3">
        <v>2451762</v>
      </c>
      <c r="D1794" s="3">
        <v>700847</v>
      </c>
      <c r="E1794" s="3" t="s">
        <v>27</v>
      </c>
      <c r="F1794" s="3">
        <v>1492298</v>
      </c>
      <c r="G1794" s="3">
        <v>438211</v>
      </c>
      <c r="H1794" s="3">
        <v>959464</v>
      </c>
      <c r="I1794" s="3">
        <v>262636</v>
      </c>
    </row>
    <row r="1795" spans="1:9">
      <c r="A1795" s="3" t="s">
        <v>1820</v>
      </c>
      <c r="B1795" s="3" t="s">
        <v>26</v>
      </c>
      <c r="C1795" s="3">
        <v>1807524</v>
      </c>
      <c r="D1795" s="3">
        <v>370533</v>
      </c>
      <c r="E1795" s="3" t="s">
        <v>27</v>
      </c>
      <c r="F1795" s="3">
        <v>1252880</v>
      </c>
      <c r="G1795" s="3">
        <v>247958</v>
      </c>
      <c r="H1795" s="3">
        <v>554644</v>
      </c>
      <c r="I1795" s="3">
        <v>122575</v>
      </c>
    </row>
    <row r="1796" spans="1:9">
      <c r="A1796" s="3" t="s">
        <v>1821</v>
      </c>
      <c r="B1796" s="3" t="s">
        <v>26</v>
      </c>
      <c r="C1796" s="3">
        <v>2348612</v>
      </c>
      <c r="D1796" s="3">
        <v>827407</v>
      </c>
      <c r="E1796" s="3" t="s">
        <v>27</v>
      </c>
      <c r="F1796" s="3">
        <v>1784626</v>
      </c>
      <c r="G1796" s="3">
        <v>600437</v>
      </c>
      <c r="H1796" s="3">
        <v>563986</v>
      </c>
      <c r="I1796" s="3">
        <v>226970</v>
      </c>
    </row>
    <row r="1797" spans="1:9">
      <c r="A1797" s="3" t="s">
        <v>1822</v>
      </c>
      <c r="B1797" s="3" t="s">
        <v>26</v>
      </c>
      <c r="C1797" s="3">
        <v>2207473</v>
      </c>
      <c r="D1797" s="3">
        <v>856563</v>
      </c>
      <c r="E1797" s="3" t="s">
        <v>27</v>
      </c>
      <c r="F1797" s="3">
        <v>1840943</v>
      </c>
      <c r="G1797" s="3">
        <v>692319</v>
      </c>
      <c r="H1797" s="3">
        <v>366530</v>
      </c>
      <c r="I1797" s="3">
        <v>164244</v>
      </c>
    </row>
    <row r="1798" spans="1:9">
      <c r="A1798" s="3" t="s">
        <v>1823</v>
      </c>
      <c r="B1798" s="3" t="s">
        <v>26</v>
      </c>
      <c r="C1798" s="3">
        <v>1157537</v>
      </c>
      <c r="D1798" s="3">
        <v>118451</v>
      </c>
      <c r="E1798" s="3" t="s">
        <v>27</v>
      </c>
      <c r="F1798" s="3">
        <v>685700</v>
      </c>
      <c r="G1798" s="3">
        <v>70313</v>
      </c>
      <c r="H1798" s="3">
        <v>471837</v>
      </c>
      <c r="I1798" s="3">
        <v>48138</v>
      </c>
    </row>
    <row r="1799" spans="1:9">
      <c r="A1799" s="3" t="s">
        <v>1824</v>
      </c>
      <c r="B1799" s="3" t="s">
        <v>26</v>
      </c>
      <c r="C1799" s="3">
        <v>2676670</v>
      </c>
      <c r="D1799" s="3">
        <v>685414</v>
      </c>
      <c r="E1799" s="3" t="s">
        <v>27</v>
      </c>
      <c r="F1799" s="3">
        <v>1854235</v>
      </c>
      <c r="G1799" s="3">
        <v>449641</v>
      </c>
      <c r="H1799" s="3">
        <v>822435</v>
      </c>
      <c r="I1799" s="3">
        <v>235773</v>
      </c>
    </row>
    <row r="1800" spans="1:9">
      <c r="A1800" s="3" t="s">
        <v>1825</v>
      </c>
      <c r="B1800" s="3" t="s">
        <v>26</v>
      </c>
      <c r="C1800" s="3">
        <v>1883458</v>
      </c>
      <c r="D1800" s="3">
        <v>109510</v>
      </c>
      <c r="E1800" s="3" t="s">
        <v>27</v>
      </c>
      <c r="F1800" s="3">
        <v>1040996</v>
      </c>
      <c r="G1800" s="3">
        <v>56258</v>
      </c>
      <c r="H1800" s="3">
        <v>842462</v>
      </c>
      <c r="I1800" s="3">
        <v>53252</v>
      </c>
    </row>
    <row r="1801" spans="1:9">
      <c r="A1801" s="3" t="s">
        <v>1826</v>
      </c>
      <c r="B1801" s="3" t="s">
        <v>26</v>
      </c>
      <c r="C1801" s="3">
        <v>1942272</v>
      </c>
      <c r="D1801" s="3">
        <v>24456</v>
      </c>
      <c r="E1801" s="3" t="s">
        <v>27</v>
      </c>
      <c r="F1801" s="3">
        <v>1030341</v>
      </c>
      <c r="G1801" s="3">
        <v>8481</v>
      </c>
      <c r="H1801" s="3">
        <v>911931</v>
      </c>
      <c r="I1801" s="3">
        <v>15975</v>
      </c>
    </row>
    <row r="1802" spans="1:9">
      <c r="A1802" s="3" t="s">
        <v>1827</v>
      </c>
      <c r="B1802" s="3" t="s">
        <v>26</v>
      </c>
      <c r="C1802" s="3">
        <v>3296423</v>
      </c>
      <c r="D1802" s="3">
        <v>1018750</v>
      </c>
      <c r="E1802" s="3" t="s">
        <v>27</v>
      </c>
      <c r="F1802" s="3">
        <v>2074384</v>
      </c>
      <c r="G1802" s="3">
        <v>641443</v>
      </c>
      <c r="H1802" s="3">
        <v>1222039</v>
      </c>
      <c r="I1802" s="3">
        <v>377307</v>
      </c>
    </row>
    <row r="1803" spans="1:9">
      <c r="A1803" s="3" t="s">
        <v>1828</v>
      </c>
      <c r="B1803" s="3" t="s">
        <v>26</v>
      </c>
      <c r="C1803" s="3">
        <v>1035266</v>
      </c>
      <c r="D1803" s="3">
        <v>4357</v>
      </c>
      <c r="E1803" s="3" t="s">
        <v>27</v>
      </c>
      <c r="F1803" s="3">
        <v>519607</v>
      </c>
      <c r="G1803" s="3">
        <v>486</v>
      </c>
      <c r="H1803" s="3">
        <v>515659</v>
      </c>
      <c r="I1803" s="3">
        <v>3871</v>
      </c>
    </row>
    <row r="1804" spans="1:9">
      <c r="A1804" s="3" t="s">
        <v>1829</v>
      </c>
      <c r="B1804" s="3" t="s">
        <v>26</v>
      </c>
      <c r="C1804" s="3">
        <v>2625691</v>
      </c>
      <c r="D1804" s="3">
        <v>723441</v>
      </c>
      <c r="E1804" s="3" t="s">
        <v>27</v>
      </c>
      <c r="F1804" s="3">
        <v>1902929</v>
      </c>
      <c r="G1804" s="3">
        <v>523517</v>
      </c>
      <c r="H1804" s="3">
        <v>722762</v>
      </c>
      <c r="I1804" s="3">
        <v>199924</v>
      </c>
    </row>
    <row r="1805" spans="1:9">
      <c r="A1805" s="3" t="s">
        <v>1830</v>
      </c>
      <c r="B1805" s="3" t="s">
        <v>26</v>
      </c>
      <c r="C1805" s="3">
        <v>2628764</v>
      </c>
      <c r="D1805" s="3">
        <v>524976</v>
      </c>
      <c r="E1805" s="3" t="s">
        <v>27</v>
      </c>
      <c r="F1805" s="3">
        <v>1627723</v>
      </c>
      <c r="G1805" s="3">
        <v>325636</v>
      </c>
      <c r="H1805" s="3">
        <v>1001041</v>
      </c>
      <c r="I1805" s="3">
        <v>199340</v>
      </c>
    </row>
    <row r="1806" spans="1:9">
      <c r="A1806" s="3" t="s">
        <v>1831</v>
      </c>
      <c r="B1806" s="3" t="s">
        <v>26</v>
      </c>
      <c r="C1806" s="3">
        <v>2370833</v>
      </c>
      <c r="D1806" s="3">
        <v>570636</v>
      </c>
      <c r="E1806" s="3" t="s">
        <v>27</v>
      </c>
      <c r="F1806" s="3">
        <v>1718077</v>
      </c>
      <c r="G1806" s="3">
        <v>397684</v>
      </c>
      <c r="H1806" s="3">
        <v>652756</v>
      </c>
      <c r="I1806" s="3">
        <v>172952</v>
      </c>
    </row>
    <row r="1807" spans="1:9">
      <c r="A1807" s="3" t="s">
        <v>1832</v>
      </c>
      <c r="B1807" s="3" t="s">
        <v>26</v>
      </c>
      <c r="C1807" s="3">
        <v>2504211</v>
      </c>
      <c r="D1807" s="3">
        <v>611035</v>
      </c>
      <c r="E1807" s="3" t="s">
        <v>27</v>
      </c>
      <c r="F1807" s="3">
        <v>1641658</v>
      </c>
      <c r="G1807" s="3">
        <v>421488</v>
      </c>
      <c r="H1807" s="3">
        <v>862553</v>
      </c>
      <c r="I1807" s="3">
        <v>189547</v>
      </c>
    </row>
    <row r="1808" spans="1:9">
      <c r="A1808" s="3" t="s">
        <v>1833</v>
      </c>
      <c r="B1808" s="3" t="s">
        <v>26</v>
      </c>
      <c r="C1808" s="3">
        <v>1454029</v>
      </c>
      <c r="D1808" s="3">
        <v>59878</v>
      </c>
      <c r="E1808" s="3" t="s">
        <v>27</v>
      </c>
      <c r="F1808" s="3">
        <v>993510</v>
      </c>
      <c r="G1808" s="3">
        <v>37484</v>
      </c>
      <c r="H1808" s="3">
        <v>460519</v>
      </c>
      <c r="I1808" s="3">
        <v>22394</v>
      </c>
    </row>
    <row r="1809" spans="1:9">
      <c r="A1809" s="3" t="s">
        <v>1834</v>
      </c>
      <c r="B1809" s="3" t="s">
        <v>26</v>
      </c>
      <c r="C1809" s="3">
        <v>2240920</v>
      </c>
      <c r="D1809" s="3">
        <v>503200</v>
      </c>
      <c r="E1809" s="3" t="s">
        <v>27</v>
      </c>
      <c r="F1809" s="3">
        <v>1426915</v>
      </c>
      <c r="G1809" s="3">
        <v>321905</v>
      </c>
      <c r="H1809" s="3">
        <v>814005</v>
      </c>
      <c r="I1809" s="3">
        <v>181295</v>
      </c>
    </row>
    <row r="1810" spans="1:9">
      <c r="A1810" s="3" t="s">
        <v>1835</v>
      </c>
      <c r="B1810" s="3" t="s">
        <v>26</v>
      </c>
      <c r="C1810" s="3">
        <v>2724774</v>
      </c>
      <c r="D1810" s="3">
        <v>880023</v>
      </c>
      <c r="E1810" s="3" t="s">
        <v>27</v>
      </c>
      <c r="F1810" s="3">
        <v>2160843</v>
      </c>
      <c r="G1810" s="3">
        <v>662906</v>
      </c>
      <c r="H1810" s="3">
        <v>563931</v>
      </c>
      <c r="I1810" s="3">
        <v>217117</v>
      </c>
    </row>
    <row r="1811" spans="1:9">
      <c r="A1811" s="3" t="s">
        <v>1836</v>
      </c>
      <c r="B1811" s="3" t="s">
        <v>26</v>
      </c>
      <c r="C1811" s="3">
        <v>3152840</v>
      </c>
      <c r="D1811" s="3">
        <v>1240953</v>
      </c>
      <c r="E1811" s="3" t="s">
        <v>27</v>
      </c>
      <c r="F1811" s="3">
        <v>2340786</v>
      </c>
      <c r="G1811" s="3">
        <v>877770</v>
      </c>
      <c r="H1811" s="3">
        <v>812054</v>
      </c>
      <c r="I1811" s="3">
        <v>363183</v>
      </c>
    </row>
    <row r="1812" spans="1:9">
      <c r="A1812" s="3" t="s">
        <v>1837</v>
      </c>
      <c r="B1812" s="3" t="s">
        <v>26</v>
      </c>
      <c r="C1812" s="3">
        <v>2526725</v>
      </c>
      <c r="D1812" s="3">
        <v>553865</v>
      </c>
      <c r="E1812" s="3" t="s">
        <v>27</v>
      </c>
      <c r="F1812" s="3">
        <v>2356548</v>
      </c>
      <c r="G1812" s="3">
        <v>489072</v>
      </c>
      <c r="H1812" s="3">
        <v>170177</v>
      </c>
      <c r="I1812" s="3">
        <v>64793</v>
      </c>
    </row>
    <row r="1813" spans="1:9">
      <c r="A1813" s="3" t="s">
        <v>1838</v>
      </c>
      <c r="B1813" s="3" t="s">
        <v>26</v>
      </c>
      <c r="C1813" s="3">
        <v>3262754</v>
      </c>
      <c r="D1813" s="3">
        <v>1223017</v>
      </c>
      <c r="E1813" s="3" t="s">
        <v>27</v>
      </c>
      <c r="F1813" s="3">
        <v>2249991</v>
      </c>
      <c r="G1813" s="3">
        <v>816733</v>
      </c>
      <c r="H1813" s="3">
        <v>1012763</v>
      </c>
      <c r="I1813" s="3">
        <v>406284</v>
      </c>
    </row>
    <row r="1814" spans="1:9">
      <c r="A1814" s="3" t="s">
        <v>1839</v>
      </c>
      <c r="B1814" s="3" t="s">
        <v>26</v>
      </c>
      <c r="C1814" s="3">
        <v>1536809</v>
      </c>
      <c r="D1814" s="3">
        <v>33105</v>
      </c>
      <c r="E1814" s="3" t="s">
        <v>27</v>
      </c>
      <c r="F1814" s="3">
        <v>814732</v>
      </c>
      <c r="G1814" s="3">
        <v>14259</v>
      </c>
      <c r="H1814" s="3">
        <v>722077</v>
      </c>
      <c r="I1814" s="3">
        <v>18846</v>
      </c>
    </row>
    <row r="1815" spans="1:9">
      <c r="A1815" s="3" t="s">
        <v>1840</v>
      </c>
      <c r="B1815" s="3" t="s">
        <v>26</v>
      </c>
      <c r="C1815" s="3">
        <v>2239113</v>
      </c>
      <c r="D1815" s="3">
        <v>248773</v>
      </c>
      <c r="E1815" s="3" t="s">
        <v>27</v>
      </c>
      <c r="F1815" s="3">
        <v>1394438</v>
      </c>
      <c r="G1815" s="3">
        <v>182311</v>
      </c>
      <c r="H1815" s="3">
        <v>844675</v>
      </c>
      <c r="I1815" s="3">
        <v>66462</v>
      </c>
    </row>
    <row r="1816" spans="1:9">
      <c r="A1816" s="3" t="s">
        <v>1841</v>
      </c>
      <c r="B1816" s="3" t="s">
        <v>26</v>
      </c>
      <c r="C1816" s="3">
        <v>2724097</v>
      </c>
      <c r="D1816" s="3">
        <v>678168</v>
      </c>
      <c r="E1816" s="3" t="s">
        <v>27</v>
      </c>
      <c r="F1816" s="3">
        <v>1944481</v>
      </c>
      <c r="G1816" s="3">
        <v>525445</v>
      </c>
      <c r="H1816" s="3">
        <v>779616</v>
      </c>
      <c r="I1816" s="3">
        <v>152723</v>
      </c>
    </row>
    <row r="1817" spans="1:9">
      <c r="A1817" s="3" t="s">
        <v>1842</v>
      </c>
      <c r="B1817" s="3" t="s">
        <v>26</v>
      </c>
      <c r="C1817" s="3">
        <v>2687578</v>
      </c>
      <c r="D1817" s="3">
        <v>923230</v>
      </c>
      <c r="E1817" s="3" t="s">
        <v>27</v>
      </c>
      <c r="F1817" s="3">
        <v>1884541</v>
      </c>
      <c r="G1817" s="3">
        <v>650468</v>
      </c>
      <c r="H1817" s="3">
        <v>803037</v>
      </c>
      <c r="I1817" s="3">
        <v>272762</v>
      </c>
    </row>
    <row r="1818" spans="1:9">
      <c r="A1818" s="3" t="s">
        <v>1843</v>
      </c>
      <c r="B1818" s="3" t="s">
        <v>26</v>
      </c>
      <c r="C1818" s="3">
        <v>2841415</v>
      </c>
      <c r="D1818" s="3">
        <v>848219</v>
      </c>
      <c r="E1818" s="3" t="s">
        <v>27</v>
      </c>
      <c r="F1818" s="3">
        <v>2156539</v>
      </c>
      <c r="G1818" s="3">
        <v>637847</v>
      </c>
      <c r="H1818" s="3">
        <v>684876</v>
      </c>
      <c r="I1818" s="3">
        <v>210372</v>
      </c>
    </row>
    <row r="1819" spans="1:9">
      <c r="A1819" s="3" t="s">
        <v>1844</v>
      </c>
      <c r="B1819" s="3" t="s">
        <v>26</v>
      </c>
      <c r="C1819" s="3">
        <v>2867281</v>
      </c>
      <c r="D1819" s="3">
        <v>1049542</v>
      </c>
      <c r="E1819" s="3" t="s">
        <v>27</v>
      </c>
      <c r="F1819" s="3">
        <v>2170089</v>
      </c>
      <c r="G1819" s="3">
        <v>778374</v>
      </c>
      <c r="H1819" s="3">
        <v>697192</v>
      </c>
      <c r="I1819" s="3">
        <v>271168</v>
      </c>
    </row>
    <row r="1820" spans="1:9">
      <c r="A1820" s="3" t="s">
        <v>1845</v>
      </c>
      <c r="B1820" s="3" t="s">
        <v>26</v>
      </c>
      <c r="C1820" s="3">
        <v>1500833</v>
      </c>
      <c r="D1820" s="3">
        <v>30115</v>
      </c>
      <c r="E1820" s="3" t="s">
        <v>27</v>
      </c>
      <c r="F1820" s="3">
        <v>848086</v>
      </c>
      <c r="G1820" s="3">
        <v>20051</v>
      </c>
      <c r="H1820" s="3">
        <v>652747</v>
      </c>
      <c r="I1820" s="3">
        <v>10064</v>
      </c>
    </row>
    <row r="1821" spans="1:9">
      <c r="A1821" s="3" t="s">
        <v>1846</v>
      </c>
      <c r="B1821" s="3" t="s">
        <v>26</v>
      </c>
      <c r="C1821" s="3">
        <v>2586400</v>
      </c>
      <c r="D1821" s="3">
        <v>539243</v>
      </c>
      <c r="E1821" s="3" t="s">
        <v>27</v>
      </c>
      <c r="F1821" s="3">
        <v>1749445</v>
      </c>
      <c r="G1821" s="3">
        <v>386573</v>
      </c>
      <c r="H1821" s="3">
        <v>836955</v>
      </c>
      <c r="I1821" s="3">
        <v>152670</v>
      </c>
    </row>
    <row r="1822" spans="1:9">
      <c r="A1822" s="3" t="s">
        <v>1847</v>
      </c>
      <c r="B1822" s="3" t="s">
        <v>26</v>
      </c>
      <c r="C1822" s="3">
        <v>2847155</v>
      </c>
      <c r="D1822" s="3">
        <v>844054</v>
      </c>
      <c r="E1822" s="3" t="s">
        <v>27</v>
      </c>
      <c r="F1822" s="3">
        <v>2141387</v>
      </c>
      <c r="G1822" s="3">
        <v>643265</v>
      </c>
      <c r="H1822" s="3">
        <v>705768</v>
      </c>
      <c r="I1822" s="3">
        <v>200789</v>
      </c>
    </row>
    <row r="1823" spans="1:9">
      <c r="A1823" s="3" t="s">
        <v>1848</v>
      </c>
      <c r="B1823" s="3" t="s">
        <v>26</v>
      </c>
      <c r="C1823" s="3">
        <v>1631441</v>
      </c>
      <c r="D1823" s="3">
        <v>98800</v>
      </c>
      <c r="E1823" s="3" t="s">
        <v>27</v>
      </c>
      <c r="F1823" s="3">
        <v>951875</v>
      </c>
      <c r="G1823" s="3">
        <v>59322</v>
      </c>
      <c r="H1823" s="3">
        <v>679566</v>
      </c>
      <c r="I1823" s="3">
        <v>39478</v>
      </c>
    </row>
    <row r="1824" spans="1:9">
      <c r="A1824" s="3" t="s">
        <v>1849</v>
      </c>
      <c r="B1824" s="3" t="s">
        <v>26</v>
      </c>
      <c r="C1824" s="3">
        <v>2315936</v>
      </c>
      <c r="D1824" s="3">
        <v>667249</v>
      </c>
      <c r="E1824" s="3" t="s">
        <v>27</v>
      </c>
      <c r="F1824" s="3">
        <v>1896677</v>
      </c>
      <c r="G1824" s="3">
        <v>543781</v>
      </c>
      <c r="H1824" s="3">
        <v>419259</v>
      </c>
      <c r="I1824" s="3">
        <v>123468</v>
      </c>
    </row>
    <row r="1825" spans="1:9">
      <c r="A1825" s="3" t="s">
        <v>1850</v>
      </c>
      <c r="B1825" s="3" t="s">
        <v>26</v>
      </c>
      <c r="C1825" s="3">
        <v>2617410</v>
      </c>
      <c r="D1825" s="3">
        <v>787438</v>
      </c>
      <c r="E1825" s="3" t="s">
        <v>27</v>
      </c>
      <c r="F1825" s="3">
        <v>1895194</v>
      </c>
      <c r="G1825" s="3">
        <v>614028</v>
      </c>
      <c r="H1825" s="3">
        <v>722216</v>
      </c>
      <c r="I1825" s="3">
        <v>173410</v>
      </c>
    </row>
    <row r="1826" spans="1:9">
      <c r="A1826" s="3" t="s">
        <v>1851</v>
      </c>
      <c r="B1826" s="3" t="s">
        <v>26</v>
      </c>
      <c r="C1826" s="3">
        <v>1701616</v>
      </c>
      <c r="D1826" s="3">
        <v>199897</v>
      </c>
      <c r="E1826" s="3" t="s">
        <v>27</v>
      </c>
      <c r="F1826" s="3">
        <v>954494</v>
      </c>
      <c r="G1826" s="3">
        <v>125285</v>
      </c>
      <c r="H1826" s="3">
        <v>747122</v>
      </c>
      <c r="I1826" s="3">
        <v>74612</v>
      </c>
    </row>
    <row r="1827" spans="1:9">
      <c r="A1827" s="3" t="s">
        <v>1852</v>
      </c>
      <c r="B1827" s="3" t="s">
        <v>26</v>
      </c>
      <c r="C1827" s="3">
        <v>941232</v>
      </c>
      <c r="D1827" s="3">
        <v>2791</v>
      </c>
      <c r="E1827" s="3" t="s">
        <v>27</v>
      </c>
      <c r="F1827" s="3">
        <v>504756</v>
      </c>
      <c r="G1827" s="3">
        <v>1289</v>
      </c>
      <c r="H1827" s="3">
        <v>436476</v>
      </c>
      <c r="I1827" s="3">
        <v>1502</v>
      </c>
    </row>
    <row r="1828" spans="1:9">
      <c r="A1828" s="3" t="s">
        <v>1853</v>
      </c>
      <c r="B1828" s="3" t="s">
        <v>26</v>
      </c>
      <c r="C1828" s="3">
        <v>3152492</v>
      </c>
      <c r="D1828" s="3">
        <v>1209814</v>
      </c>
      <c r="E1828" s="3" t="s">
        <v>27</v>
      </c>
      <c r="F1828" s="3">
        <v>2361145</v>
      </c>
      <c r="G1828" s="3">
        <v>866818</v>
      </c>
      <c r="H1828" s="3">
        <v>791347</v>
      </c>
      <c r="I1828" s="3">
        <v>342996</v>
      </c>
    </row>
    <row r="1829" spans="1:9">
      <c r="A1829" s="3" t="s">
        <v>1854</v>
      </c>
      <c r="B1829" s="3" t="s">
        <v>26</v>
      </c>
      <c r="C1829" s="3">
        <v>1536598</v>
      </c>
      <c r="D1829" s="3">
        <v>12837</v>
      </c>
      <c r="E1829" s="3" t="s">
        <v>27</v>
      </c>
      <c r="F1829" s="3">
        <v>817598</v>
      </c>
      <c r="G1829" s="3">
        <v>5850</v>
      </c>
      <c r="H1829" s="3">
        <v>719000</v>
      </c>
      <c r="I1829" s="3">
        <v>6987</v>
      </c>
    </row>
    <row r="1830" spans="1:9">
      <c r="A1830" s="3" t="s">
        <v>1855</v>
      </c>
      <c r="B1830" s="3" t="s">
        <v>26</v>
      </c>
      <c r="C1830" s="3">
        <v>2840918</v>
      </c>
      <c r="D1830" s="3">
        <v>1012008</v>
      </c>
      <c r="E1830" s="3" t="s">
        <v>27</v>
      </c>
      <c r="F1830" s="3">
        <v>1931863</v>
      </c>
      <c r="G1830" s="3">
        <v>685143</v>
      </c>
      <c r="H1830" s="3">
        <v>909055</v>
      </c>
      <c r="I1830" s="3">
        <v>326865</v>
      </c>
    </row>
    <row r="1831" spans="1:9">
      <c r="A1831" s="3" t="s">
        <v>1856</v>
      </c>
      <c r="B1831" s="3" t="s">
        <v>26</v>
      </c>
      <c r="C1831" s="3">
        <v>2310986</v>
      </c>
      <c r="D1831" s="3">
        <v>360716</v>
      </c>
      <c r="E1831" s="3" t="s">
        <v>27</v>
      </c>
      <c r="F1831" s="3">
        <v>1424178</v>
      </c>
      <c r="G1831" s="3">
        <v>229124</v>
      </c>
      <c r="H1831" s="3">
        <v>886808</v>
      </c>
      <c r="I1831" s="3">
        <v>131592</v>
      </c>
    </row>
    <row r="1832" spans="1:9">
      <c r="A1832" s="3" t="s">
        <v>1857</v>
      </c>
      <c r="B1832" s="3" t="s">
        <v>26</v>
      </c>
      <c r="C1832" s="3">
        <v>3090220</v>
      </c>
      <c r="D1832" s="3">
        <v>905064</v>
      </c>
      <c r="E1832" s="3" t="s">
        <v>27</v>
      </c>
      <c r="F1832" s="3">
        <v>2034899</v>
      </c>
      <c r="G1832" s="3">
        <v>611621</v>
      </c>
      <c r="H1832" s="3">
        <v>1055321</v>
      </c>
      <c r="I1832" s="3">
        <v>293443</v>
      </c>
    </row>
    <row r="1833" spans="1:9">
      <c r="A1833" s="3" t="s">
        <v>1858</v>
      </c>
      <c r="B1833" s="3" t="s">
        <v>26</v>
      </c>
      <c r="C1833" s="3">
        <v>1429863</v>
      </c>
      <c r="D1833" s="3">
        <v>54681</v>
      </c>
      <c r="E1833" s="3" t="s">
        <v>27</v>
      </c>
      <c r="F1833" s="3">
        <v>787544</v>
      </c>
      <c r="G1833" s="3">
        <v>28653</v>
      </c>
      <c r="H1833" s="3">
        <v>642319</v>
      </c>
      <c r="I1833" s="3">
        <v>26028</v>
      </c>
    </row>
    <row r="1834" spans="1:9">
      <c r="A1834" s="3" t="s">
        <v>1859</v>
      </c>
      <c r="B1834" s="3" t="s">
        <v>26</v>
      </c>
      <c r="C1834" s="3">
        <v>1230389</v>
      </c>
      <c r="D1834" s="3">
        <v>71538</v>
      </c>
      <c r="E1834" s="3" t="s">
        <v>27</v>
      </c>
      <c r="F1834" s="3">
        <v>809759</v>
      </c>
      <c r="G1834" s="3">
        <v>52792</v>
      </c>
      <c r="H1834" s="3">
        <v>420630</v>
      </c>
      <c r="I1834" s="3">
        <v>18746</v>
      </c>
    </row>
    <row r="1835" spans="1:9">
      <c r="A1835" s="3" t="s">
        <v>1860</v>
      </c>
      <c r="B1835" s="3" t="s">
        <v>26</v>
      </c>
      <c r="C1835" s="3">
        <v>3371224</v>
      </c>
      <c r="D1835" s="3">
        <v>1165267</v>
      </c>
      <c r="E1835" s="3" t="s">
        <v>27</v>
      </c>
      <c r="F1835" s="3">
        <v>2260578</v>
      </c>
      <c r="G1835" s="3">
        <v>780719</v>
      </c>
      <c r="H1835" s="3">
        <v>1110646</v>
      </c>
      <c r="I1835" s="3">
        <v>384548</v>
      </c>
    </row>
    <row r="1836" spans="1:9">
      <c r="A1836" s="3" t="s">
        <v>1861</v>
      </c>
      <c r="B1836" s="3" t="s">
        <v>26</v>
      </c>
      <c r="C1836" s="3">
        <v>2194810</v>
      </c>
      <c r="D1836" s="3">
        <v>369702</v>
      </c>
      <c r="E1836" s="3" t="s">
        <v>27</v>
      </c>
      <c r="F1836" s="3">
        <v>1389999</v>
      </c>
      <c r="G1836" s="3">
        <v>230888</v>
      </c>
      <c r="H1836" s="3">
        <v>804811</v>
      </c>
      <c r="I1836" s="3">
        <v>138814</v>
      </c>
    </row>
    <row r="1837" spans="1:9">
      <c r="A1837" s="3" t="s">
        <v>1862</v>
      </c>
      <c r="B1837" s="3" t="s">
        <v>26</v>
      </c>
      <c r="C1837" s="3">
        <v>1984794</v>
      </c>
      <c r="D1837" s="3">
        <v>414504</v>
      </c>
      <c r="E1837" s="3" t="s">
        <v>27</v>
      </c>
      <c r="F1837" s="3">
        <v>1339718</v>
      </c>
      <c r="G1837" s="3">
        <v>278985</v>
      </c>
      <c r="H1837" s="3">
        <v>645076</v>
      </c>
      <c r="I1837" s="3">
        <v>135519</v>
      </c>
    </row>
    <row r="1838" spans="1:9">
      <c r="A1838" s="3" t="s">
        <v>1863</v>
      </c>
      <c r="B1838" s="3" t="s">
        <v>26</v>
      </c>
      <c r="C1838" s="3">
        <v>2262593</v>
      </c>
      <c r="D1838" s="3">
        <v>318541</v>
      </c>
      <c r="E1838" s="3" t="s">
        <v>27</v>
      </c>
      <c r="F1838" s="3">
        <v>1313570</v>
      </c>
      <c r="G1838" s="3">
        <v>198553</v>
      </c>
      <c r="H1838" s="3">
        <v>949023</v>
      </c>
      <c r="I1838" s="3">
        <v>119988</v>
      </c>
    </row>
    <row r="1839" spans="1:9">
      <c r="A1839" s="3" t="s">
        <v>1864</v>
      </c>
      <c r="B1839" s="3" t="s">
        <v>26</v>
      </c>
      <c r="C1839" s="3">
        <v>1946180</v>
      </c>
      <c r="D1839" s="3">
        <v>493327</v>
      </c>
      <c r="E1839" s="3" t="s">
        <v>27</v>
      </c>
      <c r="F1839" s="3">
        <v>1348275</v>
      </c>
      <c r="G1839" s="3">
        <v>353757</v>
      </c>
      <c r="H1839" s="3">
        <v>597905</v>
      </c>
      <c r="I1839" s="3">
        <v>139570</v>
      </c>
    </row>
    <row r="1840" spans="1:9">
      <c r="A1840" s="3" t="s">
        <v>1865</v>
      </c>
      <c r="B1840" s="3" t="s">
        <v>26</v>
      </c>
      <c r="C1840" s="3">
        <v>2084748</v>
      </c>
      <c r="D1840" s="3">
        <v>449834</v>
      </c>
      <c r="E1840" s="3" t="s">
        <v>27</v>
      </c>
      <c r="F1840" s="3">
        <v>1322488</v>
      </c>
      <c r="G1840" s="3">
        <v>293590</v>
      </c>
      <c r="H1840" s="3">
        <v>762260</v>
      </c>
      <c r="I1840" s="3">
        <v>156244</v>
      </c>
    </row>
    <row r="1841" spans="1:9">
      <c r="A1841" s="3" t="s">
        <v>1866</v>
      </c>
      <c r="B1841" s="3" t="s">
        <v>26</v>
      </c>
      <c r="C1841" s="3">
        <v>3049986</v>
      </c>
      <c r="D1841" s="3">
        <v>1198980</v>
      </c>
      <c r="E1841" s="3" t="s">
        <v>27</v>
      </c>
      <c r="F1841" s="3">
        <v>2489826</v>
      </c>
      <c r="G1841" s="3">
        <v>975551</v>
      </c>
      <c r="H1841" s="3">
        <v>560160</v>
      </c>
      <c r="I1841" s="3">
        <v>223429</v>
      </c>
    </row>
    <row r="1842" spans="1:9">
      <c r="A1842" s="3" t="s">
        <v>1867</v>
      </c>
      <c r="B1842" s="3" t="s">
        <v>26</v>
      </c>
      <c r="C1842" s="3">
        <v>627346</v>
      </c>
      <c r="D1842" s="3">
        <v>16214</v>
      </c>
      <c r="E1842" s="3" t="s">
        <v>27</v>
      </c>
      <c r="F1842" s="3">
        <v>394682</v>
      </c>
      <c r="G1842" s="3">
        <v>12524</v>
      </c>
      <c r="H1842" s="3">
        <v>232664</v>
      </c>
      <c r="I1842" s="3">
        <v>3690</v>
      </c>
    </row>
    <row r="1843" spans="1:9">
      <c r="A1843" s="3" t="s">
        <v>1868</v>
      </c>
      <c r="B1843" s="3" t="s">
        <v>26</v>
      </c>
      <c r="C1843" s="3">
        <v>2209949</v>
      </c>
      <c r="D1843" s="3">
        <v>602601</v>
      </c>
      <c r="E1843" s="3" t="s">
        <v>27</v>
      </c>
      <c r="F1843" s="3">
        <v>1979002</v>
      </c>
      <c r="G1843" s="3">
        <v>525192</v>
      </c>
      <c r="H1843" s="3">
        <v>230947</v>
      </c>
      <c r="I1843" s="3">
        <v>77409</v>
      </c>
    </row>
    <row r="1844" spans="1:9">
      <c r="A1844" s="3" t="s">
        <v>1869</v>
      </c>
      <c r="B1844" s="3" t="s">
        <v>26</v>
      </c>
      <c r="C1844" s="3">
        <v>2956795</v>
      </c>
      <c r="D1844" s="3">
        <v>1057422</v>
      </c>
      <c r="E1844" s="3" t="s">
        <v>27</v>
      </c>
      <c r="F1844" s="3">
        <v>2092437</v>
      </c>
      <c r="G1844" s="3">
        <v>727334</v>
      </c>
      <c r="H1844" s="3">
        <v>864358</v>
      </c>
      <c r="I1844" s="3">
        <v>330088</v>
      </c>
    </row>
    <row r="1845" spans="1:9">
      <c r="A1845" s="3" t="s">
        <v>1870</v>
      </c>
      <c r="B1845" s="3" t="s">
        <v>26</v>
      </c>
      <c r="C1845" s="3">
        <v>1904327</v>
      </c>
      <c r="D1845" s="3">
        <v>346124</v>
      </c>
      <c r="E1845" s="3" t="s">
        <v>27</v>
      </c>
      <c r="F1845" s="3">
        <v>1174009</v>
      </c>
      <c r="G1845" s="3">
        <v>197890</v>
      </c>
      <c r="H1845" s="3">
        <v>730318</v>
      </c>
      <c r="I1845" s="3">
        <v>148234</v>
      </c>
    </row>
    <row r="1846" spans="1:9">
      <c r="A1846" s="3" t="s">
        <v>1871</v>
      </c>
      <c r="B1846" s="3" t="s">
        <v>26</v>
      </c>
      <c r="C1846" s="3">
        <v>2753605</v>
      </c>
      <c r="D1846" s="3">
        <v>622056</v>
      </c>
      <c r="E1846" s="3" t="s">
        <v>27</v>
      </c>
      <c r="F1846" s="3">
        <v>1592002</v>
      </c>
      <c r="G1846" s="3">
        <v>371185</v>
      </c>
      <c r="H1846" s="3">
        <v>1161603</v>
      </c>
      <c r="I1846" s="3">
        <v>250871</v>
      </c>
    </row>
    <row r="1847" spans="1:9">
      <c r="A1847" s="3" t="s">
        <v>1872</v>
      </c>
      <c r="B1847" s="3" t="s">
        <v>26</v>
      </c>
      <c r="C1847" s="3">
        <v>2777345</v>
      </c>
      <c r="D1847" s="3">
        <v>847577</v>
      </c>
      <c r="E1847" s="3" t="s">
        <v>27</v>
      </c>
      <c r="F1847" s="3">
        <v>2043827</v>
      </c>
      <c r="G1847" s="3">
        <v>682250</v>
      </c>
      <c r="H1847" s="3">
        <v>733518</v>
      </c>
      <c r="I1847" s="3">
        <v>165327</v>
      </c>
    </row>
    <row r="1848" spans="1:9">
      <c r="A1848" s="3" t="s">
        <v>1873</v>
      </c>
      <c r="B1848" s="3" t="s">
        <v>26</v>
      </c>
      <c r="C1848" s="3">
        <v>3010648</v>
      </c>
      <c r="D1848" s="3">
        <v>1048074</v>
      </c>
      <c r="E1848" s="3" t="s">
        <v>27</v>
      </c>
      <c r="F1848" s="3">
        <v>2106327</v>
      </c>
      <c r="G1848" s="3">
        <v>742509</v>
      </c>
      <c r="H1848" s="3">
        <v>904321</v>
      </c>
      <c r="I1848" s="3">
        <v>305565</v>
      </c>
    </row>
    <row r="1849" spans="1:9">
      <c r="A1849" s="3" t="s">
        <v>1874</v>
      </c>
      <c r="B1849" s="3" t="s">
        <v>26</v>
      </c>
      <c r="C1849" s="3">
        <v>2350394</v>
      </c>
      <c r="D1849" s="3">
        <v>661086</v>
      </c>
      <c r="E1849" s="3" t="s">
        <v>27</v>
      </c>
      <c r="F1849" s="3">
        <v>1751493</v>
      </c>
      <c r="G1849" s="3">
        <v>498974</v>
      </c>
      <c r="H1849" s="3">
        <v>598901</v>
      </c>
      <c r="I1849" s="3">
        <v>162112</v>
      </c>
    </row>
    <row r="1850" spans="1:9">
      <c r="A1850" s="3" t="s">
        <v>1875</v>
      </c>
      <c r="B1850" s="3" t="s">
        <v>26</v>
      </c>
      <c r="C1850" s="3">
        <v>2756136</v>
      </c>
      <c r="D1850" s="3">
        <v>751627</v>
      </c>
      <c r="E1850" s="3" t="s">
        <v>27</v>
      </c>
      <c r="F1850" s="3">
        <v>1880872</v>
      </c>
      <c r="G1850" s="3">
        <v>538748</v>
      </c>
      <c r="H1850" s="3">
        <v>875264</v>
      </c>
      <c r="I1850" s="3">
        <v>212879</v>
      </c>
    </row>
    <row r="1851" spans="1:9">
      <c r="A1851" s="3" t="s">
        <v>1876</v>
      </c>
      <c r="B1851" s="3" t="s">
        <v>26</v>
      </c>
      <c r="C1851" s="3">
        <v>971972</v>
      </c>
      <c r="D1851" s="3">
        <v>6864</v>
      </c>
      <c r="E1851" s="3" t="s">
        <v>27</v>
      </c>
      <c r="F1851" s="3">
        <v>528756</v>
      </c>
      <c r="G1851" s="3">
        <v>3880</v>
      </c>
      <c r="H1851" s="3">
        <v>443216</v>
      </c>
      <c r="I1851" s="3">
        <v>2984</v>
      </c>
    </row>
    <row r="1852" spans="1:9">
      <c r="A1852" s="3" t="s">
        <v>1877</v>
      </c>
      <c r="B1852" s="3" t="s">
        <v>26</v>
      </c>
      <c r="C1852" s="3">
        <v>1112556</v>
      </c>
      <c r="D1852" s="3">
        <v>97577</v>
      </c>
      <c r="E1852" s="3" t="s">
        <v>27</v>
      </c>
      <c r="F1852" s="3">
        <v>714955</v>
      </c>
      <c r="G1852" s="3">
        <v>67381</v>
      </c>
      <c r="H1852" s="3">
        <v>397601</v>
      </c>
      <c r="I1852" s="3">
        <v>30196</v>
      </c>
    </row>
    <row r="1853" spans="1:9">
      <c r="A1853" s="3" t="s">
        <v>1878</v>
      </c>
      <c r="B1853" s="3" t="s">
        <v>26</v>
      </c>
      <c r="C1853" s="3">
        <v>1675069</v>
      </c>
      <c r="D1853" s="3">
        <v>300236</v>
      </c>
      <c r="E1853" s="3" t="s">
        <v>27</v>
      </c>
      <c r="F1853" s="3">
        <v>1046288</v>
      </c>
      <c r="G1853" s="3">
        <v>214557</v>
      </c>
      <c r="H1853" s="3">
        <v>628781</v>
      </c>
      <c r="I1853" s="3">
        <v>85679</v>
      </c>
    </row>
    <row r="1854" spans="1:9">
      <c r="A1854" s="3" t="s">
        <v>1879</v>
      </c>
      <c r="B1854" s="3" t="s">
        <v>26</v>
      </c>
      <c r="C1854" s="3">
        <v>1725198</v>
      </c>
      <c r="D1854" s="3">
        <v>147527</v>
      </c>
      <c r="E1854" s="3" t="s">
        <v>27</v>
      </c>
      <c r="F1854" s="3">
        <v>1063708</v>
      </c>
      <c r="G1854" s="3">
        <v>102772</v>
      </c>
      <c r="H1854" s="3">
        <v>661490</v>
      </c>
      <c r="I1854" s="3">
        <v>44755</v>
      </c>
    </row>
    <row r="1855" spans="1:9">
      <c r="A1855" s="3" t="s">
        <v>1880</v>
      </c>
      <c r="B1855" s="3" t="s">
        <v>26</v>
      </c>
      <c r="C1855" s="3">
        <v>2679688</v>
      </c>
      <c r="D1855" s="3">
        <v>820715</v>
      </c>
      <c r="E1855" s="3" t="s">
        <v>27</v>
      </c>
      <c r="F1855" s="3">
        <v>2114211</v>
      </c>
      <c r="G1855" s="3">
        <v>672274</v>
      </c>
      <c r="H1855" s="3">
        <v>565477</v>
      </c>
      <c r="I1855" s="3">
        <v>148441</v>
      </c>
    </row>
    <row r="1856" spans="1:9">
      <c r="A1856" s="3" t="s">
        <v>1881</v>
      </c>
      <c r="B1856" s="3" t="s">
        <v>26</v>
      </c>
      <c r="C1856" s="3">
        <v>2290035</v>
      </c>
      <c r="D1856" s="3">
        <v>620322</v>
      </c>
      <c r="E1856" s="3" t="s">
        <v>27</v>
      </c>
      <c r="F1856" s="3">
        <v>1755258</v>
      </c>
      <c r="G1856" s="3">
        <v>509738</v>
      </c>
      <c r="H1856" s="3">
        <v>534777</v>
      </c>
      <c r="I1856" s="3">
        <v>110584</v>
      </c>
    </row>
    <row r="1857" spans="1:9">
      <c r="A1857" s="3" t="s">
        <v>1882</v>
      </c>
      <c r="B1857" s="3" t="s">
        <v>26</v>
      </c>
      <c r="C1857" s="3">
        <v>2288026</v>
      </c>
      <c r="D1857" s="3">
        <v>378545</v>
      </c>
      <c r="E1857" s="3" t="s">
        <v>27</v>
      </c>
      <c r="F1857" s="3">
        <v>1336406</v>
      </c>
      <c r="G1857" s="3">
        <v>214768</v>
      </c>
      <c r="H1857" s="3">
        <v>951620</v>
      </c>
      <c r="I1857" s="3">
        <v>163777</v>
      </c>
    </row>
    <row r="1858" spans="1:9">
      <c r="A1858" s="3" t="s">
        <v>1883</v>
      </c>
      <c r="B1858" s="3" t="s">
        <v>26</v>
      </c>
      <c r="C1858" s="3">
        <v>965515</v>
      </c>
      <c r="D1858" s="3">
        <v>3879</v>
      </c>
      <c r="E1858" s="3" t="s">
        <v>27</v>
      </c>
      <c r="F1858" s="3">
        <v>531706</v>
      </c>
      <c r="G1858" s="3">
        <v>2397</v>
      </c>
      <c r="H1858" s="3">
        <v>433809</v>
      </c>
      <c r="I1858" s="3">
        <v>1482</v>
      </c>
    </row>
    <row r="1859" spans="1:9">
      <c r="A1859" s="3" t="s">
        <v>1884</v>
      </c>
      <c r="B1859" s="3" t="s">
        <v>26</v>
      </c>
      <c r="C1859" s="3">
        <v>2979044</v>
      </c>
      <c r="D1859" s="3">
        <v>1116177</v>
      </c>
      <c r="E1859" s="3" t="s">
        <v>27</v>
      </c>
      <c r="F1859" s="3">
        <v>2433908</v>
      </c>
      <c r="G1859" s="3">
        <v>879838</v>
      </c>
      <c r="H1859" s="3">
        <v>545136</v>
      </c>
      <c r="I1859" s="3">
        <v>236339</v>
      </c>
    </row>
    <row r="1860" spans="1:9">
      <c r="A1860" s="3" t="s">
        <v>1885</v>
      </c>
      <c r="B1860" s="3" t="s">
        <v>26</v>
      </c>
      <c r="C1860" s="3">
        <v>2528365</v>
      </c>
      <c r="D1860" s="3">
        <v>432846</v>
      </c>
      <c r="E1860" s="3" t="s">
        <v>27</v>
      </c>
      <c r="F1860" s="3">
        <v>1572681</v>
      </c>
      <c r="G1860" s="3">
        <v>278386</v>
      </c>
      <c r="H1860" s="3">
        <v>955684</v>
      </c>
      <c r="I1860" s="3">
        <v>154460</v>
      </c>
    </row>
    <row r="1861" spans="1:9">
      <c r="A1861" s="3" t="s">
        <v>1886</v>
      </c>
      <c r="B1861" s="3" t="s">
        <v>26</v>
      </c>
      <c r="C1861" s="3">
        <v>897533</v>
      </c>
      <c r="D1861" s="3">
        <v>131263</v>
      </c>
      <c r="E1861" s="3" t="s">
        <v>27</v>
      </c>
      <c r="F1861" s="3">
        <v>622771</v>
      </c>
      <c r="G1861" s="3">
        <v>96525</v>
      </c>
      <c r="H1861" s="3">
        <v>274762</v>
      </c>
      <c r="I1861" s="3">
        <v>34738</v>
      </c>
    </row>
    <row r="1862" spans="1:9">
      <c r="A1862" s="3" t="s">
        <v>1887</v>
      </c>
      <c r="B1862" s="3" t="s">
        <v>26</v>
      </c>
      <c r="C1862" s="3">
        <v>1577634</v>
      </c>
      <c r="D1862" s="3">
        <v>460924</v>
      </c>
      <c r="E1862" s="3" t="s">
        <v>27</v>
      </c>
      <c r="F1862" s="3">
        <v>1110214</v>
      </c>
      <c r="G1862" s="3">
        <v>326558</v>
      </c>
      <c r="H1862" s="3">
        <v>467420</v>
      </c>
      <c r="I1862" s="3">
        <v>134366</v>
      </c>
    </row>
    <row r="1863" spans="1:9">
      <c r="A1863" s="3" t="s">
        <v>1888</v>
      </c>
      <c r="B1863" s="3" t="s">
        <v>26</v>
      </c>
      <c r="C1863" s="3">
        <v>1200533</v>
      </c>
      <c r="D1863" s="3">
        <v>306879</v>
      </c>
      <c r="E1863" s="3" t="s">
        <v>27</v>
      </c>
      <c r="F1863" s="3">
        <v>1008115</v>
      </c>
      <c r="G1863" s="3">
        <v>245824</v>
      </c>
      <c r="H1863" s="3">
        <v>192418</v>
      </c>
      <c r="I1863" s="3">
        <v>61055</v>
      </c>
    </row>
    <row r="1864" spans="1:9">
      <c r="A1864" s="3" t="s">
        <v>1889</v>
      </c>
      <c r="B1864" s="3" t="s">
        <v>26</v>
      </c>
      <c r="C1864" s="3">
        <v>1039192</v>
      </c>
      <c r="D1864" s="3">
        <v>161988</v>
      </c>
      <c r="E1864" s="3" t="s">
        <v>27</v>
      </c>
      <c r="F1864" s="3">
        <v>638143</v>
      </c>
      <c r="G1864" s="3">
        <v>94606</v>
      </c>
      <c r="H1864" s="3">
        <v>401049</v>
      </c>
      <c r="I1864" s="3">
        <v>67382</v>
      </c>
    </row>
    <row r="1865" spans="1:9">
      <c r="A1865" s="3" t="s">
        <v>1890</v>
      </c>
      <c r="B1865" s="3" t="s">
        <v>26</v>
      </c>
      <c r="C1865" s="3">
        <v>1183531</v>
      </c>
      <c r="D1865" s="3">
        <v>108831</v>
      </c>
      <c r="E1865" s="3" t="s">
        <v>27</v>
      </c>
      <c r="F1865" s="3">
        <v>610718</v>
      </c>
      <c r="G1865" s="3">
        <v>55263</v>
      </c>
      <c r="H1865" s="3">
        <v>572813</v>
      </c>
      <c r="I1865" s="3">
        <v>53568</v>
      </c>
    </row>
    <row r="1866" spans="1:9">
      <c r="A1866" s="3" t="s">
        <v>1891</v>
      </c>
      <c r="B1866" s="3" t="s">
        <v>26</v>
      </c>
      <c r="C1866" s="3">
        <v>1800546</v>
      </c>
      <c r="D1866" s="3">
        <v>576759</v>
      </c>
      <c r="E1866" s="3" t="s">
        <v>27</v>
      </c>
      <c r="F1866" s="3">
        <v>1323629</v>
      </c>
      <c r="G1866" s="3">
        <v>406015</v>
      </c>
      <c r="H1866" s="3">
        <v>476917</v>
      </c>
      <c r="I1866" s="3">
        <v>170744</v>
      </c>
    </row>
    <row r="1867" spans="1:9">
      <c r="A1867" s="3" t="s">
        <v>1892</v>
      </c>
      <c r="B1867" s="3" t="s">
        <v>26</v>
      </c>
      <c r="C1867" s="3">
        <v>1557297</v>
      </c>
      <c r="D1867" s="3">
        <v>453170</v>
      </c>
      <c r="E1867" s="3" t="s">
        <v>27</v>
      </c>
      <c r="F1867" s="3">
        <v>1182271</v>
      </c>
      <c r="G1867" s="3">
        <v>339602</v>
      </c>
      <c r="H1867" s="3">
        <v>375026</v>
      </c>
      <c r="I1867" s="3">
        <v>113568</v>
      </c>
    </row>
    <row r="1868" spans="1:9">
      <c r="A1868" s="3" t="s">
        <v>1893</v>
      </c>
      <c r="B1868" s="3" t="s">
        <v>26</v>
      </c>
      <c r="C1868" s="3">
        <v>569894</v>
      </c>
      <c r="D1868" s="3">
        <v>12023</v>
      </c>
      <c r="E1868" s="3" t="s">
        <v>27</v>
      </c>
      <c r="F1868" s="3">
        <v>307155</v>
      </c>
      <c r="G1868" s="3">
        <v>7280</v>
      </c>
      <c r="H1868" s="3">
        <v>262739</v>
      </c>
      <c r="I1868" s="3">
        <v>4743</v>
      </c>
    </row>
    <row r="1869" spans="1:9">
      <c r="A1869" s="3" t="s">
        <v>1894</v>
      </c>
      <c r="B1869" s="3" t="s">
        <v>26</v>
      </c>
      <c r="C1869" s="3">
        <v>628769</v>
      </c>
      <c r="D1869" s="3">
        <v>4754</v>
      </c>
      <c r="E1869" s="3" t="s">
        <v>27</v>
      </c>
      <c r="F1869" s="3">
        <v>335996</v>
      </c>
      <c r="G1869" s="3">
        <v>2726</v>
      </c>
      <c r="H1869" s="3">
        <v>292773</v>
      </c>
      <c r="I1869" s="3">
        <v>2028</v>
      </c>
    </row>
    <row r="1870" spans="1:9">
      <c r="A1870" s="3" t="s">
        <v>1895</v>
      </c>
      <c r="B1870" s="3" t="s">
        <v>26</v>
      </c>
      <c r="C1870" s="3">
        <v>1625250</v>
      </c>
      <c r="D1870" s="3">
        <v>503738</v>
      </c>
      <c r="E1870" s="3" t="s">
        <v>27</v>
      </c>
      <c r="F1870" s="3">
        <v>1265197</v>
      </c>
      <c r="G1870" s="3">
        <v>369230</v>
      </c>
      <c r="H1870" s="3">
        <v>360053</v>
      </c>
      <c r="I1870" s="3">
        <v>134508</v>
      </c>
    </row>
    <row r="1871" spans="1:9">
      <c r="A1871" s="3" t="s">
        <v>1896</v>
      </c>
      <c r="B1871" s="3" t="s">
        <v>26</v>
      </c>
      <c r="C1871" s="3">
        <v>1495627</v>
      </c>
      <c r="D1871" s="3">
        <v>328260</v>
      </c>
      <c r="E1871" s="3" t="s">
        <v>27</v>
      </c>
      <c r="F1871" s="3">
        <v>913638</v>
      </c>
      <c r="G1871" s="3">
        <v>205033</v>
      </c>
      <c r="H1871" s="3">
        <v>581989</v>
      </c>
      <c r="I1871" s="3">
        <v>123227</v>
      </c>
    </row>
    <row r="1872" spans="1:9">
      <c r="A1872" s="3" t="s">
        <v>1897</v>
      </c>
      <c r="B1872" s="3" t="s">
        <v>26</v>
      </c>
      <c r="C1872" s="3">
        <v>1348775</v>
      </c>
      <c r="D1872" s="3">
        <v>356253</v>
      </c>
      <c r="E1872" s="3" t="s">
        <v>27</v>
      </c>
      <c r="F1872" s="3">
        <v>1107433</v>
      </c>
      <c r="G1872" s="3">
        <v>283154</v>
      </c>
      <c r="H1872" s="3">
        <v>241342</v>
      </c>
      <c r="I1872" s="3">
        <v>73099</v>
      </c>
    </row>
    <row r="1873" spans="1:9">
      <c r="A1873" s="3" t="s">
        <v>1898</v>
      </c>
      <c r="B1873" s="3" t="s">
        <v>26</v>
      </c>
      <c r="C1873" s="3">
        <v>1331505</v>
      </c>
      <c r="D1873" s="3">
        <v>358903</v>
      </c>
      <c r="E1873" s="3" t="s">
        <v>27</v>
      </c>
      <c r="F1873" s="3">
        <v>987942</v>
      </c>
      <c r="G1873" s="3">
        <v>268316</v>
      </c>
      <c r="H1873" s="3">
        <v>343563</v>
      </c>
      <c r="I1873" s="3">
        <v>90587</v>
      </c>
    </row>
    <row r="1874" spans="1:9">
      <c r="A1874" s="3" t="s">
        <v>1899</v>
      </c>
      <c r="B1874" s="3" t="s">
        <v>26</v>
      </c>
      <c r="C1874" s="3">
        <v>487361</v>
      </c>
      <c r="D1874" s="3">
        <v>54053</v>
      </c>
      <c r="E1874" s="3" t="s">
        <v>27</v>
      </c>
      <c r="F1874" s="3">
        <v>454390</v>
      </c>
      <c r="G1874" s="3">
        <v>44204</v>
      </c>
      <c r="H1874" s="3">
        <v>32971</v>
      </c>
      <c r="I1874" s="3">
        <v>9849</v>
      </c>
    </row>
    <row r="1875" spans="1:9">
      <c r="A1875" s="3" t="s">
        <v>1900</v>
      </c>
      <c r="B1875" s="3" t="s">
        <v>26</v>
      </c>
      <c r="C1875" s="3">
        <v>1038696</v>
      </c>
      <c r="D1875" s="3">
        <v>14501</v>
      </c>
      <c r="E1875" s="3" t="s">
        <v>27</v>
      </c>
      <c r="F1875" s="3">
        <v>521363</v>
      </c>
      <c r="G1875" s="3">
        <v>6551</v>
      </c>
      <c r="H1875" s="3">
        <v>517333</v>
      </c>
      <c r="I1875" s="3">
        <v>7950</v>
      </c>
    </row>
    <row r="1876" spans="1:9">
      <c r="A1876" s="3" t="s">
        <v>1901</v>
      </c>
      <c r="B1876" s="3" t="s">
        <v>26</v>
      </c>
      <c r="C1876" s="3">
        <v>553309</v>
      </c>
      <c r="D1876" s="3">
        <v>41002</v>
      </c>
      <c r="E1876" s="3" t="s">
        <v>27</v>
      </c>
      <c r="F1876" s="3">
        <v>320410</v>
      </c>
      <c r="G1876" s="3">
        <v>26113</v>
      </c>
      <c r="H1876" s="3">
        <v>232899</v>
      </c>
      <c r="I1876" s="3">
        <v>14889</v>
      </c>
    </row>
    <row r="1877" spans="1:9">
      <c r="A1877" s="3" t="s">
        <v>1902</v>
      </c>
      <c r="B1877" s="3" t="s">
        <v>26</v>
      </c>
      <c r="C1877" s="3">
        <v>1330239</v>
      </c>
      <c r="D1877" s="3">
        <v>344819</v>
      </c>
      <c r="E1877" s="3" t="s">
        <v>27</v>
      </c>
      <c r="F1877" s="3">
        <v>1060988</v>
      </c>
      <c r="G1877" s="3">
        <v>264945</v>
      </c>
      <c r="H1877" s="3">
        <v>269251</v>
      </c>
      <c r="I1877" s="3">
        <v>79874</v>
      </c>
    </row>
    <row r="1878" spans="1:9">
      <c r="A1878" s="3" t="s">
        <v>1903</v>
      </c>
      <c r="B1878" s="3" t="s">
        <v>26</v>
      </c>
      <c r="C1878" s="3">
        <v>1736680</v>
      </c>
      <c r="D1878" s="3">
        <v>482719</v>
      </c>
      <c r="E1878" s="3" t="s">
        <v>27</v>
      </c>
      <c r="F1878" s="3">
        <v>1151567</v>
      </c>
      <c r="G1878" s="3">
        <v>307349</v>
      </c>
      <c r="H1878" s="3">
        <v>585113</v>
      </c>
      <c r="I1878" s="3">
        <v>175370</v>
      </c>
    </row>
    <row r="1879" spans="1:9">
      <c r="A1879" s="3" t="s">
        <v>1904</v>
      </c>
      <c r="B1879" s="3" t="s">
        <v>26</v>
      </c>
      <c r="C1879" s="3">
        <v>959828</v>
      </c>
      <c r="D1879" s="3">
        <v>182926</v>
      </c>
      <c r="E1879" s="3" t="s">
        <v>27</v>
      </c>
      <c r="F1879" s="3">
        <v>795360</v>
      </c>
      <c r="G1879" s="3">
        <v>142953</v>
      </c>
      <c r="H1879" s="3">
        <v>164468</v>
      </c>
      <c r="I1879" s="3">
        <v>39973</v>
      </c>
    </row>
    <row r="1880" spans="1:9">
      <c r="A1880" s="3" t="s">
        <v>1905</v>
      </c>
      <c r="B1880" s="3" t="s">
        <v>26</v>
      </c>
      <c r="C1880" s="3">
        <v>503398</v>
      </c>
      <c r="D1880" s="3">
        <v>590</v>
      </c>
      <c r="E1880" s="3" t="s">
        <v>27</v>
      </c>
      <c r="F1880" s="3">
        <v>259814</v>
      </c>
      <c r="G1880" s="3">
        <v>218</v>
      </c>
      <c r="H1880" s="3">
        <v>243584</v>
      </c>
      <c r="I1880" s="3">
        <v>372</v>
      </c>
    </row>
    <row r="1881" spans="1:9">
      <c r="A1881" s="3" t="s">
        <v>1906</v>
      </c>
      <c r="B1881" s="3" t="s">
        <v>26</v>
      </c>
      <c r="C1881" s="3">
        <v>1315697</v>
      </c>
      <c r="D1881" s="3">
        <v>338933</v>
      </c>
      <c r="E1881" s="3" t="s">
        <v>27</v>
      </c>
      <c r="F1881" s="3">
        <v>1075281</v>
      </c>
      <c r="G1881" s="3">
        <v>267612</v>
      </c>
      <c r="H1881" s="3">
        <v>240416</v>
      </c>
      <c r="I1881" s="3">
        <v>71321</v>
      </c>
    </row>
    <row r="1882" spans="1:9">
      <c r="A1882" s="3" t="s">
        <v>1907</v>
      </c>
      <c r="B1882" s="3" t="s">
        <v>26</v>
      </c>
      <c r="C1882" s="3">
        <v>1316164</v>
      </c>
      <c r="D1882" s="3">
        <v>298622</v>
      </c>
      <c r="E1882" s="3" t="s">
        <v>27</v>
      </c>
      <c r="F1882" s="3">
        <v>930217</v>
      </c>
      <c r="G1882" s="3">
        <v>210393</v>
      </c>
      <c r="H1882" s="3">
        <v>385947</v>
      </c>
      <c r="I1882" s="3">
        <v>88229</v>
      </c>
    </row>
    <row r="1883" spans="1:9">
      <c r="A1883" s="3" t="s">
        <v>1908</v>
      </c>
      <c r="B1883" s="3" t="s">
        <v>26</v>
      </c>
      <c r="C1883" s="3">
        <v>1429887</v>
      </c>
      <c r="D1883" s="3">
        <v>388535</v>
      </c>
      <c r="E1883" s="3" t="s">
        <v>27</v>
      </c>
      <c r="F1883" s="3">
        <v>1102255</v>
      </c>
      <c r="G1883" s="3">
        <v>285006</v>
      </c>
      <c r="H1883" s="3">
        <v>327632</v>
      </c>
      <c r="I1883" s="3">
        <v>103529</v>
      </c>
    </row>
    <row r="1884" spans="1:9">
      <c r="A1884" s="3" t="s">
        <v>1909</v>
      </c>
      <c r="B1884" s="3" t="s">
        <v>26</v>
      </c>
      <c r="C1884" s="3">
        <v>596724</v>
      </c>
      <c r="D1884" s="3">
        <v>30633</v>
      </c>
      <c r="E1884" s="3" t="s">
        <v>27</v>
      </c>
      <c r="F1884" s="3">
        <v>333124</v>
      </c>
      <c r="G1884" s="3">
        <v>18546</v>
      </c>
      <c r="H1884" s="3">
        <v>263600</v>
      </c>
      <c r="I1884" s="3">
        <v>12087</v>
      </c>
    </row>
    <row r="1885" spans="1:9">
      <c r="A1885" s="3" t="s">
        <v>1910</v>
      </c>
      <c r="B1885" s="3" t="s">
        <v>26</v>
      </c>
      <c r="C1885" s="3">
        <v>1414692</v>
      </c>
      <c r="D1885" s="3">
        <v>331272</v>
      </c>
      <c r="E1885" s="3" t="s">
        <v>27</v>
      </c>
      <c r="F1885" s="3">
        <v>923934</v>
      </c>
      <c r="G1885" s="3">
        <v>217738</v>
      </c>
      <c r="H1885" s="3">
        <v>490758</v>
      </c>
      <c r="I1885" s="3">
        <v>113534</v>
      </c>
    </row>
    <row r="1886" spans="1:9">
      <c r="A1886" s="3" t="s">
        <v>1911</v>
      </c>
      <c r="B1886" s="3" t="s">
        <v>26</v>
      </c>
      <c r="C1886" s="3">
        <v>904328</v>
      </c>
      <c r="D1886" s="3">
        <v>154256</v>
      </c>
      <c r="E1886" s="3" t="s">
        <v>27</v>
      </c>
      <c r="F1886" s="3">
        <v>557183</v>
      </c>
      <c r="G1886" s="3">
        <v>93328</v>
      </c>
      <c r="H1886" s="3">
        <v>347145</v>
      </c>
      <c r="I1886" s="3">
        <v>60928</v>
      </c>
    </row>
    <row r="1887" spans="1:9">
      <c r="A1887" s="3" t="s">
        <v>1912</v>
      </c>
      <c r="B1887" s="3" t="s">
        <v>26</v>
      </c>
      <c r="C1887" s="3">
        <v>1135011</v>
      </c>
      <c r="D1887" s="3">
        <v>160908</v>
      </c>
      <c r="E1887" s="3" t="s">
        <v>27</v>
      </c>
      <c r="F1887" s="3">
        <v>671685</v>
      </c>
      <c r="G1887" s="3">
        <v>85791</v>
      </c>
      <c r="H1887" s="3">
        <v>463326</v>
      </c>
      <c r="I1887" s="3">
        <v>75117</v>
      </c>
    </row>
    <row r="1888" spans="1:9">
      <c r="A1888" s="3" t="s">
        <v>1913</v>
      </c>
      <c r="B1888" s="3" t="s">
        <v>26</v>
      </c>
      <c r="C1888" s="3">
        <v>1191386</v>
      </c>
      <c r="D1888" s="3">
        <v>182746</v>
      </c>
      <c r="E1888" s="3" t="s">
        <v>27</v>
      </c>
      <c r="F1888" s="3">
        <v>775083</v>
      </c>
      <c r="G1888" s="3">
        <v>115224</v>
      </c>
      <c r="H1888" s="3">
        <v>416303</v>
      </c>
      <c r="I1888" s="3">
        <v>67522</v>
      </c>
    </row>
    <row r="1889" spans="1:9">
      <c r="A1889" s="3" t="s">
        <v>1914</v>
      </c>
      <c r="B1889" s="3" t="s">
        <v>26</v>
      </c>
      <c r="C1889" s="3">
        <v>1503601</v>
      </c>
      <c r="D1889" s="3">
        <v>447299</v>
      </c>
      <c r="E1889" s="3" t="s">
        <v>27</v>
      </c>
      <c r="F1889" s="3">
        <v>1171055</v>
      </c>
      <c r="G1889" s="3">
        <v>334955</v>
      </c>
      <c r="H1889" s="3">
        <v>332546</v>
      </c>
      <c r="I1889" s="3">
        <v>112344</v>
      </c>
    </row>
    <row r="1890" spans="1:9">
      <c r="A1890" s="3" t="s">
        <v>1915</v>
      </c>
      <c r="B1890" s="3" t="s">
        <v>26</v>
      </c>
      <c r="C1890" s="3">
        <v>1430544</v>
      </c>
      <c r="D1890" s="3">
        <v>410904</v>
      </c>
      <c r="E1890" s="3" t="s">
        <v>27</v>
      </c>
      <c r="F1890" s="3">
        <v>1221832</v>
      </c>
      <c r="G1890" s="3">
        <v>328582</v>
      </c>
      <c r="H1890" s="3">
        <v>208712</v>
      </c>
      <c r="I1890" s="3">
        <v>82322</v>
      </c>
    </row>
    <row r="1891" spans="1:9">
      <c r="A1891" s="3" t="s">
        <v>1916</v>
      </c>
      <c r="B1891" s="3" t="s">
        <v>26</v>
      </c>
      <c r="C1891" s="3">
        <v>802153</v>
      </c>
      <c r="D1891" s="3">
        <v>10319</v>
      </c>
      <c r="E1891" s="3" t="s">
        <v>27</v>
      </c>
      <c r="F1891" s="3">
        <v>437196</v>
      </c>
      <c r="G1891" s="3">
        <v>5744</v>
      </c>
      <c r="H1891" s="3">
        <v>364957</v>
      </c>
      <c r="I1891" s="3">
        <v>4575</v>
      </c>
    </row>
    <row r="1892" spans="1:9">
      <c r="A1892" s="3" t="s">
        <v>1917</v>
      </c>
      <c r="B1892" s="3" t="s">
        <v>26</v>
      </c>
      <c r="C1892" s="3">
        <v>1020134</v>
      </c>
      <c r="D1892" s="3">
        <v>136154</v>
      </c>
      <c r="E1892" s="3" t="s">
        <v>27</v>
      </c>
      <c r="F1892" s="3">
        <v>709644</v>
      </c>
      <c r="G1892" s="3">
        <v>90577</v>
      </c>
      <c r="H1892" s="3">
        <v>310490</v>
      </c>
      <c r="I1892" s="3">
        <v>45577</v>
      </c>
    </row>
    <row r="1893" spans="1:9">
      <c r="A1893" s="3" t="s">
        <v>1918</v>
      </c>
      <c r="B1893" s="3" t="s">
        <v>26</v>
      </c>
      <c r="C1893" s="3">
        <v>1256571</v>
      </c>
      <c r="D1893" s="3">
        <v>121791</v>
      </c>
      <c r="E1893" s="3" t="s">
        <v>27</v>
      </c>
      <c r="F1893" s="3">
        <v>723980</v>
      </c>
      <c r="G1893" s="3">
        <v>70163</v>
      </c>
      <c r="H1893" s="3">
        <v>532591</v>
      </c>
      <c r="I1893" s="3">
        <v>51628</v>
      </c>
    </row>
    <row r="1894" spans="1:9">
      <c r="A1894" s="3" t="s">
        <v>1919</v>
      </c>
      <c r="B1894" s="3" t="s">
        <v>26</v>
      </c>
      <c r="C1894" s="3">
        <v>1251206</v>
      </c>
      <c r="D1894" s="3">
        <v>198288</v>
      </c>
      <c r="E1894" s="3" t="s">
        <v>27</v>
      </c>
      <c r="F1894" s="3">
        <v>722354</v>
      </c>
      <c r="G1894" s="3">
        <v>116171</v>
      </c>
      <c r="H1894" s="3">
        <v>528852</v>
      </c>
      <c r="I1894" s="3">
        <v>82117</v>
      </c>
    </row>
    <row r="1895" spans="1:9">
      <c r="A1895" s="3" t="s">
        <v>1920</v>
      </c>
      <c r="B1895" s="3" t="s">
        <v>26</v>
      </c>
      <c r="C1895" s="3">
        <v>1176161</v>
      </c>
      <c r="D1895" s="3">
        <v>187786</v>
      </c>
      <c r="E1895" s="3" t="s">
        <v>27</v>
      </c>
      <c r="F1895" s="3">
        <v>741214</v>
      </c>
      <c r="G1895" s="3">
        <v>117135</v>
      </c>
      <c r="H1895" s="3">
        <v>434947</v>
      </c>
      <c r="I1895" s="3">
        <v>70651</v>
      </c>
    </row>
    <row r="1896" spans="1:9">
      <c r="A1896" s="3" t="s">
        <v>1921</v>
      </c>
      <c r="B1896" s="3" t="s">
        <v>26</v>
      </c>
      <c r="C1896" s="3">
        <v>950859</v>
      </c>
      <c r="D1896" s="3">
        <v>142131</v>
      </c>
      <c r="E1896" s="3" t="s">
        <v>27</v>
      </c>
      <c r="F1896" s="3">
        <v>678692</v>
      </c>
      <c r="G1896" s="3">
        <v>105913</v>
      </c>
      <c r="H1896" s="3">
        <v>272167</v>
      </c>
      <c r="I1896" s="3">
        <v>36218</v>
      </c>
    </row>
    <row r="1897" spans="1:9">
      <c r="A1897" s="3" t="s">
        <v>1922</v>
      </c>
      <c r="B1897" s="3" t="s">
        <v>26</v>
      </c>
      <c r="C1897" s="3">
        <v>4911</v>
      </c>
      <c r="D1897" s="3">
        <v>674</v>
      </c>
      <c r="E1897" s="3" t="s">
        <v>27</v>
      </c>
      <c r="F1897" s="3">
        <v>4911</v>
      </c>
      <c r="G1897" s="3">
        <v>674</v>
      </c>
      <c r="H1897" s="3">
        <v>0</v>
      </c>
      <c r="I1897" s="3">
        <v>0</v>
      </c>
    </row>
    <row r="1898" spans="1:9">
      <c r="A1898" s="3" t="s">
        <v>1923</v>
      </c>
      <c r="B1898" s="3" t="s">
        <v>26</v>
      </c>
      <c r="C1898" s="3">
        <v>1067927</v>
      </c>
      <c r="D1898" s="3">
        <v>190710</v>
      </c>
      <c r="E1898" s="3" t="s">
        <v>27</v>
      </c>
      <c r="F1898" s="3">
        <v>714975</v>
      </c>
      <c r="G1898" s="3">
        <v>131567</v>
      </c>
      <c r="H1898" s="3">
        <v>352952</v>
      </c>
      <c r="I1898" s="3">
        <v>59143</v>
      </c>
    </row>
    <row r="1899" spans="1:9">
      <c r="A1899" s="3" t="s">
        <v>1924</v>
      </c>
      <c r="B1899" s="3" t="s">
        <v>26</v>
      </c>
      <c r="C1899" s="3">
        <v>1565147</v>
      </c>
      <c r="D1899" s="3">
        <v>384426</v>
      </c>
      <c r="E1899" s="3" t="s">
        <v>27</v>
      </c>
      <c r="F1899" s="3">
        <v>1126205</v>
      </c>
      <c r="G1899" s="3">
        <v>288077</v>
      </c>
      <c r="H1899" s="3">
        <v>438942</v>
      </c>
      <c r="I1899" s="3">
        <v>96349</v>
      </c>
    </row>
    <row r="1900" spans="1:9">
      <c r="A1900" s="3" t="s">
        <v>1925</v>
      </c>
      <c r="B1900" s="3" t="s">
        <v>26</v>
      </c>
      <c r="C1900" s="3">
        <v>938789</v>
      </c>
      <c r="D1900" s="3">
        <v>72934</v>
      </c>
      <c r="E1900" s="3" t="s">
        <v>27</v>
      </c>
      <c r="F1900" s="3">
        <v>548763</v>
      </c>
      <c r="G1900" s="3">
        <v>43799</v>
      </c>
      <c r="H1900" s="3">
        <v>390026</v>
      </c>
      <c r="I1900" s="3">
        <v>29135</v>
      </c>
    </row>
    <row r="1901" spans="1:9">
      <c r="A1901" s="3" t="s">
        <v>1926</v>
      </c>
      <c r="B1901" s="3" t="s">
        <v>26</v>
      </c>
      <c r="C1901" s="3">
        <v>1051598</v>
      </c>
      <c r="D1901" s="3">
        <v>153627</v>
      </c>
      <c r="E1901" s="3" t="s">
        <v>27</v>
      </c>
      <c r="F1901" s="3">
        <v>670291</v>
      </c>
      <c r="G1901" s="3">
        <v>101519</v>
      </c>
      <c r="H1901" s="3">
        <v>381307</v>
      </c>
      <c r="I1901" s="3">
        <v>52108</v>
      </c>
    </row>
    <row r="1902" spans="1:9">
      <c r="A1902" s="3" t="s">
        <v>1927</v>
      </c>
      <c r="B1902" s="3" t="s">
        <v>26</v>
      </c>
      <c r="C1902" s="3">
        <v>1081008</v>
      </c>
      <c r="D1902" s="3">
        <v>53579</v>
      </c>
      <c r="E1902" s="3" t="s">
        <v>27</v>
      </c>
      <c r="F1902" s="3">
        <v>614256</v>
      </c>
      <c r="G1902" s="3">
        <v>31676</v>
      </c>
      <c r="H1902" s="3">
        <v>466752</v>
      </c>
      <c r="I1902" s="3">
        <v>21903</v>
      </c>
    </row>
    <row r="1903" spans="1:9">
      <c r="A1903" s="3" t="s">
        <v>1928</v>
      </c>
      <c r="B1903" s="3" t="s">
        <v>26</v>
      </c>
      <c r="C1903" s="3">
        <v>1460363</v>
      </c>
      <c r="D1903" s="3">
        <v>362305</v>
      </c>
      <c r="E1903" s="3" t="s">
        <v>27</v>
      </c>
      <c r="F1903" s="3">
        <v>1049737</v>
      </c>
      <c r="G1903" s="3">
        <v>274062</v>
      </c>
      <c r="H1903" s="3">
        <v>410626</v>
      </c>
      <c r="I1903" s="3">
        <v>88243</v>
      </c>
    </row>
    <row r="1904" spans="1:9">
      <c r="A1904" s="3" t="s">
        <v>1929</v>
      </c>
      <c r="B1904" s="3" t="s">
        <v>26</v>
      </c>
      <c r="C1904" s="3">
        <v>1386411</v>
      </c>
      <c r="D1904" s="3">
        <v>230180</v>
      </c>
      <c r="E1904" s="3" t="s">
        <v>27</v>
      </c>
      <c r="F1904" s="3">
        <v>903918</v>
      </c>
      <c r="G1904" s="3">
        <v>151173</v>
      </c>
      <c r="H1904" s="3">
        <v>482493</v>
      </c>
      <c r="I1904" s="3">
        <v>79007</v>
      </c>
    </row>
    <row r="1905" spans="1:9">
      <c r="A1905" s="3" t="s">
        <v>1930</v>
      </c>
      <c r="B1905" s="3" t="s">
        <v>26</v>
      </c>
      <c r="C1905" s="3">
        <v>1700720</v>
      </c>
      <c r="D1905" s="3">
        <v>409712</v>
      </c>
      <c r="E1905" s="3" t="s">
        <v>27</v>
      </c>
      <c r="F1905" s="3">
        <v>1495939</v>
      </c>
      <c r="G1905" s="3">
        <v>355665</v>
      </c>
      <c r="H1905" s="3">
        <v>204781</v>
      </c>
      <c r="I1905" s="3">
        <v>54047</v>
      </c>
    </row>
    <row r="1906" spans="1:9">
      <c r="A1906" s="3" t="s">
        <v>1931</v>
      </c>
      <c r="B1906" s="3" t="s">
        <v>26</v>
      </c>
      <c r="C1906" s="3">
        <v>1291575</v>
      </c>
      <c r="D1906" s="3">
        <v>174582</v>
      </c>
      <c r="E1906" s="3" t="s">
        <v>27</v>
      </c>
      <c r="F1906" s="3">
        <v>776591</v>
      </c>
      <c r="G1906" s="3">
        <v>100182</v>
      </c>
      <c r="H1906" s="3">
        <v>514984</v>
      </c>
      <c r="I1906" s="3">
        <v>74400</v>
      </c>
    </row>
    <row r="1907" spans="1:9">
      <c r="A1907" s="3" t="s">
        <v>1932</v>
      </c>
      <c r="B1907" s="3" t="s">
        <v>26</v>
      </c>
      <c r="C1907" s="3">
        <v>1050774</v>
      </c>
      <c r="D1907" s="3">
        <v>32233</v>
      </c>
      <c r="E1907" s="3" t="s">
        <v>27</v>
      </c>
      <c r="F1907" s="3">
        <v>542541</v>
      </c>
      <c r="G1907" s="3">
        <v>15794</v>
      </c>
      <c r="H1907" s="3">
        <v>508233</v>
      </c>
      <c r="I1907" s="3">
        <v>16439</v>
      </c>
    </row>
    <row r="1908" spans="1:9">
      <c r="A1908" s="3" t="s">
        <v>1933</v>
      </c>
      <c r="B1908" s="3" t="s">
        <v>26</v>
      </c>
      <c r="C1908" s="3">
        <v>702550</v>
      </c>
      <c r="D1908" s="3">
        <v>6110</v>
      </c>
      <c r="E1908" s="3" t="s">
        <v>27</v>
      </c>
      <c r="F1908" s="3">
        <v>381414</v>
      </c>
      <c r="G1908" s="3">
        <v>4534</v>
      </c>
      <c r="H1908" s="3">
        <v>321136</v>
      </c>
      <c r="I1908" s="3">
        <v>1576</v>
      </c>
    </row>
    <row r="1909" spans="1:9">
      <c r="A1909" s="3" t="s">
        <v>1934</v>
      </c>
      <c r="B1909" s="3" t="s">
        <v>26</v>
      </c>
      <c r="C1909" s="3">
        <v>933997</v>
      </c>
      <c r="D1909" s="3">
        <v>88398</v>
      </c>
      <c r="E1909" s="3" t="s">
        <v>27</v>
      </c>
      <c r="F1909" s="3">
        <v>582491</v>
      </c>
      <c r="G1909" s="3">
        <v>48418</v>
      </c>
      <c r="H1909" s="3">
        <v>351506</v>
      </c>
      <c r="I1909" s="3">
        <v>39980</v>
      </c>
    </row>
    <row r="1910" spans="1:9">
      <c r="A1910" s="3" t="s">
        <v>1935</v>
      </c>
      <c r="B1910" s="3" t="s">
        <v>26</v>
      </c>
      <c r="C1910" s="3">
        <v>1373495</v>
      </c>
      <c r="D1910" s="3">
        <v>204953</v>
      </c>
      <c r="E1910" s="3" t="s">
        <v>27</v>
      </c>
      <c r="F1910" s="3">
        <v>895640</v>
      </c>
      <c r="G1910" s="3">
        <v>138055</v>
      </c>
      <c r="H1910" s="3">
        <v>477855</v>
      </c>
      <c r="I1910" s="3">
        <v>66898</v>
      </c>
    </row>
    <row r="1911" spans="1:9">
      <c r="A1911" s="3" t="s">
        <v>1936</v>
      </c>
      <c r="B1911" s="3" t="s">
        <v>26</v>
      </c>
      <c r="C1911" s="3">
        <v>794235</v>
      </c>
      <c r="D1911" s="3">
        <v>90145</v>
      </c>
      <c r="E1911" s="3" t="s">
        <v>27</v>
      </c>
      <c r="F1911" s="3">
        <v>525073</v>
      </c>
      <c r="G1911" s="3">
        <v>48138</v>
      </c>
      <c r="H1911" s="3">
        <v>269162</v>
      </c>
      <c r="I1911" s="3">
        <v>42007</v>
      </c>
    </row>
    <row r="1912" spans="1:9">
      <c r="A1912" s="3" t="s">
        <v>1937</v>
      </c>
      <c r="B1912" s="3" t="s">
        <v>26</v>
      </c>
      <c r="C1912" s="3">
        <v>1820702</v>
      </c>
      <c r="D1912" s="3">
        <v>524981</v>
      </c>
      <c r="E1912" s="3" t="s">
        <v>27</v>
      </c>
      <c r="F1912" s="3">
        <v>1433646</v>
      </c>
      <c r="G1912" s="3">
        <v>395068</v>
      </c>
      <c r="H1912" s="3">
        <v>387056</v>
      </c>
      <c r="I1912" s="3">
        <v>129913</v>
      </c>
    </row>
    <row r="1913" spans="1:9">
      <c r="A1913" s="3" t="s">
        <v>1938</v>
      </c>
      <c r="B1913" s="3" t="s">
        <v>26</v>
      </c>
      <c r="C1913" s="3">
        <v>1245590</v>
      </c>
      <c r="D1913" s="3">
        <v>296740</v>
      </c>
      <c r="E1913" s="3" t="s">
        <v>27</v>
      </c>
      <c r="F1913" s="3">
        <v>863128</v>
      </c>
      <c r="G1913" s="3">
        <v>220417</v>
      </c>
      <c r="H1913" s="3">
        <v>382462</v>
      </c>
      <c r="I1913" s="3">
        <v>76323</v>
      </c>
    </row>
    <row r="1914" spans="1:9">
      <c r="A1914" s="3" t="s">
        <v>1939</v>
      </c>
      <c r="B1914" s="3" t="s">
        <v>26</v>
      </c>
      <c r="C1914" s="3">
        <v>1302363</v>
      </c>
      <c r="D1914" s="3">
        <v>204920</v>
      </c>
      <c r="E1914" s="3" t="s">
        <v>27</v>
      </c>
      <c r="F1914" s="3">
        <v>852469</v>
      </c>
      <c r="G1914" s="3">
        <v>136269</v>
      </c>
      <c r="H1914" s="3">
        <v>449894</v>
      </c>
      <c r="I1914" s="3">
        <v>68651</v>
      </c>
    </row>
    <row r="1915" spans="1:9">
      <c r="A1915" s="3" t="s">
        <v>1940</v>
      </c>
      <c r="B1915" s="3" t="s">
        <v>26</v>
      </c>
      <c r="C1915" s="3">
        <v>1704755</v>
      </c>
      <c r="D1915" s="3">
        <v>531429</v>
      </c>
      <c r="E1915" s="3" t="s">
        <v>27</v>
      </c>
      <c r="F1915" s="3">
        <v>1273511</v>
      </c>
      <c r="G1915" s="3">
        <v>408278</v>
      </c>
      <c r="H1915" s="3">
        <v>431244</v>
      </c>
      <c r="I1915" s="3">
        <v>123151</v>
      </c>
    </row>
    <row r="1916" spans="1:9">
      <c r="A1916" s="3" t="s">
        <v>1941</v>
      </c>
      <c r="B1916" s="3" t="s">
        <v>26</v>
      </c>
      <c r="C1916" s="3">
        <v>928815</v>
      </c>
      <c r="D1916" s="3">
        <v>40517</v>
      </c>
      <c r="E1916" s="3" t="s">
        <v>27</v>
      </c>
      <c r="F1916" s="3">
        <v>496035</v>
      </c>
      <c r="G1916" s="3">
        <v>20874</v>
      </c>
      <c r="H1916" s="3">
        <v>432780</v>
      </c>
      <c r="I1916" s="3">
        <v>19643</v>
      </c>
    </row>
    <row r="1917" spans="1:9">
      <c r="A1917" s="3" t="s">
        <v>1942</v>
      </c>
      <c r="B1917" s="3" t="s">
        <v>26</v>
      </c>
      <c r="C1917" s="3">
        <v>1675385</v>
      </c>
      <c r="D1917" s="3">
        <v>437706</v>
      </c>
      <c r="E1917" s="3" t="s">
        <v>27</v>
      </c>
      <c r="F1917" s="3">
        <v>1221127</v>
      </c>
      <c r="G1917" s="3">
        <v>322163</v>
      </c>
      <c r="H1917" s="3">
        <v>454258</v>
      </c>
      <c r="I1917" s="3">
        <v>115543</v>
      </c>
    </row>
    <row r="1918" spans="1:9">
      <c r="A1918" s="3" t="s">
        <v>1943</v>
      </c>
      <c r="B1918" s="3" t="s">
        <v>26</v>
      </c>
      <c r="C1918" s="3">
        <v>1334504</v>
      </c>
      <c r="D1918" s="3">
        <v>272749</v>
      </c>
      <c r="E1918" s="3" t="s">
        <v>27</v>
      </c>
      <c r="F1918" s="3">
        <v>1013420</v>
      </c>
      <c r="G1918" s="3">
        <v>202550</v>
      </c>
      <c r="H1918" s="3">
        <v>321084</v>
      </c>
      <c r="I1918" s="3">
        <v>70199</v>
      </c>
    </row>
    <row r="1919" spans="1:9">
      <c r="A1919" s="3" t="s">
        <v>1944</v>
      </c>
      <c r="B1919" s="3" t="s">
        <v>26</v>
      </c>
      <c r="C1919" s="3">
        <v>809515</v>
      </c>
      <c r="D1919" s="3">
        <v>18244</v>
      </c>
      <c r="E1919" s="3" t="s">
        <v>27</v>
      </c>
      <c r="F1919" s="3">
        <v>467779</v>
      </c>
      <c r="G1919" s="3">
        <v>10116</v>
      </c>
      <c r="H1919" s="3">
        <v>341736</v>
      </c>
      <c r="I1919" s="3">
        <v>8128</v>
      </c>
    </row>
    <row r="1920" spans="1:9">
      <c r="A1920" s="3" t="s">
        <v>1945</v>
      </c>
      <c r="B1920" s="3" t="s">
        <v>26</v>
      </c>
      <c r="C1920" s="3">
        <v>857802</v>
      </c>
      <c r="D1920" s="3">
        <v>53170</v>
      </c>
      <c r="E1920" s="3" t="s">
        <v>27</v>
      </c>
      <c r="F1920" s="3">
        <v>489840</v>
      </c>
      <c r="G1920" s="3">
        <v>38010</v>
      </c>
      <c r="H1920" s="3">
        <v>367962</v>
      </c>
      <c r="I1920" s="3">
        <v>15160</v>
      </c>
    </row>
    <row r="1921" spans="1:9">
      <c r="A1921" s="3" t="s">
        <v>1946</v>
      </c>
      <c r="B1921" s="3" t="s">
        <v>26</v>
      </c>
      <c r="C1921" s="3">
        <v>1919465</v>
      </c>
      <c r="D1921" s="3">
        <v>643648</v>
      </c>
      <c r="E1921" s="3" t="s">
        <v>27</v>
      </c>
      <c r="F1921" s="3">
        <v>1353267</v>
      </c>
      <c r="G1921" s="3">
        <v>434026</v>
      </c>
      <c r="H1921" s="3">
        <v>566198</v>
      </c>
      <c r="I1921" s="3">
        <v>209622</v>
      </c>
    </row>
    <row r="1922" spans="1:9">
      <c r="A1922" s="3" t="s">
        <v>1947</v>
      </c>
      <c r="B1922" s="3" t="s">
        <v>26</v>
      </c>
      <c r="C1922" s="3">
        <v>1287667</v>
      </c>
      <c r="D1922" s="3">
        <v>208102</v>
      </c>
      <c r="E1922" s="3" t="s">
        <v>27</v>
      </c>
      <c r="F1922" s="3">
        <v>802557</v>
      </c>
      <c r="G1922" s="3">
        <v>138466</v>
      </c>
      <c r="H1922" s="3">
        <v>485110</v>
      </c>
      <c r="I1922" s="3">
        <v>69636</v>
      </c>
    </row>
    <row r="1923" spans="1:9">
      <c r="A1923" s="3" t="s">
        <v>1948</v>
      </c>
      <c r="B1923" s="3" t="s">
        <v>26</v>
      </c>
      <c r="C1923" s="3">
        <v>788180</v>
      </c>
      <c r="D1923" s="3">
        <v>61376</v>
      </c>
      <c r="E1923" s="3" t="s">
        <v>27</v>
      </c>
      <c r="F1923" s="3">
        <v>553817</v>
      </c>
      <c r="G1923" s="3">
        <v>44340</v>
      </c>
      <c r="H1923" s="3">
        <v>234363</v>
      </c>
      <c r="I1923" s="3">
        <v>17036</v>
      </c>
    </row>
    <row r="1924" spans="1:9">
      <c r="A1924" s="3" t="s">
        <v>1949</v>
      </c>
      <c r="B1924" s="3" t="s">
        <v>26</v>
      </c>
      <c r="C1924" s="3">
        <v>1047103</v>
      </c>
      <c r="D1924" s="3">
        <v>51683</v>
      </c>
      <c r="E1924" s="3" t="s">
        <v>27</v>
      </c>
      <c r="F1924" s="3">
        <v>570550</v>
      </c>
      <c r="G1924" s="3">
        <v>30784</v>
      </c>
      <c r="H1924" s="3">
        <v>476553</v>
      </c>
      <c r="I1924" s="3">
        <v>20899</v>
      </c>
    </row>
    <row r="1925" spans="1:9">
      <c r="A1925" s="3" t="s">
        <v>1950</v>
      </c>
      <c r="B1925" s="3" t="s">
        <v>26</v>
      </c>
      <c r="C1925" s="3">
        <v>1076095</v>
      </c>
      <c r="D1925" s="3">
        <v>67384</v>
      </c>
      <c r="E1925" s="3" t="s">
        <v>27</v>
      </c>
      <c r="F1925" s="3">
        <v>625362</v>
      </c>
      <c r="G1925" s="3">
        <v>45149</v>
      </c>
      <c r="H1925" s="3">
        <v>450733</v>
      </c>
      <c r="I1925" s="3">
        <v>22235</v>
      </c>
    </row>
    <row r="1926" spans="1:9">
      <c r="A1926" s="3" t="s">
        <v>1951</v>
      </c>
      <c r="B1926" s="3" t="s">
        <v>26</v>
      </c>
      <c r="C1926" s="3">
        <v>1206963</v>
      </c>
      <c r="D1926" s="3">
        <v>208766</v>
      </c>
      <c r="E1926" s="3" t="s">
        <v>27</v>
      </c>
      <c r="F1926" s="3">
        <v>744305</v>
      </c>
      <c r="G1926" s="3">
        <v>138501</v>
      </c>
      <c r="H1926" s="3">
        <v>462658</v>
      </c>
      <c r="I1926" s="3">
        <v>70265</v>
      </c>
    </row>
    <row r="1927" spans="1:9">
      <c r="A1927" s="3" t="s">
        <v>1952</v>
      </c>
      <c r="B1927" s="3" t="s">
        <v>26</v>
      </c>
      <c r="C1927" s="3">
        <v>923403</v>
      </c>
      <c r="D1927" s="3">
        <v>116741</v>
      </c>
      <c r="E1927" s="3" t="s">
        <v>27</v>
      </c>
      <c r="F1927" s="3">
        <v>646913</v>
      </c>
      <c r="G1927" s="3">
        <v>92457</v>
      </c>
      <c r="H1927" s="3">
        <v>276490</v>
      </c>
      <c r="I1927" s="3">
        <v>24284</v>
      </c>
    </row>
    <row r="1928" spans="1:9">
      <c r="A1928" s="3" t="s">
        <v>1953</v>
      </c>
      <c r="B1928" s="3" t="s">
        <v>26</v>
      </c>
      <c r="C1928" s="3">
        <v>1369726</v>
      </c>
      <c r="D1928" s="3">
        <v>309983</v>
      </c>
      <c r="E1928" s="3" t="s">
        <v>27</v>
      </c>
      <c r="F1928" s="3">
        <v>968778</v>
      </c>
      <c r="G1928" s="3">
        <v>218403</v>
      </c>
      <c r="H1928" s="3">
        <v>400948</v>
      </c>
      <c r="I1928" s="3">
        <v>91580</v>
      </c>
    </row>
    <row r="1929" spans="1:9">
      <c r="A1929" s="3" t="s">
        <v>1954</v>
      </c>
      <c r="B1929" s="3" t="s">
        <v>26</v>
      </c>
      <c r="C1929" s="3">
        <v>1249694</v>
      </c>
      <c r="D1929" s="3">
        <v>275339</v>
      </c>
      <c r="E1929" s="3" t="s">
        <v>27</v>
      </c>
      <c r="F1929" s="3">
        <v>850269</v>
      </c>
      <c r="G1929" s="3">
        <v>185245</v>
      </c>
      <c r="H1929" s="3">
        <v>399425</v>
      </c>
      <c r="I1929" s="3">
        <v>90094</v>
      </c>
    </row>
    <row r="1930" spans="1:9">
      <c r="A1930" s="3" t="s">
        <v>1955</v>
      </c>
      <c r="B1930" s="3" t="s">
        <v>26</v>
      </c>
      <c r="C1930" s="3">
        <v>1493311</v>
      </c>
      <c r="D1930" s="3">
        <v>326312</v>
      </c>
      <c r="E1930" s="3" t="s">
        <v>27</v>
      </c>
      <c r="F1930" s="3">
        <v>1153790</v>
      </c>
      <c r="G1930" s="3">
        <v>255014</v>
      </c>
      <c r="H1930" s="3">
        <v>339521</v>
      </c>
      <c r="I1930" s="3">
        <v>71298</v>
      </c>
    </row>
    <row r="1931" spans="1:9">
      <c r="A1931" s="3" t="s">
        <v>1956</v>
      </c>
      <c r="B1931" s="3" t="s">
        <v>26</v>
      </c>
      <c r="C1931" s="3">
        <v>1016283</v>
      </c>
      <c r="D1931" s="3">
        <v>83997</v>
      </c>
      <c r="E1931" s="3" t="s">
        <v>27</v>
      </c>
      <c r="F1931" s="3">
        <v>581606</v>
      </c>
      <c r="G1931" s="3">
        <v>53599</v>
      </c>
      <c r="H1931" s="3">
        <v>434677</v>
      </c>
      <c r="I1931" s="3">
        <v>30398</v>
      </c>
    </row>
    <row r="1932" spans="1:9">
      <c r="A1932" s="3" t="s">
        <v>1957</v>
      </c>
      <c r="B1932" s="3" t="s">
        <v>26</v>
      </c>
      <c r="C1932" s="3">
        <v>1168126</v>
      </c>
      <c r="D1932" s="3">
        <v>105140</v>
      </c>
      <c r="E1932" s="3" t="s">
        <v>27</v>
      </c>
      <c r="F1932" s="3">
        <v>665527</v>
      </c>
      <c r="G1932" s="3">
        <v>60954</v>
      </c>
      <c r="H1932" s="3">
        <v>502599</v>
      </c>
      <c r="I1932" s="3">
        <v>44186</v>
      </c>
    </row>
    <row r="1933" spans="1:9">
      <c r="A1933" s="3" t="s">
        <v>1958</v>
      </c>
      <c r="B1933" s="3" t="s">
        <v>26</v>
      </c>
      <c r="C1933" s="3">
        <v>1140511</v>
      </c>
      <c r="D1933" s="3">
        <v>76762</v>
      </c>
      <c r="E1933" s="3" t="s">
        <v>27</v>
      </c>
      <c r="F1933" s="3">
        <v>679286</v>
      </c>
      <c r="G1933" s="3">
        <v>45305</v>
      </c>
      <c r="H1933" s="3">
        <v>461225</v>
      </c>
      <c r="I1933" s="3">
        <v>31457</v>
      </c>
    </row>
    <row r="1934" spans="1:9">
      <c r="A1934" s="3" t="s">
        <v>1959</v>
      </c>
      <c r="B1934" s="3" t="s">
        <v>26</v>
      </c>
      <c r="C1934" s="3">
        <v>1537405</v>
      </c>
      <c r="D1934" s="3">
        <v>354999</v>
      </c>
      <c r="E1934" s="3" t="s">
        <v>27</v>
      </c>
      <c r="F1934" s="3">
        <v>1099363</v>
      </c>
      <c r="G1934" s="3">
        <v>249869</v>
      </c>
      <c r="H1934" s="3">
        <v>438042</v>
      </c>
      <c r="I1934" s="3">
        <v>105130</v>
      </c>
    </row>
    <row r="1935" spans="1:9">
      <c r="A1935" s="3" t="s">
        <v>1960</v>
      </c>
      <c r="B1935" s="3" t="s">
        <v>26</v>
      </c>
      <c r="C1935" s="3">
        <v>1218527</v>
      </c>
      <c r="D1935" s="3">
        <v>166666</v>
      </c>
      <c r="E1935" s="3" t="s">
        <v>27</v>
      </c>
      <c r="F1935" s="3">
        <v>810935</v>
      </c>
      <c r="G1935" s="3">
        <v>117813</v>
      </c>
      <c r="H1935" s="3">
        <v>407592</v>
      </c>
      <c r="I1935" s="3">
        <v>48853</v>
      </c>
    </row>
    <row r="1936" spans="1:9">
      <c r="A1936" s="3" t="s">
        <v>1961</v>
      </c>
      <c r="B1936" s="3" t="s">
        <v>26</v>
      </c>
      <c r="C1936" s="3">
        <v>1448780</v>
      </c>
      <c r="D1936" s="3">
        <v>340235</v>
      </c>
      <c r="E1936" s="3" t="s">
        <v>27</v>
      </c>
      <c r="F1936" s="3">
        <v>1263156</v>
      </c>
      <c r="G1936" s="3">
        <v>282987</v>
      </c>
      <c r="H1936" s="3">
        <v>185624</v>
      </c>
      <c r="I1936" s="3">
        <v>57248</v>
      </c>
    </row>
    <row r="1937" spans="1:9">
      <c r="A1937" s="3" t="s">
        <v>1962</v>
      </c>
      <c r="B1937" s="3" t="s">
        <v>26</v>
      </c>
      <c r="C1937" s="3">
        <v>1235063</v>
      </c>
      <c r="D1937" s="3">
        <v>171359</v>
      </c>
      <c r="E1937" s="3" t="s">
        <v>27</v>
      </c>
      <c r="F1937" s="3">
        <v>815659</v>
      </c>
      <c r="G1937" s="3">
        <v>111969</v>
      </c>
      <c r="H1937" s="3">
        <v>419404</v>
      </c>
      <c r="I1937" s="3">
        <v>59390</v>
      </c>
    </row>
    <row r="1938" spans="1:9">
      <c r="A1938" s="3" t="s">
        <v>1963</v>
      </c>
      <c r="B1938" s="3" t="s">
        <v>26</v>
      </c>
      <c r="C1938" s="3">
        <v>1200189</v>
      </c>
      <c r="D1938" s="3">
        <v>174220</v>
      </c>
      <c r="E1938" s="3" t="s">
        <v>27</v>
      </c>
      <c r="F1938" s="3">
        <v>747741</v>
      </c>
      <c r="G1938" s="3">
        <v>116430</v>
      </c>
      <c r="H1938" s="3">
        <v>452448</v>
      </c>
      <c r="I1938" s="3">
        <v>57790</v>
      </c>
    </row>
    <row r="1939" spans="1:9">
      <c r="A1939" s="3" t="s">
        <v>1964</v>
      </c>
      <c r="B1939" s="3" t="s">
        <v>26</v>
      </c>
      <c r="C1939" s="3">
        <v>873620</v>
      </c>
      <c r="D1939" s="3">
        <v>86625</v>
      </c>
      <c r="E1939" s="3" t="s">
        <v>27</v>
      </c>
      <c r="F1939" s="3">
        <v>524630</v>
      </c>
      <c r="G1939" s="3">
        <v>53995</v>
      </c>
      <c r="H1939" s="3">
        <v>348990</v>
      </c>
      <c r="I1939" s="3">
        <v>32630</v>
      </c>
    </row>
    <row r="1940" spans="1:9">
      <c r="A1940" s="3" t="s">
        <v>1965</v>
      </c>
      <c r="B1940" s="3" t="s">
        <v>26</v>
      </c>
      <c r="C1940" s="3">
        <v>1445045</v>
      </c>
      <c r="D1940" s="3">
        <v>342222</v>
      </c>
      <c r="E1940" s="3" t="s">
        <v>27</v>
      </c>
      <c r="F1940" s="3">
        <v>961866</v>
      </c>
      <c r="G1940" s="3">
        <v>239161</v>
      </c>
      <c r="H1940" s="3">
        <v>483179</v>
      </c>
      <c r="I1940" s="3">
        <v>103061</v>
      </c>
    </row>
    <row r="1941" spans="1:9">
      <c r="A1941" s="3" t="s">
        <v>1966</v>
      </c>
      <c r="B1941" s="3" t="s">
        <v>26</v>
      </c>
      <c r="C1941" s="3">
        <v>1627611</v>
      </c>
      <c r="D1941" s="3">
        <v>313997</v>
      </c>
      <c r="E1941" s="3" t="s">
        <v>27</v>
      </c>
      <c r="F1941" s="3">
        <v>1056834</v>
      </c>
      <c r="G1941" s="3">
        <v>203597</v>
      </c>
      <c r="H1941" s="3">
        <v>570777</v>
      </c>
      <c r="I1941" s="3">
        <v>110400</v>
      </c>
    </row>
    <row r="1942" spans="1:9">
      <c r="A1942" s="3" t="s">
        <v>1967</v>
      </c>
      <c r="B1942" s="3" t="s">
        <v>26</v>
      </c>
      <c r="C1942" s="3">
        <v>1344316</v>
      </c>
      <c r="D1942" s="3">
        <v>293358</v>
      </c>
      <c r="E1942" s="3" t="s">
        <v>27</v>
      </c>
      <c r="F1942" s="3">
        <v>1088083</v>
      </c>
      <c r="G1942" s="3">
        <v>242823</v>
      </c>
      <c r="H1942" s="3">
        <v>256233</v>
      </c>
      <c r="I1942" s="3">
        <v>50535</v>
      </c>
    </row>
    <row r="1943" spans="1:9">
      <c r="A1943" s="3" t="s">
        <v>1968</v>
      </c>
      <c r="B1943" s="3" t="s">
        <v>26</v>
      </c>
      <c r="C1943" s="3">
        <v>1488144</v>
      </c>
      <c r="D1943" s="3">
        <v>247282</v>
      </c>
      <c r="E1943" s="3" t="s">
        <v>27</v>
      </c>
      <c r="F1943" s="3">
        <v>1130141</v>
      </c>
      <c r="G1943" s="3">
        <v>187424</v>
      </c>
      <c r="H1943" s="3">
        <v>358003</v>
      </c>
      <c r="I1943" s="3">
        <v>59858</v>
      </c>
    </row>
    <row r="1944" spans="1:9">
      <c r="A1944" s="3" t="s">
        <v>1969</v>
      </c>
      <c r="B1944" s="3" t="s">
        <v>26</v>
      </c>
      <c r="C1944" s="3">
        <v>996939</v>
      </c>
      <c r="D1944" s="3">
        <v>126916</v>
      </c>
      <c r="E1944" s="3" t="s">
        <v>27</v>
      </c>
      <c r="F1944" s="3">
        <v>558785</v>
      </c>
      <c r="G1944" s="3">
        <v>75679</v>
      </c>
      <c r="H1944" s="3">
        <v>438154</v>
      </c>
      <c r="I1944" s="3">
        <v>51237</v>
      </c>
    </row>
    <row r="1945" spans="1:9">
      <c r="A1945" s="3" t="s">
        <v>1970</v>
      </c>
      <c r="B1945" s="3" t="s">
        <v>26</v>
      </c>
      <c r="C1945" s="3">
        <v>1612012</v>
      </c>
      <c r="D1945" s="3">
        <v>372437</v>
      </c>
      <c r="E1945" s="3" t="s">
        <v>27</v>
      </c>
      <c r="F1945" s="3">
        <v>1007332</v>
      </c>
      <c r="G1945" s="3">
        <v>237107</v>
      </c>
      <c r="H1945" s="3">
        <v>604680</v>
      </c>
      <c r="I1945" s="3">
        <v>135330</v>
      </c>
    </row>
    <row r="1946" spans="1:9">
      <c r="A1946" s="3" t="s">
        <v>1971</v>
      </c>
      <c r="B1946" s="3" t="s">
        <v>26</v>
      </c>
      <c r="C1946" s="3">
        <v>1397630</v>
      </c>
      <c r="D1946" s="3">
        <v>401679</v>
      </c>
      <c r="E1946" s="3" t="s">
        <v>27</v>
      </c>
      <c r="F1946" s="3">
        <v>1107797</v>
      </c>
      <c r="G1946" s="3">
        <v>317429</v>
      </c>
      <c r="H1946" s="3">
        <v>289833</v>
      </c>
      <c r="I1946" s="3">
        <v>84250</v>
      </c>
    </row>
    <row r="1947" spans="1:9">
      <c r="A1947" s="3" t="s">
        <v>1972</v>
      </c>
      <c r="B1947" s="3" t="s">
        <v>26</v>
      </c>
      <c r="C1947" s="3">
        <v>920900</v>
      </c>
      <c r="D1947" s="3">
        <v>92797</v>
      </c>
      <c r="E1947" s="3" t="s">
        <v>27</v>
      </c>
      <c r="F1947" s="3">
        <v>580812</v>
      </c>
      <c r="G1947" s="3">
        <v>71312</v>
      </c>
      <c r="H1947" s="3">
        <v>340088</v>
      </c>
      <c r="I1947" s="3">
        <v>21485</v>
      </c>
    </row>
    <row r="1948" spans="1:9">
      <c r="A1948" s="3" t="s">
        <v>1973</v>
      </c>
      <c r="B1948" s="3" t="s">
        <v>26</v>
      </c>
      <c r="C1948" s="3">
        <v>1494737</v>
      </c>
      <c r="D1948" s="3">
        <v>358295</v>
      </c>
      <c r="E1948" s="3" t="s">
        <v>27</v>
      </c>
      <c r="F1948" s="3">
        <v>1115287</v>
      </c>
      <c r="G1948" s="3">
        <v>257292</v>
      </c>
      <c r="H1948" s="3">
        <v>379450</v>
      </c>
      <c r="I1948" s="3">
        <v>101003</v>
      </c>
    </row>
    <row r="1949" spans="1:9">
      <c r="A1949" s="3" t="s">
        <v>1974</v>
      </c>
      <c r="B1949" s="3" t="s">
        <v>26</v>
      </c>
      <c r="C1949" s="3">
        <v>1435953</v>
      </c>
      <c r="D1949" s="3">
        <v>308297</v>
      </c>
      <c r="E1949" s="3" t="s">
        <v>27</v>
      </c>
      <c r="F1949" s="3">
        <v>1024896</v>
      </c>
      <c r="G1949" s="3">
        <v>217675</v>
      </c>
      <c r="H1949" s="3">
        <v>411057</v>
      </c>
      <c r="I1949" s="3">
        <v>90622</v>
      </c>
    </row>
    <row r="1950" spans="1:9">
      <c r="A1950" s="3" t="s">
        <v>1975</v>
      </c>
      <c r="B1950" s="3" t="s">
        <v>26</v>
      </c>
      <c r="C1950" s="3">
        <v>705970</v>
      </c>
      <c r="D1950" s="3">
        <v>33033</v>
      </c>
      <c r="E1950" s="3" t="s">
        <v>27</v>
      </c>
      <c r="F1950" s="3">
        <v>440504</v>
      </c>
      <c r="G1950" s="3">
        <v>17731</v>
      </c>
      <c r="H1950" s="3">
        <v>265466</v>
      </c>
      <c r="I1950" s="3">
        <v>15302</v>
      </c>
    </row>
    <row r="1951" spans="1:9">
      <c r="A1951" s="3" t="s">
        <v>1976</v>
      </c>
      <c r="B1951" s="3" t="s">
        <v>26</v>
      </c>
      <c r="C1951" s="3">
        <v>673211</v>
      </c>
      <c r="D1951" s="3">
        <v>17597</v>
      </c>
      <c r="E1951" s="3" t="s">
        <v>27</v>
      </c>
      <c r="F1951" s="3">
        <v>342489</v>
      </c>
      <c r="G1951" s="3">
        <v>9109</v>
      </c>
      <c r="H1951" s="3">
        <v>330722</v>
      </c>
      <c r="I1951" s="3">
        <v>8488</v>
      </c>
    </row>
    <row r="1952" spans="1:9">
      <c r="A1952" s="3" t="s">
        <v>1977</v>
      </c>
      <c r="B1952" s="3" t="s">
        <v>26</v>
      </c>
      <c r="C1952" s="3">
        <v>1885847</v>
      </c>
      <c r="D1952" s="3">
        <v>590795</v>
      </c>
      <c r="E1952" s="3" t="s">
        <v>27</v>
      </c>
      <c r="F1952" s="3">
        <v>1431427</v>
      </c>
      <c r="G1952" s="3">
        <v>436012</v>
      </c>
      <c r="H1952" s="3">
        <v>454420</v>
      </c>
      <c r="I1952" s="3">
        <v>154783</v>
      </c>
    </row>
    <row r="1953" spans="1:9">
      <c r="A1953" s="3" t="s">
        <v>1978</v>
      </c>
      <c r="B1953" s="3" t="s">
        <v>26</v>
      </c>
      <c r="C1953" s="3">
        <v>1100066</v>
      </c>
      <c r="D1953" s="3">
        <v>109351</v>
      </c>
      <c r="E1953" s="3" t="s">
        <v>27</v>
      </c>
      <c r="F1953" s="3">
        <v>782270</v>
      </c>
      <c r="G1953" s="3">
        <v>66736</v>
      </c>
      <c r="H1953" s="3">
        <v>317796</v>
      </c>
      <c r="I1953" s="3">
        <v>42615</v>
      </c>
    </row>
    <row r="1954" spans="1:9">
      <c r="A1954" s="3" t="s">
        <v>1979</v>
      </c>
      <c r="B1954" s="3" t="s">
        <v>26</v>
      </c>
      <c r="C1954" s="3">
        <v>1029326</v>
      </c>
      <c r="D1954" s="3">
        <v>59478</v>
      </c>
      <c r="E1954" s="3" t="s">
        <v>27</v>
      </c>
      <c r="F1954" s="3">
        <v>609867</v>
      </c>
      <c r="G1954" s="3">
        <v>44018</v>
      </c>
      <c r="H1954" s="3">
        <v>419459</v>
      </c>
      <c r="I1954" s="3">
        <v>15460</v>
      </c>
    </row>
    <row r="1955" spans="1:9">
      <c r="A1955" s="3" t="s">
        <v>1980</v>
      </c>
      <c r="B1955" s="3" t="s">
        <v>26</v>
      </c>
      <c r="C1955" s="3">
        <v>1620643</v>
      </c>
      <c r="D1955" s="3">
        <v>302628</v>
      </c>
      <c r="E1955" s="3" t="s">
        <v>27</v>
      </c>
      <c r="F1955" s="3">
        <v>1052760</v>
      </c>
      <c r="G1955" s="3">
        <v>211412</v>
      </c>
      <c r="H1955" s="3">
        <v>567883</v>
      </c>
      <c r="I1955" s="3">
        <v>91216</v>
      </c>
    </row>
    <row r="1956" spans="1:9">
      <c r="A1956" s="3" t="s">
        <v>1981</v>
      </c>
      <c r="B1956" s="3" t="s">
        <v>26</v>
      </c>
      <c r="C1956" s="3">
        <v>2020749</v>
      </c>
      <c r="D1956" s="3">
        <v>544361</v>
      </c>
      <c r="E1956" s="3" t="s">
        <v>27</v>
      </c>
      <c r="F1956" s="3">
        <v>1526339</v>
      </c>
      <c r="G1956" s="3">
        <v>392812</v>
      </c>
      <c r="H1956" s="3">
        <v>494410</v>
      </c>
      <c r="I1956" s="3">
        <v>151549</v>
      </c>
    </row>
    <row r="1957" spans="1:9">
      <c r="A1957" s="3" t="s">
        <v>1982</v>
      </c>
      <c r="B1957" s="3" t="s">
        <v>26</v>
      </c>
      <c r="C1957" s="3">
        <v>1423738</v>
      </c>
      <c r="D1957" s="3">
        <v>100912</v>
      </c>
      <c r="E1957" s="3" t="s">
        <v>27</v>
      </c>
      <c r="F1957" s="3">
        <v>794698</v>
      </c>
      <c r="G1957" s="3">
        <v>60396</v>
      </c>
      <c r="H1957" s="3">
        <v>629040</v>
      </c>
      <c r="I1957" s="3">
        <v>40516</v>
      </c>
    </row>
    <row r="1958" spans="1:9">
      <c r="A1958" s="3" t="s">
        <v>1983</v>
      </c>
      <c r="B1958" s="3" t="s">
        <v>26</v>
      </c>
      <c r="C1958" s="3">
        <v>979177</v>
      </c>
      <c r="D1958" s="3">
        <v>6895</v>
      </c>
      <c r="E1958" s="3" t="s">
        <v>27</v>
      </c>
      <c r="F1958" s="3">
        <v>439897</v>
      </c>
      <c r="G1958" s="3">
        <v>3195</v>
      </c>
      <c r="H1958" s="3">
        <v>539280</v>
      </c>
      <c r="I1958" s="3">
        <v>3700</v>
      </c>
    </row>
    <row r="1959" spans="1:9">
      <c r="A1959" s="3" t="s">
        <v>1984</v>
      </c>
      <c r="B1959" s="3" t="s">
        <v>26</v>
      </c>
      <c r="C1959" s="3">
        <v>1646196</v>
      </c>
      <c r="D1959" s="3">
        <v>403346</v>
      </c>
      <c r="E1959" s="3" t="s">
        <v>27</v>
      </c>
      <c r="F1959" s="3">
        <v>1192909</v>
      </c>
      <c r="G1959" s="3">
        <v>262821</v>
      </c>
      <c r="H1959" s="3">
        <v>453287</v>
      </c>
      <c r="I1959" s="3">
        <v>140525</v>
      </c>
    </row>
    <row r="1960" spans="1:9">
      <c r="A1960" s="3" t="s">
        <v>1985</v>
      </c>
      <c r="B1960" s="3" t="s">
        <v>26</v>
      </c>
      <c r="C1960" s="3">
        <v>2277868</v>
      </c>
      <c r="D1960" s="3">
        <v>713205</v>
      </c>
      <c r="E1960" s="3" t="s">
        <v>27</v>
      </c>
      <c r="F1960" s="3">
        <v>1671758</v>
      </c>
      <c r="G1960" s="3">
        <v>502455</v>
      </c>
      <c r="H1960" s="3">
        <v>606110</v>
      </c>
      <c r="I1960" s="3">
        <v>210750</v>
      </c>
    </row>
    <row r="1961" spans="1:9">
      <c r="A1961" s="3" t="s">
        <v>1986</v>
      </c>
      <c r="B1961" s="3" t="s">
        <v>26</v>
      </c>
      <c r="C1961" s="3">
        <v>845484</v>
      </c>
      <c r="D1961" s="3">
        <v>29352</v>
      </c>
      <c r="E1961" s="3" t="s">
        <v>27</v>
      </c>
      <c r="F1961" s="3">
        <v>432639</v>
      </c>
      <c r="G1961" s="3">
        <v>15558</v>
      </c>
      <c r="H1961" s="3">
        <v>412845</v>
      </c>
      <c r="I1961" s="3">
        <v>13794</v>
      </c>
    </row>
    <row r="1962" spans="1:9">
      <c r="A1962" s="3" t="s">
        <v>1987</v>
      </c>
      <c r="B1962" s="3" t="s">
        <v>26</v>
      </c>
      <c r="C1962" s="3">
        <v>764648</v>
      </c>
      <c r="D1962" s="3">
        <v>13229</v>
      </c>
      <c r="E1962" s="3" t="s">
        <v>27</v>
      </c>
      <c r="F1962" s="3">
        <v>428609</v>
      </c>
      <c r="G1962" s="3">
        <v>7448</v>
      </c>
      <c r="H1962" s="3">
        <v>336039</v>
      </c>
      <c r="I1962" s="3">
        <v>5781</v>
      </c>
    </row>
    <row r="1963" spans="1:9">
      <c r="A1963" s="3" t="s">
        <v>1988</v>
      </c>
      <c r="B1963" s="3" t="s">
        <v>26</v>
      </c>
      <c r="C1963" s="3">
        <v>1991178</v>
      </c>
      <c r="D1963" s="3">
        <v>589315</v>
      </c>
      <c r="E1963" s="3" t="s">
        <v>27</v>
      </c>
      <c r="F1963" s="3">
        <v>1490763</v>
      </c>
      <c r="G1963" s="3">
        <v>417609</v>
      </c>
      <c r="H1963" s="3">
        <v>500415</v>
      </c>
      <c r="I1963" s="3">
        <v>171706</v>
      </c>
    </row>
    <row r="1964" spans="1:9">
      <c r="A1964" s="3" t="s">
        <v>1989</v>
      </c>
      <c r="B1964" s="3" t="s">
        <v>26</v>
      </c>
      <c r="C1964" s="3">
        <v>2190922</v>
      </c>
      <c r="D1964" s="3">
        <v>581449</v>
      </c>
      <c r="E1964" s="3" t="s">
        <v>27</v>
      </c>
      <c r="F1964" s="3">
        <v>1461946</v>
      </c>
      <c r="G1964" s="3">
        <v>373766</v>
      </c>
      <c r="H1964" s="3">
        <v>728976</v>
      </c>
      <c r="I1964" s="3">
        <v>207683</v>
      </c>
    </row>
    <row r="1965" spans="1:9">
      <c r="A1965" s="3" t="s">
        <v>1990</v>
      </c>
      <c r="B1965" s="3" t="s">
        <v>26</v>
      </c>
      <c r="C1965" s="3">
        <v>1820433</v>
      </c>
      <c r="D1965" s="3">
        <v>543535</v>
      </c>
      <c r="E1965" s="3" t="s">
        <v>27</v>
      </c>
      <c r="F1965" s="3">
        <v>1526169</v>
      </c>
      <c r="G1965" s="3">
        <v>440094</v>
      </c>
      <c r="H1965" s="3">
        <v>294264</v>
      </c>
      <c r="I1965" s="3">
        <v>103441</v>
      </c>
    </row>
    <row r="1966" spans="1:9">
      <c r="A1966" s="3" t="s">
        <v>1991</v>
      </c>
      <c r="B1966" s="3" t="s">
        <v>26</v>
      </c>
      <c r="C1966" s="3">
        <v>1487917</v>
      </c>
      <c r="D1966" s="3">
        <v>352567</v>
      </c>
      <c r="E1966" s="3" t="s">
        <v>27</v>
      </c>
      <c r="F1966" s="3">
        <v>1129385</v>
      </c>
      <c r="G1966" s="3">
        <v>268486</v>
      </c>
      <c r="H1966" s="3">
        <v>358532</v>
      </c>
      <c r="I1966" s="3">
        <v>84081</v>
      </c>
    </row>
    <row r="1967" spans="1:9">
      <c r="A1967" s="3" t="s">
        <v>1992</v>
      </c>
      <c r="B1967" s="3" t="s">
        <v>26</v>
      </c>
      <c r="C1967" s="3">
        <v>1767788</v>
      </c>
      <c r="D1967" s="3">
        <v>479120</v>
      </c>
      <c r="E1967" s="3" t="s">
        <v>27</v>
      </c>
      <c r="F1967" s="3">
        <v>1457818</v>
      </c>
      <c r="G1967" s="3">
        <v>377234</v>
      </c>
      <c r="H1967" s="3">
        <v>309970</v>
      </c>
      <c r="I1967" s="3">
        <v>101886</v>
      </c>
    </row>
    <row r="1968" spans="1:9">
      <c r="A1968" s="3" t="s">
        <v>1993</v>
      </c>
      <c r="B1968" s="3" t="s">
        <v>26</v>
      </c>
      <c r="C1968" s="3">
        <v>680175</v>
      </c>
      <c r="D1968" s="3">
        <v>1229</v>
      </c>
      <c r="E1968" s="3" t="s">
        <v>27</v>
      </c>
      <c r="F1968" s="3">
        <v>348816</v>
      </c>
      <c r="G1968" s="3">
        <v>656</v>
      </c>
      <c r="H1968" s="3">
        <v>331359</v>
      </c>
      <c r="I1968" s="3">
        <v>573</v>
      </c>
    </row>
    <row r="1969" spans="1:9">
      <c r="A1969" s="3" t="s">
        <v>1994</v>
      </c>
      <c r="B1969" s="3" t="s">
        <v>26</v>
      </c>
      <c r="C1969" s="3">
        <v>1699229</v>
      </c>
      <c r="D1969" s="3">
        <v>226653</v>
      </c>
      <c r="E1969" s="3" t="s">
        <v>27</v>
      </c>
      <c r="F1969" s="3">
        <v>873634</v>
      </c>
      <c r="G1969" s="3">
        <v>112913</v>
      </c>
      <c r="H1969" s="3">
        <v>825595</v>
      </c>
      <c r="I1969" s="3">
        <v>113740</v>
      </c>
    </row>
    <row r="1970" spans="1:9">
      <c r="A1970" s="3" t="s">
        <v>1995</v>
      </c>
      <c r="B1970" s="3" t="s">
        <v>26</v>
      </c>
      <c r="C1970" s="3">
        <v>1668724</v>
      </c>
      <c r="D1970" s="3">
        <v>430156</v>
      </c>
      <c r="E1970" s="3" t="s">
        <v>27</v>
      </c>
      <c r="F1970" s="3">
        <v>1368197</v>
      </c>
      <c r="G1970" s="3">
        <v>341765</v>
      </c>
      <c r="H1970" s="3">
        <v>300527</v>
      </c>
      <c r="I1970" s="3">
        <v>88391</v>
      </c>
    </row>
    <row r="1971" spans="1:9">
      <c r="A1971" s="3" t="s">
        <v>1996</v>
      </c>
      <c r="B1971" s="3" t="s">
        <v>26</v>
      </c>
      <c r="C1971" s="3">
        <v>20369</v>
      </c>
      <c r="D1971" s="3">
        <v>6282</v>
      </c>
      <c r="E1971" s="3" t="s">
        <v>27</v>
      </c>
      <c r="F1971" s="3">
        <v>16749</v>
      </c>
      <c r="G1971" s="3">
        <v>4841</v>
      </c>
      <c r="H1971" s="3">
        <v>3620</v>
      </c>
      <c r="I1971" s="3">
        <v>1441</v>
      </c>
    </row>
    <row r="1972" spans="1:9">
      <c r="A1972" s="3" t="s">
        <v>1997</v>
      </c>
      <c r="B1972" s="3" t="s">
        <v>26</v>
      </c>
      <c r="C1972" s="3">
        <v>1504210</v>
      </c>
      <c r="D1972" s="3">
        <v>249668</v>
      </c>
      <c r="E1972" s="3" t="s">
        <v>27</v>
      </c>
      <c r="F1972" s="3">
        <v>1324148</v>
      </c>
      <c r="G1972" s="3">
        <v>205238</v>
      </c>
      <c r="H1972" s="3">
        <v>180062</v>
      </c>
      <c r="I1972" s="3">
        <v>44430</v>
      </c>
    </row>
    <row r="1973" spans="1:9">
      <c r="A1973" s="3" t="s">
        <v>1998</v>
      </c>
      <c r="B1973" s="3" t="s">
        <v>26</v>
      </c>
      <c r="C1973" s="3">
        <v>1251548</v>
      </c>
      <c r="D1973" s="3">
        <v>22273</v>
      </c>
      <c r="E1973" s="3" t="s">
        <v>27</v>
      </c>
      <c r="F1973" s="3">
        <v>614900</v>
      </c>
      <c r="G1973" s="3">
        <v>8869</v>
      </c>
      <c r="H1973" s="3">
        <v>636648</v>
      </c>
      <c r="I1973" s="3">
        <v>13404</v>
      </c>
    </row>
    <row r="1974" spans="1:9">
      <c r="A1974" s="3" t="s">
        <v>1999</v>
      </c>
      <c r="B1974" s="3" t="s">
        <v>26</v>
      </c>
      <c r="C1974" s="3">
        <v>1917844</v>
      </c>
      <c r="D1974" s="3">
        <v>478581</v>
      </c>
      <c r="E1974" s="3" t="s">
        <v>27</v>
      </c>
      <c r="F1974" s="3">
        <v>1497237</v>
      </c>
      <c r="G1974" s="3">
        <v>356745</v>
      </c>
      <c r="H1974" s="3">
        <v>420607</v>
      </c>
      <c r="I1974" s="3">
        <v>121836</v>
      </c>
    </row>
    <row r="1975" spans="1:9">
      <c r="A1975" s="3" t="s">
        <v>2000</v>
      </c>
      <c r="B1975" s="3" t="s">
        <v>26</v>
      </c>
      <c r="C1975" s="3">
        <v>1770663</v>
      </c>
      <c r="D1975" s="3">
        <v>397017</v>
      </c>
      <c r="E1975" s="3" t="s">
        <v>27</v>
      </c>
      <c r="F1975" s="3">
        <v>1219853</v>
      </c>
      <c r="G1975" s="3">
        <v>293329</v>
      </c>
      <c r="H1975" s="3">
        <v>550810</v>
      </c>
      <c r="I1975" s="3">
        <v>103688</v>
      </c>
    </row>
    <row r="1976" spans="1:9">
      <c r="A1976" s="3" t="s">
        <v>2001</v>
      </c>
      <c r="B1976" s="3" t="s">
        <v>26</v>
      </c>
      <c r="C1976" s="3">
        <v>1834658</v>
      </c>
      <c r="D1976" s="3">
        <v>552160</v>
      </c>
      <c r="E1976" s="3" t="s">
        <v>27</v>
      </c>
      <c r="F1976" s="3">
        <v>1326202</v>
      </c>
      <c r="G1976" s="3">
        <v>372420</v>
      </c>
      <c r="H1976" s="3">
        <v>508456</v>
      </c>
      <c r="I1976" s="3">
        <v>179740</v>
      </c>
    </row>
    <row r="1977" spans="1:9">
      <c r="A1977" s="3" t="s">
        <v>2002</v>
      </c>
      <c r="B1977" s="3" t="s">
        <v>26</v>
      </c>
      <c r="C1977" s="3">
        <v>1284401</v>
      </c>
      <c r="D1977" s="3">
        <v>4433</v>
      </c>
      <c r="E1977" s="3" t="s">
        <v>27</v>
      </c>
      <c r="F1977" s="3">
        <v>665549</v>
      </c>
      <c r="G1977" s="3">
        <v>1883</v>
      </c>
      <c r="H1977" s="3">
        <v>618852</v>
      </c>
      <c r="I1977" s="3">
        <v>2550</v>
      </c>
    </row>
    <row r="1978" spans="1:9">
      <c r="A1978" s="3" t="s">
        <v>2003</v>
      </c>
      <c r="B1978" s="3" t="s">
        <v>26</v>
      </c>
      <c r="C1978" s="3">
        <v>2319380</v>
      </c>
      <c r="D1978" s="3">
        <v>724779</v>
      </c>
      <c r="E1978" s="3" t="s">
        <v>27</v>
      </c>
      <c r="F1978" s="3">
        <v>1561752</v>
      </c>
      <c r="G1978" s="3">
        <v>478169</v>
      </c>
      <c r="H1978" s="3">
        <v>757628</v>
      </c>
      <c r="I1978" s="3">
        <v>246610</v>
      </c>
    </row>
    <row r="1979" spans="1:9">
      <c r="A1979" s="3" t="s">
        <v>2004</v>
      </c>
      <c r="B1979" s="3" t="s">
        <v>26</v>
      </c>
      <c r="C1979" s="3">
        <v>1517593</v>
      </c>
      <c r="D1979" s="3">
        <v>176522</v>
      </c>
      <c r="E1979" s="3" t="s">
        <v>27</v>
      </c>
      <c r="F1979" s="3">
        <v>843133</v>
      </c>
      <c r="G1979" s="3">
        <v>100754</v>
      </c>
      <c r="H1979" s="3">
        <v>674460</v>
      </c>
      <c r="I1979" s="3">
        <v>75768</v>
      </c>
    </row>
    <row r="1980" spans="1:9">
      <c r="A1980" s="3" t="s">
        <v>2005</v>
      </c>
      <c r="B1980" s="3" t="s">
        <v>26</v>
      </c>
      <c r="C1980" s="3">
        <v>967422</v>
      </c>
      <c r="D1980" s="3">
        <v>30945</v>
      </c>
      <c r="E1980" s="3" t="s">
        <v>27</v>
      </c>
      <c r="F1980" s="3">
        <v>594220</v>
      </c>
      <c r="G1980" s="3">
        <v>22027</v>
      </c>
      <c r="H1980" s="3">
        <v>373202</v>
      </c>
      <c r="I1980" s="3">
        <v>8918</v>
      </c>
    </row>
    <row r="1981" spans="1:9">
      <c r="A1981" s="3" t="s">
        <v>2006</v>
      </c>
      <c r="B1981" s="3" t="s">
        <v>26</v>
      </c>
      <c r="C1981" s="3">
        <v>1669377</v>
      </c>
      <c r="D1981" s="3">
        <v>302869</v>
      </c>
      <c r="E1981" s="3" t="s">
        <v>27</v>
      </c>
      <c r="F1981" s="3">
        <v>997174</v>
      </c>
      <c r="G1981" s="3">
        <v>183987</v>
      </c>
      <c r="H1981" s="3">
        <v>672203</v>
      </c>
      <c r="I1981" s="3">
        <v>118882</v>
      </c>
    </row>
    <row r="1982" spans="1:9">
      <c r="A1982" s="3" t="s">
        <v>2007</v>
      </c>
      <c r="B1982" s="3" t="s">
        <v>26</v>
      </c>
      <c r="C1982" s="3">
        <v>2033454</v>
      </c>
      <c r="D1982" s="3">
        <v>510299</v>
      </c>
      <c r="E1982" s="3" t="s">
        <v>27</v>
      </c>
      <c r="F1982" s="3">
        <v>1599368</v>
      </c>
      <c r="G1982" s="3">
        <v>374898</v>
      </c>
      <c r="H1982" s="3">
        <v>434086</v>
      </c>
      <c r="I1982" s="3">
        <v>135401</v>
      </c>
    </row>
    <row r="1983" spans="1:9">
      <c r="A1983" s="3" t="s">
        <v>2008</v>
      </c>
      <c r="B1983" s="3" t="s">
        <v>26</v>
      </c>
      <c r="C1983" s="3">
        <v>2053965</v>
      </c>
      <c r="D1983" s="3">
        <v>655273</v>
      </c>
      <c r="E1983" s="3" t="s">
        <v>27</v>
      </c>
      <c r="F1983" s="3">
        <v>1716909</v>
      </c>
      <c r="G1983" s="3">
        <v>522234</v>
      </c>
      <c r="H1983" s="3">
        <v>337056</v>
      </c>
      <c r="I1983" s="3">
        <v>133039</v>
      </c>
    </row>
    <row r="1984" spans="1:9">
      <c r="A1984" s="3" t="s">
        <v>2009</v>
      </c>
      <c r="B1984" s="3" t="s">
        <v>26</v>
      </c>
      <c r="C1984" s="3">
        <v>1302126</v>
      </c>
      <c r="D1984" s="3">
        <v>11129</v>
      </c>
      <c r="E1984" s="3" t="s">
        <v>27</v>
      </c>
      <c r="F1984" s="3">
        <v>676520</v>
      </c>
      <c r="G1984" s="3">
        <v>5977</v>
      </c>
      <c r="H1984" s="3">
        <v>625606</v>
      </c>
      <c r="I1984" s="3">
        <v>5152</v>
      </c>
    </row>
    <row r="1985" spans="1:9">
      <c r="A1985" s="3" t="s">
        <v>2010</v>
      </c>
      <c r="B1985" s="3" t="s">
        <v>26</v>
      </c>
      <c r="C1985" s="3">
        <v>1151510</v>
      </c>
      <c r="D1985" s="3">
        <v>58706</v>
      </c>
      <c r="E1985" s="3" t="s">
        <v>27</v>
      </c>
      <c r="F1985" s="3">
        <v>741013</v>
      </c>
      <c r="G1985" s="3">
        <v>39438</v>
      </c>
      <c r="H1985" s="3">
        <v>410497</v>
      </c>
      <c r="I1985" s="3">
        <v>19268</v>
      </c>
    </row>
    <row r="1986" spans="1:9">
      <c r="A1986" s="3" t="s">
        <v>2011</v>
      </c>
      <c r="B1986" s="3" t="s">
        <v>26</v>
      </c>
      <c r="C1986" s="3">
        <v>1124640</v>
      </c>
      <c r="D1986" s="3">
        <v>129399</v>
      </c>
      <c r="E1986" s="3" t="s">
        <v>27</v>
      </c>
      <c r="F1986" s="3">
        <v>625028</v>
      </c>
      <c r="G1986" s="3">
        <v>75402</v>
      </c>
      <c r="H1986" s="3">
        <v>499612</v>
      </c>
      <c r="I1986" s="3">
        <v>53997</v>
      </c>
    </row>
    <row r="1987" spans="1:9">
      <c r="A1987" s="3" t="s">
        <v>2012</v>
      </c>
      <c r="B1987" s="3" t="s">
        <v>26</v>
      </c>
      <c r="C1987" s="3">
        <v>28281</v>
      </c>
      <c r="D1987" s="3">
        <v>4900</v>
      </c>
      <c r="E1987" s="3" t="s">
        <v>27</v>
      </c>
      <c r="F1987" s="3">
        <v>22477</v>
      </c>
      <c r="G1987" s="3">
        <v>3190</v>
      </c>
      <c r="H1987" s="3">
        <v>5804</v>
      </c>
      <c r="I1987" s="3">
        <v>1710</v>
      </c>
    </row>
    <row r="1988" spans="1:9">
      <c r="A1988" s="3" t="s">
        <v>2013</v>
      </c>
      <c r="B1988" s="3" t="s">
        <v>26</v>
      </c>
      <c r="C1988" s="3">
        <v>990311</v>
      </c>
      <c r="D1988" s="3">
        <v>67581</v>
      </c>
      <c r="E1988" s="3" t="s">
        <v>27</v>
      </c>
      <c r="F1988" s="3">
        <v>559224</v>
      </c>
      <c r="G1988" s="3">
        <v>37843</v>
      </c>
      <c r="H1988" s="3">
        <v>431087</v>
      </c>
      <c r="I1988" s="3">
        <v>29738</v>
      </c>
    </row>
    <row r="1989" spans="1:9">
      <c r="A1989" s="3" t="s">
        <v>2014</v>
      </c>
      <c r="B1989" s="3" t="s">
        <v>26</v>
      </c>
      <c r="C1989" s="3">
        <v>1433906</v>
      </c>
      <c r="D1989" s="3">
        <v>189260</v>
      </c>
      <c r="E1989" s="3" t="s">
        <v>27</v>
      </c>
      <c r="F1989" s="3">
        <v>1038496</v>
      </c>
      <c r="G1989" s="3">
        <v>132805</v>
      </c>
      <c r="H1989" s="3">
        <v>395410</v>
      </c>
      <c r="I1989" s="3">
        <v>56455</v>
      </c>
    </row>
    <row r="1990" spans="1:9">
      <c r="A1990" s="3" t="s">
        <v>2015</v>
      </c>
      <c r="B1990" s="3" t="s">
        <v>26</v>
      </c>
      <c r="C1990" s="3">
        <v>2330363</v>
      </c>
      <c r="D1990" s="3">
        <v>564326</v>
      </c>
      <c r="E1990" s="3" t="s">
        <v>27</v>
      </c>
      <c r="F1990" s="3">
        <v>1576278</v>
      </c>
      <c r="G1990" s="3">
        <v>364786</v>
      </c>
      <c r="H1990" s="3">
        <v>754085</v>
      </c>
      <c r="I1990" s="3">
        <v>199540</v>
      </c>
    </row>
    <row r="1991" spans="1:9">
      <c r="A1991" s="3" t="s">
        <v>2016</v>
      </c>
      <c r="B1991" s="3" t="s">
        <v>26</v>
      </c>
      <c r="C1991" s="3">
        <v>1514624</v>
      </c>
      <c r="D1991" s="3">
        <v>75679</v>
      </c>
      <c r="E1991" s="3" t="s">
        <v>27</v>
      </c>
      <c r="F1991" s="3">
        <v>911867</v>
      </c>
      <c r="G1991" s="3">
        <v>46985</v>
      </c>
      <c r="H1991" s="3">
        <v>602757</v>
      </c>
      <c r="I1991" s="3">
        <v>28694</v>
      </c>
    </row>
    <row r="1992" spans="1:9">
      <c r="A1992" s="3" t="s">
        <v>2017</v>
      </c>
      <c r="B1992" s="3" t="s">
        <v>26</v>
      </c>
      <c r="C1992" s="3">
        <v>1470587</v>
      </c>
      <c r="D1992" s="3">
        <v>179068</v>
      </c>
      <c r="E1992" s="3" t="s">
        <v>27</v>
      </c>
      <c r="F1992" s="3">
        <v>1007548</v>
      </c>
      <c r="G1992" s="3">
        <v>111224</v>
      </c>
      <c r="H1992" s="3">
        <v>463039</v>
      </c>
      <c r="I1992" s="3">
        <v>67844</v>
      </c>
    </row>
    <row r="1993" spans="1:9">
      <c r="A1993" s="3" t="s">
        <v>2018</v>
      </c>
      <c r="B1993" s="3" t="s">
        <v>26</v>
      </c>
      <c r="C1993" s="3">
        <v>1189723</v>
      </c>
      <c r="D1993" s="3">
        <v>41104</v>
      </c>
      <c r="E1993" s="3" t="s">
        <v>27</v>
      </c>
      <c r="F1993" s="3">
        <v>650916</v>
      </c>
      <c r="G1993" s="3">
        <v>25785</v>
      </c>
      <c r="H1993" s="3">
        <v>538807</v>
      </c>
      <c r="I1993" s="3">
        <v>15319</v>
      </c>
    </row>
    <row r="1994" spans="1:9">
      <c r="A1994" s="3" t="s">
        <v>2019</v>
      </c>
      <c r="B1994" s="3" t="s">
        <v>26</v>
      </c>
      <c r="C1994" s="3">
        <v>2626640</v>
      </c>
      <c r="D1994" s="3">
        <v>627029</v>
      </c>
      <c r="E1994" s="3" t="s">
        <v>27</v>
      </c>
      <c r="F1994" s="3">
        <v>1734393</v>
      </c>
      <c r="G1994" s="3">
        <v>410063</v>
      </c>
      <c r="H1994" s="3">
        <v>892247</v>
      </c>
      <c r="I1994" s="3">
        <v>216966</v>
      </c>
    </row>
    <row r="1995" spans="1:9">
      <c r="A1995" s="3" t="s">
        <v>2020</v>
      </c>
      <c r="B1995" s="3" t="s">
        <v>26</v>
      </c>
      <c r="C1995" s="3">
        <v>1491866</v>
      </c>
      <c r="D1995" s="3">
        <v>258245</v>
      </c>
      <c r="E1995" s="3" t="s">
        <v>27</v>
      </c>
      <c r="F1995" s="3">
        <v>1003843</v>
      </c>
      <c r="G1995" s="3">
        <v>182007</v>
      </c>
      <c r="H1995" s="3">
        <v>488023</v>
      </c>
      <c r="I1995" s="3">
        <v>76238</v>
      </c>
    </row>
    <row r="1996" spans="1:9">
      <c r="A1996" s="3" t="s">
        <v>2021</v>
      </c>
      <c r="B1996" s="3" t="s">
        <v>26</v>
      </c>
      <c r="C1996" s="3">
        <v>2135389</v>
      </c>
      <c r="D1996" s="3">
        <v>542062</v>
      </c>
      <c r="E1996" s="3" t="s">
        <v>27</v>
      </c>
      <c r="F1996" s="3">
        <v>1594536</v>
      </c>
      <c r="G1996" s="3">
        <v>391730</v>
      </c>
      <c r="H1996" s="3">
        <v>540853</v>
      </c>
      <c r="I1996" s="3">
        <v>150332</v>
      </c>
    </row>
    <row r="1997" spans="1:9">
      <c r="A1997" s="3" t="s">
        <v>2022</v>
      </c>
      <c r="B1997" s="3" t="s">
        <v>26</v>
      </c>
      <c r="C1997" s="3">
        <v>1184962</v>
      </c>
      <c r="D1997" s="3">
        <v>40667</v>
      </c>
      <c r="E1997" s="3" t="s">
        <v>27</v>
      </c>
      <c r="F1997" s="3">
        <v>737576</v>
      </c>
      <c r="G1997" s="3">
        <v>22897</v>
      </c>
      <c r="H1997" s="3">
        <v>447386</v>
      </c>
      <c r="I1997" s="3">
        <v>17770</v>
      </c>
    </row>
    <row r="1998" spans="1:9">
      <c r="A1998" s="3" t="s">
        <v>2023</v>
      </c>
      <c r="B1998" s="3" t="s">
        <v>26</v>
      </c>
      <c r="C1998" s="3">
        <v>1638508</v>
      </c>
      <c r="D1998" s="3">
        <v>376033</v>
      </c>
      <c r="E1998" s="3" t="s">
        <v>27</v>
      </c>
      <c r="F1998" s="3">
        <v>1287719</v>
      </c>
      <c r="G1998" s="3">
        <v>297675</v>
      </c>
      <c r="H1998" s="3">
        <v>350789</v>
      </c>
      <c r="I1998" s="3">
        <v>78358</v>
      </c>
    </row>
    <row r="1999" spans="1:9">
      <c r="A1999" s="3" t="s">
        <v>2024</v>
      </c>
      <c r="B1999" s="3" t="s">
        <v>26</v>
      </c>
      <c r="C1999" s="3">
        <v>1797962</v>
      </c>
      <c r="D1999" s="3">
        <v>239279</v>
      </c>
      <c r="E1999" s="3" t="s">
        <v>27</v>
      </c>
      <c r="F1999" s="3">
        <v>1053399</v>
      </c>
      <c r="G1999" s="3">
        <v>132413</v>
      </c>
      <c r="H1999" s="3">
        <v>744563</v>
      </c>
      <c r="I1999" s="3">
        <v>106866</v>
      </c>
    </row>
    <row r="2000" spans="1:9">
      <c r="A2000" s="3" t="s">
        <v>2025</v>
      </c>
      <c r="B2000" s="3" t="s">
        <v>26</v>
      </c>
      <c r="C2000" s="3">
        <v>2040114</v>
      </c>
      <c r="D2000" s="3">
        <v>373594</v>
      </c>
      <c r="E2000" s="3" t="s">
        <v>27</v>
      </c>
      <c r="F2000" s="3">
        <v>1202974</v>
      </c>
      <c r="G2000" s="3">
        <v>221650</v>
      </c>
      <c r="H2000" s="3">
        <v>837140</v>
      </c>
      <c r="I2000" s="3">
        <v>151944</v>
      </c>
    </row>
    <row r="2001" spans="1:9">
      <c r="A2001" s="3" t="s">
        <v>2026</v>
      </c>
      <c r="B2001" s="3" t="s">
        <v>26</v>
      </c>
      <c r="C2001" s="3">
        <v>1371674</v>
      </c>
      <c r="D2001" s="3">
        <v>167933</v>
      </c>
      <c r="E2001" s="3" t="s">
        <v>27</v>
      </c>
      <c r="F2001" s="3">
        <v>847477</v>
      </c>
      <c r="G2001" s="3">
        <v>115363</v>
      </c>
      <c r="H2001" s="3">
        <v>524197</v>
      </c>
      <c r="I2001" s="3">
        <v>52570</v>
      </c>
    </row>
    <row r="2002" spans="1:9">
      <c r="A2002" s="3" t="s">
        <v>2027</v>
      </c>
      <c r="B2002" s="3" t="s">
        <v>26</v>
      </c>
      <c r="C2002" s="3">
        <v>1098877</v>
      </c>
      <c r="D2002" s="3">
        <v>101275</v>
      </c>
      <c r="E2002" s="3" t="s">
        <v>27</v>
      </c>
      <c r="F2002" s="3">
        <v>716469</v>
      </c>
      <c r="G2002" s="3">
        <v>71724</v>
      </c>
      <c r="H2002" s="3">
        <v>382408</v>
      </c>
      <c r="I2002" s="3">
        <v>29551</v>
      </c>
    </row>
    <row r="2003" spans="1:9">
      <c r="A2003" s="3" t="s">
        <v>2028</v>
      </c>
      <c r="B2003" s="3" t="s">
        <v>26</v>
      </c>
      <c r="C2003" s="3">
        <v>2559221</v>
      </c>
      <c r="D2003" s="3">
        <v>704234</v>
      </c>
      <c r="E2003" s="3" t="s">
        <v>27</v>
      </c>
      <c r="F2003" s="3">
        <v>1878498</v>
      </c>
      <c r="G2003" s="3">
        <v>514858</v>
      </c>
      <c r="H2003" s="3">
        <v>680723</v>
      </c>
      <c r="I2003" s="3">
        <v>189376</v>
      </c>
    </row>
    <row r="2004" spans="1:9">
      <c r="A2004" s="3" t="s">
        <v>2029</v>
      </c>
      <c r="B2004" s="3" t="s">
        <v>26</v>
      </c>
      <c r="C2004" s="3">
        <v>2376695</v>
      </c>
      <c r="D2004" s="3">
        <v>721586</v>
      </c>
      <c r="E2004" s="3" t="s">
        <v>27</v>
      </c>
      <c r="F2004" s="3">
        <v>1927993</v>
      </c>
      <c r="G2004" s="3">
        <v>582297</v>
      </c>
      <c r="H2004" s="3">
        <v>448702</v>
      </c>
      <c r="I2004" s="3">
        <v>139289</v>
      </c>
    </row>
    <row r="2005" spans="1:9">
      <c r="A2005" s="3" t="s">
        <v>2030</v>
      </c>
      <c r="B2005" s="3" t="s">
        <v>26</v>
      </c>
      <c r="C2005" s="3">
        <v>2992806</v>
      </c>
      <c r="D2005" s="3">
        <v>996298</v>
      </c>
      <c r="E2005" s="3" t="s">
        <v>27</v>
      </c>
      <c r="F2005" s="3">
        <v>2290603</v>
      </c>
      <c r="G2005" s="3">
        <v>733653</v>
      </c>
      <c r="H2005" s="3">
        <v>702203</v>
      </c>
      <c r="I2005" s="3">
        <v>262645</v>
      </c>
    </row>
    <row r="2006" spans="1:9">
      <c r="A2006" s="3" t="s">
        <v>2031</v>
      </c>
      <c r="B2006" s="3" t="s">
        <v>26</v>
      </c>
      <c r="C2006" s="3">
        <v>1765531</v>
      </c>
      <c r="D2006" s="3">
        <v>344273</v>
      </c>
      <c r="E2006" s="3" t="s">
        <v>27</v>
      </c>
      <c r="F2006" s="3">
        <v>1148951</v>
      </c>
      <c r="G2006" s="3">
        <v>236225</v>
      </c>
      <c r="H2006" s="3">
        <v>616580</v>
      </c>
      <c r="I2006" s="3">
        <v>108048</v>
      </c>
    </row>
    <row r="2007" spans="1:9">
      <c r="A2007" s="3" t="s">
        <v>2032</v>
      </c>
      <c r="B2007" s="3" t="s">
        <v>26</v>
      </c>
      <c r="C2007" s="3">
        <v>1983403</v>
      </c>
      <c r="D2007" s="3">
        <v>251882</v>
      </c>
      <c r="E2007" s="3" t="s">
        <v>27</v>
      </c>
      <c r="F2007" s="3">
        <v>1242921</v>
      </c>
      <c r="G2007" s="3">
        <v>153917</v>
      </c>
      <c r="H2007" s="3">
        <v>740482</v>
      </c>
      <c r="I2007" s="3">
        <v>97965</v>
      </c>
    </row>
    <row r="2008" spans="1:9">
      <c r="A2008" s="3" t="s">
        <v>2033</v>
      </c>
      <c r="B2008" s="3" t="s">
        <v>26</v>
      </c>
      <c r="C2008" s="3">
        <v>1849120</v>
      </c>
      <c r="D2008" s="3">
        <v>333124</v>
      </c>
      <c r="E2008" s="3" t="s">
        <v>27</v>
      </c>
      <c r="F2008" s="3">
        <v>1326971</v>
      </c>
      <c r="G2008" s="3">
        <v>268114</v>
      </c>
      <c r="H2008" s="3">
        <v>522149</v>
      </c>
      <c r="I2008" s="3">
        <v>65010</v>
      </c>
    </row>
    <row r="2009" spans="1:9">
      <c r="A2009" s="3" t="s">
        <v>2034</v>
      </c>
      <c r="B2009" s="3" t="s">
        <v>26</v>
      </c>
      <c r="C2009" s="3">
        <v>1281032</v>
      </c>
      <c r="D2009" s="3">
        <v>124951</v>
      </c>
      <c r="E2009" s="3" t="s">
        <v>27</v>
      </c>
      <c r="F2009" s="3">
        <v>842973</v>
      </c>
      <c r="G2009" s="3">
        <v>86044</v>
      </c>
      <c r="H2009" s="3">
        <v>438059</v>
      </c>
      <c r="I2009" s="3">
        <v>38907</v>
      </c>
    </row>
    <row r="2010" spans="1:9">
      <c r="A2010" s="3" t="s">
        <v>2035</v>
      </c>
      <c r="B2010" s="3" t="s">
        <v>26</v>
      </c>
      <c r="C2010" s="3">
        <v>2702743</v>
      </c>
      <c r="D2010" s="3">
        <v>831546</v>
      </c>
      <c r="E2010" s="3" t="s">
        <v>27</v>
      </c>
      <c r="F2010" s="3">
        <v>2138859</v>
      </c>
      <c r="G2010" s="3">
        <v>659622</v>
      </c>
      <c r="H2010" s="3">
        <v>563884</v>
      </c>
      <c r="I2010" s="3">
        <v>171924</v>
      </c>
    </row>
    <row r="2011" spans="1:9">
      <c r="A2011" s="3" t="s">
        <v>2036</v>
      </c>
      <c r="B2011" s="3" t="s">
        <v>26</v>
      </c>
      <c r="C2011" s="3">
        <v>2730535</v>
      </c>
      <c r="D2011" s="3">
        <v>977552</v>
      </c>
      <c r="E2011" s="3" t="s">
        <v>27</v>
      </c>
      <c r="F2011" s="3">
        <v>2135313</v>
      </c>
      <c r="G2011" s="3">
        <v>773542</v>
      </c>
      <c r="H2011" s="3">
        <v>595222</v>
      </c>
      <c r="I2011" s="3">
        <v>204010</v>
      </c>
    </row>
    <row r="2012" spans="1:9">
      <c r="A2012" s="3" t="s">
        <v>2037</v>
      </c>
      <c r="B2012" s="3" t="s">
        <v>26</v>
      </c>
      <c r="C2012" s="3">
        <v>987824</v>
      </c>
      <c r="D2012" s="3">
        <v>58140</v>
      </c>
      <c r="E2012" s="3" t="s">
        <v>27</v>
      </c>
      <c r="F2012" s="3">
        <v>514875</v>
      </c>
      <c r="G2012" s="3">
        <v>31244</v>
      </c>
      <c r="H2012" s="3">
        <v>472949</v>
      </c>
      <c r="I2012" s="3">
        <v>26896</v>
      </c>
    </row>
    <row r="2013" spans="1:9">
      <c r="A2013" s="3" t="s">
        <v>2038</v>
      </c>
      <c r="B2013" s="3" t="s">
        <v>26</v>
      </c>
      <c r="C2013" s="3">
        <v>782077</v>
      </c>
      <c r="D2013" s="3">
        <v>977</v>
      </c>
      <c r="E2013" s="3" t="s">
        <v>27</v>
      </c>
      <c r="F2013" s="3">
        <v>409686</v>
      </c>
      <c r="G2013" s="3">
        <v>964</v>
      </c>
      <c r="H2013" s="3">
        <v>372391</v>
      </c>
      <c r="I2013" s="3">
        <v>13</v>
      </c>
    </row>
    <row r="2014" spans="1:9">
      <c r="A2014" s="3" t="s">
        <v>2039</v>
      </c>
      <c r="B2014" s="3" t="s">
        <v>26</v>
      </c>
      <c r="C2014" s="3">
        <v>2266242</v>
      </c>
      <c r="D2014" s="3">
        <v>579086</v>
      </c>
      <c r="E2014" s="3" t="s">
        <v>27</v>
      </c>
      <c r="F2014" s="3">
        <v>1648081</v>
      </c>
      <c r="G2014" s="3">
        <v>420358</v>
      </c>
      <c r="H2014" s="3">
        <v>618161</v>
      </c>
      <c r="I2014" s="3">
        <v>158728</v>
      </c>
    </row>
    <row r="2015" spans="1:9">
      <c r="A2015" s="3" t="s">
        <v>2040</v>
      </c>
      <c r="B2015" s="3" t="s">
        <v>26</v>
      </c>
      <c r="C2015" s="3">
        <v>2139574</v>
      </c>
      <c r="D2015" s="3">
        <v>503554</v>
      </c>
      <c r="E2015" s="3" t="s">
        <v>27</v>
      </c>
      <c r="F2015" s="3">
        <v>1338539</v>
      </c>
      <c r="G2015" s="3">
        <v>319017</v>
      </c>
      <c r="H2015" s="3">
        <v>801035</v>
      </c>
      <c r="I2015" s="3">
        <v>184537</v>
      </c>
    </row>
    <row r="2016" spans="1:9">
      <c r="A2016" s="3" t="s">
        <v>2041</v>
      </c>
      <c r="B2016" s="3" t="s">
        <v>26</v>
      </c>
      <c r="C2016" s="3">
        <v>24556</v>
      </c>
      <c r="D2016" s="3">
        <v>5065</v>
      </c>
      <c r="E2016" s="3" t="s">
        <v>27</v>
      </c>
      <c r="F2016" s="3">
        <v>19692</v>
      </c>
      <c r="G2016" s="3">
        <v>3944</v>
      </c>
      <c r="H2016" s="3">
        <v>4864</v>
      </c>
      <c r="I2016" s="3">
        <v>1121</v>
      </c>
    </row>
    <row r="2017" spans="1:9">
      <c r="A2017" s="3" t="s">
        <v>2042</v>
      </c>
      <c r="B2017" s="3" t="s">
        <v>26</v>
      </c>
      <c r="C2017" s="3">
        <v>1671811</v>
      </c>
      <c r="D2017" s="3">
        <v>235183</v>
      </c>
      <c r="E2017" s="3" t="s">
        <v>27</v>
      </c>
      <c r="F2017" s="3">
        <v>975146</v>
      </c>
      <c r="G2017" s="3">
        <v>135626</v>
      </c>
      <c r="H2017" s="3">
        <v>696665</v>
      </c>
      <c r="I2017" s="3">
        <v>99557</v>
      </c>
    </row>
    <row r="2018" spans="1:9">
      <c r="A2018" s="3" t="s">
        <v>2043</v>
      </c>
      <c r="B2018" s="3" t="s">
        <v>26</v>
      </c>
      <c r="C2018" s="3">
        <v>1367842</v>
      </c>
      <c r="D2018" s="3">
        <v>105299</v>
      </c>
      <c r="E2018" s="3" t="s">
        <v>27</v>
      </c>
      <c r="F2018" s="3">
        <v>799002</v>
      </c>
      <c r="G2018" s="3">
        <v>61813</v>
      </c>
      <c r="H2018" s="3">
        <v>568840</v>
      </c>
      <c r="I2018" s="3">
        <v>43486</v>
      </c>
    </row>
    <row r="2019" spans="1:9">
      <c r="A2019" s="3" t="s">
        <v>2044</v>
      </c>
      <c r="B2019" s="3" t="s">
        <v>26</v>
      </c>
      <c r="C2019" s="3">
        <v>1214158</v>
      </c>
      <c r="D2019" s="3">
        <v>28099</v>
      </c>
      <c r="E2019" s="3" t="s">
        <v>27</v>
      </c>
      <c r="F2019" s="3">
        <v>642091</v>
      </c>
      <c r="G2019" s="3">
        <v>11438</v>
      </c>
      <c r="H2019" s="3">
        <v>572067</v>
      </c>
      <c r="I2019" s="3">
        <v>16661</v>
      </c>
    </row>
    <row r="2020" spans="1:9">
      <c r="A2020" s="3" t="s">
        <v>2045</v>
      </c>
      <c r="B2020" s="3" t="s">
        <v>26</v>
      </c>
      <c r="C2020" s="3">
        <v>877309</v>
      </c>
      <c r="D2020" s="3">
        <v>11550</v>
      </c>
      <c r="E2020" s="3" t="s">
        <v>27</v>
      </c>
      <c r="F2020" s="3">
        <v>488246</v>
      </c>
      <c r="G2020" s="3">
        <v>9063</v>
      </c>
      <c r="H2020" s="3">
        <v>389063</v>
      </c>
      <c r="I2020" s="3">
        <v>2487</v>
      </c>
    </row>
    <row r="2021" spans="1:9">
      <c r="A2021" s="3" t="s">
        <v>2046</v>
      </c>
      <c r="B2021" s="3" t="s">
        <v>26</v>
      </c>
      <c r="C2021" s="3">
        <v>2109310</v>
      </c>
      <c r="D2021" s="3">
        <v>487812</v>
      </c>
      <c r="E2021" s="3" t="s">
        <v>27</v>
      </c>
      <c r="F2021" s="3">
        <v>1487518</v>
      </c>
      <c r="G2021" s="3">
        <v>314683</v>
      </c>
      <c r="H2021" s="3">
        <v>621792</v>
      </c>
      <c r="I2021" s="3">
        <v>173129</v>
      </c>
    </row>
    <row r="2022" spans="1:9">
      <c r="A2022" s="3" t="s">
        <v>2047</v>
      </c>
      <c r="B2022" s="3" t="s">
        <v>26</v>
      </c>
      <c r="C2022" s="3">
        <v>1970720</v>
      </c>
      <c r="D2022" s="3">
        <v>217848</v>
      </c>
      <c r="E2022" s="3" t="s">
        <v>27</v>
      </c>
      <c r="F2022" s="3">
        <v>1252327</v>
      </c>
      <c r="G2022" s="3">
        <v>152015</v>
      </c>
      <c r="H2022" s="3">
        <v>718393</v>
      </c>
      <c r="I2022" s="3">
        <v>65833</v>
      </c>
    </row>
    <row r="2023" spans="1:9">
      <c r="A2023" s="3" t="s">
        <v>2048</v>
      </c>
      <c r="B2023" s="3" t="s">
        <v>26</v>
      </c>
      <c r="C2023" s="3">
        <v>2260009</v>
      </c>
      <c r="D2023" s="3">
        <v>567287</v>
      </c>
      <c r="E2023" s="3" t="s">
        <v>27</v>
      </c>
      <c r="F2023" s="3">
        <v>1738796</v>
      </c>
      <c r="G2023" s="3">
        <v>446455</v>
      </c>
      <c r="H2023" s="3">
        <v>521213</v>
      </c>
      <c r="I2023" s="3">
        <v>120832</v>
      </c>
    </row>
    <row r="2024" spans="1:9">
      <c r="A2024" s="3" t="s">
        <v>2049</v>
      </c>
      <c r="B2024" s="3" t="s">
        <v>26</v>
      </c>
      <c r="C2024" s="3">
        <v>1050132</v>
      </c>
      <c r="D2024" s="3">
        <v>46105</v>
      </c>
      <c r="E2024" s="3" t="s">
        <v>27</v>
      </c>
      <c r="F2024" s="3">
        <v>592561</v>
      </c>
      <c r="G2024" s="3">
        <v>27515</v>
      </c>
      <c r="H2024" s="3">
        <v>457571</v>
      </c>
      <c r="I2024" s="3">
        <v>18590</v>
      </c>
    </row>
    <row r="2025" spans="1:9">
      <c r="A2025" s="3" t="s">
        <v>2050</v>
      </c>
      <c r="B2025" s="3" t="s">
        <v>26</v>
      </c>
      <c r="C2025" s="3">
        <v>1483605</v>
      </c>
      <c r="D2025" s="3">
        <v>182533</v>
      </c>
      <c r="E2025" s="3" t="s">
        <v>27</v>
      </c>
      <c r="F2025" s="3">
        <v>926527</v>
      </c>
      <c r="G2025" s="3">
        <v>117661</v>
      </c>
      <c r="H2025" s="3">
        <v>557078</v>
      </c>
      <c r="I2025" s="3">
        <v>64872</v>
      </c>
    </row>
    <row r="2026" spans="1:9">
      <c r="A2026" s="3" t="s">
        <v>2051</v>
      </c>
      <c r="B2026" s="3" t="s">
        <v>26</v>
      </c>
      <c r="C2026" s="3">
        <v>2282639</v>
      </c>
      <c r="D2026" s="3">
        <v>412278</v>
      </c>
      <c r="E2026" s="3" t="s">
        <v>27</v>
      </c>
      <c r="F2026" s="3">
        <v>1452957</v>
      </c>
      <c r="G2026" s="3">
        <v>265586</v>
      </c>
      <c r="H2026" s="3">
        <v>829682</v>
      </c>
      <c r="I2026" s="3">
        <v>146692</v>
      </c>
    </row>
    <row r="2027" spans="1:9">
      <c r="A2027" s="3" t="s">
        <v>2052</v>
      </c>
      <c r="B2027" s="3" t="s">
        <v>26</v>
      </c>
      <c r="C2027" s="3">
        <v>25899</v>
      </c>
      <c r="D2027" s="3">
        <v>6912</v>
      </c>
      <c r="E2027" s="3" t="s">
        <v>27</v>
      </c>
      <c r="F2027" s="3">
        <v>23866</v>
      </c>
      <c r="G2027" s="3">
        <v>5939</v>
      </c>
      <c r="H2027" s="3">
        <v>2033</v>
      </c>
      <c r="I2027" s="3">
        <v>973</v>
      </c>
    </row>
    <row r="2028" spans="1:9">
      <c r="A2028" s="3" t="s">
        <v>2053</v>
      </c>
      <c r="B2028" s="3" t="s">
        <v>26</v>
      </c>
      <c r="C2028" s="3">
        <v>1544454</v>
      </c>
      <c r="D2028" s="3">
        <v>149657</v>
      </c>
      <c r="E2028" s="3" t="s">
        <v>27</v>
      </c>
      <c r="F2028" s="3">
        <v>983564</v>
      </c>
      <c r="G2028" s="3">
        <v>94952</v>
      </c>
      <c r="H2028" s="3">
        <v>560890</v>
      </c>
      <c r="I2028" s="3">
        <v>54705</v>
      </c>
    </row>
    <row r="2029" spans="1:9">
      <c r="A2029" s="3" t="s">
        <v>2054</v>
      </c>
      <c r="B2029" s="3" t="s">
        <v>26</v>
      </c>
      <c r="C2029" s="3">
        <v>2414939</v>
      </c>
      <c r="D2029" s="3">
        <v>760909</v>
      </c>
      <c r="E2029" s="3" t="s">
        <v>27</v>
      </c>
      <c r="F2029" s="3">
        <v>2111915</v>
      </c>
      <c r="G2029" s="3">
        <v>641376</v>
      </c>
      <c r="H2029" s="3">
        <v>303024</v>
      </c>
      <c r="I2029" s="3">
        <v>119533</v>
      </c>
    </row>
    <row r="2030" spans="1:9">
      <c r="A2030" s="3" t="s">
        <v>2055</v>
      </c>
      <c r="B2030" s="3" t="s">
        <v>26</v>
      </c>
      <c r="C2030" s="3">
        <v>1814459</v>
      </c>
      <c r="D2030" s="3">
        <v>184653</v>
      </c>
      <c r="E2030" s="3" t="s">
        <v>27</v>
      </c>
      <c r="F2030" s="3">
        <v>1116282</v>
      </c>
      <c r="G2030" s="3">
        <v>112470</v>
      </c>
      <c r="H2030" s="3">
        <v>698177</v>
      </c>
      <c r="I2030" s="3">
        <v>72183</v>
      </c>
    </row>
    <row r="2031" spans="1:9">
      <c r="A2031" s="3" t="s">
        <v>2056</v>
      </c>
      <c r="B2031" s="3" t="s">
        <v>26</v>
      </c>
      <c r="C2031" s="3">
        <v>1334638</v>
      </c>
      <c r="D2031" s="3">
        <v>22007</v>
      </c>
      <c r="E2031" s="3" t="s">
        <v>27</v>
      </c>
      <c r="F2031" s="3">
        <v>645643</v>
      </c>
      <c r="G2031" s="3">
        <v>12346</v>
      </c>
      <c r="H2031" s="3">
        <v>688995</v>
      </c>
      <c r="I2031" s="3">
        <v>9661</v>
      </c>
    </row>
    <row r="2032" spans="1:9">
      <c r="A2032" s="3" t="s">
        <v>2057</v>
      </c>
      <c r="B2032" s="3" t="s">
        <v>26</v>
      </c>
      <c r="C2032" s="3">
        <v>1705899</v>
      </c>
      <c r="D2032" s="3">
        <v>198632</v>
      </c>
      <c r="E2032" s="3" t="s">
        <v>27</v>
      </c>
      <c r="F2032" s="3">
        <v>1088811</v>
      </c>
      <c r="G2032" s="3">
        <v>149708</v>
      </c>
      <c r="H2032" s="3">
        <v>617088</v>
      </c>
      <c r="I2032" s="3">
        <v>48924</v>
      </c>
    </row>
    <row r="2033" spans="1:9">
      <c r="A2033" s="3" t="s">
        <v>2058</v>
      </c>
      <c r="B2033" s="3" t="s">
        <v>26</v>
      </c>
      <c r="C2033" s="3">
        <v>2116647</v>
      </c>
      <c r="D2033" s="3">
        <v>527833</v>
      </c>
      <c r="E2033" s="3" t="s">
        <v>27</v>
      </c>
      <c r="F2033" s="3">
        <v>1688623</v>
      </c>
      <c r="G2033" s="3">
        <v>433481</v>
      </c>
      <c r="H2033" s="3">
        <v>428024</v>
      </c>
      <c r="I2033" s="3">
        <v>94352</v>
      </c>
    </row>
    <row r="2034" spans="1:9">
      <c r="A2034" s="3" t="s">
        <v>2059</v>
      </c>
      <c r="B2034" s="3" t="s">
        <v>26</v>
      </c>
      <c r="C2034" s="3">
        <v>1853044</v>
      </c>
      <c r="D2034" s="3">
        <v>268357</v>
      </c>
      <c r="E2034" s="3" t="s">
        <v>27</v>
      </c>
      <c r="F2034" s="3">
        <v>1244865</v>
      </c>
      <c r="G2034" s="3">
        <v>184526</v>
      </c>
      <c r="H2034" s="3">
        <v>608179</v>
      </c>
      <c r="I2034" s="3">
        <v>83831</v>
      </c>
    </row>
    <row r="2035" spans="1:9">
      <c r="A2035" s="3" t="s">
        <v>2060</v>
      </c>
      <c r="B2035" s="3" t="s">
        <v>26</v>
      </c>
      <c r="C2035" s="3">
        <v>1576085</v>
      </c>
      <c r="D2035" s="3">
        <v>242548</v>
      </c>
      <c r="E2035" s="3" t="s">
        <v>27</v>
      </c>
      <c r="F2035" s="3">
        <v>1223863</v>
      </c>
      <c r="G2035" s="3">
        <v>193765</v>
      </c>
      <c r="H2035" s="3">
        <v>352222</v>
      </c>
      <c r="I2035" s="3">
        <v>48783</v>
      </c>
    </row>
    <row r="2036" spans="1:9">
      <c r="A2036" s="3" t="s">
        <v>2061</v>
      </c>
      <c r="B2036" s="3" t="s">
        <v>26</v>
      </c>
      <c r="C2036" s="3">
        <v>2403969</v>
      </c>
      <c r="D2036" s="3">
        <v>599477</v>
      </c>
      <c r="E2036" s="3" t="s">
        <v>27</v>
      </c>
      <c r="F2036" s="3">
        <v>1706615</v>
      </c>
      <c r="G2036" s="3">
        <v>420564</v>
      </c>
      <c r="H2036" s="3">
        <v>697354</v>
      </c>
      <c r="I2036" s="3">
        <v>178913</v>
      </c>
    </row>
    <row r="2037" spans="1:9">
      <c r="A2037" s="3" t="s">
        <v>2062</v>
      </c>
      <c r="B2037" s="3" t="s">
        <v>26</v>
      </c>
      <c r="C2037" s="3">
        <v>922157</v>
      </c>
      <c r="D2037" s="3">
        <v>18192</v>
      </c>
      <c r="E2037" s="3" t="s">
        <v>27</v>
      </c>
      <c r="F2037" s="3">
        <v>507307</v>
      </c>
      <c r="G2037" s="3">
        <v>12410</v>
      </c>
      <c r="H2037" s="3">
        <v>414850</v>
      </c>
      <c r="I2037" s="3">
        <v>5782</v>
      </c>
    </row>
    <row r="2038" spans="1:9">
      <c r="A2038" s="3" t="s">
        <v>2063</v>
      </c>
      <c r="B2038" s="3" t="s">
        <v>26</v>
      </c>
      <c r="C2038" s="3">
        <v>1547468</v>
      </c>
      <c r="D2038" s="3">
        <v>143635</v>
      </c>
      <c r="E2038" s="3" t="s">
        <v>27</v>
      </c>
      <c r="F2038" s="3">
        <v>1020567</v>
      </c>
      <c r="G2038" s="3">
        <v>82595</v>
      </c>
      <c r="H2038" s="3">
        <v>526901</v>
      </c>
      <c r="I2038" s="3">
        <v>61040</v>
      </c>
    </row>
    <row r="2039" spans="1:9">
      <c r="A2039" s="3" t="s">
        <v>2064</v>
      </c>
      <c r="B2039" s="3" t="s">
        <v>26</v>
      </c>
      <c r="C2039" s="3">
        <v>1634644</v>
      </c>
      <c r="D2039" s="3">
        <v>258411</v>
      </c>
      <c r="E2039" s="3" t="s">
        <v>27</v>
      </c>
      <c r="F2039" s="3">
        <v>1259778</v>
      </c>
      <c r="G2039" s="3">
        <v>197518</v>
      </c>
      <c r="H2039" s="3">
        <v>374866</v>
      </c>
      <c r="I2039" s="3">
        <v>60893</v>
      </c>
    </row>
    <row r="2040" spans="1:9">
      <c r="A2040" s="3" t="s">
        <v>2065</v>
      </c>
      <c r="B2040" s="3" t="s">
        <v>26</v>
      </c>
      <c r="C2040" s="3">
        <v>1402017</v>
      </c>
      <c r="D2040" s="3">
        <v>28933</v>
      </c>
      <c r="E2040" s="3" t="s">
        <v>27</v>
      </c>
      <c r="F2040" s="3">
        <v>778835</v>
      </c>
      <c r="G2040" s="3">
        <v>17749</v>
      </c>
      <c r="H2040" s="3">
        <v>623182</v>
      </c>
      <c r="I2040" s="3">
        <v>11184</v>
      </c>
    </row>
    <row r="2041" spans="1:9">
      <c r="A2041" s="3" t="s">
        <v>2066</v>
      </c>
      <c r="B2041" s="3" t="s">
        <v>26</v>
      </c>
      <c r="C2041" s="3">
        <v>2683524</v>
      </c>
      <c r="D2041" s="3">
        <v>832608</v>
      </c>
      <c r="E2041" s="3" t="s">
        <v>27</v>
      </c>
      <c r="F2041" s="3">
        <v>2060004</v>
      </c>
      <c r="G2041" s="3">
        <v>654349</v>
      </c>
      <c r="H2041" s="3">
        <v>623520</v>
      </c>
      <c r="I2041" s="3">
        <v>178259</v>
      </c>
    </row>
    <row r="2042" spans="1:9">
      <c r="A2042" s="3" t="s">
        <v>2067</v>
      </c>
      <c r="B2042" s="3" t="s">
        <v>26</v>
      </c>
      <c r="C2042" s="3">
        <v>1657283</v>
      </c>
      <c r="D2042" s="3">
        <v>175376</v>
      </c>
      <c r="E2042" s="3" t="s">
        <v>27</v>
      </c>
      <c r="F2042" s="3">
        <v>1033378</v>
      </c>
      <c r="G2042" s="3">
        <v>110764</v>
      </c>
      <c r="H2042" s="3">
        <v>623905</v>
      </c>
      <c r="I2042" s="3">
        <v>64612</v>
      </c>
    </row>
    <row r="2043" spans="1:9">
      <c r="A2043" s="3" t="s">
        <v>2068</v>
      </c>
      <c r="B2043" s="3" t="s">
        <v>26</v>
      </c>
      <c r="C2043" s="3">
        <v>1671259</v>
      </c>
      <c r="D2043" s="3">
        <v>89267</v>
      </c>
      <c r="E2043" s="3" t="s">
        <v>27</v>
      </c>
      <c r="F2043" s="3">
        <v>893454</v>
      </c>
      <c r="G2043" s="3">
        <v>49692</v>
      </c>
      <c r="H2043" s="3">
        <v>777805</v>
      </c>
      <c r="I2043" s="3">
        <v>39575</v>
      </c>
    </row>
    <row r="2044" spans="1:9">
      <c r="A2044" s="3" t="s">
        <v>2069</v>
      </c>
      <c r="B2044" s="3" t="s">
        <v>26</v>
      </c>
      <c r="C2044" s="3">
        <v>912208</v>
      </c>
      <c r="D2044" s="3">
        <v>9215</v>
      </c>
      <c r="E2044" s="3" t="s">
        <v>27</v>
      </c>
      <c r="F2044" s="3">
        <v>497037</v>
      </c>
      <c r="G2044" s="3">
        <v>6438</v>
      </c>
      <c r="H2044" s="3">
        <v>415171</v>
      </c>
      <c r="I2044" s="3">
        <v>2777</v>
      </c>
    </row>
    <row r="2045" spans="1:9">
      <c r="A2045" s="3" t="s">
        <v>2070</v>
      </c>
      <c r="B2045" s="3" t="s">
        <v>26</v>
      </c>
      <c r="C2045" s="3">
        <v>1235368</v>
      </c>
      <c r="D2045" s="3">
        <v>240144</v>
      </c>
      <c r="E2045" s="3" t="s">
        <v>27</v>
      </c>
      <c r="F2045" s="3">
        <v>946992</v>
      </c>
      <c r="G2045" s="3">
        <v>164673</v>
      </c>
      <c r="H2045" s="3">
        <v>288376</v>
      </c>
      <c r="I2045" s="3">
        <v>75471</v>
      </c>
    </row>
    <row r="2046" spans="1:9">
      <c r="A2046" s="3" t="s">
        <v>2071</v>
      </c>
      <c r="B2046" s="3" t="s">
        <v>26</v>
      </c>
      <c r="C2046" s="3">
        <v>1834043</v>
      </c>
      <c r="D2046" s="3">
        <v>163518</v>
      </c>
      <c r="E2046" s="3" t="s">
        <v>27</v>
      </c>
      <c r="F2046" s="3">
        <v>1099089</v>
      </c>
      <c r="G2046" s="3">
        <v>100210</v>
      </c>
      <c r="H2046" s="3">
        <v>734954</v>
      </c>
      <c r="I2046" s="3">
        <v>63308</v>
      </c>
    </row>
    <row r="2047" spans="1:9">
      <c r="A2047" s="3" t="s">
        <v>2072</v>
      </c>
      <c r="B2047" s="3" t="s">
        <v>26</v>
      </c>
      <c r="C2047" s="3">
        <v>1301650</v>
      </c>
      <c r="D2047" s="3">
        <v>90378</v>
      </c>
      <c r="E2047" s="3" t="s">
        <v>27</v>
      </c>
      <c r="F2047" s="3">
        <v>714778</v>
      </c>
      <c r="G2047" s="3">
        <v>52749</v>
      </c>
      <c r="H2047" s="3">
        <v>586872</v>
      </c>
      <c r="I2047" s="3">
        <v>37629</v>
      </c>
    </row>
    <row r="2048" spans="1:9">
      <c r="A2048" s="3" t="s">
        <v>2073</v>
      </c>
      <c r="B2048" s="3" t="s">
        <v>26</v>
      </c>
      <c r="C2048" s="3">
        <v>2738120</v>
      </c>
      <c r="D2048" s="3">
        <v>857279</v>
      </c>
      <c r="E2048" s="3" t="s">
        <v>27</v>
      </c>
      <c r="F2048" s="3">
        <v>1899465</v>
      </c>
      <c r="G2048" s="3">
        <v>571010</v>
      </c>
      <c r="H2048" s="3">
        <v>838655</v>
      </c>
      <c r="I2048" s="3">
        <v>286269</v>
      </c>
    </row>
    <row r="2049" spans="1:9">
      <c r="A2049" s="3" t="s">
        <v>2074</v>
      </c>
      <c r="B2049" s="3" t="s">
        <v>26</v>
      </c>
      <c r="C2049" s="3">
        <v>2603565</v>
      </c>
      <c r="D2049" s="3">
        <v>911304</v>
      </c>
      <c r="E2049" s="3" t="s">
        <v>27</v>
      </c>
      <c r="F2049" s="3">
        <v>2131525</v>
      </c>
      <c r="G2049" s="3">
        <v>732106</v>
      </c>
      <c r="H2049" s="3">
        <v>472040</v>
      </c>
      <c r="I2049" s="3">
        <v>179198</v>
      </c>
    </row>
    <row r="2050" spans="1:9">
      <c r="A2050" s="3" t="s">
        <v>2075</v>
      </c>
      <c r="B2050" s="3" t="s">
        <v>26</v>
      </c>
      <c r="C2050" s="3">
        <v>1781327</v>
      </c>
      <c r="D2050" s="3">
        <v>314943</v>
      </c>
      <c r="E2050" s="3" t="s">
        <v>27</v>
      </c>
      <c r="F2050" s="3">
        <v>1074270</v>
      </c>
      <c r="G2050" s="3">
        <v>187955</v>
      </c>
      <c r="H2050" s="3">
        <v>707057</v>
      </c>
      <c r="I2050" s="3">
        <v>126988</v>
      </c>
    </row>
    <row r="2051" spans="1:9">
      <c r="A2051" s="3" t="s">
        <v>2076</v>
      </c>
      <c r="B2051" s="3" t="s">
        <v>26</v>
      </c>
      <c r="C2051" s="3">
        <v>1228303</v>
      </c>
      <c r="D2051" s="3">
        <v>35013</v>
      </c>
      <c r="E2051" s="3" t="s">
        <v>27</v>
      </c>
      <c r="F2051" s="3">
        <v>485879</v>
      </c>
      <c r="G2051" s="3">
        <v>19337</v>
      </c>
      <c r="H2051" s="3">
        <v>742424</v>
      </c>
      <c r="I2051" s="3">
        <v>15676</v>
      </c>
    </row>
    <row r="2052" spans="1:9">
      <c r="A2052" s="3" t="s">
        <v>2077</v>
      </c>
      <c r="B2052" s="3" t="s">
        <v>26</v>
      </c>
      <c r="C2052" s="3">
        <v>1408283</v>
      </c>
      <c r="D2052" s="3">
        <v>283557</v>
      </c>
      <c r="E2052" s="3" t="s">
        <v>27</v>
      </c>
      <c r="F2052" s="3">
        <v>1055955</v>
      </c>
      <c r="G2052" s="3">
        <v>197142</v>
      </c>
      <c r="H2052" s="3">
        <v>352328</v>
      </c>
      <c r="I2052" s="3">
        <v>86415</v>
      </c>
    </row>
    <row r="2053" spans="1:9">
      <c r="A2053" s="3" t="s">
        <v>2078</v>
      </c>
      <c r="B2053" s="3" t="s">
        <v>26</v>
      </c>
      <c r="C2053" s="3">
        <v>2182146</v>
      </c>
      <c r="D2053" s="3">
        <v>512934</v>
      </c>
      <c r="E2053" s="3" t="s">
        <v>27</v>
      </c>
      <c r="F2053" s="3">
        <v>1757607</v>
      </c>
      <c r="G2053" s="3">
        <v>384948</v>
      </c>
      <c r="H2053" s="3">
        <v>424539</v>
      </c>
      <c r="I2053" s="3">
        <v>127986</v>
      </c>
    </row>
    <row r="2054" spans="1:9">
      <c r="A2054" s="3" t="s">
        <v>2079</v>
      </c>
      <c r="B2054" s="3" t="s">
        <v>26</v>
      </c>
      <c r="C2054" s="3">
        <v>855236</v>
      </c>
      <c r="D2054" s="3">
        <v>7079</v>
      </c>
      <c r="E2054" s="3" t="s">
        <v>27</v>
      </c>
      <c r="F2054" s="3">
        <v>459948</v>
      </c>
      <c r="G2054" s="3">
        <v>3031</v>
      </c>
      <c r="H2054" s="3">
        <v>395288</v>
      </c>
      <c r="I2054" s="3">
        <v>4048</v>
      </c>
    </row>
    <row r="2055" spans="1:9">
      <c r="A2055" s="3" t="s">
        <v>2080</v>
      </c>
      <c r="B2055" s="3" t="s">
        <v>26</v>
      </c>
      <c r="C2055" s="3">
        <v>992895</v>
      </c>
      <c r="D2055" s="3">
        <v>10626</v>
      </c>
      <c r="E2055" s="3" t="s">
        <v>27</v>
      </c>
      <c r="F2055" s="3">
        <v>527509</v>
      </c>
      <c r="G2055" s="3">
        <v>5658</v>
      </c>
      <c r="H2055" s="3">
        <v>465386</v>
      </c>
      <c r="I2055" s="3">
        <v>4968</v>
      </c>
    </row>
    <row r="2056" spans="1:9">
      <c r="A2056" s="3" t="s">
        <v>2081</v>
      </c>
      <c r="B2056" s="3" t="s">
        <v>26</v>
      </c>
      <c r="C2056" s="3">
        <v>2448886</v>
      </c>
      <c r="D2056" s="3">
        <v>816830</v>
      </c>
      <c r="E2056" s="3" t="s">
        <v>27</v>
      </c>
      <c r="F2056" s="3">
        <v>1749980</v>
      </c>
      <c r="G2056" s="3">
        <v>565905</v>
      </c>
      <c r="H2056" s="3">
        <v>698906</v>
      </c>
      <c r="I2056" s="3">
        <v>250925</v>
      </c>
    </row>
    <row r="2057" spans="1:9">
      <c r="A2057" s="3" t="s">
        <v>2082</v>
      </c>
      <c r="B2057" s="3" t="s">
        <v>26</v>
      </c>
      <c r="C2057" s="3">
        <v>2086050</v>
      </c>
      <c r="D2057" s="3">
        <v>527677</v>
      </c>
      <c r="E2057" s="3" t="s">
        <v>27</v>
      </c>
      <c r="F2057" s="3">
        <v>1365864</v>
      </c>
      <c r="G2057" s="3">
        <v>339039</v>
      </c>
      <c r="H2057" s="3">
        <v>720186</v>
      </c>
      <c r="I2057" s="3">
        <v>188638</v>
      </c>
    </row>
    <row r="2058" spans="1:9">
      <c r="A2058" s="3" t="s">
        <v>2083</v>
      </c>
      <c r="B2058" s="3" t="s">
        <v>26</v>
      </c>
      <c r="C2058" s="3">
        <v>2027167</v>
      </c>
      <c r="D2058" s="3">
        <v>586186</v>
      </c>
      <c r="E2058" s="3" t="s">
        <v>27</v>
      </c>
      <c r="F2058" s="3">
        <v>1605303</v>
      </c>
      <c r="G2058" s="3">
        <v>441257</v>
      </c>
      <c r="H2058" s="3">
        <v>421864</v>
      </c>
      <c r="I2058" s="3">
        <v>144929</v>
      </c>
    </row>
    <row r="2059" spans="1:9">
      <c r="A2059" s="3" t="s">
        <v>2084</v>
      </c>
      <c r="B2059" s="3" t="s">
        <v>26</v>
      </c>
      <c r="C2059" s="3">
        <v>1663241</v>
      </c>
      <c r="D2059" s="3">
        <v>282009</v>
      </c>
      <c r="E2059" s="3" t="s">
        <v>27</v>
      </c>
      <c r="F2059" s="3">
        <v>1071577</v>
      </c>
      <c r="G2059" s="3">
        <v>205978</v>
      </c>
      <c r="H2059" s="3">
        <v>591664</v>
      </c>
      <c r="I2059" s="3">
        <v>76031</v>
      </c>
    </row>
    <row r="2060" spans="1:9">
      <c r="A2060" s="3" t="s">
        <v>2085</v>
      </c>
      <c r="B2060" s="3" t="s">
        <v>26</v>
      </c>
      <c r="C2060" s="3">
        <v>2216231</v>
      </c>
      <c r="D2060" s="3">
        <v>614950</v>
      </c>
      <c r="E2060" s="3" t="s">
        <v>27</v>
      </c>
      <c r="F2060" s="3">
        <v>1883088</v>
      </c>
      <c r="G2060" s="3">
        <v>498623</v>
      </c>
      <c r="H2060" s="3">
        <v>333143</v>
      </c>
      <c r="I2060" s="3">
        <v>116327</v>
      </c>
    </row>
    <row r="2061" spans="1:9">
      <c r="A2061" s="3" t="s">
        <v>2086</v>
      </c>
      <c r="B2061" s="3" t="s">
        <v>26</v>
      </c>
      <c r="C2061" s="3">
        <v>1357953</v>
      </c>
      <c r="D2061" s="3">
        <v>11087</v>
      </c>
      <c r="E2061" s="3" t="s">
        <v>27</v>
      </c>
      <c r="F2061" s="3">
        <v>678407</v>
      </c>
      <c r="G2061" s="3">
        <v>4848</v>
      </c>
      <c r="H2061" s="3">
        <v>679546</v>
      </c>
      <c r="I2061" s="3">
        <v>6239</v>
      </c>
    </row>
    <row r="2062" spans="1:9">
      <c r="A2062" s="3" t="s">
        <v>2087</v>
      </c>
      <c r="B2062" s="3" t="s">
        <v>26</v>
      </c>
      <c r="C2062" s="3">
        <v>1923326</v>
      </c>
      <c r="D2062" s="3">
        <v>174992</v>
      </c>
      <c r="E2062" s="3" t="s">
        <v>27</v>
      </c>
      <c r="F2062" s="3">
        <v>1039717</v>
      </c>
      <c r="G2062" s="3">
        <v>99190</v>
      </c>
      <c r="H2062" s="3">
        <v>883609</v>
      </c>
      <c r="I2062" s="3">
        <v>75802</v>
      </c>
    </row>
    <row r="2063" spans="1:9">
      <c r="A2063" s="3" t="s">
        <v>2088</v>
      </c>
      <c r="B2063" s="3" t="s">
        <v>26</v>
      </c>
      <c r="C2063" s="3">
        <v>2121980</v>
      </c>
      <c r="D2063" s="3">
        <v>703576</v>
      </c>
      <c r="E2063" s="3" t="s">
        <v>27</v>
      </c>
      <c r="F2063" s="3">
        <v>1613223</v>
      </c>
      <c r="G2063" s="3">
        <v>519062</v>
      </c>
      <c r="H2063" s="3">
        <v>508757</v>
      </c>
      <c r="I2063" s="3">
        <v>184514</v>
      </c>
    </row>
    <row r="2064" spans="1:9">
      <c r="A2064" s="3" t="s">
        <v>2089</v>
      </c>
      <c r="B2064" s="3" t="s">
        <v>26</v>
      </c>
      <c r="C2064" s="3">
        <v>2181931</v>
      </c>
      <c r="D2064" s="3">
        <v>560117</v>
      </c>
      <c r="E2064" s="3" t="s">
        <v>27</v>
      </c>
      <c r="F2064" s="3">
        <v>1465772</v>
      </c>
      <c r="G2064" s="3">
        <v>368053</v>
      </c>
      <c r="H2064" s="3">
        <v>716159</v>
      </c>
      <c r="I2064" s="3">
        <v>192064</v>
      </c>
    </row>
    <row r="2065" spans="1:9">
      <c r="A2065" s="3" t="s">
        <v>2090</v>
      </c>
      <c r="B2065" s="3" t="s">
        <v>26</v>
      </c>
      <c r="C2065" s="3">
        <v>2660007</v>
      </c>
      <c r="D2065" s="3">
        <v>944379</v>
      </c>
      <c r="E2065" s="3" t="s">
        <v>27</v>
      </c>
      <c r="F2065" s="3">
        <v>2088053</v>
      </c>
      <c r="G2065" s="3">
        <v>733790</v>
      </c>
      <c r="H2065" s="3">
        <v>571954</v>
      </c>
      <c r="I2065" s="3">
        <v>210589</v>
      </c>
    </row>
    <row r="2066" spans="1:9">
      <c r="A2066" s="3" t="s">
        <v>2091</v>
      </c>
      <c r="B2066" s="3" t="s">
        <v>26</v>
      </c>
      <c r="C2066" s="3">
        <v>1168463</v>
      </c>
      <c r="D2066" s="3">
        <v>4570</v>
      </c>
      <c r="E2066" s="3" t="s">
        <v>27</v>
      </c>
      <c r="F2066" s="3">
        <v>409066</v>
      </c>
      <c r="G2066" s="3">
        <v>2279</v>
      </c>
      <c r="H2066" s="3">
        <v>759397</v>
      </c>
      <c r="I2066" s="3">
        <v>2291</v>
      </c>
    </row>
    <row r="2067" spans="1:9">
      <c r="A2067" s="3" t="s">
        <v>2092</v>
      </c>
      <c r="B2067" s="3" t="s">
        <v>26</v>
      </c>
      <c r="C2067" s="3">
        <v>2132500</v>
      </c>
      <c r="D2067" s="3">
        <v>680731</v>
      </c>
      <c r="E2067" s="3" t="s">
        <v>27</v>
      </c>
      <c r="F2067" s="3">
        <v>1547339</v>
      </c>
      <c r="G2067" s="3">
        <v>467793</v>
      </c>
      <c r="H2067" s="3">
        <v>585161</v>
      </c>
      <c r="I2067" s="3">
        <v>212938</v>
      </c>
    </row>
    <row r="2068" spans="1:9">
      <c r="A2068" s="3" t="s">
        <v>2093</v>
      </c>
      <c r="B2068" s="3" t="s">
        <v>26</v>
      </c>
      <c r="C2068" s="3">
        <v>2548482</v>
      </c>
      <c r="D2068" s="3">
        <v>756105</v>
      </c>
      <c r="E2068" s="3" t="s">
        <v>27</v>
      </c>
      <c r="F2068" s="3">
        <v>1804296</v>
      </c>
      <c r="G2068" s="3">
        <v>545640</v>
      </c>
      <c r="H2068" s="3">
        <v>744186</v>
      </c>
      <c r="I2068" s="3">
        <v>210465</v>
      </c>
    </row>
    <row r="2069" spans="1:9">
      <c r="A2069" s="3" t="s">
        <v>2094</v>
      </c>
      <c r="B2069" s="3" t="s">
        <v>26</v>
      </c>
      <c r="C2069" s="3">
        <v>1873756</v>
      </c>
      <c r="D2069" s="3">
        <v>585988</v>
      </c>
      <c r="E2069" s="3" t="s">
        <v>27</v>
      </c>
      <c r="F2069" s="3">
        <v>1483925</v>
      </c>
      <c r="G2069" s="3">
        <v>440932</v>
      </c>
      <c r="H2069" s="3">
        <v>389831</v>
      </c>
      <c r="I2069" s="3">
        <v>145056</v>
      </c>
    </row>
    <row r="2070" spans="1:9">
      <c r="A2070" s="3" t="s">
        <v>2095</v>
      </c>
      <c r="B2070" s="3" t="s">
        <v>26</v>
      </c>
      <c r="C2070" s="3">
        <v>1554734</v>
      </c>
      <c r="D2070" s="3">
        <v>33527</v>
      </c>
      <c r="E2070" s="3" t="s">
        <v>27</v>
      </c>
      <c r="F2070" s="3">
        <v>783402</v>
      </c>
      <c r="G2070" s="3">
        <v>14830</v>
      </c>
      <c r="H2070" s="3">
        <v>771332</v>
      </c>
      <c r="I2070" s="3">
        <v>18697</v>
      </c>
    </row>
    <row r="2071" spans="1:9">
      <c r="A2071" s="3" t="s">
        <v>2096</v>
      </c>
      <c r="B2071" s="3" t="s">
        <v>26</v>
      </c>
      <c r="C2071" s="3">
        <v>2109314</v>
      </c>
      <c r="D2071" s="3">
        <v>582658</v>
      </c>
      <c r="E2071" s="3" t="s">
        <v>27</v>
      </c>
      <c r="F2071" s="3">
        <v>1485280</v>
      </c>
      <c r="G2071" s="3">
        <v>384095</v>
      </c>
      <c r="H2071" s="3">
        <v>624034</v>
      </c>
      <c r="I2071" s="3">
        <v>198563</v>
      </c>
    </row>
    <row r="2072" spans="1:9">
      <c r="A2072" s="3" t="s">
        <v>2097</v>
      </c>
      <c r="B2072" s="3" t="s">
        <v>26</v>
      </c>
      <c r="C2072" s="3">
        <v>1506220</v>
      </c>
      <c r="D2072" s="3">
        <v>134090</v>
      </c>
      <c r="E2072" s="3" t="s">
        <v>27</v>
      </c>
      <c r="F2072" s="3">
        <v>841580</v>
      </c>
      <c r="G2072" s="3">
        <v>80266</v>
      </c>
      <c r="H2072" s="3">
        <v>664640</v>
      </c>
      <c r="I2072" s="3">
        <v>53824</v>
      </c>
    </row>
    <row r="2073" spans="1:9">
      <c r="A2073" s="3" t="s">
        <v>2098</v>
      </c>
      <c r="B2073" s="3" t="s">
        <v>26</v>
      </c>
      <c r="C2073" s="3">
        <v>1840004</v>
      </c>
      <c r="D2073" s="3">
        <v>344918</v>
      </c>
      <c r="E2073" s="3" t="s">
        <v>27</v>
      </c>
      <c r="F2073" s="3">
        <v>1122576</v>
      </c>
      <c r="G2073" s="3">
        <v>211719</v>
      </c>
      <c r="H2073" s="3">
        <v>717428</v>
      </c>
      <c r="I2073" s="3">
        <v>133199</v>
      </c>
    </row>
    <row r="2074" spans="1:9">
      <c r="A2074" s="3" t="s">
        <v>2099</v>
      </c>
      <c r="B2074" s="3" t="s">
        <v>26</v>
      </c>
      <c r="C2074" s="3">
        <v>2224361</v>
      </c>
      <c r="D2074" s="3">
        <v>576593</v>
      </c>
      <c r="E2074" s="3" t="s">
        <v>27</v>
      </c>
      <c r="F2074" s="3">
        <v>1521509</v>
      </c>
      <c r="G2074" s="3">
        <v>370583</v>
      </c>
      <c r="H2074" s="3">
        <v>702852</v>
      </c>
      <c r="I2074" s="3">
        <v>206010</v>
      </c>
    </row>
    <row r="2075" spans="1:9">
      <c r="A2075" s="3" t="s">
        <v>2100</v>
      </c>
      <c r="B2075" s="3" t="s">
        <v>26</v>
      </c>
      <c r="C2075" s="3">
        <v>2026282</v>
      </c>
      <c r="D2075" s="3">
        <v>496551</v>
      </c>
      <c r="E2075" s="3" t="s">
        <v>27</v>
      </c>
      <c r="F2075" s="3">
        <v>1459965</v>
      </c>
      <c r="G2075" s="3">
        <v>340982</v>
      </c>
      <c r="H2075" s="3">
        <v>566317</v>
      </c>
      <c r="I2075" s="3">
        <v>155569</v>
      </c>
    </row>
    <row r="2076" spans="1:9">
      <c r="A2076" s="3" t="s">
        <v>2101</v>
      </c>
      <c r="B2076" s="3" t="s">
        <v>26</v>
      </c>
      <c r="C2076" s="3">
        <v>541746</v>
      </c>
      <c r="D2076" s="3">
        <v>66535</v>
      </c>
      <c r="E2076" s="3" t="s">
        <v>27</v>
      </c>
      <c r="F2076" s="3">
        <v>455517</v>
      </c>
      <c r="G2076" s="3">
        <v>49094</v>
      </c>
      <c r="H2076" s="3">
        <v>86229</v>
      </c>
      <c r="I2076" s="3">
        <v>17441</v>
      </c>
    </row>
    <row r="2077" spans="1:9">
      <c r="A2077" s="3" t="s">
        <v>2102</v>
      </c>
      <c r="B2077" s="3" t="s">
        <v>26</v>
      </c>
      <c r="C2077" s="3">
        <v>1511917</v>
      </c>
      <c r="D2077" s="3">
        <v>14886</v>
      </c>
      <c r="E2077" s="3" t="s">
        <v>27</v>
      </c>
      <c r="F2077" s="3">
        <v>797653</v>
      </c>
      <c r="G2077" s="3">
        <v>6070</v>
      </c>
      <c r="H2077" s="3">
        <v>714264</v>
      </c>
      <c r="I2077" s="3">
        <v>8816</v>
      </c>
    </row>
    <row r="2078" spans="1:9">
      <c r="A2078" s="3" t="s">
        <v>2103</v>
      </c>
      <c r="B2078" s="3" t="s">
        <v>26</v>
      </c>
      <c r="C2078" s="3">
        <v>2194078</v>
      </c>
      <c r="D2078" s="3">
        <v>621234</v>
      </c>
      <c r="E2078" s="3" t="s">
        <v>27</v>
      </c>
      <c r="F2078" s="3">
        <v>1418830</v>
      </c>
      <c r="G2078" s="3">
        <v>409420</v>
      </c>
      <c r="H2078" s="3">
        <v>775248</v>
      </c>
      <c r="I2078" s="3">
        <v>211814</v>
      </c>
    </row>
    <row r="2079" spans="1:9">
      <c r="A2079" s="3" t="s">
        <v>2104</v>
      </c>
      <c r="B2079" s="3" t="s">
        <v>26</v>
      </c>
      <c r="C2079" s="3">
        <v>2658919</v>
      </c>
      <c r="D2079" s="3">
        <v>601837</v>
      </c>
      <c r="E2079" s="3" t="s">
        <v>27</v>
      </c>
      <c r="F2079" s="3">
        <v>1629226</v>
      </c>
      <c r="G2079" s="3">
        <v>383268</v>
      </c>
      <c r="H2079" s="3">
        <v>1029693</v>
      </c>
      <c r="I2079" s="3">
        <v>218569</v>
      </c>
    </row>
    <row r="2080" spans="1:9">
      <c r="A2080" s="3" t="s">
        <v>2105</v>
      </c>
      <c r="B2080" s="3" t="s">
        <v>26</v>
      </c>
      <c r="C2080" s="3">
        <v>1452690</v>
      </c>
      <c r="D2080" s="3">
        <v>20758</v>
      </c>
      <c r="E2080" s="3" t="s">
        <v>27</v>
      </c>
      <c r="F2080" s="3">
        <v>859991</v>
      </c>
      <c r="G2080" s="3">
        <v>14070</v>
      </c>
      <c r="H2080" s="3">
        <v>592699</v>
      </c>
      <c r="I2080" s="3">
        <v>6688</v>
      </c>
    </row>
    <row r="2081" spans="1:9">
      <c r="A2081" s="3" t="s">
        <v>2106</v>
      </c>
      <c r="B2081" s="3" t="s">
        <v>26</v>
      </c>
      <c r="C2081" s="3">
        <v>1798482</v>
      </c>
      <c r="D2081" s="3">
        <v>24535</v>
      </c>
      <c r="E2081" s="3" t="s">
        <v>27</v>
      </c>
      <c r="F2081" s="3">
        <v>933389</v>
      </c>
      <c r="G2081" s="3">
        <v>13105</v>
      </c>
      <c r="H2081" s="3">
        <v>865093</v>
      </c>
      <c r="I2081" s="3">
        <v>11430</v>
      </c>
    </row>
    <row r="2082" spans="1:9">
      <c r="A2082" s="3" t="s">
        <v>2107</v>
      </c>
      <c r="B2082" s="3" t="s">
        <v>26</v>
      </c>
      <c r="C2082" s="3">
        <v>1054084</v>
      </c>
      <c r="D2082" s="3">
        <v>68336</v>
      </c>
      <c r="E2082" s="3" t="s">
        <v>27</v>
      </c>
      <c r="F2082" s="3">
        <v>762224</v>
      </c>
      <c r="G2082" s="3">
        <v>55587</v>
      </c>
      <c r="H2082" s="3">
        <v>291860</v>
      </c>
      <c r="I2082" s="3">
        <v>12749</v>
      </c>
    </row>
    <row r="2083" spans="1:9">
      <c r="A2083" s="3" t="s">
        <v>2108</v>
      </c>
      <c r="B2083" s="3" t="s">
        <v>26</v>
      </c>
      <c r="C2083" s="3">
        <v>146167</v>
      </c>
      <c r="D2083" s="3">
        <v>14716</v>
      </c>
      <c r="E2083" s="3" t="s">
        <v>27</v>
      </c>
      <c r="F2083" s="3">
        <v>89281</v>
      </c>
      <c r="G2083" s="3">
        <v>9594</v>
      </c>
      <c r="H2083" s="3">
        <v>56886</v>
      </c>
      <c r="I2083" s="3">
        <v>5122</v>
      </c>
    </row>
    <row r="2084" spans="1:9">
      <c r="A2084" s="3" t="s">
        <v>2109</v>
      </c>
      <c r="B2084" s="3" t="s">
        <v>26</v>
      </c>
      <c r="C2084" s="3">
        <v>2181596</v>
      </c>
      <c r="D2084" s="3">
        <v>158412</v>
      </c>
      <c r="E2084" s="3" t="s">
        <v>27</v>
      </c>
      <c r="F2084" s="3">
        <v>1494680</v>
      </c>
      <c r="G2084" s="3">
        <v>125118</v>
      </c>
      <c r="H2084" s="3">
        <v>686916</v>
      </c>
      <c r="I2084" s="3">
        <v>33294</v>
      </c>
    </row>
    <row r="2085" spans="1:9">
      <c r="A2085" s="3" t="s">
        <v>2110</v>
      </c>
      <c r="B2085" s="3" t="s">
        <v>26</v>
      </c>
      <c r="C2085" s="3">
        <v>2913724</v>
      </c>
      <c r="D2085" s="3">
        <v>916785</v>
      </c>
      <c r="E2085" s="3" t="s">
        <v>27</v>
      </c>
      <c r="F2085" s="3">
        <v>2351786</v>
      </c>
      <c r="G2085" s="3">
        <v>750160</v>
      </c>
      <c r="H2085" s="3">
        <v>561938</v>
      </c>
      <c r="I2085" s="3">
        <v>166625</v>
      </c>
    </row>
    <row r="2086" spans="1:9">
      <c r="A2086" s="3" t="s">
        <v>2111</v>
      </c>
      <c r="B2086" s="3" t="s">
        <v>26</v>
      </c>
      <c r="C2086" s="3">
        <v>1348208</v>
      </c>
      <c r="D2086" s="3">
        <v>79371</v>
      </c>
      <c r="E2086" s="3" t="s">
        <v>27</v>
      </c>
      <c r="F2086" s="3">
        <v>835267</v>
      </c>
      <c r="G2086" s="3">
        <v>51221</v>
      </c>
      <c r="H2086" s="3">
        <v>512941</v>
      </c>
      <c r="I2086" s="3">
        <v>28150</v>
      </c>
    </row>
    <row r="2087" spans="1:9">
      <c r="A2087" s="3" t="s">
        <v>2112</v>
      </c>
      <c r="B2087" s="3" t="s">
        <v>26</v>
      </c>
      <c r="C2087" s="3">
        <v>1561388</v>
      </c>
      <c r="D2087" s="3">
        <v>50482</v>
      </c>
      <c r="E2087" s="3" t="s">
        <v>27</v>
      </c>
      <c r="F2087" s="3">
        <v>853700</v>
      </c>
      <c r="G2087" s="3">
        <v>32563</v>
      </c>
      <c r="H2087" s="3">
        <v>707688</v>
      </c>
      <c r="I2087" s="3">
        <v>17919</v>
      </c>
    </row>
    <row r="2088" spans="1:9">
      <c r="A2088" s="3" t="s">
        <v>2113</v>
      </c>
      <c r="B2088" s="3" t="s">
        <v>26</v>
      </c>
      <c r="C2088" s="3">
        <v>1853573</v>
      </c>
      <c r="D2088" s="3">
        <v>227597</v>
      </c>
      <c r="E2088" s="3" t="s">
        <v>27</v>
      </c>
      <c r="F2088" s="3">
        <v>1199032</v>
      </c>
      <c r="G2088" s="3">
        <v>137986</v>
      </c>
      <c r="H2088" s="3">
        <v>654541</v>
      </c>
      <c r="I2088" s="3">
        <v>89611</v>
      </c>
    </row>
    <row r="2089" spans="1:9">
      <c r="A2089" s="3" t="s">
        <v>2114</v>
      </c>
      <c r="B2089" s="3" t="s">
        <v>26</v>
      </c>
      <c r="C2089" s="3">
        <v>2024310</v>
      </c>
      <c r="D2089" s="3">
        <v>284914</v>
      </c>
      <c r="E2089" s="3" t="s">
        <v>27</v>
      </c>
      <c r="F2089" s="3">
        <v>1315183</v>
      </c>
      <c r="G2089" s="3">
        <v>173932</v>
      </c>
      <c r="H2089" s="3">
        <v>709127</v>
      </c>
      <c r="I2089" s="3">
        <v>110982</v>
      </c>
    </row>
    <row r="2090" spans="1:9">
      <c r="A2090" s="3" t="s">
        <v>2115</v>
      </c>
      <c r="B2090" s="3" t="s">
        <v>26</v>
      </c>
      <c r="C2090" s="3">
        <v>1378479</v>
      </c>
      <c r="D2090" s="3">
        <v>92078</v>
      </c>
      <c r="E2090" s="3" t="s">
        <v>27</v>
      </c>
      <c r="F2090" s="3">
        <v>813400</v>
      </c>
      <c r="G2090" s="3">
        <v>61339</v>
      </c>
      <c r="H2090" s="3">
        <v>565079</v>
      </c>
      <c r="I2090" s="3">
        <v>30739</v>
      </c>
    </row>
    <row r="2091" spans="1:9">
      <c r="A2091" s="3" t="s">
        <v>2116</v>
      </c>
      <c r="B2091" s="3" t="s">
        <v>26</v>
      </c>
      <c r="C2091" s="3">
        <v>2308174</v>
      </c>
      <c r="D2091" s="3">
        <v>575590</v>
      </c>
      <c r="E2091" s="3" t="s">
        <v>27</v>
      </c>
      <c r="F2091" s="3">
        <v>1926894</v>
      </c>
      <c r="G2091" s="3">
        <v>451854</v>
      </c>
      <c r="H2091" s="3">
        <v>381280</v>
      </c>
      <c r="I2091" s="3">
        <v>123736</v>
      </c>
    </row>
    <row r="2092" spans="1:9">
      <c r="A2092" s="3" t="s">
        <v>2117</v>
      </c>
      <c r="B2092" s="3" t="s">
        <v>26</v>
      </c>
      <c r="C2092" s="3">
        <v>1966848</v>
      </c>
      <c r="D2092" s="3">
        <v>278920</v>
      </c>
      <c r="E2092" s="3" t="s">
        <v>27</v>
      </c>
      <c r="F2092" s="3">
        <v>1154144</v>
      </c>
      <c r="G2092" s="3">
        <v>169528</v>
      </c>
      <c r="H2092" s="3">
        <v>812704</v>
      </c>
      <c r="I2092" s="3">
        <v>109392</v>
      </c>
    </row>
    <row r="2093" spans="1:9">
      <c r="A2093" s="3" t="s">
        <v>2118</v>
      </c>
      <c r="B2093" s="3" t="s">
        <v>26</v>
      </c>
      <c r="C2093" s="3">
        <v>2173427</v>
      </c>
      <c r="D2093" s="3">
        <v>389033</v>
      </c>
      <c r="E2093" s="3" t="s">
        <v>27</v>
      </c>
      <c r="F2093" s="3">
        <v>1280213</v>
      </c>
      <c r="G2093" s="3">
        <v>227677</v>
      </c>
      <c r="H2093" s="3">
        <v>893214</v>
      </c>
      <c r="I2093" s="3">
        <v>161356</v>
      </c>
    </row>
    <row r="2094" spans="1:9">
      <c r="A2094" s="3" t="s">
        <v>2119</v>
      </c>
      <c r="B2094" s="3" t="s">
        <v>26</v>
      </c>
      <c r="C2094" s="3">
        <v>1520697</v>
      </c>
      <c r="D2094" s="3">
        <v>84512</v>
      </c>
      <c r="E2094" s="3" t="s">
        <v>27</v>
      </c>
      <c r="F2094" s="3">
        <v>1028509</v>
      </c>
      <c r="G2094" s="3">
        <v>60952</v>
      </c>
      <c r="H2094" s="3">
        <v>492188</v>
      </c>
      <c r="I2094" s="3">
        <v>23560</v>
      </c>
    </row>
    <row r="2095" spans="1:9">
      <c r="A2095" s="3" t="s">
        <v>2120</v>
      </c>
      <c r="B2095" s="3" t="s">
        <v>26</v>
      </c>
      <c r="C2095" s="3">
        <v>2019116</v>
      </c>
      <c r="D2095" s="3">
        <v>166087</v>
      </c>
      <c r="E2095" s="3" t="s">
        <v>27</v>
      </c>
      <c r="F2095" s="3">
        <v>1348194</v>
      </c>
      <c r="G2095" s="3">
        <v>129276</v>
      </c>
      <c r="H2095" s="3">
        <v>670922</v>
      </c>
      <c r="I2095" s="3">
        <v>36811</v>
      </c>
    </row>
    <row r="2096" spans="1:9">
      <c r="A2096" s="3" t="s">
        <v>2121</v>
      </c>
      <c r="B2096" s="3" t="s">
        <v>26</v>
      </c>
      <c r="C2096" s="3">
        <v>1685070</v>
      </c>
      <c r="D2096" s="3">
        <v>188470</v>
      </c>
      <c r="E2096" s="3" t="s">
        <v>27</v>
      </c>
      <c r="F2096" s="3">
        <v>1150363</v>
      </c>
      <c r="G2096" s="3">
        <v>146651</v>
      </c>
      <c r="H2096" s="3">
        <v>534707</v>
      </c>
      <c r="I2096" s="3">
        <v>41819</v>
      </c>
    </row>
    <row r="2097" spans="1:9">
      <c r="A2097" s="3" t="s">
        <v>2122</v>
      </c>
      <c r="B2097" s="3" t="s">
        <v>26</v>
      </c>
      <c r="C2097" s="3">
        <v>2675152</v>
      </c>
      <c r="D2097" s="3">
        <v>708908</v>
      </c>
      <c r="E2097" s="3" t="s">
        <v>27</v>
      </c>
      <c r="F2097" s="3">
        <v>2061136</v>
      </c>
      <c r="G2097" s="3">
        <v>560058</v>
      </c>
      <c r="H2097" s="3">
        <v>614016</v>
      </c>
      <c r="I2097" s="3">
        <v>148850</v>
      </c>
    </row>
    <row r="2098" spans="1:9">
      <c r="A2098" s="3" t="s">
        <v>2123</v>
      </c>
      <c r="B2098" s="3" t="s">
        <v>26</v>
      </c>
      <c r="C2098" s="3">
        <v>2909847</v>
      </c>
      <c r="D2098" s="3">
        <v>851244</v>
      </c>
      <c r="E2098" s="3" t="s">
        <v>27</v>
      </c>
      <c r="F2098" s="3">
        <v>2155162</v>
      </c>
      <c r="G2098" s="3">
        <v>601609</v>
      </c>
      <c r="H2098" s="3">
        <v>754685</v>
      </c>
      <c r="I2098" s="3">
        <v>249635</v>
      </c>
    </row>
    <row r="2099" spans="1:9">
      <c r="A2099" s="3" t="s">
        <v>2124</v>
      </c>
      <c r="B2099" s="3" t="s">
        <v>26</v>
      </c>
      <c r="C2099" s="3">
        <v>1258198</v>
      </c>
      <c r="D2099" s="3">
        <v>43730</v>
      </c>
      <c r="E2099" s="3" t="s">
        <v>27</v>
      </c>
      <c r="F2099" s="3">
        <v>705670</v>
      </c>
      <c r="G2099" s="3">
        <v>25199</v>
      </c>
      <c r="H2099" s="3">
        <v>552528</v>
      </c>
      <c r="I2099" s="3">
        <v>18531</v>
      </c>
    </row>
    <row r="2100" spans="1:9">
      <c r="A2100" s="3" t="s">
        <v>2125</v>
      </c>
      <c r="B2100" s="3" t="s">
        <v>26</v>
      </c>
      <c r="C2100" s="3">
        <v>2517596</v>
      </c>
      <c r="D2100" s="3">
        <v>462714</v>
      </c>
      <c r="E2100" s="3" t="s">
        <v>27</v>
      </c>
      <c r="F2100" s="3">
        <v>1555190</v>
      </c>
      <c r="G2100" s="3">
        <v>298816</v>
      </c>
      <c r="H2100" s="3">
        <v>962406</v>
      </c>
      <c r="I2100" s="3">
        <v>163898</v>
      </c>
    </row>
    <row r="2101" spans="1:9">
      <c r="A2101" s="3" t="s">
        <v>2126</v>
      </c>
      <c r="B2101" s="3" t="s">
        <v>26</v>
      </c>
      <c r="C2101" s="3">
        <v>2393859</v>
      </c>
      <c r="D2101" s="3">
        <v>665966</v>
      </c>
      <c r="E2101" s="3" t="s">
        <v>27</v>
      </c>
      <c r="F2101" s="3">
        <v>1838905</v>
      </c>
      <c r="G2101" s="3">
        <v>533979</v>
      </c>
      <c r="H2101" s="3">
        <v>554954</v>
      </c>
      <c r="I2101" s="3">
        <v>131987</v>
      </c>
    </row>
    <row r="2102" spans="1:9">
      <c r="A2102" s="3" t="s">
        <v>2127</v>
      </c>
      <c r="B2102" s="3" t="s">
        <v>26</v>
      </c>
      <c r="C2102" s="3">
        <v>1189749</v>
      </c>
      <c r="D2102" s="3">
        <v>62328</v>
      </c>
      <c r="E2102" s="3" t="s">
        <v>27</v>
      </c>
      <c r="F2102" s="3">
        <v>731247</v>
      </c>
      <c r="G2102" s="3">
        <v>42931</v>
      </c>
      <c r="H2102" s="3">
        <v>458502</v>
      </c>
      <c r="I2102" s="3">
        <v>19397</v>
      </c>
    </row>
    <row r="2103" spans="1:9">
      <c r="A2103" s="3" t="s">
        <v>2128</v>
      </c>
      <c r="B2103" s="3" t="s">
        <v>26</v>
      </c>
      <c r="C2103" s="3">
        <v>2728504</v>
      </c>
      <c r="D2103" s="3">
        <v>757115</v>
      </c>
      <c r="E2103" s="3" t="s">
        <v>27</v>
      </c>
      <c r="F2103" s="3">
        <v>2155265</v>
      </c>
      <c r="G2103" s="3">
        <v>580171</v>
      </c>
      <c r="H2103" s="3">
        <v>573239</v>
      </c>
      <c r="I2103" s="3">
        <v>176944</v>
      </c>
    </row>
    <row r="2104" spans="1:9">
      <c r="A2104" s="3" t="s">
        <v>2129</v>
      </c>
      <c r="B2104" s="3" t="s">
        <v>26</v>
      </c>
      <c r="C2104" s="3">
        <v>2431630</v>
      </c>
      <c r="D2104" s="3">
        <v>567922</v>
      </c>
      <c r="E2104" s="3" t="s">
        <v>27</v>
      </c>
      <c r="F2104" s="3">
        <v>1865378</v>
      </c>
      <c r="G2104" s="3">
        <v>454679</v>
      </c>
      <c r="H2104" s="3">
        <v>566252</v>
      </c>
      <c r="I2104" s="3">
        <v>113243</v>
      </c>
    </row>
    <row r="2105" spans="1:9">
      <c r="A2105" s="3" t="s">
        <v>2130</v>
      </c>
      <c r="B2105" s="3" t="s">
        <v>26</v>
      </c>
      <c r="C2105" s="3">
        <v>1856641</v>
      </c>
      <c r="D2105" s="3">
        <v>38770</v>
      </c>
      <c r="E2105" s="3" t="s">
        <v>27</v>
      </c>
      <c r="F2105" s="3">
        <v>981891</v>
      </c>
      <c r="G2105" s="3">
        <v>24169</v>
      </c>
      <c r="H2105" s="3">
        <v>874750</v>
      </c>
      <c r="I2105" s="3">
        <v>14601</v>
      </c>
    </row>
    <row r="2106" spans="1:9">
      <c r="A2106" s="3" t="s">
        <v>2131</v>
      </c>
      <c r="B2106" s="3" t="s">
        <v>26</v>
      </c>
      <c r="C2106" s="3">
        <v>1443448</v>
      </c>
      <c r="D2106" s="3">
        <v>5165</v>
      </c>
      <c r="E2106" s="3" t="s">
        <v>27</v>
      </c>
      <c r="F2106" s="3">
        <v>501878</v>
      </c>
      <c r="G2106" s="3">
        <v>431</v>
      </c>
      <c r="H2106" s="3">
        <v>941570</v>
      </c>
      <c r="I2106" s="3">
        <v>4734</v>
      </c>
    </row>
    <row r="2107" spans="1:9">
      <c r="A2107" s="3" t="s">
        <v>2132</v>
      </c>
      <c r="B2107" s="3" t="s">
        <v>26</v>
      </c>
      <c r="C2107" s="3">
        <v>667318</v>
      </c>
      <c r="D2107" s="3">
        <v>117196</v>
      </c>
      <c r="E2107" s="3" t="s">
        <v>27</v>
      </c>
      <c r="F2107" s="3">
        <v>556724</v>
      </c>
      <c r="G2107" s="3">
        <v>89740</v>
      </c>
      <c r="H2107" s="3">
        <v>110594</v>
      </c>
      <c r="I2107" s="3">
        <v>27456</v>
      </c>
    </row>
    <row r="2108" spans="1:9">
      <c r="A2108" s="3" t="s">
        <v>2133</v>
      </c>
      <c r="B2108" s="3" t="s">
        <v>26</v>
      </c>
      <c r="C2108" s="3">
        <v>2055666</v>
      </c>
      <c r="D2108" s="3">
        <v>232604</v>
      </c>
      <c r="E2108" s="3" t="s">
        <v>27</v>
      </c>
      <c r="F2108" s="3">
        <v>1234454</v>
      </c>
      <c r="G2108" s="3">
        <v>151049</v>
      </c>
      <c r="H2108" s="3">
        <v>821212</v>
      </c>
      <c r="I2108" s="3">
        <v>81555</v>
      </c>
    </row>
    <row r="2109" spans="1:9">
      <c r="A2109" s="3" t="s">
        <v>2134</v>
      </c>
      <c r="B2109" s="3" t="s">
        <v>26</v>
      </c>
      <c r="C2109" s="3">
        <v>2077152</v>
      </c>
      <c r="D2109" s="3">
        <v>392215</v>
      </c>
      <c r="E2109" s="3" t="s">
        <v>27</v>
      </c>
      <c r="F2109" s="3">
        <v>1404677</v>
      </c>
      <c r="G2109" s="3">
        <v>264614</v>
      </c>
      <c r="H2109" s="3">
        <v>672475</v>
      </c>
      <c r="I2109" s="3">
        <v>127601</v>
      </c>
    </row>
    <row r="2110" spans="1:9">
      <c r="A2110" s="3" t="s">
        <v>2135</v>
      </c>
      <c r="B2110" s="3" t="s">
        <v>26</v>
      </c>
      <c r="C2110" s="3">
        <v>1522874</v>
      </c>
      <c r="D2110" s="3">
        <v>86602</v>
      </c>
      <c r="E2110" s="3" t="s">
        <v>27</v>
      </c>
      <c r="F2110" s="3">
        <v>1104563</v>
      </c>
      <c r="G2110" s="3">
        <v>50043</v>
      </c>
      <c r="H2110" s="3">
        <v>418311</v>
      </c>
      <c r="I2110" s="3">
        <v>36559</v>
      </c>
    </row>
    <row r="2111" spans="1:9">
      <c r="A2111" s="3" t="s">
        <v>2136</v>
      </c>
      <c r="B2111" s="3" t="s">
        <v>26</v>
      </c>
      <c r="C2111" s="3">
        <v>2589928</v>
      </c>
      <c r="D2111" s="3">
        <v>394195</v>
      </c>
      <c r="E2111" s="3" t="s">
        <v>27</v>
      </c>
      <c r="F2111" s="3">
        <v>1592212</v>
      </c>
      <c r="G2111" s="3">
        <v>249599</v>
      </c>
      <c r="H2111" s="3">
        <v>997716</v>
      </c>
      <c r="I2111" s="3">
        <v>144596</v>
      </c>
    </row>
    <row r="2112" spans="1:9">
      <c r="A2112" s="3" t="s">
        <v>2137</v>
      </c>
      <c r="B2112" s="3" t="s">
        <v>26</v>
      </c>
      <c r="C2112" s="3">
        <v>1433315</v>
      </c>
      <c r="D2112" s="3">
        <v>23768</v>
      </c>
      <c r="E2112" s="3" t="s">
        <v>27</v>
      </c>
      <c r="F2112" s="3">
        <v>748608</v>
      </c>
      <c r="G2112" s="3">
        <v>11624</v>
      </c>
      <c r="H2112" s="3">
        <v>684707</v>
      </c>
      <c r="I2112" s="3">
        <v>12144</v>
      </c>
    </row>
    <row r="2113" spans="1:9">
      <c r="A2113" s="3" t="s">
        <v>2138</v>
      </c>
      <c r="B2113" s="3" t="s">
        <v>26</v>
      </c>
      <c r="C2113" s="3">
        <v>1515090</v>
      </c>
      <c r="D2113" s="3">
        <v>153198</v>
      </c>
      <c r="E2113" s="3" t="s">
        <v>27</v>
      </c>
      <c r="F2113" s="3">
        <v>1078206</v>
      </c>
      <c r="G2113" s="3">
        <v>117797</v>
      </c>
      <c r="H2113" s="3">
        <v>436884</v>
      </c>
      <c r="I2113" s="3">
        <v>35401</v>
      </c>
    </row>
    <row r="2114" spans="1:9">
      <c r="A2114" s="3" t="s">
        <v>2139</v>
      </c>
      <c r="B2114" s="3" t="s">
        <v>26</v>
      </c>
      <c r="C2114" s="3">
        <v>2138120</v>
      </c>
      <c r="D2114" s="3">
        <v>275747</v>
      </c>
      <c r="E2114" s="3" t="s">
        <v>27</v>
      </c>
      <c r="F2114" s="3">
        <v>1320394</v>
      </c>
      <c r="G2114" s="3">
        <v>171825</v>
      </c>
      <c r="H2114" s="3">
        <v>817726</v>
      </c>
      <c r="I2114" s="3">
        <v>103922</v>
      </c>
    </row>
    <row r="2115" spans="1:9">
      <c r="A2115" s="3" t="s">
        <v>2140</v>
      </c>
      <c r="B2115" s="3" t="s">
        <v>26</v>
      </c>
      <c r="C2115" s="3">
        <v>1973453</v>
      </c>
      <c r="D2115" s="3">
        <v>133271</v>
      </c>
      <c r="E2115" s="3" t="s">
        <v>27</v>
      </c>
      <c r="F2115" s="3">
        <v>1183091</v>
      </c>
      <c r="G2115" s="3">
        <v>88294</v>
      </c>
      <c r="H2115" s="3">
        <v>790362</v>
      </c>
      <c r="I2115" s="3">
        <v>44977</v>
      </c>
    </row>
    <row r="2116" spans="1:9">
      <c r="A2116" s="3" t="s">
        <v>2141</v>
      </c>
      <c r="B2116" s="3" t="s">
        <v>26</v>
      </c>
      <c r="C2116" s="3">
        <v>2796034</v>
      </c>
      <c r="D2116" s="3">
        <v>811412</v>
      </c>
      <c r="E2116" s="3" t="s">
        <v>27</v>
      </c>
      <c r="F2116" s="3">
        <v>2136076</v>
      </c>
      <c r="G2116" s="3">
        <v>652802</v>
      </c>
      <c r="H2116" s="3">
        <v>659958</v>
      </c>
      <c r="I2116" s="3">
        <v>158610</v>
      </c>
    </row>
    <row r="2117" spans="1:9">
      <c r="A2117" s="3" t="s">
        <v>2142</v>
      </c>
      <c r="B2117" s="3" t="s">
        <v>26</v>
      </c>
      <c r="C2117" s="3">
        <v>3303622</v>
      </c>
      <c r="D2117" s="3">
        <v>193530</v>
      </c>
      <c r="E2117" s="3" t="s">
        <v>27</v>
      </c>
      <c r="F2117" s="3">
        <v>1412794</v>
      </c>
      <c r="G2117" s="3">
        <v>100046</v>
      </c>
      <c r="H2117" s="3">
        <v>1890828</v>
      </c>
      <c r="I2117" s="3">
        <v>93484</v>
      </c>
    </row>
    <row r="2118" spans="1:9">
      <c r="A2118" s="3" t="s">
        <v>2143</v>
      </c>
      <c r="B2118" s="3" t="s">
        <v>26</v>
      </c>
      <c r="C2118" s="3">
        <v>2011246</v>
      </c>
      <c r="D2118" s="3">
        <v>93143</v>
      </c>
      <c r="E2118" s="3" t="s">
        <v>27</v>
      </c>
      <c r="F2118" s="3">
        <v>1096246</v>
      </c>
      <c r="G2118" s="3">
        <v>54902</v>
      </c>
      <c r="H2118" s="3">
        <v>915000</v>
      </c>
      <c r="I2118" s="3">
        <v>38241</v>
      </c>
    </row>
    <row r="2119" spans="1:9">
      <c r="A2119" s="3" t="s">
        <v>2144</v>
      </c>
      <c r="B2119" s="3" t="s">
        <v>26</v>
      </c>
      <c r="C2119" s="3">
        <v>2369406</v>
      </c>
      <c r="D2119" s="3">
        <v>638072</v>
      </c>
      <c r="E2119" s="3" t="s">
        <v>27</v>
      </c>
      <c r="F2119" s="3">
        <v>1495703</v>
      </c>
      <c r="G2119" s="3">
        <v>437818</v>
      </c>
      <c r="H2119" s="3">
        <v>873703</v>
      </c>
      <c r="I2119" s="3">
        <v>200254</v>
      </c>
    </row>
    <row r="2120" spans="1:9">
      <c r="A2120" s="3" t="s">
        <v>2145</v>
      </c>
      <c r="B2120" s="3" t="s">
        <v>26</v>
      </c>
      <c r="C2120" s="3">
        <v>2627326</v>
      </c>
      <c r="D2120" s="3">
        <v>702429</v>
      </c>
      <c r="E2120" s="3" t="s">
        <v>27</v>
      </c>
      <c r="F2120" s="3">
        <v>2016205</v>
      </c>
      <c r="G2120" s="3">
        <v>532016</v>
      </c>
      <c r="H2120" s="3">
        <v>611121</v>
      </c>
      <c r="I2120" s="3">
        <v>170413</v>
      </c>
    </row>
    <row r="2121" spans="1:9">
      <c r="A2121" s="3" t="s">
        <v>2146</v>
      </c>
      <c r="B2121" s="3" t="s">
        <v>26</v>
      </c>
      <c r="C2121" s="3">
        <v>2932745</v>
      </c>
      <c r="D2121" s="3">
        <v>877512</v>
      </c>
      <c r="E2121" s="3" t="s">
        <v>27</v>
      </c>
      <c r="F2121" s="3">
        <v>2100219</v>
      </c>
      <c r="G2121" s="3">
        <v>627320</v>
      </c>
      <c r="H2121" s="3">
        <v>832526</v>
      </c>
      <c r="I2121" s="3">
        <v>250192</v>
      </c>
    </row>
    <row r="2122" spans="1:9">
      <c r="A2122" s="3" t="s">
        <v>2147</v>
      </c>
      <c r="B2122" s="3" t="s">
        <v>26</v>
      </c>
      <c r="C2122" s="3">
        <v>1759515</v>
      </c>
      <c r="D2122" s="3">
        <v>376288</v>
      </c>
      <c r="E2122" s="3" t="s">
        <v>27</v>
      </c>
      <c r="F2122" s="3">
        <v>1593517</v>
      </c>
      <c r="G2122" s="3">
        <v>324743</v>
      </c>
      <c r="H2122" s="3">
        <v>165998</v>
      </c>
      <c r="I2122" s="3">
        <v>51545</v>
      </c>
    </row>
    <row r="2123" spans="1:9">
      <c r="A2123" s="3" t="s">
        <v>2148</v>
      </c>
      <c r="B2123" s="3" t="s">
        <v>26</v>
      </c>
      <c r="C2123" s="3">
        <v>2874300</v>
      </c>
      <c r="D2123" s="3">
        <v>437791</v>
      </c>
      <c r="E2123" s="3" t="s">
        <v>27</v>
      </c>
      <c r="F2123" s="3">
        <v>2314738</v>
      </c>
      <c r="G2123" s="3">
        <v>278838</v>
      </c>
      <c r="H2123" s="3">
        <v>559562</v>
      </c>
      <c r="I2123" s="3">
        <v>158953</v>
      </c>
    </row>
    <row r="2124" spans="1:9">
      <c r="A2124" s="3" t="s">
        <v>2149</v>
      </c>
      <c r="B2124" s="3" t="s">
        <v>26</v>
      </c>
      <c r="C2124" s="3">
        <v>1297637</v>
      </c>
      <c r="D2124" s="3">
        <v>60093</v>
      </c>
      <c r="E2124" s="3" t="s">
        <v>27</v>
      </c>
      <c r="F2124" s="3">
        <v>822564</v>
      </c>
      <c r="G2124" s="3">
        <v>37040</v>
      </c>
      <c r="H2124" s="3">
        <v>475073</v>
      </c>
      <c r="I2124" s="3">
        <v>23053</v>
      </c>
    </row>
    <row r="2125" spans="1:9">
      <c r="A2125" s="3" t="s">
        <v>2150</v>
      </c>
      <c r="B2125" s="3" t="s">
        <v>26</v>
      </c>
      <c r="C2125" s="3">
        <v>1730235</v>
      </c>
      <c r="D2125" s="3">
        <v>38995</v>
      </c>
      <c r="E2125" s="3" t="s">
        <v>27</v>
      </c>
      <c r="F2125" s="3">
        <v>938659</v>
      </c>
      <c r="G2125" s="3">
        <v>20055</v>
      </c>
      <c r="H2125" s="3">
        <v>791576</v>
      </c>
      <c r="I2125" s="3">
        <v>18940</v>
      </c>
    </row>
    <row r="2126" spans="1:9">
      <c r="A2126" s="3" t="s">
        <v>2151</v>
      </c>
      <c r="B2126" s="3" t="s">
        <v>26</v>
      </c>
      <c r="C2126" s="3">
        <v>2865098</v>
      </c>
      <c r="D2126" s="3">
        <v>790041</v>
      </c>
      <c r="E2126" s="3" t="s">
        <v>27</v>
      </c>
      <c r="F2126" s="3">
        <v>2079195</v>
      </c>
      <c r="G2126" s="3">
        <v>600929</v>
      </c>
      <c r="H2126" s="3">
        <v>785903</v>
      </c>
      <c r="I2126" s="3">
        <v>189112</v>
      </c>
    </row>
    <row r="2127" spans="1:9">
      <c r="A2127" s="3" t="s">
        <v>2152</v>
      </c>
      <c r="B2127" s="3" t="s">
        <v>26</v>
      </c>
      <c r="C2127" s="3">
        <v>1891510</v>
      </c>
      <c r="D2127" s="3">
        <v>275638</v>
      </c>
      <c r="E2127" s="3" t="s">
        <v>27</v>
      </c>
      <c r="F2127" s="3">
        <v>1179886</v>
      </c>
      <c r="G2127" s="3">
        <v>184125</v>
      </c>
      <c r="H2127" s="3">
        <v>711624</v>
      </c>
      <c r="I2127" s="3">
        <v>91513</v>
      </c>
    </row>
    <row r="2128" spans="1:9">
      <c r="A2128" s="3" t="s">
        <v>2153</v>
      </c>
      <c r="B2128" s="3" t="s">
        <v>26</v>
      </c>
      <c r="C2128" s="3">
        <v>1842363</v>
      </c>
      <c r="D2128" s="3">
        <v>406358</v>
      </c>
      <c r="E2128" s="3" t="s">
        <v>27</v>
      </c>
      <c r="F2128" s="3">
        <v>1356038</v>
      </c>
      <c r="G2128" s="3">
        <v>309612</v>
      </c>
      <c r="H2128" s="3">
        <v>486325</v>
      </c>
      <c r="I2128" s="3">
        <v>96746</v>
      </c>
    </row>
    <row r="2129" spans="1:9">
      <c r="A2129" s="3" t="s">
        <v>2154</v>
      </c>
      <c r="B2129" s="3" t="s">
        <v>26</v>
      </c>
      <c r="C2129" s="3">
        <v>3138518</v>
      </c>
      <c r="D2129" s="3">
        <v>1090676</v>
      </c>
      <c r="E2129" s="3" t="s">
        <v>27</v>
      </c>
      <c r="F2129" s="3">
        <v>2396931</v>
      </c>
      <c r="G2129" s="3">
        <v>801330</v>
      </c>
      <c r="H2129" s="3">
        <v>741587</v>
      </c>
      <c r="I2129" s="3">
        <v>289346</v>
      </c>
    </row>
    <row r="2130" spans="1:9">
      <c r="A2130" s="3" t="s">
        <v>2155</v>
      </c>
      <c r="B2130" s="3" t="s">
        <v>26</v>
      </c>
      <c r="C2130" s="3">
        <v>1152177</v>
      </c>
      <c r="D2130" s="3">
        <v>16883</v>
      </c>
      <c r="E2130" s="3" t="s">
        <v>27</v>
      </c>
      <c r="F2130" s="3">
        <v>552364</v>
      </c>
      <c r="G2130" s="3">
        <v>9288</v>
      </c>
      <c r="H2130" s="3">
        <v>599813</v>
      </c>
      <c r="I2130" s="3">
        <v>7595</v>
      </c>
    </row>
    <row r="2131" spans="1:9">
      <c r="A2131" s="3" t="s">
        <v>2156</v>
      </c>
      <c r="B2131" s="3" t="s">
        <v>26</v>
      </c>
      <c r="C2131" s="3">
        <v>2848063</v>
      </c>
      <c r="D2131" s="3">
        <v>595586</v>
      </c>
      <c r="E2131" s="3" t="s">
        <v>27</v>
      </c>
      <c r="F2131" s="3">
        <v>2052223</v>
      </c>
      <c r="G2131" s="3">
        <v>406723</v>
      </c>
      <c r="H2131" s="3">
        <v>795840</v>
      </c>
      <c r="I2131" s="3">
        <v>188863</v>
      </c>
    </row>
    <row r="2132" spans="1:9">
      <c r="A2132" s="3" t="s">
        <v>2157</v>
      </c>
      <c r="B2132" s="3" t="s">
        <v>26</v>
      </c>
      <c r="C2132" s="3">
        <v>2687816</v>
      </c>
      <c r="D2132" s="3">
        <v>838188</v>
      </c>
      <c r="E2132" s="3" t="s">
        <v>27</v>
      </c>
      <c r="F2132" s="3">
        <v>1938230</v>
      </c>
      <c r="G2132" s="3">
        <v>644929</v>
      </c>
      <c r="H2132" s="3">
        <v>749586</v>
      </c>
      <c r="I2132" s="3">
        <v>193259</v>
      </c>
    </row>
    <row r="2133" spans="1:9">
      <c r="A2133" s="3" t="s">
        <v>2158</v>
      </c>
      <c r="B2133" s="3" t="s">
        <v>26</v>
      </c>
      <c r="C2133" s="3">
        <v>1338049</v>
      </c>
      <c r="D2133" s="3">
        <v>60947</v>
      </c>
      <c r="E2133" s="3" t="s">
        <v>27</v>
      </c>
      <c r="F2133" s="3">
        <v>821676</v>
      </c>
      <c r="G2133" s="3">
        <v>40685</v>
      </c>
      <c r="H2133" s="3">
        <v>516373</v>
      </c>
      <c r="I2133" s="3">
        <v>20262</v>
      </c>
    </row>
    <row r="2134" spans="1:9">
      <c r="A2134" s="3" t="s">
        <v>2159</v>
      </c>
      <c r="B2134" s="3" t="s">
        <v>26</v>
      </c>
      <c r="C2134" s="3">
        <v>2949940</v>
      </c>
      <c r="D2134" s="3">
        <v>1064549</v>
      </c>
      <c r="E2134" s="3" t="s">
        <v>27</v>
      </c>
      <c r="F2134" s="3">
        <v>2388127</v>
      </c>
      <c r="G2134" s="3">
        <v>867413</v>
      </c>
      <c r="H2134" s="3">
        <v>561813</v>
      </c>
      <c r="I2134" s="3">
        <v>197136</v>
      </c>
    </row>
    <row r="2135" spans="1:9">
      <c r="A2135" s="3" t="s">
        <v>2160</v>
      </c>
      <c r="B2135" s="3" t="s">
        <v>26</v>
      </c>
      <c r="C2135" s="3">
        <v>2567502</v>
      </c>
      <c r="D2135" s="3">
        <v>477270</v>
      </c>
      <c r="E2135" s="3" t="s">
        <v>27</v>
      </c>
      <c r="F2135" s="3">
        <v>1976018</v>
      </c>
      <c r="G2135" s="3">
        <v>394167</v>
      </c>
      <c r="H2135" s="3">
        <v>591484</v>
      </c>
      <c r="I2135" s="3">
        <v>83103</v>
      </c>
    </row>
    <row r="2136" spans="1:9">
      <c r="A2136" s="3" t="s">
        <v>2161</v>
      </c>
      <c r="B2136" s="3" t="s">
        <v>26</v>
      </c>
      <c r="C2136" s="3">
        <v>1471902</v>
      </c>
      <c r="D2136" s="3">
        <v>165649</v>
      </c>
      <c r="E2136" s="3" t="s">
        <v>27</v>
      </c>
      <c r="F2136" s="3">
        <v>870912</v>
      </c>
      <c r="G2136" s="3">
        <v>108991</v>
      </c>
      <c r="H2136" s="3">
        <v>600990</v>
      </c>
      <c r="I2136" s="3">
        <v>56658</v>
      </c>
    </row>
    <row r="2137" spans="1:9">
      <c r="A2137" s="3" t="s">
        <v>2162</v>
      </c>
      <c r="B2137" s="3" t="s">
        <v>26</v>
      </c>
      <c r="C2137" s="3">
        <v>1200700</v>
      </c>
      <c r="D2137" s="3">
        <v>16413</v>
      </c>
      <c r="E2137" s="3" t="s">
        <v>27</v>
      </c>
      <c r="F2137" s="3">
        <v>639820</v>
      </c>
      <c r="G2137" s="3">
        <v>11605</v>
      </c>
      <c r="H2137" s="3">
        <v>560880</v>
      </c>
      <c r="I2137" s="3">
        <v>4808</v>
      </c>
    </row>
    <row r="2138" spans="1:9">
      <c r="A2138" s="3" t="s">
        <v>2163</v>
      </c>
      <c r="B2138" s="3" t="s">
        <v>26</v>
      </c>
      <c r="C2138" s="3">
        <v>4916796</v>
      </c>
      <c r="D2138" s="3">
        <v>472578</v>
      </c>
      <c r="E2138" s="3" t="s">
        <v>27</v>
      </c>
      <c r="F2138" s="3">
        <v>4603476</v>
      </c>
      <c r="G2138" s="3">
        <v>346602</v>
      </c>
      <c r="H2138" s="3">
        <v>313320</v>
      </c>
      <c r="I2138" s="3">
        <v>125976</v>
      </c>
    </row>
    <row r="2139" spans="1:9">
      <c r="A2139" s="3" t="s">
        <v>2164</v>
      </c>
      <c r="B2139" s="3" t="s">
        <v>26</v>
      </c>
      <c r="C2139" s="3">
        <v>1975888</v>
      </c>
      <c r="D2139" s="3">
        <v>142303</v>
      </c>
      <c r="E2139" s="3" t="s">
        <v>27</v>
      </c>
      <c r="F2139" s="3">
        <v>1208499</v>
      </c>
      <c r="G2139" s="3">
        <v>92684</v>
      </c>
      <c r="H2139" s="3">
        <v>767389</v>
      </c>
      <c r="I2139" s="3">
        <v>49619</v>
      </c>
    </row>
    <row r="2140" spans="1:9">
      <c r="A2140" s="3" t="s">
        <v>2165</v>
      </c>
      <c r="B2140" s="3" t="s">
        <v>26</v>
      </c>
      <c r="C2140" s="3">
        <v>947326</v>
      </c>
      <c r="D2140" s="3">
        <v>126016</v>
      </c>
      <c r="E2140" s="3" t="s">
        <v>27</v>
      </c>
      <c r="F2140" s="3">
        <v>568065</v>
      </c>
      <c r="G2140" s="3">
        <v>71007</v>
      </c>
      <c r="H2140" s="3">
        <v>379261</v>
      </c>
      <c r="I2140" s="3">
        <v>55009</v>
      </c>
    </row>
    <row r="2141" spans="1:9">
      <c r="A2141" s="3" t="s">
        <v>2166</v>
      </c>
      <c r="B2141" s="3" t="s">
        <v>26</v>
      </c>
      <c r="C2141" s="3">
        <v>1773223</v>
      </c>
      <c r="D2141" s="3">
        <v>448677</v>
      </c>
      <c r="E2141" s="3" t="s">
        <v>27</v>
      </c>
      <c r="F2141" s="3">
        <v>1233013</v>
      </c>
      <c r="G2141" s="3">
        <v>295775</v>
      </c>
      <c r="H2141" s="3">
        <v>540210</v>
      </c>
      <c r="I2141" s="3">
        <v>152902</v>
      </c>
    </row>
    <row r="2142" spans="1:9">
      <c r="A2142" s="3" t="s">
        <v>2167</v>
      </c>
      <c r="B2142" s="3" t="s">
        <v>26</v>
      </c>
      <c r="C2142" s="3">
        <v>1384699</v>
      </c>
      <c r="D2142" s="3">
        <v>344587</v>
      </c>
      <c r="E2142" s="3" t="s">
        <v>27</v>
      </c>
      <c r="F2142" s="3">
        <v>1047045</v>
      </c>
      <c r="G2142" s="3">
        <v>247422</v>
      </c>
      <c r="H2142" s="3">
        <v>337654</v>
      </c>
      <c r="I2142" s="3">
        <v>97165</v>
      </c>
    </row>
    <row r="2143" spans="1:9">
      <c r="A2143" s="3" t="s">
        <v>2168</v>
      </c>
      <c r="B2143" s="3" t="s">
        <v>26</v>
      </c>
      <c r="C2143" s="3">
        <v>1015044</v>
      </c>
      <c r="D2143" s="3">
        <v>44841</v>
      </c>
      <c r="E2143" s="3" t="s">
        <v>27</v>
      </c>
      <c r="F2143" s="3">
        <v>542313</v>
      </c>
      <c r="G2143" s="3">
        <v>23580</v>
      </c>
      <c r="H2143" s="3">
        <v>472731</v>
      </c>
      <c r="I2143" s="3">
        <v>21261</v>
      </c>
    </row>
    <row r="2144" spans="1:9">
      <c r="A2144" s="3" t="s">
        <v>2169</v>
      </c>
      <c r="B2144" s="3" t="s">
        <v>26</v>
      </c>
      <c r="C2144" s="3">
        <v>904060</v>
      </c>
      <c r="D2144" s="3">
        <v>3017</v>
      </c>
      <c r="E2144" s="3" t="s">
        <v>27</v>
      </c>
      <c r="F2144" s="3">
        <v>460101</v>
      </c>
      <c r="G2144" s="3">
        <v>943</v>
      </c>
      <c r="H2144" s="3">
        <v>443959</v>
      </c>
      <c r="I2144" s="3">
        <v>2074</v>
      </c>
    </row>
    <row r="2145" spans="1:9">
      <c r="A2145" s="3" t="s">
        <v>2170</v>
      </c>
      <c r="B2145" s="3" t="s">
        <v>26</v>
      </c>
      <c r="C2145" s="3">
        <v>828028</v>
      </c>
      <c r="D2145" s="3">
        <v>122421</v>
      </c>
      <c r="E2145" s="3" t="s">
        <v>27</v>
      </c>
      <c r="F2145" s="3">
        <v>648324</v>
      </c>
      <c r="G2145" s="3">
        <v>84899</v>
      </c>
      <c r="H2145" s="3">
        <v>179704</v>
      </c>
      <c r="I2145" s="3">
        <v>37522</v>
      </c>
    </row>
    <row r="2146" spans="1:9">
      <c r="A2146" s="3" t="s">
        <v>2171</v>
      </c>
      <c r="B2146" s="3" t="s">
        <v>26</v>
      </c>
      <c r="C2146" s="3">
        <v>1563251</v>
      </c>
      <c r="D2146" s="3">
        <v>440933</v>
      </c>
      <c r="E2146" s="3" t="s">
        <v>27</v>
      </c>
      <c r="F2146" s="3">
        <v>1207796</v>
      </c>
      <c r="G2146" s="3">
        <v>329530</v>
      </c>
      <c r="H2146" s="3">
        <v>355455</v>
      </c>
      <c r="I2146" s="3">
        <v>111403</v>
      </c>
    </row>
    <row r="2147" spans="1:9">
      <c r="A2147" s="3" t="s">
        <v>2172</v>
      </c>
      <c r="B2147" s="3" t="s">
        <v>26</v>
      </c>
      <c r="C2147" s="3">
        <v>610245</v>
      </c>
      <c r="D2147" s="3">
        <v>17235</v>
      </c>
      <c r="E2147" s="3" t="s">
        <v>27</v>
      </c>
      <c r="F2147" s="3">
        <v>322012</v>
      </c>
      <c r="G2147" s="3">
        <v>8285</v>
      </c>
      <c r="H2147" s="3">
        <v>288233</v>
      </c>
      <c r="I2147" s="3">
        <v>8950</v>
      </c>
    </row>
    <row r="2148" spans="1:9">
      <c r="A2148" s="3" t="s">
        <v>2173</v>
      </c>
      <c r="B2148" s="3" t="s">
        <v>26</v>
      </c>
      <c r="C2148" s="3">
        <v>550652</v>
      </c>
      <c r="D2148" s="3">
        <v>15529</v>
      </c>
      <c r="E2148" s="3" t="s">
        <v>27</v>
      </c>
      <c r="F2148" s="3">
        <v>327969</v>
      </c>
      <c r="G2148" s="3">
        <v>10039</v>
      </c>
      <c r="H2148" s="3">
        <v>222683</v>
      </c>
      <c r="I2148" s="3">
        <v>5490</v>
      </c>
    </row>
    <row r="2149" spans="1:9">
      <c r="A2149" s="3" t="s">
        <v>2174</v>
      </c>
      <c r="B2149" s="3" t="s">
        <v>26</v>
      </c>
      <c r="C2149" s="3">
        <v>1575960</v>
      </c>
      <c r="D2149" s="3">
        <v>440981</v>
      </c>
      <c r="E2149" s="3" t="s">
        <v>27</v>
      </c>
      <c r="F2149" s="3">
        <v>1147182</v>
      </c>
      <c r="G2149" s="3">
        <v>306201</v>
      </c>
      <c r="H2149" s="3">
        <v>428778</v>
      </c>
      <c r="I2149" s="3">
        <v>134780</v>
      </c>
    </row>
    <row r="2150" spans="1:9">
      <c r="A2150" s="3" t="s">
        <v>2175</v>
      </c>
      <c r="B2150" s="3" t="s">
        <v>26</v>
      </c>
      <c r="C2150" s="3">
        <v>1380333</v>
      </c>
      <c r="D2150" s="3">
        <v>263021</v>
      </c>
      <c r="E2150" s="3" t="s">
        <v>27</v>
      </c>
      <c r="F2150" s="3">
        <v>864267</v>
      </c>
      <c r="G2150" s="3">
        <v>158431</v>
      </c>
      <c r="H2150" s="3">
        <v>516066</v>
      </c>
      <c r="I2150" s="3">
        <v>104590</v>
      </c>
    </row>
    <row r="2151" spans="1:9">
      <c r="A2151" s="3" t="s">
        <v>2176</v>
      </c>
      <c r="B2151" s="3" t="s">
        <v>26</v>
      </c>
      <c r="C2151" s="3">
        <v>1326588</v>
      </c>
      <c r="D2151" s="3">
        <v>297263</v>
      </c>
      <c r="E2151" s="3" t="s">
        <v>27</v>
      </c>
      <c r="F2151" s="3">
        <v>1192578</v>
      </c>
      <c r="G2151" s="3">
        <v>256936</v>
      </c>
      <c r="H2151" s="3">
        <v>134010</v>
      </c>
      <c r="I2151" s="3">
        <v>40327</v>
      </c>
    </row>
    <row r="2152" spans="1:9">
      <c r="A2152" s="3" t="s">
        <v>2177</v>
      </c>
      <c r="B2152" s="3" t="s">
        <v>26</v>
      </c>
      <c r="C2152" s="3">
        <v>1326085</v>
      </c>
      <c r="D2152" s="3">
        <v>291561</v>
      </c>
      <c r="E2152" s="3" t="s">
        <v>27</v>
      </c>
      <c r="F2152" s="3">
        <v>921429</v>
      </c>
      <c r="G2152" s="3">
        <v>229436</v>
      </c>
      <c r="H2152" s="3">
        <v>404656</v>
      </c>
      <c r="I2152" s="3">
        <v>62125</v>
      </c>
    </row>
    <row r="2153" spans="1:9">
      <c r="A2153" s="3" t="s">
        <v>2178</v>
      </c>
      <c r="B2153" s="3" t="s">
        <v>26</v>
      </c>
      <c r="C2153" s="3">
        <v>1346685</v>
      </c>
      <c r="D2153" s="3">
        <v>382193</v>
      </c>
      <c r="E2153" s="3" t="s">
        <v>27</v>
      </c>
      <c r="F2153" s="3">
        <v>1142423</v>
      </c>
      <c r="G2153" s="3">
        <v>313321</v>
      </c>
      <c r="H2153" s="3">
        <v>204262</v>
      </c>
      <c r="I2153" s="3">
        <v>68872</v>
      </c>
    </row>
    <row r="2154" spans="1:9">
      <c r="A2154" s="3" t="s">
        <v>2179</v>
      </c>
      <c r="B2154" s="3" t="s">
        <v>26</v>
      </c>
      <c r="C2154" s="3">
        <v>519169</v>
      </c>
      <c r="D2154" s="3">
        <v>1139</v>
      </c>
      <c r="E2154" s="3" t="s">
        <v>27</v>
      </c>
      <c r="F2154" s="3">
        <v>267571</v>
      </c>
      <c r="G2154" s="3">
        <v>558</v>
      </c>
      <c r="H2154" s="3">
        <v>251598</v>
      </c>
      <c r="I2154" s="3">
        <v>581</v>
      </c>
    </row>
    <row r="2155" spans="1:9">
      <c r="A2155" s="3" t="s">
        <v>2180</v>
      </c>
      <c r="B2155" s="3" t="s">
        <v>26</v>
      </c>
      <c r="C2155" s="3">
        <v>768792</v>
      </c>
      <c r="D2155" s="3">
        <v>35175</v>
      </c>
      <c r="E2155" s="3" t="s">
        <v>27</v>
      </c>
      <c r="F2155" s="3">
        <v>417209</v>
      </c>
      <c r="G2155" s="3">
        <v>21027</v>
      </c>
      <c r="H2155" s="3">
        <v>351583</v>
      </c>
      <c r="I2155" s="3">
        <v>14148</v>
      </c>
    </row>
    <row r="2156" spans="1:9">
      <c r="A2156" s="3" t="s">
        <v>2181</v>
      </c>
      <c r="B2156" s="3" t="s">
        <v>26</v>
      </c>
      <c r="C2156" s="3">
        <v>687833</v>
      </c>
      <c r="D2156" s="3">
        <v>84915</v>
      </c>
      <c r="E2156" s="3" t="s">
        <v>27</v>
      </c>
      <c r="F2156" s="3">
        <v>462535</v>
      </c>
      <c r="G2156" s="3">
        <v>52718</v>
      </c>
      <c r="H2156" s="3">
        <v>225298</v>
      </c>
      <c r="I2156" s="3">
        <v>32197</v>
      </c>
    </row>
    <row r="2157" spans="1:9">
      <c r="A2157" s="3" t="s">
        <v>2182</v>
      </c>
      <c r="B2157" s="3" t="s">
        <v>26</v>
      </c>
      <c r="C2157" s="3">
        <v>1369538</v>
      </c>
      <c r="D2157" s="3">
        <v>281669</v>
      </c>
      <c r="E2157" s="3" t="s">
        <v>27</v>
      </c>
      <c r="F2157" s="3">
        <v>944698</v>
      </c>
      <c r="G2157" s="3">
        <v>181076</v>
      </c>
      <c r="H2157" s="3">
        <v>424840</v>
      </c>
      <c r="I2157" s="3">
        <v>100593</v>
      </c>
    </row>
    <row r="2158" spans="1:9">
      <c r="A2158" s="3" t="s">
        <v>2183</v>
      </c>
      <c r="B2158" s="3" t="s">
        <v>26</v>
      </c>
      <c r="C2158" s="3">
        <v>1609185</v>
      </c>
      <c r="D2158" s="3">
        <v>435393</v>
      </c>
      <c r="E2158" s="3" t="s">
        <v>27</v>
      </c>
      <c r="F2158" s="3">
        <v>1235488</v>
      </c>
      <c r="G2158" s="3">
        <v>323486</v>
      </c>
      <c r="H2158" s="3">
        <v>373697</v>
      </c>
      <c r="I2158" s="3">
        <v>111907</v>
      </c>
    </row>
    <row r="2159" spans="1:9">
      <c r="A2159" s="3" t="s">
        <v>2184</v>
      </c>
      <c r="B2159" s="3" t="s">
        <v>26</v>
      </c>
      <c r="C2159" s="3">
        <v>503108</v>
      </c>
      <c r="D2159" s="3">
        <v>657</v>
      </c>
      <c r="E2159" s="3" t="s">
        <v>27</v>
      </c>
      <c r="F2159" s="3">
        <v>259948</v>
      </c>
      <c r="G2159" s="3">
        <v>342</v>
      </c>
      <c r="H2159" s="3">
        <v>243160</v>
      </c>
      <c r="I2159" s="3">
        <v>315</v>
      </c>
    </row>
    <row r="2160" spans="1:9">
      <c r="A2160" s="3" t="s">
        <v>2185</v>
      </c>
      <c r="B2160" s="3" t="s">
        <v>26</v>
      </c>
      <c r="C2160" s="3">
        <v>1499398</v>
      </c>
      <c r="D2160" s="3">
        <v>462122</v>
      </c>
      <c r="E2160" s="3" t="s">
        <v>27</v>
      </c>
      <c r="F2160" s="3">
        <v>1135778</v>
      </c>
      <c r="G2160" s="3">
        <v>336587</v>
      </c>
      <c r="H2160" s="3">
        <v>363620</v>
      </c>
      <c r="I2160" s="3">
        <v>125535</v>
      </c>
    </row>
    <row r="2161" spans="1:9">
      <c r="A2161" s="3" t="s">
        <v>2186</v>
      </c>
      <c r="B2161" s="3" t="s">
        <v>26</v>
      </c>
      <c r="C2161" s="3">
        <v>1316582</v>
      </c>
      <c r="D2161" s="3">
        <v>244050</v>
      </c>
      <c r="E2161" s="3" t="s">
        <v>27</v>
      </c>
      <c r="F2161" s="3">
        <v>812646</v>
      </c>
      <c r="G2161" s="3">
        <v>148701</v>
      </c>
      <c r="H2161" s="3">
        <v>503936</v>
      </c>
      <c r="I2161" s="3">
        <v>95349</v>
      </c>
    </row>
    <row r="2162" spans="1:9">
      <c r="A2162" s="3" t="s">
        <v>2187</v>
      </c>
      <c r="B2162" s="3" t="s">
        <v>26</v>
      </c>
      <c r="C2162" s="3">
        <v>1477492</v>
      </c>
      <c r="D2162" s="3">
        <v>323158</v>
      </c>
      <c r="E2162" s="3" t="s">
        <v>27</v>
      </c>
      <c r="F2162" s="3">
        <v>1099401</v>
      </c>
      <c r="G2162" s="3">
        <v>233980</v>
      </c>
      <c r="H2162" s="3">
        <v>378091</v>
      </c>
      <c r="I2162" s="3">
        <v>89178</v>
      </c>
    </row>
    <row r="2163" spans="1:9">
      <c r="A2163" s="3" t="s">
        <v>2188</v>
      </c>
      <c r="B2163" s="3" t="s">
        <v>26</v>
      </c>
      <c r="C2163" s="3">
        <v>838724</v>
      </c>
      <c r="D2163" s="3">
        <v>5506</v>
      </c>
      <c r="E2163" s="3" t="s">
        <v>27</v>
      </c>
      <c r="F2163" s="3">
        <v>361264</v>
      </c>
      <c r="G2163" s="3">
        <v>3032</v>
      </c>
      <c r="H2163" s="3">
        <v>477460</v>
      </c>
      <c r="I2163" s="3">
        <v>2474</v>
      </c>
    </row>
    <row r="2164" spans="1:9">
      <c r="A2164" s="3" t="s">
        <v>2189</v>
      </c>
      <c r="B2164" s="3" t="s">
        <v>26</v>
      </c>
      <c r="C2164" s="3">
        <v>1072613</v>
      </c>
      <c r="D2164" s="3">
        <v>48010</v>
      </c>
      <c r="E2164" s="3" t="s">
        <v>27</v>
      </c>
      <c r="F2164" s="3">
        <v>608947</v>
      </c>
      <c r="G2164" s="3">
        <v>29083</v>
      </c>
      <c r="H2164" s="3">
        <v>463666</v>
      </c>
      <c r="I2164" s="3">
        <v>18927</v>
      </c>
    </row>
    <row r="2165" spans="1:9">
      <c r="A2165" s="3" t="s">
        <v>2190</v>
      </c>
      <c r="B2165" s="3" t="s">
        <v>26</v>
      </c>
      <c r="C2165" s="3">
        <v>981814</v>
      </c>
      <c r="D2165" s="3">
        <v>80151</v>
      </c>
      <c r="E2165" s="3" t="s">
        <v>27</v>
      </c>
      <c r="F2165" s="3">
        <v>554191</v>
      </c>
      <c r="G2165" s="3">
        <v>47080</v>
      </c>
      <c r="H2165" s="3">
        <v>427623</v>
      </c>
      <c r="I2165" s="3">
        <v>33071</v>
      </c>
    </row>
    <row r="2166" spans="1:9">
      <c r="A2166" s="3" t="s">
        <v>2191</v>
      </c>
      <c r="B2166" s="3" t="s">
        <v>26</v>
      </c>
      <c r="C2166" s="3">
        <v>1247274</v>
      </c>
      <c r="D2166" s="3">
        <v>243652</v>
      </c>
      <c r="E2166" s="3" t="s">
        <v>27</v>
      </c>
      <c r="F2166" s="3">
        <v>747155</v>
      </c>
      <c r="G2166" s="3">
        <v>142351</v>
      </c>
      <c r="H2166" s="3">
        <v>500119</v>
      </c>
      <c r="I2166" s="3">
        <v>101301</v>
      </c>
    </row>
    <row r="2167" spans="1:9">
      <c r="A2167" s="3" t="s">
        <v>2192</v>
      </c>
      <c r="B2167" s="3" t="s">
        <v>26</v>
      </c>
      <c r="C2167" s="3">
        <v>1383125</v>
      </c>
      <c r="D2167" s="3">
        <v>269993</v>
      </c>
      <c r="E2167" s="3" t="s">
        <v>27</v>
      </c>
      <c r="F2167" s="3">
        <v>902371</v>
      </c>
      <c r="G2167" s="3">
        <v>176497</v>
      </c>
      <c r="H2167" s="3">
        <v>480754</v>
      </c>
      <c r="I2167" s="3">
        <v>93496</v>
      </c>
    </row>
    <row r="2168" spans="1:9">
      <c r="A2168" s="3" t="s">
        <v>2193</v>
      </c>
      <c r="B2168" s="3" t="s">
        <v>26</v>
      </c>
      <c r="C2168" s="3">
        <v>1378896</v>
      </c>
      <c r="D2168" s="3">
        <v>344831</v>
      </c>
      <c r="E2168" s="3" t="s">
        <v>27</v>
      </c>
      <c r="F2168" s="3">
        <v>1040054</v>
      </c>
      <c r="G2168" s="3">
        <v>253373</v>
      </c>
      <c r="H2168" s="3">
        <v>338842</v>
      </c>
      <c r="I2168" s="3">
        <v>91458</v>
      </c>
    </row>
    <row r="2169" spans="1:9">
      <c r="A2169" s="3" t="s">
        <v>2194</v>
      </c>
      <c r="B2169" s="3" t="s">
        <v>26</v>
      </c>
      <c r="C2169" s="3">
        <v>942917</v>
      </c>
      <c r="D2169" s="3">
        <v>229681</v>
      </c>
      <c r="E2169" s="3" t="s">
        <v>27</v>
      </c>
      <c r="F2169" s="3">
        <v>786385</v>
      </c>
      <c r="G2169" s="3">
        <v>178040</v>
      </c>
      <c r="H2169" s="3">
        <v>156532</v>
      </c>
      <c r="I2169" s="3">
        <v>51641</v>
      </c>
    </row>
    <row r="2170" spans="1:9">
      <c r="A2170" s="3" t="s">
        <v>2195</v>
      </c>
      <c r="B2170" s="3" t="s">
        <v>26</v>
      </c>
      <c r="C2170" s="3">
        <v>989986</v>
      </c>
      <c r="D2170" s="3">
        <v>28375</v>
      </c>
      <c r="E2170" s="3" t="s">
        <v>27</v>
      </c>
      <c r="F2170" s="3">
        <v>526596</v>
      </c>
      <c r="G2170" s="3">
        <v>16746</v>
      </c>
      <c r="H2170" s="3">
        <v>463390</v>
      </c>
      <c r="I2170" s="3">
        <v>11629</v>
      </c>
    </row>
    <row r="2171" spans="1:9">
      <c r="A2171" s="3" t="s">
        <v>2196</v>
      </c>
      <c r="B2171" s="3" t="s">
        <v>26</v>
      </c>
      <c r="C2171" s="3">
        <v>1343034</v>
      </c>
      <c r="D2171" s="3">
        <v>305150</v>
      </c>
      <c r="E2171" s="3" t="s">
        <v>27</v>
      </c>
      <c r="F2171" s="3">
        <v>974409</v>
      </c>
      <c r="G2171" s="3">
        <v>231509</v>
      </c>
      <c r="H2171" s="3">
        <v>368625</v>
      </c>
      <c r="I2171" s="3">
        <v>73641</v>
      </c>
    </row>
    <row r="2172" spans="1:9">
      <c r="A2172" s="3" t="s">
        <v>2197</v>
      </c>
      <c r="B2172" s="3" t="s">
        <v>26</v>
      </c>
      <c r="C2172" s="3">
        <v>1277912</v>
      </c>
      <c r="D2172" s="3">
        <v>98392</v>
      </c>
      <c r="E2172" s="3" t="s">
        <v>27</v>
      </c>
      <c r="F2172" s="3">
        <v>716008</v>
      </c>
      <c r="G2172" s="3">
        <v>57786</v>
      </c>
      <c r="H2172" s="3">
        <v>561904</v>
      </c>
      <c r="I2172" s="3">
        <v>40606</v>
      </c>
    </row>
    <row r="2173" spans="1:9">
      <c r="A2173" s="3" t="s">
        <v>2198</v>
      </c>
      <c r="B2173" s="3" t="s">
        <v>26</v>
      </c>
      <c r="C2173" s="3">
        <v>1163641</v>
      </c>
      <c r="D2173" s="3">
        <v>72811</v>
      </c>
      <c r="E2173" s="3" t="s">
        <v>27</v>
      </c>
      <c r="F2173" s="3">
        <v>637173</v>
      </c>
      <c r="G2173" s="3">
        <v>41219</v>
      </c>
      <c r="H2173" s="3">
        <v>526468</v>
      </c>
      <c r="I2173" s="3">
        <v>31592</v>
      </c>
    </row>
    <row r="2174" spans="1:9">
      <c r="A2174" s="3" t="s">
        <v>2199</v>
      </c>
      <c r="B2174" s="3" t="s">
        <v>26</v>
      </c>
      <c r="C2174" s="3">
        <v>1444995</v>
      </c>
      <c r="D2174" s="3">
        <v>261231</v>
      </c>
      <c r="E2174" s="3" t="s">
        <v>27</v>
      </c>
      <c r="F2174" s="3">
        <v>828303</v>
      </c>
      <c r="G2174" s="3">
        <v>162869</v>
      </c>
      <c r="H2174" s="3">
        <v>616692</v>
      </c>
      <c r="I2174" s="3">
        <v>98362</v>
      </c>
    </row>
    <row r="2175" spans="1:9">
      <c r="A2175" s="3" t="s">
        <v>2200</v>
      </c>
      <c r="B2175" s="3" t="s">
        <v>26</v>
      </c>
      <c r="C2175" s="3">
        <v>219040</v>
      </c>
      <c r="D2175" s="3">
        <v>754</v>
      </c>
      <c r="E2175" s="3" t="s">
        <v>27</v>
      </c>
      <c r="F2175" s="3">
        <v>115812</v>
      </c>
      <c r="G2175" s="3">
        <v>404</v>
      </c>
      <c r="H2175" s="3">
        <v>103228</v>
      </c>
      <c r="I2175" s="3">
        <v>350</v>
      </c>
    </row>
    <row r="2176" spans="1:9">
      <c r="A2176" s="3" t="s">
        <v>2201</v>
      </c>
      <c r="B2176" s="3" t="s">
        <v>26</v>
      </c>
      <c r="C2176" s="3">
        <v>1355586</v>
      </c>
      <c r="D2176" s="3">
        <v>248638</v>
      </c>
      <c r="E2176" s="3" t="s">
        <v>27</v>
      </c>
      <c r="F2176" s="3">
        <v>884410</v>
      </c>
      <c r="G2176" s="3">
        <v>154569</v>
      </c>
      <c r="H2176" s="3">
        <v>471176</v>
      </c>
      <c r="I2176" s="3">
        <v>94069</v>
      </c>
    </row>
    <row r="2177" spans="1:9">
      <c r="A2177" s="3" t="s">
        <v>2202</v>
      </c>
      <c r="B2177" s="3" t="s">
        <v>26</v>
      </c>
      <c r="C2177" s="3">
        <v>1161178</v>
      </c>
      <c r="D2177" s="3">
        <v>122468</v>
      </c>
      <c r="E2177" s="3" t="s">
        <v>27</v>
      </c>
      <c r="F2177" s="3">
        <v>705270</v>
      </c>
      <c r="G2177" s="3">
        <v>73899</v>
      </c>
      <c r="H2177" s="3">
        <v>455908</v>
      </c>
      <c r="I2177" s="3">
        <v>48569</v>
      </c>
    </row>
    <row r="2178" spans="1:9">
      <c r="A2178" s="3" t="s">
        <v>2203</v>
      </c>
      <c r="B2178" s="3" t="s">
        <v>26</v>
      </c>
      <c r="C2178" s="3">
        <v>1469358</v>
      </c>
      <c r="D2178" s="3">
        <v>304136</v>
      </c>
      <c r="E2178" s="3" t="s">
        <v>27</v>
      </c>
      <c r="F2178" s="3">
        <v>974188</v>
      </c>
      <c r="G2178" s="3">
        <v>212757</v>
      </c>
      <c r="H2178" s="3">
        <v>495170</v>
      </c>
      <c r="I2178" s="3">
        <v>91379</v>
      </c>
    </row>
    <row r="2179" spans="1:9">
      <c r="A2179" s="3" t="s">
        <v>2204</v>
      </c>
      <c r="B2179" s="3" t="s">
        <v>26</v>
      </c>
      <c r="C2179" s="3">
        <v>1181114</v>
      </c>
      <c r="D2179" s="3">
        <v>155022</v>
      </c>
      <c r="E2179" s="3" t="s">
        <v>27</v>
      </c>
      <c r="F2179" s="3">
        <v>733858</v>
      </c>
      <c r="G2179" s="3">
        <v>102074</v>
      </c>
      <c r="H2179" s="3">
        <v>447256</v>
      </c>
      <c r="I2179" s="3">
        <v>52948</v>
      </c>
    </row>
    <row r="2180" spans="1:9">
      <c r="A2180" s="3" t="s">
        <v>2205</v>
      </c>
      <c r="B2180" s="3" t="s">
        <v>26</v>
      </c>
      <c r="C2180" s="3">
        <v>958153</v>
      </c>
      <c r="D2180" s="3">
        <v>112702</v>
      </c>
      <c r="E2180" s="3" t="s">
        <v>27</v>
      </c>
      <c r="F2180" s="3">
        <v>616556</v>
      </c>
      <c r="G2180" s="3">
        <v>66803</v>
      </c>
      <c r="H2180" s="3">
        <v>341597</v>
      </c>
      <c r="I2180" s="3">
        <v>45899</v>
      </c>
    </row>
    <row r="2181" spans="1:9">
      <c r="A2181" s="3" t="s">
        <v>2206</v>
      </c>
      <c r="B2181" s="3" t="s">
        <v>26</v>
      </c>
      <c r="C2181" s="3">
        <v>895733</v>
      </c>
      <c r="D2181" s="3">
        <v>113984</v>
      </c>
      <c r="E2181" s="3" t="s">
        <v>27</v>
      </c>
      <c r="F2181" s="3">
        <v>723251</v>
      </c>
      <c r="G2181" s="3">
        <v>98435</v>
      </c>
      <c r="H2181" s="3">
        <v>172482</v>
      </c>
      <c r="I2181" s="3">
        <v>15549</v>
      </c>
    </row>
    <row r="2182" spans="1:9">
      <c r="A2182" s="3" t="s">
        <v>2207</v>
      </c>
      <c r="B2182" s="3" t="s">
        <v>26</v>
      </c>
      <c r="C2182" s="3">
        <v>1087303</v>
      </c>
      <c r="D2182" s="3">
        <v>154292</v>
      </c>
      <c r="E2182" s="3" t="s">
        <v>27</v>
      </c>
      <c r="F2182" s="3">
        <v>789280</v>
      </c>
      <c r="G2182" s="3">
        <v>112869</v>
      </c>
      <c r="H2182" s="3">
        <v>298023</v>
      </c>
      <c r="I2182" s="3">
        <v>41423</v>
      </c>
    </row>
    <row r="2183" spans="1:9">
      <c r="A2183" s="3" t="s">
        <v>2208</v>
      </c>
      <c r="B2183" s="3" t="s">
        <v>26</v>
      </c>
      <c r="C2183" s="3">
        <v>1189419</v>
      </c>
      <c r="D2183" s="3">
        <v>199637</v>
      </c>
      <c r="E2183" s="3" t="s">
        <v>27</v>
      </c>
      <c r="F2183" s="3">
        <v>837938</v>
      </c>
      <c r="G2183" s="3">
        <v>148768</v>
      </c>
      <c r="H2183" s="3">
        <v>351481</v>
      </c>
      <c r="I2183" s="3">
        <v>50869</v>
      </c>
    </row>
    <row r="2184" spans="1:9">
      <c r="A2184" s="3" t="s">
        <v>2209</v>
      </c>
      <c r="B2184" s="3" t="s">
        <v>26</v>
      </c>
      <c r="C2184" s="3">
        <v>1462443</v>
      </c>
      <c r="D2184" s="3">
        <v>408853</v>
      </c>
      <c r="E2184" s="3" t="s">
        <v>27</v>
      </c>
      <c r="F2184" s="3">
        <v>1078174</v>
      </c>
      <c r="G2184" s="3">
        <v>289023</v>
      </c>
      <c r="H2184" s="3">
        <v>384269</v>
      </c>
      <c r="I2184" s="3">
        <v>119830</v>
      </c>
    </row>
    <row r="2185" spans="1:9">
      <c r="A2185" s="3" t="s">
        <v>2210</v>
      </c>
      <c r="B2185" s="3" t="s">
        <v>26</v>
      </c>
      <c r="C2185" s="3">
        <v>858523</v>
      </c>
      <c r="D2185" s="3">
        <v>42920</v>
      </c>
      <c r="E2185" s="3" t="s">
        <v>27</v>
      </c>
      <c r="F2185" s="3">
        <v>493951</v>
      </c>
      <c r="G2185" s="3">
        <v>29015</v>
      </c>
      <c r="H2185" s="3">
        <v>364572</v>
      </c>
      <c r="I2185" s="3">
        <v>13905</v>
      </c>
    </row>
    <row r="2186" spans="1:9">
      <c r="A2186" s="3" t="s">
        <v>2211</v>
      </c>
      <c r="B2186" s="3" t="s">
        <v>26</v>
      </c>
      <c r="C2186" s="3">
        <v>1231218</v>
      </c>
      <c r="D2186" s="3">
        <v>170466</v>
      </c>
      <c r="E2186" s="3" t="s">
        <v>27</v>
      </c>
      <c r="F2186" s="3">
        <v>720860</v>
      </c>
      <c r="G2186" s="3">
        <v>106949</v>
      </c>
      <c r="H2186" s="3">
        <v>510358</v>
      </c>
      <c r="I2186" s="3">
        <v>63517</v>
      </c>
    </row>
    <row r="2187" spans="1:9">
      <c r="A2187" s="3" t="s">
        <v>2212</v>
      </c>
      <c r="B2187" s="3" t="s">
        <v>26</v>
      </c>
      <c r="C2187" s="3">
        <v>1010286</v>
      </c>
      <c r="D2187" s="3">
        <v>131254</v>
      </c>
      <c r="E2187" s="3" t="s">
        <v>27</v>
      </c>
      <c r="F2187" s="3">
        <v>702760</v>
      </c>
      <c r="G2187" s="3">
        <v>95534</v>
      </c>
      <c r="H2187" s="3">
        <v>307526</v>
      </c>
      <c r="I2187" s="3">
        <v>35720</v>
      </c>
    </row>
    <row r="2188" spans="1:9">
      <c r="A2188" s="3" t="s">
        <v>2213</v>
      </c>
      <c r="B2188" s="3" t="s">
        <v>26</v>
      </c>
      <c r="C2188" s="3">
        <v>1494385</v>
      </c>
      <c r="D2188" s="3">
        <v>294027</v>
      </c>
      <c r="E2188" s="3" t="s">
        <v>27</v>
      </c>
      <c r="F2188" s="3">
        <v>988231</v>
      </c>
      <c r="G2188" s="3">
        <v>203271</v>
      </c>
      <c r="H2188" s="3">
        <v>506154</v>
      </c>
      <c r="I2188" s="3">
        <v>90756</v>
      </c>
    </row>
    <row r="2189" spans="1:9">
      <c r="A2189" s="3" t="s">
        <v>2214</v>
      </c>
      <c r="B2189" s="3" t="s">
        <v>26</v>
      </c>
      <c r="C2189" s="3">
        <v>1164545</v>
      </c>
      <c r="D2189" s="3">
        <v>140190</v>
      </c>
      <c r="E2189" s="3" t="s">
        <v>27</v>
      </c>
      <c r="F2189" s="3">
        <v>725202</v>
      </c>
      <c r="G2189" s="3">
        <v>97592</v>
      </c>
      <c r="H2189" s="3">
        <v>439343</v>
      </c>
      <c r="I2189" s="3">
        <v>42598</v>
      </c>
    </row>
    <row r="2190" spans="1:9">
      <c r="A2190" s="3" t="s">
        <v>2215</v>
      </c>
      <c r="B2190" s="3" t="s">
        <v>26</v>
      </c>
      <c r="C2190" s="3">
        <v>1065670</v>
      </c>
      <c r="D2190" s="3">
        <v>156760</v>
      </c>
      <c r="E2190" s="3" t="s">
        <v>27</v>
      </c>
      <c r="F2190" s="3">
        <v>807499</v>
      </c>
      <c r="G2190" s="3">
        <v>115743</v>
      </c>
      <c r="H2190" s="3">
        <v>258171</v>
      </c>
      <c r="I2190" s="3">
        <v>41017</v>
      </c>
    </row>
    <row r="2191" spans="1:9">
      <c r="A2191" s="3" t="s">
        <v>2216</v>
      </c>
      <c r="B2191" s="3" t="s">
        <v>26</v>
      </c>
      <c r="C2191" s="3">
        <v>1450267</v>
      </c>
      <c r="D2191" s="3">
        <v>268748</v>
      </c>
      <c r="E2191" s="3" t="s">
        <v>27</v>
      </c>
      <c r="F2191" s="3">
        <v>1023792</v>
      </c>
      <c r="G2191" s="3">
        <v>183839</v>
      </c>
      <c r="H2191" s="3">
        <v>426475</v>
      </c>
      <c r="I2191" s="3">
        <v>84909</v>
      </c>
    </row>
    <row r="2192" spans="1:9">
      <c r="A2192" s="3" t="s">
        <v>2217</v>
      </c>
      <c r="B2192" s="3" t="s">
        <v>26</v>
      </c>
      <c r="C2192" s="3">
        <v>971250</v>
      </c>
      <c r="D2192" s="3">
        <v>115551</v>
      </c>
      <c r="E2192" s="3" t="s">
        <v>27</v>
      </c>
      <c r="F2192" s="3">
        <v>679133</v>
      </c>
      <c r="G2192" s="3">
        <v>80660</v>
      </c>
      <c r="H2192" s="3">
        <v>292117</v>
      </c>
      <c r="I2192" s="3">
        <v>34891</v>
      </c>
    </row>
    <row r="2193" spans="1:9">
      <c r="A2193" s="3" t="s">
        <v>2218</v>
      </c>
      <c r="B2193" s="3" t="s">
        <v>26</v>
      </c>
      <c r="C2193" s="3">
        <v>989209</v>
      </c>
      <c r="D2193" s="3">
        <v>88478</v>
      </c>
      <c r="E2193" s="3" t="s">
        <v>27</v>
      </c>
      <c r="F2193" s="3">
        <v>544206</v>
      </c>
      <c r="G2193" s="3">
        <v>55840</v>
      </c>
      <c r="H2193" s="3">
        <v>445003</v>
      </c>
      <c r="I2193" s="3">
        <v>32638</v>
      </c>
    </row>
    <row r="2194" spans="1:9">
      <c r="A2194" s="3" t="s">
        <v>2219</v>
      </c>
      <c r="B2194" s="3" t="s">
        <v>26</v>
      </c>
      <c r="C2194" s="3">
        <v>1467438</v>
      </c>
      <c r="D2194" s="3">
        <v>360001</v>
      </c>
      <c r="E2194" s="3" t="s">
        <v>27</v>
      </c>
      <c r="F2194" s="3">
        <v>1101866</v>
      </c>
      <c r="G2194" s="3">
        <v>274000</v>
      </c>
      <c r="H2194" s="3">
        <v>365572</v>
      </c>
      <c r="I2194" s="3">
        <v>86001</v>
      </c>
    </row>
    <row r="2195" spans="1:9">
      <c r="A2195" s="3" t="s">
        <v>2220</v>
      </c>
      <c r="B2195" s="3" t="s">
        <v>26</v>
      </c>
      <c r="C2195" s="3">
        <v>1057685</v>
      </c>
      <c r="D2195" s="3">
        <v>101461</v>
      </c>
      <c r="E2195" s="3" t="s">
        <v>27</v>
      </c>
      <c r="F2195" s="3">
        <v>672718</v>
      </c>
      <c r="G2195" s="3">
        <v>79726</v>
      </c>
      <c r="H2195" s="3">
        <v>384967</v>
      </c>
      <c r="I2195" s="3">
        <v>21735</v>
      </c>
    </row>
    <row r="2196" spans="1:9">
      <c r="A2196" s="3" t="s">
        <v>2221</v>
      </c>
      <c r="B2196" s="3" t="s">
        <v>26</v>
      </c>
      <c r="C2196" s="3">
        <v>1642937</v>
      </c>
      <c r="D2196" s="3">
        <v>391431</v>
      </c>
      <c r="E2196" s="3" t="s">
        <v>27</v>
      </c>
      <c r="F2196" s="3">
        <v>1202566</v>
      </c>
      <c r="G2196" s="3">
        <v>293370</v>
      </c>
      <c r="H2196" s="3">
        <v>440371</v>
      </c>
      <c r="I2196" s="3">
        <v>98061</v>
      </c>
    </row>
    <row r="2197" spans="1:9">
      <c r="A2197" s="3" t="s">
        <v>2222</v>
      </c>
      <c r="B2197" s="3" t="s">
        <v>26</v>
      </c>
      <c r="C2197" s="3">
        <v>1332944</v>
      </c>
      <c r="D2197" s="3">
        <v>271804</v>
      </c>
      <c r="E2197" s="3" t="s">
        <v>27</v>
      </c>
      <c r="F2197" s="3">
        <v>984154</v>
      </c>
      <c r="G2197" s="3">
        <v>191958</v>
      </c>
      <c r="H2197" s="3">
        <v>348790</v>
      </c>
      <c r="I2197" s="3">
        <v>79846</v>
      </c>
    </row>
    <row r="2198" spans="1:9">
      <c r="A2198" s="3" t="s">
        <v>2223</v>
      </c>
      <c r="B2198" s="3" t="s">
        <v>26</v>
      </c>
      <c r="C2198" s="3">
        <v>619882</v>
      </c>
      <c r="D2198" s="3">
        <v>5835</v>
      </c>
      <c r="E2198" s="3" t="s">
        <v>27</v>
      </c>
      <c r="F2198" s="3">
        <v>321485</v>
      </c>
      <c r="G2198" s="3">
        <v>3837</v>
      </c>
      <c r="H2198" s="3">
        <v>298397</v>
      </c>
      <c r="I2198" s="3">
        <v>1998</v>
      </c>
    </row>
    <row r="2199" spans="1:9">
      <c r="A2199" s="3" t="s">
        <v>2224</v>
      </c>
      <c r="B2199" s="3" t="s">
        <v>26</v>
      </c>
      <c r="C2199" s="3">
        <v>797715</v>
      </c>
      <c r="D2199" s="3">
        <v>24272</v>
      </c>
      <c r="E2199" s="3" t="s">
        <v>27</v>
      </c>
      <c r="F2199" s="3">
        <v>400847</v>
      </c>
      <c r="G2199" s="3">
        <v>13432</v>
      </c>
      <c r="H2199" s="3">
        <v>396868</v>
      </c>
      <c r="I2199" s="3">
        <v>10840</v>
      </c>
    </row>
    <row r="2200" spans="1:9">
      <c r="A2200" s="3" t="s">
        <v>2225</v>
      </c>
      <c r="B2200" s="3" t="s">
        <v>26</v>
      </c>
      <c r="C2200" s="3">
        <v>1835326</v>
      </c>
      <c r="D2200" s="3">
        <v>429833</v>
      </c>
      <c r="E2200" s="3" t="s">
        <v>27</v>
      </c>
      <c r="F2200" s="3">
        <v>1361625</v>
      </c>
      <c r="G2200" s="3">
        <v>303961</v>
      </c>
      <c r="H2200" s="3">
        <v>473701</v>
      </c>
      <c r="I2200" s="3">
        <v>125872</v>
      </c>
    </row>
    <row r="2201" spans="1:9">
      <c r="A2201" s="3" t="s">
        <v>2226</v>
      </c>
      <c r="B2201" s="3" t="s">
        <v>26</v>
      </c>
      <c r="C2201" s="3">
        <v>881793</v>
      </c>
      <c r="D2201" s="3">
        <v>88895</v>
      </c>
      <c r="E2201" s="3" t="s">
        <v>27</v>
      </c>
      <c r="F2201" s="3">
        <v>558379</v>
      </c>
      <c r="G2201" s="3">
        <v>59867</v>
      </c>
      <c r="H2201" s="3">
        <v>323414</v>
      </c>
      <c r="I2201" s="3">
        <v>29028</v>
      </c>
    </row>
    <row r="2202" spans="1:9">
      <c r="A2202" s="3" t="s">
        <v>2227</v>
      </c>
      <c r="B2202" s="3" t="s">
        <v>26</v>
      </c>
      <c r="C2202" s="3">
        <v>1344630</v>
      </c>
      <c r="D2202" s="3">
        <v>215894</v>
      </c>
      <c r="E2202" s="3" t="s">
        <v>27</v>
      </c>
      <c r="F2202" s="3">
        <v>850867</v>
      </c>
      <c r="G2202" s="3">
        <v>140435</v>
      </c>
      <c r="H2202" s="3">
        <v>493763</v>
      </c>
      <c r="I2202" s="3">
        <v>75459</v>
      </c>
    </row>
    <row r="2203" spans="1:9">
      <c r="A2203" s="3" t="s">
        <v>2228</v>
      </c>
      <c r="B2203" s="3" t="s">
        <v>26</v>
      </c>
      <c r="C2203" s="3">
        <v>1549007</v>
      </c>
      <c r="D2203" s="3">
        <v>258096</v>
      </c>
      <c r="E2203" s="3" t="s">
        <v>27</v>
      </c>
      <c r="F2203" s="3">
        <v>929350</v>
      </c>
      <c r="G2203" s="3">
        <v>145308</v>
      </c>
      <c r="H2203" s="3">
        <v>619657</v>
      </c>
      <c r="I2203" s="3">
        <v>112788</v>
      </c>
    </row>
    <row r="2204" spans="1:9">
      <c r="A2204" s="3" t="s">
        <v>2229</v>
      </c>
      <c r="B2204" s="3" t="s">
        <v>26</v>
      </c>
      <c r="C2204" s="3">
        <v>1153015</v>
      </c>
      <c r="D2204" s="3">
        <v>110718</v>
      </c>
      <c r="E2204" s="3" t="s">
        <v>27</v>
      </c>
      <c r="F2204" s="3">
        <v>673813</v>
      </c>
      <c r="G2204" s="3">
        <v>66924</v>
      </c>
      <c r="H2204" s="3">
        <v>479202</v>
      </c>
      <c r="I2204" s="3">
        <v>43794</v>
      </c>
    </row>
    <row r="2205" spans="1:9">
      <c r="A2205" s="3" t="s">
        <v>2230</v>
      </c>
      <c r="B2205" s="3" t="s">
        <v>26</v>
      </c>
      <c r="C2205" s="3">
        <v>1238571</v>
      </c>
      <c r="D2205" s="3">
        <v>131134</v>
      </c>
      <c r="E2205" s="3" t="s">
        <v>27</v>
      </c>
      <c r="F2205" s="3">
        <v>691265</v>
      </c>
      <c r="G2205" s="3">
        <v>83652</v>
      </c>
      <c r="H2205" s="3">
        <v>547306</v>
      </c>
      <c r="I2205" s="3">
        <v>47482</v>
      </c>
    </row>
    <row r="2206" spans="1:9">
      <c r="A2206" s="3" t="s">
        <v>2231</v>
      </c>
      <c r="B2206" s="3" t="s">
        <v>26</v>
      </c>
      <c r="C2206" s="3">
        <v>907896</v>
      </c>
      <c r="D2206" s="3">
        <v>133454</v>
      </c>
      <c r="E2206" s="3" t="s">
        <v>27</v>
      </c>
      <c r="F2206" s="3">
        <v>606087</v>
      </c>
      <c r="G2206" s="3">
        <v>99418</v>
      </c>
      <c r="H2206" s="3">
        <v>301809</v>
      </c>
      <c r="I2206" s="3">
        <v>34036</v>
      </c>
    </row>
    <row r="2207" spans="1:9">
      <c r="A2207" s="3" t="s">
        <v>2232</v>
      </c>
      <c r="B2207" s="3" t="s">
        <v>26</v>
      </c>
      <c r="C2207" s="3">
        <v>1724306</v>
      </c>
      <c r="D2207" s="3">
        <v>424002</v>
      </c>
      <c r="E2207" s="3" t="s">
        <v>27</v>
      </c>
      <c r="F2207" s="3">
        <v>1176043</v>
      </c>
      <c r="G2207" s="3">
        <v>292861</v>
      </c>
      <c r="H2207" s="3">
        <v>548263</v>
      </c>
      <c r="I2207" s="3">
        <v>131141</v>
      </c>
    </row>
    <row r="2208" spans="1:9">
      <c r="A2208" s="3" t="s">
        <v>2233</v>
      </c>
      <c r="B2208" s="3" t="s">
        <v>26</v>
      </c>
      <c r="C2208" s="3">
        <v>1253130</v>
      </c>
      <c r="D2208" s="3">
        <v>117427</v>
      </c>
      <c r="E2208" s="3" t="s">
        <v>27</v>
      </c>
      <c r="F2208" s="3">
        <v>796969</v>
      </c>
      <c r="G2208" s="3">
        <v>74106</v>
      </c>
      <c r="H2208" s="3">
        <v>456161</v>
      </c>
      <c r="I2208" s="3">
        <v>43321</v>
      </c>
    </row>
    <row r="2209" spans="1:9">
      <c r="A2209" s="3" t="s">
        <v>2234</v>
      </c>
      <c r="B2209" s="3" t="s">
        <v>26</v>
      </c>
      <c r="C2209" s="3">
        <v>1349397</v>
      </c>
      <c r="D2209" s="3">
        <v>249360</v>
      </c>
      <c r="E2209" s="3" t="s">
        <v>27</v>
      </c>
      <c r="F2209" s="3">
        <v>980460</v>
      </c>
      <c r="G2209" s="3">
        <v>169574</v>
      </c>
      <c r="H2209" s="3">
        <v>368937</v>
      </c>
      <c r="I2209" s="3">
        <v>79786</v>
      </c>
    </row>
    <row r="2210" spans="1:9">
      <c r="A2210" s="3" t="s">
        <v>2235</v>
      </c>
      <c r="B2210" s="3" t="s">
        <v>26</v>
      </c>
      <c r="C2210" s="3">
        <v>1117370</v>
      </c>
      <c r="D2210" s="3">
        <v>57293</v>
      </c>
      <c r="E2210" s="3" t="s">
        <v>27</v>
      </c>
      <c r="F2210" s="3">
        <v>637573</v>
      </c>
      <c r="G2210" s="3">
        <v>31246</v>
      </c>
      <c r="H2210" s="3">
        <v>479797</v>
      </c>
      <c r="I2210" s="3">
        <v>26047</v>
      </c>
    </row>
    <row r="2211" spans="1:9">
      <c r="A2211" s="3" t="s">
        <v>2236</v>
      </c>
      <c r="B2211" s="3" t="s">
        <v>26</v>
      </c>
      <c r="C2211" s="3">
        <v>1189074</v>
      </c>
      <c r="D2211" s="3">
        <v>85843</v>
      </c>
      <c r="E2211" s="3" t="s">
        <v>27</v>
      </c>
      <c r="F2211" s="3">
        <v>732524</v>
      </c>
      <c r="G2211" s="3">
        <v>59279</v>
      </c>
      <c r="H2211" s="3">
        <v>456550</v>
      </c>
      <c r="I2211" s="3">
        <v>26564</v>
      </c>
    </row>
    <row r="2212" spans="1:9">
      <c r="A2212" s="3" t="s">
        <v>2237</v>
      </c>
      <c r="B2212" s="3" t="s">
        <v>26</v>
      </c>
      <c r="C2212" s="3">
        <v>833233</v>
      </c>
      <c r="D2212" s="3">
        <v>24430</v>
      </c>
      <c r="E2212" s="3" t="s">
        <v>27</v>
      </c>
      <c r="F2212" s="3">
        <v>463971</v>
      </c>
      <c r="G2212" s="3">
        <v>15774</v>
      </c>
      <c r="H2212" s="3">
        <v>369262</v>
      </c>
      <c r="I2212" s="3">
        <v>8656</v>
      </c>
    </row>
    <row r="2213" spans="1:9">
      <c r="A2213" s="3" t="s">
        <v>2238</v>
      </c>
      <c r="B2213" s="3" t="s">
        <v>26</v>
      </c>
      <c r="C2213" s="3">
        <v>8258</v>
      </c>
      <c r="D2213" s="3">
        <v>1697</v>
      </c>
      <c r="E2213" s="3" t="s">
        <v>27</v>
      </c>
      <c r="F2213" s="3">
        <v>8258</v>
      </c>
      <c r="G2213" s="3">
        <v>1697</v>
      </c>
      <c r="H2213" s="3">
        <v>0</v>
      </c>
      <c r="I2213" s="3">
        <v>0</v>
      </c>
    </row>
    <row r="2214" spans="1:9">
      <c r="A2214" s="3" t="s">
        <v>2239</v>
      </c>
      <c r="B2214" s="3" t="s">
        <v>26</v>
      </c>
      <c r="C2214" s="3">
        <v>1133204</v>
      </c>
      <c r="D2214" s="3">
        <v>151015</v>
      </c>
      <c r="E2214" s="3" t="s">
        <v>27</v>
      </c>
      <c r="F2214" s="3">
        <v>718186</v>
      </c>
      <c r="G2214" s="3">
        <v>97067</v>
      </c>
      <c r="H2214" s="3">
        <v>415018</v>
      </c>
      <c r="I2214" s="3">
        <v>53948</v>
      </c>
    </row>
    <row r="2215" spans="1:9">
      <c r="A2215" s="3" t="s">
        <v>2240</v>
      </c>
      <c r="B2215" s="3" t="s">
        <v>26</v>
      </c>
      <c r="C2215" s="3">
        <v>1165707</v>
      </c>
      <c r="D2215" s="3">
        <v>212291</v>
      </c>
      <c r="E2215" s="3" t="s">
        <v>27</v>
      </c>
      <c r="F2215" s="3">
        <v>1003197</v>
      </c>
      <c r="G2215" s="3">
        <v>174233</v>
      </c>
      <c r="H2215" s="3">
        <v>162510</v>
      </c>
      <c r="I2215" s="3">
        <v>38058</v>
      </c>
    </row>
    <row r="2216" spans="1:9">
      <c r="A2216" s="3" t="s">
        <v>2241</v>
      </c>
      <c r="B2216" s="3" t="s">
        <v>26</v>
      </c>
      <c r="C2216" s="3">
        <v>1548735</v>
      </c>
      <c r="D2216" s="3">
        <v>240049</v>
      </c>
      <c r="E2216" s="3" t="s">
        <v>27</v>
      </c>
      <c r="F2216" s="3">
        <v>905055</v>
      </c>
      <c r="G2216" s="3">
        <v>151995</v>
      </c>
      <c r="H2216" s="3">
        <v>643680</v>
      </c>
      <c r="I2216" s="3">
        <v>88054</v>
      </c>
    </row>
    <row r="2217" spans="1:9">
      <c r="A2217" s="3" t="s">
        <v>2242</v>
      </c>
      <c r="B2217" s="3" t="s">
        <v>26</v>
      </c>
      <c r="C2217" s="3">
        <v>944607</v>
      </c>
      <c r="D2217" s="3">
        <v>41972</v>
      </c>
      <c r="E2217" s="3" t="s">
        <v>27</v>
      </c>
      <c r="F2217" s="3">
        <v>551164</v>
      </c>
      <c r="G2217" s="3">
        <v>24063</v>
      </c>
      <c r="H2217" s="3">
        <v>393443</v>
      </c>
      <c r="I2217" s="3">
        <v>17909</v>
      </c>
    </row>
    <row r="2218" spans="1:9">
      <c r="A2218" s="3" t="s">
        <v>2243</v>
      </c>
      <c r="B2218" s="3" t="s">
        <v>26</v>
      </c>
      <c r="C2218" s="3">
        <v>1169356</v>
      </c>
      <c r="D2218" s="3">
        <v>105498</v>
      </c>
      <c r="E2218" s="3" t="s">
        <v>27</v>
      </c>
      <c r="F2218" s="3">
        <v>712106</v>
      </c>
      <c r="G2218" s="3">
        <v>73520</v>
      </c>
      <c r="H2218" s="3">
        <v>457250</v>
      </c>
      <c r="I2218" s="3">
        <v>31978</v>
      </c>
    </row>
    <row r="2219" spans="1:9">
      <c r="A2219" s="3" t="s">
        <v>2244</v>
      </c>
      <c r="B2219" s="3" t="s">
        <v>26</v>
      </c>
      <c r="C2219" s="3">
        <v>6003</v>
      </c>
      <c r="D2219" s="3">
        <v>787</v>
      </c>
      <c r="E2219" s="3" t="s">
        <v>27</v>
      </c>
      <c r="F2219" s="3">
        <v>6003</v>
      </c>
      <c r="G2219" s="3">
        <v>787</v>
      </c>
      <c r="H2219" s="3">
        <v>0</v>
      </c>
      <c r="I2219" s="3">
        <v>0</v>
      </c>
    </row>
    <row r="2220" spans="1:9">
      <c r="A2220" s="3" t="s">
        <v>2245</v>
      </c>
      <c r="B2220" s="3" t="s">
        <v>26</v>
      </c>
      <c r="C2220" s="3">
        <v>1323437</v>
      </c>
      <c r="D2220" s="3">
        <v>214219</v>
      </c>
      <c r="E2220" s="3" t="s">
        <v>27</v>
      </c>
      <c r="F2220" s="3">
        <v>807568</v>
      </c>
      <c r="G2220" s="3">
        <v>127561</v>
      </c>
      <c r="H2220" s="3">
        <v>515869</v>
      </c>
      <c r="I2220" s="3">
        <v>86658</v>
      </c>
    </row>
    <row r="2221" spans="1:9">
      <c r="A2221" s="3" t="s">
        <v>2246</v>
      </c>
      <c r="B2221" s="3" t="s">
        <v>26</v>
      </c>
      <c r="C2221" s="3">
        <v>818525</v>
      </c>
      <c r="D2221" s="3">
        <v>71892</v>
      </c>
      <c r="E2221" s="3" t="s">
        <v>27</v>
      </c>
      <c r="F2221" s="3">
        <v>576446</v>
      </c>
      <c r="G2221" s="3">
        <v>54371</v>
      </c>
      <c r="H2221" s="3">
        <v>242079</v>
      </c>
      <c r="I2221" s="3">
        <v>17521</v>
      </c>
    </row>
    <row r="2222" spans="1:9">
      <c r="A2222" s="3" t="s">
        <v>2247</v>
      </c>
      <c r="B2222" s="3" t="s">
        <v>26</v>
      </c>
      <c r="C2222" s="3">
        <v>1308894</v>
      </c>
      <c r="D2222" s="3">
        <v>183262</v>
      </c>
      <c r="E2222" s="3" t="s">
        <v>27</v>
      </c>
      <c r="F2222" s="3">
        <v>872457</v>
      </c>
      <c r="G2222" s="3">
        <v>121250</v>
      </c>
      <c r="H2222" s="3">
        <v>436437</v>
      </c>
      <c r="I2222" s="3">
        <v>62012</v>
      </c>
    </row>
    <row r="2223" spans="1:9">
      <c r="A2223" s="3" t="s">
        <v>2248</v>
      </c>
      <c r="B2223" s="3" t="s">
        <v>26</v>
      </c>
      <c r="C2223" s="3">
        <v>848661</v>
      </c>
      <c r="D2223" s="3">
        <v>38369</v>
      </c>
      <c r="E2223" s="3" t="s">
        <v>27</v>
      </c>
      <c r="F2223" s="3">
        <v>496927</v>
      </c>
      <c r="G2223" s="3">
        <v>23583</v>
      </c>
      <c r="H2223" s="3">
        <v>351734</v>
      </c>
      <c r="I2223" s="3">
        <v>14786</v>
      </c>
    </row>
    <row r="2224" spans="1:9">
      <c r="A2224" s="3" t="s">
        <v>2249</v>
      </c>
      <c r="B2224" s="3" t="s">
        <v>26</v>
      </c>
      <c r="C2224" s="3">
        <v>1439682</v>
      </c>
      <c r="D2224" s="3">
        <v>217540</v>
      </c>
      <c r="E2224" s="3" t="s">
        <v>27</v>
      </c>
      <c r="F2224" s="3">
        <v>931661</v>
      </c>
      <c r="G2224" s="3">
        <v>136208</v>
      </c>
      <c r="H2224" s="3">
        <v>508021</v>
      </c>
      <c r="I2224" s="3">
        <v>81332</v>
      </c>
    </row>
    <row r="2225" spans="1:9">
      <c r="A2225" s="3" t="s">
        <v>2250</v>
      </c>
      <c r="B2225" s="3" t="s">
        <v>26</v>
      </c>
      <c r="C2225" s="3">
        <v>1440984</v>
      </c>
      <c r="D2225" s="3">
        <v>377167</v>
      </c>
      <c r="E2225" s="3" t="s">
        <v>27</v>
      </c>
      <c r="F2225" s="3">
        <v>1056257</v>
      </c>
      <c r="G2225" s="3">
        <v>268529</v>
      </c>
      <c r="H2225" s="3">
        <v>384727</v>
      </c>
      <c r="I2225" s="3">
        <v>108638</v>
      </c>
    </row>
    <row r="2226" spans="1:9">
      <c r="A2226" s="3" t="s">
        <v>2251</v>
      </c>
      <c r="B2226" s="3" t="s">
        <v>26</v>
      </c>
      <c r="C2226" s="3">
        <v>1057728</v>
      </c>
      <c r="D2226" s="3">
        <v>92920</v>
      </c>
      <c r="E2226" s="3" t="s">
        <v>27</v>
      </c>
      <c r="F2226" s="3">
        <v>611811</v>
      </c>
      <c r="G2226" s="3">
        <v>58469</v>
      </c>
      <c r="H2226" s="3">
        <v>445917</v>
      </c>
      <c r="I2226" s="3">
        <v>34451</v>
      </c>
    </row>
    <row r="2227" spans="1:9">
      <c r="A2227" s="3" t="s">
        <v>2252</v>
      </c>
      <c r="B2227" s="3" t="s">
        <v>26</v>
      </c>
      <c r="C2227" s="3">
        <v>1679434</v>
      </c>
      <c r="D2227" s="3">
        <v>443460</v>
      </c>
      <c r="E2227" s="3" t="s">
        <v>27</v>
      </c>
      <c r="F2227" s="3">
        <v>1357797</v>
      </c>
      <c r="G2227" s="3">
        <v>355229</v>
      </c>
      <c r="H2227" s="3">
        <v>321637</v>
      </c>
      <c r="I2227" s="3">
        <v>88231</v>
      </c>
    </row>
    <row r="2228" spans="1:9">
      <c r="A2228" s="3" t="s">
        <v>2253</v>
      </c>
      <c r="B2228" s="3" t="s">
        <v>26</v>
      </c>
      <c r="C2228" s="3">
        <v>1359206</v>
      </c>
      <c r="D2228" s="3">
        <v>218203</v>
      </c>
      <c r="E2228" s="3" t="s">
        <v>27</v>
      </c>
      <c r="F2228" s="3">
        <v>961765</v>
      </c>
      <c r="G2228" s="3">
        <v>160155</v>
      </c>
      <c r="H2228" s="3">
        <v>397441</v>
      </c>
      <c r="I2228" s="3">
        <v>58048</v>
      </c>
    </row>
    <row r="2229" spans="1:9">
      <c r="A2229" s="3" t="s">
        <v>2254</v>
      </c>
      <c r="B2229" s="3" t="s">
        <v>26</v>
      </c>
      <c r="C2229" s="3">
        <v>1000245</v>
      </c>
      <c r="D2229" s="3">
        <v>63242</v>
      </c>
      <c r="E2229" s="3" t="s">
        <v>27</v>
      </c>
      <c r="F2229" s="3">
        <v>554175</v>
      </c>
      <c r="G2229" s="3">
        <v>34968</v>
      </c>
      <c r="H2229" s="3">
        <v>446070</v>
      </c>
      <c r="I2229" s="3">
        <v>28274</v>
      </c>
    </row>
    <row r="2230" spans="1:9">
      <c r="A2230" s="3" t="s">
        <v>2255</v>
      </c>
      <c r="B2230" s="3" t="s">
        <v>26</v>
      </c>
      <c r="C2230" s="3">
        <v>762000</v>
      </c>
      <c r="D2230" s="3">
        <v>5152</v>
      </c>
      <c r="E2230" s="3" t="s">
        <v>27</v>
      </c>
      <c r="F2230" s="3">
        <v>409951</v>
      </c>
      <c r="G2230" s="3">
        <v>2521</v>
      </c>
      <c r="H2230" s="3">
        <v>352049</v>
      </c>
      <c r="I2230" s="3">
        <v>2631</v>
      </c>
    </row>
    <row r="2231" spans="1:9">
      <c r="A2231" s="3" t="s">
        <v>2256</v>
      </c>
      <c r="B2231" s="3" t="s">
        <v>26</v>
      </c>
      <c r="C2231" s="3">
        <v>2021027</v>
      </c>
      <c r="D2231" s="3">
        <v>608992</v>
      </c>
      <c r="E2231" s="3" t="s">
        <v>27</v>
      </c>
      <c r="F2231" s="3">
        <v>1527574</v>
      </c>
      <c r="G2231" s="3">
        <v>440918</v>
      </c>
      <c r="H2231" s="3">
        <v>493453</v>
      </c>
      <c r="I2231" s="3">
        <v>168074</v>
      </c>
    </row>
    <row r="2232" spans="1:9">
      <c r="A2232" s="3" t="s">
        <v>2257</v>
      </c>
      <c r="B2232" s="3" t="s">
        <v>26</v>
      </c>
      <c r="C2232" s="3">
        <v>880597</v>
      </c>
      <c r="D2232" s="3">
        <v>33368</v>
      </c>
      <c r="E2232" s="3" t="s">
        <v>27</v>
      </c>
      <c r="F2232" s="3">
        <v>476587</v>
      </c>
      <c r="G2232" s="3">
        <v>14610</v>
      </c>
      <c r="H2232" s="3">
        <v>404010</v>
      </c>
      <c r="I2232" s="3">
        <v>18758</v>
      </c>
    </row>
    <row r="2233" spans="1:9">
      <c r="A2233" s="3" t="s">
        <v>2258</v>
      </c>
      <c r="B2233" s="3" t="s">
        <v>26</v>
      </c>
      <c r="C2233" s="3">
        <v>1172756</v>
      </c>
      <c r="D2233" s="3">
        <v>132348</v>
      </c>
      <c r="E2233" s="3" t="s">
        <v>27</v>
      </c>
      <c r="F2233" s="3">
        <v>724440</v>
      </c>
      <c r="G2233" s="3">
        <v>86975</v>
      </c>
      <c r="H2233" s="3">
        <v>448316</v>
      </c>
      <c r="I2233" s="3">
        <v>45373</v>
      </c>
    </row>
    <row r="2234" spans="1:9">
      <c r="A2234" s="3" t="s">
        <v>2259</v>
      </c>
      <c r="B2234" s="3" t="s">
        <v>26</v>
      </c>
      <c r="C2234" s="3">
        <v>2424608</v>
      </c>
      <c r="D2234" s="3">
        <v>870627</v>
      </c>
      <c r="E2234" s="3" t="s">
        <v>27</v>
      </c>
      <c r="F2234" s="3">
        <v>1666377</v>
      </c>
      <c r="G2234" s="3">
        <v>590722</v>
      </c>
      <c r="H2234" s="3">
        <v>758231</v>
      </c>
      <c r="I2234" s="3">
        <v>279905</v>
      </c>
    </row>
    <row r="2235" spans="1:9">
      <c r="A2235" s="3" t="s">
        <v>2260</v>
      </c>
      <c r="B2235" s="3" t="s">
        <v>26</v>
      </c>
      <c r="C2235" s="3">
        <v>1881545</v>
      </c>
      <c r="D2235" s="3">
        <v>560213</v>
      </c>
      <c r="E2235" s="3" t="s">
        <v>27</v>
      </c>
      <c r="F2235" s="3">
        <v>1502051</v>
      </c>
      <c r="G2235" s="3">
        <v>440319</v>
      </c>
      <c r="H2235" s="3">
        <v>379494</v>
      </c>
      <c r="I2235" s="3">
        <v>119894</v>
      </c>
    </row>
    <row r="2236" spans="1:9">
      <c r="A2236" s="3" t="s">
        <v>2261</v>
      </c>
      <c r="B2236" s="3" t="s">
        <v>26</v>
      </c>
      <c r="C2236" s="3">
        <v>1338480</v>
      </c>
      <c r="D2236" s="3">
        <v>201745</v>
      </c>
      <c r="E2236" s="3" t="s">
        <v>27</v>
      </c>
      <c r="F2236" s="3">
        <v>840202</v>
      </c>
      <c r="G2236" s="3">
        <v>116778</v>
      </c>
      <c r="H2236" s="3">
        <v>498278</v>
      </c>
      <c r="I2236" s="3">
        <v>84967</v>
      </c>
    </row>
    <row r="2237" spans="1:9">
      <c r="A2237" s="3" t="s">
        <v>2262</v>
      </c>
      <c r="B2237" s="3" t="s">
        <v>26</v>
      </c>
      <c r="C2237" s="3">
        <v>1373659</v>
      </c>
      <c r="D2237" s="3">
        <v>26470</v>
      </c>
      <c r="E2237" s="3" t="s">
        <v>27</v>
      </c>
      <c r="F2237" s="3">
        <v>713068</v>
      </c>
      <c r="G2237" s="3">
        <v>15333</v>
      </c>
      <c r="H2237" s="3">
        <v>660591</v>
      </c>
      <c r="I2237" s="3">
        <v>11137</v>
      </c>
    </row>
    <row r="2238" spans="1:9">
      <c r="A2238" s="3" t="s">
        <v>2263</v>
      </c>
      <c r="B2238" s="3" t="s">
        <v>26</v>
      </c>
      <c r="C2238" s="3">
        <v>2239126</v>
      </c>
      <c r="D2238" s="3">
        <v>674796</v>
      </c>
      <c r="E2238" s="3" t="s">
        <v>27</v>
      </c>
      <c r="F2238" s="3">
        <v>1635941</v>
      </c>
      <c r="G2238" s="3">
        <v>458729</v>
      </c>
      <c r="H2238" s="3">
        <v>603185</v>
      </c>
      <c r="I2238" s="3">
        <v>216067</v>
      </c>
    </row>
    <row r="2239" spans="1:9">
      <c r="A2239" s="3" t="s">
        <v>2264</v>
      </c>
      <c r="B2239" s="3" t="s">
        <v>26</v>
      </c>
      <c r="C2239" s="3">
        <v>1506536</v>
      </c>
      <c r="D2239" s="3">
        <v>271713</v>
      </c>
      <c r="E2239" s="3" t="s">
        <v>27</v>
      </c>
      <c r="F2239" s="3">
        <v>1131082</v>
      </c>
      <c r="G2239" s="3">
        <v>195260</v>
      </c>
      <c r="H2239" s="3">
        <v>375454</v>
      </c>
      <c r="I2239" s="3">
        <v>76453</v>
      </c>
    </row>
    <row r="2240" spans="1:9">
      <c r="A2240" s="3" t="s">
        <v>2265</v>
      </c>
      <c r="B2240" s="3" t="s">
        <v>26</v>
      </c>
      <c r="C2240" s="3">
        <v>769111</v>
      </c>
      <c r="D2240" s="3">
        <v>17686</v>
      </c>
      <c r="E2240" s="3" t="s">
        <v>27</v>
      </c>
      <c r="F2240" s="3">
        <v>434427</v>
      </c>
      <c r="G2240" s="3">
        <v>9214</v>
      </c>
      <c r="H2240" s="3">
        <v>334684</v>
      </c>
      <c r="I2240" s="3">
        <v>8472</v>
      </c>
    </row>
    <row r="2241" spans="1:9">
      <c r="A2241" s="3" t="s">
        <v>2266</v>
      </c>
      <c r="B2241" s="3" t="s">
        <v>26</v>
      </c>
      <c r="C2241" s="3">
        <v>1040637</v>
      </c>
      <c r="D2241" s="3">
        <v>117729</v>
      </c>
      <c r="E2241" s="3" t="s">
        <v>27</v>
      </c>
      <c r="F2241" s="3">
        <v>589950</v>
      </c>
      <c r="G2241" s="3">
        <v>66397</v>
      </c>
      <c r="H2241" s="3">
        <v>450687</v>
      </c>
      <c r="I2241" s="3">
        <v>51332</v>
      </c>
    </row>
    <row r="2242" spans="1:9">
      <c r="A2242" s="3" t="s">
        <v>2267</v>
      </c>
      <c r="B2242" s="3" t="s">
        <v>26</v>
      </c>
      <c r="C2242" s="3">
        <v>1156922</v>
      </c>
      <c r="D2242" s="3">
        <v>223504</v>
      </c>
      <c r="E2242" s="3" t="s">
        <v>27</v>
      </c>
      <c r="F2242" s="3">
        <v>778981</v>
      </c>
      <c r="G2242" s="3">
        <v>150069</v>
      </c>
      <c r="H2242" s="3">
        <v>377941</v>
      </c>
      <c r="I2242" s="3">
        <v>73435</v>
      </c>
    </row>
    <row r="2243" spans="1:9">
      <c r="A2243" s="3" t="s">
        <v>2268</v>
      </c>
      <c r="B2243" s="3" t="s">
        <v>26</v>
      </c>
      <c r="C2243" s="3">
        <v>1019548</v>
      </c>
      <c r="D2243" s="3">
        <v>65684</v>
      </c>
      <c r="E2243" s="3" t="s">
        <v>27</v>
      </c>
      <c r="F2243" s="3">
        <v>543127</v>
      </c>
      <c r="G2243" s="3">
        <v>34402</v>
      </c>
      <c r="H2243" s="3">
        <v>476421</v>
      </c>
      <c r="I2243" s="3">
        <v>31282</v>
      </c>
    </row>
    <row r="2244" spans="1:9">
      <c r="A2244" s="3" t="s">
        <v>2269</v>
      </c>
      <c r="B2244" s="3" t="s">
        <v>26</v>
      </c>
      <c r="C2244" s="3">
        <v>819849</v>
      </c>
      <c r="D2244" s="3">
        <v>146972</v>
      </c>
      <c r="E2244" s="3" t="s">
        <v>27</v>
      </c>
      <c r="F2244" s="3">
        <v>639795</v>
      </c>
      <c r="G2244" s="3">
        <v>105305</v>
      </c>
      <c r="H2244" s="3">
        <v>180054</v>
      </c>
      <c r="I2244" s="3">
        <v>41667</v>
      </c>
    </row>
    <row r="2245" spans="1:9">
      <c r="A2245" s="3" t="s">
        <v>2270</v>
      </c>
      <c r="B2245" s="3" t="s">
        <v>26</v>
      </c>
      <c r="C2245" s="3">
        <v>1118527</v>
      </c>
      <c r="D2245" s="3">
        <v>101849</v>
      </c>
      <c r="E2245" s="3" t="s">
        <v>27</v>
      </c>
      <c r="F2245" s="3">
        <v>765463</v>
      </c>
      <c r="G2245" s="3">
        <v>74011</v>
      </c>
      <c r="H2245" s="3">
        <v>353064</v>
      </c>
      <c r="I2245" s="3">
        <v>27838</v>
      </c>
    </row>
    <row r="2246" spans="1:9">
      <c r="A2246" s="3" t="s">
        <v>2271</v>
      </c>
      <c r="B2246" s="3" t="s">
        <v>26</v>
      </c>
      <c r="C2246" s="3">
        <v>1148271</v>
      </c>
      <c r="D2246" s="3">
        <v>196828</v>
      </c>
      <c r="E2246" s="3" t="s">
        <v>27</v>
      </c>
      <c r="F2246" s="3">
        <v>987670</v>
      </c>
      <c r="G2246" s="3">
        <v>156940</v>
      </c>
      <c r="H2246" s="3">
        <v>160601</v>
      </c>
      <c r="I2246" s="3">
        <v>39888</v>
      </c>
    </row>
    <row r="2247" spans="1:9">
      <c r="A2247" s="3" t="s">
        <v>2272</v>
      </c>
      <c r="B2247" s="3" t="s">
        <v>26</v>
      </c>
      <c r="C2247" s="3">
        <v>789365</v>
      </c>
      <c r="D2247" s="3">
        <v>1063</v>
      </c>
      <c r="E2247" s="3" t="s">
        <v>27</v>
      </c>
      <c r="F2247" s="3">
        <v>335601</v>
      </c>
      <c r="G2247" s="3">
        <v>55</v>
      </c>
      <c r="H2247" s="3">
        <v>453764</v>
      </c>
      <c r="I2247" s="3">
        <v>1008</v>
      </c>
    </row>
    <row r="2248" spans="1:9">
      <c r="A2248" s="3" t="s">
        <v>2273</v>
      </c>
      <c r="B2248" s="3" t="s">
        <v>26</v>
      </c>
      <c r="C2248" s="3">
        <v>1504693</v>
      </c>
      <c r="D2248" s="3">
        <v>78692</v>
      </c>
      <c r="E2248" s="3" t="s">
        <v>27</v>
      </c>
      <c r="F2248" s="3">
        <v>782635</v>
      </c>
      <c r="G2248" s="3">
        <v>44731</v>
      </c>
      <c r="H2248" s="3">
        <v>722058</v>
      </c>
      <c r="I2248" s="3">
        <v>33961</v>
      </c>
    </row>
    <row r="2249" spans="1:9">
      <c r="A2249" s="3" t="s">
        <v>2274</v>
      </c>
      <c r="B2249" s="3" t="s">
        <v>26</v>
      </c>
      <c r="C2249" s="3">
        <v>1726676</v>
      </c>
      <c r="D2249" s="3">
        <v>495562</v>
      </c>
      <c r="E2249" s="3" t="s">
        <v>27</v>
      </c>
      <c r="F2249" s="3">
        <v>1281919</v>
      </c>
      <c r="G2249" s="3">
        <v>360882</v>
      </c>
      <c r="H2249" s="3">
        <v>444757</v>
      </c>
      <c r="I2249" s="3">
        <v>134680</v>
      </c>
    </row>
    <row r="2250" spans="1:9">
      <c r="A2250" s="3" t="s">
        <v>2275</v>
      </c>
      <c r="B2250" s="3" t="s">
        <v>26</v>
      </c>
      <c r="C2250" s="3">
        <v>2040548</v>
      </c>
      <c r="D2250" s="3">
        <v>512415</v>
      </c>
      <c r="E2250" s="3" t="s">
        <v>27</v>
      </c>
      <c r="F2250" s="3">
        <v>1374591</v>
      </c>
      <c r="G2250" s="3">
        <v>335560</v>
      </c>
      <c r="H2250" s="3">
        <v>665957</v>
      </c>
      <c r="I2250" s="3">
        <v>176855</v>
      </c>
    </row>
    <row r="2251" spans="1:9">
      <c r="A2251" s="3" t="s">
        <v>2276</v>
      </c>
      <c r="B2251" s="3" t="s">
        <v>26</v>
      </c>
      <c r="C2251" s="3">
        <v>1198633</v>
      </c>
      <c r="D2251" s="3">
        <v>217780</v>
      </c>
      <c r="E2251" s="3" t="s">
        <v>27</v>
      </c>
      <c r="F2251" s="3">
        <v>935745</v>
      </c>
      <c r="G2251" s="3">
        <v>161966</v>
      </c>
      <c r="H2251" s="3">
        <v>262888</v>
      </c>
      <c r="I2251" s="3">
        <v>55814</v>
      </c>
    </row>
    <row r="2252" spans="1:9">
      <c r="A2252" s="3" t="s">
        <v>2277</v>
      </c>
      <c r="B2252" s="3" t="s">
        <v>26</v>
      </c>
      <c r="C2252" s="3">
        <v>763189</v>
      </c>
      <c r="D2252" s="3">
        <v>4153</v>
      </c>
      <c r="E2252" s="3" t="s">
        <v>27</v>
      </c>
      <c r="F2252" s="3">
        <v>348847</v>
      </c>
      <c r="G2252" s="3">
        <v>669</v>
      </c>
      <c r="H2252" s="3">
        <v>414342</v>
      </c>
      <c r="I2252" s="3">
        <v>3484</v>
      </c>
    </row>
    <row r="2253" spans="1:9">
      <c r="A2253" s="3" t="s">
        <v>2278</v>
      </c>
      <c r="B2253" s="3" t="s">
        <v>26</v>
      </c>
      <c r="C2253" s="3">
        <v>1636914</v>
      </c>
      <c r="D2253" s="3">
        <v>346324</v>
      </c>
      <c r="E2253" s="3" t="s">
        <v>27</v>
      </c>
      <c r="F2253" s="3">
        <v>1209494</v>
      </c>
      <c r="G2253" s="3">
        <v>237726</v>
      </c>
      <c r="H2253" s="3">
        <v>427420</v>
      </c>
      <c r="I2253" s="3">
        <v>108598</v>
      </c>
    </row>
    <row r="2254" spans="1:9">
      <c r="A2254" s="3" t="s">
        <v>2279</v>
      </c>
      <c r="B2254" s="3" t="s">
        <v>26</v>
      </c>
      <c r="C2254" s="3">
        <v>1956295</v>
      </c>
      <c r="D2254" s="3">
        <v>415119</v>
      </c>
      <c r="E2254" s="3" t="s">
        <v>27</v>
      </c>
      <c r="F2254" s="3">
        <v>1263052</v>
      </c>
      <c r="G2254" s="3">
        <v>263718</v>
      </c>
      <c r="H2254" s="3">
        <v>693243</v>
      </c>
      <c r="I2254" s="3">
        <v>151401</v>
      </c>
    </row>
    <row r="2255" spans="1:9">
      <c r="A2255" s="3" t="s">
        <v>2280</v>
      </c>
      <c r="B2255" s="3" t="s">
        <v>26</v>
      </c>
      <c r="C2255" s="3">
        <v>1572234</v>
      </c>
      <c r="D2255" s="3">
        <v>238078</v>
      </c>
      <c r="E2255" s="3" t="s">
        <v>27</v>
      </c>
      <c r="F2255" s="3">
        <v>1061138</v>
      </c>
      <c r="G2255" s="3">
        <v>150021</v>
      </c>
      <c r="H2255" s="3">
        <v>511096</v>
      </c>
      <c r="I2255" s="3">
        <v>88057</v>
      </c>
    </row>
    <row r="2256" spans="1:9">
      <c r="A2256" s="3" t="s">
        <v>2281</v>
      </c>
      <c r="B2256" s="3" t="s">
        <v>26</v>
      </c>
      <c r="C2256" s="3">
        <v>1171935</v>
      </c>
      <c r="D2256" s="3">
        <v>40550</v>
      </c>
      <c r="E2256" s="3" t="s">
        <v>27</v>
      </c>
      <c r="F2256" s="3">
        <v>624433</v>
      </c>
      <c r="G2256" s="3">
        <v>24215</v>
      </c>
      <c r="H2256" s="3">
        <v>547502</v>
      </c>
      <c r="I2256" s="3">
        <v>16335</v>
      </c>
    </row>
    <row r="2257" spans="1:9">
      <c r="A2257" s="3" t="s">
        <v>2282</v>
      </c>
      <c r="B2257" s="3" t="s">
        <v>26</v>
      </c>
      <c r="C2257" s="3">
        <v>2082194</v>
      </c>
      <c r="D2257" s="3">
        <v>377729</v>
      </c>
      <c r="E2257" s="3" t="s">
        <v>27</v>
      </c>
      <c r="F2257" s="3">
        <v>1450635</v>
      </c>
      <c r="G2257" s="3">
        <v>264788</v>
      </c>
      <c r="H2257" s="3">
        <v>631559</v>
      </c>
      <c r="I2257" s="3">
        <v>112941</v>
      </c>
    </row>
    <row r="2258" spans="1:9">
      <c r="A2258" s="3" t="s">
        <v>2283</v>
      </c>
      <c r="B2258" s="3" t="s">
        <v>26</v>
      </c>
      <c r="C2258" s="3">
        <v>1392914</v>
      </c>
      <c r="D2258" s="3">
        <v>50174</v>
      </c>
      <c r="E2258" s="3" t="s">
        <v>27</v>
      </c>
      <c r="F2258" s="3">
        <v>747804</v>
      </c>
      <c r="G2258" s="3">
        <v>29400</v>
      </c>
      <c r="H2258" s="3">
        <v>645110</v>
      </c>
      <c r="I2258" s="3">
        <v>20774</v>
      </c>
    </row>
    <row r="2259" spans="1:9">
      <c r="A2259" s="3" t="s">
        <v>2284</v>
      </c>
      <c r="B2259" s="3" t="s">
        <v>26</v>
      </c>
      <c r="C2259" s="3">
        <v>1778506</v>
      </c>
      <c r="D2259" s="3">
        <v>378881</v>
      </c>
      <c r="E2259" s="3" t="s">
        <v>27</v>
      </c>
      <c r="F2259" s="3">
        <v>1066276</v>
      </c>
      <c r="G2259" s="3">
        <v>245927</v>
      </c>
      <c r="H2259" s="3">
        <v>712230</v>
      </c>
      <c r="I2259" s="3">
        <v>132954</v>
      </c>
    </row>
    <row r="2260" spans="1:9">
      <c r="A2260" s="3" t="s">
        <v>2285</v>
      </c>
      <c r="B2260" s="3" t="s">
        <v>26</v>
      </c>
      <c r="C2260" s="3">
        <v>659282</v>
      </c>
      <c r="D2260" s="3">
        <v>111780</v>
      </c>
      <c r="E2260" s="3" t="s">
        <v>27</v>
      </c>
      <c r="F2260" s="3">
        <v>491404</v>
      </c>
      <c r="G2260" s="3">
        <v>67589</v>
      </c>
      <c r="H2260" s="3">
        <v>167878</v>
      </c>
      <c r="I2260" s="3">
        <v>44191</v>
      </c>
    </row>
    <row r="2261" spans="1:9">
      <c r="A2261" s="3" t="s">
        <v>2286</v>
      </c>
      <c r="B2261" s="3" t="s">
        <v>26</v>
      </c>
      <c r="C2261" s="3">
        <v>1961503</v>
      </c>
      <c r="D2261" s="3">
        <v>561517</v>
      </c>
      <c r="E2261" s="3" t="s">
        <v>27</v>
      </c>
      <c r="F2261" s="3">
        <v>1441588</v>
      </c>
      <c r="G2261" s="3">
        <v>407269</v>
      </c>
      <c r="H2261" s="3">
        <v>519915</v>
      </c>
      <c r="I2261" s="3">
        <v>154248</v>
      </c>
    </row>
    <row r="2262" spans="1:9">
      <c r="A2262" s="3" t="s">
        <v>2287</v>
      </c>
      <c r="B2262" s="3" t="s">
        <v>26</v>
      </c>
      <c r="C2262" s="3">
        <v>1630696</v>
      </c>
      <c r="D2262" s="3">
        <v>441928</v>
      </c>
      <c r="E2262" s="3" t="s">
        <v>27</v>
      </c>
      <c r="F2262" s="3">
        <v>1386413</v>
      </c>
      <c r="G2262" s="3">
        <v>361698</v>
      </c>
      <c r="H2262" s="3">
        <v>244283</v>
      </c>
      <c r="I2262" s="3">
        <v>80230</v>
      </c>
    </row>
    <row r="2263" spans="1:9">
      <c r="A2263" s="3" t="s">
        <v>2288</v>
      </c>
      <c r="B2263" s="3" t="s">
        <v>26</v>
      </c>
      <c r="C2263" s="3">
        <v>1003960</v>
      </c>
      <c r="D2263" s="3">
        <v>26700</v>
      </c>
      <c r="E2263" s="3" t="s">
        <v>27</v>
      </c>
      <c r="F2263" s="3">
        <v>529149</v>
      </c>
      <c r="G2263" s="3">
        <v>16750</v>
      </c>
      <c r="H2263" s="3">
        <v>474811</v>
      </c>
      <c r="I2263" s="3">
        <v>9950</v>
      </c>
    </row>
    <row r="2264" spans="1:9">
      <c r="A2264" s="3" t="s">
        <v>2289</v>
      </c>
      <c r="B2264" s="3" t="s">
        <v>26</v>
      </c>
      <c r="C2264" s="3">
        <v>1174627</v>
      </c>
      <c r="D2264" s="3">
        <v>63681</v>
      </c>
      <c r="E2264" s="3" t="s">
        <v>27</v>
      </c>
      <c r="F2264" s="3">
        <v>698604</v>
      </c>
      <c r="G2264" s="3">
        <v>43152</v>
      </c>
      <c r="H2264" s="3">
        <v>476023</v>
      </c>
      <c r="I2264" s="3">
        <v>20529</v>
      </c>
    </row>
    <row r="2265" spans="1:9">
      <c r="A2265" s="3" t="s">
        <v>2290</v>
      </c>
      <c r="B2265" s="3" t="s">
        <v>26</v>
      </c>
      <c r="C2265" s="3">
        <v>2043788</v>
      </c>
      <c r="D2265" s="3">
        <v>193563</v>
      </c>
      <c r="E2265" s="3" t="s">
        <v>27</v>
      </c>
      <c r="F2265" s="3">
        <v>1095770</v>
      </c>
      <c r="G2265" s="3">
        <v>108169</v>
      </c>
      <c r="H2265" s="3">
        <v>948018</v>
      </c>
      <c r="I2265" s="3">
        <v>85394</v>
      </c>
    </row>
    <row r="2266" spans="1:9">
      <c r="A2266" s="3" t="s">
        <v>2291</v>
      </c>
      <c r="B2266" s="3" t="s">
        <v>26</v>
      </c>
      <c r="C2266" s="3">
        <v>2117858</v>
      </c>
      <c r="D2266" s="3">
        <v>366273</v>
      </c>
      <c r="E2266" s="3" t="s">
        <v>27</v>
      </c>
      <c r="F2266" s="3">
        <v>1305817</v>
      </c>
      <c r="G2266" s="3">
        <v>247378</v>
      </c>
      <c r="H2266" s="3">
        <v>812041</v>
      </c>
      <c r="I2266" s="3">
        <v>118895</v>
      </c>
    </row>
    <row r="2267" spans="1:9">
      <c r="A2267" s="3" t="s">
        <v>2292</v>
      </c>
      <c r="B2267" s="3" t="s">
        <v>26</v>
      </c>
      <c r="C2267" s="3">
        <v>1734685</v>
      </c>
      <c r="D2267" s="3">
        <v>27096</v>
      </c>
      <c r="E2267" s="3" t="s">
        <v>27</v>
      </c>
      <c r="F2267" s="3">
        <v>895520</v>
      </c>
      <c r="G2267" s="3">
        <v>15646</v>
      </c>
      <c r="H2267" s="3">
        <v>839165</v>
      </c>
      <c r="I2267" s="3">
        <v>11450</v>
      </c>
    </row>
    <row r="2268" spans="1:9">
      <c r="A2268" s="3" t="s">
        <v>2293</v>
      </c>
      <c r="B2268" s="3" t="s">
        <v>26</v>
      </c>
      <c r="C2268" s="3">
        <v>1376095</v>
      </c>
      <c r="D2268" s="3">
        <v>243320</v>
      </c>
      <c r="E2268" s="3" t="s">
        <v>27</v>
      </c>
      <c r="F2268" s="3">
        <v>1054240</v>
      </c>
      <c r="G2268" s="3">
        <v>189228</v>
      </c>
      <c r="H2268" s="3">
        <v>321855</v>
      </c>
      <c r="I2268" s="3">
        <v>54092</v>
      </c>
    </row>
    <row r="2269" spans="1:9">
      <c r="A2269" s="3" t="s">
        <v>2294</v>
      </c>
      <c r="B2269" s="3" t="s">
        <v>26</v>
      </c>
      <c r="C2269" s="3">
        <v>2081833</v>
      </c>
      <c r="D2269" s="3">
        <v>344651</v>
      </c>
      <c r="E2269" s="3" t="s">
        <v>27</v>
      </c>
      <c r="F2269" s="3">
        <v>1369469</v>
      </c>
      <c r="G2269" s="3">
        <v>217945</v>
      </c>
      <c r="H2269" s="3">
        <v>712364</v>
      </c>
      <c r="I2269" s="3">
        <v>126706</v>
      </c>
    </row>
    <row r="2270" spans="1:9">
      <c r="A2270" s="3" t="s">
        <v>2295</v>
      </c>
      <c r="B2270" s="3" t="s">
        <v>26</v>
      </c>
      <c r="C2270" s="3">
        <v>828854</v>
      </c>
      <c r="D2270" s="3">
        <v>14403</v>
      </c>
      <c r="E2270" s="3" t="s">
        <v>27</v>
      </c>
      <c r="F2270" s="3">
        <v>521066</v>
      </c>
      <c r="G2270" s="3">
        <v>7624</v>
      </c>
      <c r="H2270" s="3">
        <v>307788</v>
      </c>
      <c r="I2270" s="3">
        <v>6779</v>
      </c>
    </row>
    <row r="2271" spans="1:9">
      <c r="A2271" s="3" t="s">
        <v>2296</v>
      </c>
      <c r="B2271" s="3" t="s">
        <v>26</v>
      </c>
      <c r="C2271" s="3">
        <v>1943322</v>
      </c>
      <c r="D2271" s="3">
        <v>323558</v>
      </c>
      <c r="E2271" s="3" t="s">
        <v>27</v>
      </c>
      <c r="F2271" s="3">
        <v>1336368</v>
      </c>
      <c r="G2271" s="3">
        <v>226283</v>
      </c>
      <c r="H2271" s="3">
        <v>606954</v>
      </c>
      <c r="I2271" s="3">
        <v>97275</v>
      </c>
    </row>
    <row r="2272" spans="1:9">
      <c r="A2272" s="3" t="s">
        <v>2297</v>
      </c>
      <c r="B2272" s="3" t="s">
        <v>26</v>
      </c>
      <c r="C2272" s="3">
        <v>1965284</v>
      </c>
      <c r="D2272" s="3">
        <v>133767</v>
      </c>
      <c r="E2272" s="3" t="s">
        <v>27</v>
      </c>
      <c r="F2272" s="3">
        <v>1127671</v>
      </c>
      <c r="G2272" s="3">
        <v>75322</v>
      </c>
      <c r="H2272" s="3">
        <v>837613</v>
      </c>
      <c r="I2272" s="3">
        <v>58445</v>
      </c>
    </row>
    <row r="2273" spans="1:9">
      <c r="A2273" s="3" t="s">
        <v>2298</v>
      </c>
      <c r="B2273" s="3" t="s">
        <v>26</v>
      </c>
      <c r="C2273" s="3">
        <v>1367250</v>
      </c>
      <c r="D2273" s="3">
        <v>134193</v>
      </c>
      <c r="E2273" s="3" t="s">
        <v>27</v>
      </c>
      <c r="F2273" s="3">
        <v>874212</v>
      </c>
      <c r="G2273" s="3">
        <v>90771</v>
      </c>
      <c r="H2273" s="3">
        <v>493038</v>
      </c>
      <c r="I2273" s="3">
        <v>43422</v>
      </c>
    </row>
    <row r="2274" spans="1:9">
      <c r="A2274" s="3" t="s">
        <v>2299</v>
      </c>
      <c r="B2274" s="3" t="s">
        <v>26</v>
      </c>
      <c r="C2274" s="3">
        <v>1361519</v>
      </c>
      <c r="D2274" s="3">
        <v>79126</v>
      </c>
      <c r="E2274" s="3" t="s">
        <v>27</v>
      </c>
      <c r="F2274" s="3">
        <v>781643</v>
      </c>
      <c r="G2274" s="3">
        <v>48792</v>
      </c>
      <c r="H2274" s="3">
        <v>579876</v>
      </c>
      <c r="I2274" s="3">
        <v>30334</v>
      </c>
    </row>
    <row r="2275" spans="1:9">
      <c r="A2275" s="3" t="s">
        <v>2300</v>
      </c>
      <c r="B2275" s="3" t="s">
        <v>26</v>
      </c>
      <c r="C2275" s="3">
        <v>1579807</v>
      </c>
      <c r="D2275" s="3">
        <v>226524</v>
      </c>
      <c r="E2275" s="3" t="s">
        <v>27</v>
      </c>
      <c r="F2275" s="3">
        <v>1151234</v>
      </c>
      <c r="G2275" s="3">
        <v>160566</v>
      </c>
      <c r="H2275" s="3">
        <v>428573</v>
      </c>
      <c r="I2275" s="3">
        <v>65958</v>
      </c>
    </row>
    <row r="2276" spans="1:9">
      <c r="A2276" s="3" t="s">
        <v>2301</v>
      </c>
      <c r="B2276" s="3" t="s">
        <v>26</v>
      </c>
      <c r="C2276" s="3">
        <v>2374114</v>
      </c>
      <c r="D2276" s="3">
        <v>543252</v>
      </c>
      <c r="E2276" s="3" t="s">
        <v>27</v>
      </c>
      <c r="F2276" s="3">
        <v>1605695</v>
      </c>
      <c r="G2276" s="3">
        <v>356421</v>
      </c>
      <c r="H2276" s="3">
        <v>768419</v>
      </c>
      <c r="I2276" s="3">
        <v>186831</v>
      </c>
    </row>
    <row r="2277" spans="1:9">
      <c r="A2277" s="3" t="s">
        <v>2302</v>
      </c>
      <c r="B2277" s="3" t="s">
        <v>26</v>
      </c>
      <c r="C2277" s="3">
        <v>2327112</v>
      </c>
      <c r="D2277" s="3">
        <v>653340</v>
      </c>
      <c r="E2277" s="3" t="s">
        <v>27</v>
      </c>
      <c r="F2277" s="3">
        <v>1888043</v>
      </c>
      <c r="G2277" s="3">
        <v>499627</v>
      </c>
      <c r="H2277" s="3">
        <v>439069</v>
      </c>
      <c r="I2277" s="3">
        <v>153713</v>
      </c>
    </row>
    <row r="2278" spans="1:9">
      <c r="A2278" s="3" t="s">
        <v>2303</v>
      </c>
      <c r="B2278" s="3" t="s">
        <v>26</v>
      </c>
      <c r="C2278" s="3">
        <v>2281507</v>
      </c>
      <c r="D2278" s="3">
        <v>336741</v>
      </c>
      <c r="E2278" s="3" t="s">
        <v>27</v>
      </c>
      <c r="F2278" s="3">
        <v>1369553</v>
      </c>
      <c r="G2278" s="3">
        <v>209817</v>
      </c>
      <c r="H2278" s="3">
        <v>911954</v>
      </c>
      <c r="I2278" s="3">
        <v>126924</v>
      </c>
    </row>
    <row r="2279" spans="1:9">
      <c r="A2279" s="3" t="s">
        <v>2304</v>
      </c>
      <c r="B2279" s="3" t="s">
        <v>26</v>
      </c>
      <c r="C2279" s="3">
        <v>1662155</v>
      </c>
      <c r="D2279" s="3">
        <v>197340</v>
      </c>
      <c r="E2279" s="3" t="s">
        <v>27</v>
      </c>
      <c r="F2279" s="3">
        <v>1069216</v>
      </c>
      <c r="G2279" s="3">
        <v>120609</v>
      </c>
      <c r="H2279" s="3">
        <v>592939</v>
      </c>
      <c r="I2279" s="3">
        <v>76731</v>
      </c>
    </row>
    <row r="2280" spans="1:9">
      <c r="A2280" s="3" t="s">
        <v>2305</v>
      </c>
      <c r="B2280" s="3" t="s">
        <v>26</v>
      </c>
      <c r="C2280" s="3">
        <v>1151215</v>
      </c>
      <c r="D2280" s="3">
        <v>21855</v>
      </c>
      <c r="E2280" s="3" t="s">
        <v>27</v>
      </c>
      <c r="F2280" s="3">
        <v>599751</v>
      </c>
      <c r="G2280" s="3">
        <v>12077</v>
      </c>
      <c r="H2280" s="3">
        <v>551464</v>
      </c>
      <c r="I2280" s="3">
        <v>9778</v>
      </c>
    </row>
    <row r="2281" spans="1:9">
      <c r="A2281" s="3" t="s">
        <v>2306</v>
      </c>
      <c r="B2281" s="3" t="s">
        <v>26</v>
      </c>
      <c r="C2281" s="3">
        <v>1963037</v>
      </c>
      <c r="D2281" s="3">
        <v>306868</v>
      </c>
      <c r="E2281" s="3" t="s">
        <v>27</v>
      </c>
      <c r="F2281" s="3">
        <v>1247993</v>
      </c>
      <c r="G2281" s="3">
        <v>204655</v>
      </c>
      <c r="H2281" s="3">
        <v>715044</v>
      </c>
      <c r="I2281" s="3">
        <v>102213</v>
      </c>
    </row>
    <row r="2282" spans="1:9">
      <c r="A2282" s="3" t="s">
        <v>2307</v>
      </c>
      <c r="B2282" s="3" t="s">
        <v>26</v>
      </c>
      <c r="C2282" s="3">
        <v>1821629</v>
      </c>
      <c r="D2282" s="3">
        <v>273861</v>
      </c>
      <c r="E2282" s="3" t="s">
        <v>27</v>
      </c>
      <c r="F2282" s="3">
        <v>1138610</v>
      </c>
      <c r="G2282" s="3">
        <v>162015</v>
      </c>
      <c r="H2282" s="3">
        <v>683019</v>
      </c>
      <c r="I2282" s="3">
        <v>111846</v>
      </c>
    </row>
    <row r="2283" spans="1:9">
      <c r="A2283" s="3" t="s">
        <v>2308</v>
      </c>
      <c r="B2283" s="3" t="s">
        <v>26</v>
      </c>
      <c r="C2283" s="3">
        <v>2029275</v>
      </c>
      <c r="D2283" s="3">
        <v>443351</v>
      </c>
      <c r="E2283" s="3" t="s">
        <v>27</v>
      </c>
      <c r="F2283" s="3">
        <v>1561722</v>
      </c>
      <c r="G2283" s="3">
        <v>327900</v>
      </c>
      <c r="H2283" s="3">
        <v>467553</v>
      </c>
      <c r="I2283" s="3">
        <v>115451</v>
      </c>
    </row>
    <row r="2284" spans="1:9">
      <c r="A2284" s="3" t="s">
        <v>2309</v>
      </c>
      <c r="B2284" s="3" t="s">
        <v>26</v>
      </c>
      <c r="C2284" s="3">
        <v>1776659</v>
      </c>
      <c r="D2284" s="3">
        <v>364349</v>
      </c>
      <c r="E2284" s="3" t="s">
        <v>27</v>
      </c>
      <c r="F2284" s="3">
        <v>1370007</v>
      </c>
      <c r="G2284" s="3">
        <v>267154</v>
      </c>
      <c r="H2284" s="3">
        <v>406652</v>
      </c>
      <c r="I2284" s="3">
        <v>97195</v>
      </c>
    </row>
    <row r="2285" spans="1:9">
      <c r="A2285" s="3" t="s">
        <v>2310</v>
      </c>
      <c r="B2285" s="3" t="s">
        <v>26</v>
      </c>
      <c r="C2285" s="3">
        <v>1665127</v>
      </c>
      <c r="D2285" s="3">
        <v>212617</v>
      </c>
      <c r="E2285" s="3" t="s">
        <v>27</v>
      </c>
      <c r="F2285" s="3">
        <v>1018820</v>
      </c>
      <c r="G2285" s="3">
        <v>138999</v>
      </c>
      <c r="H2285" s="3">
        <v>646307</v>
      </c>
      <c r="I2285" s="3">
        <v>73618</v>
      </c>
    </row>
    <row r="2286" spans="1:9">
      <c r="A2286" s="3" t="s">
        <v>2311</v>
      </c>
      <c r="B2286" s="3" t="s">
        <v>26</v>
      </c>
      <c r="C2286" s="3">
        <v>1586885</v>
      </c>
      <c r="D2286" s="3">
        <v>167049</v>
      </c>
      <c r="E2286" s="3" t="s">
        <v>27</v>
      </c>
      <c r="F2286" s="3">
        <v>1020865</v>
      </c>
      <c r="G2286" s="3">
        <v>109693</v>
      </c>
      <c r="H2286" s="3">
        <v>566020</v>
      </c>
      <c r="I2286" s="3">
        <v>57356</v>
      </c>
    </row>
    <row r="2287" spans="1:9">
      <c r="A2287" s="3" t="s">
        <v>2312</v>
      </c>
      <c r="B2287" s="3" t="s">
        <v>26</v>
      </c>
      <c r="C2287" s="3">
        <v>1722941</v>
      </c>
      <c r="D2287" s="3">
        <v>385866</v>
      </c>
      <c r="E2287" s="3" t="s">
        <v>27</v>
      </c>
      <c r="F2287" s="3">
        <v>1240942</v>
      </c>
      <c r="G2287" s="3">
        <v>285910</v>
      </c>
      <c r="H2287" s="3">
        <v>481999</v>
      </c>
      <c r="I2287" s="3">
        <v>99956</v>
      </c>
    </row>
    <row r="2288" spans="1:9">
      <c r="A2288" s="3" t="s">
        <v>2313</v>
      </c>
      <c r="B2288" s="3" t="s">
        <v>26</v>
      </c>
      <c r="C2288" s="3">
        <v>1628360</v>
      </c>
      <c r="D2288" s="3">
        <v>92393</v>
      </c>
      <c r="E2288" s="3" t="s">
        <v>27</v>
      </c>
      <c r="F2288" s="3">
        <v>962082</v>
      </c>
      <c r="G2288" s="3">
        <v>61208</v>
      </c>
      <c r="H2288" s="3">
        <v>666278</v>
      </c>
      <c r="I2288" s="3">
        <v>31185</v>
      </c>
    </row>
    <row r="2289" spans="1:9">
      <c r="A2289" s="3" t="s">
        <v>2314</v>
      </c>
      <c r="B2289" s="3" t="s">
        <v>26</v>
      </c>
      <c r="C2289" s="3">
        <v>1302493</v>
      </c>
      <c r="D2289" s="3">
        <v>140614</v>
      </c>
      <c r="E2289" s="3" t="s">
        <v>27</v>
      </c>
      <c r="F2289" s="3">
        <v>954008</v>
      </c>
      <c r="G2289" s="3">
        <v>96322</v>
      </c>
      <c r="H2289" s="3">
        <v>348485</v>
      </c>
      <c r="I2289" s="3">
        <v>44292</v>
      </c>
    </row>
    <row r="2290" spans="1:9">
      <c r="A2290" s="3" t="s">
        <v>2315</v>
      </c>
      <c r="B2290" s="3" t="s">
        <v>26</v>
      </c>
      <c r="C2290" s="3">
        <v>1904609</v>
      </c>
      <c r="D2290" s="3">
        <v>331402</v>
      </c>
      <c r="E2290" s="3" t="s">
        <v>27</v>
      </c>
      <c r="F2290" s="3">
        <v>1293267</v>
      </c>
      <c r="G2290" s="3">
        <v>228500</v>
      </c>
      <c r="H2290" s="3">
        <v>611342</v>
      </c>
      <c r="I2290" s="3">
        <v>102902</v>
      </c>
    </row>
    <row r="2291" spans="1:9">
      <c r="A2291" s="3" t="s">
        <v>2316</v>
      </c>
      <c r="B2291" s="3" t="s">
        <v>26</v>
      </c>
      <c r="C2291" s="3">
        <v>1302608</v>
      </c>
      <c r="D2291" s="3">
        <v>25432</v>
      </c>
      <c r="E2291" s="3" t="s">
        <v>27</v>
      </c>
      <c r="F2291" s="3">
        <v>662821</v>
      </c>
      <c r="G2291" s="3">
        <v>11474</v>
      </c>
      <c r="H2291" s="3">
        <v>639787</v>
      </c>
      <c r="I2291" s="3">
        <v>13958</v>
      </c>
    </row>
    <row r="2292" spans="1:9">
      <c r="A2292" s="3" t="s">
        <v>2317</v>
      </c>
      <c r="B2292" s="3" t="s">
        <v>26</v>
      </c>
      <c r="C2292" s="3">
        <v>771437</v>
      </c>
      <c r="D2292" s="3">
        <v>7819</v>
      </c>
      <c r="E2292" s="3" t="s">
        <v>27</v>
      </c>
      <c r="F2292" s="3">
        <v>394539</v>
      </c>
      <c r="G2292" s="3">
        <v>1856</v>
      </c>
      <c r="H2292" s="3">
        <v>376898</v>
      </c>
      <c r="I2292" s="3">
        <v>5963</v>
      </c>
    </row>
    <row r="2293" spans="1:9">
      <c r="A2293" s="3" t="s">
        <v>2318</v>
      </c>
      <c r="B2293" s="3" t="s">
        <v>26</v>
      </c>
      <c r="C2293" s="3">
        <v>2607920</v>
      </c>
      <c r="D2293" s="3">
        <v>742320</v>
      </c>
      <c r="E2293" s="3" t="s">
        <v>27</v>
      </c>
      <c r="F2293" s="3">
        <v>1919653</v>
      </c>
      <c r="G2293" s="3">
        <v>527144</v>
      </c>
      <c r="H2293" s="3">
        <v>688267</v>
      </c>
      <c r="I2293" s="3">
        <v>215176</v>
      </c>
    </row>
    <row r="2294" spans="1:9">
      <c r="A2294" s="3" t="s">
        <v>2319</v>
      </c>
      <c r="B2294" s="3" t="s">
        <v>26</v>
      </c>
      <c r="C2294" s="3">
        <v>1534664</v>
      </c>
      <c r="D2294" s="3">
        <v>55084</v>
      </c>
      <c r="E2294" s="3" t="s">
        <v>27</v>
      </c>
      <c r="F2294" s="3">
        <v>814370</v>
      </c>
      <c r="G2294" s="3">
        <v>27035</v>
      </c>
      <c r="H2294" s="3">
        <v>720294</v>
      </c>
      <c r="I2294" s="3">
        <v>28049</v>
      </c>
    </row>
    <row r="2295" spans="1:9">
      <c r="A2295" s="3" t="s">
        <v>2320</v>
      </c>
      <c r="B2295" s="3" t="s">
        <v>26</v>
      </c>
      <c r="C2295" s="3">
        <v>1116738</v>
      </c>
      <c r="D2295" s="3">
        <v>80614</v>
      </c>
      <c r="E2295" s="3" t="s">
        <v>27</v>
      </c>
      <c r="F2295" s="3">
        <v>871756</v>
      </c>
      <c r="G2295" s="3">
        <v>65593</v>
      </c>
      <c r="H2295" s="3">
        <v>244982</v>
      </c>
      <c r="I2295" s="3">
        <v>15021</v>
      </c>
    </row>
    <row r="2296" spans="1:9">
      <c r="A2296" s="3" t="s">
        <v>2321</v>
      </c>
      <c r="B2296" s="3" t="s">
        <v>26</v>
      </c>
      <c r="C2296" s="3">
        <v>1692259</v>
      </c>
      <c r="D2296" s="3">
        <v>53082</v>
      </c>
      <c r="E2296" s="3" t="s">
        <v>27</v>
      </c>
      <c r="F2296" s="3">
        <v>902922</v>
      </c>
      <c r="G2296" s="3">
        <v>26123</v>
      </c>
      <c r="H2296" s="3">
        <v>789337</v>
      </c>
      <c r="I2296" s="3">
        <v>26959</v>
      </c>
    </row>
    <row r="2297" spans="1:9">
      <c r="A2297" s="3" t="s">
        <v>2322</v>
      </c>
      <c r="B2297" s="3" t="s">
        <v>26</v>
      </c>
      <c r="C2297" s="3">
        <v>1114416</v>
      </c>
      <c r="D2297" s="3">
        <v>57283</v>
      </c>
      <c r="E2297" s="3" t="s">
        <v>27</v>
      </c>
      <c r="F2297" s="3">
        <v>622431</v>
      </c>
      <c r="G2297" s="3">
        <v>36440</v>
      </c>
      <c r="H2297" s="3">
        <v>491985</v>
      </c>
      <c r="I2297" s="3">
        <v>20843</v>
      </c>
    </row>
    <row r="2298" spans="1:9">
      <c r="A2298" s="3" t="s">
        <v>2323</v>
      </c>
      <c r="B2298" s="3" t="s">
        <v>26</v>
      </c>
      <c r="C2298" s="3">
        <v>1552706</v>
      </c>
      <c r="D2298" s="3">
        <v>109018</v>
      </c>
      <c r="E2298" s="3" t="s">
        <v>27</v>
      </c>
      <c r="F2298" s="3">
        <v>863450</v>
      </c>
      <c r="G2298" s="3">
        <v>61745</v>
      </c>
      <c r="H2298" s="3">
        <v>689256</v>
      </c>
      <c r="I2298" s="3">
        <v>47273</v>
      </c>
    </row>
    <row r="2299" spans="1:9">
      <c r="A2299" s="3" t="s">
        <v>2324</v>
      </c>
      <c r="B2299" s="3" t="s">
        <v>26</v>
      </c>
      <c r="C2299" s="3">
        <v>1314856</v>
      </c>
      <c r="D2299" s="3">
        <v>187612</v>
      </c>
      <c r="E2299" s="3" t="s">
        <v>27</v>
      </c>
      <c r="F2299" s="3">
        <v>974096</v>
      </c>
      <c r="G2299" s="3">
        <v>148689</v>
      </c>
      <c r="H2299" s="3">
        <v>340760</v>
      </c>
      <c r="I2299" s="3">
        <v>38923</v>
      </c>
    </row>
    <row r="2300" spans="1:9">
      <c r="A2300" s="3" t="s">
        <v>2325</v>
      </c>
      <c r="B2300" s="3" t="s">
        <v>26</v>
      </c>
      <c r="C2300" s="3">
        <v>1437783</v>
      </c>
      <c r="D2300" s="3">
        <v>138518</v>
      </c>
      <c r="E2300" s="3" t="s">
        <v>27</v>
      </c>
      <c r="F2300" s="3">
        <v>952955</v>
      </c>
      <c r="G2300" s="3">
        <v>77622</v>
      </c>
      <c r="H2300" s="3">
        <v>484828</v>
      </c>
      <c r="I2300" s="3">
        <v>60896</v>
      </c>
    </row>
    <row r="2301" spans="1:9">
      <c r="A2301" s="3" t="s">
        <v>2326</v>
      </c>
      <c r="B2301" s="3" t="s">
        <v>26</v>
      </c>
      <c r="C2301" s="3">
        <v>1340750</v>
      </c>
      <c r="D2301" s="3">
        <v>65122</v>
      </c>
      <c r="E2301" s="3" t="s">
        <v>27</v>
      </c>
      <c r="F2301" s="3">
        <v>840004</v>
      </c>
      <c r="G2301" s="3">
        <v>40006</v>
      </c>
      <c r="H2301" s="3">
        <v>500746</v>
      </c>
      <c r="I2301" s="3">
        <v>25116</v>
      </c>
    </row>
    <row r="2302" spans="1:9">
      <c r="A2302" s="3" t="s">
        <v>2327</v>
      </c>
      <c r="B2302" s="3" t="s">
        <v>26</v>
      </c>
      <c r="C2302" s="3">
        <v>1979180</v>
      </c>
      <c r="D2302" s="3">
        <v>423112</v>
      </c>
      <c r="E2302" s="3" t="s">
        <v>27</v>
      </c>
      <c r="F2302" s="3">
        <v>1489513</v>
      </c>
      <c r="G2302" s="3">
        <v>314969</v>
      </c>
      <c r="H2302" s="3">
        <v>489667</v>
      </c>
      <c r="I2302" s="3">
        <v>108143</v>
      </c>
    </row>
    <row r="2303" spans="1:9">
      <c r="A2303" s="3" t="s">
        <v>2328</v>
      </c>
      <c r="B2303" s="3" t="s">
        <v>26</v>
      </c>
      <c r="C2303" s="3">
        <v>1084173</v>
      </c>
      <c r="D2303" s="3">
        <v>51895</v>
      </c>
      <c r="E2303" s="3" t="s">
        <v>27</v>
      </c>
      <c r="F2303" s="3">
        <v>628143</v>
      </c>
      <c r="G2303" s="3">
        <v>26499</v>
      </c>
      <c r="H2303" s="3">
        <v>456030</v>
      </c>
      <c r="I2303" s="3">
        <v>25396</v>
      </c>
    </row>
    <row r="2304" spans="1:9">
      <c r="A2304" s="3" t="s">
        <v>2329</v>
      </c>
      <c r="B2304" s="3" t="s">
        <v>26</v>
      </c>
      <c r="C2304" s="3">
        <v>1857625</v>
      </c>
      <c r="D2304" s="3">
        <v>275354</v>
      </c>
      <c r="E2304" s="3" t="s">
        <v>27</v>
      </c>
      <c r="F2304" s="3">
        <v>964944</v>
      </c>
      <c r="G2304" s="3">
        <v>136068</v>
      </c>
      <c r="H2304" s="3">
        <v>892681</v>
      </c>
      <c r="I2304" s="3">
        <v>139286</v>
      </c>
    </row>
    <row r="2305" spans="1:9">
      <c r="A2305" s="3" t="s">
        <v>2330</v>
      </c>
      <c r="B2305" s="3" t="s">
        <v>26</v>
      </c>
      <c r="C2305" s="3">
        <v>2156618</v>
      </c>
      <c r="D2305" s="3">
        <v>395211</v>
      </c>
      <c r="E2305" s="3" t="s">
        <v>27</v>
      </c>
      <c r="F2305" s="3">
        <v>1324338</v>
      </c>
      <c r="G2305" s="3">
        <v>245131</v>
      </c>
      <c r="H2305" s="3">
        <v>832280</v>
      </c>
      <c r="I2305" s="3">
        <v>150080</v>
      </c>
    </row>
    <row r="2306" spans="1:9">
      <c r="A2306" s="3" t="s">
        <v>2331</v>
      </c>
      <c r="B2306" s="3" t="s">
        <v>26</v>
      </c>
      <c r="C2306" s="3">
        <v>1542296</v>
      </c>
      <c r="D2306" s="3">
        <v>197526</v>
      </c>
      <c r="E2306" s="3" t="s">
        <v>27</v>
      </c>
      <c r="F2306" s="3">
        <v>1099431</v>
      </c>
      <c r="G2306" s="3">
        <v>142271</v>
      </c>
      <c r="H2306" s="3">
        <v>442865</v>
      </c>
      <c r="I2306" s="3">
        <v>55255</v>
      </c>
    </row>
    <row r="2307" spans="1:9">
      <c r="A2307" s="3" t="s">
        <v>2332</v>
      </c>
      <c r="B2307" s="3" t="s">
        <v>26</v>
      </c>
      <c r="C2307" s="3">
        <v>1692621</v>
      </c>
      <c r="D2307" s="3">
        <v>300199</v>
      </c>
      <c r="E2307" s="3" t="s">
        <v>27</v>
      </c>
      <c r="F2307" s="3">
        <v>1124380</v>
      </c>
      <c r="G2307" s="3">
        <v>184712</v>
      </c>
      <c r="H2307" s="3">
        <v>568241</v>
      </c>
      <c r="I2307" s="3">
        <v>115487</v>
      </c>
    </row>
    <row r="2308" spans="1:9">
      <c r="A2308" s="3" t="s">
        <v>2333</v>
      </c>
      <c r="B2308" s="3" t="s">
        <v>26</v>
      </c>
      <c r="C2308" s="3">
        <v>808641</v>
      </c>
      <c r="D2308" s="3">
        <v>83655</v>
      </c>
      <c r="E2308" s="3" t="s">
        <v>27</v>
      </c>
      <c r="F2308" s="3">
        <v>734358</v>
      </c>
      <c r="G2308" s="3">
        <v>64702</v>
      </c>
      <c r="H2308" s="3">
        <v>74283</v>
      </c>
      <c r="I2308" s="3">
        <v>18953</v>
      </c>
    </row>
    <row r="2309" spans="1:9">
      <c r="A2309" s="3" t="s">
        <v>2334</v>
      </c>
      <c r="B2309" s="3" t="s">
        <v>26</v>
      </c>
      <c r="C2309" s="3">
        <v>2591304</v>
      </c>
      <c r="D2309" s="3">
        <v>842559</v>
      </c>
      <c r="E2309" s="3" t="s">
        <v>27</v>
      </c>
      <c r="F2309" s="3">
        <v>1825406</v>
      </c>
      <c r="G2309" s="3">
        <v>591545</v>
      </c>
      <c r="H2309" s="3">
        <v>765898</v>
      </c>
      <c r="I2309" s="3">
        <v>251014</v>
      </c>
    </row>
    <row r="2310" spans="1:9">
      <c r="A2310" s="3" t="s">
        <v>2335</v>
      </c>
      <c r="B2310" s="3" t="s">
        <v>26</v>
      </c>
      <c r="C2310" s="3">
        <v>1059987</v>
      </c>
      <c r="D2310" s="3">
        <v>51911</v>
      </c>
      <c r="E2310" s="3" t="s">
        <v>27</v>
      </c>
      <c r="F2310" s="3">
        <v>557171</v>
      </c>
      <c r="G2310" s="3">
        <v>28324</v>
      </c>
      <c r="H2310" s="3">
        <v>502816</v>
      </c>
      <c r="I2310" s="3">
        <v>23587</v>
      </c>
    </row>
    <row r="2311" spans="1:9">
      <c r="A2311" s="3" t="s">
        <v>2336</v>
      </c>
      <c r="B2311" s="3" t="s">
        <v>26</v>
      </c>
      <c r="C2311" s="3">
        <v>1419787</v>
      </c>
      <c r="D2311" s="3">
        <v>75379</v>
      </c>
      <c r="E2311" s="3" t="s">
        <v>27</v>
      </c>
      <c r="F2311" s="3">
        <v>828649</v>
      </c>
      <c r="G2311" s="3">
        <v>44277</v>
      </c>
      <c r="H2311" s="3">
        <v>591138</v>
      </c>
      <c r="I2311" s="3">
        <v>31102</v>
      </c>
    </row>
    <row r="2312" spans="1:9">
      <c r="A2312" s="3" t="s">
        <v>2337</v>
      </c>
      <c r="B2312" s="3" t="s">
        <v>26</v>
      </c>
      <c r="C2312" s="3">
        <v>1360715</v>
      </c>
      <c r="D2312" s="3">
        <v>180938</v>
      </c>
      <c r="E2312" s="3" t="s">
        <v>27</v>
      </c>
      <c r="F2312" s="3">
        <v>963555</v>
      </c>
      <c r="G2312" s="3">
        <v>130613</v>
      </c>
      <c r="H2312" s="3">
        <v>397160</v>
      </c>
      <c r="I2312" s="3">
        <v>50325</v>
      </c>
    </row>
    <row r="2313" spans="1:9">
      <c r="A2313" s="3" t="s">
        <v>2338</v>
      </c>
      <c r="B2313" s="3" t="s">
        <v>26</v>
      </c>
      <c r="C2313" s="3">
        <v>1381160</v>
      </c>
      <c r="D2313" s="3">
        <v>135491</v>
      </c>
      <c r="E2313" s="3" t="s">
        <v>27</v>
      </c>
      <c r="F2313" s="3">
        <v>968172</v>
      </c>
      <c r="G2313" s="3">
        <v>81932</v>
      </c>
      <c r="H2313" s="3">
        <v>412988</v>
      </c>
      <c r="I2313" s="3">
        <v>53559</v>
      </c>
    </row>
    <row r="2314" spans="1:9">
      <c r="A2314" s="3" t="s">
        <v>2339</v>
      </c>
      <c r="B2314" s="3" t="s">
        <v>26</v>
      </c>
      <c r="C2314" s="3">
        <v>1858650</v>
      </c>
      <c r="D2314" s="3">
        <v>358520</v>
      </c>
      <c r="E2314" s="3" t="s">
        <v>27</v>
      </c>
      <c r="F2314" s="3">
        <v>1336998</v>
      </c>
      <c r="G2314" s="3">
        <v>275505</v>
      </c>
      <c r="H2314" s="3">
        <v>521652</v>
      </c>
      <c r="I2314" s="3">
        <v>83015</v>
      </c>
    </row>
    <row r="2315" spans="1:9">
      <c r="A2315" s="3" t="s">
        <v>2340</v>
      </c>
      <c r="B2315" s="3" t="s">
        <v>26</v>
      </c>
      <c r="C2315" s="3">
        <v>2114719</v>
      </c>
      <c r="D2315" s="3">
        <v>431891</v>
      </c>
      <c r="E2315" s="3" t="s">
        <v>27</v>
      </c>
      <c r="F2315" s="3">
        <v>1469673</v>
      </c>
      <c r="G2315" s="3">
        <v>288513</v>
      </c>
      <c r="H2315" s="3">
        <v>645046</v>
      </c>
      <c r="I2315" s="3">
        <v>143378</v>
      </c>
    </row>
    <row r="2316" spans="1:9">
      <c r="A2316" s="3" t="s">
        <v>2341</v>
      </c>
      <c r="B2316" s="3" t="s">
        <v>26</v>
      </c>
      <c r="C2316" s="3">
        <v>1433549</v>
      </c>
      <c r="D2316" s="3">
        <v>174967</v>
      </c>
      <c r="E2316" s="3" t="s">
        <v>27</v>
      </c>
      <c r="F2316" s="3">
        <v>966287</v>
      </c>
      <c r="G2316" s="3">
        <v>119056</v>
      </c>
      <c r="H2316" s="3">
        <v>467262</v>
      </c>
      <c r="I2316" s="3">
        <v>55911</v>
      </c>
    </row>
    <row r="2317" spans="1:9">
      <c r="A2317" s="3" t="s">
        <v>2342</v>
      </c>
      <c r="B2317" s="3" t="s">
        <v>26</v>
      </c>
      <c r="C2317" s="3">
        <v>1544855</v>
      </c>
      <c r="D2317" s="3">
        <v>120537</v>
      </c>
      <c r="E2317" s="3" t="s">
        <v>27</v>
      </c>
      <c r="F2317" s="3">
        <v>890727</v>
      </c>
      <c r="G2317" s="3">
        <v>68238</v>
      </c>
      <c r="H2317" s="3">
        <v>654128</v>
      </c>
      <c r="I2317" s="3">
        <v>52299</v>
      </c>
    </row>
    <row r="2318" spans="1:9">
      <c r="A2318" s="3" t="s">
        <v>2343</v>
      </c>
      <c r="B2318" s="3" t="s">
        <v>26</v>
      </c>
      <c r="C2318" s="3">
        <v>1229248</v>
      </c>
      <c r="D2318" s="3">
        <v>165436</v>
      </c>
      <c r="E2318" s="3" t="s">
        <v>27</v>
      </c>
      <c r="F2318" s="3">
        <v>888078</v>
      </c>
      <c r="G2318" s="3">
        <v>111973</v>
      </c>
      <c r="H2318" s="3">
        <v>341170</v>
      </c>
      <c r="I2318" s="3">
        <v>53463</v>
      </c>
    </row>
    <row r="2319" spans="1:9">
      <c r="A2319" s="3" t="s">
        <v>2344</v>
      </c>
      <c r="B2319" s="3" t="s">
        <v>26</v>
      </c>
      <c r="C2319" s="3">
        <v>1257624</v>
      </c>
      <c r="D2319" s="3">
        <v>59741</v>
      </c>
      <c r="E2319" s="3" t="s">
        <v>27</v>
      </c>
      <c r="F2319" s="3">
        <v>699227</v>
      </c>
      <c r="G2319" s="3">
        <v>35294</v>
      </c>
      <c r="H2319" s="3">
        <v>558397</v>
      </c>
      <c r="I2319" s="3">
        <v>24447</v>
      </c>
    </row>
    <row r="2320" spans="1:9">
      <c r="A2320" s="3" t="s">
        <v>2345</v>
      </c>
      <c r="B2320" s="3" t="s">
        <v>26</v>
      </c>
      <c r="C2320" s="3">
        <v>2400897</v>
      </c>
      <c r="D2320" s="3">
        <v>664310</v>
      </c>
      <c r="E2320" s="3" t="s">
        <v>27</v>
      </c>
      <c r="F2320" s="3">
        <v>1836380</v>
      </c>
      <c r="G2320" s="3">
        <v>517221</v>
      </c>
      <c r="H2320" s="3">
        <v>564517</v>
      </c>
      <c r="I2320" s="3">
        <v>147089</v>
      </c>
    </row>
    <row r="2321" spans="1:9">
      <c r="A2321" s="3" t="s">
        <v>2346</v>
      </c>
      <c r="B2321" s="3" t="s">
        <v>26</v>
      </c>
      <c r="C2321" s="3">
        <v>1910278</v>
      </c>
      <c r="D2321" s="3">
        <v>308625</v>
      </c>
      <c r="E2321" s="3" t="s">
        <v>27</v>
      </c>
      <c r="F2321" s="3">
        <v>1324536</v>
      </c>
      <c r="G2321" s="3">
        <v>217950</v>
      </c>
      <c r="H2321" s="3">
        <v>585742</v>
      </c>
      <c r="I2321" s="3">
        <v>90675</v>
      </c>
    </row>
    <row r="2322" spans="1:9">
      <c r="A2322" s="3" t="s">
        <v>2347</v>
      </c>
      <c r="B2322" s="3" t="s">
        <v>26</v>
      </c>
      <c r="C2322" s="3">
        <v>1519376</v>
      </c>
      <c r="D2322" s="3">
        <v>180690</v>
      </c>
      <c r="E2322" s="3" t="s">
        <v>27</v>
      </c>
      <c r="F2322" s="3">
        <v>765838</v>
      </c>
      <c r="G2322" s="3">
        <v>91971</v>
      </c>
      <c r="H2322" s="3">
        <v>753538</v>
      </c>
      <c r="I2322" s="3">
        <v>88719</v>
      </c>
    </row>
    <row r="2323" spans="1:9">
      <c r="A2323" s="3" t="s">
        <v>2348</v>
      </c>
      <c r="B2323" s="3" t="s">
        <v>26</v>
      </c>
      <c r="C2323" s="3">
        <v>1365421</v>
      </c>
      <c r="D2323" s="3">
        <v>18925</v>
      </c>
      <c r="E2323" s="3" t="s">
        <v>27</v>
      </c>
      <c r="F2323" s="3">
        <v>713451</v>
      </c>
      <c r="G2323" s="3">
        <v>12295</v>
      </c>
      <c r="H2323" s="3">
        <v>651970</v>
      </c>
      <c r="I2323" s="3">
        <v>6630</v>
      </c>
    </row>
    <row r="2324" spans="1:9">
      <c r="A2324" s="3" t="s">
        <v>2349</v>
      </c>
      <c r="B2324" s="3" t="s">
        <v>26</v>
      </c>
      <c r="C2324" s="3">
        <v>2068963</v>
      </c>
      <c r="D2324" s="3">
        <v>452547</v>
      </c>
      <c r="E2324" s="3" t="s">
        <v>27</v>
      </c>
      <c r="F2324" s="3">
        <v>1691238</v>
      </c>
      <c r="G2324" s="3">
        <v>349770</v>
      </c>
      <c r="H2324" s="3">
        <v>377725</v>
      </c>
      <c r="I2324" s="3">
        <v>102777</v>
      </c>
    </row>
    <row r="2325" spans="1:9">
      <c r="A2325" s="3" t="s">
        <v>2350</v>
      </c>
      <c r="B2325" s="3" t="s">
        <v>26</v>
      </c>
      <c r="C2325" s="3">
        <v>1096469</v>
      </c>
      <c r="D2325" s="3">
        <v>19853</v>
      </c>
      <c r="E2325" s="3" t="s">
        <v>27</v>
      </c>
      <c r="F2325" s="3">
        <v>581795</v>
      </c>
      <c r="G2325" s="3">
        <v>8775</v>
      </c>
      <c r="H2325" s="3">
        <v>514674</v>
      </c>
      <c r="I2325" s="3">
        <v>11078</v>
      </c>
    </row>
    <row r="2326" spans="1:9">
      <c r="A2326" s="3" t="s">
        <v>2351</v>
      </c>
      <c r="B2326" s="3" t="s">
        <v>26</v>
      </c>
      <c r="C2326" s="3">
        <v>1389514</v>
      </c>
      <c r="D2326" s="3">
        <v>159927</v>
      </c>
      <c r="E2326" s="3" t="s">
        <v>27</v>
      </c>
      <c r="F2326" s="3">
        <v>903186</v>
      </c>
      <c r="G2326" s="3">
        <v>102606</v>
      </c>
      <c r="H2326" s="3">
        <v>486328</v>
      </c>
      <c r="I2326" s="3">
        <v>57321</v>
      </c>
    </row>
    <row r="2327" spans="1:9">
      <c r="A2327" s="3" t="s">
        <v>2352</v>
      </c>
      <c r="B2327" s="3" t="s">
        <v>26</v>
      </c>
      <c r="C2327" s="3">
        <v>2289092</v>
      </c>
      <c r="D2327" s="3">
        <v>601674</v>
      </c>
      <c r="E2327" s="3" t="s">
        <v>27</v>
      </c>
      <c r="F2327" s="3">
        <v>1535213</v>
      </c>
      <c r="G2327" s="3">
        <v>383696</v>
      </c>
      <c r="H2327" s="3">
        <v>753879</v>
      </c>
      <c r="I2327" s="3">
        <v>217978</v>
      </c>
    </row>
    <row r="2328" spans="1:9">
      <c r="A2328" s="3" t="s">
        <v>2353</v>
      </c>
      <c r="B2328" s="3" t="s">
        <v>26</v>
      </c>
      <c r="C2328" s="3">
        <v>1637608</v>
      </c>
      <c r="D2328" s="3">
        <v>401100</v>
      </c>
      <c r="E2328" s="3" t="s">
        <v>27</v>
      </c>
      <c r="F2328" s="3">
        <v>1241914</v>
      </c>
      <c r="G2328" s="3">
        <v>297170</v>
      </c>
      <c r="H2328" s="3">
        <v>395694</v>
      </c>
      <c r="I2328" s="3">
        <v>103930</v>
      </c>
    </row>
    <row r="2329" spans="1:9">
      <c r="A2329" s="3" t="s">
        <v>2354</v>
      </c>
      <c r="B2329" s="3" t="s">
        <v>26</v>
      </c>
      <c r="C2329" s="3">
        <v>1768661</v>
      </c>
      <c r="D2329" s="3">
        <v>158179</v>
      </c>
      <c r="E2329" s="3" t="s">
        <v>27</v>
      </c>
      <c r="F2329" s="3">
        <v>923685</v>
      </c>
      <c r="G2329" s="3">
        <v>82421</v>
      </c>
      <c r="H2329" s="3">
        <v>844976</v>
      </c>
      <c r="I2329" s="3">
        <v>75758</v>
      </c>
    </row>
    <row r="2330" spans="1:9">
      <c r="A2330" s="3" t="s">
        <v>2355</v>
      </c>
      <c r="B2330" s="3" t="s">
        <v>26</v>
      </c>
      <c r="C2330" s="3">
        <v>968891</v>
      </c>
      <c r="D2330" s="3">
        <v>17042</v>
      </c>
      <c r="E2330" s="3" t="s">
        <v>27</v>
      </c>
      <c r="F2330" s="3">
        <v>629387</v>
      </c>
      <c r="G2330" s="3">
        <v>11876</v>
      </c>
      <c r="H2330" s="3">
        <v>339504</v>
      </c>
      <c r="I2330" s="3">
        <v>5166</v>
      </c>
    </row>
    <row r="2331" spans="1:9">
      <c r="A2331" s="3" t="s">
        <v>2356</v>
      </c>
      <c r="B2331" s="3" t="s">
        <v>26</v>
      </c>
      <c r="C2331" s="3">
        <v>2341970</v>
      </c>
      <c r="D2331" s="3">
        <v>693946</v>
      </c>
      <c r="E2331" s="3" t="s">
        <v>27</v>
      </c>
      <c r="F2331" s="3">
        <v>1686166</v>
      </c>
      <c r="G2331" s="3">
        <v>481368</v>
      </c>
      <c r="H2331" s="3">
        <v>655804</v>
      </c>
      <c r="I2331" s="3">
        <v>212578</v>
      </c>
    </row>
    <row r="2332" spans="1:9">
      <c r="A2332" s="3" t="s">
        <v>2357</v>
      </c>
      <c r="B2332" s="3" t="s">
        <v>26</v>
      </c>
      <c r="C2332" s="3">
        <v>2112651</v>
      </c>
      <c r="D2332" s="3">
        <v>468759</v>
      </c>
      <c r="E2332" s="3" t="s">
        <v>27</v>
      </c>
      <c r="F2332" s="3">
        <v>1632878</v>
      </c>
      <c r="G2332" s="3">
        <v>353800</v>
      </c>
      <c r="H2332" s="3">
        <v>479773</v>
      </c>
      <c r="I2332" s="3">
        <v>114959</v>
      </c>
    </row>
    <row r="2333" spans="1:9">
      <c r="A2333" s="3" t="s">
        <v>2358</v>
      </c>
      <c r="B2333" s="3" t="s">
        <v>26</v>
      </c>
      <c r="C2333" s="3">
        <v>857596</v>
      </c>
      <c r="D2333" s="3">
        <v>17532</v>
      </c>
      <c r="E2333" s="3" t="s">
        <v>27</v>
      </c>
      <c r="F2333" s="3">
        <v>450561</v>
      </c>
      <c r="G2333" s="3">
        <v>9457</v>
      </c>
      <c r="H2333" s="3">
        <v>407035</v>
      </c>
      <c r="I2333" s="3">
        <v>8075</v>
      </c>
    </row>
    <row r="2334" spans="1:9">
      <c r="A2334" s="3" t="s">
        <v>2359</v>
      </c>
      <c r="B2334" s="3" t="s">
        <v>26</v>
      </c>
      <c r="C2334" s="3">
        <v>936848</v>
      </c>
      <c r="D2334" s="3">
        <v>5298</v>
      </c>
      <c r="E2334" s="3" t="s">
        <v>27</v>
      </c>
      <c r="F2334" s="3">
        <v>498167</v>
      </c>
      <c r="G2334" s="3">
        <v>2777</v>
      </c>
      <c r="H2334" s="3">
        <v>438681</v>
      </c>
      <c r="I2334" s="3">
        <v>2521</v>
      </c>
    </row>
    <row r="2335" spans="1:9">
      <c r="A2335" s="3" t="s">
        <v>2360</v>
      </c>
      <c r="B2335" s="3" t="s">
        <v>26</v>
      </c>
      <c r="C2335" s="3">
        <v>1862498</v>
      </c>
      <c r="D2335" s="3">
        <v>368744</v>
      </c>
      <c r="E2335" s="3" t="s">
        <v>27</v>
      </c>
      <c r="F2335" s="3">
        <v>1463928</v>
      </c>
      <c r="G2335" s="3">
        <v>270643</v>
      </c>
      <c r="H2335" s="3">
        <v>398570</v>
      </c>
      <c r="I2335" s="3">
        <v>98101</v>
      </c>
    </row>
    <row r="2336" spans="1:9">
      <c r="A2336" s="3" t="s">
        <v>2361</v>
      </c>
      <c r="B2336" s="3" t="s">
        <v>26</v>
      </c>
      <c r="C2336" s="3">
        <v>2420983</v>
      </c>
      <c r="D2336" s="3">
        <v>497346</v>
      </c>
      <c r="E2336" s="3" t="s">
        <v>27</v>
      </c>
      <c r="F2336" s="3">
        <v>1563228</v>
      </c>
      <c r="G2336" s="3">
        <v>325641</v>
      </c>
      <c r="H2336" s="3">
        <v>857755</v>
      </c>
      <c r="I2336" s="3">
        <v>171705</v>
      </c>
    </row>
    <row r="2337" spans="1:9">
      <c r="A2337" s="3" t="s">
        <v>2362</v>
      </c>
      <c r="B2337" s="3" t="s">
        <v>26</v>
      </c>
      <c r="C2337" s="3">
        <v>1801192</v>
      </c>
      <c r="D2337" s="3">
        <v>414931</v>
      </c>
      <c r="E2337" s="3" t="s">
        <v>27</v>
      </c>
      <c r="F2337" s="3">
        <v>1503739</v>
      </c>
      <c r="G2337" s="3">
        <v>327023</v>
      </c>
      <c r="H2337" s="3">
        <v>297453</v>
      </c>
      <c r="I2337" s="3">
        <v>87908</v>
      </c>
    </row>
    <row r="2338" spans="1:9">
      <c r="A2338" s="3" t="s">
        <v>2363</v>
      </c>
      <c r="B2338" s="3" t="s">
        <v>26</v>
      </c>
      <c r="C2338" s="3">
        <v>1977857</v>
      </c>
      <c r="D2338" s="3">
        <v>422050</v>
      </c>
      <c r="E2338" s="3" t="s">
        <v>27</v>
      </c>
      <c r="F2338" s="3">
        <v>1422240</v>
      </c>
      <c r="G2338" s="3">
        <v>308228</v>
      </c>
      <c r="H2338" s="3">
        <v>555617</v>
      </c>
      <c r="I2338" s="3">
        <v>113822</v>
      </c>
    </row>
    <row r="2339" spans="1:9">
      <c r="A2339" s="3" t="s">
        <v>2364</v>
      </c>
      <c r="B2339" s="3" t="s">
        <v>26</v>
      </c>
      <c r="C2339" s="3">
        <v>1814638</v>
      </c>
      <c r="D2339" s="3">
        <v>428883</v>
      </c>
      <c r="E2339" s="3" t="s">
        <v>27</v>
      </c>
      <c r="F2339" s="3">
        <v>1508463</v>
      </c>
      <c r="G2339" s="3">
        <v>332111</v>
      </c>
      <c r="H2339" s="3">
        <v>306175</v>
      </c>
      <c r="I2339" s="3">
        <v>96772</v>
      </c>
    </row>
    <row r="2340" spans="1:9">
      <c r="A2340" s="3" t="s">
        <v>2365</v>
      </c>
      <c r="B2340" s="3" t="s">
        <v>26</v>
      </c>
      <c r="C2340" s="3">
        <v>1175596</v>
      </c>
      <c r="D2340" s="3">
        <v>4180</v>
      </c>
      <c r="E2340" s="3" t="s">
        <v>27</v>
      </c>
      <c r="F2340" s="3">
        <v>759453</v>
      </c>
      <c r="G2340" s="3">
        <v>1683</v>
      </c>
      <c r="H2340" s="3">
        <v>416143</v>
      </c>
      <c r="I2340" s="3">
        <v>2497</v>
      </c>
    </row>
    <row r="2341" spans="1:9">
      <c r="A2341" s="3" t="s">
        <v>2366</v>
      </c>
      <c r="B2341" s="3" t="s">
        <v>26</v>
      </c>
      <c r="C2341" s="3">
        <v>1683043</v>
      </c>
      <c r="D2341" s="3">
        <v>48760</v>
      </c>
      <c r="E2341" s="3" t="s">
        <v>27</v>
      </c>
      <c r="F2341" s="3">
        <v>885345</v>
      </c>
      <c r="G2341" s="3">
        <v>26103</v>
      </c>
      <c r="H2341" s="3">
        <v>797698</v>
      </c>
      <c r="I2341" s="3">
        <v>22657</v>
      </c>
    </row>
    <row r="2342" spans="1:9">
      <c r="A2342" s="3" t="s">
        <v>2367</v>
      </c>
      <c r="B2342" s="3" t="s">
        <v>26</v>
      </c>
      <c r="C2342" s="3">
        <v>1428971</v>
      </c>
      <c r="D2342" s="3">
        <v>279544</v>
      </c>
      <c r="E2342" s="3" t="s">
        <v>27</v>
      </c>
      <c r="F2342" s="3">
        <v>1102764</v>
      </c>
      <c r="G2342" s="3">
        <v>203167</v>
      </c>
      <c r="H2342" s="3">
        <v>326207</v>
      </c>
      <c r="I2342" s="3">
        <v>76377</v>
      </c>
    </row>
    <row r="2343" spans="1:9">
      <c r="A2343" s="3" t="s">
        <v>2368</v>
      </c>
      <c r="B2343" s="3" t="s">
        <v>26</v>
      </c>
      <c r="C2343" s="3">
        <v>28176</v>
      </c>
      <c r="D2343" s="3">
        <v>7828</v>
      </c>
      <c r="E2343" s="3" t="s">
        <v>27</v>
      </c>
      <c r="F2343" s="3">
        <v>23931</v>
      </c>
      <c r="G2343" s="3">
        <v>6167</v>
      </c>
      <c r="H2343" s="3">
        <v>4245</v>
      </c>
      <c r="I2343" s="3">
        <v>1661</v>
      </c>
    </row>
    <row r="2344" spans="1:9">
      <c r="A2344" s="3" t="s">
        <v>2369</v>
      </c>
      <c r="B2344" s="3" t="s">
        <v>26</v>
      </c>
      <c r="C2344" s="3">
        <v>2291901</v>
      </c>
      <c r="D2344" s="3">
        <v>643017</v>
      </c>
      <c r="E2344" s="3" t="s">
        <v>27</v>
      </c>
      <c r="F2344" s="3">
        <v>1613292</v>
      </c>
      <c r="G2344" s="3">
        <v>436502</v>
      </c>
      <c r="H2344" s="3">
        <v>678609</v>
      </c>
      <c r="I2344" s="3">
        <v>206515</v>
      </c>
    </row>
    <row r="2345" spans="1:9">
      <c r="A2345" s="3" t="s">
        <v>2370</v>
      </c>
      <c r="B2345" s="3" t="s">
        <v>26</v>
      </c>
      <c r="C2345" s="3">
        <v>1509586</v>
      </c>
      <c r="D2345" s="3">
        <v>7720</v>
      </c>
      <c r="E2345" s="3" t="s">
        <v>27</v>
      </c>
      <c r="F2345" s="3">
        <v>763658</v>
      </c>
      <c r="G2345" s="3">
        <v>4587</v>
      </c>
      <c r="H2345" s="3">
        <v>745928</v>
      </c>
      <c r="I2345" s="3">
        <v>3133</v>
      </c>
    </row>
    <row r="2346" spans="1:9">
      <c r="A2346" s="3" t="s">
        <v>2371</v>
      </c>
      <c r="B2346" s="3" t="s">
        <v>26</v>
      </c>
      <c r="C2346" s="3">
        <v>2155526</v>
      </c>
      <c r="D2346" s="3">
        <v>610892</v>
      </c>
      <c r="E2346" s="3" t="s">
        <v>27</v>
      </c>
      <c r="F2346" s="3">
        <v>1627913</v>
      </c>
      <c r="G2346" s="3">
        <v>451590</v>
      </c>
      <c r="H2346" s="3">
        <v>527613</v>
      </c>
      <c r="I2346" s="3">
        <v>159302</v>
      </c>
    </row>
    <row r="2347" spans="1:9">
      <c r="A2347" s="3" t="s">
        <v>2372</v>
      </c>
      <c r="B2347" s="3" t="s">
        <v>26</v>
      </c>
      <c r="C2347" s="3">
        <v>1812624</v>
      </c>
      <c r="D2347" s="3">
        <v>303542</v>
      </c>
      <c r="E2347" s="3" t="s">
        <v>27</v>
      </c>
      <c r="F2347" s="3">
        <v>1207711</v>
      </c>
      <c r="G2347" s="3">
        <v>198169</v>
      </c>
      <c r="H2347" s="3">
        <v>604913</v>
      </c>
      <c r="I2347" s="3">
        <v>105373</v>
      </c>
    </row>
    <row r="2348" spans="1:9">
      <c r="A2348" s="3" t="s">
        <v>2373</v>
      </c>
      <c r="B2348" s="3" t="s">
        <v>26</v>
      </c>
      <c r="C2348" s="3">
        <v>1671829</v>
      </c>
      <c r="D2348" s="3">
        <v>382069</v>
      </c>
      <c r="E2348" s="3" t="s">
        <v>27</v>
      </c>
      <c r="F2348" s="3">
        <v>1305276</v>
      </c>
      <c r="G2348" s="3">
        <v>277808</v>
      </c>
      <c r="H2348" s="3">
        <v>366553</v>
      </c>
      <c r="I2348" s="3">
        <v>104261</v>
      </c>
    </row>
    <row r="2349" spans="1:9">
      <c r="A2349" s="3" t="s">
        <v>2374</v>
      </c>
      <c r="B2349" s="3" t="s">
        <v>26</v>
      </c>
      <c r="C2349" s="3">
        <v>843328</v>
      </c>
      <c r="D2349" s="3">
        <v>5082</v>
      </c>
      <c r="E2349" s="3" t="s">
        <v>27</v>
      </c>
      <c r="F2349" s="3">
        <v>426597</v>
      </c>
      <c r="G2349" s="3">
        <v>2617</v>
      </c>
      <c r="H2349" s="3">
        <v>416731</v>
      </c>
      <c r="I2349" s="3">
        <v>2465</v>
      </c>
    </row>
    <row r="2350" spans="1:9">
      <c r="A2350" s="3" t="s">
        <v>2375</v>
      </c>
      <c r="B2350" s="3" t="s">
        <v>26</v>
      </c>
      <c r="C2350" s="3">
        <v>2447804</v>
      </c>
      <c r="D2350" s="3">
        <v>666195</v>
      </c>
      <c r="E2350" s="3" t="s">
        <v>27</v>
      </c>
      <c r="F2350" s="3">
        <v>1606522</v>
      </c>
      <c r="G2350" s="3">
        <v>421637</v>
      </c>
      <c r="H2350" s="3">
        <v>841282</v>
      </c>
      <c r="I2350" s="3">
        <v>244558</v>
      </c>
    </row>
    <row r="2351" spans="1:9">
      <c r="A2351" s="3" t="s">
        <v>2376</v>
      </c>
      <c r="B2351" s="3" t="s">
        <v>26</v>
      </c>
      <c r="C2351" s="3">
        <v>1315583</v>
      </c>
      <c r="D2351" s="3">
        <v>28988</v>
      </c>
      <c r="E2351" s="3" t="s">
        <v>27</v>
      </c>
      <c r="F2351" s="3">
        <v>715363</v>
      </c>
      <c r="G2351" s="3">
        <v>17589</v>
      </c>
      <c r="H2351" s="3">
        <v>600220</v>
      </c>
      <c r="I2351" s="3">
        <v>11399</v>
      </c>
    </row>
    <row r="2352" spans="1:9">
      <c r="A2352" s="3" t="s">
        <v>2377</v>
      </c>
      <c r="B2352" s="3" t="s">
        <v>26</v>
      </c>
      <c r="C2352" s="3">
        <v>2321818</v>
      </c>
      <c r="D2352" s="3">
        <v>419618</v>
      </c>
      <c r="E2352" s="3" t="s">
        <v>27</v>
      </c>
      <c r="F2352" s="3">
        <v>1339849</v>
      </c>
      <c r="G2352" s="3">
        <v>236699</v>
      </c>
      <c r="H2352" s="3">
        <v>981969</v>
      </c>
      <c r="I2352" s="3">
        <v>182919</v>
      </c>
    </row>
    <row r="2353" spans="1:9">
      <c r="A2353" s="3" t="s">
        <v>2378</v>
      </c>
      <c r="B2353" s="3" t="s">
        <v>26</v>
      </c>
      <c r="C2353" s="3">
        <v>1429397</v>
      </c>
      <c r="D2353" s="3">
        <v>217320</v>
      </c>
      <c r="E2353" s="3" t="s">
        <v>27</v>
      </c>
      <c r="F2353" s="3">
        <v>881121</v>
      </c>
      <c r="G2353" s="3">
        <v>126507</v>
      </c>
      <c r="H2353" s="3">
        <v>548276</v>
      </c>
      <c r="I2353" s="3">
        <v>90813</v>
      </c>
    </row>
    <row r="2354" spans="1:9">
      <c r="A2354" s="3" t="s">
        <v>2379</v>
      </c>
      <c r="B2354" s="3" t="s">
        <v>26</v>
      </c>
      <c r="C2354" s="3">
        <v>2310648</v>
      </c>
      <c r="D2354" s="3">
        <v>574338</v>
      </c>
      <c r="E2354" s="3" t="s">
        <v>27</v>
      </c>
      <c r="F2354" s="3">
        <v>1803720</v>
      </c>
      <c r="G2354" s="3">
        <v>428731</v>
      </c>
      <c r="H2354" s="3">
        <v>506928</v>
      </c>
      <c r="I2354" s="3">
        <v>145607</v>
      </c>
    </row>
    <row r="2355" spans="1:9">
      <c r="A2355" s="3" t="s">
        <v>2380</v>
      </c>
      <c r="B2355" s="3" t="s">
        <v>26</v>
      </c>
      <c r="C2355" s="3">
        <v>1715729</v>
      </c>
      <c r="D2355" s="3">
        <v>394845</v>
      </c>
      <c r="E2355" s="3" t="s">
        <v>27</v>
      </c>
      <c r="F2355" s="3">
        <v>1452570</v>
      </c>
      <c r="G2355" s="3">
        <v>317471</v>
      </c>
      <c r="H2355" s="3">
        <v>263159</v>
      </c>
      <c r="I2355" s="3">
        <v>77374</v>
      </c>
    </row>
    <row r="2356" spans="1:9">
      <c r="A2356" s="3" t="s">
        <v>2381</v>
      </c>
      <c r="B2356" s="3" t="s">
        <v>26</v>
      </c>
      <c r="C2356" s="3">
        <v>2040564</v>
      </c>
      <c r="D2356" s="3">
        <v>315243</v>
      </c>
      <c r="E2356" s="3" t="s">
        <v>27</v>
      </c>
      <c r="F2356" s="3">
        <v>1200960</v>
      </c>
      <c r="G2356" s="3">
        <v>205139</v>
      </c>
      <c r="H2356" s="3">
        <v>839604</v>
      </c>
      <c r="I2356" s="3">
        <v>110104</v>
      </c>
    </row>
    <row r="2357" spans="1:9">
      <c r="A2357" s="3" t="s">
        <v>2382</v>
      </c>
      <c r="B2357" s="3" t="s">
        <v>26</v>
      </c>
      <c r="C2357" s="3">
        <v>2157240</v>
      </c>
      <c r="D2357" s="3">
        <v>266918</v>
      </c>
      <c r="E2357" s="3" t="s">
        <v>27</v>
      </c>
      <c r="F2357" s="3">
        <v>1402433</v>
      </c>
      <c r="G2357" s="3">
        <v>174216</v>
      </c>
      <c r="H2357" s="3">
        <v>754807</v>
      </c>
      <c r="I2357" s="3">
        <v>92702</v>
      </c>
    </row>
    <row r="2358" spans="1:9">
      <c r="A2358" s="3" t="s">
        <v>2383</v>
      </c>
      <c r="B2358" s="3" t="s">
        <v>26</v>
      </c>
      <c r="C2358" s="3">
        <v>2163298</v>
      </c>
      <c r="D2358" s="3">
        <v>206503</v>
      </c>
      <c r="E2358" s="3" t="s">
        <v>27</v>
      </c>
      <c r="F2358" s="3">
        <v>1289859</v>
      </c>
      <c r="G2358" s="3">
        <v>122107</v>
      </c>
      <c r="H2358" s="3">
        <v>873439</v>
      </c>
      <c r="I2358" s="3">
        <v>84396</v>
      </c>
    </row>
    <row r="2359" spans="1:9">
      <c r="A2359" s="3" t="s">
        <v>2384</v>
      </c>
      <c r="B2359" s="3" t="s">
        <v>26</v>
      </c>
      <c r="C2359" s="3">
        <v>1966161</v>
      </c>
      <c r="D2359" s="3">
        <v>64583</v>
      </c>
      <c r="E2359" s="3" t="s">
        <v>27</v>
      </c>
      <c r="F2359" s="3">
        <v>1080787</v>
      </c>
      <c r="G2359" s="3">
        <v>28807</v>
      </c>
      <c r="H2359" s="3">
        <v>885374</v>
      </c>
      <c r="I2359" s="3">
        <v>35776</v>
      </c>
    </row>
    <row r="2360" spans="1:9">
      <c r="A2360" s="3" t="s">
        <v>2385</v>
      </c>
      <c r="B2360" s="3" t="s">
        <v>26</v>
      </c>
      <c r="C2360" s="3">
        <v>1571837</v>
      </c>
      <c r="D2360" s="3">
        <v>35646</v>
      </c>
      <c r="E2360" s="3" t="s">
        <v>27</v>
      </c>
      <c r="F2360" s="3">
        <v>820917</v>
      </c>
      <c r="G2360" s="3">
        <v>20356</v>
      </c>
      <c r="H2360" s="3">
        <v>750920</v>
      </c>
      <c r="I2360" s="3">
        <v>15290</v>
      </c>
    </row>
    <row r="2361" spans="1:9">
      <c r="A2361" s="3" t="s">
        <v>2386</v>
      </c>
      <c r="B2361" s="3" t="s">
        <v>26</v>
      </c>
      <c r="C2361" s="3">
        <v>1028124</v>
      </c>
      <c r="D2361" s="3">
        <v>5157</v>
      </c>
      <c r="E2361" s="3" t="s">
        <v>27</v>
      </c>
      <c r="F2361" s="3">
        <v>555761</v>
      </c>
      <c r="G2361" s="3">
        <v>2571</v>
      </c>
      <c r="H2361" s="3">
        <v>472363</v>
      </c>
      <c r="I2361" s="3">
        <v>2586</v>
      </c>
    </row>
    <row r="2362" spans="1:9">
      <c r="A2362" s="3" t="s">
        <v>2387</v>
      </c>
      <c r="B2362" s="3" t="s">
        <v>26</v>
      </c>
      <c r="C2362" s="3">
        <v>2262361</v>
      </c>
      <c r="D2362" s="3">
        <v>291447</v>
      </c>
      <c r="E2362" s="3" t="s">
        <v>27</v>
      </c>
      <c r="F2362" s="3">
        <v>1464910</v>
      </c>
      <c r="G2362" s="3">
        <v>185528</v>
      </c>
      <c r="H2362" s="3">
        <v>797451</v>
      </c>
      <c r="I2362" s="3">
        <v>105919</v>
      </c>
    </row>
    <row r="2363" spans="1:9">
      <c r="A2363" s="3" t="s">
        <v>2388</v>
      </c>
      <c r="B2363" s="3" t="s">
        <v>26</v>
      </c>
      <c r="C2363" s="3">
        <v>1818777</v>
      </c>
      <c r="D2363" s="3">
        <v>78371</v>
      </c>
      <c r="E2363" s="3" t="s">
        <v>27</v>
      </c>
      <c r="F2363" s="3">
        <v>1099121</v>
      </c>
      <c r="G2363" s="3">
        <v>48785</v>
      </c>
      <c r="H2363" s="3">
        <v>719656</v>
      </c>
      <c r="I2363" s="3">
        <v>29586</v>
      </c>
    </row>
    <row r="2364" spans="1:9">
      <c r="A2364" s="3" t="s">
        <v>2389</v>
      </c>
      <c r="B2364" s="3" t="s">
        <v>26</v>
      </c>
      <c r="C2364" s="3">
        <v>2760011</v>
      </c>
      <c r="D2364" s="3">
        <v>801133</v>
      </c>
      <c r="E2364" s="3" t="s">
        <v>27</v>
      </c>
      <c r="F2364" s="3">
        <v>1932899</v>
      </c>
      <c r="G2364" s="3">
        <v>546525</v>
      </c>
      <c r="H2364" s="3">
        <v>827112</v>
      </c>
      <c r="I2364" s="3">
        <v>254608</v>
      </c>
    </row>
    <row r="2365" spans="1:9">
      <c r="A2365" s="3" t="s">
        <v>2390</v>
      </c>
      <c r="B2365" s="3" t="s">
        <v>26</v>
      </c>
      <c r="C2365" s="3">
        <v>32072</v>
      </c>
      <c r="D2365" s="3">
        <v>569</v>
      </c>
      <c r="E2365" s="3" t="s">
        <v>27</v>
      </c>
      <c r="F2365" s="3">
        <v>17515</v>
      </c>
      <c r="G2365" s="3">
        <v>315</v>
      </c>
      <c r="H2365" s="3">
        <v>14557</v>
      </c>
      <c r="I2365" s="3">
        <v>254</v>
      </c>
    </row>
    <row r="2366" spans="1:9">
      <c r="A2366" s="3" t="s">
        <v>2391</v>
      </c>
      <c r="B2366" s="3" t="s">
        <v>26</v>
      </c>
      <c r="C2366" s="3">
        <v>1403178</v>
      </c>
      <c r="D2366" s="3">
        <v>127397</v>
      </c>
      <c r="E2366" s="3" t="s">
        <v>27</v>
      </c>
      <c r="F2366" s="3">
        <v>787119</v>
      </c>
      <c r="G2366" s="3">
        <v>76653</v>
      </c>
      <c r="H2366" s="3">
        <v>616059</v>
      </c>
      <c r="I2366" s="3">
        <v>50744</v>
      </c>
    </row>
    <row r="2367" spans="1:9">
      <c r="A2367" s="3" t="s">
        <v>2392</v>
      </c>
      <c r="B2367" s="3" t="s">
        <v>26</v>
      </c>
      <c r="C2367" s="3">
        <v>1732466</v>
      </c>
      <c r="D2367" s="3">
        <v>333311</v>
      </c>
      <c r="E2367" s="3" t="s">
        <v>27</v>
      </c>
      <c r="F2367" s="3">
        <v>1272089</v>
      </c>
      <c r="G2367" s="3">
        <v>244131</v>
      </c>
      <c r="H2367" s="3">
        <v>460377</v>
      </c>
      <c r="I2367" s="3">
        <v>89180</v>
      </c>
    </row>
    <row r="2368" spans="1:9">
      <c r="A2368" s="3" t="s">
        <v>2393</v>
      </c>
      <c r="B2368" s="3" t="s">
        <v>26</v>
      </c>
      <c r="C2368" s="3">
        <v>2358317</v>
      </c>
      <c r="D2368" s="3">
        <v>394287</v>
      </c>
      <c r="E2368" s="3" t="s">
        <v>27</v>
      </c>
      <c r="F2368" s="3">
        <v>1752483</v>
      </c>
      <c r="G2368" s="3">
        <v>299420</v>
      </c>
      <c r="H2368" s="3">
        <v>605834</v>
      </c>
      <c r="I2368" s="3">
        <v>94867</v>
      </c>
    </row>
    <row r="2369" spans="1:9">
      <c r="A2369" s="3" t="s">
        <v>2394</v>
      </c>
      <c r="B2369" s="3" t="s">
        <v>26</v>
      </c>
      <c r="C2369" s="3">
        <v>1431679</v>
      </c>
      <c r="D2369" s="3">
        <v>106579</v>
      </c>
      <c r="E2369" s="3" t="s">
        <v>27</v>
      </c>
      <c r="F2369" s="3">
        <v>850383</v>
      </c>
      <c r="G2369" s="3">
        <v>66612</v>
      </c>
      <c r="H2369" s="3">
        <v>581296</v>
      </c>
      <c r="I2369" s="3">
        <v>39967</v>
      </c>
    </row>
    <row r="2370" spans="1:9">
      <c r="A2370" s="3" t="s">
        <v>2395</v>
      </c>
      <c r="B2370" s="3" t="s">
        <v>26</v>
      </c>
      <c r="C2370" s="3">
        <v>1528699</v>
      </c>
      <c r="D2370" s="3">
        <v>249760</v>
      </c>
      <c r="E2370" s="3" t="s">
        <v>27</v>
      </c>
      <c r="F2370" s="3">
        <v>1150166</v>
      </c>
      <c r="G2370" s="3">
        <v>182901</v>
      </c>
      <c r="H2370" s="3">
        <v>378533</v>
      </c>
      <c r="I2370" s="3">
        <v>66859</v>
      </c>
    </row>
    <row r="2371" spans="1:9">
      <c r="A2371" s="3" t="s">
        <v>2396</v>
      </c>
      <c r="B2371" s="3" t="s">
        <v>26</v>
      </c>
      <c r="C2371" s="3">
        <v>2638022</v>
      </c>
      <c r="D2371" s="3">
        <v>386935</v>
      </c>
      <c r="E2371" s="3" t="s">
        <v>27</v>
      </c>
      <c r="F2371" s="3">
        <v>1686818</v>
      </c>
      <c r="G2371" s="3">
        <v>235167</v>
      </c>
      <c r="H2371" s="3">
        <v>951204</v>
      </c>
      <c r="I2371" s="3">
        <v>151768</v>
      </c>
    </row>
    <row r="2372" spans="1:9">
      <c r="A2372" s="3" t="s">
        <v>2397</v>
      </c>
      <c r="B2372" s="3" t="s">
        <v>26</v>
      </c>
      <c r="C2372" s="3">
        <v>1786705</v>
      </c>
      <c r="D2372" s="3">
        <v>44626</v>
      </c>
      <c r="E2372" s="3" t="s">
        <v>27</v>
      </c>
      <c r="F2372" s="3">
        <v>907915</v>
      </c>
      <c r="G2372" s="3">
        <v>21175</v>
      </c>
      <c r="H2372" s="3">
        <v>878790</v>
      </c>
      <c r="I2372" s="3">
        <v>23451</v>
      </c>
    </row>
    <row r="2373" spans="1:9">
      <c r="A2373" s="3" t="s">
        <v>2398</v>
      </c>
      <c r="B2373" s="3" t="s">
        <v>26</v>
      </c>
      <c r="C2373" s="3">
        <v>1270382</v>
      </c>
      <c r="D2373" s="3">
        <v>147472</v>
      </c>
      <c r="E2373" s="3" t="s">
        <v>27</v>
      </c>
      <c r="F2373" s="3">
        <v>772221</v>
      </c>
      <c r="G2373" s="3">
        <v>98875</v>
      </c>
      <c r="H2373" s="3">
        <v>498161</v>
      </c>
      <c r="I2373" s="3">
        <v>48597</v>
      </c>
    </row>
    <row r="2374" spans="1:9">
      <c r="A2374" s="3" t="s">
        <v>2399</v>
      </c>
      <c r="B2374" s="3" t="s">
        <v>26</v>
      </c>
      <c r="C2374" s="3">
        <v>2548055</v>
      </c>
      <c r="D2374" s="3">
        <v>706181</v>
      </c>
      <c r="E2374" s="3" t="s">
        <v>27</v>
      </c>
      <c r="F2374" s="3">
        <v>1817211</v>
      </c>
      <c r="G2374" s="3">
        <v>523905</v>
      </c>
      <c r="H2374" s="3">
        <v>730844</v>
      </c>
      <c r="I2374" s="3">
        <v>182276</v>
      </c>
    </row>
    <row r="2375" spans="1:9">
      <c r="A2375" s="3" t="s">
        <v>2400</v>
      </c>
      <c r="B2375" s="3" t="s">
        <v>26</v>
      </c>
      <c r="C2375" s="3">
        <v>2300008</v>
      </c>
      <c r="D2375" s="3">
        <v>431261</v>
      </c>
      <c r="E2375" s="3" t="s">
        <v>27</v>
      </c>
      <c r="F2375" s="3">
        <v>1617711</v>
      </c>
      <c r="G2375" s="3">
        <v>299511</v>
      </c>
      <c r="H2375" s="3">
        <v>682297</v>
      </c>
      <c r="I2375" s="3">
        <v>131750</v>
      </c>
    </row>
    <row r="2376" spans="1:9">
      <c r="A2376" s="3" t="s">
        <v>2401</v>
      </c>
      <c r="B2376" s="3" t="s">
        <v>26</v>
      </c>
      <c r="C2376" s="3">
        <v>2096130</v>
      </c>
      <c r="D2376" s="3">
        <v>272146</v>
      </c>
      <c r="E2376" s="3" t="s">
        <v>27</v>
      </c>
      <c r="F2376" s="3">
        <v>1518958</v>
      </c>
      <c r="G2376" s="3">
        <v>188309</v>
      </c>
      <c r="H2376" s="3">
        <v>577172</v>
      </c>
      <c r="I2376" s="3">
        <v>83837</v>
      </c>
    </row>
    <row r="2377" spans="1:9">
      <c r="A2377" s="3" t="s">
        <v>2402</v>
      </c>
      <c r="B2377" s="3" t="s">
        <v>26</v>
      </c>
      <c r="C2377" s="3">
        <v>2644341</v>
      </c>
      <c r="D2377" s="3">
        <v>605555</v>
      </c>
      <c r="E2377" s="3" t="s">
        <v>27</v>
      </c>
      <c r="F2377" s="3">
        <v>1870400</v>
      </c>
      <c r="G2377" s="3">
        <v>428639</v>
      </c>
      <c r="H2377" s="3">
        <v>773941</v>
      </c>
      <c r="I2377" s="3">
        <v>176916</v>
      </c>
    </row>
    <row r="2378" spans="1:9">
      <c r="A2378" s="3" t="s">
        <v>2403</v>
      </c>
      <c r="B2378" s="3" t="s">
        <v>26</v>
      </c>
      <c r="C2378" s="3">
        <v>1324929</v>
      </c>
      <c r="D2378" s="3">
        <v>37462</v>
      </c>
      <c r="E2378" s="3" t="s">
        <v>27</v>
      </c>
      <c r="F2378" s="3">
        <v>788547</v>
      </c>
      <c r="G2378" s="3">
        <v>25745</v>
      </c>
      <c r="H2378" s="3">
        <v>536382</v>
      </c>
      <c r="I2378" s="3">
        <v>11717</v>
      </c>
    </row>
    <row r="2379" spans="1:9">
      <c r="A2379" s="3" t="s">
        <v>2404</v>
      </c>
      <c r="B2379" s="3" t="s">
        <v>26</v>
      </c>
      <c r="C2379" s="3">
        <v>2406181</v>
      </c>
      <c r="D2379" s="3">
        <v>328539</v>
      </c>
      <c r="E2379" s="3" t="s">
        <v>27</v>
      </c>
      <c r="F2379" s="3">
        <v>1488084</v>
      </c>
      <c r="G2379" s="3">
        <v>214602</v>
      </c>
      <c r="H2379" s="3">
        <v>918097</v>
      </c>
      <c r="I2379" s="3">
        <v>113937</v>
      </c>
    </row>
    <row r="2380" spans="1:9">
      <c r="A2380" s="3" t="s">
        <v>2405</v>
      </c>
      <c r="B2380" s="3" t="s">
        <v>26</v>
      </c>
      <c r="C2380" s="3">
        <v>2495990</v>
      </c>
      <c r="D2380" s="3">
        <v>703968</v>
      </c>
      <c r="E2380" s="3" t="s">
        <v>27</v>
      </c>
      <c r="F2380" s="3">
        <v>1924528</v>
      </c>
      <c r="G2380" s="3">
        <v>532492</v>
      </c>
      <c r="H2380" s="3">
        <v>571462</v>
      </c>
      <c r="I2380" s="3">
        <v>171476</v>
      </c>
    </row>
    <row r="2381" spans="1:9">
      <c r="A2381" s="3" t="s">
        <v>2406</v>
      </c>
      <c r="B2381" s="3" t="s">
        <v>26</v>
      </c>
      <c r="C2381" s="3">
        <v>1229275</v>
      </c>
      <c r="D2381" s="3">
        <v>9920</v>
      </c>
      <c r="E2381" s="3" t="s">
        <v>27</v>
      </c>
      <c r="F2381" s="3">
        <v>648027</v>
      </c>
      <c r="G2381" s="3">
        <v>5357</v>
      </c>
      <c r="H2381" s="3">
        <v>581248</v>
      </c>
      <c r="I2381" s="3">
        <v>4563</v>
      </c>
    </row>
    <row r="2382" spans="1:9">
      <c r="A2382" s="3" t="s">
        <v>2407</v>
      </c>
      <c r="B2382" s="3" t="s">
        <v>26</v>
      </c>
      <c r="C2382" s="3">
        <v>29765</v>
      </c>
      <c r="D2382" s="3">
        <v>7421</v>
      </c>
      <c r="E2382" s="3" t="s">
        <v>27</v>
      </c>
      <c r="F2382" s="3">
        <v>25649</v>
      </c>
      <c r="G2382" s="3">
        <v>5927</v>
      </c>
      <c r="H2382" s="3">
        <v>4116</v>
      </c>
      <c r="I2382" s="3">
        <v>1494</v>
      </c>
    </row>
    <row r="2383" spans="1:9">
      <c r="A2383" s="3" t="s">
        <v>2408</v>
      </c>
      <c r="B2383" s="3" t="s">
        <v>26</v>
      </c>
      <c r="C2383" s="3">
        <v>1780284</v>
      </c>
      <c r="D2383" s="3">
        <v>141944</v>
      </c>
      <c r="E2383" s="3" t="s">
        <v>27</v>
      </c>
      <c r="F2383" s="3">
        <v>1236061</v>
      </c>
      <c r="G2383" s="3">
        <v>104773</v>
      </c>
      <c r="H2383" s="3">
        <v>544223</v>
      </c>
      <c r="I2383" s="3">
        <v>37171</v>
      </c>
    </row>
    <row r="2384" spans="1:9">
      <c r="A2384" s="3" t="s">
        <v>2409</v>
      </c>
      <c r="B2384" s="3" t="s">
        <v>26</v>
      </c>
      <c r="C2384" s="3">
        <v>1845696</v>
      </c>
      <c r="D2384" s="3">
        <v>78229</v>
      </c>
      <c r="E2384" s="3" t="s">
        <v>27</v>
      </c>
      <c r="F2384" s="3">
        <v>959894</v>
      </c>
      <c r="G2384" s="3">
        <v>45163</v>
      </c>
      <c r="H2384" s="3">
        <v>885802</v>
      </c>
      <c r="I2384" s="3">
        <v>33066</v>
      </c>
    </row>
    <row r="2385" spans="1:9">
      <c r="A2385" s="3" t="s">
        <v>2410</v>
      </c>
      <c r="B2385" s="3" t="s">
        <v>26</v>
      </c>
      <c r="C2385" s="3">
        <v>957803</v>
      </c>
      <c r="D2385" s="3">
        <v>3389</v>
      </c>
      <c r="E2385" s="3" t="s">
        <v>27</v>
      </c>
      <c r="F2385" s="3">
        <v>485277</v>
      </c>
      <c r="G2385" s="3">
        <v>1867</v>
      </c>
      <c r="H2385" s="3">
        <v>472526</v>
      </c>
      <c r="I2385" s="3">
        <v>1522</v>
      </c>
    </row>
    <row r="2386" spans="1:9">
      <c r="A2386" s="3" t="s">
        <v>2411</v>
      </c>
      <c r="B2386" s="3" t="s">
        <v>26</v>
      </c>
      <c r="C2386" s="3">
        <v>1849446</v>
      </c>
      <c r="D2386" s="3">
        <v>307229</v>
      </c>
      <c r="E2386" s="3" t="s">
        <v>27</v>
      </c>
      <c r="F2386" s="3">
        <v>1520565</v>
      </c>
      <c r="G2386" s="3">
        <v>248522</v>
      </c>
      <c r="H2386" s="3">
        <v>328881</v>
      </c>
      <c r="I2386" s="3">
        <v>58707</v>
      </c>
    </row>
    <row r="2387" spans="1:9">
      <c r="A2387" s="3" t="s">
        <v>2412</v>
      </c>
      <c r="B2387" s="3" t="s">
        <v>26</v>
      </c>
      <c r="C2387" s="3">
        <v>190888</v>
      </c>
      <c r="D2387" s="3">
        <v>6870</v>
      </c>
      <c r="E2387" s="3" t="s">
        <v>27</v>
      </c>
      <c r="F2387" s="3">
        <v>106994</v>
      </c>
      <c r="G2387" s="3">
        <v>3188</v>
      </c>
      <c r="H2387" s="3">
        <v>83894</v>
      </c>
      <c r="I2387" s="3">
        <v>3682</v>
      </c>
    </row>
    <row r="2388" spans="1:9">
      <c r="A2388" s="3" t="s">
        <v>2413</v>
      </c>
      <c r="B2388" s="3" t="s">
        <v>26</v>
      </c>
      <c r="C2388" s="3">
        <v>3180140</v>
      </c>
      <c r="D2388" s="3">
        <v>850852</v>
      </c>
      <c r="E2388" s="3" t="s">
        <v>27</v>
      </c>
      <c r="F2388" s="3">
        <v>2022997</v>
      </c>
      <c r="G2388" s="3">
        <v>512905</v>
      </c>
      <c r="H2388" s="3">
        <v>1157143</v>
      </c>
      <c r="I2388" s="3">
        <v>337947</v>
      </c>
    </row>
    <row r="2389" spans="1:9">
      <c r="A2389" s="3" t="s">
        <v>2414</v>
      </c>
      <c r="B2389" s="3" t="s">
        <v>26</v>
      </c>
      <c r="C2389" s="3">
        <v>1774098</v>
      </c>
      <c r="D2389" s="3">
        <v>76511</v>
      </c>
      <c r="E2389" s="3" t="s">
        <v>27</v>
      </c>
      <c r="F2389" s="3">
        <v>955036</v>
      </c>
      <c r="G2389" s="3">
        <v>43279</v>
      </c>
      <c r="H2389" s="3">
        <v>819062</v>
      </c>
      <c r="I2389" s="3">
        <v>33232</v>
      </c>
    </row>
    <row r="2390" spans="1:9">
      <c r="A2390" s="3" t="s">
        <v>2415</v>
      </c>
      <c r="B2390" s="3" t="s">
        <v>26</v>
      </c>
      <c r="C2390" s="3">
        <v>1916556</v>
      </c>
      <c r="D2390" s="3">
        <v>66884</v>
      </c>
      <c r="E2390" s="3" t="s">
        <v>27</v>
      </c>
      <c r="F2390" s="3">
        <v>1062466</v>
      </c>
      <c r="G2390" s="3">
        <v>37017</v>
      </c>
      <c r="H2390" s="3">
        <v>854090</v>
      </c>
      <c r="I2390" s="3">
        <v>29867</v>
      </c>
    </row>
    <row r="2391" spans="1:9">
      <c r="A2391" s="3" t="s">
        <v>2416</v>
      </c>
      <c r="B2391" s="3" t="s">
        <v>26</v>
      </c>
      <c r="C2391" s="3">
        <v>1359764</v>
      </c>
      <c r="D2391" s="3">
        <v>18486</v>
      </c>
      <c r="E2391" s="3" t="s">
        <v>27</v>
      </c>
      <c r="F2391" s="3">
        <v>676193</v>
      </c>
      <c r="G2391" s="3">
        <v>7648</v>
      </c>
      <c r="H2391" s="3">
        <v>683571</v>
      </c>
      <c r="I2391" s="3">
        <v>10838</v>
      </c>
    </row>
    <row r="2392" spans="1:9">
      <c r="A2392" s="3" t="s">
        <v>2417</v>
      </c>
      <c r="B2392" s="3" t="s">
        <v>26</v>
      </c>
      <c r="C2392" s="3">
        <v>1010896</v>
      </c>
      <c r="D2392" s="3">
        <v>4231</v>
      </c>
      <c r="E2392" s="3" t="s">
        <v>27</v>
      </c>
      <c r="F2392" s="3">
        <v>544682</v>
      </c>
      <c r="G2392" s="3">
        <v>2014</v>
      </c>
      <c r="H2392" s="3">
        <v>466214</v>
      </c>
      <c r="I2392" s="3">
        <v>2217</v>
      </c>
    </row>
    <row r="2393" spans="1:9">
      <c r="A2393" s="3" t="s">
        <v>2418</v>
      </c>
      <c r="B2393" s="3" t="s">
        <v>26</v>
      </c>
      <c r="C2393" s="3">
        <v>2698017</v>
      </c>
      <c r="D2393" s="3">
        <v>437882</v>
      </c>
      <c r="E2393" s="3" t="s">
        <v>27</v>
      </c>
      <c r="F2393" s="3">
        <v>1653476</v>
      </c>
      <c r="G2393" s="3">
        <v>274287</v>
      </c>
      <c r="H2393" s="3">
        <v>1044541</v>
      </c>
      <c r="I2393" s="3">
        <v>163595</v>
      </c>
    </row>
    <row r="2394" spans="1:9">
      <c r="A2394" s="3" t="s">
        <v>2419</v>
      </c>
      <c r="B2394" s="3" t="s">
        <v>26</v>
      </c>
      <c r="C2394" s="3">
        <v>2147207</v>
      </c>
      <c r="D2394" s="3">
        <v>271278</v>
      </c>
      <c r="E2394" s="3" t="s">
        <v>27</v>
      </c>
      <c r="F2394" s="3">
        <v>1377502</v>
      </c>
      <c r="G2394" s="3">
        <v>178471</v>
      </c>
      <c r="H2394" s="3">
        <v>769705</v>
      </c>
      <c r="I2394" s="3">
        <v>92807</v>
      </c>
    </row>
    <row r="2395" spans="1:9">
      <c r="A2395" s="3" t="s">
        <v>2420</v>
      </c>
      <c r="B2395" s="3" t="s">
        <v>26</v>
      </c>
      <c r="C2395" s="3">
        <v>2203877</v>
      </c>
      <c r="D2395" s="3">
        <v>318600</v>
      </c>
      <c r="E2395" s="3" t="s">
        <v>27</v>
      </c>
      <c r="F2395" s="3">
        <v>1573444</v>
      </c>
      <c r="G2395" s="3">
        <v>226620</v>
      </c>
      <c r="H2395" s="3">
        <v>630433</v>
      </c>
      <c r="I2395" s="3">
        <v>91980</v>
      </c>
    </row>
    <row r="2396" spans="1:9">
      <c r="A2396" s="3" t="s">
        <v>2421</v>
      </c>
      <c r="B2396" s="3" t="s">
        <v>26</v>
      </c>
      <c r="C2396" s="3">
        <v>1830326</v>
      </c>
      <c r="D2396" s="3">
        <v>156689</v>
      </c>
      <c r="E2396" s="3" t="s">
        <v>27</v>
      </c>
      <c r="F2396" s="3">
        <v>1016569</v>
      </c>
      <c r="G2396" s="3">
        <v>97448</v>
      </c>
      <c r="H2396" s="3">
        <v>813757</v>
      </c>
      <c r="I2396" s="3">
        <v>59241</v>
      </c>
    </row>
    <row r="2397" spans="1:9">
      <c r="A2397" s="3" t="s">
        <v>2422</v>
      </c>
      <c r="B2397" s="3" t="s">
        <v>26</v>
      </c>
      <c r="C2397" s="3">
        <v>1973936</v>
      </c>
      <c r="D2397" s="3">
        <v>49908</v>
      </c>
      <c r="E2397" s="3" t="s">
        <v>27</v>
      </c>
      <c r="F2397" s="3">
        <v>1052262</v>
      </c>
      <c r="G2397" s="3">
        <v>30244</v>
      </c>
      <c r="H2397" s="3">
        <v>921674</v>
      </c>
      <c r="I2397" s="3">
        <v>19664</v>
      </c>
    </row>
    <row r="2398" spans="1:9">
      <c r="A2398" s="3" t="s">
        <v>2423</v>
      </c>
      <c r="B2398" s="3" t="s">
        <v>26</v>
      </c>
      <c r="C2398" s="3">
        <v>2343926</v>
      </c>
      <c r="D2398" s="3">
        <v>321003</v>
      </c>
      <c r="E2398" s="3" t="s">
        <v>27</v>
      </c>
      <c r="F2398" s="3">
        <v>1413093</v>
      </c>
      <c r="G2398" s="3">
        <v>187980</v>
      </c>
      <c r="H2398" s="3">
        <v>930833</v>
      </c>
      <c r="I2398" s="3">
        <v>133023</v>
      </c>
    </row>
    <row r="2399" spans="1:9">
      <c r="A2399" s="3" t="s">
        <v>2424</v>
      </c>
      <c r="B2399" s="3" t="s">
        <v>26</v>
      </c>
      <c r="C2399" s="3">
        <v>2932211</v>
      </c>
      <c r="D2399" s="3">
        <v>741998</v>
      </c>
      <c r="E2399" s="3" t="s">
        <v>27</v>
      </c>
      <c r="F2399" s="3">
        <v>2385201</v>
      </c>
      <c r="G2399" s="3">
        <v>577256</v>
      </c>
      <c r="H2399" s="3">
        <v>547010</v>
      </c>
      <c r="I2399" s="3">
        <v>164742</v>
      </c>
    </row>
    <row r="2400" spans="1:9">
      <c r="A2400" s="3" t="s">
        <v>2425</v>
      </c>
      <c r="B2400" s="3" t="s">
        <v>26</v>
      </c>
      <c r="C2400" s="3">
        <v>775021</v>
      </c>
      <c r="D2400" s="3">
        <v>97695</v>
      </c>
      <c r="E2400" s="3" t="s">
        <v>27</v>
      </c>
      <c r="F2400" s="3">
        <v>543038</v>
      </c>
      <c r="G2400" s="3">
        <v>82165</v>
      </c>
      <c r="H2400" s="3">
        <v>231983</v>
      </c>
      <c r="I2400" s="3">
        <v>15530</v>
      </c>
    </row>
    <row r="2401" spans="1:9">
      <c r="A2401" s="3" t="s">
        <v>2426</v>
      </c>
      <c r="B2401" s="3" t="s">
        <v>26</v>
      </c>
      <c r="C2401" s="3">
        <v>1546234</v>
      </c>
      <c r="D2401" s="3">
        <v>299515</v>
      </c>
      <c r="E2401" s="3" t="s">
        <v>27</v>
      </c>
      <c r="F2401" s="3">
        <v>1364959</v>
      </c>
      <c r="G2401" s="3">
        <v>252627</v>
      </c>
      <c r="H2401" s="3">
        <v>181275</v>
      </c>
      <c r="I2401" s="3">
        <v>46888</v>
      </c>
    </row>
    <row r="2402" spans="1:9">
      <c r="A2402" s="3" t="s">
        <v>2427</v>
      </c>
      <c r="B2402" s="3" t="s">
        <v>26</v>
      </c>
      <c r="C2402" s="3">
        <v>2519428</v>
      </c>
      <c r="D2402" s="3">
        <v>555928</v>
      </c>
      <c r="E2402" s="3" t="s">
        <v>27</v>
      </c>
      <c r="F2402" s="3">
        <v>1815353</v>
      </c>
      <c r="G2402" s="3">
        <v>379274</v>
      </c>
      <c r="H2402" s="3">
        <v>704075</v>
      </c>
      <c r="I2402" s="3">
        <v>176654</v>
      </c>
    </row>
    <row r="2403" spans="1:9">
      <c r="A2403" s="3" t="s">
        <v>2428</v>
      </c>
      <c r="B2403" s="3" t="s">
        <v>26</v>
      </c>
      <c r="C2403" s="3">
        <v>1996162</v>
      </c>
      <c r="D2403" s="3">
        <v>262915</v>
      </c>
      <c r="E2403" s="3" t="s">
        <v>27</v>
      </c>
      <c r="F2403" s="3">
        <v>1186866</v>
      </c>
      <c r="G2403" s="3">
        <v>148400</v>
      </c>
      <c r="H2403" s="3">
        <v>809296</v>
      </c>
      <c r="I2403" s="3">
        <v>114515</v>
      </c>
    </row>
    <row r="2404" spans="1:9">
      <c r="A2404" s="3" t="s">
        <v>2429</v>
      </c>
      <c r="B2404" s="3" t="s">
        <v>26</v>
      </c>
      <c r="C2404" s="3">
        <v>2229588</v>
      </c>
      <c r="D2404" s="3">
        <v>323326</v>
      </c>
      <c r="E2404" s="3" t="s">
        <v>27</v>
      </c>
      <c r="F2404" s="3">
        <v>1360214</v>
      </c>
      <c r="G2404" s="3">
        <v>204991</v>
      </c>
      <c r="H2404" s="3">
        <v>869374</v>
      </c>
      <c r="I2404" s="3">
        <v>118335</v>
      </c>
    </row>
    <row r="2405" spans="1:9">
      <c r="A2405" s="3" t="s">
        <v>2430</v>
      </c>
      <c r="B2405" s="3" t="s">
        <v>26</v>
      </c>
      <c r="C2405" s="3">
        <v>2032168</v>
      </c>
      <c r="D2405" s="3">
        <v>333583</v>
      </c>
      <c r="E2405" s="3" t="s">
        <v>27</v>
      </c>
      <c r="F2405" s="3">
        <v>1453360</v>
      </c>
      <c r="G2405" s="3">
        <v>243023</v>
      </c>
      <c r="H2405" s="3">
        <v>578808</v>
      </c>
      <c r="I2405" s="3">
        <v>90560</v>
      </c>
    </row>
    <row r="2406" spans="1:9">
      <c r="A2406" s="3" t="s">
        <v>2431</v>
      </c>
      <c r="B2406" s="3" t="s">
        <v>26</v>
      </c>
      <c r="C2406" s="3">
        <v>1964568</v>
      </c>
      <c r="D2406" s="3">
        <v>195429</v>
      </c>
      <c r="E2406" s="3" t="s">
        <v>27</v>
      </c>
      <c r="F2406" s="3">
        <v>1197031</v>
      </c>
      <c r="G2406" s="3">
        <v>115763</v>
      </c>
      <c r="H2406" s="3">
        <v>767537</v>
      </c>
      <c r="I2406" s="3">
        <v>79666</v>
      </c>
    </row>
    <row r="2407" spans="1:9">
      <c r="A2407" s="3" t="s">
        <v>2432</v>
      </c>
      <c r="B2407" s="3" t="s">
        <v>26</v>
      </c>
      <c r="C2407" s="3">
        <v>2438286</v>
      </c>
      <c r="D2407" s="3">
        <v>505537</v>
      </c>
      <c r="E2407" s="3" t="s">
        <v>27</v>
      </c>
      <c r="F2407" s="3">
        <v>1958495</v>
      </c>
      <c r="G2407" s="3">
        <v>391966</v>
      </c>
      <c r="H2407" s="3">
        <v>479791</v>
      </c>
      <c r="I2407" s="3">
        <v>113571</v>
      </c>
    </row>
    <row r="2408" spans="1:9">
      <c r="A2408" s="3" t="s">
        <v>2433</v>
      </c>
      <c r="B2408" s="3" t="s">
        <v>26</v>
      </c>
      <c r="C2408" s="3">
        <v>2315729</v>
      </c>
      <c r="D2408" s="3">
        <v>365506</v>
      </c>
      <c r="E2408" s="3" t="s">
        <v>27</v>
      </c>
      <c r="F2408" s="3">
        <v>1637397</v>
      </c>
      <c r="G2408" s="3">
        <v>253999</v>
      </c>
      <c r="H2408" s="3">
        <v>678332</v>
      </c>
      <c r="I2408" s="3">
        <v>111507</v>
      </c>
    </row>
    <row r="2409" spans="1:9">
      <c r="A2409" s="3" t="s">
        <v>2434</v>
      </c>
      <c r="B2409" s="3" t="s">
        <v>26</v>
      </c>
      <c r="C2409" s="3">
        <v>1446291</v>
      </c>
      <c r="D2409" s="3">
        <v>35765</v>
      </c>
      <c r="E2409" s="3" t="s">
        <v>27</v>
      </c>
      <c r="F2409" s="3">
        <v>812900</v>
      </c>
      <c r="G2409" s="3">
        <v>19742</v>
      </c>
      <c r="H2409" s="3">
        <v>633391</v>
      </c>
      <c r="I2409" s="3">
        <v>16023</v>
      </c>
    </row>
    <row r="2410" spans="1:9">
      <c r="A2410" s="3" t="s">
        <v>2435</v>
      </c>
      <c r="B2410" s="3" t="s">
        <v>26</v>
      </c>
      <c r="C2410" s="3">
        <v>2737884</v>
      </c>
      <c r="D2410" s="3">
        <v>702804</v>
      </c>
      <c r="E2410" s="3" t="s">
        <v>27</v>
      </c>
      <c r="F2410" s="3">
        <v>1920113</v>
      </c>
      <c r="G2410" s="3">
        <v>528170</v>
      </c>
      <c r="H2410" s="3">
        <v>817771</v>
      </c>
      <c r="I2410" s="3">
        <v>174634</v>
      </c>
    </row>
    <row r="2411" spans="1:9">
      <c r="A2411" s="3" t="s">
        <v>2436</v>
      </c>
      <c r="B2411" s="3" t="s">
        <v>26</v>
      </c>
      <c r="C2411" s="3">
        <v>1602861</v>
      </c>
      <c r="D2411" s="3">
        <v>86628</v>
      </c>
      <c r="E2411" s="3" t="s">
        <v>27</v>
      </c>
      <c r="F2411" s="3">
        <v>874859</v>
      </c>
      <c r="G2411" s="3">
        <v>42285</v>
      </c>
      <c r="H2411" s="3">
        <v>728002</v>
      </c>
      <c r="I2411" s="3">
        <v>44343</v>
      </c>
    </row>
    <row r="2412" spans="1:9">
      <c r="A2412" s="3" t="s">
        <v>2437</v>
      </c>
      <c r="B2412" s="3" t="s">
        <v>26</v>
      </c>
      <c r="C2412" s="3">
        <v>1902143</v>
      </c>
      <c r="D2412" s="3">
        <v>191220</v>
      </c>
      <c r="E2412" s="3" t="s">
        <v>27</v>
      </c>
      <c r="F2412" s="3">
        <v>1129157</v>
      </c>
      <c r="G2412" s="3">
        <v>119432</v>
      </c>
      <c r="H2412" s="3">
        <v>772986</v>
      </c>
      <c r="I2412" s="3">
        <v>71788</v>
      </c>
    </row>
    <row r="2413" spans="1:9">
      <c r="A2413" s="3" t="s">
        <v>2438</v>
      </c>
      <c r="B2413" s="3" t="s">
        <v>26</v>
      </c>
      <c r="C2413" s="3">
        <v>2654988</v>
      </c>
      <c r="D2413" s="3">
        <v>722985</v>
      </c>
      <c r="E2413" s="3" t="s">
        <v>27</v>
      </c>
      <c r="F2413" s="3">
        <v>2113285</v>
      </c>
      <c r="G2413" s="3">
        <v>579360</v>
      </c>
      <c r="H2413" s="3">
        <v>541703</v>
      </c>
      <c r="I2413" s="3">
        <v>143625</v>
      </c>
    </row>
    <row r="2414" spans="1:9">
      <c r="A2414" s="3" t="s">
        <v>2439</v>
      </c>
      <c r="B2414" s="3" t="s">
        <v>26</v>
      </c>
      <c r="C2414" s="3">
        <v>2093071</v>
      </c>
      <c r="D2414" s="3">
        <v>246938</v>
      </c>
      <c r="E2414" s="3" t="s">
        <v>27</v>
      </c>
      <c r="F2414" s="3">
        <v>1387316</v>
      </c>
      <c r="G2414" s="3">
        <v>169080</v>
      </c>
      <c r="H2414" s="3">
        <v>705755</v>
      </c>
      <c r="I2414" s="3">
        <v>77858</v>
      </c>
    </row>
    <row r="2415" spans="1:9">
      <c r="A2415" s="3" t="s">
        <v>2440</v>
      </c>
      <c r="B2415" s="3" t="s">
        <v>26</v>
      </c>
      <c r="C2415" s="3">
        <v>1895604</v>
      </c>
      <c r="D2415" s="3">
        <v>125471</v>
      </c>
      <c r="E2415" s="3" t="s">
        <v>27</v>
      </c>
      <c r="F2415" s="3">
        <v>1031890</v>
      </c>
      <c r="G2415" s="3">
        <v>68174</v>
      </c>
      <c r="H2415" s="3">
        <v>863714</v>
      </c>
      <c r="I2415" s="3">
        <v>57297</v>
      </c>
    </row>
    <row r="2416" spans="1:9">
      <c r="A2416" s="3" t="s">
        <v>2441</v>
      </c>
      <c r="B2416" s="3" t="s">
        <v>26</v>
      </c>
      <c r="C2416" s="3">
        <v>1266148</v>
      </c>
      <c r="D2416" s="3">
        <v>31905</v>
      </c>
      <c r="E2416" s="3" t="s">
        <v>27</v>
      </c>
      <c r="F2416" s="3">
        <v>668480</v>
      </c>
      <c r="G2416" s="3">
        <v>18071</v>
      </c>
      <c r="H2416" s="3">
        <v>597668</v>
      </c>
      <c r="I2416" s="3">
        <v>13834</v>
      </c>
    </row>
    <row r="2417" spans="1:9">
      <c r="A2417" s="3" t="s">
        <v>2442</v>
      </c>
      <c r="B2417" s="3" t="s">
        <v>26</v>
      </c>
      <c r="C2417" s="3">
        <v>2157524</v>
      </c>
      <c r="D2417" s="3">
        <v>656496</v>
      </c>
      <c r="E2417" s="3" t="s">
        <v>27</v>
      </c>
      <c r="F2417" s="3">
        <v>1700235</v>
      </c>
      <c r="G2417" s="3">
        <v>503953</v>
      </c>
      <c r="H2417" s="3">
        <v>457289</v>
      </c>
      <c r="I2417" s="3">
        <v>152543</v>
      </c>
    </row>
    <row r="2418" spans="1:9">
      <c r="A2418" s="3" t="s">
        <v>2443</v>
      </c>
      <c r="B2418" s="3" t="s">
        <v>26</v>
      </c>
      <c r="C2418" s="3">
        <v>1802775</v>
      </c>
      <c r="D2418" s="3">
        <v>291606</v>
      </c>
      <c r="E2418" s="3" t="s">
        <v>27</v>
      </c>
      <c r="F2418" s="3">
        <v>1240289</v>
      </c>
      <c r="G2418" s="3">
        <v>203395</v>
      </c>
      <c r="H2418" s="3">
        <v>562486</v>
      </c>
      <c r="I2418" s="3">
        <v>88211</v>
      </c>
    </row>
    <row r="2419" spans="1:9">
      <c r="A2419" s="3" t="s">
        <v>2444</v>
      </c>
      <c r="B2419" s="3" t="s">
        <v>26</v>
      </c>
      <c r="C2419" s="3">
        <v>785760</v>
      </c>
      <c r="D2419" s="3">
        <v>45712</v>
      </c>
      <c r="E2419" s="3" t="s">
        <v>27</v>
      </c>
      <c r="F2419" s="3">
        <v>460269</v>
      </c>
      <c r="G2419" s="3">
        <v>28982</v>
      </c>
      <c r="H2419" s="3">
        <v>325491</v>
      </c>
      <c r="I2419" s="3">
        <v>16730</v>
      </c>
    </row>
    <row r="2420" spans="1:9">
      <c r="A2420" s="3" t="s">
        <v>2445</v>
      </c>
      <c r="B2420" s="3" t="s">
        <v>26</v>
      </c>
      <c r="C2420" s="3">
        <v>1656722</v>
      </c>
      <c r="D2420" s="3">
        <v>456131</v>
      </c>
      <c r="E2420" s="3" t="s">
        <v>27</v>
      </c>
      <c r="F2420" s="3">
        <v>1233139</v>
      </c>
      <c r="G2420" s="3">
        <v>320674</v>
      </c>
      <c r="H2420" s="3">
        <v>423583</v>
      </c>
      <c r="I2420" s="3">
        <v>135457</v>
      </c>
    </row>
    <row r="2421" spans="1:9">
      <c r="A2421" s="3" t="s">
        <v>2446</v>
      </c>
      <c r="B2421" s="3" t="s">
        <v>26</v>
      </c>
      <c r="C2421" s="3">
        <v>1115443</v>
      </c>
      <c r="D2421" s="3">
        <v>211568</v>
      </c>
      <c r="E2421" s="3" t="s">
        <v>27</v>
      </c>
      <c r="F2421" s="3">
        <v>892758</v>
      </c>
      <c r="G2421" s="3">
        <v>160515</v>
      </c>
      <c r="H2421" s="3">
        <v>222685</v>
      </c>
      <c r="I2421" s="3">
        <v>51053</v>
      </c>
    </row>
    <row r="2422" spans="1:9">
      <c r="A2422" s="3" t="s">
        <v>2447</v>
      </c>
      <c r="B2422" s="3" t="s">
        <v>26</v>
      </c>
      <c r="C2422" s="3">
        <v>786181</v>
      </c>
      <c r="D2422" s="3">
        <v>25371</v>
      </c>
      <c r="E2422" s="3" t="s">
        <v>27</v>
      </c>
      <c r="F2422" s="3">
        <v>423043</v>
      </c>
      <c r="G2422" s="3">
        <v>11112</v>
      </c>
      <c r="H2422" s="3">
        <v>363138</v>
      </c>
      <c r="I2422" s="3">
        <v>14259</v>
      </c>
    </row>
    <row r="2423" spans="1:9">
      <c r="A2423" s="3" t="s">
        <v>2448</v>
      </c>
      <c r="B2423" s="3" t="s">
        <v>26</v>
      </c>
      <c r="C2423" s="3">
        <v>784020</v>
      </c>
      <c r="D2423" s="3">
        <v>18111</v>
      </c>
      <c r="E2423" s="3" t="s">
        <v>27</v>
      </c>
      <c r="F2423" s="3">
        <v>298998</v>
      </c>
      <c r="G2423" s="3">
        <v>6080</v>
      </c>
      <c r="H2423" s="3">
        <v>485022</v>
      </c>
      <c r="I2423" s="3">
        <v>12031</v>
      </c>
    </row>
    <row r="2424" spans="1:9">
      <c r="A2424" s="3" t="s">
        <v>2449</v>
      </c>
      <c r="B2424" s="3" t="s">
        <v>26</v>
      </c>
      <c r="C2424" s="3">
        <v>1516315</v>
      </c>
      <c r="D2424" s="3">
        <v>390376</v>
      </c>
      <c r="E2424" s="3" t="s">
        <v>27</v>
      </c>
      <c r="F2424" s="3">
        <v>1115672</v>
      </c>
      <c r="G2424" s="3">
        <v>270781</v>
      </c>
      <c r="H2424" s="3">
        <v>400643</v>
      </c>
      <c r="I2424" s="3">
        <v>119595</v>
      </c>
    </row>
    <row r="2425" spans="1:9">
      <c r="A2425" s="3" t="s">
        <v>2450</v>
      </c>
      <c r="B2425" s="3" t="s">
        <v>26</v>
      </c>
      <c r="C2425" s="3">
        <v>1219101</v>
      </c>
      <c r="D2425" s="3">
        <v>247135</v>
      </c>
      <c r="E2425" s="3" t="s">
        <v>27</v>
      </c>
      <c r="F2425" s="3">
        <v>898270</v>
      </c>
      <c r="G2425" s="3">
        <v>169634</v>
      </c>
      <c r="H2425" s="3">
        <v>320831</v>
      </c>
      <c r="I2425" s="3">
        <v>77501</v>
      </c>
    </row>
    <row r="2426" spans="1:9">
      <c r="A2426" s="3" t="s">
        <v>2451</v>
      </c>
      <c r="B2426" s="3" t="s">
        <v>26</v>
      </c>
      <c r="C2426" s="3">
        <v>605178</v>
      </c>
      <c r="D2426" s="3">
        <v>23952</v>
      </c>
      <c r="E2426" s="3" t="s">
        <v>27</v>
      </c>
      <c r="F2426" s="3">
        <v>321752</v>
      </c>
      <c r="G2426" s="3">
        <v>10807</v>
      </c>
      <c r="H2426" s="3">
        <v>283426</v>
      </c>
      <c r="I2426" s="3">
        <v>13145</v>
      </c>
    </row>
    <row r="2427" spans="1:9">
      <c r="A2427" s="3" t="s">
        <v>2452</v>
      </c>
      <c r="B2427" s="3" t="s">
        <v>26</v>
      </c>
      <c r="C2427" s="3">
        <v>626504</v>
      </c>
      <c r="D2427" s="3">
        <v>15092</v>
      </c>
      <c r="E2427" s="3" t="s">
        <v>27</v>
      </c>
      <c r="F2427" s="3">
        <v>344930</v>
      </c>
      <c r="G2427" s="3">
        <v>11058</v>
      </c>
      <c r="H2427" s="3">
        <v>281574</v>
      </c>
      <c r="I2427" s="3">
        <v>4034</v>
      </c>
    </row>
    <row r="2428" spans="1:9">
      <c r="A2428" s="3" t="s">
        <v>2453</v>
      </c>
      <c r="B2428" s="3" t="s">
        <v>26</v>
      </c>
      <c r="C2428" s="3">
        <v>1187133</v>
      </c>
      <c r="D2428" s="3">
        <v>213168</v>
      </c>
      <c r="E2428" s="3" t="s">
        <v>27</v>
      </c>
      <c r="F2428" s="3">
        <v>868042</v>
      </c>
      <c r="G2428" s="3">
        <v>132744</v>
      </c>
      <c r="H2428" s="3">
        <v>319091</v>
      </c>
      <c r="I2428" s="3">
        <v>80424</v>
      </c>
    </row>
    <row r="2429" spans="1:9">
      <c r="A2429" s="3" t="s">
        <v>2454</v>
      </c>
      <c r="B2429" s="3" t="s">
        <v>26</v>
      </c>
      <c r="C2429" s="3">
        <v>1249653</v>
      </c>
      <c r="D2429" s="3">
        <v>158678</v>
      </c>
      <c r="E2429" s="3" t="s">
        <v>27</v>
      </c>
      <c r="F2429" s="3">
        <v>860184</v>
      </c>
      <c r="G2429" s="3">
        <v>91862</v>
      </c>
      <c r="H2429" s="3">
        <v>389469</v>
      </c>
      <c r="I2429" s="3">
        <v>66816</v>
      </c>
    </row>
    <row r="2430" spans="1:9">
      <c r="A2430" s="3" t="s">
        <v>2455</v>
      </c>
      <c r="B2430" s="3" t="s">
        <v>26</v>
      </c>
      <c r="C2430" s="3">
        <v>1076087</v>
      </c>
      <c r="D2430" s="3">
        <v>265023</v>
      </c>
      <c r="E2430" s="3" t="s">
        <v>27</v>
      </c>
      <c r="F2430" s="3">
        <v>863690</v>
      </c>
      <c r="G2430" s="3">
        <v>204933</v>
      </c>
      <c r="H2430" s="3">
        <v>212397</v>
      </c>
      <c r="I2430" s="3">
        <v>60090</v>
      </c>
    </row>
    <row r="2431" spans="1:9">
      <c r="A2431" s="3" t="s">
        <v>2456</v>
      </c>
      <c r="B2431" s="3" t="s">
        <v>26</v>
      </c>
      <c r="C2431" s="3">
        <v>1077490</v>
      </c>
      <c r="D2431" s="3">
        <v>194290</v>
      </c>
      <c r="E2431" s="3" t="s">
        <v>27</v>
      </c>
      <c r="F2431" s="3">
        <v>760366</v>
      </c>
      <c r="G2431" s="3">
        <v>140310</v>
      </c>
      <c r="H2431" s="3">
        <v>317124</v>
      </c>
      <c r="I2431" s="3">
        <v>53980</v>
      </c>
    </row>
    <row r="2432" spans="1:9">
      <c r="A2432" s="3" t="s">
        <v>2457</v>
      </c>
      <c r="B2432" s="3" t="s">
        <v>26</v>
      </c>
      <c r="C2432" s="3">
        <v>964466</v>
      </c>
      <c r="D2432" s="3">
        <v>166069</v>
      </c>
      <c r="E2432" s="3" t="s">
        <v>27</v>
      </c>
      <c r="F2432" s="3">
        <v>855866</v>
      </c>
      <c r="G2432" s="3">
        <v>138346</v>
      </c>
      <c r="H2432" s="3">
        <v>108600</v>
      </c>
      <c r="I2432" s="3">
        <v>27723</v>
      </c>
    </row>
    <row r="2433" spans="1:9">
      <c r="A2433" s="3" t="s">
        <v>2458</v>
      </c>
      <c r="B2433" s="3" t="s">
        <v>26</v>
      </c>
      <c r="C2433" s="3">
        <v>512260</v>
      </c>
      <c r="D2433" s="3">
        <v>1074</v>
      </c>
      <c r="E2433" s="3" t="s">
        <v>27</v>
      </c>
      <c r="F2433" s="3">
        <v>262413</v>
      </c>
      <c r="G2433" s="3">
        <v>427</v>
      </c>
      <c r="H2433" s="3">
        <v>249847</v>
      </c>
      <c r="I2433" s="3">
        <v>647</v>
      </c>
    </row>
    <row r="2434" spans="1:9">
      <c r="A2434" s="3" t="s">
        <v>2459</v>
      </c>
      <c r="B2434" s="3" t="s">
        <v>26</v>
      </c>
      <c r="C2434" s="3">
        <v>1034197</v>
      </c>
      <c r="D2434" s="3">
        <v>22810</v>
      </c>
      <c r="E2434" s="3" t="s">
        <v>27</v>
      </c>
      <c r="F2434" s="3">
        <v>534365</v>
      </c>
      <c r="G2434" s="3">
        <v>11758</v>
      </c>
      <c r="H2434" s="3">
        <v>499832</v>
      </c>
      <c r="I2434" s="3">
        <v>11052</v>
      </c>
    </row>
    <row r="2435" spans="1:9">
      <c r="A2435" s="3" t="s">
        <v>2460</v>
      </c>
      <c r="B2435" s="3" t="s">
        <v>26</v>
      </c>
      <c r="C2435" s="3">
        <v>1368574</v>
      </c>
      <c r="D2435" s="3">
        <v>280889</v>
      </c>
      <c r="E2435" s="3" t="s">
        <v>27</v>
      </c>
      <c r="F2435" s="3">
        <v>971665</v>
      </c>
      <c r="G2435" s="3">
        <v>191353</v>
      </c>
      <c r="H2435" s="3">
        <v>396909</v>
      </c>
      <c r="I2435" s="3">
        <v>89536</v>
      </c>
    </row>
    <row r="2436" spans="1:9">
      <c r="A2436" s="3" t="s">
        <v>2461</v>
      </c>
      <c r="B2436" s="3" t="s">
        <v>26</v>
      </c>
      <c r="C2436" s="3">
        <v>111930</v>
      </c>
      <c r="D2436" s="3">
        <v>16705</v>
      </c>
      <c r="E2436" s="3" t="s">
        <v>27</v>
      </c>
      <c r="F2436" s="3">
        <v>81835</v>
      </c>
      <c r="G2436" s="3">
        <v>10982</v>
      </c>
      <c r="H2436" s="3">
        <v>30095</v>
      </c>
      <c r="I2436" s="3">
        <v>5723</v>
      </c>
    </row>
    <row r="2437" spans="1:9">
      <c r="A2437" s="3" t="s">
        <v>2462</v>
      </c>
      <c r="B2437" s="3" t="s">
        <v>26</v>
      </c>
      <c r="C2437" s="3">
        <v>922467</v>
      </c>
      <c r="D2437" s="3">
        <v>142331</v>
      </c>
      <c r="E2437" s="3" t="s">
        <v>27</v>
      </c>
      <c r="F2437" s="3">
        <v>651705</v>
      </c>
      <c r="G2437" s="3">
        <v>90185</v>
      </c>
      <c r="H2437" s="3">
        <v>270762</v>
      </c>
      <c r="I2437" s="3">
        <v>52146</v>
      </c>
    </row>
    <row r="2438" spans="1:9">
      <c r="A2438" s="3" t="s">
        <v>2463</v>
      </c>
      <c r="B2438" s="3" t="s">
        <v>26</v>
      </c>
      <c r="C2438" s="3">
        <v>507421</v>
      </c>
      <c r="D2438" s="3">
        <v>599</v>
      </c>
      <c r="E2438" s="3" t="s">
        <v>27</v>
      </c>
      <c r="F2438" s="3">
        <v>263049</v>
      </c>
      <c r="G2438" s="3">
        <v>282</v>
      </c>
      <c r="H2438" s="3">
        <v>244372</v>
      </c>
      <c r="I2438" s="3">
        <v>317</v>
      </c>
    </row>
    <row r="2439" spans="1:9">
      <c r="A2439" s="3" t="s">
        <v>2464</v>
      </c>
      <c r="B2439" s="3" t="s">
        <v>26</v>
      </c>
      <c r="C2439" s="3">
        <v>1434119</v>
      </c>
      <c r="D2439" s="3">
        <v>341479</v>
      </c>
      <c r="E2439" s="3" t="s">
        <v>27</v>
      </c>
      <c r="F2439" s="3">
        <v>1102400</v>
      </c>
      <c r="G2439" s="3">
        <v>251662</v>
      </c>
      <c r="H2439" s="3">
        <v>331719</v>
      </c>
      <c r="I2439" s="3">
        <v>89817</v>
      </c>
    </row>
    <row r="2440" spans="1:9">
      <c r="A2440" s="3" t="s">
        <v>2465</v>
      </c>
      <c r="B2440" s="3" t="s">
        <v>26</v>
      </c>
      <c r="C2440" s="3">
        <v>1382263</v>
      </c>
      <c r="D2440" s="3">
        <v>267363</v>
      </c>
      <c r="E2440" s="3" t="s">
        <v>27</v>
      </c>
      <c r="F2440" s="3">
        <v>915380</v>
      </c>
      <c r="G2440" s="3">
        <v>178888</v>
      </c>
      <c r="H2440" s="3">
        <v>466883</v>
      </c>
      <c r="I2440" s="3">
        <v>88475</v>
      </c>
    </row>
    <row r="2441" spans="1:9">
      <c r="A2441" s="3" t="s">
        <v>2466</v>
      </c>
      <c r="B2441" s="3" t="s">
        <v>26</v>
      </c>
      <c r="C2441" s="3">
        <v>999580</v>
      </c>
      <c r="D2441" s="3">
        <v>189721</v>
      </c>
      <c r="E2441" s="3" t="s">
        <v>27</v>
      </c>
      <c r="F2441" s="3">
        <v>761960</v>
      </c>
      <c r="G2441" s="3">
        <v>133727</v>
      </c>
      <c r="H2441" s="3">
        <v>237620</v>
      </c>
      <c r="I2441" s="3">
        <v>55994</v>
      </c>
    </row>
    <row r="2442" spans="1:9">
      <c r="A2442" s="3" t="s">
        <v>2467</v>
      </c>
      <c r="B2442" s="3" t="s">
        <v>26</v>
      </c>
      <c r="C2442" s="3">
        <v>953975</v>
      </c>
      <c r="D2442" s="3">
        <v>2857</v>
      </c>
      <c r="E2442" s="3" t="s">
        <v>27</v>
      </c>
      <c r="F2442" s="3">
        <v>482053</v>
      </c>
      <c r="G2442" s="3">
        <v>605</v>
      </c>
      <c r="H2442" s="3">
        <v>471922</v>
      </c>
      <c r="I2442" s="3">
        <v>2252</v>
      </c>
    </row>
    <row r="2443" spans="1:9">
      <c r="A2443" s="3" t="s">
        <v>2468</v>
      </c>
      <c r="B2443" s="3" t="s">
        <v>26</v>
      </c>
      <c r="C2443" s="3">
        <v>1789086</v>
      </c>
      <c r="D2443" s="3">
        <v>519915</v>
      </c>
      <c r="E2443" s="3" t="s">
        <v>27</v>
      </c>
      <c r="F2443" s="3">
        <v>1232654</v>
      </c>
      <c r="G2443" s="3">
        <v>343390</v>
      </c>
      <c r="H2443" s="3">
        <v>556432</v>
      </c>
      <c r="I2443" s="3">
        <v>176525</v>
      </c>
    </row>
    <row r="2444" spans="1:9">
      <c r="A2444" s="3" t="s">
        <v>2469</v>
      </c>
      <c r="B2444" s="3" t="s">
        <v>26</v>
      </c>
      <c r="C2444" s="3">
        <v>1184933</v>
      </c>
      <c r="D2444" s="3">
        <v>63900</v>
      </c>
      <c r="E2444" s="3" t="s">
        <v>27</v>
      </c>
      <c r="F2444" s="3">
        <v>680804</v>
      </c>
      <c r="G2444" s="3">
        <v>32382</v>
      </c>
      <c r="H2444" s="3">
        <v>504129</v>
      </c>
      <c r="I2444" s="3">
        <v>31518</v>
      </c>
    </row>
    <row r="2445" spans="1:9">
      <c r="A2445" s="3" t="s">
        <v>2470</v>
      </c>
      <c r="B2445" s="3" t="s">
        <v>26</v>
      </c>
      <c r="C2445" s="3">
        <v>1043096</v>
      </c>
      <c r="D2445" s="3">
        <v>150041</v>
      </c>
      <c r="E2445" s="3" t="s">
        <v>27</v>
      </c>
      <c r="F2445" s="3">
        <v>659488</v>
      </c>
      <c r="G2445" s="3">
        <v>95118</v>
      </c>
      <c r="H2445" s="3">
        <v>383608</v>
      </c>
      <c r="I2445" s="3">
        <v>54923</v>
      </c>
    </row>
    <row r="2446" spans="1:9">
      <c r="A2446" s="3" t="s">
        <v>2471</v>
      </c>
      <c r="B2446" s="3" t="s">
        <v>26</v>
      </c>
      <c r="C2446" s="3">
        <v>1113800</v>
      </c>
      <c r="D2446" s="3">
        <v>188203</v>
      </c>
      <c r="E2446" s="3" t="s">
        <v>27</v>
      </c>
      <c r="F2446" s="3">
        <v>745058</v>
      </c>
      <c r="G2446" s="3">
        <v>110479</v>
      </c>
      <c r="H2446" s="3">
        <v>368742</v>
      </c>
      <c r="I2446" s="3">
        <v>77724</v>
      </c>
    </row>
    <row r="2447" spans="1:9">
      <c r="A2447" s="3" t="s">
        <v>2472</v>
      </c>
      <c r="B2447" s="3" t="s">
        <v>26</v>
      </c>
      <c r="C2447" s="3">
        <v>1267896</v>
      </c>
      <c r="D2447" s="3">
        <v>294093</v>
      </c>
      <c r="E2447" s="3" t="s">
        <v>27</v>
      </c>
      <c r="F2447" s="3">
        <v>879948</v>
      </c>
      <c r="G2447" s="3">
        <v>197457</v>
      </c>
      <c r="H2447" s="3">
        <v>387948</v>
      </c>
      <c r="I2447" s="3">
        <v>96636</v>
      </c>
    </row>
    <row r="2448" spans="1:9">
      <c r="A2448" s="3" t="s">
        <v>2473</v>
      </c>
      <c r="B2448" s="3" t="s">
        <v>26</v>
      </c>
      <c r="C2448" s="3">
        <v>1165308</v>
      </c>
      <c r="D2448" s="3">
        <v>271279</v>
      </c>
      <c r="E2448" s="3" t="s">
        <v>27</v>
      </c>
      <c r="F2448" s="3">
        <v>950947</v>
      </c>
      <c r="G2448" s="3">
        <v>210650</v>
      </c>
      <c r="H2448" s="3">
        <v>214361</v>
      </c>
      <c r="I2448" s="3">
        <v>60629</v>
      </c>
    </row>
    <row r="2449" spans="1:9">
      <c r="A2449" s="3" t="s">
        <v>2474</v>
      </c>
      <c r="B2449" s="3" t="s">
        <v>26</v>
      </c>
      <c r="C2449" s="3">
        <v>784363</v>
      </c>
      <c r="D2449" s="3">
        <v>18546</v>
      </c>
      <c r="E2449" s="3" t="s">
        <v>27</v>
      </c>
      <c r="F2449" s="3">
        <v>416447</v>
      </c>
      <c r="G2449" s="3">
        <v>11552</v>
      </c>
      <c r="H2449" s="3">
        <v>367916</v>
      </c>
      <c r="I2449" s="3">
        <v>6994</v>
      </c>
    </row>
    <row r="2450" spans="1:9">
      <c r="A2450" s="3" t="s">
        <v>2475</v>
      </c>
      <c r="B2450" s="3" t="s">
        <v>26</v>
      </c>
      <c r="C2450" s="3">
        <v>1117756</v>
      </c>
      <c r="D2450" s="3">
        <v>145848</v>
      </c>
      <c r="E2450" s="3" t="s">
        <v>27</v>
      </c>
      <c r="F2450" s="3">
        <v>790122</v>
      </c>
      <c r="G2450" s="3">
        <v>105882</v>
      </c>
      <c r="H2450" s="3">
        <v>327634</v>
      </c>
      <c r="I2450" s="3">
        <v>39966</v>
      </c>
    </row>
    <row r="2451" spans="1:9">
      <c r="A2451" s="3" t="s">
        <v>2476</v>
      </c>
      <c r="B2451" s="3" t="s">
        <v>26</v>
      </c>
      <c r="C2451" s="3">
        <v>1059488</v>
      </c>
      <c r="D2451" s="3">
        <v>72403</v>
      </c>
      <c r="E2451" s="3" t="s">
        <v>27</v>
      </c>
      <c r="F2451" s="3">
        <v>599509</v>
      </c>
      <c r="G2451" s="3">
        <v>39654</v>
      </c>
      <c r="H2451" s="3">
        <v>459979</v>
      </c>
      <c r="I2451" s="3">
        <v>32749</v>
      </c>
    </row>
    <row r="2452" spans="1:9">
      <c r="A2452" s="3" t="s">
        <v>2477</v>
      </c>
      <c r="B2452" s="3" t="s">
        <v>26</v>
      </c>
      <c r="C2452" s="3">
        <v>1347142</v>
      </c>
      <c r="D2452" s="3">
        <v>135225</v>
      </c>
      <c r="E2452" s="3" t="s">
        <v>27</v>
      </c>
      <c r="F2452" s="3">
        <v>775695</v>
      </c>
      <c r="G2452" s="3">
        <v>84345</v>
      </c>
      <c r="H2452" s="3">
        <v>571447</v>
      </c>
      <c r="I2452" s="3">
        <v>50880</v>
      </c>
    </row>
    <row r="2453" spans="1:9">
      <c r="A2453" s="3" t="s">
        <v>2478</v>
      </c>
      <c r="B2453" s="3" t="s">
        <v>26</v>
      </c>
      <c r="C2453" s="3">
        <v>1183853</v>
      </c>
      <c r="D2453" s="3">
        <v>222926</v>
      </c>
      <c r="E2453" s="3" t="s">
        <v>27</v>
      </c>
      <c r="F2453" s="3">
        <v>716308</v>
      </c>
      <c r="G2453" s="3">
        <v>135470</v>
      </c>
      <c r="H2453" s="3">
        <v>467545</v>
      </c>
      <c r="I2453" s="3">
        <v>87456</v>
      </c>
    </row>
    <row r="2454" spans="1:9">
      <c r="A2454" s="3" t="s">
        <v>2479</v>
      </c>
      <c r="B2454" s="3" t="s">
        <v>26</v>
      </c>
      <c r="C2454" s="3">
        <v>1044026</v>
      </c>
      <c r="D2454" s="3">
        <v>142477</v>
      </c>
      <c r="E2454" s="3" t="s">
        <v>27</v>
      </c>
      <c r="F2454" s="3">
        <v>806831</v>
      </c>
      <c r="G2454" s="3">
        <v>112002</v>
      </c>
      <c r="H2454" s="3">
        <v>237195</v>
      </c>
      <c r="I2454" s="3">
        <v>30475</v>
      </c>
    </row>
    <row r="2455" spans="1:9">
      <c r="A2455" s="3" t="s">
        <v>2480</v>
      </c>
      <c r="B2455" s="3" t="s">
        <v>26</v>
      </c>
      <c r="C2455" s="3">
        <v>1613367</v>
      </c>
      <c r="D2455" s="3">
        <v>302080</v>
      </c>
      <c r="E2455" s="3" t="s">
        <v>27</v>
      </c>
      <c r="F2455" s="3">
        <v>1026679</v>
      </c>
      <c r="G2455" s="3">
        <v>193645</v>
      </c>
      <c r="H2455" s="3">
        <v>586688</v>
      </c>
      <c r="I2455" s="3">
        <v>108435</v>
      </c>
    </row>
    <row r="2456" spans="1:9">
      <c r="A2456" s="3" t="s">
        <v>2481</v>
      </c>
      <c r="B2456" s="3" t="s">
        <v>26</v>
      </c>
      <c r="C2456" s="3">
        <v>1015622</v>
      </c>
      <c r="D2456" s="3">
        <v>45079</v>
      </c>
      <c r="E2456" s="3" t="s">
        <v>27</v>
      </c>
      <c r="F2456" s="3">
        <v>593410</v>
      </c>
      <c r="G2456" s="3">
        <v>25281</v>
      </c>
      <c r="H2456" s="3">
        <v>422212</v>
      </c>
      <c r="I2456" s="3">
        <v>19798</v>
      </c>
    </row>
    <row r="2457" spans="1:9">
      <c r="A2457" s="3" t="s">
        <v>2482</v>
      </c>
      <c r="B2457" s="3" t="s">
        <v>26</v>
      </c>
      <c r="C2457" s="3">
        <v>1308710</v>
      </c>
      <c r="D2457" s="3">
        <v>253378</v>
      </c>
      <c r="E2457" s="3" t="s">
        <v>27</v>
      </c>
      <c r="F2457" s="3">
        <v>974344</v>
      </c>
      <c r="G2457" s="3">
        <v>186612</v>
      </c>
      <c r="H2457" s="3">
        <v>334366</v>
      </c>
      <c r="I2457" s="3">
        <v>66766</v>
      </c>
    </row>
    <row r="2458" spans="1:9">
      <c r="A2458" s="3" t="s">
        <v>2483</v>
      </c>
      <c r="B2458" s="3" t="s">
        <v>26</v>
      </c>
      <c r="C2458" s="3">
        <v>1050211</v>
      </c>
      <c r="D2458" s="3">
        <v>73309</v>
      </c>
      <c r="E2458" s="3" t="s">
        <v>27</v>
      </c>
      <c r="F2458" s="3">
        <v>600302</v>
      </c>
      <c r="G2458" s="3">
        <v>43757</v>
      </c>
      <c r="H2458" s="3">
        <v>449909</v>
      </c>
      <c r="I2458" s="3">
        <v>29552</v>
      </c>
    </row>
    <row r="2459" spans="1:9">
      <c r="A2459" s="3" t="s">
        <v>2484</v>
      </c>
      <c r="B2459" s="3" t="s">
        <v>26</v>
      </c>
      <c r="C2459" s="3">
        <v>1175295</v>
      </c>
      <c r="D2459" s="3">
        <v>103143</v>
      </c>
      <c r="E2459" s="3" t="s">
        <v>27</v>
      </c>
      <c r="F2459" s="3">
        <v>689877</v>
      </c>
      <c r="G2459" s="3">
        <v>63273</v>
      </c>
      <c r="H2459" s="3">
        <v>485418</v>
      </c>
      <c r="I2459" s="3">
        <v>39870</v>
      </c>
    </row>
    <row r="2460" spans="1:9">
      <c r="A2460" s="3" t="s">
        <v>2485</v>
      </c>
      <c r="B2460" s="3" t="s">
        <v>26</v>
      </c>
      <c r="C2460" s="3">
        <v>917106</v>
      </c>
      <c r="D2460" s="3">
        <v>112080</v>
      </c>
      <c r="E2460" s="3" t="s">
        <v>27</v>
      </c>
      <c r="F2460" s="3">
        <v>664971</v>
      </c>
      <c r="G2460" s="3">
        <v>86973</v>
      </c>
      <c r="H2460" s="3">
        <v>252135</v>
      </c>
      <c r="I2460" s="3">
        <v>25107</v>
      </c>
    </row>
    <row r="2461" spans="1:9">
      <c r="A2461" s="3" t="s">
        <v>2486</v>
      </c>
      <c r="B2461" s="3" t="s">
        <v>26</v>
      </c>
      <c r="C2461" s="3">
        <v>1337304</v>
      </c>
      <c r="D2461" s="3">
        <v>258373</v>
      </c>
      <c r="E2461" s="3" t="s">
        <v>27</v>
      </c>
      <c r="F2461" s="3">
        <v>1004933</v>
      </c>
      <c r="G2461" s="3">
        <v>187719</v>
      </c>
      <c r="H2461" s="3">
        <v>332371</v>
      </c>
      <c r="I2461" s="3">
        <v>70654</v>
      </c>
    </row>
    <row r="2462" spans="1:9">
      <c r="A2462" s="3" t="s">
        <v>2487</v>
      </c>
      <c r="B2462" s="3" t="s">
        <v>26</v>
      </c>
      <c r="C2462" s="3">
        <v>1024828</v>
      </c>
      <c r="D2462" s="3">
        <v>155505</v>
      </c>
      <c r="E2462" s="3" t="s">
        <v>27</v>
      </c>
      <c r="F2462" s="3">
        <v>644689</v>
      </c>
      <c r="G2462" s="3">
        <v>94328</v>
      </c>
      <c r="H2462" s="3">
        <v>380139</v>
      </c>
      <c r="I2462" s="3">
        <v>61177</v>
      </c>
    </row>
    <row r="2463" spans="1:9">
      <c r="A2463" s="3" t="s">
        <v>2488</v>
      </c>
      <c r="B2463" s="3" t="s">
        <v>26</v>
      </c>
      <c r="C2463" s="3">
        <v>1104942</v>
      </c>
      <c r="D2463" s="3">
        <v>192247</v>
      </c>
      <c r="E2463" s="3" t="s">
        <v>27</v>
      </c>
      <c r="F2463" s="3">
        <v>868826</v>
      </c>
      <c r="G2463" s="3">
        <v>139002</v>
      </c>
      <c r="H2463" s="3">
        <v>236116</v>
      </c>
      <c r="I2463" s="3">
        <v>53245</v>
      </c>
    </row>
    <row r="2464" spans="1:9">
      <c r="A2464" s="3" t="s">
        <v>2489</v>
      </c>
      <c r="B2464" s="3" t="s">
        <v>26</v>
      </c>
      <c r="C2464" s="3">
        <v>1110476</v>
      </c>
      <c r="D2464" s="3">
        <v>103040</v>
      </c>
      <c r="E2464" s="3" t="s">
        <v>27</v>
      </c>
      <c r="F2464" s="3">
        <v>654538</v>
      </c>
      <c r="G2464" s="3">
        <v>63470</v>
      </c>
      <c r="H2464" s="3">
        <v>455938</v>
      </c>
      <c r="I2464" s="3">
        <v>39570</v>
      </c>
    </row>
    <row r="2465" spans="1:9">
      <c r="A2465" s="3" t="s">
        <v>2490</v>
      </c>
      <c r="B2465" s="3" t="s">
        <v>26</v>
      </c>
      <c r="C2465" s="3">
        <v>1217215</v>
      </c>
      <c r="D2465" s="3">
        <v>134979</v>
      </c>
      <c r="E2465" s="3" t="s">
        <v>27</v>
      </c>
      <c r="F2465" s="3">
        <v>693372</v>
      </c>
      <c r="G2465" s="3">
        <v>77166</v>
      </c>
      <c r="H2465" s="3">
        <v>523843</v>
      </c>
      <c r="I2465" s="3">
        <v>57813</v>
      </c>
    </row>
    <row r="2466" spans="1:9">
      <c r="A2466" s="3" t="s">
        <v>2491</v>
      </c>
      <c r="B2466" s="3" t="s">
        <v>26</v>
      </c>
      <c r="C2466" s="3">
        <v>869924</v>
      </c>
      <c r="D2466" s="3">
        <v>29531</v>
      </c>
      <c r="E2466" s="3" t="s">
        <v>27</v>
      </c>
      <c r="F2466" s="3">
        <v>428834</v>
      </c>
      <c r="G2466" s="3">
        <v>17373</v>
      </c>
      <c r="H2466" s="3">
        <v>441090</v>
      </c>
      <c r="I2466" s="3">
        <v>12158</v>
      </c>
    </row>
    <row r="2467" spans="1:9">
      <c r="A2467" s="3" t="s">
        <v>2492</v>
      </c>
      <c r="B2467" s="3" t="s">
        <v>26</v>
      </c>
      <c r="C2467" s="3">
        <v>1328303</v>
      </c>
      <c r="D2467" s="3">
        <v>220278</v>
      </c>
      <c r="E2467" s="3" t="s">
        <v>27</v>
      </c>
      <c r="F2467" s="3">
        <v>839516</v>
      </c>
      <c r="G2467" s="3">
        <v>139320</v>
      </c>
      <c r="H2467" s="3">
        <v>488787</v>
      </c>
      <c r="I2467" s="3">
        <v>80958</v>
      </c>
    </row>
    <row r="2468" spans="1:9">
      <c r="A2468" s="3" t="s">
        <v>2493</v>
      </c>
      <c r="B2468" s="3" t="s">
        <v>26</v>
      </c>
      <c r="C2468" s="3">
        <v>1286988</v>
      </c>
      <c r="D2468" s="3">
        <v>166473</v>
      </c>
      <c r="E2468" s="3" t="s">
        <v>27</v>
      </c>
      <c r="F2468" s="3">
        <v>865372</v>
      </c>
      <c r="G2468" s="3">
        <v>112314</v>
      </c>
      <c r="H2468" s="3">
        <v>421616</v>
      </c>
      <c r="I2468" s="3">
        <v>54159</v>
      </c>
    </row>
    <row r="2469" spans="1:9">
      <c r="A2469" s="3" t="s">
        <v>2494</v>
      </c>
      <c r="B2469" s="3" t="s">
        <v>26</v>
      </c>
      <c r="C2469" s="3">
        <v>1319603</v>
      </c>
      <c r="D2469" s="3">
        <v>203424</v>
      </c>
      <c r="E2469" s="3" t="s">
        <v>27</v>
      </c>
      <c r="F2469" s="3">
        <v>934337</v>
      </c>
      <c r="G2469" s="3">
        <v>140878</v>
      </c>
      <c r="H2469" s="3">
        <v>385266</v>
      </c>
      <c r="I2469" s="3">
        <v>62546</v>
      </c>
    </row>
    <row r="2470" spans="1:9">
      <c r="A2470" s="3" t="s">
        <v>2495</v>
      </c>
      <c r="B2470" s="3" t="s">
        <v>26</v>
      </c>
      <c r="C2470" s="3">
        <v>1396176</v>
      </c>
      <c r="D2470" s="3">
        <v>230012</v>
      </c>
      <c r="E2470" s="3" t="s">
        <v>27</v>
      </c>
      <c r="F2470" s="3">
        <v>1017968</v>
      </c>
      <c r="G2470" s="3">
        <v>167426</v>
      </c>
      <c r="H2470" s="3">
        <v>378208</v>
      </c>
      <c r="I2470" s="3">
        <v>62586</v>
      </c>
    </row>
    <row r="2471" spans="1:9">
      <c r="A2471" s="3" t="s">
        <v>2496</v>
      </c>
      <c r="B2471" s="3" t="s">
        <v>26</v>
      </c>
      <c r="C2471" s="3">
        <v>1214484</v>
      </c>
      <c r="D2471" s="3">
        <v>179000</v>
      </c>
      <c r="E2471" s="3" t="s">
        <v>27</v>
      </c>
      <c r="F2471" s="3">
        <v>811394</v>
      </c>
      <c r="G2471" s="3">
        <v>117508</v>
      </c>
      <c r="H2471" s="3">
        <v>403090</v>
      </c>
      <c r="I2471" s="3">
        <v>61492</v>
      </c>
    </row>
    <row r="2472" spans="1:9">
      <c r="A2472" s="3" t="s">
        <v>2497</v>
      </c>
      <c r="B2472" s="3" t="s">
        <v>26</v>
      </c>
      <c r="C2472" s="3">
        <v>1920781</v>
      </c>
      <c r="D2472" s="3">
        <v>481406</v>
      </c>
      <c r="E2472" s="3" t="s">
        <v>27</v>
      </c>
      <c r="F2472" s="3">
        <v>1251698</v>
      </c>
      <c r="G2472" s="3">
        <v>324788</v>
      </c>
      <c r="H2472" s="3">
        <v>669083</v>
      </c>
      <c r="I2472" s="3">
        <v>156618</v>
      </c>
    </row>
    <row r="2473" spans="1:9">
      <c r="A2473" s="3" t="s">
        <v>2498</v>
      </c>
      <c r="B2473" s="3" t="s">
        <v>26</v>
      </c>
      <c r="C2473" s="3">
        <v>1419012</v>
      </c>
      <c r="D2473" s="3">
        <v>293816</v>
      </c>
      <c r="E2473" s="3" t="s">
        <v>27</v>
      </c>
      <c r="F2473" s="3">
        <v>1129497</v>
      </c>
      <c r="G2473" s="3">
        <v>241796</v>
      </c>
      <c r="H2473" s="3">
        <v>289515</v>
      </c>
      <c r="I2473" s="3">
        <v>52020</v>
      </c>
    </row>
    <row r="2474" spans="1:9">
      <c r="A2474" s="3" t="s">
        <v>2499</v>
      </c>
      <c r="B2474" s="3" t="s">
        <v>26</v>
      </c>
      <c r="C2474" s="3">
        <v>703442</v>
      </c>
      <c r="D2474" s="3">
        <v>46641</v>
      </c>
      <c r="E2474" s="3" t="s">
        <v>27</v>
      </c>
      <c r="F2474" s="3">
        <v>464015</v>
      </c>
      <c r="G2474" s="3">
        <v>31857</v>
      </c>
      <c r="H2474" s="3">
        <v>239427</v>
      </c>
      <c r="I2474" s="3">
        <v>14784</v>
      </c>
    </row>
    <row r="2475" spans="1:9">
      <c r="A2475" s="3" t="s">
        <v>2500</v>
      </c>
      <c r="B2475" s="3" t="s">
        <v>26</v>
      </c>
      <c r="C2475" s="3">
        <v>1587962</v>
      </c>
      <c r="D2475" s="3">
        <v>351855</v>
      </c>
      <c r="E2475" s="3" t="s">
        <v>27</v>
      </c>
      <c r="F2475" s="3">
        <v>1171848</v>
      </c>
      <c r="G2475" s="3">
        <v>265045</v>
      </c>
      <c r="H2475" s="3">
        <v>416114</v>
      </c>
      <c r="I2475" s="3">
        <v>86810</v>
      </c>
    </row>
    <row r="2476" spans="1:9">
      <c r="A2476" s="3" t="s">
        <v>2501</v>
      </c>
      <c r="B2476" s="3" t="s">
        <v>26</v>
      </c>
      <c r="C2476" s="3">
        <v>977305</v>
      </c>
      <c r="D2476" s="3">
        <v>150845</v>
      </c>
      <c r="E2476" s="3" t="s">
        <v>27</v>
      </c>
      <c r="F2476" s="3">
        <v>723873</v>
      </c>
      <c r="G2476" s="3">
        <v>100563</v>
      </c>
      <c r="H2476" s="3">
        <v>253432</v>
      </c>
      <c r="I2476" s="3">
        <v>50282</v>
      </c>
    </row>
    <row r="2477" spans="1:9">
      <c r="A2477" s="3" t="s">
        <v>2502</v>
      </c>
      <c r="B2477" s="3" t="s">
        <v>26</v>
      </c>
      <c r="C2477" s="3">
        <v>1021590</v>
      </c>
      <c r="D2477" s="3">
        <v>27447</v>
      </c>
      <c r="E2477" s="3" t="s">
        <v>27</v>
      </c>
      <c r="F2477" s="3">
        <v>538329</v>
      </c>
      <c r="G2477" s="3">
        <v>14996</v>
      </c>
      <c r="H2477" s="3">
        <v>483261</v>
      </c>
      <c r="I2477" s="3">
        <v>12451</v>
      </c>
    </row>
    <row r="2478" spans="1:9">
      <c r="A2478" s="3" t="s">
        <v>2503</v>
      </c>
      <c r="B2478" s="3" t="s">
        <v>26</v>
      </c>
      <c r="C2478" s="3">
        <v>558223</v>
      </c>
      <c r="D2478" s="3">
        <v>592</v>
      </c>
      <c r="E2478" s="3" t="s">
        <v>27</v>
      </c>
      <c r="F2478" s="3">
        <v>283728</v>
      </c>
      <c r="G2478" s="3">
        <v>272</v>
      </c>
      <c r="H2478" s="3">
        <v>274495</v>
      </c>
      <c r="I2478" s="3">
        <v>320</v>
      </c>
    </row>
    <row r="2479" spans="1:9">
      <c r="A2479" s="3" t="s">
        <v>2504</v>
      </c>
      <c r="B2479" s="3" t="s">
        <v>26</v>
      </c>
      <c r="C2479" s="3">
        <v>1003000</v>
      </c>
      <c r="D2479" s="3">
        <v>198615</v>
      </c>
      <c r="E2479" s="3" t="s">
        <v>27</v>
      </c>
      <c r="F2479" s="3">
        <v>677862</v>
      </c>
      <c r="G2479" s="3">
        <v>128399</v>
      </c>
      <c r="H2479" s="3">
        <v>325138</v>
      </c>
      <c r="I2479" s="3">
        <v>70216</v>
      </c>
    </row>
    <row r="2480" spans="1:9">
      <c r="A2480" s="3" t="s">
        <v>2505</v>
      </c>
      <c r="B2480" s="3" t="s">
        <v>26</v>
      </c>
      <c r="C2480" s="3">
        <v>1059744</v>
      </c>
      <c r="D2480" s="3">
        <v>17742</v>
      </c>
      <c r="E2480" s="3" t="s">
        <v>27</v>
      </c>
      <c r="F2480" s="3">
        <v>569294</v>
      </c>
      <c r="G2480" s="3">
        <v>10179</v>
      </c>
      <c r="H2480" s="3">
        <v>490450</v>
      </c>
      <c r="I2480" s="3">
        <v>7563</v>
      </c>
    </row>
    <row r="2481" spans="1:9">
      <c r="A2481" s="3" t="s">
        <v>2506</v>
      </c>
      <c r="B2481" s="3" t="s">
        <v>26</v>
      </c>
      <c r="C2481" s="3">
        <v>1147308</v>
      </c>
      <c r="D2481" s="3">
        <v>123002</v>
      </c>
      <c r="E2481" s="3" t="s">
        <v>27</v>
      </c>
      <c r="F2481" s="3">
        <v>761008</v>
      </c>
      <c r="G2481" s="3">
        <v>91005</v>
      </c>
      <c r="H2481" s="3">
        <v>386300</v>
      </c>
      <c r="I2481" s="3">
        <v>31997</v>
      </c>
    </row>
    <row r="2482" spans="1:9">
      <c r="A2482" s="3" t="s">
        <v>2507</v>
      </c>
      <c r="B2482" s="3" t="s">
        <v>26</v>
      </c>
      <c r="C2482" s="3">
        <v>1381833</v>
      </c>
      <c r="D2482" s="3">
        <v>211732</v>
      </c>
      <c r="E2482" s="3" t="s">
        <v>27</v>
      </c>
      <c r="F2482" s="3">
        <v>816385</v>
      </c>
      <c r="G2482" s="3">
        <v>120464</v>
      </c>
      <c r="H2482" s="3">
        <v>565448</v>
      </c>
      <c r="I2482" s="3">
        <v>91268</v>
      </c>
    </row>
    <row r="2483" spans="1:9">
      <c r="A2483" s="3" t="s">
        <v>2508</v>
      </c>
      <c r="B2483" s="3" t="s">
        <v>26</v>
      </c>
      <c r="C2483" s="3">
        <v>1232594</v>
      </c>
      <c r="D2483" s="3">
        <v>96277</v>
      </c>
      <c r="E2483" s="3" t="s">
        <v>27</v>
      </c>
      <c r="F2483" s="3">
        <v>717208</v>
      </c>
      <c r="G2483" s="3">
        <v>57704</v>
      </c>
      <c r="H2483" s="3">
        <v>515386</v>
      </c>
      <c r="I2483" s="3">
        <v>38573</v>
      </c>
    </row>
    <row r="2484" spans="1:9">
      <c r="A2484" s="3" t="s">
        <v>2509</v>
      </c>
      <c r="B2484" s="3" t="s">
        <v>26</v>
      </c>
      <c r="C2484" s="3">
        <v>1280262</v>
      </c>
      <c r="D2484" s="3">
        <v>207743</v>
      </c>
      <c r="E2484" s="3" t="s">
        <v>27</v>
      </c>
      <c r="F2484" s="3">
        <v>766884</v>
      </c>
      <c r="G2484" s="3">
        <v>124281</v>
      </c>
      <c r="H2484" s="3">
        <v>513378</v>
      </c>
      <c r="I2484" s="3">
        <v>83462</v>
      </c>
    </row>
    <row r="2485" spans="1:9">
      <c r="A2485" s="3" t="s">
        <v>2510</v>
      </c>
      <c r="B2485" s="3" t="s">
        <v>26</v>
      </c>
      <c r="C2485" s="3">
        <v>896112</v>
      </c>
      <c r="D2485" s="3">
        <v>92970</v>
      </c>
      <c r="E2485" s="3" t="s">
        <v>27</v>
      </c>
      <c r="F2485" s="3">
        <v>634416</v>
      </c>
      <c r="G2485" s="3">
        <v>67055</v>
      </c>
      <c r="H2485" s="3">
        <v>261696</v>
      </c>
      <c r="I2485" s="3">
        <v>25915</v>
      </c>
    </row>
    <row r="2486" spans="1:9">
      <c r="A2486" s="3" t="s">
        <v>2511</v>
      </c>
      <c r="B2486" s="3" t="s">
        <v>26</v>
      </c>
      <c r="C2486" s="3">
        <v>1285573</v>
      </c>
      <c r="D2486" s="3">
        <v>171960</v>
      </c>
      <c r="E2486" s="3" t="s">
        <v>27</v>
      </c>
      <c r="F2486" s="3">
        <v>894145</v>
      </c>
      <c r="G2486" s="3">
        <v>124532</v>
      </c>
      <c r="H2486" s="3">
        <v>391428</v>
      </c>
      <c r="I2486" s="3">
        <v>47428</v>
      </c>
    </row>
    <row r="2487" spans="1:9">
      <c r="A2487" s="3" t="s">
        <v>2512</v>
      </c>
      <c r="B2487" s="3" t="s">
        <v>26</v>
      </c>
      <c r="C2487" s="3">
        <v>1167928</v>
      </c>
      <c r="D2487" s="3">
        <v>153346</v>
      </c>
      <c r="E2487" s="3" t="s">
        <v>27</v>
      </c>
      <c r="F2487" s="3">
        <v>715583</v>
      </c>
      <c r="G2487" s="3">
        <v>87452</v>
      </c>
      <c r="H2487" s="3">
        <v>452345</v>
      </c>
      <c r="I2487" s="3">
        <v>65894</v>
      </c>
    </row>
    <row r="2488" spans="1:9">
      <c r="A2488" s="3" t="s">
        <v>2513</v>
      </c>
      <c r="B2488" s="3" t="s">
        <v>26</v>
      </c>
      <c r="C2488" s="3">
        <v>1222678</v>
      </c>
      <c r="D2488" s="3">
        <v>211974</v>
      </c>
      <c r="E2488" s="3" t="s">
        <v>27</v>
      </c>
      <c r="F2488" s="3">
        <v>812234</v>
      </c>
      <c r="G2488" s="3">
        <v>140992</v>
      </c>
      <c r="H2488" s="3">
        <v>410444</v>
      </c>
      <c r="I2488" s="3">
        <v>70982</v>
      </c>
    </row>
    <row r="2489" spans="1:9">
      <c r="A2489" s="3" t="s">
        <v>2514</v>
      </c>
      <c r="B2489" s="3" t="s">
        <v>26</v>
      </c>
      <c r="C2489" s="3">
        <v>1225082</v>
      </c>
      <c r="D2489" s="3">
        <v>157628</v>
      </c>
      <c r="E2489" s="3" t="s">
        <v>27</v>
      </c>
      <c r="F2489" s="3">
        <v>731522</v>
      </c>
      <c r="G2489" s="3">
        <v>97225</v>
      </c>
      <c r="H2489" s="3">
        <v>493560</v>
      </c>
      <c r="I2489" s="3">
        <v>60403</v>
      </c>
    </row>
    <row r="2490" spans="1:9">
      <c r="A2490" s="3" t="s">
        <v>2515</v>
      </c>
      <c r="B2490" s="3" t="s">
        <v>26</v>
      </c>
      <c r="C2490" s="3">
        <v>1156933</v>
      </c>
      <c r="D2490" s="3">
        <v>152091</v>
      </c>
      <c r="E2490" s="3" t="s">
        <v>27</v>
      </c>
      <c r="F2490" s="3">
        <v>688652</v>
      </c>
      <c r="G2490" s="3">
        <v>87058</v>
      </c>
      <c r="H2490" s="3">
        <v>468281</v>
      </c>
      <c r="I2490" s="3">
        <v>65033</v>
      </c>
    </row>
    <row r="2491" spans="1:9">
      <c r="A2491" s="3" t="s">
        <v>2516</v>
      </c>
      <c r="B2491" s="3" t="s">
        <v>26</v>
      </c>
      <c r="C2491" s="3">
        <v>1227505</v>
      </c>
      <c r="D2491" s="3">
        <v>98279</v>
      </c>
      <c r="E2491" s="3" t="s">
        <v>27</v>
      </c>
      <c r="F2491" s="3">
        <v>734823</v>
      </c>
      <c r="G2491" s="3">
        <v>58675</v>
      </c>
      <c r="H2491" s="3">
        <v>492682</v>
      </c>
      <c r="I2491" s="3">
        <v>39604</v>
      </c>
    </row>
    <row r="2492" spans="1:9">
      <c r="A2492" s="3" t="s">
        <v>2517</v>
      </c>
      <c r="B2492" s="3" t="s">
        <v>26</v>
      </c>
      <c r="C2492" s="3">
        <v>1137617</v>
      </c>
      <c r="D2492" s="3">
        <v>180606</v>
      </c>
      <c r="E2492" s="3" t="s">
        <v>27</v>
      </c>
      <c r="F2492" s="3">
        <v>877094</v>
      </c>
      <c r="G2492" s="3">
        <v>127676</v>
      </c>
      <c r="H2492" s="3">
        <v>260523</v>
      </c>
      <c r="I2492" s="3">
        <v>52930</v>
      </c>
    </row>
    <row r="2493" spans="1:9">
      <c r="A2493" s="3" t="s">
        <v>2518</v>
      </c>
      <c r="B2493" s="3" t="s">
        <v>26</v>
      </c>
      <c r="C2493" s="3">
        <v>1645410</v>
      </c>
      <c r="D2493" s="3">
        <v>314423</v>
      </c>
      <c r="E2493" s="3" t="s">
        <v>27</v>
      </c>
      <c r="F2493" s="3">
        <v>1114277</v>
      </c>
      <c r="G2493" s="3">
        <v>213433</v>
      </c>
      <c r="H2493" s="3">
        <v>531133</v>
      </c>
      <c r="I2493" s="3">
        <v>100990</v>
      </c>
    </row>
    <row r="2494" spans="1:9">
      <c r="A2494" s="3" t="s">
        <v>2519</v>
      </c>
      <c r="B2494" s="3" t="s">
        <v>26</v>
      </c>
      <c r="C2494" s="3">
        <v>1050657</v>
      </c>
      <c r="D2494" s="3">
        <v>164066</v>
      </c>
      <c r="E2494" s="3" t="s">
        <v>27</v>
      </c>
      <c r="F2494" s="3">
        <v>922261</v>
      </c>
      <c r="G2494" s="3">
        <v>133606</v>
      </c>
      <c r="H2494" s="3">
        <v>128396</v>
      </c>
      <c r="I2494" s="3">
        <v>30460</v>
      </c>
    </row>
    <row r="2495" spans="1:9">
      <c r="A2495" s="3" t="s">
        <v>2520</v>
      </c>
      <c r="B2495" s="3" t="s">
        <v>26</v>
      </c>
      <c r="C2495" s="3">
        <v>1213036</v>
      </c>
      <c r="D2495" s="3">
        <v>184623</v>
      </c>
      <c r="E2495" s="3" t="s">
        <v>27</v>
      </c>
      <c r="F2495" s="3">
        <v>762635</v>
      </c>
      <c r="G2495" s="3">
        <v>113004</v>
      </c>
      <c r="H2495" s="3">
        <v>450401</v>
      </c>
      <c r="I2495" s="3">
        <v>71619</v>
      </c>
    </row>
    <row r="2496" spans="1:9">
      <c r="A2496" s="3" t="s">
        <v>2521</v>
      </c>
      <c r="B2496" s="3" t="s">
        <v>26</v>
      </c>
      <c r="C2496" s="3">
        <v>1066726</v>
      </c>
      <c r="D2496" s="3">
        <v>91679</v>
      </c>
      <c r="E2496" s="3" t="s">
        <v>27</v>
      </c>
      <c r="F2496" s="3">
        <v>656759</v>
      </c>
      <c r="G2496" s="3">
        <v>61315</v>
      </c>
      <c r="H2496" s="3">
        <v>409967</v>
      </c>
      <c r="I2496" s="3">
        <v>30364</v>
      </c>
    </row>
    <row r="2497" spans="1:9">
      <c r="A2497" s="3" t="s">
        <v>2522</v>
      </c>
      <c r="B2497" s="3" t="s">
        <v>26</v>
      </c>
      <c r="C2497" s="3">
        <v>1078150</v>
      </c>
      <c r="D2497" s="3">
        <v>80377</v>
      </c>
      <c r="E2497" s="3" t="s">
        <v>27</v>
      </c>
      <c r="F2497" s="3">
        <v>645351</v>
      </c>
      <c r="G2497" s="3">
        <v>52888</v>
      </c>
      <c r="H2497" s="3">
        <v>432799</v>
      </c>
      <c r="I2497" s="3">
        <v>27489</v>
      </c>
    </row>
    <row r="2498" spans="1:9">
      <c r="A2498" s="3" t="s">
        <v>2523</v>
      </c>
      <c r="B2498" s="3" t="s">
        <v>26</v>
      </c>
      <c r="C2498" s="3">
        <v>1231794</v>
      </c>
      <c r="D2498" s="3">
        <v>146337</v>
      </c>
      <c r="E2498" s="3" t="s">
        <v>27</v>
      </c>
      <c r="F2498" s="3">
        <v>803554</v>
      </c>
      <c r="G2498" s="3">
        <v>100767</v>
      </c>
      <c r="H2498" s="3">
        <v>428240</v>
      </c>
      <c r="I2498" s="3">
        <v>45570</v>
      </c>
    </row>
    <row r="2499" spans="1:9">
      <c r="A2499" s="3" t="s">
        <v>2524</v>
      </c>
      <c r="B2499" s="3" t="s">
        <v>26</v>
      </c>
      <c r="C2499" s="3">
        <v>1268769</v>
      </c>
      <c r="D2499" s="3">
        <v>221007</v>
      </c>
      <c r="E2499" s="3" t="s">
        <v>27</v>
      </c>
      <c r="F2499" s="3">
        <v>896952</v>
      </c>
      <c r="G2499" s="3">
        <v>152410</v>
      </c>
      <c r="H2499" s="3">
        <v>371817</v>
      </c>
      <c r="I2499" s="3">
        <v>68597</v>
      </c>
    </row>
    <row r="2500" spans="1:9">
      <c r="A2500" s="3" t="s">
        <v>2525</v>
      </c>
      <c r="B2500" s="3" t="s">
        <v>26</v>
      </c>
      <c r="C2500" s="3">
        <v>1091097</v>
      </c>
      <c r="D2500" s="3">
        <v>72628</v>
      </c>
      <c r="E2500" s="3" t="s">
        <v>27</v>
      </c>
      <c r="F2500" s="3">
        <v>692202</v>
      </c>
      <c r="G2500" s="3">
        <v>42402</v>
      </c>
      <c r="H2500" s="3">
        <v>398895</v>
      </c>
      <c r="I2500" s="3">
        <v>30226</v>
      </c>
    </row>
    <row r="2501" spans="1:9">
      <c r="A2501" s="3" t="s">
        <v>2526</v>
      </c>
      <c r="B2501" s="3" t="s">
        <v>26</v>
      </c>
      <c r="C2501" s="3">
        <v>1227855</v>
      </c>
      <c r="D2501" s="3">
        <v>192994</v>
      </c>
      <c r="E2501" s="3" t="s">
        <v>27</v>
      </c>
      <c r="F2501" s="3">
        <v>873048</v>
      </c>
      <c r="G2501" s="3">
        <v>130503</v>
      </c>
      <c r="H2501" s="3">
        <v>354807</v>
      </c>
      <c r="I2501" s="3">
        <v>62491</v>
      </c>
    </row>
    <row r="2502" spans="1:9">
      <c r="A2502" s="3" t="s">
        <v>2527</v>
      </c>
      <c r="B2502" s="3" t="s">
        <v>26</v>
      </c>
      <c r="C2502" s="3">
        <v>1383483</v>
      </c>
      <c r="D2502" s="3">
        <v>233974</v>
      </c>
      <c r="E2502" s="3" t="s">
        <v>27</v>
      </c>
      <c r="F2502" s="3">
        <v>934788</v>
      </c>
      <c r="G2502" s="3">
        <v>162194</v>
      </c>
      <c r="H2502" s="3">
        <v>448695</v>
      </c>
      <c r="I2502" s="3">
        <v>71780</v>
      </c>
    </row>
    <row r="2503" spans="1:9">
      <c r="A2503" s="3" t="s">
        <v>2528</v>
      </c>
      <c r="B2503" s="3" t="s">
        <v>26</v>
      </c>
      <c r="C2503" s="3">
        <v>1117198</v>
      </c>
      <c r="D2503" s="3">
        <v>183169</v>
      </c>
      <c r="E2503" s="3" t="s">
        <v>27</v>
      </c>
      <c r="F2503" s="3">
        <v>751062</v>
      </c>
      <c r="G2503" s="3">
        <v>114199</v>
      </c>
      <c r="H2503" s="3">
        <v>366136</v>
      </c>
      <c r="I2503" s="3">
        <v>68970</v>
      </c>
    </row>
    <row r="2504" spans="1:9">
      <c r="A2504" s="3" t="s">
        <v>2529</v>
      </c>
      <c r="B2504" s="3" t="s">
        <v>26</v>
      </c>
      <c r="C2504" s="3">
        <v>1280319</v>
      </c>
      <c r="D2504" s="3">
        <v>229728</v>
      </c>
      <c r="E2504" s="3" t="s">
        <v>27</v>
      </c>
      <c r="F2504" s="3">
        <v>980705</v>
      </c>
      <c r="G2504" s="3">
        <v>183870</v>
      </c>
      <c r="H2504" s="3">
        <v>299614</v>
      </c>
      <c r="I2504" s="3">
        <v>45858</v>
      </c>
    </row>
    <row r="2505" spans="1:9">
      <c r="A2505" s="3" t="s">
        <v>2530</v>
      </c>
      <c r="B2505" s="3" t="s">
        <v>26</v>
      </c>
      <c r="C2505" s="3">
        <v>938024</v>
      </c>
      <c r="D2505" s="3">
        <v>67675</v>
      </c>
      <c r="E2505" s="3" t="s">
        <v>27</v>
      </c>
      <c r="F2505" s="3">
        <v>538286</v>
      </c>
      <c r="G2505" s="3">
        <v>41118</v>
      </c>
      <c r="H2505" s="3">
        <v>399738</v>
      </c>
      <c r="I2505" s="3">
        <v>26557</v>
      </c>
    </row>
    <row r="2506" spans="1:9">
      <c r="A2506" s="3" t="s">
        <v>2531</v>
      </c>
      <c r="B2506" s="3" t="s">
        <v>26</v>
      </c>
      <c r="C2506" s="3">
        <v>1300548</v>
      </c>
      <c r="D2506" s="3">
        <v>237583</v>
      </c>
      <c r="E2506" s="3" t="s">
        <v>27</v>
      </c>
      <c r="F2506" s="3">
        <v>1004857</v>
      </c>
      <c r="G2506" s="3">
        <v>178524</v>
      </c>
      <c r="H2506" s="3">
        <v>295691</v>
      </c>
      <c r="I2506" s="3">
        <v>59059</v>
      </c>
    </row>
    <row r="2507" spans="1:9">
      <c r="A2507" s="3" t="s">
        <v>2532</v>
      </c>
      <c r="B2507" s="3" t="s">
        <v>26</v>
      </c>
      <c r="C2507" s="3">
        <v>1164237</v>
      </c>
      <c r="D2507" s="3">
        <v>145254</v>
      </c>
      <c r="E2507" s="3" t="s">
        <v>27</v>
      </c>
      <c r="F2507" s="3">
        <v>881812</v>
      </c>
      <c r="G2507" s="3">
        <v>108916</v>
      </c>
      <c r="H2507" s="3">
        <v>282425</v>
      </c>
      <c r="I2507" s="3">
        <v>36338</v>
      </c>
    </row>
    <row r="2508" spans="1:9">
      <c r="A2508" s="3" t="s">
        <v>2533</v>
      </c>
      <c r="B2508" s="3" t="s">
        <v>26</v>
      </c>
      <c r="C2508" s="3">
        <v>1070416</v>
      </c>
      <c r="D2508" s="3">
        <v>51889</v>
      </c>
      <c r="E2508" s="3" t="s">
        <v>27</v>
      </c>
      <c r="F2508" s="3">
        <v>570984</v>
      </c>
      <c r="G2508" s="3">
        <v>24855</v>
      </c>
      <c r="H2508" s="3">
        <v>499432</v>
      </c>
      <c r="I2508" s="3">
        <v>27034</v>
      </c>
    </row>
    <row r="2509" spans="1:9">
      <c r="A2509" s="3" t="s">
        <v>2534</v>
      </c>
      <c r="B2509" s="3" t="s">
        <v>26</v>
      </c>
      <c r="C2509" s="3">
        <v>649518</v>
      </c>
      <c r="D2509" s="3">
        <v>13704</v>
      </c>
      <c r="E2509" s="3" t="s">
        <v>27</v>
      </c>
      <c r="F2509" s="3">
        <v>333348</v>
      </c>
      <c r="G2509" s="3">
        <v>7980</v>
      </c>
      <c r="H2509" s="3">
        <v>316170</v>
      </c>
      <c r="I2509" s="3">
        <v>5724</v>
      </c>
    </row>
    <row r="2510" spans="1:9">
      <c r="A2510" s="3" t="s">
        <v>2535</v>
      </c>
      <c r="B2510" s="3" t="s">
        <v>26</v>
      </c>
      <c r="C2510" s="3">
        <v>1187329</v>
      </c>
      <c r="D2510" s="3">
        <v>180037</v>
      </c>
      <c r="E2510" s="3" t="s">
        <v>27</v>
      </c>
      <c r="F2510" s="3">
        <v>877751</v>
      </c>
      <c r="G2510" s="3">
        <v>118920</v>
      </c>
      <c r="H2510" s="3">
        <v>309578</v>
      </c>
      <c r="I2510" s="3">
        <v>61117</v>
      </c>
    </row>
    <row r="2511" spans="1:9">
      <c r="A2511" s="3" t="s">
        <v>2536</v>
      </c>
      <c r="B2511" s="3" t="s">
        <v>26</v>
      </c>
      <c r="C2511" s="3">
        <v>1056961</v>
      </c>
      <c r="D2511" s="3">
        <v>66697</v>
      </c>
      <c r="E2511" s="3" t="s">
        <v>27</v>
      </c>
      <c r="F2511" s="3">
        <v>569029</v>
      </c>
      <c r="G2511" s="3">
        <v>33156</v>
      </c>
      <c r="H2511" s="3">
        <v>487932</v>
      </c>
      <c r="I2511" s="3">
        <v>33541</v>
      </c>
    </row>
    <row r="2512" spans="1:9">
      <c r="A2512" s="3" t="s">
        <v>2537</v>
      </c>
      <c r="B2512" s="3" t="s">
        <v>26</v>
      </c>
      <c r="C2512" s="3">
        <v>1148124</v>
      </c>
      <c r="D2512" s="3">
        <v>145343</v>
      </c>
      <c r="E2512" s="3" t="s">
        <v>27</v>
      </c>
      <c r="F2512" s="3">
        <v>683945</v>
      </c>
      <c r="G2512" s="3">
        <v>95324</v>
      </c>
      <c r="H2512" s="3">
        <v>464179</v>
      </c>
      <c r="I2512" s="3">
        <v>50019</v>
      </c>
    </row>
    <row r="2513" spans="1:9">
      <c r="A2513" s="3" t="s">
        <v>2538</v>
      </c>
      <c r="B2513" s="3" t="s">
        <v>26</v>
      </c>
      <c r="C2513" s="3">
        <v>2110194</v>
      </c>
      <c r="D2513" s="3">
        <v>709751</v>
      </c>
      <c r="E2513" s="3" t="s">
        <v>27</v>
      </c>
      <c r="F2513" s="3">
        <v>1487708</v>
      </c>
      <c r="G2513" s="3">
        <v>480982</v>
      </c>
      <c r="H2513" s="3">
        <v>622486</v>
      </c>
      <c r="I2513" s="3">
        <v>228769</v>
      </c>
    </row>
    <row r="2514" spans="1:9">
      <c r="A2514" s="3" t="s">
        <v>2539</v>
      </c>
      <c r="B2514" s="3" t="s">
        <v>26</v>
      </c>
      <c r="C2514" s="3">
        <v>1238390</v>
      </c>
      <c r="D2514" s="3">
        <v>303269</v>
      </c>
      <c r="E2514" s="3" t="s">
        <v>27</v>
      </c>
      <c r="F2514" s="3">
        <v>962092</v>
      </c>
      <c r="G2514" s="3">
        <v>217669</v>
      </c>
      <c r="H2514" s="3">
        <v>276298</v>
      </c>
      <c r="I2514" s="3">
        <v>85600</v>
      </c>
    </row>
    <row r="2515" spans="1:9">
      <c r="A2515" s="3" t="s">
        <v>2540</v>
      </c>
      <c r="B2515" s="3" t="s">
        <v>26</v>
      </c>
      <c r="C2515" s="3">
        <v>1401331</v>
      </c>
      <c r="D2515" s="3">
        <v>63836</v>
      </c>
      <c r="E2515" s="3" t="s">
        <v>27</v>
      </c>
      <c r="F2515" s="3">
        <v>750652</v>
      </c>
      <c r="G2515" s="3">
        <v>37245</v>
      </c>
      <c r="H2515" s="3">
        <v>650679</v>
      </c>
      <c r="I2515" s="3">
        <v>26591</v>
      </c>
    </row>
    <row r="2516" spans="1:9">
      <c r="A2516" s="3" t="s">
        <v>2541</v>
      </c>
      <c r="B2516" s="3" t="s">
        <v>26</v>
      </c>
      <c r="C2516" s="3">
        <v>1030639</v>
      </c>
      <c r="D2516" s="3">
        <v>3971</v>
      </c>
      <c r="E2516" s="3" t="s">
        <v>27</v>
      </c>
      <c r="F2516" s="3">
        <v>402681</v>
      </c>
      <c r="G2516" s="3">
        <v>1624</v>
      </c>
      <c r="H2516" s="3">
        <v>627958</v>
      </c>
      <c r="I2516" s="3">
        <v>2347</v>
      </c>
    </row>
    <row r="2517" spans="1:9">
      <c r="A2517" s="3" t="s">
        <v>2542</v>
      </c>
      <c r="B2517" s="3" t="s">
        <v>26</v>
      </c>
      <c r="C2517" s="3">
        <v>2150010</v>
      </c>
      <c r="D2517" s="3">
        <v>711889</v>
      </c>
      <c r="E2517" s="3" t="s">
        <v>27</v>
      </c>
      <c r="F2517" s="3">
        <v>1643144</v>
      </c>
      <c r="G2517" s="3">
        <v>515533</v>
      </c>
      <c r="H2517" s="3">
        <v>506866</v>
      </c>
      <c r="I2517" s="3">
        <v>196356</v>
      </c>
    </row>
    <row r="2518" spans="1:9">
      <c r="A2518" s="3" t="s">
        <v>2543</v>
      </c>
      <c r="B2518" s="3" t="s">
        <v>26</v>
      </c>
      <c r="C2518" s="3">
        <v>1922721</v>
      </c>
      <c r="D2518" s="3">
        <v>605427</v>
      </c>
      <c r="E2518" s="3" t="s">
        <v>27</v>
      </c>
      <c r="F2518" s="3">
        <v>1422913</v>
      </c>
      <c r="G2518" s="3">
        <v>428974</v>
      </c>
      <c r="H2518" s="3">
        <v>499808</v>
      </c>
      <c r="I2518" s="3">
        <v>176453</v>
      </c>
    </row>
    <row r="2519" spans="1:9">
      <c r="A2519" s="3" t="s">
        <v>2544</v>
      </c>
      <c r="B2519" s="3" t="s">
        <v>26</v>
      </c>
      <c r="C2519" s="3">
        <v>846472</v>
      </c>
      <c r="D2519" s="3">
        <v>14375</v>
      </c>
      <c r="E2519" s="3" t="s">
        <v>27</v>
      </c>
      <c r="F2519" s="3">
        <v>412291</v>
      </c>
      <c r="G2519" s="3">
        <v>5485</v>
      </c>
      <c r="H2519" s="3">
        <v>434181</v>
      </c>
      <c r="I2519" s="3">
        <v>8890</v>
      </c>
    </row>
    <row r="2520" spans="1:9">
      <c r="A2520" s="3" t="s">
        <v>2545</v>
      </c>
      <c r="B2520" s="3" t="s">
        <v>26</v>
      </c>
      <c r="C2520" s="3">
        <v>1009207</v>
      </c>
      <c r="D2520" s="3">
        <v>108684</v>
      </c>
      <c r="E2520" s="3" t="s">
        <v>27</v>
      </c>
      <c r="F2520" s="3">
        <v>593376</v>
      </c>
      <c r="G2520" s="3">
        <v>70439</v>
      </c>
      <c r="H2520" s="3">
        <v>415831</v>
      </c>
      <c r="I2520" s="3">
        <v>38245</v>
      </c>
    </row>
    <row r="2521" spans="1:9">
      <c r="A2521" s="3" t="s">
        <v>2546</v>
      </c>
      <c r="B2521" s="3" t="s">
        <v>26</v>
      </c>
      <c r="C2521" s="3">
        <v>2127399</v>
      </c>
      <c r="D2521" s="3">
        <v>666941</v>
      </c>
      <c r="E2521" s="3" t="s">
        <v>27</v>
      </c>
      <c r="F2521" s="3">
        <v>1708378</v>
      </c>
      <c r="G2521" s="3">
        <v>505836</v>
      </c>
      <c r="H2521" s="3">
        <v>419021</v>
      </c>
      <c r="I2521" s="3">
        <v>161105</v>
      </c>
    </row>
    <row r="2522" spans="1:9">
      <c r="A2522" s="3" t="s">
        <v>2547</v>
      </c>
      <c r="B2522" s="3" t="s">
        <v>26</v>
      </c>
      <c r="C2522" s="3">
        <v>1890683</v>
      </c>
      <c r="D2522" s="3">
        <v>332071</v>
      </c>
      <c r="E2522" s="3" t="s">
        <v>27</v>
      </c>
      <c r="F2522" s="3">
        <v>1399006</v>
      </c>
      <c r="G2522" s="3">
        <v>234556</v>
      </c>
      <c r="H2522" s="3">
        <v>491677</v>
      </c>
      <c r="I2522" s="3">
        <v>97515</v>
      </c>
    </row>
    <row r="2523" spans="1:9">
      <c r="A2523" s="3" t="s">
        <v>2548</v>
      </c>
      <c r="B2523" s="3" t="s">
        <v>26</v>
      </c>
      <c r="C2523" s="3">
        <v>1181292</v>
      </c>
      <c r="D2523" s="3">
        <v>358441</v>
      </c>
      <c r="E2523" s="3" t="s">
        <v>27</v>
      </c>
      <c r="F2523" s="3">
        <v>930348</v>
      </c>
      <c r="G2523" s="3">
        <v>271104</v>
      </c>
      <c r="H2523" s="3">
        <v>250944</v>
      </c>
      <c r="I2523" s="3">
        <v>87337</v>
      </c>
    </row>
    <row r="2524" spans="1:9">
      <c r="A2524" s="3" t="s">
        <v>2549</v>
      </c>
      <c r="B2524" s="3" t="s">
        <v>26</v>
      </c>
      <c r="C2524" s="3">
        <v>1741883</v>
      </c>
      <c r="D2524" s="3">
        <v>415145</v>
      </c>
      <c r="E2524" s="3" t="s">
        <v>27</v>
      </c>
      <c r="F2524" s="3">
        <v>1345986</v>
      </c>
      <c r="G2524" s="3">
        <v>338259</v>
      </c>
      <c r="H2524" s="3">
        <v>395897</v>
      </c>
      <c r="I2524" s="3">
        <v>76886</v>
      </c>
    </row>
    <row r="2525" spans="1:9">
      <c r="A2525" s="3" t="s">
        <v>2550</v>
      </c>
      <c r="B2525" s="3" t="s">
        <v>26</v>
      </c>
      <c r="C2525" s="3">
        <v>1424451</v>
      </c>
      <c r="D2525" s="3">
        <v>399961</v>
      </c>
      <c r="E2525" s="3" t="s">
        <v>27</v>
      </c>
      <c r="F2525" s="3">
        <v>1245973</v>
      </c>
      <c r="G2525" s="3">
        <v>334647</v>
      </c>
      <c r="H2525" s="3">
        <v>178478</v>
      </c>
      <c r="I2525" s="3">
        <v>65314</v>
      </c>
    </row>
    <row r="2526" spans="1:9">
      <c r="A2526" s="3" t="s">
        <v>2551</v>
      </c>
      <c r="B2526" s="3" t="s">
        <v>26</v>
      </c>
      <c r="C2526" s="3">
        <v>696517</v>
      </c>
      <c r="D2526" s="3">
        <v>2264</v>
      </c>
      <c r="E2526" s="3" t="s">
        <v>27</v>
      </c>
      <c r="F2526" s="3">
        <v>356205</v>
      </c>
      <c r="G2526" s="3">
        <v>844</v>
      </c>
      <c r="H2526" s="3">
        <v>340312</v>
      </c>
      <c r="I2526" s="3">
        <v>1420</v>
      </c>
    </row>
    <row r="2527" spans="1:9">
      <c r="A2527" s="3" t="s">
        <v>2552</v>
      </c>
      <c r="B2527" s="3" t="s">
        <v>26</v>
      </c>
      <c r="C2527" s="3">
        <v>993795</v>
      </c>
      <c r="D2527" s="3">
        <v>45147</v>
      </c>
      <c r="E2527" s="3" t="s">
        <v>27</v>
      </c>
      <c r="F2527" s="3">
        <v>692742</v>
      </c>
      <c r="G2527" s="3">
        <v>31582</v>
      </c>
      <c r="H2527" s="3">
        <v>301053</v>
      </c>
      <c r="I2527" s="3">
        <v>13565</v>
      </c>
    </row>
    <row r="2528" spans="1:9">
      <c r="A2528" s="3" t="s">
        <v>2553</v>
      </c>
      <c r="B2528" s="3" t="s">
        <v>26</v>
      </c>
      <c r="C2528" s="3">
        <v>2265134</v>
      </c>
      <c r="D2528" s="3">
        <v>751533</v>
      </c>
      <c r="E2528" s="3" t="s">
        <v>27</v>
      </c>
      <c r="F2528" s="3">
        <v>1887483</v>
      </c>
      <c r="G2528" s="3">
        <v>588046</v>
      </c>
      <c r="H2528" s="3">
        <v>377651</v>
      </c>
      <c r="I2528" s="3">
        <v>163487</v>
      </c>
    </row>
    <row r="2529" spans="1:9">
      <c r="A2529" s="3" t="s">
        <v>2554</v>
      </c>
      <c r="B2529" s="3" t="s">
        <v>26</v>
      </c>
      <c r="C2529" s="3">
        <v>1974843</v>
      </c>
      <c r="D2529" s="3">
        <v>624188</v>
      </c>
      <c r="E2529" s="3" t="s">
        <v>27</v>
      </c>
      <c r="F2529" s="3">
        <v>1394505</v>
      </c>
      <c r="G2529" s="3">
        <v>436163</v>
      </c>
      <c r="H2529" s="3">
        <v>580338</v>
      </c>
      <c r="I2529" s="3">
        <v>188025</v>
      </c>
    </row>
    <row r="2530" spans="1:9">
      <c r="A2530" s="3" t="s">
        <v>2555</v>
      </c>
      <c r="B2530" s="3" t="s">
        <v>26</v>
      </c>
      <c r="C2530" s="3">
        <v>1769671</v>
      </c>
      <c r="D2530" s="3">
        <v>407854</v>
      </c>
      <c r="E2530" s="3" t="s">
        <v>27</v>
      </c>
      <c r="F2530" s="3">
        <v>1342104</v>
      </c>
      <c r="G2530" s="3">
        <v>306104</v>
      </c>
      <c r="H2530" s="3">
        <v>427567</v>
      </c>
      <c r="I2530" s="3">
        <v>101750</v>
      </c>
    </row>
    <row r="2531" spans="1:9">
      <c r="A2531" s="3" t="s">
        <v>2556</v>
      </c>
      <c r="B2531" s="3" t="s">
        <v>26</v>
      </c>
      <c r="C2531" s="3">
        <v>665364</v>
      </c>
      <c r="D2531" s="3">
        <v>675</v>
      </c>
      <c r="E2531" s="3" t="s">
        <v>27</v>
      </c>
      <c r="F2531" s="3">
        <v>342230</v>
      </c>
      <c r="G2531" s="3">
        <v>341</v>
      </c>
      <c r="H2531" s="3">
        <v>323134</v>
      </c>
      <c r="I2531" s="3">
        <v>334</v>
      </c>
    </row>
    <row r="2532" spans="1:9">
      <c r="A2532" s="3" t="s">
        <v>2557</v>
      </c>
      <c r="B2532" s="3" t="s">
        <v>26</v>
      </c>
      <c r="C2532" s="3">
        <v>1834107</v>
      </c>
      <c r="D2532" s="3">
        <v>563205</v>
      </c>
      <c r="E2532" s="3" t="s">
        <v>27</v>
      </c>
      <c r="F2532" s="3">
        <v>1466570</v>
      </c>
      <c r="G2532" s="3">
        <v>429669</v>
      </c>
      <c r="H2532" s="3">
        <v>367537</v>
      </c>
      <c r="I2532" s="3">
        <v>133536</v>
      </c>
    </row>
    <row r="2533" spans="1:9">
      <c r="A2533" s="3" t="s">
        <v>2558</v>
      </c>
      <c r="B2533" s="3" t="s">
        <v>26</v>
      </c>
      <c r="C2533" s="3">
        <v>1855927</v>
      </c>
      <c r="D2533" s="3">
        <v>470114</v>
      </c>
      <c r="E2533" s="3" t="s">
        <v>27</v>
      </c>
      <c r="F2533" s="3">
        <v>1238905</v>
      </c>
      <c r="G2533" s="3">
        <v>318887</v>
      </c>
      <c r="H2533" s="3">
        <v>617022</v>
      </c>
      <c r="I2533" s="3">
        <v>151227</v>
      </c>
    </row>
    <row r="2534" spans="1:9">
      <c r="A2534" s="3" t="s">
        <v>2559</v>
      </c>
      <c r="B2534" s="3" t="s">
        <v>26</v>
      </c>
      <c r="C2534" s="3">
        <v>1188712</v>
      </c>
      <c r="D2534" s="3">
        <v>319947</v>
      </c>
      <c r="E2534" s="3" t="s">
        <v>27</v>
      </c>
      <c r="F2534" s="3">
        <v>858466</v>
      </c>
      <c r="G2534" s="3">
        <v>213212</v>
      </c>
      <c r="H2534" s="3">
        <v>330246</v>
      </c>
      <c r="I2534" s="3">
        <v>106735</v>
      </c>
    </row>
    <row r="2535" spans="1:9">
      <c r="A2535" s="3" t="s">
        <v>2560</v>
      </c>
      <c r="B2535" s="3" t="s">
        <v>26</v>
      </c>
      <c r="C2535" s="3">
        <v>1247391</v>
      </c>
      <c r="D2535" s="3">
        <v>5792</v>
      </c>
      <c r="E2535" s="3" t="s">
        <v>27</v>
      </c>
      <c r="F2535" s="3">
        <v>646412</v>
      </c>
      <c r="G2535" s="3">
        <v>1911</v>
      </c>
      <c r="H2535" s="3">
        <v>600979</v>
      </c>
      <c r="I2535" s="3">
        <v>3881</v>
      </c>
    </row>
    <row r="2536" spans="1:9">
      <c r="A2536" s="3" t="s">
        <v>2561</v>
      </c>
      <c r="B2536" s="3" t="s">
        <v>26</v>
      </c>
      <c r="C2536" s="3">
        <v>2335950</v>
      </c>
      <c r="D2536" s="3">
        <v>769099</v>
      </c>
      <c r="E2536" s="3" t="s">
        <v>27</v>
      </c>
      <c r="F2536" s="3">
        <v>1653843</v>
      </c>
      <c r="G2536" s="3">
        <v>519539</v>
      </c>
      <c r="H2536" s="3">
        <v>682107</v>
      </c>
      <c r="I2536" s="3">
        <v>249560</v>
      </c>
    </row>
    <row r="2537" spans="1:9">
      <c r="A2537" s="3" t="s">
        <v>2562</v>
      </c>
      <c r="B2537" s="3" t="s">
        <v>26</v>
      </c>
      <c r="C2537" s="3">
        <v>1227141</v>
      </c>
      <c r="D2537" s="3">
        <v>135710</v>
      </c>
      <c r="E2537" s="3" t="s">
        <v>27</v>
      </c>
      <c r="F2537" s="3">
        <v>715952</v>
      </c>
      <c r="G2537" s="3">
        <v>80843</v>
      </c>
      <c r="H2537" s="3">
        <v>511189</v>
      </c>
      <c r="I2537" s="3">
        <v>54867</v>
      </c>
    </row>
    <row r="2538" spans="1:9">
      <c r="A2538" s="3" t="s">
        <v>2563</v>
      </c>
      <c r="B2538" s="3" t="s">
        <v>26</v>
      </c>
      <c r="C2538" s="3">
        <v>1845340</v>
      </c>
      <c r="D2538" s="3">
        <v>426450</v>
      </c>
      <c r="E2538" s="3" t="s">
        <v>27</v>
      </c>
      <c r="F2538" s="3">
        <v>1111109</v>
      </c>
      <c r="G2538" s="3">
        <v>267864</v>
      </c>
      <c r="H2538" s="3">
        <v>734231</v>
      </c>
      <c r="I2538" s="3">
        <v>158586</v>
      </c>
    </row>
    <row r="2539" spans="1:9">
      <c r="A2539" s="3" t="s">
        <v>2564</v>
      </c>
      <c r="B2539" s="3" t="s">
        <v>26</v>
      </c>
      <c r="C2539" s="3">
        <v>1959105</v>
      </c>
      <c r="D2539" s="3">
        <v>612487</v>
      </c>
      <c r="E2539" s="3" t="s">
        <v>27</v>
      </c>
      <c r="F2539" s="3">
        <v>1460187</v>
      </c>
      <c r="G2539" s="3">
        <v>442199</v>
      </c>
      <c r="H2539" s="3">
        <v>498918</v>
      </c>
      <c r="I2539" s="3">
        <v>170288</v>
      </c>
    </row>
    <row r="2540" spans="1:9">
      <c r="A2540" s="3" t="s">
        <v>2565</v>
      </c>
      <c r="B2540" s="3" t="s">
        <v>26</v>
      </c>
      <c r="C2540" s="3">
        <v>1650175</v>
      </c>
      <c r="D2540" s="3">
        <v>448345</v>
      </c>
      <c r="E2540" s="3" t="s">
        <v>27</v>
      </c>
      <c r="F2540" s="3">
        <v>1262606</v>
      </c>
      <c r="G2540" s="3">
        <v>327664</v>
      </c>
      <c r="H2540" s="3">
        <v>387569</v>
      </c>
      <c r="I2540" s="3">
        <v>120681</v>
      </c>
    </row>
    <row r="2541" spans="1:9">
      <c r="A2541" s="3" t="s">
        <v>2566</v>
      </c>
      <c r="B2541" s="3" t="s">
        <v>26</v>
      </c>
      <c r="C2541" s="3">
        <v>2121450</v>
      </c>
      <c r="D2541" s="3">
        <v>714096</v>
      </c>
      <c r="E2541" s="3" t="s">
        <v>27</v>
      </c>
      <c r="F2541" s="3">
        <v>1791596</v>
      </c>
      <c r="G2541" s="3">
        <v>573930</v>
      </c>
      <c r="H2541" s="3">
        <v>329854</v>
      </c>
      <c r="I2541" s="3">
        <v>140166</v>
      </c>
    </row>
    <row r="2542" spans="1:9">
      <c r="A2542" s="3" t="s">
        <v>2567</v>
      </c>
      <c r="B2542" s="3" t="s">
        <v>26</v>
      </c>
      <c r="C2542" s="3">
        <v>1638952</v>
      </c>
      <c r="D2542" s="3">
        <v>300700</v>
      </c>
      <c r="E2542" s="3" t="s">
        <v>27</v>
      </c>
      <c r="F2542" s="3">
        <v>990995</v>
      </c>
      <c r="G2542" s="3">
        <v>194042</v>
      </c>
      <c r="H2542" s="3">
        <v>647957</v>
      </c>
      <c r="I2542" s="3">
        <v>106658</v>
      </c>
    </row>
    <row r="2543" spans="1:9">
      <c r="A2543" s="3" t="s">
        <v>2568</v>
      </c>
      <c r="B2543" s="3" t="s">
        <v>26</v>
      </c>
      <c r="C2543" s="3">
        <v>1433735</v>
      </c>
      <c r="D2543" s="3">
        <v>264715</v>
      </c>
      <c r="E2543" s="3" t="s">
        <v>27</v>
      </c>
      <c r="F2543" s="3">
        <v>943503</v>
      </c>
      <c r="G2543" s="3">
        <v>180003</v>
      </c>
      <c r="H2543" s="3">
        <v>490232</v>
      </c>
      <c r="I2543" s="3">
        <v>84712</v>
      </c>
    </row>
    <row r="2544" spans="1:9">
      <c r="A2544" s="3" t="s">
        <v>2569</v>
      </c>
      <c r="B2544" s="3" t="s">
        <v>26</v>
      </c>
      <c r="C2544" s="3">
        <v>1960212</v>
      </c>
      <c r="D2544" s="3">
        <v>226999</v>
      </c>
      <c r="E2544" s="3" t="s">
        <v>27</v>
      </c>
      <c r="F2544" s="3">
        <v>1128841</v>
      </c>
      <c r="G2544" s="3">
        <v>135111</v>
      </c>
      <c r="H2544" s="3">
        <v>831371</v>
      </c>
      <c r="I2544" s="3">
        <v>91888</v>
      </c>
    </row>
    <row r="2545" spans="1:9">
      <c r="A2545" s="3" t="s">
        <v>2570</v>
      </c>
      <c r="B2545" s="3" t="s">
        <v>26</v>
      </c>
      <c r="C2545" s="3">
        <v>16409</v>
      </c>
      <c r="D2545" s="3">
        <v>2109</v>
      </c>
      <c r="E2545" s="3" t="s">
        <v>27</v>
      </c>
      <c r="F2545" s="3">
        <v>16409</v>
      </c>
      <c r="G2545" s="3">
        <v>2109</v>
      </c>
      <c r="H2545" s="3">
        <v>0</v>
      </c>
      <c r="I2545" s="3">
        <v>0</v>
      </c>
    </row>
    <row r="2546" spans="1:9">
      <c r="A2546" s="3" t="s">
        <v>2571</v>
      </c>
      <c r="B2546" s="3" t="s">
        <v>26</v>
      </c>
      <c r="C2546" s="3">
        <v>1225777</v>
      </c>
      <c r="D2546" s="3">
        <v>60152</v>
      </c>
      <c r="E2546" s="3" t="s">
        <v>27</v>
      </c>
      <c r="F2546" s="3">
        <v>630082</v>
      </c>
      <c r="G2546" s="3">
        <v>29631</v>
      </c>
      <c r="H2546" s="3">
        <v>595695</v>
      </c>
      <c r="I2546" s="3">
        <v>30521</v>
      </c>
    </row>
    <row r="2547" spans="1:9">
      <c r="A2547" s="3" t="s">
        <v>2572</v>
      </c>
      <c r="B2547" s="3" t="s">
        <v>26</v>
      </c>
      <c r="C2547" s="3">
        <v>1861119</v>
      </c>
      <c r="D2547" s="3">
        <v>456706</v>
      </c>
      <c r="E2547" s="3" t="s">
        <v>27</v>
      </c>
      <c r="F2547" s="3">
        <v>1558291</v>
      </c>
      <c r="G2547" s="3">
        <v>397483</v>
      </c>
      <c r="H2547" s="3">
        <v>302828</v>
      </c>
      <c r="I2547" s="3">
        <v>59223</v>
      </c>
    </row>
    <row r="2548" spans="1:9">
      <c r="A2548" s="3" t="s">
        <v>2573</v>
      </c>
      <c r="B2548" s="3" t="s">
        <v>26</v>
      </c>
      <c r="C2548" s="3">
        <v>2098819</v>
      </c>
      <c r="D2548" s="3">
        <v>426357</v>
      </c>
      <c r="E2548" s="3" t="s">
        <v>27</v>
      </c>
      <c r="F2548" s="3">
        <v>1485402</v>
      </c>
      <c r="G2548" s="3">
        <v>282438</v>
      </c>
      <c r="H2548" s="3">
        <v>613417</v>
      </c>
      <c r="I2548" s="3">
        <v>143919</v>
      </c>
    </row>
    <row r="2549" spans="1:9">
      <c r="A2549" s="3" t="s">
        <v>2574</v>
      </c>
      <c r="B2549" s="3" t="s">
        <v>26</v>
      </c>
      <c r="C2549" s="3">
        <v>1528929</v>
      </c>
      <c r="D2549" s="3">
        <v>161442</v>
      </c>
      <c r="E2549" s="3" t="s">
        <v>27</v>
      </c>
      <c r="F2549" s="3">
        <v>978859</v>
      </c>
      <c r="G2549" s="3">
        <v>102879</v>
      </c>
      <c r="H2549" s="3">
        <v>550070</v>
      </c>
      <c r="I2549" s="3">
        <v>58563</v>
      </c>
    </row>
    <row r="2550" spans="1:9">
      <c r="A2550" s="3" t="s">
        <v>2575</v>
      </c>
      <c r="B2550" s="3" t="s">
        <v>26</v>
      </c>
      <c r="C2550" s="3">
        <v>2376193</v>
      </c>
      <c r="D2550" s="3">
        <v>659843</v>
      </c>
      <c r="E2550" s="3" t="s">
        <v>27</v>
      </c>
      <c r="F2550" s="3">
        <v>1714217</v>
      </c>
      <c r="G2550" s="3">
        <v>447996</v>
      </c>
      <c r="H2550" s="3">
        <v>661976</v>
      </c>
      <c r="I2550" s="3">
        <v>211847</v>
      </c>
    </row>
    <row r="2551" spans="1:9">
      <c r="A2551" s="3" t="s">
        <v>2576</v>
      </c>
      <c r="B2551" s="3" t="s">
        <v>26</v>
      </c>
      <c r="C2551" s="3">
        <v>2215</v>
      </c>
      <c r="D2551" s="3">
        <v>355</v>
      </c>
      <c r="E2551" s="3" t="s">
        <v>27</v>
      </c>
      <c r="F2551" s="3">
        <v>2215</v>
      </c>
      <c r="G2551" s="3">
        <v>355</v>
      </c>
      <c r="H2551" s="3">
        <v>0</v>
      </c>
      <c r="I2551" s="3">
        <v>0</v>
      </c>
    </row>
    <row r="2552" spans="1:9">
      <c r="A2552" s="3" t="s">
        <v>2577</v>
      </c>
      <c r="B2552" s="3" t="s">
        <v>26</v>
      </c>
      <c r="C2552" s="3">
        <v>1760329</v>
      </c>
      <c r="D2552" s="3">
        <v>365585</v>
      </c>
      <c r="E2552" s="3" t="s">
        <v>27</v>
      </c>
      <c r="F2552" s="3">
        <v>1117664</v>
      </c>
      <c r="G2552" s="3">
        <v>243280</v>
      </c>
      <c r="H2552" s="3">
        <v>642665</v>
      </c>
      <c r="I2552" s="3">
        <v>122305</v>
      </c>
    </row>
    <row r="2553" spans="1:9">
      <c r="A2553" s="3" t="s">
        <v>2578</v>
      </c>
      <c r="B2553" s="3" t="s">
        <v>26</v>
      </c>
      <c r="C2553" s="3">
        <v>1598036</v>
      </c>
      <c r="D2553" s="3">
        <v>195453</v>
      </c>
      <c r="E2553" s="3" t="s">
        <v>27</v>
      </c>
      <c r="F2553" s="3">
        <v>1030031</v>
      </c>
      <c r="G2553" s="3">
        <v>132728</v>
      </c>
      <c r="H2553" s="3">
        <v>568005</v>
      </c>
      <c r="I2553" s="3">
        <v>62725</v>
      </c>
    </row>
    <row r="2554" spans="1:9">
      <c r="A2554" s="3" t="s">
        <v>2579</v>
      </c>
      <c r="B2554" s="3" t="s">
        <v>26</v>
      </c>
      <c r="C2554" s="3">
        <v>2085564</v>
      </c>
      <c r="D2554" s="3">
        <v>586469</v>
      </c>
      <c r="E2554" s="3" t="s">
        <v>27</v>
      </c>
      <c r="F2554" s="3">
        <v>1341301</v>
      </c>
      <c r="G2554" s="3">
        <v>371285</v>
      </c>
      <c r="H2554" s="3">
        <v>744263</v>
      </c>
      <c r="I2554" s="3">
        <v>215184</v>
      </c>
    </row>
    <row r="2555" spans="1:9">
      <c r="A2555" s="3" t="s">
        <v>2580</v>
      </c>
      <c r="B2555" s="3" t="s">
        <v>26</v>
      </c>
      <c r="C2555" s="3">
        <v>3276833</v>
      </c>
      <c r="D2555" s="3">
        <v>668149</v>
      </c>
      <c r="E2555" s="3" t="s">
        <v>27</v>
      </c>
      <c r="F2555" s="3">
        <v>2434536</v>
      </c>
      <c r="G2555" s="3">
        <v>412375</v>
      </c>
      <c r="H2555" s="3">
        <v>842297</v>
      </c>
      <c r="I2555" s="3">
        <v>255774</v>
      </c>
    </row>
    <row r="2556" spans="1:9">
      <c r="A2556" s="3" t="s">
        <v>2581</v>
      </c>
      <c r="B2556" s="3" t="s">
        <v>26</v>
      </c>
      <c r="C2556" s="3">
        <v>2204224</v>
      </c>
      <c r="D2556" s="3">
        <v>654271</v>
      </c>
      <c r="E2556" s="3" t="s">
        <v>27</v>
      </c>
      <c r="F2556" s="3">
        <v>1867163</v>
      </c>
      <c r="G2556" s="3">
        <v>535988</v>
      </c>
      <c r="H2556" s="3">
        <v>337061</v>
      </c>
      <c r="I2556" s="3">
        <v>118283</v>
      </c>
    </row>
    <row r="2557" spans="1:9">
      <c r="A2557" s="3" t="s">
        <v>2582</v>
      </c>
      <c r="B2557" s="3" t="s">
        <v>26</v>
      </c>
      <c r="C2557" s="3">
        <v>1740872</v>
      </c>
      <c r="D2557" s="3">
        <v>224892</v>
      </c>
      <c r="E2557" s="3" t="s">
        <v>27</v>
      </c>
      <c r="F2557" s="3">
        <v>1048458</v>
      </c>
      <c r="G2557" s="3">
        <v>125548</v>
      </c>
      <c r="H2557" s="3">
        <v>692414</v>
      </c>
      <c r="I2557" s="3">
        <v>99344</v>
      </c>
    </row>
    <row r="2558" spans="1:9">
      <c r="A2558" s="3" t="s">
        <v>2583</v>
      </c>
      <c r="B2558" s="3" t="s">
        <v>26</v>
      </c>
      <c r="C2558" s="3">
        <v>2272161</v>
      </c>
      <c r="D2558" s="3">
        <v>478689</v>
      </c>
      <c r="E2558" s="3" t="s">
        <v>27</v>
      </c>
      <c r="F2558" s="3">
        <v>1387129</v>
      </c>
      <c r="G2558" s="3">
        <v>306364</v>
      </c>
      <c r="H2558" s="3">
        <v>885032</v>
      </c>
      <c r="I2558" s="3">
        <v>172325</v>
      </c>
    </row>
    <row r="2559" spans="1:9">
      <c r="A2559" s="3" t="s">
        <v>2584</v>
      </c>
      <c r="B2559" s="3" t="s">
        <v>26</v>
      </c>
      <c r="C2559" s="3">
        <v>1241156</v>
      </c>
      <c r="D2559" s="3">
        <v>103961</v>
      </c>
      <c r="E2559" s="3" t="s">
        <v>27</v>
      </c>
      <c r="F2559" s="3">
        <v>667492</v>
      </c>
      <c r="G2559" s="3">
        <v>60283</v>
      </c>
      <c r="H2559" s="3">
        <v>573664</v>
      </c>
      <c r="I2559" s="3">
        <v>43678</v>
      </c>
    </row>
    <row r="2560" spans="1:9">
      <c r="A2560" s="3" t="s">
        <v>2585</v>
      </c>
      <c r="B2560" s="3" t="s">
        <v>26</v>
      </c>
      <c r="C2560" s="3">
        <v>1294713</v>
      </c>
      <c r="D2560" s="3">
        <v>113565</v>
      </c>
      <c r="E2560" s="3" t="s">
        <v>27</v>
      </c>
      <c r="F2560" s="3">
        <v>838996</v>
      </c>
      <c r="G2560" s="3">
        <v>79319</v>
      </c>
      <c r="H2560" s="3">
        <v>455717</v>
      </c>
      <c r="I2560" s="3">
        <v>34246</v>
      </c>
    </row>
    <row r="2561" spans="1:9">
      <c r="A2561" s="3" t="s">
        <v>2586</v>
      </c>
      <c r="B2561" s="3" t="s">
        <v>26</v>
      </c>
      <c r="C2561" s="3">
        <v>1793302</v>
      </c>
      <c r="D2561" s="3">
        <v>278811</v>
      </c>
      <c r="E2561" s="3" t="s">
        <v>27</v>
      </c>
      <c r="F2561" s="3">
        <v>1210341</v>
      </c>
      <c r="G2561" s="3">
        <v>184753</v>
      </c>
      <c r="H2561" s="3">
        <v>582961</v>
      </c>
      <c r="I2561" s="3">
        <v>94058</v>
      </c>
    </row>
    <row r="2562" spans="1:9">
      <c r="A2562" s="3" t="s">
        <v>2587</v>
      </c>
      <c r="B2562" s="3" t="s">
        <v>26</v>
      </c>
      <c r="C2562" s="3">
        <v>2380381</v>
      </c>
      <c r="D2562" s="3">
        <v>690569</v>
      </c>
      <c r="E2562" s="3" t="s">
        <v>27</v>
      </c>
      <c r="F2562" s="3">
        <v>1820127</v>
      </c>
      <c r="G2562" s="3">
        <v>506718</v>
      </c>
      <c r="H2562" s="3">
        <v>560254</v>
      </c>
      <c r="I2562" s="3">
        <v>183851</v>
      </c>
    </row>
    <row r="2563" spans="1:9">
      <c r="A2563" s="3" t="s">
        <v>2588</v>
      </c>
      <c r="B2563" s="3" t="s">
        <v>26</v>
      </c>
      <c r="C2563" s="3">
        <v>2495176</v>
      </c>
      <c r="D2563" s="3">
        <v>708673</v>
      </c>
      <c r="E2563" s="3" t="s">
        <v>27</v>
      </c>
      <c r="F2563" s="3">
        <v>1823652</v>
      </c>
      <c r="G2563" s="3">
        <v>492825</v>
      </c>
      <c r="H2563" s="3">
        <v>671524</v>
      </c>
      <c r="I2563" s="3">
        <v>215848</v>
      </c>
    </row>
    <row r="2564" spans="1:9">
      <c r="A2564" s="3" t="s">
        <v>2589</v>
      </c>
      <c r="B2564" s="3" t="s">
        <v>26</v>
      </c>
      <c r="C2564" s="3">
        <v>2101702</v>
      </c>
      <c r="D2564" s="3">
        <v>478030</v>
      </c>
      <c r="E2564" s="3" t="s">
        <v>27</v>
      </c>
      <c r="F2564" s="3">
        <v>1511465</v>
      </c>
      <c r="G2564" s="3">
        <v>362159</v>
      </c>
      <c r="H2564" s="3">
        <v>590237</v>
      </c>
      <c r="I2564" s="3">
        <v>115871</v>
      </c>
    </row>
    <row r="2565" spans="1:9">
      <c r="A2565" s="3" t="s">
        <v>2590</v>
      </c>
      <c r="B2565" s="3" t="s">
        <v>26</v>
      </c>
      <c r="C2565" s="3">
        <v>2352185</v>
      </c>
      <c r="D2565" s="3">
        <v>303009</v>
      </c>
      <c r="E2565" s="3" t="s">
        <v>27</v>
      </c>
      <c r="F2565" s="3">
        <v>1520134</v>
      </c>
      <c r="G2565" s="3">
        <v>216259</v>
      </c>
      <c r="H2565" s="3">
        <v>832051</v>
      </c>
      <c r="I2565" s="3">
        <v>86750</v>
      </c>
    </row>
    <row r="2566" spans="1:9">
      <c r="A2566" s="3" t="s">
        <v>2591</v>
      </c>
      <c r="B2566" s="3" t="s">
        <v>26</v>
      </c>
      <c r="C2566" s="3">
        <v>2315643</v>
      </c>
      <c r="D2566" s="3">
        <v>568029</v>
      </c>
      <c r="E2566" s="3" t="s">
        <v>27</v>
      </c>
      <c r="F2566" s="3">
        <v>1854908</v>
      </c>
      <c r="G2566" s="3">
        <v>456283</v>
      </c>
      <c r="H2566" s="3">
        <v>460735</v>
      </c>
      <c r="I2566" s="3">
        <v>111746</v>
      </c>
    </row>
    <row r="2567" spans="1:9">
      <c r="A2567" s="3" t="s">
        <v>2592</v>
      </c>
      <c r="B2567" s="3" t="s">
        <v>26</v>
      </c>
      <c r="C2567" s="3">
        <v>1367520</v>
      </c>
      <c r="D2567" s="3">
        <v>97125</v>
      </c>
      <c r="E2567" s="3" t="s">
        <v>27</v>
      </c>
      <c r="F2567" s="3">
        <v>796200</v>
      </c>
      <c r="G2567" s="3">
        <v>59384</v>
      </c>
      <c r="H2567" s="3">
        <v>571320</v>
      </c>
      <c r="I2567" s="3">
        <v>37741</v>
      </c>
    </row>
    <row r="2568" spans="1:9">
      <c r="A2568" s="3" t="s">
        <v>2593</v>
      </c>
      <c r="B2568" s="3" t="s">
        <v>26</v>
      </c>
      <c r="C2568" s="3">
        <v>2700182</v>
      </c>
      <c r="D2568" s="3">
        <v>782193</v>
      </c>
      <c r="E2568" s="3" t="s">
        <v>27</v>
      </c>
      <c r="F2568" s="3">
        <v>2075805</v>
      </c>
      <c r="G2568" s="3">
        <v>586995</v>
      </c>
      <c r="H2568" s="3">
        <v>624377</v>
      </c>
      <c r="I2568" s="3">
        <v>195198</v>
      </c>
    </row>
    <row r="2569" spans="1:9">
      <c r="A2569" s="3" t="s">
        <v>2594</v>
      </c>
      <c r="B2569" s="3" t="s">
        <v>26</v>
      </c>
      <c r="C2569" s="3">
        <v>2139470</v>
      </c>
      <c r="D2569" s="3">
        <v>552324</v>
      </c>
      <c r="E2569" s="3" t="s">
        <v>27</v>
      </c>
      <c r="F2569" s="3">
        <v>1535865</v>
      </c>
      <c r="G2569" s="3">
        <v>388984</v>
      </c>
      <c r="H2569" s="3">
        <v>603605</v>
      </c>
      <c r="I2569" s="3">
        <v>163340</v>
      </c>
    </row>
    <row r="2570" spans="1:9">
      <c r="A2570" s="3" t="s">
        <v>2595</v>
      </c>
      <c r="B2570" s="3" t="s">
        <v>26</v>
      </c>
      <c r="C2570" s="3">
        <v>1062155</v>
      </c>
      <c r="D2570" s="3">
        <v>3098</v>
      </c>
      <c r="E2570" s="3" t="s">
        <v>27</v>
      </c>
      <c r="F2570" s="3">
        <v>545527</v>
      </c>
      <c r="G2570" s="3">
        <v>1624</v>
      </c>
      <c r="H2570" s="3">
        <v>516628</v>
      </c>
      <c r="I2570" s="3">
        <v>1474</v>
      </c>
    </row>
    <row r="2571" spans="1:9">
      <c r="A2571" s="3" t="s">
        <v>2596</v>
      </c>
      <c r="B2571" s="3" t="s">
        <v>26</v>
      </c>
      <c r="C2571" s="3">
        <v>875780</v>
      </c>
      <c r="D2571" s="3">
        <v>4451</v>
      </c>
      <c r="E2571" s="3" t="s">
        <v>27</v>
      </c>
      <c r="F2571" s="3">
        <v>453926</v>
      </c>
      <c r="G2571" s="3">
        <v>2064</v>
      </c>
      <c r="H2571" s="3">
        <v>421854</v>
      </c>
      <c r="I2571" s="3">
        <v>2387</v>
      </c>
    </row>
    <row r="2572" spans="1:9">
      <c r="A2572" s="3" t="s">
        <v>2597</v>
      </c>
      <c r="B2572" s="3" t="s">
        <v>26</v>
      </c>
      <c r="C2572" s="3">
        <v>1857698</v>
      </c>
      <c r="D2572" s="3">
        <v>423431</v>
      </c>
      <c r="E2572" s="3" t="s">
        <v>27</v>
      </c>
      <c r="F2572" s="3">
        <v>1371548</v>
      </c>
      <c r="G2572" s="3">
        <v>303461</v>
      </c>
      <c r="H2572" s="3">
        <v>486150</v>
      </c>
      <c r="I2572" s="3">
        <v>119970</v>
      </c>
    </row>
    <row r="2573" spans="1:9">
      <c r="A2573" s="3" t="s">
        <v>2598</v>
      </c>
      <c r="B2573" s="3" t="s">
        <v>26</v>
      </c>
      <c r="C2573" s="3">
        <v>2087463</v>
      </c>
      <c r="D2573" s="3">
        <v>454172</v>
      </c>
      <c r="E2573" s="3" t="s">
        <v>27</v>
      </c>
      <c r="F2573" s="3">
        <v>1410255</v>
      </c>
      <c r="G2573" s="3">
        <v>294471</v>
      </c>
      <c r="H2573" s="3">
        <v>677208</v>
      </c>
      <c r="I2573" s="3">
        <v>159701</v>
      </c>
    </row>
    <row r="2574" spans="1:9">
      <c r="A2574" s="3" t="s">
        <v>2599</v>
      </c>
      <c r="B2574" s="3" t="s">
        <v>26</v>
      </c>
      <c r="C2574" s="3">
        <v>1329605</v>
      </c>
      <c r="D2574" s="3">
        <v>191222</v>
      </c>
      <c r="E2574" s="3" t="s">
        <v>27</v>
      </c>
      <c r="F2574" s="3">
        <v>890907</v>
      </c>
      <c r="G2574" s="3">
        <v>135017</v>
      </c>
      <c r="H2574" s="3">
        <v>438698</v>
      </c>
      <c r="I2574" s="3">
        <v>56205</v>
      </c>
    </row>
    <row r="2575" spans="1:9">
      <c r="A2575" s="3" t="s">
        <v>2600</v>
      </c>
      <c r="B2575" s="3" t="s">
        <v>26</v>
      </c>
      <c r="C2575" s="3">
        <v>2340634</v>
      </c>
      <c r="D2575" s="3">
        <v>528351</v>
      </c>
      <c r="E2575" s="3" t="s">
        <v>27</v>
      </c>
      <c r="F2575" s="3">
        <v>1529300</v>
      </c>
      <c r="G2575" s="3">
        <v>368228</v>
      </c>
      <c r="H2575" s="3">
        <v>811334</v>
      </c>
      <c r="I2575" s="3">
        <v>160123</v>
      </c>
    </row>
    <row r="2576" spans="1:9">
      <c r="A2576" s="3" t="s">
        <v>2601</v>
      </c>
      <c r="B2576" s="3" t="s">
        <v>26</v>
      </c>
      <c r="C2576" s="3">
        <v>1302877</v>
      </c>
      <c r="D2576" s="3">
        <v>74055</v>
      </c>
      <c r="E2576" s="3" t="s">
        <v>27</v>
      </c>
      <c r="F2576" s="3">
        <v>707342</v>
      </c>
      <c r="G2576" s="3">
        <v>42128</v>
      </c>
      <c r="H2576" s="3">
        <v>595535</v>
      </c>
      <c r="I2576" s="3">
        <v>31927</v>
      </c>
    </row>
    <row r="2577" spans="1:9">
      <c r="A2577" s="3" t="s">
        <v>2602</v>
      </c>
      <c r="B2577" s="3" t="s">
        <v>26</v>
      </c>
      <c r="C2577" s="3">
        <v>1787125</v>
      </c>
      <c r="D2577" s="3">
        <v>103072</v>
      </c>
      <c r="E2577" s="3" t="s">
        <v>27</v>
      </c>
      <c r="F2577" s="3">
        <v>983344</v>
      </c>
      <c r="G2577" s="3">
        <v>59726</v>
      </c>
      <c r="H2577" s="3">
        <v>803781</v>
      </c>
      <c r="I2577" s="3">
        <v>43346</v>
      </c>
    </row>
    <row r="2578" spans="1:9">
      <c r="A2578" s="3" t="s">
        <v>2603</v>
      </c>
      <c r="B2578" s="3" t="s">
        <v>26</v>
      </c>
      <c r="C2578" s="3">
        <v>1355598</v>
      </c>
      <c r="D2578" s="3">
        <v>205830</v>
      </c>
      <c r="E2578" s="3" t="s">
        <v>27</v>
      </c>
      <c r="F2578" s="3">
        <v>957296</v>
      </c>
      <c r="G2578" s="3">
        <v>164341</v>
      </c>
      <c r="H2578" s="3">
        <v>398302</v>
      </c>
      <c r="I2578" s="3">
        <v>41489</v>
      </c>
    </row>
    <row r="2579" spans="1:9">
      <c r="A2579" s="3" t="s">
        <v>2604</v>
      </c>
      <c r="B2579" s="3" t="s">
        <v>26</v>
      </c>
      <c r="C2579" s="3">
        <v>2472640</v>
      </c>
      <c r="D2579" s="3">
        <v>605250</v>
      </c>
      <c r="E2579" s="3" t="s">
        <v>27</v>
      </c>
      <c r="F2579" s="3">
        <v>1739145</v>
      </c>
      <c r="G2579" s="3">
        <v>420889</v>
      </c>
      <c r="H2579" s="3">
        <v>733495</v>
      </c>
      <c r="I2579" s="3">
        <v>184361</v>
      </c>
    </row>
    <row r="2580" spans="1:9">
      <c r="A2580" s="3" t="s">
        <v>2605</v>
      </c>
      <c r="B2580" s="3" t="s">
        <v>26</v>
      </c>
      <c r="C2580" s="3">
        <v>1528917</v>
      </c>
      <c r="D2580" s="3">
        <v>208902</v>
      </c>
      <c r="E2580" s="3" t="s">
        <v>27</v>
      </c>
      <c r="F2580" s="3">
        <v>1038556</v>
      </c>
      <c r="G2580" s="3">
        <v>137078</v>
      </c>
      <c r="H2580" s="3">
        <v>490361</v>
      </c>
      <c r="I2580" s="3">
        <v>71824</v>
      </c>
    </row>
    <row r="2581" spans="1:9">
      <c r="A2581" s="3" t="s">
        <v>2606</v>
      </c>
      <c r="B2581" s="3" t="s">
        <v>26</v>
      </c>
      <c r="C2581" s="3">
        <v>1984503</v>
      </c>
      <c r="D2581" s="3">
        <v>367704</v>
      </c>
      <c r="E2581" s="3" t="s">
        <v>27</v>
      </c>
      <c r="F2581" s="3">
        <v>1465166</v>
      </c>
      <c r="G2581" s="3">
        <v>283214</v>
      </c>
      <c r="H2581" s="3">
        <v>519337</v>
      </c>
      <c r="I2581" s="3">
        <v>84490</v>
      </c>
    </row>
    <row r="2582" spans="1:9">
      <c r="A2582" s="3" t="s">
        <v>2607</v>
      </c>
      <c r="B2582" s="3" t="s">
        <v>26</v>
      </c>
      <c r="C2582" s="3">
        <v>2039106</v>
      </c>
      <c r="D2582" s="3">
        <v>365545</v>
      </c>
      <c r="E2582" s="3" t="s">
        <v>27</v>
      </c>
      <c r="F2582" s="3">
        <v>1240904</v>
      </c>
      <c r="G2582" s="3">
        <v>229110</v>
      </c>
      <c r="H2582" s="3">
        <v>798202</v>
      </c>
      <c r="I2582" s="3">
        <v>136435</v>
      </c>
    </row>
    <row r="2583" spans="1:9">
      <c r="A2583" s="3" t="s">
        <v>2608</v>
      </c>
      <c r="B2583" s="3" t="s">
        <v>26</v>
      </c>
      <c r="C2583" s="3">
        <v>1408309</v>
      </c>
      <c r="D2583" s="3">
        <v>67733</v>
      </c>
      <c r="E2583" s="3" t="s">
        <v>27</v>
      </c>
      <c r="F2583" s="3">
        <v>799321</v>
      </c>
      <c r="G2583" s="3">
        <v>37302</v>
      </c>
      <c r="H2583" s="3">
        <v>608988</v>
      </c>
      <c r="I2583" s="3">
        <v>30431</v>
      </c>
    </row>
    <row r="2584" spans="1:9">
      <c r="A2584" s="3" t="s">
        <v>2609</v>
      </c>
      <c r="B2584" s="3" t="s">
        <v>26</v>
      </c>
      <c r="C2584" s="3">
        <v>1645600</v>
      </c>
      <c r="D2584" s="3">
        <v>310293</v>
      </c>
      <c r="E2584" s="3" t="s">
        <v>27</v>
      </c>
      <c r="F2584" s="3">
        <v>1086334</v>
      </c>
      <c r="G2584" s="3">
        <v>218233</v>
      </c>
      <c r="H2584" s="3">
        <v>559266</v>
      </c>
      <c r="I2584" s="3">
        <v>92060</v>
      </c>
    </row>
    <row r="2585" spans="1:9">
      <c r="A2585" s="3" t="s">
        <v>2610</v>
      </c>
      <c r="B2585" s="3" t="s">
        <v>26</v>
      </c>
      <c r="C2585" s="3">
        <v>2040526</v>
      </c>
      <c r="D2585" s="3">
        <v>472796</v>
      </c>
      <c r="E2585" s="3" t="s">
        <v>27</v>
      </c>
      <c r="F2585" s="3">
        <v>1532374</v>
      </c>
      <c r="G2585" s="3">
        <v>334734</v>
      </c>
      <c r="H2585" s="3">
        <v>508152</v>
      </c>
      <c r="I2585" s="3">
        <v>138062</v>
      </c>
    </row>
    <row r="2586" spans="1:9">
      <c r="A2586" s="3" t="s">
        <v>2611</v>
      </c>
      <c r="B2586" s="3" t="s">
        <v>26</v>
      </c>
      <c r="C2586" s="3">
        <v>2711586</v>
      </c>
      <c r="D2586" s="3">
        <v>344071</v>
      </c>
      <c r="E2586" s="3" t="s">
        <v>27</v>
      </c>
      <c r="F2586" s="3">
        <v>2518932</v>
      </c>
      <c r="G2586" s="3">
        <v>285394</v>
      </c>
      <c r="H2586" s="3">
        <v>192654</v>
      </c>
      <c r="I2586" s="3">
        <v>58677</v>
      </c>
    </row>
    <row r="2587" spans="1:9">
      <c r="A2587" s="3" t="s">
        <v>2612</v>
      </c>
      <c r="B2587" s="3" t="s">
        <v>26</v>
      </c>
      <c r="C2587" s="3">
        <v>1836249</v>
      </c>
      <c r="D2587" s="3">
        <v>443868</v>
      </c>
      <c r="E2587" s="3" t="s">
        <v>27</v>
      </c>
      <c r="F2587" s="3">
        <v>1572944</v>
      </c>
      <c r="G2587" s="3">
        <v>360067</v>
      </c>
      <c r="H2587" s="3">
        <v>263305</v>
      </c>
      <c r="I2587" s="3">
        <v>83801</v>
      </c>
    </row>
    <row r="2588" spans="1:9">
      <c r="A2588" s="3" t="s">
        <v>2613</v>
      </c>
      <c r="B2588" s="3" t="s">
        <v>26</v>
      </c>
      <c r="C2588" s="3">
        <v>2428740</v>
      </c>
      <c r="D2588" s="3">
        <v>625264</v>
      </c>
      <c r="E2588" s="3" t="s">
        <v>27</v>
      </c>
      <c r="F2588" s="3">
        <v>1798877</v>
      </c>
      <c r="G2588" s="3">
        <v>451430</v>
      </c>
      <c r="H2588" s="3">
        <v>629863</v>
      </c>
      <c r="I2588" s="3">
        <v>173834</v>
      </c>
    </row>
    <row r="2589" spans="1:9">
      <c r="A2589" s="3" t="s">
        <v>2614</v>
      </c>
      <c r="B2589" s="3" t="s">
        <v>26</v>
      </c>
      <c r="C2589" s="3">
        <v>2104113</v>
      </c>
      <c r="D2589" s="3">
        <v>348192</v>
      </c>
      <c r="E2589" s="3" t="s">
        <v>27</v>
      </c>
      <c r="F2589" s="3">
        <v>1272894</v>
      </c>
      <c r="G2589" s="3">
        <v>216268</v>
      </c>
      <c r="H2589" s="3">
        <v>831219</v>
      </c>
      <c r="I2589" s="3">
        <v>131924</v>
      </c>
    </row>
    <row r="2590" spans="1:9">
      <c r="A2590" s="3" t="s">
        <v>2615</v>
      </c>
      <c r="B2590" s="3" t="s">
        <v>26</v>
      </c>
      <c r="C2590" s="3">
        <v>2748519</v>
      </c>
      <c r="D2590" s="3">
        <v>857247</v>
      </c>
      <c r="E2590" s="3" t="s">
        <v>27</v>
      </c>
      <c r="F2590" s="3">
        <v>2025840</v>
      </c>
      <c r="G2590" s="3">
        <v>599779</v>
      </c>
      <c r="H2590" s="3">
        <v>722679</v>
      </c>
      <c r="I2590" s="3">
        <v>257468</v>
      </c>
    </row>
    <row r="2591" spans="1:9">
      <c r="A2591" s="3" t="s">
        <v>2616</v>
      </c>
      <c r="B2591" s="3" t="s">
        <v>26</v>
      </c>
      <c r="C2591" s="3">
        <v>2040921</v>
      </c>
      <c r="D2591" s="3">
        <v>408956</v>
      </c>
      <c r="E2591" s="3" t="s">
        <v>27</v>
      </c>
      <c r="F2591" s="3">
        <v>1312797</v>
      </c>
      <c r="G2591" s="3">
        <v>263308</v>
      </c>
      <c r="H2591" s="3">
        <v>728124</v>
      </c>
      <c r="I2591" s="3">
        <v>145648</v>
      </c>
    </row>
    <row r="2592" spans="1:9">
      <c r="A2592" s="3" t="s">
        <v>2617</v>
      </c>
      <c r="B2592" s="3" t="s">
        <v>26</v>
      </c>
      <c r="C2592" s="3">
        <v>1865054</v>
      </c>
      <c r="D2592" s="3">
        <v>285435</v>
      </c>
      <c r="E2592" s="3" t="s">
        <v>27</v>
      </c>
      <c r="F2592" s="3">
        <v>1180835</v>
      </c>
      <c r="G2592" s="3">
        <v>185204</v>
      </c>
      <c r="H2592" s="3">
        <v>684219</v>
      </c>
      <c r="I2592" s="3">
        <v>100231</v>
      </c>
    </row>
    <row r="2593" spans="1:9">
      <c r="A2593" s="3" t="s">
        <v>2618</v>
      </c>
      <c r="B2593" s="3" t="s">
        <v>26</v>
      </c>
      <c r="C2593" s="3">
        <v>1713589</v>
      </c>
      <c r="D2593" s="3">
        <v>396199</v>
      </c>
      <c r="E2593" s="3" t="s">
        <v>27</v>
      </c>
      <c r="F2593" s="3">
        <v>1246617</v>
      </c>
      <c r="G2593" s="3">
        <v>284260</v>
      </c>
      <c r="H2593" s="3">
        <v>466972</v>
      </c>
      <c r="I2593" s="3">
        <v>111939</v>
      </c>
    </row>
    <row r="2594" spans="1:9">
      <c r="A2594" s="3" t="s">
        <v>2619</v>
      </c>
      <c r="B2594" s="3" t="s">
        <v>26</v>
      </c>
      <c r="C2594" s="3">
        <v>2295520</v>
      </c>
      <c r="D2594" s="3">
        <v>607065</v>
      </c>
      <c r="E2594" s="3" t="s">
        <v>27</v>
      </c>
      <c r="F2594" s="3">
        <v>1576552</v>
      </c>
      <c r="G2594" s="3">
        <v>394581</v>
      </c>
      <c r="H2594" s="3">
        <v>718968</v>
      </c>
      <c r="I2594" s="3">
        <v>212484</v>
      </c>
    </row>
    <row r="2595" spans="1:9">
      <c r="A2595" s="3" t="s">
        <v>2620</v>
      </c>
      <c r="B2595" s="3" t="s">
        <v>26</v>
      </c>
      <c r="C2595" s="3">
        <v>1505718</v>
      </c>
      <c r="D2595" s="3">
        <v>52438</v>
      </c>
      <c r="E2595" s="3" t="s">
        <v>27</v>
      </c>
      <c r="F2595" s="3">
        <v>823145</v>
      </c>
      <c r="G2595" s="3">
        <v>32218</v>
      </c>
      <c r="H2595" s="3">
        <v>682573</v>
      </c>
      <c r="I2595" s="3">
        <v>20220</v>
      </c>
    </row>
    <row r="2596" spans="1:9">
      <c r="A2596" s="3" t="s">
        <v>2621</v>
      </c>
      <c r="B2596" s="3" t="s">
        <v>26</v>
      </c>
      <c r="C2596" s="3">
        <v>2213169</v>
      </c>
      <c r="D2596" s="3">
        <v>561891</v>
      </c>
      <c r="E2596" s="3" t="s">
        <v>27</v>
      </c>
      <c r="F2596" s="3">
        <v>1460555</v>
      </c>
      <c r="G2596" s="3">
        <v>370912</v>
      </c>
      <c r="H2596" s="3">
        <v>752614</v>
      </c>
      <c r="I2596" s="3">
        <v>190979</v>
      </c>
    </row>
    <row r="2597" spans="1:9">
      <c r="A2597" s="3" t="s">
        <v>2622</v>
      </c>
      <c r="B2597" s="3" t="s">
        <v>26</v>
      </c>
      <c r="C2597" s="3">
        <v>2079031</v>
      </c>
      <c r="D2597" s="3">
        <v>419475</v>
      </c>
      <c r="E2597" s="3" t="s">
        <v>27</v>
      </c>
      <c r="F2597" s="3">
        <v>1644583</v>
      </c>
      <c r="G2597" s="3">
        <v>328898</v>
      </c>
      <c r="H2597" s="3">
        <v>434448</v>
      </c>
      <c r="I2597" s="3">
        <v>90577</v>
      </c>
    </row>
    <row r="2598" spans="1:9">
      <c r="A2598" s="3" t="s">
        <v>2623</v>
      </c>
      <c r="B2598" s="3" t="s">
        <v>26</v>
      </c>
      <c r="C2598" s="3">
        <v>1612683</v>
      </c>
      <c r="D2598" s="3">
        <v>32624</v>
      </c>
      <c r="E2598" s="3" t="s">
        <v>27</v>
      </c>
      <c r="F2598" s="3">
        <v>846625</v>
      </c>
      <c r="G2598" s="3">
        <v>16438</v>
      </c>
      <c r="H2598" s="3">
        <v>766058</v>
      </c>
      <c r="I2598" s="3">
        <v>16186</v>
      </c>
    </row>
    <row r="2599" spans="1:9">
      <c r="A2599" s="3" t="s">
        <v>2624</v>
      </c>
      <c r="B2599" s="3" t="s">
        <v>26</v>
      </c>
      <c r="C2599" s="3">
        <v>2886762</v>
      </c>
      <c r="D2599" s="3">
        <v>1005168</v>
      </c>
      <c r="E2599" s="3" t="s">
        <v>27</v>
      </c>
      <c r="F2599" s="3">
        <v>2309332</v>
      </c>
      <c r="G2599" s="3">
        <v>778209</v>
      </c>
      <c r="H2599" s="3">
        <v>577430</v>
      </c>
      <c r="I2599" s="3">
        <v>226959</v>
      </c>
    </row>
    <row r="2600" spans="1:9">
      <c r="A2600" s="3" t="s">
        <v>2625</v>
      </c>
      <c r="B2600" s="3" t="s">
        <v>26</v>
      </c>
      <c r="C2600" s="3">
        <v>1812306</v>
      </c>
      <c r="D2600" s="3">
        <v>181147</v>
      </c>
      <c r="E2600" s="3" t="s">
        <v>27</v>
      </c>
      <c r="F2600" s="3">
        <v>1119378</v>
      </c>
      <c r="G2600" s="3">
        <v>131016</v>
      </c>
      <c r="H2600" s="3">
        <v>692928</v>
      </c>
      <c r="I2600" s="3">
        <v>50131</v>
      </c>
    </row>
    <row r="2601" spans="1:9">
      <c r="A2601" s="3" t="s">
        <v>2626</v>
      </c>
      <c r="B2601" s="3" t="s">
        <v>26</v>
      </c>
      <c r="C2601" s="3">
        <v>1182795</v>
      </c>
      <c r="D2601" s="3">
        <v>155472</v>
      </c>
      <c r="E2601" s="3" t="s">
        <v>27</v>
      </c>
      <c r="F2601" s="3">
        <v>751776</v>
      </c>
      <c r="G2601" s="3">
        <v>117200</v>
      </c>
      <c r="H2601" s="3">
        <v>431019</v>
      </c>
      <c r="I2601" s="3">
        <v>38272</v>
      </c>
    </row>
    <row r="2602" spans="1:9">
      <c r="A2602" s="3" t="s">
        <v>2627</v>
      </c>
      <c r="B2602" s="3" t="s">
        <v>26</v>
      </c>
      <c r="C2602" s="3">
        <v>1669165</v>
      </c>
      <c r="D2602" s="3">
        <v>56221</v>
      </c>
      <c r="E2602" s="3" t="s">
        <v>27</v>
      </c>
      <c r="F2602" s="3">
        <v>834502</v>
      </c>
      <c r="G2602" s="3">
        <v>27506</v>
      </c>
      <c r="H2602" s="3">
        <v>834663</v>
      </c>
      <c r="I2602" s="3">
        <v>28715</v>
      </c>
    </row>
    <row r="2603" spans="1:9">
      <c r="A2603" s="3" t="s">
        <v>2628</v>
      </c>
      <c r="B2603" s="3" t="s">
        <v>26</v>
      </c>
      <c r="C2603" s="3">
        <v>2419243</v>
      </c>
      <c r="D2603" s="3">
        <v>698784</v>
      </c>
      <c r="E2603" s="3" t="s">
        <v>27</v>
      </c>
      <c r="F2603" s="3">
        <v>1899431</v>
      </c>
      <c r="G2603" s="3">
        <v>526698</v>
      </c>
      <c r="H2603" s="3">
        <v>519812</v>
      </c>
      <c r="I2603" s="3">
        <v>172086</v>
      </c>
    </row>
    <row r="2604" spans="1:9">
      <c r="A2604" s="3" t="s">
        <v>2629</v>
      </c>
      <c r="B2604" s="3" t="s">
        <v>26</v>
      </c>
      <c r="C2604" s="3">
        <v>959572</v>
      </c>
      <c r="D2604" s="3">
        <v>84367</v>
      </c>
      <c r="E2604" s="3" t="s">
        <v>27</v>
      </c>
      <c r="F2604" s="3">
        <v>545930</v>
      </c>
      <c r="G2604" s="3">
        <v>45911</v>
      </c>
      <c r="H2604" s="3">
        <v>413642</v>
      </c>
      <c r="I2604" s="3">
        <v>38456</v>
      </c>
    </row>
    <row r="2605" spans="1:9">
      <c r="A2605" s="3" t="s">
        <v>2630</v>
      </c>
      <c r="B2605" s="3" t="s">
        <v>26</v>
      </c>
      <c r="C2605" s="3">
        <v>1297431</v>
      </c>
      <c r="D2605" s="3">
        <v>93269</v>
      </c>
      <c r="E2605" s="3" t="s">
        <v>27</v>
      </c>
      <c r="F2605" s="3">
        <v>734328</v>
      </c>
      <c r="G2605" s="3">
        <v>59423</v>
      </c>
      <c r="H2605" s="3">
        <v>563103</v>
      </c>
      <c r="I2605" s="3">
        <v>33846</v>
      </c>
    </row>
    <row r="2606" spans="1:9">
      <c r="A2606" s="3" t="s">
        <v>2631</v>
      </c>
      <c r="B2606" s="3" t="s">
        <v>26</v>
      </c>
      <c r="C2606" s="3">
        <v>2226834</v>
      </c>
      <c r="D2606" s="3">
        <v>700306</v>
      </c>
      <c r="E2606" s="3" t="s">
        <v>27</v>
      </c>
      <c r="F2606" s="3">
        <v>1425872</v>
      </c>
      <c r="G2606" s="3">
        <v>435552</v>
      </c>
      <c r="H2606" s="3">
        <v>800962</v>
      </c>
      <c r="I2606" s="3">
        <v>264754</v>
      </c>
    </row>
    <row r="2607" spans="1:9">
      <c r="A2607" s="3" t="s">
        <v>2632</v>
      </c>
      <c r="B2607" s="3" t="s">
        <v>26</v>
      </c>
      <c r="C2607" s="3">
        <v>2334082</v>
      </c>
      <c r="D2607" s="3">
        <v>787186</v>
      </c>
      <c r="E2607" s="3" t="s">
        <v>27</v>
      </c>
      <c r="F2607" s="3">
        <v>1884793</v>
      </c>
      <c r="G2607" s="3">
        <v>608647</v>
      </c>
      <c r="H2607" s="3">
        <v>449289</v>
      </c>
      <c r="I2607" s="3">
        <v>178539</v>
      </c>
    </row>
    <row r="2608" spans="1:9">
      <c r="A2608" s="3" t="s">
        <v>2633</v>
      </c>
      <c r="B2608" s="3" t="s">
        <v>26</v>
      </c>
      <c r="C2608" s="3">
        <v>1487666</v>
      </c>
      <c r="D2608" s="3">
        <v>303081</v>
      </c>
      <c r="E2608" s="3" t="s">
        <v>27</v>
      </c>
      <c r="F2608" s="3">
        <v>898134</v>
      </c>
      <c r="G2608" s="3">
        <v>190663</v>
      </c>
      <c r="H2608" s="3">
        <v>589532</v>
      </c>
      <c r="I2608" s="3">
        <v>112418</v>
      </c>
    </row>
    <row r="2609" spans="1:9">
      <c r="A2609" s="3" t="s">
        <v>2634</v>
      </c>
      <c r="B2609" s="3" t="s">
        <v>26</v>
      </c>
      <c r="C2609" s="3">
        <v>1897986</v>
      </c>
      <c r="D2609" s="3">
        <v>378531</v>
      </c>
      <c r="E2609" s="3" t="s">
        <v>27</v>
      </c>
      <c r="F2609" s="3">
        <v>1102977</v>
      </c>
      <c r="G2609" s="3">
        <v>253480</v>
      </c>
      <c r="H2609" s="3">
        <v>795009</v>
      </c>
      <c r="I2609" s="3">
        <v>125051</v>
      </c>
    </row>
    <row r="2610" spans="1:9">
      <c r="A2610" s="3" t="s">
        <v>2635</v>
      </c>
      <c r="B2610" s="3" t="s">
        <v>26</v>
      </c>
      <c r="C2610" s="3">
        <v>2318243</v>
      </c>
      <c r="D2610" s="3">
        <v>745415</v>
      </c>
      <c r="E2610" s="3" t="s">
        <v>27</v>
      </c>
      <c r="F2610" s="3">
        <v>1741490</v>
      </c>
      <c r="G2610" s="3">
        <v>517118</v>
      </c>
      <c r="H2610" s="3">
        <v>576753</v>
      </c>
      <c r="I2610" s="3">
        <v>228297</v>
      </c>
    </row>
    <row r="2611" spans="1:9">
      <c r="A2611" s="3" t="s">
        <v>2636</v>
      </c>
      <c r="B2611" s="3" t="s">
        <v>26</v>
      </c>
      <c r="C2611" s="3">
        <v>2411667</v>
      </c>
      <c r="D2611" s="3">
        <v>911108</v>
      </c>
      <c r="E2611" s="3" t="s">
        <v>27</v>
      </c>
      <c r="F2611" s="3">
        <v>1886828</v>
      </c>
      <c r="G2611" s="3">
        <v>691409</v>
      </c>
      <c r="H2611" s="3">
        <v>524839</v>
      </c>
      <c r="I2611" s="3">
        <v>219699</v>
      </c>
    </row>
    <row r="2612" spans="1:9">
      <c r="A2612" s="3" t="s">
        <v>2637</v>
      </c>
      <c r="B2612" s="3" t="s">
        <v>26</v>
      </c>
      <c r="C2612" s="3">
        <v>951695</v>
      </c>
      <c r="D2612" s="3">
        <v>53727</v>
      </c>
      <c r="E2612" s="3" t="s">
        <v>27</v>
      </c>
      <c r="F2612" s="3">
        <v>507174</v>
      </c>
      <c r="G2612" s="3">
        <v>28735</v>
      </c>
      <c r="H2612" s="3">
        <v>444521</v>
      </c>
      <c r="I2612" s="3">
        <v>24992</v>
      </c>
    </row>
    <row r="2613" spans="1:9">
      <c r="A2613" s="3" t="s">
        <v>2638</v>
      </c>
      <c r="B2613" s="3" t="s">
        <v>26</v>
      </c>
      <c r="C2613" s="3">
        <v>1380041</v>
      </c>
      <c r="D2613" s="3">
        <v>227230</v>
      </c>
      <c r="E2613" s="3" t="s">
        <v>27</v>
      </c>
      <c r="F2613" s="3">
        <v>868980</v>
      </c>
      <c r="G2613" s="3">
        <v>146444</v>
      </c>
      <c r="H2613" s="3">
        <v>511061</v>
      </c>
      <c r="I2613" s="3">
        <v>80786</v>
      </c>
    </row>
    <row r="2614" spans="1:9">
      <c r="A2614" s="3" t="s">
        <v>2639</v>
      </c>
      <c r="B2614" s="3" t="s">
        <v>26</v>
      </c>
      <c r="C2614" s="3">
        <v>1731365</v>
      </c>
      <c r="D2614" s="3">
        <v>568742</v>
      </c>
      <c r="E2614" s="3" t="s">
        <v>27</v>
      </c>
      <c r="F2614" s="3">
        <v>1322000</v>
      </c>
      <c r="G2614" s="3">
        <v>404961</v>
      </c>
      <c r="H2614" s="3">
        <v>409365</v>
      </c>
      <c r="I2614" s="3">
        <v>163781</v>
      </c>
    </row>
    <row r="2615" spans="1:9">
      <c r="A2615" s="3" t="s">
        <v>2640</v>
      </c>
      <c r="B2615" s="3" t="s">
        <v>26</v>
      </c>
      <c r="C2615" s="3">
        <v>1619258</v>
      </c>
      <c r="D2615" s="3">
        <v>432353</v>
      </c>
      <c r="E2615" s="3" t="s">
        <v>27</v>
      </c>
      <c r="F2615" s="3">
        <v>1128746</v>
      </c>
      <c r="G2615" s="3">
        <v>300873</v>
      </c>
      <c r="H2615" s="3">
        <v>490512</v>
      </c>
      <c r="I2615" s="3">
        <v>131480</v>
      </c>
    </row>
    <row r="2616" spans="1:9">
      <c r="A2616" s="3" t="s">
        <v>2641</v>
      </c>
      <c r="B2616" s="3" t="s">
        <v>26</v>
      </c>
      <c r="C2616" s="3">
        <v>1789468</v>
      </c>
      <c r="D2616" s="3">
        <v>515316</v>
      </c>
      <c r="E2616" s="3" t="s">
        <v>27</v>
      </c>
      <c r="F2616" s="3">
        <v>1536784</v>
      </c>
      <c r="G2616" s="3">
        <v>421209</v>
      </c>
      <c r="H2616" s="3">
        <v>252684</v>
      </c>
      <c r="I2616" s="3">
        <v>94107</v>
      </c>
    </row>
    <row r="2617" spans="1:9">
      <c r="A2617" s="3" t="s">
        <v>2642</v>
      </c>
      <c r="B2617" s="3" t="s">
        <v>26</v>
      </c>
      <c r="C2617" s="3">
        <v>1753264</v>
      </c>
      <c r="D2617" s="3">
        <v>369449</v>
      </c>
      <c r="E2617" s="3" t="s">
        <v>27</v>
      </c>
      <c r="F2617" s="3">
        <v>1247955</v>
      </c>
      <c r="G2617" s="3">
        <v>272785</v>
      </c>
      <c r="H2617" s="3">
        <v>505309</v>
      </c>
      <c r="I2617" s="3">
        <v>96664</v>
      </c>
    </row>
    <row r="2618" spans="1:9">
      <c r="A2618" s="3" t="s">
        <v>2643</v>
      </c>
      <c r="B2618" s="3" t="s">
        <v>26</v>
      </c>
      <c r="C2618" s="3">
        <v>2009490</v>
      </c>
      <c r="D2618" s="3">
        <v>601956</v>
      </c>
      <c r="E2618" s="3" t="s">
        <v>27</v>
      </c>
      <c r="F2618" s="3">
        <v>1590612</v>
      </c>
      <c r="G2618" s="3">
        <v>462344</v>
      </c>
      <c r="H2618" s="3">
        <v>418878</v>
      </c>
      <c r="I2618" s="3">
        <v>139612</v>
      </c>
    </row>
    <row r="2619" spans="1:9">
      <c r="A2619" s="3" t="s">
        <v>2644</v>
      </c>
      <c r="B2619" s="3" t="s">
        <v>26</v>
      </c>
      <c r="C2619" s="3">
        <v>795260</v>
      </c>
      <c r="D2619" s="3">
        <v>1236</v>
      </c>
      <c r="E2619" s="3" t="s">
        <v>27</v>
      </c>
      <c r="F2619" s="3">
        <v>406810</v>
      </c>
      <c r="G2619" s="3">
        <v>491</v>
      </c>
      <c r="H2619" s="3">
        <v>388450</v>
      </c>
      <c r="I2619" s="3">
        <v>745</v>
      </c>
    </row>
    <row r="2620" spans="1:9">
      <c r="A2620" s="3" t="s">
        <v>2645</v>
      </c>
      <c r="B2620" s="3" t="s">
        <v>26</v>
      </c>
      <c r="C2620" s="3">
        <v>1311648</v>
      </c>
      <c r="D2620" s="3">
        <v>18160</v>
      </c>
      <c r="E2620" s="3" t="s">
        <v>27</v>
      </c>
      <c r="F2620" s="3">
        <v>644660</v>
      </c>
      <c r="G2620" s="3">
        <v>11190</v>
      </c>
      <c r="H2620" s="3">
        <v>666988</v>
      </c>
      <c r="I2620" s="3">
        <v>6970</v>
      </c>
    </row>
    <row r="2621" spans="1:9">
      <c r="A2621" s="3" t="s">
        <v>2646</v>
      </c>
      <c r="B2621" s="3" t="s">
        <v>26</v>
      </c>
      <c r="C2621" s="3">
        <v>2042068</v>
      </c>
      <c r="D2621" s="3">
        <v>618648</v>
      </c>
      <c r="E2621" s="3" t="s">
        <v>27</v>
      </c>
      <c r="F2621" s="3">
        <v>1566364</v>
      </c>
      <c r="G2621" s="3">
        <v>460246</v>
      </c>
      <c r="H2621" s="3">
        <v>475704</v>
      </c>
      <c r="I2621" s="3">
        <v>158402</v>
      </c>
    </row>
    <row r="2622" spans="1:9">
      <c r="A2622" s="3" t="s">
        <v>2647</v>
      </c>
      <c r="B2622" s="3" t="s">
        <v>26</v>
      </c>
      <c r="C2622" s="3">
        <v>2414263</v>
      </c>
      <c r="D2622" s="3">
        <v>770966</v>
      </c>
      <c r="E2622" s="3" t="s">
        <v>27</v>
      </c>
      <c r="F2622" s="3">
        <v>1849109</v>
      </c>
      <c r="G2622" s="3">
        <v>565919</v>
      </c>
      <c r="H2622" s="3">
        <v>565154</v>
      </c>
      <c r="I2622" s="3">
        <v>205047</v>
      </c>
    </row>
    <row r="2623" spans="1:9">
      <c r="A2623" s="3" t="s">
        <v>2648</v>
      </c>
      <c r="B2623" s="3" t="s">
        <v>26</v>
      </c>
      <c r="C2623" s="3">
        <v>2085996</v>
      </c>
      <c r="D2623" s="3">
        <v>699379</v>
      </c>
      <c r="E2623" s="3" t="s">
        <v>27</v>
      </c>
      <c r="F2623" s="3">
        <v>1545615</v>
      </c>
      <c r="G2623" s="3">
        <v>494406</v>
      </c>
      <c r="H2623" s="3">
        <v>540381</v>
      </c>
      <c r="I2623" s="3">
        <v>204973</v>
      </c>
    </row>
    <row r="2624" spans="1:9">
      <c r="A2624" s="3" t="s">
        <v>2649</v>
      </c>
      <c r="B2624" s="3" t="s">
        <v>26</v>
      </c>
      <c r="C2624" s="3">
        <v>1174000</v>
      </c>
      <c r="D2624" s="3">
        <v>3059</v>
      </c>
      <c r="E2624" s="3" t="s">
        <v>27</v>
      </c>
      <c r="F2624" s="3">
        <v>408366</v>
      </c>
      <c r="G2624" s="3">
        <v>1300</v>
      </c>
      <c r="H2624" s="3">
        <v>765634</v>
      </c>
      <c r="I2624" s="3">
        <v>1759</v>
      </c>
    </row>
    <row r="2625" spans="1:9">
      <c r="A2625" s="3" t="s">
        <v>2650</v>
      </c>
      <c r="B2625" s="3" t="s">
        <v>26</v>
      </c>
      <c r="C2625" s="3">
        <v>2455678</v>
      </c>
      <c r="D2625" s="3">
        <v>791648</v>
      </c>
      <c r="E2625" s="3" t="s">
        <v>27</v>
      </c>
      <c r="F2625" s="3">
        <v>1898644</v>
      </c>
      <c r="G2625" s="3">
        <v>588175</v>
      </c>
      <c r="H2625" s="3">
        <v>557034</v>
      </c>
      <c r="I2625" s="3">
        <v>203473</v>
      </c>
    </row>
    <row r="2626" spans="1:9">
      <c r="A2626" s="3" t="s">
        <v>2651</v>
      </c>
      <c r="B2626" s="3" t="s">
        <v>26</v>
      </c>
      <c r="C2626" s="3">
        <v>2579931</v>
      </c>
      <c r="D2626" s="3">
        <v>826254</v>
      </c>
      <c r="E2626" s="3" t="s">
        <v>27</v>
      </c>
      <c r="F2626" s="3">
        <v>1714888</v>
      </c>
      <c r="G2626" s="3">
        <v>515949</v>
      </c>
      <c r="H2626" s="3">
        <v>865043</v>
      </c>
      <c r="I2626" s="3">
        <v>310305</v>
      </c>
    </row>
    <row r="2627" spans="1:9">
      <c r="A2627" s="3" t="s">
        <v>2652</v>
      </c>
      <c r="B2627" s="3" t="s">
        <v>26</v>
      </c>
      <c r="C2627" s="3">
        <v>1254500</v>
      </c>
      <c r="D2627" s="3">
        <v>154241</v>
      </c>
      <c r="E2627" s="3" t="s">
        <v>27</v>
      </c>
      <c r="F2627" s="3">
        <v>1188959</v>
      </c>
      <c r="G2627" s="3">
        <v>135240</v>
      </c>
      <c r="H2627" s="3">
        <v>65541</v>
      </c>
      <c r="I2627" s="3">
        <v>19001</v>
      </c>
    </row>
    <row r="2628" spans="1:9">
      <c r="A2628" s="3" t="s">
        <v>2653</v>
      </c>
      <c r="B2628" s="3" t="s">
        <v>26</v>
      </c>
      <c r="C2628" s="3">
        <v>1324960</v>
      </c>
      <c r="D2628" s="3">
        <v>32770</v>
      </c>
      <c r="E2628" s="3" t="s">
        <v>27</v>
      </c>
      <c r="F2628" s="3">
        <v>719888</v>
      </c>
      <c r="G2628" s="3">
        <v>16942</v>
      </c>
      <c r="H2628" s="3">
        <v>605072</v>
      </c>
      <c r="I2628" s="3">
        <v>15828</v>
      </c>
    </row>
    <row r="2629" spans="1:9">
      <c r="A2629" s="3" t="s">
        <v>2654</v>
      </c>
      <c r="B2629" s="3" t="s">
        <v>26</v>
      </c>
      <c r="C2629" s="3">
        <v>2374321</v>
      </c>
      <c r="D2629" s="3">
        <v>687150</v>
      </c>
      <c r="E2629" s="3" t="s">
        <v>27</v>
      </c>
      <c r="F2629" s="3">
        <v>1697322</v>
      </c>
      <c r="G2629" s="3">
        <v>473999</v>
      </c>
      <c r="H2629" s="3">
        <v>676999</v>
      </c>
      <c r="I2629" s="3">
        <v>213151</v>
      </c>
    </row>
    <row r="2630" spans="1:9">
      <c r="A2630" s="3" t="s">
        <v>2655</v>
      </c>
      <c r="B2630" s="3" t="s">
        <v>26</v>
      </c>
      <c r="C2630" s="3">
        <v>1220882</v>
      </c>
      <c r="D2630" s="3">
        <v>103199</v>
      </c>
      <c r="E2630" s="3" t="s">
        <v>27</v>
      </c>
      <c r="F2630" s="3">
        <v>717783</v>
      </c>
      <c r="G2630" s="3">
        <v>66630</v>
      </c>
      <c r="H2630" s="3">
        <v>503099</v>
      </c>
      <c r="I2630" s="3">
        <v>36569</v>
      </c>
    </row>
    <row r="2631" spans="1:9">
      <c r="A2631" s="3" t="s">
        <v>2656</v>
      </c>
      <c r="B2631" s="3" t="s">
        <v>26</v>
      </c>
      <c r="C2631" s="3">
        <v>2107157</v>
      </c>
      <c r="D2631" s="3">
        <v>562923</v>
      </c>
      <c r="E2631" s="3" t="s">
        <v>27</v>
      </c>
      <c r="F2631" s="3">
        <v>1440071</v>
      </c>
      <c r="G2631" s="3">
        <v>374055</v>
      </c>
      <c r="H2631" s="3">
        <v>667086</v>
      </c>
      <c r="I2631" s="3">
        <v>188868</v>
      </c>
    </row>
    <row r="2632" spans="1:9">
      <c r="A2632" s="3" t="s">
        <v>2657</v>
      </c>
      <c r="B2632" s="3" t="s">
        <v>26</v>
      </c>
      <c r="C2632" s="3">
        <v>1891339</v>
      </c>
      <c r="D2632" s="3">
        <v>513517</v>
      </c>
      <c r="E2632" s="3" t="s">
        <v>27</v>
      </c>
      <c r="F2632" s="3">
        <v>1288737</v>
      </c>
      <c r="G2632" s="3">
        <v>323340</v>
      </c>
      <c r="H2632" s="3">
        <v>602602</v>
      </c>
      <c r="I2632" s="3">
        <v>190177</v>
      </c>
    </row>
    <row r="2633" spans="1:9">
      <c r="A2633" s="3" t="s">
        <v>2658</v>
      </c>
      <c r="B2633" s="3" t="s">
        <v>26</v>
      </c>
      <c r="C2633" s="3">
        <v>2212902</v>
      </c>
      <c r="D2633" s="3">
        <v>653754</v>
      </c>
      <c r="E2633" s="3" t="s">
        <v>27</v>
      </c>
      <c r="F2633" s="3">
        <v>1707281</v>
      </c>
      <c r="G2633" s="3">
        <v>475028</v>
      </c>
      <c r="H2633" s="3">
        <v>505621</v>
      </c>
      <c r="I2633" s="3">
        <v>178726</v>
      </c>
    </row>
    <row r="2634" spans="1:9">
      <c r="A2634" s="3" t="s">
        <v>2659</v>
      </c>
      <c r="B2634" s="3" t="s">
        <v>26</v>
      </c>
      <c r="C2634" s="3">
        <v>2338602</v>
      </c>
      <c r="D2634" s="3">
        <v>725595</v>
      </c>
      <c r="E2634" s="3" t="s">
        <v>27</v>
      </c>
      <c r="F2634" s="3">
        <v>1939414</v>
      </c>
      <c r="G2634" s="3">
        <v>566835</v>
      </c>
      <c r="H2634" s="3">
        <v>399188</v>
      </c>
      <c r="I2634" s="3">
        <v>158760</v>
      </c>
    </row>
    <row r="2635" spans="1:9">
      <c r="A2635" s="3" t="s">
        <v>2660</v>
      </c>
      <c r="B2635" s="3" t="s">
        <v>26</v>
      </c>
      <c r="C2635" s="3">
        <v>1168622</v>
      </c>
      <c r="D2635" s="3">
        <v>16823</v>
      </c>
      <c r="E2635" s="3" t="s">
        <v>27</v>
      </c>
      <c r="F2635" s="3">
        <v>624813</v>
      </c>
      <c r="G2635" s="3">
        <v>10580</v>
      </c>
      <c r="H2635" s="3">
        <v>543809</v>
      </c>
      <c r="I2635" s="3">
        <v>6243</v>
      </c>
    </row>
    <row r="2636" spans="1:9">
      <c r="A2636" s="3" t="s">
        <v>2661</v>
      </c>
      <c r="B2636" s="3" t="s">
        <v>26</v>
      </c>
      <c r="C2636" s="3">
        <v>1531413</v>
      </c>
      <c r="D2636" s="3">
        <v>142114</v>
      </c>
      <c r="E2636" s="3" t="s">
        <v>27</v>
      </c>
      <c r="F2636" s="3">
        <v>900772</v>
      </c>
      <c r="G2636" s="3">
        <v>92801</v>
      </c>
      <c r="H2636" s="3">
        <v>630641</v>
      </c>
      <c r="I2636" s="3">
        <v>49313</v>
      </c>
    </row>
    <row r="2637" spans="1:9">
      <c r="A2637" s="3" t="s">
        <v>2662</v>
      </c>
      <c r="B2637" s="3" t="s">
        <v>26</v>
      </c>
      <c r="C2637" s="3">
        <v>1682248</v>
      </c>
      <c r="D2637" s="3">
        <v>89203</v>
      </c>
      <c r="E2637" s="3" t="s">
        <v>27</v>
      </c>
      <c r="F2637" s="3">
        <v>1008787</v>
      </c>
      <c r="G2637" s="3">
        <v>57267</v>
      </c>
      <c r="H2637" s="3">
        <v>673461</v>
      </c>
      <c r="I2637" s="3">
        <v>31936</v>
      </c>
    </row>
    <row r="2638" spans="1:9">
      <c r="A2638" s="3" t="s">
        <v>2663</v>
      </c>
      <c r="B2638" s="3" t="s">
        <v>26</v>
      </c>
      <c r="C2638" s="3">
        <v>2242509</v>
      </c>
      <c r="D2638" s="3">
        <v>583412</v>
      </c>
      <c r="E2638" s="3" t="s">
        <v>27</v>
      </c>
      <c r="F2638" s="3">
        <v>1455545</v>
      </c>
      <c r="G2638" s="3">
        <v>367758</v>
      </c>
      <c r="H2638" s="3">
        <v>786964</v>
      </c>
      <c r="I2638" s="3">
        <v>215654</v>
      </c>
    </row>
    <row r="2639" spans="1:9">
      <c r="A2639" s="3" t="s">
        <v>2664</v>
      </c>
      <c r="B2639" s="3" t="s">
        <v>26</v>
      </c>
      <c r="C2639" s="3">
        <v>2012504</v>
      </c>
      <c r="D2639" s="3">
        <v>250448</v>
      </c>
      <c r="E2639" s="3" t="s">
        <v>27</v>
      </c>
      <c r="F2639" s="3">
        <v>1312082</v>
      </c>
      <c r="G2639" s="3">
        <v>175916</v>
      </c>
      <c r="H2639" s="3">
        <v>700422</v>
      </c>
      <c r="I2639" s="3">
        <v>74532</v>
      </c>
    </row>
    <row r="2640" spans="1:9">
      <c r="A2640" s="3" t="s">
        <v>2665</v>
      </c>
      <c r="B2640" s="3" t="s">
        <v>26</v>
      </c>
      <c r="C2640" s="3">
        <v>1988302</v>
      </c>
      <c r="D2640" s="3">
        <v>369760</v>
      </c>
      <c r="E2640" s="3" t="s">
        <v>27</v>
      </c>
      <c r="F2640" s="3">
        <v>1573986</v>
      </c>
      <c r="G2640" s="3">
        <v>304384</v>
      </c>
      <c r="H2640" s="3">
        <v>414316</v>
      </c>
      <c r="I2640" s="3">
        <v>65376</v>
      </c>
    </row>
    <row r="2641" spans="1:9">
      <c r="A2641" s="3" t="s">
        <v>2666</v>
      </c>
      <c r="B2641" s="3" t="s">
        <v>26</v>
      </c>
      <c r="C2641" s="3">
        <v>2573458</v>
      </c>
      <c r="D2641" s="3">
        <v>621469</v>
      </c>
      <c r="E2641" s="3" t="s">
        <v>27</v>
      </c>
      <c r="F2641" s="3">
        <v>1940494</v>
      </c>
      <c r="G2641" s="3">
        <v>476075</v>
      </c>
      <c r="H2641" s="3">
        <v>632964</v>
      </c>
      <c r="I2641" s="3">
        <v>145394</v>
      </c>
    </row>
    <row r="2642" spans="1:9">
      <c r="A2642" s="3" t="s">
        <v>2667</v>
      </c>
      <c r="B2642" s="3" t="s">
        <v>26</v>
      </c>
      <c r="C2642" s="3">
        <v>1851753</v>
      </c>
      <c r="D2642" s="3">
        <v>263397</v>
      </c>
      <c r="E2642" s="3" t="s">
        <v>27</v>
      </c>
      <c r="F2642" s="3">
        <v>1067977</v>
      </c>
      <c r="G2642" s="3">
        <v>160585</v>
      </c>
      <c r="H2642" s="3">
        <v>783776</v>
      </c>
      <c r="I2642" s="3">
        <v>102812</v>
      </c>
    </row>
    <row r="2643" spans="1:9">
      <c r="A2643" s="3" t="s">
        <v>2668</v>
      </c>
      <c r="B2643" s="3" t="s">
        <v>26</v>
      </c>
      <c r="C2643" s="3">
        <v>196031</v>
      </c>
      <c r="D2643" s="3">
        <v>5823</v>
      </c>
      <c r="E2643" s="3" t="s">
        <v>27</v>
      </c>
      <c r="F2643" s="3">
        <v>88900</v>
      </c>
      <c r="G2643" s="3">
        <v>3265</v>
      </c>
      <c r="H2643" s="3">
        <v>107131</v>
      </c>
      <c r="I2643" s="3">
        <v>2558</v>
      </c>
    </row>
    <row r="2644" spans="1:9">
      <c r="A2644" s="3" t="s">
        <v>2669</v>
      </c>
      <c r="B2644" s="3" t="s">
        <v>26</v>
      </c>
      <c r="C2644" s="3">
        <v>1681128</v>
      </c>
      <c r="D2644" s="3">
        <v>155217</v>
      </c>
      <c r="E2644" s="3" t="s">
        <v>27</v>
      </c>
      <c r="F2644" s="3">
        <v>1086784</v>
      </c>
      <c r="G2644" s="3">
        <v>100794</v>
      </c>
      <c r="H2644" s="3">
        <v>594344</v>
      </c>
      <c r="I2644" s="3">
        <v>54423</v>
      </c>
    </row>
    <row r="2645" spans="1:9">
      <c r="A2645" s="3" t="s">
        <v>2670</v>
      </c>
      <c r="B2645" s="3" t="s">
        <v>26</v>
      </c>
      <c r="C2645" s="3">
        <v>1630060</v>
      </c>
      <c r="D2645" s="3">
        <v>130415</v>
      </c>
      <c r="E2645" s="3" t="s">
        <v>27</v>
      </c>
      <c r="F2645" s="3">
        <v>918427</v>
      </c>
      <c r="G2645" s="3">
        <v>90367</v>
      </c>
      <c r="H2645" s="3">
        <v>711633</v>
      </c>
      <c r="I2645" s="3">
        <v>40048</v>
      </c>
    </row>
    <row r="2646" spans="1:9">
      <c r="A2646" s="3" t="s">
        <v>2671</v>
      </c>
      <c r="B2646" s="3" t="s">
        <v>26</v>
      </c>
      <c r="C2646" s="3">
        <v>1777980</v>
      </c>
      <c r="D2646" s="3">
        <v>347938</v>
      </c>
      <c r="E2646" s="3" t="s">
        <v>27</v>
      </c>
      <c r="F2646" s="3">
        <v>1266397</v>
      </c>
      <c r="G2646" s="3">
        <v>266926</v>
      </c>
      <c r="H2646" s="3">
        <v>511583</v>
      </c>
      <c r="I2646" s="3">
        <v>81012</v>
      </c>
    </row>
    <row r="2647" spans="1:9">
      <c r="A2647" s="3" t="s">
        <v>2672</v>
      </c>
      <c r="B2647" s="3" t="s">
        <v>26</v>
      </c>
      <c r="C2647" s="3">
        <v>3655310</v>
      </c>
      <c r="D2647" s="3">
        <v>975116</v>
      </c>
      <c r="E2647" s="3" t="s">
        <v>27</v>
      </c>
      <c r="F2647" s="3">
        <v>2891561</v>
      </c>
      <c r="G2647" s="3">
        <v>719801</v>
      </c>
      <c r="H2647" s="3">
        <v>763749</v>
      </c>
      <c r="I2647" s="3">
        <v>255315</v>
      </c>
    </row>
    <row r="2648" spans="1:9">
      <c r="A2648" s="3" t="s">
        <v>2673</v>
      </c>
      <c r="B2648" s="3" t="s">
        <v>26</v>
      </c>
      <c r="C2648" s="3">
        <v>2364583</v>
      </c>
      <c r="D2648" s="3">
        <v>494834</v>
      </c>
      <c r="E2648" s="3" t="s">
        <v>27</v>
      </c>
      <c r="F2648" s="3">
        <v>1565113</v>
      </c>
      <c r="G2648" s="3">
        <v>330826</v>
      </c>
      <c r="H2648" s="3">
        <v>799470</v>
      </c>
      <c r="I2648" s="3">
        <v>164008</v>
      </c>
    </row>
    <row r="2649" spans="1:9">
      <c r="A2649" s="3" t="s">
        <v>2674</v>
      </c>
      <c r="B2649" s="3" t="s">
        <v>26</v>
      </c>
      <c r="C2649" s="3">
        <v>2340502</v>
      </c>
      <c r="D2649" s="3">
        <v>675819</v>
      </c>
      <c r="E2649" s="3" t="s">
        <v>27</v>
      </c>
      <c r="F2649" s="3">
        <v>1848846</v>
      </c>
      <c r="G2649" s="3">
        <v>501435</v>
      </c>
      <c r="H2649" s="3">
        <v>491656</v>
      </c>
      <c r="I2649" s="3">
        <v>174384</v>
      </c>
    </row>
    <row r="2650" spans="1:9">
      <c r="A2650" s="3" t="s">
        <v>2675</v>
      </c>
      <c r="B2650" s="3" t="s">
        <v>26</v>
      </c>
      <c r="C2650" s="3">
        <v>3323061</v>
      </c>
      <c r="D2650" s="3">
        <v>932013</v>
      </c>
      <c r="E2650" s="3" t="s">
        <v>27</v>
      </c>
      <c r="F2650" s="3">
        <v>2118640</v>
      </c>
      <c r="G2650" s="3">
        <v>572067</v>
      </c>
      <c r="H2650" s="3">
        <v>1204421</v>
      </c>
      <c r="I2650" s="3">
        <v>359946</v>
      </c>
    </row>
    <row r="2651" spans="1:9">
      <c r="A2651" s="3" t="s">
        <v>2676</v>
      </c>
      <c r="B2651" s="3" t="s">
        <v>26</v>
      </c>
      <c r="C2651" s="3">
        <v>2007388</v>
      </c>
      <c r="D2651" s="3">
        <v>161598</v>
      </c>
      <c r="E2651" s="3" t="s">
        <v>27</v>
      </c>
      <c r="F2651" s="3">
        <v>1154708</v>
      </c>
      <c r="G2651" s="3">
        <v>97248</v>
      </c>
      <c r="H2651" s="3">
        <v>852680</v>
      </c>
      <c r="I2651" s="3">
        <v>64350</v>
      </c>
    </row>
    <row r="2652" spans="1:9">
      <c r="A2652" s="3" t="s">
        <v>2677</v>
      </c>
      <c r="B2652" s="3" t="s">
        <v>26</v>
      </c>
      <c r="C2652" s="3">
        <v>2036201</v>
      </c>
      <c r="D2652" s="3">
        <v>434044</v>
      </c>
      <c r="E2652" s="3" t="s">
        <v>27</v>
      </c>
      <c r="F2652" s="3">
        <v>1410385</v>
      </c>
      <c r="G2652" s="3">
        <v>311737</v>
      </c>
      <c r="H2652" s="3">
        <v>625816</v>
      </c>
      <c r="I2652" s="3">
        <v>122307</v>
      </c>
    </row>
    <row r="2653" spans="1:9">
      <c r="A2653" s="3" t="s">
        <v>2678</v>
      </c>
      <c r="B2653" s="3" t="s">
        <v>26</v>
      </c>
      <c r="C2653" s="3">
        <v>1820493</v>
      </c>
      <c r="D2653" s="3">
        <v>259346</v>
      </c>
      <c r="E2653" s="3" t="s">
        <v>27</v>
      </c>
      <c r="F2653" s="3">
        <v>1226737</v>
      </c>
      <c r="G2653" s="3">
        <v>181330</v>
      </c>
      <c r="H2653" s="3">
        <v>593756</v>
      </c>
      <c r="I2653" s="3">
        <v>78016</v>
      </c>
    </row>
    <row r="2654" spans="1:9">
      <c r="A2654" s="3" t="s">
        <v>2679</v>
      </c>
      <c r="B2654" s="3" t="s">
        <v>26</v>
      </c>
      <c r="C2654" s="3">
        <v>1980218</v>
      </c>
      <c r="D2654" s="3">
        <v>483468</v>
      </c>
      <c r="E2654" s="3" t="s">
        <v>27</v>
      </c>
      <c r="F2654" s="3">
        <v>1395775</v>
      </c>
      <c r="G2654" s="3">
        <v>314381</v>
      </c>
      <c r="H2654" s="3">
        <v>584443</v>
      </c>
      <c r="I2654" s="3">
        <v>169087</v>
      </c>
    </row>
    <row r="2655" spans="1:9">
      <c r="A2655" s="3" t="s">
        <v>2680</v>
      </c>
      <c r="B2655" s="3" t="s">
        <v>26</v>
      </c>
      <c r="C2655" s="3">
        <v>2126512</v>
      </c>
      <c r="D2655" s="3">
        <v>616811</v>
      </c>
      <c r="E2655" s="3" t="s">
        <v>27</v>
      </c>
      <c r="F2655" s="3">
        <v>1608108</v>
      </c>
      <c r="G2655" s="3">
        <v>461317</v>
      </c>
      <c r="H2655" s="3">
        <v>518404</v>
      </c>
      <c r="I2655" s="3">
        <v>155494</v>
      </c>
    </row>
    <row r="2656" spans="1:9">
      <c r="A2656" s="3" t="s">
        <v>2681</v>
      </c>
      <c r="B2656" s="3" t="s">
        <v>26</v>
      </c>
      <c r="C2656" s="3">
        <v>3403831</v>
      </c>
      <c r="D2656" s="3">
        <v>1067404</v>
      </c>
      <c r="E2656" s="3" t="s">
        <v>27</v>
      </c>
      <c r="F2656" s="3">
        <v>2650005</v>
      </c>
      <c r="G2656" s="3">
        <v>781952</v>
      </c>
      <c r="H2656" s="3">
        <v>753826</v>
      </c>
      <c r="I2656" s="3">
        <v>285452</v>
      </c>
    </row>
    <row r="2657" spans="1:9">
      <c r="A2657" s="3" t="s">
        <v>2682</v>
      </c>
      <c r="B2657" s="3" t="s">
        <v>26</v>
      </c>
      <c r="C2657" s="3">
        <v>1960039</v>
      </c>
      <c r="D2657" s="3">
        <v>441690</v>
      </c>
      <c r="E2657" s="3" t="s">
        <v>27</v>
      </c>
      <c r="F2657" s="3">
        <v>1429814</v>
      </c>
      <c r="G2657" s="3">
        <v>335574</v>
      </c>
      <c r="H2657" s="3">
        <v>530225</v>
      </c>
      <c r="I2657" s="3">
        <v>106116</v>
      </c>
    </row>
    <row r="2658" spans="1:9">
      <c r="A2658" s="3" t="s">
        <v>2683</v>
      </c>
      <c r="B2658" s="3" t="s">
        <v>26</v>
      </c>
      <c r="C2658" s="3">
        <v>2727022</v>
      </c>
      <c r="D2658" s="3">
        <v>665267</v>
      </c>
      <c r="E2658" s="3" t="s">
        <v>27</v>
      </c>
      <c r="F2658" s="3">
        <v>1816427</v>
      </c>
      <c r="G2658" s="3">
        <v>427010</v>
      </c>
      <c r="H2658" s="3">
        <v>910595</v>
      </c>
      <c r="I2658" s="3">
        <v>238257</v>
      </c>
    </row>
    <row r="2659" spans="1:9">
      <c r="A2659" s="3" t="s">
        <v>2684</v>
      </c>
      <c r="B2659" s="3" t="s">
        <v>26</v>
      </c>
      <c r="C2659" s="3">
        <v>1728605</v>
      </c>
      <c r="D2659" s="3">
        <v>92691</v>
      </c>
      <c r="E2659" s="3" t="s">
        <v>27</v>
      </c>
      <c r="F2659" s="3">
        <v>1031064</v>
      </c>
      <c r="G2659" s="3">
        <v>55933</v>
      </c>
      <c r="H2659" s="3">
        <v>697541</v>
      </c>
      <c r="I2659" s="3">
        <v>36758</v>
      </c>
    </row>
    <row r="2660" spans="1:9">
      <c r="A2660" s="3" t="s">
        <v>2685</v>
      </c>
      <c r="B2660" s="3" t="s">
        <v>26</v>
      </c>
      <c r="C2660" s="3">
        <v>2086747</v>
      </c>
      <c r="D2660" s="3">
        <v>449325</v>
      </c>
      <c r="E2660" s="3" t="s">
        <v>27</v>
      </c>
      <c r="F2660" s="3">
        <v>1235225</v>
      </c>
      <c r="G2660" s="3">
        <v>286543</v>
      </c>
      <c r="H2660" s="3">
        <v>851522</v>
      </c>
      <c r="I2660" s="3">
        <v>162782</v>
      </c>
    </row>
    <row r="2661" spans="1:9">
      <c r="A2661" s="3" t="s">
        <v>2686</v>
      </c>
      <c r="B2661" s="3" t="s">
        <v>26</v>
      </c>
      <c r="C2661" s="3">
        <v>2569922</v>
      </c>
      <c r="D2661" s="3">
        <v>603257</v>
      </c>
      <c r="E2661" s="3" t="s">
        <v>27</v>
      </c>
      <c r="F2661" s="3">
        <v>1998795</v>
      </c>
      <c r="G2661" s="3">
        <v>434049</v>
      </c>
      <c r="H2661" s="3">
        <v>571127</v>
      </c>
      <c r="I2661" s="3">
        <v>169208</v>
      </c>
    </row>
    <row r="2662" spans="1:9">
      <c r="A2662" s="3" t="s">
        <v>2687</v>
      </c>
      <c r="B2662" s="3" t="s">
        <v>26</v>
      </c>
      <c r="C2662" s="3">
        <v>2020881</v>
      </c>
      <c r="D2662" s="3">
        <v>539248</v>
      </c>
      <c r="E2662" s="3" t="s">
        <v>27</v>
      </c>
      <c r="F2662" s="3">
        <v>1576906</v>
      </c>
      <c r="G2662" s="3">
        <v>417238</v>
      </c>
      <c r="H2662" s="3">
        <v>443975</v>
      </c>
      <c r="I2662" s="3">
        <v>122010</v>
      </c>
    </row>
    <row r="2663" spans="1:9">
      <c r="A2663" s="3" t="s">
        <v>2688</v>
      </c>
      <c r="B2663" s="3" t="s">
        <v>26</v>
      </c>
      <c r="C2663" s="3">
        <v>1333552</v>
      </c>
      <c r="D2663" s="3">
        <v>9336</v>
      </c>
      <c r="E2663" s="3" t="s">
        <v>27</v>
      </c>
      <c r="F2663" s="3">
        <v>519142</v>
      </c>
      <c r="G2663" s="3">
        <v>4112</v>
      </c>
      <c r="H2663" s="3">
        <v>814410</v>
      </c>
      <c r="I2663" s="3">
        <v>5224</v>
      </c>
    </row>
    <row r="2664" spans="1:9">
      <c r="A2664" s="3" t="s">
        <v>2689</v>
      </c>
      <c r="B2664" s="3" t="s">
        <v>26</v>
      </c>
      <c r="C2664" s="3">
        <v>1047810</v>
      </c>
      <c r="D2664" s="3">
        <v>10127</v>
      </c>
      <c r="E2664" s="3" t="s">
        <v>27</v>
      </c>
      <c r="F2664" s="3">
        <v>539768</v>
      </c>
      <c r="G2664" s="3">
        <v>3710</v>
      </c>
      <c r="H2664" s="3">
        <v>508042</v>
      </c>
      <c r="I2664" s="3">
        <v>6417</v>
      </c>
    </row>
    <row r="2665" spans="1:9">
      <c r="A2665" s="3" t="s">
        <v>2690</v>
      </c>
      <c r="B2665" s="3" t="s">
        <v>26</v>
      </c>
      <c r="C2665" s="3">
        <v>3012287</v>
      </c>
      <c r="D2665" s="3">
        <v>846811</v>
      </c>
      <c r="E2665" s="3" t="s">
        <v>27</v>
      </c>
      <c r="F2665" s="3">
        <v>2250202</v>
      </c>
      <c r="G2665" s="3">
        <v>614949</v>
      </c>
      <c r="H2665" s="3">
        <v>762085</v>
      </c>
      <c r="I2665" s="3">
        <v>231862</v>
      </c>
    </row>
    <row r="2666" spans="1:9">
      <c r="A2666" s="3" t="s">
        <v>2691</v>
      </c>
      <c r="B2666" s="3" t="s">
        <v>26</v>
      </c>
      <c r="C2666" s="3">
        <v>2236273</v>
      </c>
      <c r="D2666" s="3">
        <v>314777</v>
      </c>
      <c r="E2666" s="3" t="s">
        <v>27</v>
      </c>
      <c r="F2666" s="3">
        <v>1298246</v>
      </c>
      <c r="G2666" s="3">
        <v>186132</v>
      </c>
      <c r="H2666" s="3">
        <v>938027</v>
      </c>
      <c r="I2666" s="3">
        <v>128645</v>
      </c>
    </row>
    <row r="2667" spans="1:9">
      <c r="A2667" s="3" t="s">
        <v>2692</v>
      </c>
      <c r="B2667" s="3" t="s">
        <v>26</v>
      </c>
      <c r="C2667" s="3">
        <v>2484258</v>
      </c>
      <c r="D2667" s="3">
        <v>680471</v>
      </c>
      <c r="E2667" s="3" t="s">
        <v>27</v>
      </c>
      <c r="F2667" s="3">
        <v>1734698</v>
      </c>
      <c r="G2667" s="3">
        <v>462247</v>
      </c>
      <c r="H2667" s="3">
        <v>749560</v>
      </c>
      <c r="I2667" s="3">
        <v>218224</v>
      </c>
    </row>
    <row r="2668" spans="1:9">
      <c r="A2668" s="3" t="s">
        <v>2693</v>
      </c>
      <c r="B2668" s="3" t="s">
        <v>26</v>
      </c>
      <c r="C2668" s="3">
        <v>1510145</v>
      </c>
      <c r="D2668" s="3">
        <v>26812</v>
      </c>
      <c r="E2668" s="3" t="s">
        <v>27</v>
      </c>
      <c r="F2668" s="3">
        <v>810871</v>
      </c>
      <c r="G2668" s="3">
        <v>15705</v>
      </c>
      <c r="H2668" s="3">
        <v>699274</v>
      </c>
      <c r="I2668" s="3">
        <v>11107</v>
      </c>
    </row>
    <row r="2669" spans="1:9">
      <c r="A2669" s="3" t="s">
        <v>2694</v>
      </c>
      <c r="B2669" s="3" t="s">
        <v>26</v>
      </c>
      <c r="C2669" s="3">
        <v>1992307</v>
      </c>
      <c r="D2669" s="3">
        <v>164100</v>
      </c>
      <c r="E2669" s="3" t="s">
        <v>27</v>
      </c>
      <c r="F2669" s="3">
        <v>1149302</v>
      </c>
      <c r="G2669" s="3">
        <v>113830</v>
      </c>
      <c r="H2669" s="3">
        <v>843005</v>
      </c>
      <c r="I2669" s="3">
        <v>50270</v>
      </c>
    </row>
    <row r="2670" spans="1:9">
      <c r="A2670" s="3" t="s">
        <v>2695</v>
      </c>
      <c r="B2670" s="3" t="s">
        <v>26</v>
      </c>
      <c r="C2670" s="3">
        <v>1557676</v>
      </c>
      <c r="D2670" s="3">
        <v>18730</v>
      </c>
      <c r="E2670" s="3" t="s">
        <v>27</v>
      </c>
      <c r="F2670" s="3">
        <v>818878</v>
      </c>
      <c r="G2670" s="3">
        <v>7212</v>
      </c>
      <c r="H2670" s="3">
        <v>738798</v>
      </c>
      <c r="I2670" s="3">
        <v>11518</v>
      </c>
    </row>
    <row r="2671" spans="1:9">
      <c r="A2671" s="3" t="s">
        <v>2696</v>
      </c>
      <c r="B2671" s="3" t="s">
        <v>26</v>
      </c>
      <c r="C2671" s="3">
        <v>1104252</v>
      </c>
      <c r="D2671" s="3">
        <v>53575</v>
      </c>
      <c r="E2671" s="3" t="s">
        <v>27</v>
      </c>
      <c r="F2671" s="3">
        <v>672795</v>
      </c>
      <c r="G2671" s="3">
        <v>37909</v>
      </c>
      <c r="H2671" s="3">
        <v>431457</v>
      </c>
      <c r="I2671" s="3">
        <v>15666</v>
      </c>
    </row>
    <row r="2672" spans="1:9">
      <c r="A2672" s="3" t="s">
        <v>2697</v>
      </c>
      <c r="B2672" s="3" t="s">
        <v>26</v>
      </c>
      <c r="C2672" s="3">
        <v>2001829</v>
      </c>
      <c r="D2672" s="3">
        <v>173314</v>
      </c>
      <c r="E2672" s="3" t="s">
        <v>27</v>
      </c>
      <c r="F2672" s="3">
        <v>1190912</v>
      </c>
      <c r="G2672" s="3">
        <v>101502</v>
      </c>
      <c r="H2672" s="3">
        <v>810917</v>
      </c>
      <c r="I2672" s="3">
        <v>71812</v>
      </c>
    </row>
    <row r="2673" spans="1:9">
      <c r="A2673" s="3" t="s">
        <v>2698</v>
      </c>
      <c r="B2673" s="3" t="s">
        <v>26</v>
      </c>
      <c r="C2673" s="3">
        <v>2686941</v>
      </c>
      <c r="D2673" s="3">
        <v>709217</v>
      </c>
      <c r="E2673" s="3" t="s">
        <v>27</v>
      </c>
      <c r="F2673" s="3">
        <v>1682853</v>
      </c>
      <c r="G2673" s="3">
        <v>442730</v>
      </c>
      <c r="H2673" s="3">
        <v>1004088</v>
      </c>
      <c r="I2673" s="3">
        <v>266487</v>
      </c>
    </row>
    <row r="2674" spans="1:9">
      <c r="A2674" s="3" t="s">
        <v>2699</v>
      </c>
      <c r="B2674" s="3" t="s">
        <v>26</v>
      </c>
      <c r="C2674" s="3">
        <v>3086134</v>
      </c>
      <c r="D2674" s="3">
        <v>894760</v>
      </c>
      <c r="E2674" s="3" t="s">
        <v>27</v>
      </c>
      <c r="F2674" s="3">
        <v>2242157</v>
      </c>
      <c r="G2674" s="3">
        <v>619741</v>
      </c>
      <c r="H2674" s="3">
        <v>843977</v>
      </c>
      <c r="I2674" s="3">
        <v>275019</v>
      </c>
    </row>
    <row r="2675" spans="1:9">
      <c r="A2675" s="3" t="s">
        <v>2700</v>
      </c>
      <c r="B2675" s="3" t="s">
        <v>26</v>
      </c>
      <c r="C2675" s="3">
        <v>2553363</v>
      </c>
      <c r="D2675" s="3">
        <v>445013</v>
      </c>
      <c r="E2675" s="3" t="s">
        <v>27</v>
      </c>
      <c r="F2675" s="3">
        <v>1437276</v>
      </c>
      <c r="G2675" s="3">
        <v>253134</v>
      </c>
      <c r="H2675" s="3">
        <v>1116087</v>
      </c>
      <c r="I2675" s="3">
        <v>191879</v>
      </c>
    </row>
    <row r="2676" spans="1:9">
      <c r="A2676" s="3" t="s">
        <v>2701</v>
      </c>
      <c r="B2676" s="3" t="s">
        <v>26</v>
      </c>
      <c r="C2676" s="3">
        <v>2394041</v>
      </c>
      <c r="D2676" s="3">
        <v>405059</v>
      </c>
      <c r="E2676" s="3" t="s">
        <v>27</v>
      </c>
      <c r="F2676" s="3">
        <v>1470874</v>
      </c>
      <c r="G2676" s="3">
        <v>272256</v>
      </c>
      <c r="H2676" s="3">
        <v>923167</v>
      </c>
      <c r="I2676" s="3">
        <v>132803</v>
      </c>
    </row>
    <row r="2677" spans="1:9">
      <c r="A2677" s="3" t="s">
        <v>2702</v>
      </c>
      <c r="B2677" s="3" t="s">
        <v>26</v>
      </c>
      <c r="C2677" s="3">
        <v>3050149</v>
      </c>
      <c r="D2677" s="3">
        <v>766178</v>
      </c>
      <c r="E2677" s="3" t="s">
        <v>27</v>
      </c>
      <c r="F2677" s="3">
        <v>2175117</v>
      </c>
      <c r="G2677" s="3">
        <v>570858</v>
      </c>
      <c r="H2677" s="3">
        <v>875032</v>
      </c>
      <c r="I2677" s="3">
        <v>195320</v>
      </c>
    </row>
    <row r="2678" spans="1:9">
      <c r="A2678" s="3" t="s">
        <v>2703</v>
      </c>
      <c r="B2678" s="3" t="s">
        <v>26</v>
      </c>
      <c r="C2678" s="3">
        <v>2526250</v>
      </c>
      <c r="D2678" s="3">
        <v>638340</v>
      </c>
      <c r="E2678" s="3" t="s">
        <v>27</v>
      </c>
      <c r="F2678" s="3">
        <v>1918278</v>
      </c>
      <c r="G2678" s="3">
        <v>469351</v>
      </c>
      <c r="H2678" s="3">
        <v>607972</v>
      </c>
      <c r="I2678" s="3">
        <v>168989</v>
      </c>
    </row>
    <row r="2679" spans="1:9">
      <c r="A2679" s="3" t="s">
        <v>2704</v>
      </c>
      <c r="B2679" s="3" t="s">
        <v>26</v>
      </c>
      <c r="C2679" s="3">
        <v>2396581</v>
      </c>
      <c r="D2679" s="3">
        <v>561269</v>
      </c>
      <c r="E2679" s="3" t="s">
        <v>27</v>
      </c>
      <c r="F2679" s="3">
        <v>1458918</v>
      </c>
      <c r="G2679" s="3">
        <v>324753</v>
      </c>
      <c r="H2679" s="3">
        <v>937663</v>
      </c>
      <c r="I2679" s="3">
        <v>236516</v>
      </c>
    </row>
    <row r="2680" spans="1:9">
      <c r="A2680" s="3" t="s">
        <v>2705</v>
      </c>
      <c r="B2680" s="3" t="s">
        <v>26</v>
      </c>
      <c r="C2680" s="3">
        <v>2454477</v>
      </c>
      <c r="D2680" s="3">
        <v>631321</v>
      </c>
      <c r="E2680" s="3" t="s">
        <v>27</v>
      </c>
      <c r="F2680" s="3">
        <v>2199032</v>
      </c>
      <c r="G2680" s="3">
        <v>545148</v>
      </c>
      <c r="H2680" s="3">
        <v>255445</v>
      </c>
      <c r="I2680" s="3">
        <v>86173</v>
      </c>
    </row>
    <row r="2681" spans="1:9">
      <c r="A2681" s="3" t="s">
        <v>2706</v>
      </c>
      <c r="B2681" s="3" t="s">
        <v>26</v>
      </c>
      <c r="C2681" s="3">
        <v>2644962</v>
      </c>
      <c r="D2681" s="3">
        <v>631226</v>
      </c>
      <c r="E2681" s="3" t="s">
        <v>27</v>
      </c>
      <c r="F2681" s="3">
        <v>1725045</v>
      </c>
      <c r="G2681" s="3">
        <v>426922</v>
      </c>
      <c r="H2681" s="3">
        <v>919917</v>
      </c>
      <c r="I2681" s="3">
        <v>204304</v>
      </c>
    </row>
    <row r="2682" spans="1:9">
      <c r="A2682" s="3" t="s">
        <v>2707</v>
      </c>
      <c r="B2682" s="3" t="s">
        <v>26</v>
      </c>
      <c r="C2682" s="3">
        <v>2823753</v>
      </c>
      <c r="D2682" s="3">
        <v>677369</v>
      </c>
      <c r="E2682" s="3" t="s">
        <v>27</v>
      </c>
      <c r="F2682" s="3">
        <v>1766599</v>
      </c>
      <c r="G2682" s="3">
        <v>451251</v>
      </c>
      <c r="H2682" s="3">
        <v>1057154</v>
      </c>
      <c r="I2682" s="3">
        <v>226118</v>
      </c>
    </row>
    <row r="2683" spans="1:9">
      <c r="A2683" s="3" t="s">
        <v>2708</v>
      </c>
      <c r="B2683" s="3" t="s">
        <v>26</v>
      </c>
      <c r="C2683" s="3">
        <v>1996090</v>
      </c>
      <c r="D2683" s="3">
        <v>275002</v>
      </c>
      <c r="E2683" s="3" t="s">
        <v>27</v>
      </c>
      <c r="F2683" s="3">
        <v>1523184</v>
      </c>
      <c r="G2683" s="3">
        <v>208481</v>
      </c>
      <c r="H2683" s="3">
        <v>472906</v>
      </c>
      <c r="I2683" s="3">
        <v>66521</v>
      </c>
    </row>
    <row r="2684" spans="1:9">
      <c r="A2684" s="3" t="s">
        <v>2709</v>
      </c>
      <c r="B2684" s="3" t="s">
        <v>26</v>
      </c>
      <c r="C2684" s="3">
        <v>2801671</v>
      </c>
      <c r="D2684" s="3">
        <v>657112</v>
      </c>
      <c r="E2684" s="3" t="s">
        <v>27</v>
      </c>
      <c r="F2684" s="3">
        <v>1953389</v>
      </c>
      <c r="G2684" s="3">
        <v>490546</v>
      </c>
      <c r="H2684" s="3">
        <v>848282</v>
      </c>
      <c r="I2684" s="3">
        <v>166566</v>
      </c>
    </row>
    <row r="2685" spans="1:9">
      <c r="A2685" s="3" t="s">
        <v>2710</v>
      </c>
      <c r="B2685" s="3" t="s">
        <v>26</v>
      </c>
      <c r="C2685" s="3">
        <v>2569976</v>
      </c>
      <c r="D2685" s="3">
        <v>543815</v>
      </c>
      <c r="E2685" s="3" t="s">
        <v>27</v>
      </c>
      <c r="F2685" s="3">
        <v>1785937</v>
      </c>
      <c r="G2685" s="3">
        <v>388423</v>
      </c>
      <c r="H2685" s="3">
        <v>784039</v>
      </c>
      <c r="I2685" s="3">
        <v>155392</v>
      </c>
    </row>
    <row r="2686" spans="1:9">
      <c r="A2686" s="3" t="s">
        <v>2711</v>
      </c>
      <c r="B2686" s="3" t="s">
        <v>26</v>
      </c>
      <c r="C2686" s="3">
        <v>1112674</v>
      </c>
      <c r="D2686" s="3">
        <v>157421</v>
      </c>
      <c r="E2686" s="3" t="s">
        <v>27</v>
      </c>
      <c r="F2686" s="3">
        <v>884108</v>
      </c>
      <c r="G2686" s="3">
        <v>113447</v>
      </c>
      <c r="H2686" s="3">
        <v>228566</v>
      </c>
      <c r="I2686" s="3">
        <v>43974</v>
      </c>
    </row>
    <row r="2687" spans="1:9">
      <c r="A2687" s="3" t="s">
        <v>2712</v>
      </c>
      <c r="B2687" s="3" t="s">
        <v>26</v>
      </c>
      <c r="C2687" s="3">
        <v>2606686</v>
      </c>
      <c r="D2687" s="3">
        <v>684897</v>
      </c>
      <c r="E2687" s="3" t="s">
        <v>27</v>
      </c>
      <c r="F2687" s="3">
        <v>1803963</v>
      </c>
      <c r="G2687" s="3">
        <v>482004</v>
      </c>
      <c r="H2687" s="3">
        <v>802723</v>
      </c>
      <c r="I2687" s="3">
        <v>202893</v>
      </c>
    </row>
    <row r="2688" spans="1:9">
      <c r="A2688" s="3" t="s">
        <v>2713</v>
      </c>
      <c r="B2688" s="3" t="s">
        <v>26</v>
      </c>
      <c r="C2688" s="3">
        <v>1061083</v>
      </c>
      <c r="D2688" s="3">
        <v>15621</v>
      </c>
      <c r="E2688" s="3" t="s">
        <v>27</v>
      </c>
      <c r="F2688" s="3">
        <v>546825</v>
      </c>
      <c r="G2688" s="3">
        <v>8221</v>
      </c>
      <c r="H2688" s="3">
        <v>514258</v>
      </c>
      <c r="I2688" s="3">
        <v>7400</v>
      </c>
    </row>
    <row r="2689" spans="1:9">
      <c r="A2689" s="3" t="s">
        <v>2714</v>
      </c>
      <c r="B2689" s="3" t="s">
        <v>26</v>
      </c>
      <c r="C2689" s="3">
        <v>2033978</v>
      </c>
      <c r="D2689" s="3">
        <v>30280</v>
      </c>
      <c r="E2689" s="3" t="s">
        <v>27</v>
      </c>
      <c r="F2689" s="3">
        <v>1088548</v>
      </c>
      <c r="G2689" s="3">
        <v>18978</v>
      </c>
      <c r="H2689" s="3">
        <v>945430</v>
      </c>
      <c r="I2689" s="3">
        <v>11302</v>
      </c>
    </row>
    <row r="2690" spans="1:9">
      <c r="A2690" s="3" t="s">
        <v>2715</v>
      </c>
      <c r="B2690" s="3" t="s">
        <v>26</v>
      </c>
      <c r="C2690" s="3">
        <v>2277003</v>
      </c>
      <c r="D2690" s="3">
        <v>549218</v>
      </c>
      <c r="E2690" s="3" t="s">
        <v>27</v>
      </c>
      <c r="F2690" s="3">
        <v>1886753</v>
      </c>
      <c r="G2690" s="3">
        <v>452957</v>
      </c>
      <c r="H2690" s="3">
        <v>390250</v>
      </c>
      <c r="I2690" s="3">
        <v>96261</v>
      </c>
    </row>
    <row r="2691" spans="1:9">
      <c r="A2691" s="3" t="s">
        <v>2716</v>
      </c>
      <c r="B2691" s="3" t="s">
        <v>26</v>
      </c>
      <c r="C2691" s="3">
        <v>2457596</v>
      </c>
      <c r="D2691" s="3">
        <v>639769</v>
      </c>
      <c r="E2691" s="3" t="s">
        <v>27</v>
      </c>
      <c r="F2691" s="3">
        <v>1433645</v>
      </c>
      <c r="G2691" s="3">
        <v>373750</v>
      </c>
      <c r="H2691" s="3">
        <v>1023951</v>
      </c>
      <c r="I2691" s="3">
        <v>266019</v>
      </c>
    </row>
    <row r="2692" spans="1:9">
      <c r="A2692" s="3" t="s">
        <v>2717</v>
      </c>
      <c r="B2692" s="3" t="s">
        <v>26</v>
      </c>
      <c r="C2692" s="3">
        <v>2345373</v>
      </c>
      <c r="D2692" s="3">
        <v>606052</v>
      </c>
      <c r="E2692" s="3" t="s">
        <v>27</v>
      </c>
      <c r="F2692" s="3">
        <v>1778159</v>
      </c>
      <c r="G2692" s="3">
        <v>443748</v>
      </c>
      <c r="H2692" s="3">
        <v>567214</v>
      </c>
      <c r="I2692" s="3">
        <v>162304</v>
      </c>
    </row>
    <row r="2693" spans="1:9">
      <c r="A2693" s="3" t="s">
        <v>2718</v>
      </c>
      <c r="B2693" s="3" t="s">
        <v>26</v>
      </c>
      <c r="C2693" s="3">
        <v>1836327</v>
      </c>
      <c r="D2693" s="3">
        <v>226349</v>
      </c>
      <c r="E2693" s="3" t="s">
        <v>27</v>
      </c>
      <c r="F2693" s="3">
        <v>1248577</v>
      </c>
      <c r="G2693" s="3">
        <v>164360</v>
      </c>
      <c r="H2693" s="3">
        <v>587750</v>
      </c>
      <c r="I2693" s="3">
        <v>61989</v>
      </c>
    </row>
    <row r="2694" spans="1:9">
      <c r="A2694" s="3" t="s">
        <v>2719</v>
      </c>
      <c r="B2694" s="3" t="s">
        <v>26</v>
      </c>
      <c r="C2694" s="3">
        <v>1244821</v>
      </c>
      <c r="D2694" s="3">
        <v>57478</v>
      </c>
      <c r="E2694" s="3" t="s">
        <v>27</v>
      </c>
      <c r="F2694" s="3">
        <v>735046</v>
      </c>
      <c r="G2694" s="3">
        <v>34991</v>
      </c>
      <c r="H2694" s="3">
        <v>509775</v>
      </c>
      <c r="I2694" s="3">
        <v>22487</v>
      </c>
    </row>
    <row r="2695" spans="1:9">
      <c r="A2695" s="3" t="s">
        <v>2720</v>
      </c>
      <c r="B2695" s="3" t="s">
        <v>26</v>
      </c>
      <c r="C2695" s="3">
        <v>1282717</v>
      </c>
      <c r="D2695" s="3">
        <v>33049</v>
      </c>
      <c r="E2695" s="3" t="s">
        <v>27</v>
      </c>
      <c r="F2695" s="3">
        <v>693717</v>
      </c>
      <c r="G2695" s="3">
        <v>19852</v>
      </c>
      <c r="H2695" s="3">
        <v>589000</v>
      </c>
      <c r="I2695" s="3">
        <v>13197</v>
      </c>
    </row>
    <row r="2696" spans="1:9">
      <c r="A2696" s="3" t="s">
        <v>2721</v>
      </c>
      <c r="B2696" s="3" t="s">
        <v>26</v>
      </c>
      <c r="C2696" s="3">
        <v>2524702</v>
      </c>
      <c r="D2696" s="3">
        <v>754523</v>
      </c>
      <c r="E2696" s="3" t="s">
        <v>27</v>
      </c>
      <c r="F2696" s="3">
        <v>2032889</v>
      </c>
      <c r="G2696" s="3">
        <v>577272</v>
      </c>
      <c r="H2696" s="3">
        <v>491813</v>
      </c>
      <c r="I2696" s="3">
        <v>177251</v>
      </c>
    </row>
    <row r="2697" spans="1:9">
      <c r="A2697" s="3" t="s">
        <v>2722</v>
      </c>
      <c r="B2697" s="3" t="s">
        <v>26</v>
      </c>
      <c r="C2697" s="3">
        <v>1765598</v>
      </c>
      <c r="D2697" s="3">
        <v>22587</v>
      </c>
      <c r="E2697" s="3" t="s">
        <v>27</v>
      </c>
      <c r="F2697" s="3">
        <v>956945</v>
      </c>
      <c r="G2697" s="3">
        <v>9676</v>
      </c>
      <c r="H2697" s="3">
        <v>808653</v>
      </c>
      <c r="I2697" s="3">
        <v>12911</v>
      </c>
    </row>
    <row r="2698" spans="1:9">
      <c r="A2698" s="3" t="s">
        <v>2723</v>
      </c>
      <c r="B2698" s="3" t="s">
        <v>26</v>
      </c>
      <c r="C2698" s="3">
        <v>908154</v>
      </c>
      <c r="D2698" s="3">
        <v>122060</v>
      </c>
      <c r="E2698" s="3" t="s">
        <v>27</v>
      </c>
      <c r="F2698" s="3">
        <v>583851</v>
      </c>
      <c r="G2698" s="3">
        <v>74781</v>
      </c>
      <c r="H2698" s="3">
        <v>324303</v>
      </c>
      <c r="I2698" s="3">
        <v>47279</v>
      </c>
    </row>
    <row r="2699" spans="1:9">
      <c r="A2699" s="3" t="s">
        <v>2724</v>
      </c>
      <c r="B2699" s="3" t="s">
        <v>26</v>
      </c>
      <c r="C2699" s="3">
        <v>1707476</v>
      </c>
      <c r="D2699" s="3">
        <v>523550</v>
      </c>
      <c r="E2699" s="3" t="s">
        <v>27</v>
      </c>
      <c r="F2699" s="3">
        <v>1241044</v>
      </c>
      <c r="G2699" s="3">
        <v>359226</v>
      </c>
      <c r="H2699" s="3">
        <v>466432</v>
      </c>
      <c r="I2699" s="3">
        <v>164324</v>
      </c>
    </row>
    <row r="2700" spans="1:9">
      <c r="A2700" s="3" t="s">
        <v>2725</v>
      </c>
      <c r="B2700" s="3" t="s">
        <v>26</v>
      </c>
      <c r="C2700" s="3">
        <v>1510259</v>
      </c>
      <c r="D2700" s="3">
        <v>433520</v>
      </c>
      <c r="E2700" s="3" t="s">
        <v>27</v>
      </c>
      <c r="F2700" s="3">
        <v>1245685</v>
      </c>
      <c r="G2700" s="3">
        <v>338163</v>
      </c>
      <c r="H2700" s="3">
        <v>264574</v>
      </c>
      <c r="I2700" s="3">
        <v>95357</v>
      </c>
    </row>
    <row r="2701" spans="1:9">
      <c r="A2701" s="3" t="s">
        <v>2726</v>
      </c>
      <c r="B2701" s="3" t="s">
        <v>26</v>
      </c>
      <c r="C2701" s="3">
        <v>967907</v>
      </c>
      <c r="D2701" s="3">
        <v>44089</v>
      </c>
      <c r="E2701" s="3" t="s">
        <v>27</v>
      </c>
      <c r="F2701" s="3">
        <v>551357</v>
      </c>
      <c r="G2701" s="3">
        <v>24909</v>
      </c>
      <c r="H2701" s="3">
        <v>416550</v>
      </c>
      <c r="I2701" s="3">
        <v>19180</v>
      </c>
    </row>
    <row r="2702" spans="1:9">
      <c r="A2702" s="3" t="s">
        <v>2727</v>
      </c>
      <c r="B2702" s="3" t="s">
        <v>26</v>
      </c>
      <c r="C2702" s="3">
        <v>842062</v>
      </c>
      <c r="D2702" s="3">
        <v>97372</v>
      </c>
      <c r="E2702" s="3" t="s">
        <v>27</v>
      </c>
      <c r="F2702" s="3">
        <v>495053</v>
      </c>
      <c r="G2702" s="3">
        <v>63406</v>
      </c>
      <c r="H2702" s="3">
        <v>347009</v>
      </c>
      <c r="I2702" s="3">
        <v>33966</v>
      </c>
    </row>
    <row r="2703" spans="1:9">
      <c r="A2703" s="3" t="s">
        <v>2728</v>
      </c>
      <c r="B2703" s="3" t="s">
        <v>26</v>
      </c>
      <c r="C2703" s="3">
        <v>1164137</v>
      </c>
      <c r="D2703" s="3">
        <v>231056</v>
      </c>
      <c r="E2703" s="3" t="s">
        <v>27</v>
      </c>
      <c r="F2703" s="3">
        <v>858348</v>
      </c>
      <c r="G2703" s="3">
        <v>146172</v>
      </c>
      <c r="H2703" s="3">
        <v>305789</v>
      </c>
      <c r="I2703" s="3">
        <v>84884</v>
      </c>
    </row>
    <row r="2704" spans="1:9">
      <c r="A2704" s="3" t="s">
        <v>2729</v>
      </c>
      <c r="B2704" s="3" t="s">
        <v>26</v>
      </c>
      <c r="C2704" s="3">
        <v>1458969</v>
      </c>
      <c r="D2704" s="3">
        <v>381560</v>
      </c>
      <c r="E2704" s="3" t="s">
        <v>27</v>
      </c>
      <c r="F2704" s="3">
        <v>1136899</v>
      </c>
      <c r="G2704" s="3">
        <v>294568</v>
      </c>
      <c r="H2704" s="3">
        <v>322070</v>
      </c>
      <c r="I2704" s="3">
        <v>86992</v>
      </c>
    </row>
    <row r="2705" spans="1:9">
      <c r="A2705" s="3" t="s">
        <v>2730</v>
      </c>
      <c r="B2705" s="3" t="s">
        <v>26</v>
      </c>
      <c r="C2705" s="3">
        <v>632686</v>
      </c>
      <c r="D2705" s="3">
        <v>24497</v>
      </c>
      <c r="E2705" s="3" t="s">
        <v>27</v>
      </c>
      <c r="F2705" s="3">
        <v>353452</v>
      </c>
      <c r="G2705" s="3">
        <v>13413</v>
      </c>
      <c r="H2705" s="3">
        <v>279234</v>
      </c>
      <c r="I2705" s="3">
        <v>11084</v>
      </c>
    </row>
    <row r="2706" spans="1:9">
      <c r="A2706" s="3" t="s">
        <v>2731</v>
      </c>
      <c r="B2706" s="3" t="s">
        <v>26</v>
      </c>
      <c r="C2706" s="3">
        <v>594640</v>
      </c>
      <c r="D2706" s="3">
        <v>3581</v>
      </c>
      <c r="E2706" s="3" t="s">
        <v>27</v>
      </c>
      <c r="F2706" s="3">
        <v>318434</v>
      </c>
      <c r="G2706" s="3">
        <v>2176</v>
      </c>
      <c r="H2706" s="3">
        <v>276206</v>
      </c>
      <c r="I2706" s="3">
        <v>1405</v>
      </c>
    </row>
    <row r="2707" spans="1:9">
      <c r="A2707" s="3" t="s">
        <v>2732</v>
      </c>
      <c r="B2707" s="3" t="s">
        <v>26</v>
      </c>
      <c r="C2707" s="3">
        <v>1696466</v>
      </c>
      <c r="D2707" s="3">
        <v>492973</v>
      </c>
      <c r="E2707" s="3" t="s">
        <v>27</v>
      </c>
      <c r="F2707" s="3">
        <v>1266502</v>
      </c>
      <c r="G2707" s="3">
        <v>337576</v>
      </c>
      <c r="H2707" s="3">
        <v>429964</v>
      </c>
      <c r="I2707" s="3">
        <v>155397</v>
      </c>
    </row>
    <row r="2708" spans="1:9">
      <c r="A2708" s="3" t="s">
        <v>2733</v>
      </c>
      <c r="B2708" s="3" t="s">
        <v>26</v>
      </c>
      <c r="C2708" s="3">
        <v>1079999</v>
      </c>
      <c r="D2708" s="3">
        <v>74855</v>
      </c>
      <c r="E2708" s="3" t="s">
        <v>27</v>
      </c>
      <c r="F2708" s="3">
        <v>582369</v>
      </c>
      <c r="G2708" s="3">
        <v>40080</v>
      </c>
      <c r="H2708" s="3">
        <v>497630</v>
      </c>
      <c r="I2708" s="3">
        <v>34775</v>
      </c>
    </row>
    <row r="2709" spans="1:9">
      <c r="A2709" s="3" t="s">
        <v>2734</v>
      </c>
      <c r="B2709" s="3" t="s">
        <v>26</v>
      </c>
      <c r="C2709" s="3">
        <v>1379850</v>
      </c>
      <c r="D2709" s="3">
        <v>412979</v>
      </c>
      <c r="E2709" s="3" t="s">
        <v>27</v>
      </c>
      <c r="F2709" s="3">
        <v>1149807</v>
      </c>
      <c r="G2709" s="3">
        <v>326701</v>
      </c>
      <c r="H2709" s="3">
        <v>230043</v>
      </c>
      <c r="I2709" s="3">
        <v>86278</v>
      </c>
    </row>
    <row r="2710" spans="1:9">
      <c r="A2710" s="3" t="s">
        <v>2735</v>
      </c>
      <c r="B2710" s="3" t="s">
        <v>26</v>
      </c>
      <c r="C2710" s="3">
        <v>764815</v>
      </c>
      <c r="D2710" s="3">
        <v>59467</v>
      </c>
      <c r="E2710" s="3" t="s">
        <v>27</v>
      </c>
      <c r="F2710" s="3">
        <v>501471</v>
      </c>
      <c r="G2710" s="3">
        <v>36107</v>
      </c>
      <c r="H2710" s="3">
        <v>263344</v>
      </c>
      <c r="I2710" s="3">
        <v>23360</v>
      </c>
    </row>
    <row r="2711" spans="1:9">
      <c r="A2711" s="3" t="s">
        <v>2736</v>
      </c>
      <c r="B2711" s="3" t="s">
        <v>26</v>
      </c>
      <c r="C2711" s="3">
        <v>1247013</v>
      </c>
      <c r="D2711" s="3">
        <v>346425</v>
      </c>
      <c r="E2711" s="3" t="s">
        <v>27</v>
      </c>
      <c r="F2711" s="3">
        <v>1033015</v>
      </c>
      <c r="G2711" s="3">
        <v>267569</v>
      </c>
      <c r="H2711" s="3">
        <v>213998</v>
      </c>
      <c r="I2711" s="3">
        <v>78856</v>
      </c>
    </row>
    <row r="2712" spans="1:9">
      <c r="A2712" s="3" t="s">
        <v>2737</v>
      </c>
      <c r="B2712" s="3" t="s">
        <v>26</v>
      </c>
      <c r="C2712" s="3">
        <v>509320</v>
      </c>
      <c r="D2712" s="3">
        <v>1248</v>
      </c>
      <c r="E2712" s="3" t="s">
        <v>27</v>
      </c>
      <c r="F2712" s="3">
        <v>261920</v>
      </c>
      <c r="G2712" s="3">
        <v>592</v>
      </c>
      <c r="H2712" s="3">
        <v>247400</v>
      </c>
      <c r="I2712" s="3">
        <v>656</v>
      </c>
    </row>
    <row r="2713" spans="1:9">
      <c r="A2713" s="3" t="s">
        <v>2738</v>
      </c>
      <c r="B2713" s="3" t="s">
        <v>26</v>
      </c>
      <c r="C2713" s="3">
        <v>1317300</v>
      </c>
      <c r="D2713" s="3">
        <v>205613</v>
      </c>
      <c r="E2713" s="3" t="s">
        <v>27</v>
      </c>
      <c r="F2713" s="3">
        <v>748401</v>
      </c>
      <c r="G2713" s="3">
        <v>127289</v>
      </c>
      <c r="H2713" s="3">
        <v>568899</v>
      </c>
      <c r="I2713" s="3">
        <v>78324</v>
      </c>
    </row>
    <row r="2714" spans="1:9">
      <c r="A2714" s="3" t="s">
        <v>2739</v>
      </c>
      <c r="B2714" s="3" t="s">
        <v>26</v>
      </c>
      <c r="C2714" s="3">
        <v>1531018</v>
      </c>
      <c r="D2714" s="3">
        <v>435836</v>
      </c>
      <c r="E2714" s="3" t="s">
        <v>27</v>
      </c>
      <c r="F2714" s="3">
        <v>1148240</v>
      </c>
      <c r="G2714" s="3">
        <v>304718</v>
      </c>
      <c r="H2714" s="3">
        <v>382778</v>
      </c>
      <c r="I2714" s="3">
        <v>131118</v>
      </c>
    </row>
    <row r="2715" spans="1:9">
      <c r="A2715" s="3" t="s">
        <v>2740</v>
      </c>
      <c r="B2715" s="3" t="s">
        <v>26</v>
      </c>
      <c r="C2715" s="3">
        <v>1645166</v>
      </c>
      <c r="D2715" s="3">
        <v>457833</v>
      </c>
      <c r="E2715" s="3" t="s">
        <v>27</v>
      </c>
      <c r="F2715" s="3">
        <v>1192882</v>
      </c>
      <c r="G2715" s="3">
        <v>314671</v>
      </c>
      <c r="H2715" s="3">
        <v>452284</v>
      </c>
      <c r="I2715" s="3">
        <v>143162</v>
      </c>
    </row>
    <row r="2716" spans="1:9">
      <c r="A2716" s="3" t="s">
        <v>2741</v>
      </c>
      <c r="B2716" s="3" t="s">
        <v>26</v>
      </c>
      <c r="C2716" s="3">
        <v>1658075</v>
      </c>
      <c r="D2716" s="3">
        <v>431001</v>
      </c>
      <c r="E2716" s="3" t="s">
        <v>27</v>
      </c>
      <c r="F2716" s="3">
        <v>1331872</v>
      </c>
      <c r="G2716" s="3">
        <v>337297</v>
      </c>
      <c r="H2716" s="3">
        <v>326203</v>
      </c>
      <c r="I2716" s="3">
        <v>93704</v>
      </c>
    </row>
    <row r="2717" spans="1:9">
      <c r="A2717" s="3" t="s">
        <v>2742</v>
      </c>
      <c r="B2717" s="3" t="s">
        <v>26</v>
      </c>
      <c r="C2717" s="3">
        <v>506350</v>
      </c>
      <c r="D2717" s="3">
        <v>449</v>
      </c>
      <c r="E2717" s="3" t="s">
        <v>27</v>
      </c>
      <c r="F2717" s="3">
        <v>261142</v>
      </c>
      <c r="G2717" s="3">
        <v>191</v>
      </c>
      <c r="H2717" s="3">
        <v>245208</v>
      </c>
      <c r="I2717" s="3">
        <v>258</v>
      </c>
    </row>
    <row r="2718" spans="1:9">
      <c r="A2718" s="3" t="s">
        <v>2743</v>
      </c>
      <c r="B2718" s="3" t="s">
        <v>26</v>
      </c>
      <c r="C2718" s="3">
        <v>1648504</v>
      </c>
      <c r="D2718" s="3">
        <v>491810</v>
      </c>
      <c r="E2718" s="3" t="s">
        <v>27</v>
      </c>
      <c r="F2718" s="3">
        <v>1348173</v>
      </c>
      <c r="G2718" s="3">
        <v>385745</v>
      </c>
      <c r="H2718" s="3">
        <v>300331</v>
      </c>
      <c r="I2718" s="3">
        <v>106065</v>
      </c>
    </row>
    <row r="2719" spans="1:9">
      <c r="A2719" s="3" t="s">
        <v>2744</v>
      </c>
      <c r="B2719" s="3" t="s">
        <v>26</v>
      </c>
      <c r="C2719" s="3">
        <v>1285548</v>
      </c>
      <c r="D2719" s="3">
        <v>268079</v>
      </c>
      <c r="E2719" s="3" t="s">
        <v>27</v>
      </c>
      <c r="F2719" s="3">
        <v>851957</v>
      </c>
      <c r="G2719" s="3">
        <v>179554</v>
      </c>
      <c r="H2719" s="3">
        <v>433591</v>
      </c>
      <c r="I2719" s="3">
        <v>88525</v>
      </c>
    </row>
    <row r="2720" spans="1:9">
      <c r="A2720" s="3" t="s">
        <v>2745</v>
      </c>
      <c r="B2720" s="3" t="s">
        <v>26</v>
      </c>
      <c r="C2720" s="3">
        <v>265657</v>
      </c>
      <c r="D2720" s="3">
        <v>28029</v>
      </c>
      <c r="E2720" s="3" t="s">
        <v>27</v>
      </c>
      <c r="F2720" s="3">
        <v>158493</v>
      </c>
      <c r="G2720" s="3">
        <v>19088</v>
      </c>
      <c r="H2720" s="3">
        <v>107164</v>
      </c>
      <c r="I2720" s="3">
        <v>8941</v>
      </c>
    </row>
    <row r="2721" spans="1:9">
      <c r="A2721" s="3" t="s">
        <v>2746</v>
      </c>
      <c r="B2721" s="3" t="s">
        <v>26</v>
      </c>
      <c r="C2721" s="3">
        <v>758539</v>
      </c>
      <c r="D2721" s="3">
        <v>11909</v>
      </c>
      <c r="E2721" s="3" t="s">
        <v>27</v>
      </c>
      <c r="F2721" s="3">
        <v>484889</v>
      </c>
      <c r="G2721" s="3">
        <v>7935</v>
      </c>
      <c r="H2721" s="3">
        <v>273650</v>
      </c>
      <c r="I2721" s="3">
        <v>3974</v>
      </c>
    </row>
    <row r="2722" spans="1:9">
      <c r="A2722" s="3" t="s">
        <v>2747</v>
      </c>
      <c r="B2722" s="3" t="s">
        <v>26</v>
      </c>
      <c r="C2722" s="3">
        <v>1596614</v>
      </c>
      <c r="D2722" s="3">
        <v>470601</v>
      </c>
      <c r="E2722" s="3" t="s">
        <v>27</v>
      </c>
      <c r="F2722" s="3">
        <v>1105100</v>
      </c>
      <c r="G2722" s="3">
        <v>309986</v>
      </c>
      <c r="H2722" s="3">
        <v>491514</v>
      </c>
      <c r="I2722" s="3">
        <v>160615</v>
      </c>
    </row>
    <row r="2723" spans="1:9">
      <c r="A2723" s="3" t="s">
        <v>2748</v>
      </c>
      <c r="B2723" s="3" t="s">
        <v>26</v>
      </c>
      <c r="C2723" s="3">
        <v>1255872</v>
      </c>
      <c r="D2723" s="3">
        <v>212504</v>
      </c>
      <c r="E2723" s="3" t="s">
        <v>27</v>
      </c>
      <c r="F2723" s="3">
        <v>763671</v>
      </c>
      <c r="G2723" s="3">
        <v>129326</v>
      </c>
      <c r="H2723" s="3">
        <v>492201</v>
      </c>
      <c r="I2723" s="3">
        <v>83178</v>
      </c>
    </row>
    <row r="2724" spans="1:9">
      <c r="A2724" s="3" t="s">
        <v>2749</v>
      </c>
      <c r="B2724" s="3" t="s">
        <v>26</v>
      </c>
      <c r="C2724" s="3">
        <v>1392034</v>
      </c>
      <c r="D2724" s="3">
        <v>231558</v>
      </c>
      <c r="E2724" s="3" t="s">
        <v>27</v>
      </c>
      <c r="F2724" s="3">
        <v>987797</v>
      </c>
      <c r="G2724" s="3">
        <v>166753</v>
      </c>
      <c r="H2724" s="3">
        <v>404237</v>
      </c>
      <c r="I2724" s="3">
        <v>64805</v>
      </c>
    </row>
    <row r="2725" spans="1:9">
      <c r="A2725" s="3" t="s">
        <v>2750</v>
      </c>
      <c r="B2725" s="3" t="s">
        <v>26</v>
      </c>
      <c r="C2725" s="3">
        <v>1080186</v>
      </c>
      <c r="D2725" s="3">
        <v>247021</v>
      </c>
      <c r="E2725" s="3" t="s">
        <v>27</v>
      </c>
      <c r="F2725" s="3">
        <v>728660</v>
      </c>
      <c r="G2725" s="3">
        <v>163781</v>
      </c>
      <c r="H2725" s="3">
        <v>351526</v>
      </c>
      <c r="I2725" s="3">
        <v>83240</v>
      </c>
    </row>
    <row r="2726" spans="1:9">
      <c r="A2726" s="3" t="s">
        <v>2751</v>
      </c>
      <c r="B2726" s="3" t="s">
        <v>26</v>
      </c>
      <c r="C2726" s="3">
        <v>1633555</v>
      </c>
      <c r="D2726" s="3">
        <v>492816</v>
      </c>
      <c r="E2726" s="3" t="s">
        <v>27</v>
      </c>
      <c r="F2726" s="3">
        <v>1191430</v>
      </c>
      <c r="G2726" s="3">
        <v>357012</v>
      </c>
      <c r="H2726" s="3">
        <v>442125</v>
      </c>
      <c r="I2726" s="3">
        <v>135804</v>
      </c>
    </row>
    <row r="2727" spans="1:9">
      <c r="A2727" s="3" t="s">
        <v>2752</v>
      </c>
      <c r="B2727" s="3" t="s">
        <v>26</v>
      </c>
      <c r="C2727" s="3">
        <v>1069193</v>
      </c>
      <c r="D2727" s="3">
        <v>284060</v>
      </c>
      <c r="E2727" s="3" t="s">
        <v>27</v>
      </c>
      <c r="F2727" s="3">
        <v>952025</v>
      </c>
      <c r="G2727" s="3">
        <v>242470</v>
      </c>
      <c r="H2727" s="3">
        <v>117168</v>
      </c>
      <c r="I2727" s="3">
        <v>41590</v>
      </c>
    </row>
    <row r="2728" spans="1:9">
      <c r="A2728" s="3" t="s">
        <v>2753</v>
      </c>
      <c r="B2728" s="3" t="s">
        <v>26</v>
      </c>
      <c r="C2728" s="3">
        <v>800886</v>
      </c>
      <c r="D2728" s="3">
        <v>14110</v>
      </c>
      <c r="E2728" s="3" t="s">
        <v>27</v>
      </c>
      <c r="F2728" s="3">
        <v>433272</v>
      </c>
      <c r="G2728" s="3">
        <v>7602</v>
      </c>
      <c r="H2728" s="3">
        <v>367614</v>
      </c>
      <c r="I2728" s="3">
        <v>6508</v>
      </c>
    </row>
    <row r="2729" spans="1:9">
      <c r="A2729" s="3" t="s">
        <v>2754</v>
      </c>
      <c r="B2729" s="3" t="s">
        <v>26</v>
      </c>
      <c r="C2729" s="3">
        <v>1294948</v>
      </c>
      <c r="D2729" s="3">
        <v>310443</v>
      </c>
      <c r="E2729" s="3" t="s">
        <v>27</v>
      </c>
      <c r="F2729" s="3">
        <v>960676</v>
      </c>
      <c r="G2729" s="3">
        <v>224693</v>
      </c>
      <c r="H2729" s="3">
        <v>334272</v>
      </c>
      <c r="I2729" s="3">
        <v>85750</v>
      </c>
    </row>
    <row r="2730" spans="1:9">
      <c r="A2730" s="3" t="s">
        <v>2755</v>
      </c>
      <c r="B2730" s="3" t="s">
        <v>26</v>
      </c>
      <c r="C2730" s="3">
        <v>1073710</v>
      </c>
      <c r="D2730" s="3">
        <v>61113</v>
      </c>
      <c r="E2730" s="3" t="s">
        <v>27</v>
      </c>
      <c r="F2730" s="3">
        <v>597716</v>
      </c>
      <c r="G2730" s="3">
        <v>29139</v>
      </c>
      <c r="H2730" s="3">
        <v>475994</v>
      </c>
      <c r="I2730" s="3">
        <v>31974</v>
      </c>
    </row>
    <row r="2731" spans="1:9">
      <c r="A2731" s="3" t="s">
        <v>2756</v>
      </c>
      <c r="B2731" s="3" t="s">
        <v>26</v>
      </c>
      <c r="C2731" s="3">
        <v>1307116</v>
      </c>
      <c r="D2731" s="3">
        <v>145744</v>
      </c>
      <c r="E2731" s="3" t="s">
        <v>27</v>
      </c>
      <c r="F2731" s="3">
        <v>728291</v>
      </c>
      <c r="G2731" s="3">
        <v>81622</v>
      </c>
      <c r="H2731" s="3">
        <v>578825</v>
      </c>
      <c r="I2731" s="3">
        <v>64122</v>
      </c>
    </row>
    <row r="2732" spans="1:9">
      <c r="A2732" s="3" t="s">
        <v>2757</v>
      </c>
      <c r="B2732" s="3" t="s">
        <v>26</v>
      </c>
      <c r="C2732" s="3">
        <v>1814460</v>
      </c>
      <c r="D2732" s="3">
        <v>473859</v>
      </c>
      <c r="E2732" s="3" t="s">
        <v>27</v>
      </c>
      <c r="F2732" s="3">
        <v>1322572</v>
      </c>
      <c r="G2732" s="3">
        <v>334072</v>
      </c>
      <c r="H2732" s="3">
        <v>491888</v>
      </c>
      <c r="I2732" s="3">
        <v>139787</v>
      </c>
    </row>
    <row r="2733" spans="1:9">
      <c r="A2733" s="3" t="s">
        <v>2758</v>
      </c>
      <c r="B2733" s="3" t="s">
        <v>26</v>
      </c>
      <c r="C2733" s="3">
        <v>1118491</v>
      </c>
      <c r="D2733" s="3">
        <v>230872</v>
      </c>
      <c r="E2733" s="3" t="s">
        <v>27</v>
      </c>
      <c r="F2733" s="3">
        <v>826354</v>
      </c>
      <c r="G2733" s="3">
        <v>174922</v>
      </c>
      <c r="H2733" s="3">
        <v>292137</v>
      </c>
      <c r="I2733" s="3">
        <v>55950</v>
      </c>
    </row>
    <row r="2734" spans="1:9">
      <c r="A2734" s="3" t="s">
        <v>2759</v>
      </c>
      <c r="B2734" s="3" t="s">
        <v>26</v>
      </c>
      <c r="C2734" s="3">
        <v>1816025</v>
      </c>
      <c r="D2734" s="3">
        <v>361026</v>
      </c>
      <c r="E2734" s="3" t="s">
        <v>27</v>
      </c>
      <c r="F2734" s="3">
        <v>1383804</v>
      </c>
      <c r="G2734" s="3">
        <v>265002</v>
      </c>
      <c r="H2734" s="3">
        <v>432221</v>
      </c>
      <c r="I2734" s="3">
        <v>96024</v>
      </c>
    </row>
    <row r="2735" spans="1:9">
      <c r="A2735" s="3" t="s">
        <v>2760</v>
      </c>
      <c r="B2735" s="3" t="s">
        <v>26</v>
      </c>
      <c r="C2735" s="3">
        <v>1296076</v>
      </c>
      <c r="D2735" s="3">
        <v>234701</v>
      </c>
      <c r="E2735" s="3" t="s">
        <v>27</v>
      </c>
      <c r="F2735" s="3">
        <v>860569</v>
      </c>
      <c r="G2735" s="3">
        <v>160579</v>
      </c>
      <c r="H2735" s="3">
        <v>435507</v>
      </c>
      <c r="I2735" s="3">
        <v>74122</v>
      </c>
    </row>
    <row r="2736" spans="1:9">
      <c r="A2736" s="3" t="s">
        <v>2761</v>
      </c>
      <c r="B2736" s="3" t="s">
        <v>26</v>
      </c>
      <c r="C2736" s="3">
        <v>1422385</v>
      </c>
      <c r="D2736" s="3">
        <v>313866</v>
      </c>
      <c r="E2736" s="3" t="s">
        <v>27</v>
      </c>
      <c r="F2736" s="3">
        <v>1059454</v>
      </c>
      <c r="G2736" s="3">
        <v>233806</v>
      </c>
      <c r="H2736" s="3">
        <v>362931</v>
      </c>
      <c r="I2736" s="3">
        <v>80060</v>
      </c>
    </row>
    <row r="2737" spans="1:9">
      <c r="A2737" s="3" t="s">
        <v>2762</v>
      </c>
      <c r="B2737" s="3" t="s">
        <v>26</v>
      </c>
      <c r="C2737" s="3">
        <v>1185580</v>
      </c>
      <c r="D2737" s="3">
        <v>134541</v>
      </c>
      <c r="E2737" s="3" t="s">
        <v>27</v>
      </c>
      <c r="F2737" s="3">
        <v>775929</v>
      </c>
      <c r="G2737" s="3">
        <v>95350</v>
      </c>
      <c r="H2737" s="3">
        <v>409651</v>
      </c>
      <c r="I2737" s="3">
        <v>39191</v>
      </c>
    </row>
    <row r="2738" spans="1:9">
      <c r="A2738" s="3" t="s">
        <v>2763</v>
      </c>
      <c r="B2738" s="3" t="s">
        <v>26</v>
      </c>
      <c r="C2738" s="3">
        <v>939621</v>
      </c>
      <c r="D2738" s="3">
        <v>104700</v>
      </c>
      <c r="E2738" s="3" t="s">
        <v>27</v>
      </c>
      <c r="F2738" s="3">
        <v>537145</v>
      </c>
      <c r="G2738" s="3">
        <v>61419</v>
      </c>
      <c r="H2738" s="3">
        <v>402476</v>
      </c>
      <c r="I2738" s="3">
        <v>43281</v>
      </c>
    </row>
    <row r="2739" spans="1:9">
      <c r="A2739" s="3" t="s">
        <v>2764</v>
      </c>
      <c r="B2739" s="3" t="s">
        <v>26</v>
      </c>
      <c r="C2739" s="3">
        <v>1491243</v>
      </c>
      <c r="D2739" s="3">
        <v>258594</v>
      </c>
      <c r="E2739" s="3" t="s">
        <v>27</v>
      </c>
      <c r="F2739" s="3">
        <v>956959</v>
      </c>
      <c r="G2739" s="3">
        <v>190336</v>
      </c>
      <c r="H2739" s="3">
        <v>534284</v>
      </c>
      <c r="I2739" s="3">
        <v>68258</v>
      </c>
    </row>
    <row r="2740" spans="1:9">
      <c r="A2740" s="3" t="s">
        <v>2765</v>
      </c>
      <c r="B2740" s="3" t="s">
        <v>26</v>
      </c>
      <c r="C2740" s="3">
        <v>1331264</v>
      </c>
      <c r="D2740" s="3">
        <v>296965</v>
      </c>
      <c r="E2740" s="3" t="s">
        <v>27</v>
      </c>
      <c r="F2740" s="3">
        <v>947113</v>
      </c>
      <c r="G2740" s="3">
        <v>216020</v>
      </c>
      <c r="H2740" s="3">
        <v>384151</v>
      </c>
      <c r="I2740" s="3">
        <v>80945</v>
      </c>
    </row>
    <row r="2741" spans="1:9">
      <c r="A2741" s="3" t="s">
        <v>2766</v>
      </c>
      <c r="B2741" s="3" t="s">
        <v>26</v>
      </c>
      <c r="C2741" s="3">
        <v>1354735</v>
      </c>
      <c r="D2741" s="3">
        <v>268168</v>
      </c>
      <c r="E2741" s="3" t="s">
        <v>27</v>
      </c>
      <c r="F2741" s="3">
        <v>985516</v>
      </c>
      <c r="G2741" s="3">
        <v>198037</v>
      </c>
      <c r="H2741" s="3">
        <v>369219</v>
      </c>
      <c r="I2741" s="3">
        <v>70131</v>
      </c>
    </row>
    <row r="2742" spans="1:9">
      <c r="A2742" s="3" t="s">
        <v>2767</v>
      </c>
      <c r="B2742" s="3" t="s">
        <v>26</v>
      </c>
      <c r="C2742" s="3">
        <v>1718834</v>
      </c>
      <c r="D2742" s="3">
        <v>485190</v>
      </c>
      <c r="E2742" s="3" t="s">
        <v>27</v>
      </c>
      <c r="F2742" s="3">
        <v>1424383</v>
      </c>
      <c r="G2742" s="3">
        <v>387605</v>
      </c>
      <c r="H2742" s="3">
        <v>294451</v>
      </c>
      <c r="I2742" s="3">
        <v>97585</v>
      </c>
    </row>
    <row r="2743" spans="1:9">
      <c r="A2743" s="3" t="s">
        <v>2768</v>
      </c>
      <c r="B2743" s="3" t="s">
        <v>26</v>
      </c>
      <c r="C2743" s="3">
        <v>1487217</v>
      </c>
      <c r="D2743" s="3">
        <v>183211</v>
      </c>
      <c r="E2743" s="3" t="s">
        <v>27</v>
      </c>
      <c r="F2743" s="3">
        <v>908631</v>
      </c>
      <c r="G2743" s="3">
        <v>122163</v>
      </c>
      <c r="H2743" s="3">
        <v>578586</v>
      </c>
      <c r="I2743" s="3">
        <v>61048</v>
      </c>
    </row>
    <row r="2744" spans="1:9">
      <c r="A2744" s="3" t="s">
        <v>2769</v>
      </c>
      <c r="B2744" s="3" t="s">
        <v>26</v>
      </c>
      <c r="C2744" s="3">
        <v>1082103</v>
      </c>
      <c r="D2744" s="3">
        <v>68437</v>
      </c>
      <c r="E2744" s="3" t="s">
        <v>27</v>
      </c>
      <c r="F2744" s="3">
        <v>594735</v>
      </c>
      <c r="G2744" s="3">
        <v>38662</v>
      </c>
      <c r="H2744" s="3">
        <v>487368</v>
      </c>
      <c r="I2744" s="3">
        <v>29775</v>
      </c>
    </row>
    <row r="2745" spans="1:9">
      <c r="A2745" s="3" t="s">
        <v>2770</v>
      </c>
      <c r="B2745" s="3" t="s">
        <v>26</v>
      </c>
      <c r="C2745" s="3">
        <v>1099447</v>
      </c>
      <c r="D2745" s="3">
        <v>160437</v>
      </c>
      <c r="E2745" s="3" t="s">
        <v>27</v>
      </c>
      <c r="F2745" s="3">
        <v>804117</v>
      </c>
      <c r="G2745" s="3">
        <v>119855</v>
      </c>
      <c r="H2745" s="3">
        <v>295330</v>
      </c>
      <c r="I2745" s="3">
        <v>40582</v>
      </c>
    </row>
    <row r="2746" spans="1:9">
      <c r="A2746" s="3" t="s">
        <v>2771</v>
      </c>
      <c r="B2746" s="3" t="s">
        <v>26</v>
      </c>
      <c r="C2746" s="3">
        <v>1230524</v>
      </c>
      <c r="D2746" s="3">
        <v>233464</v>
      </c>
      <c r="E2746" s="3" t="s">
        <v>27</v>
      </c>
      <c r="F2746" s="3">
        <v>794190</v>
      </c>
      <c r="G2746" s="3">
        <v>159902</v>
      </c>
      <c r="H2746" s="3">
        <v>436334</v>
      </c>
      <c r="I2746" s="3">
        <v>73562</v>
      </c>
    </row>
    <row r="2747" spans="1:9">
      <c r="A2747" s="3" t="s">
        <v>2772</v>
      </c>
      <c r="B2747" s="3" t="s">
        <v>26</v>
      </c>
      <c r="C2747" s="3">
        <v>1600273</v>
      </c>
      <c r="D2747" s="3">
        <v>345643</v>
      </c>
      <c r="E2747" s="3" t="s">
        <v>27</v>
      </c>
      <c r="F2747" s="3">
        <v>1046147</v>
      </c>
      <c r="G2747" s="3">
        <v>224589</v>
      </c>
      <c r="H2747" s="3">
        <v>554126</v>
      </c>
      <c r="I2747" s="3">
        <v>121054</v>
      </c>
    </row>
    <row r="2748" spans="1:9">
      <c r="A2748" s="3" t="s">
        <v>2773</v>
      </c>
      <c r="B2748" s="3" t="s">
        <v>26</v>
      </c>
      <c r="C2748" s="3">
        <v>1512589</v>
      </c>
      <c r="D2748" s="3">
        <v>358888</v>
      </c>
      <c r="E2748" s="3" t="s">
        <v>27</v>
      </c>
      <c r="F2748" s="3">
        <v>1170288</v>
      </c>
      <c r="G2748" s="3">
        <v>267454</v>
      </c>
      <c r="H2748" s="3">
        <v>342301</v>
      </c>
      <c r="I2748" s="3">
        <v>91434</v>
      </c>
    </row>
    <row r="2749" spans="1:9">
      <c r="A2749" s="3" t="s">
        <v>2774</v>
      </c>
      <c r="B2749" s="3" t="s">
        <v>26</v>
      </c>
      <c r="C2749" s="3">
        <v>1354375</v>
      </c>
      <c r="D2749" s="3">
        <v>284780</v>
      </c>
      <c r="E2749" s="3" t="s">
        <v>27</v>
      </c>
      <c r="F2749" s="3">
        <v>1064922</v>
      </c>
      <c r="G2749" s="3">
        <v>211452</v>
      </c>
      <c r="H2749" s="3">
        <v>289453</v>
      </c>
      <c r="I2749" s="3">
        <v>73328</v>
      </c>
    </row>
    <row r="2750" spans="1:9">
      <c r="A2750" s="3" t="s">
        <v>2775</v>
      </c>
      <c r="B2750" s="3" t="s">
        <v>26</v>
      </c>
      <c r="C2750" s="3">
        <v>1114799</v>
      </c>
      <c r="D2750" s="3">
        <v>238560</v>
      </c>
      <c r="E2750" s="3" t="s">
        <v>27</v>
      </c>
      <c r="F2750" s="3">
        <v>729918</v>
      </c>
      <c r="G2750" s="3">
        <v>152196</v>
      </c>
      <c r="H2750" s="3">
        <v>384881</v>
      </c>
      <c r="I2750" s="3">
        <v>86364</v>
      </c>
    </row>
    <row r="2751" spans="1:9">
      <c r="A2751" s="3" t="s">
        <v>2776</v>
      </c>
      <c r="B2751" s="3" t="s">
        <v>26</v>
      </c>
      <c r="C2751" s="3">
        <v>1847301</v>
      </c>
      <c r="D2751" s="3">
        <v>123883</v>
      </c>
      <c r="E2751" s="3" t="s">
        <v>27</v>
      </c>
      <c r="F2751" s="3">
        <v>1458413</v>
      </c>
      <c r="G2751" s="3">
        <v>87519</v>
      </c>
      <c r="H2751" s="3">
        <v>388888</v>
      </c>
      <c r="I2751" s="3">
        <v>36364</v>
      </c>
    </row>
    <row r="2752" spans="1:9">
      <c r="A2752" s="3" t="s">
        <v>2777</v>
      </c>
      <c r="B2752" s="3" t="s">
        <v>26</v>
      </c>
      <c r="C2752" s="3">
        <v>1493290</v>
      </c>
      <c r="D2752" s="3">
        <v>338803</v>
      </c>
      <c r="E2752" s="3" t="s">
        <v>27</v>
      </c>
      <c r="F2752" s="3">
        <v>1136790</v>
      </c>
      <c r="G2752" s="3">
        <v>261599</v>
      </c>
      <c r="H2752" s="3">
        <v>356500</v>
      </c>
      <c r="I2752" s="3">
        <v>77204</v>
      </c>
    </row>
    <row r="2753" spans="1:9">
      <c r="A2753" s="3" t="s">
        <v>2778</v>
      </c>
      <c r="B2753" s="3" t="s">
        <v>26</v>
      </c>
      <c r="C2753" s="3">
        <v>1470070</v>
      </c>
      <c r="D2753" s="3">
        <v>225196</v>
      </c>
      <c r="E2753" s="3" t="s">
        <v>27</v>
      </c>
      <c r="F2753" s="3">
        <v>899968</v>
      </c>
      <c r="G2753" s="3">
        <v>137461</v>
      </c>
      <c r="H2753" s="3">
        <v>570102</v>
      </c>
      <c r="I2753" s="3">
        <v>87735</v>
      </c>
    </row>
    <row r="2754" spans="1:9">
      <c r="A2754" s="3" t="s">
        <v>2779</v>
      </c>
      <c r="B2754" s="3" t="s">
        <v>26</v>
      </c>
      <c r="C2754" s="3">
        <v>1595739</v>
      </c>
      <c r="D2754" s="3">
        <v>385833</v>
      </c>
      <c r="E2754" s="3" t="s">
        <v>27</v>
      </c>
      <c r="F2754" s="3">
        <v>1205549</v>
      </c>
      <c r="G2754" s="3">
        <v>291219</v>
      </c>
      <c r="H2754" s="3">
        <v>390190</v>
      </c>
      <c r="I2754" s="3">
        <v>94614</v>
      </c>
    </row>
    <row r="2755" spans="1:9">
      <c r="A2755" s="3" t="s">
        <v>2780</v>
      </c>
      <c r="B2755" s="3" t="s">
        <v>26</v>
      </c>
      <c r="C2755" s="3">
        <v>1353022</v>
      </c>
      <c r="D2755" s="3">
        <v>272043</v>
      </c>
      <c r="E2755" s="3" t="s">
        <v>27</v>
      </c>
      <c r="F2755" s="3">
        <v>1022154</v>
      </c>
      <c r="G2755" s="3">
        <v>205548</v>
      </c>
      <c r="H2755" s="3">
        <v>330868</v>
      </c>
      <c r="I2755" s="3">
        <v>66495</v>
      </c>
    </row>
    <row r="2756" spans="1:9">
      <c r="A2756" s="3" t="s">
        <v>2781</v>
      </c>
      <c r="B2756" s="3" t="s">
        <v>26</v>
      </c>
      <c r="C2756" s="3">
        <v>663115</v>
      </c>
      <c r="D2756" s="3">
        <v>5025</v>
      </c>
      <c r="E2756" s="3" t="s">
        <v>27</v>
      </c>
      <c r="F2756" s="3">
        <v>346678</v>
      </c>
      <c r="G2756" s="3">
        <v>2707</v>
      </c>
      <c r="H2756" s="3">
        <v>316437</v>
      </c>
      <c r="I2756" s="3">
        <v>2318</v>
      </c>
    </row>
    <row r="2757" spans="1:9">
      <c r="A2757" s="3" t="s">
        <v>2782</v>
      </c>
      <c r="B2757" s="3" t="s">
        <v>26</v>
      </c>
      <c r="C2757" s="3">
        <v>655547</v>
      </c>
      <c r="D2757" s="3">
        <v>1454</v>
      </c>
      <c r="E2757" s="3" t="s">
        <v>27</v>
      </c>
      <c r="F2757" s="3">
        <v>278589</v>
      </c>
      <c r="G2757" s="3">
        <v>275</v>
      </c>
      <c r="H2757" s="3">
        <v>376958</v>
      </c>
      <c r="I2757" s="3">
        <v>1179</v>
      </c>
    </row>
    <row r="2758" spans="1:9">
      <c r="A2758" s="3" t="s">
        <v>2783</v>
      </c>
      <c r="B2758" s="3" t="s">
        <v>26</v>
      </c>
      <c r="C2758" s="3">
        <v>1140140</v>
      </c>
      <c r="D2758" s="3">
        <v>159814</v>
      </c>
      <c r="E2758" s="3" t="s">
        <v>27</v>
      </c>
      <c r="F2758" s="3">
        <v>814108</v>
      </c>
      <c r="G2758" s="3">
        <v>98463</v>
      </c>
      <c r="H2758" s="3">
        <v>326032</v>
      </c>
      <c r="I2758" s="3">
        <v>61351</v>
      </c>
    </row>
    <row r="2759" spans="1:9">
      <c r="A2759" s="3" t="s">
        <v>2784</v>
      </c>
      <c r="B2759" s="3" t="s">
        <v>26</v>
      </c>
      <c r="C2759" s="3">
        <v>1106594</v>
      </c>
      <c r="D2759" s="3">
        <v>129686</v>
      </c>
      <c r="E2759" s="3" t="s">
        <v>27</v>
      </c>
      <c r="F2759" s="3">
        <v>634024</v>
      </c>
      <c r="G2759" s="3">
        <v>77784</v>
      </c>
      <c r="H2759" s="3">
        <v>472570</v>
      </c>
      <c r="I2759" s="3">
        <v>51902</v>
      </c>
    </row>
    <row r="2760" spans="1:9">
      <c r="A2760" s="3" t="s">
        <v>2785</v>
      </c>
      <c r="B2760" s="3" t="s">
        <v>26</v>
      </c>
      <c r="C2760" s="3">
        <v>1413683</v>
      </c>
      <c r="D2760" s="3">
        <v>296598</v>
      </c>
      <c r="E2760" s="3" t="s">
        <v>27</v>
      </c>
      <c r="F2760" s="3">
        <v>1027520</v>
      </c>
      <c r="G2760" s="3">
        <v>230157</v>
      </c>
      <c r="H2760" s="3">
        <v>386163</v>
      </c>
      <c r="I2760" s="3">
        <v>66441</v>
      </c>
    </row>
    <row r="2761" spans="1:9">
      <c r="A2761" s="3" t="s">
        <v>2786</v>
      </c>
      <c r="B2761" s="3" t="s">
        <v>26</v>
      </c>
      <c r="C2761" s="3">
        <v>1057778</v>
      </c>
      <c r="D2761" s="3">
        <v>7899</v>
      </c>
      <c r="E2761" s="3" t="s">
        <v>27</v>
      </c>
      <c r="F2761" s="3">
        <v>540292</v>
      </c>
      <c r="G2761" s="3">
        <v>4137</v>
      </c>
      <c r="H2761" s="3">
        <v>517486</v>
      </c>
      <c r="I2761" s="3">
        <v>3762</v>
      </c>
    </row>
    <row r="2762" spans="1:9">
      <c r="A2762" s="3" t="s">
        <v>2787</v>
      </c>
      <c r="B2762" s="3" t="s">
        <v>26</v>
      </c>
      <c r="C2762" s="3">
        <v>1281920</v>
      </c>
      <c r="D2762" s="3">
        <v>93198</v>
      </c>
      <c r="E2762" s="3" t="s">
        <v>27</v>
      </c>
      <c r="F2762" s="3">
        <v>741121</v>
      </c>
      <c r="G2762" s="3">
        <v>58798</v>
      </c>
      <c r="H2762" s="3">
        <v>540799</v>
      </c>
      <c r="I2762" s="3">
        <v>34400</v>
      </c>
    </row>
    <row r="2763" spans="1:9">
      <c r="A2763" s="3" t="s">
        <v>2788</v>
      </c>
      <c r="B2763" s="3" t="s">
        <v>26</v>
      </c>
      <c r="C2763" s="3">
        <v>905010</v>
      </c>
      <c r="D2763" s="3">
        <v>70603</v>
      </c>
      <c r="E2763" s="3" t="s">
        <v>27</v>
      </c>
      <c r="F2763" s="3">
        <v>523409</v>
      </c>
      <c r="G2763" s="3">
        <v>48772</v>
      </c>
      <c r="H2763" s="3">
        <v>381601</v>
      </c>
      <c r="I2763" s="3">
        <v>21831</v>
      </c>
    </row>
    <row r="2764" spans="1:9">
      <c r="A2764" s="3" t="s">
        <v>2789</v>
      </c>
      <c r="B2764" s="3" t="s">
        <v>26</v>
      </c>
      <c r="C2764" s="3">
        <v>670550</v>
      </c>
      <c r="D2764" s="3">
        <v>11588</v>
      </c>
      <c r="E2764" s="3" t="s">
        <v>27</v>
      </c>
      <c r="F2764" s="3">
        <v>385878</v>
      </c>
      <c r="G2764" s="3">
        <v>7402</v>
      </c>
      <c r="H2764" s="3">
        <v>284672</v>
      </c>
      <c r="I2764" s="3">
        <v>4186</v>
      </c>
    </row>
    <row r="2765" spans="1:9">
      <c r="A2765" s="3" t="s">
        <v>2790</v>
      </c>
      <c r="B2765" s="3" t="s">
        <v>26</v>
      </c>
      <c r="C2765" s="3">
        <v>1632990</v>
      </c>
      <c r="D2765" s="3">
        <v>294737</v>
      </c>
      <c r="E2765" s="3" t="s">
        <v>27</v>
      </c>
      <c r="F2765" s="3">
        <v>1190041</v>
      </c>
      <c r="G2765" s="3">
        <v>206686</v>
      </c>
      <c r="H2765" s="3">
        <v>442949</v>
      </c>
      <c r="I2765" s="3">
        <v>88051</v>
      </c>
    </row>
    <row r="2766" spans="1:9">
      <c r="A2766" s="3" t="s">
        <v>2791</v>
      </c>
      <c r="B2766" s="3" t="s">
        <v>26</v>
      </c>
      <c r="C2766" s="3">
        <v>1048145</v>
      </c>
      <c r="D2766" s="3">
        <v>36271</v>
      </c>
      <c r="E2766" s="3" t="s">
        <v>27</v>
      </c>
      <c r="F2766" s="3">
        <v>619144</v>
      </c>
      <c r="G2766" s="3">
        <v>25467</v>
      </c>
      <c r="H2766" s="3">
        <v>429001</v>
      </c>
      <c r="I2766" s="3">
        <v>10804</v>
      </c>
    </row>
    <row r="2767" spans="1:9">
      <c r="A2767" s="3" t="s">
        <v>2792</v>
      </c>
      <c r="B2767" s="3" t="s">
        <v>26</v>
      </c>
      <c r="C2767" s="3">
        <v>1288672</v>
      </c>
      <c r="D2767" s="3">
        <v>228089</v>
      </c>
      <c r="E2767" s="3" t="s">
        <v>27</v>
      </c>
      <c r="F2767" s="3">
        <v>858567</v>
      </c>
      <c r="G2767" s="3">
        <v>137096</v>
      </c>
      <c r="H2767" s="3">
        <v>430105</v>
      </c>
      <c r="I2767" s="3">
        <v>90993</v>
      </c>
    </row>
    <row r="2768" spans="1:9">
      <c r="A2768" s="3" t="s">
        <v>2793</v>
      </c>
      <c r="B2768" s="3" t="s">
        <v>26</v>
      </c>
      <c r="C2768" s="3">
        <v>1398743</v>
      </c>
      <c r="D2768" s="3">
        <v>218160</v>
      </c>
      <c r="E2768" s="3" t="s">
        <v>27</v>
      </c>
      <c r="F2768" s="3">
        <v>746370</v>
      </c>
      <c r="G2768" s="3">
        <v>114262</v>
      </c>
      <c r="H2768" s="3">
        <v>652373</v>
      </c>
      <c r="I2768" s="3">
        <v>103898</v>
      </c>
    </row>
    <row r="2769" spans="1:9">
      <c r="A2769" s="3" t="s">
        <v>2794</v>
      </c>
      <c r="B2769" s="3" t="s">
        <v>26</v>
      </c>
      <c r="C2769" s="3">
        <v>1041223</v>
      </c>
      <c r="D2769" s="3">
        <v>192393</v>
      </c>
      <c r="E2769" s="3" t="s">
        <v>27</v>
      </c>
      <c r="F2769" s="3">
        <v>618295</v>
      </c>
      <c r="G2769" s="3">
        <v>120337</v>
      </c>
      <c r="H2769" s="3">
        <v>422928</v>
      </c>
      <c r="I2769" s="3">
        <v>72056</v>
      </c>
    </row>
    <row r="2770" spans="1:9">
      <c r="A2770" s="3" t="s">
        <v>2795</v>
      </c>
      <c r="B2770" s="3" t="s">
        <v>26</v>
      </c>
      <c r="C2770" s="3">
        <v>1275773</v>
      </c>
      <c r="D2770" s="3">
        <v>170240</v>
      </c>
      <c r="E2770" s="3" t="s">
        <v>27</v>
      </c>
      <c r="F2770" s="3">
        <v>811099</v>
      </c>
      <c r="G2770" s="3">
        <v>99332</v>
      </c>
      <c r="H2770" s="3">
        <v>464674</v>
      </c>
      <c r="I2770" s="3">
        <v>70908</v>
      </c>
    </row>
    <row r="2771" spans="1:9">
      <c r="A2771" s="3" t="s">
        <v>2796</v>
      </c>
      <c r="B2771" s="3" t="s">
        <v>26</v>
      </c>
      <c r="C2771" s="3">
        <v>1588632</v>
      </c>
      <c r="D2771" s="3">
        <v>417501</v>
      </c>
      <c r="E2771" s="3" t="s">
        <v>27</v>
      </c>
      <c r="F2771" s="3">
        <v>1096405</v>
      </c>
      <c r="G2771" s="3">
        <v>273831</v>
      </c>
      <c r="H2771" s="3">
        <v>492227</v>
      </c>
      <c r="I2771" s="3">
        <v>143670</v>
      </c>
    </row>
    <row r="2772" spans="1:9">
      <c r="A2772" s="3" t="s">
        <v>2797</v>
      </c>
      <c r="B2772" s="3" t="s">
        <v>26</v>
      </c>
      <c r="C2772" s="3">
        <v>1493768</v>
      </c>
      <c r="D2772" s="3">
        <v>338111</v>
      </c>
      <c r="E2772" s="3" t="s">
        <v>27</v>
      </c>
      <c r="F2772" s="3">
        <v>1010049</v>
      </c>
      <c r="G2772" s="3">
        <v>219566</v>
      </c>
      <c r="H2772" s="3">
        <v>483719</v>
      </c>
      <c r="I2772" s="3">
        <v>118545</v>
      </c>
    </row>
    <row r="2773" spans="1:9">
      <c r="A2773" s="3" t="s">
        <v>2798</v>
      </c>
      <c r="B2773" s="3" t="s">
        <v>26</v>
      </c>
      <c r="C2773" s="3">
        <v>1139618</v>
      </c>
      <c r="D2773" s="3">
        <v>205143</v>
      </c>
      <c r="E2773" s="3" t="s">
        <v>27</v>
      </c>
      <c r="F2773" s="3">
        <v>1008922</v>
      </c>
      <c r="G2773" s="3">
        <v>169818</v>
      </c>
      <c r="H2773" s="3">
        <v>130696</v>
      </c>
      <c r="I2773" s="3">
        <v>35325</v>
      </c>
    </row>
    <row r="2774" spans="1:9">
      <c r="A2774" s="3" t="s">
        <v>2799</v>
      </c>
      <c r="B2774" s="3" t="s">
        <v>26</v>
      </c>
      <c r="C2774" s="3">
        <v>1711889</v>
      </c>
      <c r="D2774" s="3">
        <v>347087</v>
      </c>
      <c r="E2774" s="3" t="s">
        <v>27</v>
      </c>
      <c r="F2774" s="3">
        <v>1025063</v>
      </c>
      <c r="G2774" s="3">
        <v>194674</v>
      </c>
      <c r="H2774" s="3">
        <v>686826</v>
      </c>
      <c r="I2774" s="3">
        <v>152413</v>
      </c>
    </row>
    <row r="2775" spans="1:9">
      <c r="A2775" s="3" t="s">
        <v>2800</v>
      </c>
      <c r="B2775" s="3" t="s">
        <v>26</v>
      </c>
      <c r="C2775" s="3">
        <v>1124305</v>
      </c>
      <c r="D2775" s="3">
        <v>102890</v>
      </c>
      <c r="E2775" s="3" t="s">
        <v>27</v>
      </c>
      <c r="F2775" s="3">
        <v>617949</v>
      </c>
      <c r="G2775" s="3">
        <v>55325</v>
      </c>
      <c r="H2775" s="3">
        <v>506356</v>
      </c>
      <c r="I2775" s="3">
        <v>47565</v>
      </c>
    </row>
    <row r="2776" spans="1:9">
      <c r="A2776" s="3" t="s">
        <v>2801</v>
      </c>
      <c r="B2776" s="3" t="s">
        <v>26</v>
      </c>
      <c r="C2776" s="3">
        <v>981228</v>
      </c>
      <c r="D2776" s="3">
        <v>104721</v>
      </c>
      <c r="E2776" s="3" t="s">
        <v>27</v>
      </c>
      <c r="F2776" s="3">
        <v>559006</v>
      </c>
      <c r="G2776" s="3">
        <v>60922</v>
      </c>
      <c r="H2776" s="3">
        <v>422222</v>
      </c>
      <c r="I2776" s="3">
        <v>43799</v>
      </c>
    </row>
    <row r="2777" spans="1:9">
      <c r="A2777" s="3" t="s">
        <v>2802</v>
      </c>
      <c r="B2777" s="3" t="s">
        <v>26</v>
      </c>
      <c r="C2777" s="3">
        <v>1269358</v>
      </c>
      <c r="D2777" s="3">
        <v>170848</v>
      </c>
      <c r="E2777" s="3" t="s">
        <v>27</v>
      </c>
      <c r="F2777" s="3">
        <v>816700</v>
      </c>
      <c r="G2777" s="3">
        <v>115950</v>
      </c>
      <c r="H2777" s="3">
        <v>452658</v>
      </c>
      <c r="I2777" s="3">
        <v>54898</v>
      </c>
    </row>
    <row r="2778" spans="1:9">
      <c r="A2778" s="3" t="s">
        <v>2803</v>
      </c>
      <c r="B2778" s="3" t="s">
        <v>26</v>
      </c>
      <c r="C2778" s="3">
        <v>1496036</v>
      </c>
      <c r="D2778" s="3">
        <v>243311</v>
      </c>
      <c r="E2778" s="3" t="s">
        <v>27</v>
      </c>
      <c r="F2778" s="3">
        <v>977953</v>
      </c>
      <c r="G2778" s="3">
        <v>164824</v>
      </c>
      <c r="H2778" s="3">
        <v>518083</v>
      </c>
      <c r="I2778" s="3">
        <v>78487</v>
      </c>
    </row>
    <row r="2779" spans="1:9">
      <c r="A2779" s="3" t="s">
        <v>2804</v>
      </c>
      <c r="B2779" s="3" t="s">
        <v>26</v>
      </c>
      <c r="C2779" s="3">
        <v>1319653</v>
      </c>
      <c r="D2779" s="3">
        <v>307529</v>
      </c>
      <c r="E2779" s="3" t="s">
        <v>27</v>
      </c>
      <c r="F2779" s="3">
        <v>1007223</v>
      </c>
      <c r="G2779" s="3">
        <v>241287</v>
      </c>
      <c r="H2779" s="3">
        <v>312430</v>
      </c>
      <c r="I2779" s="3">
        <v>66242</v>
      </c>
    </row>
    <row r="2780" spans="1:9">
      <c r="A2780" s="3" t="s">
        <v>2805</v>
      </c>
      <c r="B2780" s="3" t="s">
        <v>26</v>
      </c>
      <c r="C2780" s="3">
        <v>2230026</v>
      </c>
      <c r="D2780" s="3">
        <v>688233</v>
      </c>
      <c r="E2780" s="3" t="s">
        <v>27</v>
      </c>
      <c r="F2780" s="3">
        <v>1773545</v>
      </c>
      <c r="G2780" s="3">
        <v>511005</v>
      </c>
      <c r="H2780" s="3">
        <v>456481</v>
      </c>
      <c r="I2780" s="3">
        <v>177228</v>
      </c>
    </row>
    <row r="2781" spans="1:9">
      <c r="A2781" s="3" t="s">
        <v>2806</v>
      </c>
      <c r="B2781" s="3" t="s">
        <v>26</v>
      </c>
      <c r="C2781" s="3">
        <v>1456158</v>
      </c>
      <c r="D2781" s="3">
        <v>257786</v>
      </c>
      <c r="E2781" s="3" t="s">
        <v>27</v>
      </c>
      <c r="F2781" s="3">
        <v>938198</v>
      </c>
      <c r="G2781" s="3">
        <v>172553</v>
      </c>
      <c r="H2781" s="3">
        <v>517960</v>
      </c>
      <c r="I2781" s="3">
        <v>85233</v>
      </c>
    </row>
    <row r="2782" spans="1:9">
      <c r="A2782" s="3" t="s">
        <v>2807</v>
      </c>
      <c r="B2782" s="3" t="s">
        <v>26</v>
      </c>
      <c r="C2782" s="3">
        <v>1815702</v>
      </c>
      <c r="D2782" s="3">
        <v>495765</v>
      </c>
      <c r="E2782" s="3" t="s">
        <v>27</v>
      </c>
      <c r="F2782" s="3">
        <v>1216209</v>
      </c>
      <c r="G2782" s="3">
        <v>325907</v>
      </c>
      <c r="H2782" s="3">
        <v>599493</v>
      </c>
      <c r="I2782" s="3">
        <v>169858</v>
      </c>
    </row>
    <row r="2783" spans="1:9">
      <c r="A2783" s="3" t="s">
        <v>2808</v>
      </c>
      <c r="B2783" s="3" t="s">
        <v>26</v>
      </c>
      <c r="C2783" s="3">
        <v>1595609</v>
      </c>
      <c r="D2783" s="3">
        <v>383652</v>
      </c>
      <c r="E2783" s="3" t="s">
        <v>27</v>
      </c>
      <c r="F2783" s="3">
        <v>1195891</v>
      </c>
      <c r="G2783" s="3">
        <v>289240</v>
      </c>
      <c r="H2783" s="3">
        <v>399718</v>
      </c>
      <c r="I2783" s="3">
        <v>94412</v>
      </c>
    </row>
    <row r="2784" spans="1:9">
      <c r="A2784" s="3" t="s">
        <v>2809</v>
      </c>
      <c r="B2784" s="3" t="s">
        <v>26</v>
      </c>
      <c r="C2784" s="3">
        <v>1248232</v>
      </c>
      <c r="D2784" s="3">
        <v>206542</v>
      </c>
      <c r="E2784" s="3" t="s">
        <v>27</v>
      </c>
      <c r="F2784" s="3">
        <v>816914</v>
      </c>
      <c r="G2784" s="3">
        <v>144198</v>
      </c>
      <c r="H2784" s="3">
        <v>431318</v>
      </c>
      <c r="I2784" s="3">
        <v>62344</v>
      </c>
    </row>
    <row r="2785" spans="1:9">
      <c r="A2785" s="3" t="s">
        <v>2810</v>
      </c>
      <c r="B2785" s="3" t="s">
        <v>26</v>
      </c>
      <c r="C2785" s="3">
        <v>1777129</v>
      </c>
      <c r="D2785" s="3">
        <v>483599</v>
      </c>
      <c r="E2785" s="3" t="s">
        <v>27</v>
      </c>
      <c r="F2785" s="3">
        <v>1386723</v>
      </c>
      <c r="G2785" s="3">
        <v>353680</v>
      </c>
      <c r="H2785" s="3">
        <v>390406</v>
      </c>
      <c r="I2785" s="3">
        <v>129919</v>
      </c>
    </row>
    <row r="2786" spans="1:9">
      <c r="A2786" s="3" t="s">
        <v>2811</v>
      </c>
      <c r="B2786" s="3" t="s">
        <v>26</v>
      </c>
      <c r="C2786" s="3">
        <v>1454117</v>
      </c>
      <c r="D2786" s="3">
        <v>280865</v>
      </c>
      <c r="E2786" s="3" t="s">
        <v>27</v>
      </c>
      <c r="F2786" s="3">
        <v>1064832</v>
      </c>
      <c r="G2786" s="3">
        <v>211998</v>
      </c>
      <c r="H2786" s="3">
        <v>389285</v>
      </c>
      <c r="I2786" s="3">
        <v>68867</v>
      </c>
    </row>
    <row r="2787" spans="1:9">
      <c r="A2787" s="3" t="s">
        <v>2812</v>
      </c>
      <c r="B2787" s="3" t="s">
        <v>26</v>
      </c>
      <c r="C2787" s="3">
        <v>1009397</v>
      </c>
      <c r="D2787" s="3">
        <v>143084</v>
      </c>
      <c r="E2787" s="3" t="s">
        <v>27</v>
      </c>
      <c r="F2787" s="3">
        <v>608498</v>
      </c>
      <c r="G2787" s="3">
        <v>98400</v>
      </c>
      <c r="H2787" s="3">
        <v>400899</v>
      </c>
      <c r="I2787" s="3">
        <v>44684</v>
      </c>
    </row>
    <row r="2788" spans="1:9">
      <c r="A2788" s="3" t="s">
        <v>2813</v>
      </c>
      <c r="B2788" s="3" t="s">
        <v>26</v>
      </c>
      <c r="C2788" s="3">
        <v>589319</v>
      </c>
      <c r="D2788" s="3">
        <v>4560</v>
      </c>
      <c r="E2788" s="3" t="s">
        <v>27</v>
      </c>
      <c r="F2788" s="3">
        <v>313581</v>
      </c>
      <c r="G2788" s="3">
        <v>3447</v>
      </c>
      <c r="H2788" s="3">
        <v>275738</v>
      </c>
      <c r="I2788" s="3">
        <v>1113</v>
      </c>
    </row>
    <row r="2789" spans="1:9">
      <c r="A2789" s="3" t="s">
        <v>2814</v>
      </c>
      <c r="B2789" s="3" t="s">
        <v>26</v>
      </c>
      <c r="C2789" s="3">
        <v>1614527</v>
      </c>
      <c r="D2789" s="3">
        <v>390732</v>
      </c>
      <c r="E2789" s="3" t="s">
        <v>27</v>
      </c>
      <c r="F2789" s="3">
        <v>1153487</v>
      </c>
      <c r="G2789" s="3">
        <v>260664</v>
      </c>
      <c r="H2789" s="3">
        <v>461040</v>
      </c>
      <c r="I2789" s="3">
        <v>130068</v>
      </c>
    </row>
    <row r="2790" spans="1:9">
      <c r="A2790" s="3" t="s">
        <v>2815</v>
      </c>
      <c r="B2790" s="3" t="s">
        <v>26</v>
      </c>
      <c r="C2790" s="3">
        <v>897094</v>
      </c>
      <c r="D2790" s="3">
        <v>42435</v>
      </c>
      <c r="E2790" s="3" t="s">
        <v>27</v>
      </c>
      <c r="F2790" s="3">
        <v>504236</v>
      </c>
      <c r="G2790" s="3">
        <v>23651</v>
      </c>
      <c r="H2790" s="3">
        <v>392858</v>
      </c>
      <c r="I2790" s="3">
        <v>18784</v>
      </c>
    </row>
    <row r="2791" spans="1:9">
      <c r="A2791" s="3" t="s">
        <v>2816</v>
      </c>
      <c r="B2791" s="3" t="s">
        <v>26</v>
      </c>
      <c r="C2791" s="3">
        <v>937043</v>
      </c>
      <c r="D2791" s="3">
        <v>56583</v>
      </c>
      <c r="E2791" s="3" t="s">
        <v>27</v>
      </c>
      <c r="F2791" s="3">
        <v>534172</v>
      </c>
      <c r="G2791" s="3">
        <v>29867</v>
      </c>
      <c r="H2791" s="3">
        <v>402871</v>
      </c>
      <c r="I2791" s="3">
        <v>26716</v>
      </c>
    </row>
    <row r="2792" spans="1:9">
      <c r="A2792" s="3" t="s">
        <v>2817</v>
      </c>
      <c r="B2792" s="3" t="s">
        <v>26</v>
      </c>
      <c r="C2792" s="3">
        <v>1964100</v>
      </c>
      <c r="D2792" s="3">
        <v>595472</v>
      </c>
      <c r="E2792" s="3" t="s">
        <v>27</v>
      </c>
      <c r="F2792" s="3">
        <v>1338945</v>
      </c>
      <c r="G2792" s="3">
        <v>406704</v>
      </c>
      <c r="H2792" s="3">
        <v>625155</v>
      </c>
      <c r="I2792" s="3">
        <v>188768</v>
      </c>
    </row>
    <row r="2793" spans="1:9">
      <c r="A2793" s="3" t="s">
        <v>2818</v>
      </c>
      <c r="B2793" s="3" t="s">
        <v>26</v>
      </c>
      <c r="C2793" s="3">
        <v>816995</v>
      </c>
      <c r="D2793" s="3">
        <v>171636</v>
      </c>
      <c r="E2793" s="3" t="s">
        <v>27</v>
      </c>
      <c r="F2793" s="3">
        <v>668649</v>
      </c>
      <c r="G2793" s="3">
        <v>129450</v>
      </c>
      <c r="H2793" s="3">
        <v>148346</v>
      </c>
      <c r="I2793" s="3">
        <v>42186</v>
      </c>
    </row>
    <row r="2794" spans="1:9">
      <c r="A2794" s="3" t="s">
        <v>2819</v>
      </c>
      <c r="B2794" s="3" t="s">
        <v>26</v>
      </c>
      <c r="C2794" s="3">
        <v>2119872</v>
      </c>
      <c r="D2794" s="3">
        <v>598713</v>
      </c>
      <c r="E2794" s="3" t="s">
        <v>27</v>
      </c>
      <c r="F2794" s="3">
        <v>1366243</v>
      </c>
      <c r="G2794" s="3">
        <v>383523</v>
      </c>
      <c r="H2794" s="3">
        <v>753629</v>
      </c>
      <c r="I2794" s="3">
        <v>215190</v>
      </c>
    </row>
    <row r="2795" spans="1:9">
      <c r="A2795" s="3" t="s">
        <v>2820</v>
      </c>
      <c r="B2795" s="3" t="s">
        <v>26</v>
      </c>
      <c r="C2795" s="3">
        <v>799616</v>
      </c>
      <c r="D2795" s="3">
        <v>28936</v>
      </c>
      <c r="E2795" s="3" t="s">
        <v>27</v>
      </c>
      <c r="F2795" s="3">
        <v>419006</v>
      </c>
      <c r="G2795" s="3">
        <v>13839</v>
      </c>
      <c r="H2795" s="3">
        <v>380610</v>
      </c>
      <c r="I2795" s="3">
        <v>15097</v>
      </c>
    </row>
    <row r="2796" spans="1:9">
      <c r="A2796" s="3" t="s">
        <v>2821</v>
      </c>
      <c r="B2796" s="3" t="s">
        <v>26</v>
      </c>
      <c r="C2796" s="3">
        <v>981956</v>
      </c>
      <c r="D2796" s="3">
        <v>256156</v>
      </c>
      <c r="E2796" s="3" t="s">
        <v>27</v>
      </c>
      <c r="F2796" s="3">
        <v>772915</v>
      </c>
      <c r="G2796" s="3">
        <v>183165</v>
      </c>
      <c r="H2796" s="3">
        <v>209041</v>
      </c>
      <c r="I2796" s="3">
        <v>72991</v>
      </c>
    </row>
    <row r="2797" spans="1:9">
      <c r="A2797" s="3" t="s">
        <v>2822</v>
      </c>
      <c r="B2797" s="3" t="s">
        <v>26</v>
      </c>
      <c r="C2797" s="3">
        <v>2202248</v>
      </c>
      <c r="D2797" s="3">
        <v>826234</v>
      </c>
      <c r="E2797" s="3" t="s">
        <v>27</v>
      </c>
      <c r="F2797" s="3">
        <v>1796586</v>
      </c>
      <c r="G2797" s="3">
        <v>665187</v>
      </c>
      <c r="H2797" s="3">
        <v>405662</v>
      </c>
      <c r="I2797" s="3">
        <v>161047</v>
      </c>
    </row>
    <row r="2798" spans="1:9">
      <c r="A2798" s="3" t="s">
        <v>2823</v>
      </c>
      <c r="B2798" s="3" t="s">
        <v>26</v>
      </c>
      <c r="C2798" s="3">
        <v>779005</v>
      </c>
      <c r="D2798" s="3">
        <v>29667</v>
      </c>
      <c r="E2798" s="3" t="s">
        <v>27</v>
      </c>
      <c r="F2798" s="3">
        <v>425866</v>
      </c>
      <c r="G2798" s="3">
        <v>17325</v>
      </c>
      <c r="H2798" s="3">
        <v>353139</v>
      </c>
      <c r="I2798" s="3">
        <v>12342</v>
      </c>
    </row>
    <row r="2799" spans="1:9">
      <c r="A2799" s="3" t="s">
        <v>2824</v>
      </c>
      <c r="B2799" s="3" t="s">
        <v>26</v>
      </c>
      <c r="C2799" s="3">
        <v>797392</v>
      </c>
      <c r="D2799" s="3">
        <v>8707</v>
      </c>
      <c r="E2799" s="3" t="s">
        <v>27</v>
      </c>
      <c r="F2799" s="3">
        <v>426754</v>
      </c>
      <c r="G2799" s="3">
        <v>4652</v>
      </c>
      <c r="H2799" s="3">
        <v>370638</v>
      </c>
      <c r="I2799" s="3">
        <v>4055</v>
      </c>
    </row>
    <row r="2800" spans="1:9">
      <c r="A2800" s="3" t="s">
        <v>2825</v>
      </c>
      <c r="B2800" s="3" t="s">
        <v>26</v>
      </c>
      <c r="C2800" s="3">
        <v>2382328</v>
      </c>
      <c r="D2800" s="3">
        <v>849026</v>
      </c>
      <c r="E2800" s="3" t="s">
        <v>27</v>
      </c>
      <c r="F2800" s="3">
        <v>1741404</v>
      </c>
      <c r="G2800" s="3">
        <v>589106</v>
      </c>
      <c r="H2800" s="3">
        <v>640924</v>
      </c>
      <c r="I2800" s="3">
        <v>259920</v>
      </c>
    </row>
    <row r="2801" spans="1:9">
      <c r="A2801" s="3" t="s">
        <v>2826</v>
      </c>
      <c r="B2801" s="3" t="s">
        <v>26</v>
      </c>
      <c r="C2801" s="3">
        <v>1957717</v>
      </c>
      <c r="D2801" s="3">
        <v>461076</v>
      </c>
      <c r="E2801" s="3" t="s">
        <v>27</v>
      </c>
      <c r="F2801" s="3">
        <v>1227321</v>
      </c>
      <c r="G2801" s="3">
        <v>283526</v>
      </c>
      <c r="H2801" s="3">
        <v>730396</v>
      </c>
      <c r="I2801" s="3">
        <v>177550</v>
      </c>
    </row>
    <row r="2802" spans="1:9">
      <c r="A2802" s="3" t="s">
        <v>2827</v>
      </c>
      <c r="B2802" s="3" t="s">
        <v>26</v>
      </c>
      <c r="C2802" s="3">
        <v>1012662</v>
      </c>
      <c r="D2802" s="3">
        <v>272158</v>
      </c>
      <c r="E2802" s="3" t="s">
        <v>27</v>
      </c>
      <c r="F2802" s="3">
        <v>798797</v>
      </c>
      <c r="G2802" s="3">
        <v>200955</v>
      </c>
      <c r="H2802" s="3">
        <v>213865</v>
      </c>
      <c r="I2802" s="3">
        <v>71203</v>
      </c>
    </row>
    <row r="2803" spans="1:9">
      <c r="A2803" s="3" t="s">
        <v>2828</v>
      </c>
      <c r="B2803" s="3" t="s">
        <v>26</v>
      </c>
      <c r="C2803" s="3">
        <v>1495472</v>
      </c>
      <c r="D2803" s="3">
        <v>384841</v>
      </c>
      <c r="E2803" s="3" t="s">
        <v>27</v>
      </c>
      <c r="F2803" s="3">
        <v>1095540</v>
      </c>
      <c r="G2803" s="3">
        <v>295115</v>
      </c>
      <c r="H2803" s="3">
        <v>399932</v>
      </c>
      <c r="I2803" s="3">
        <v>89726</v>
      </c>
    </row>
    <row r="2804" spans="1:9">
      <c r="A2804" s="3" t="s">
        <v>2829</v>
      </c>
      <c r="B2804" s="3" t="s">
        <v>26</v>
      </c>
      <c r="C2804" s="3">
        <v>1653534</v>
      </c>
      <c r="D2804" s="3">
        <v>541520</v>
      </c>
      <c r="E2804" s="3" t="s">
        <v>27</v>
      </c>
      <c r="F2804" s="3">
        <v>1376620</v>
      </c>
      <c r="G2804" s="3">
        <v>440789</v>
      </c>
      <c r="H2804" s="3">
        <v>276914</v>
      </c>
      <c r="I2804" s="3">
        <v>100731</v>
      </c>
    </row>
    <row r="2805" spans="1:9">
      <c r="A2805" s="3" t="s">
        <v>2830</v>
      </c>
      <c r="B2805" s="3" t="s">
        <v>26</v>
      </c>
      <c r="C2805" s="3">
        <v>964144</v>
      </c>
      <c r="D2805" s="3">
        <v>5421</v>
      </c>
      <c r="E2805" s="3" t="s">
        <v>27</v>
      </c>
      <c r="F2805" s="3">
        <v>360722</v>
      </c>
      <c r="G2805" s="3">
        <v>1642</v>
      </c>
      <c r="H2805" s="3">
        <v>603422</v>
      </c>
      <c r="I2805" s="3">
        <v>3779</v>
      </c>
    </row>
    <row r="2806" spans="1:9">
      <c r="A2806" s="3" t="s">
        <v>2831</v>
      </c>
      <c r="B2806" s="3" t="s">
        <v>26</v>
      </c>
      <c r="C2806" s="3">
        <v>1083384</v>
      </c>
      <c r="D2806" s="3">
        <v>65775</v>
      </c>
      <c r="E2806" s="3" t="s">
        <v>27</v>
      </c>
      <c r="F2806" s="3">
        <v>539509</v>
      </c>
      <c r="G2806" s="3">
        <v>30531</v>
      </c>
      <c r="H2806" s="3">
        <v>543875</v>
      </c>
      <c r="I2806" s="3">
        <v>35244</v>
      </c>
    </row>
    <row r="2807" spans="1:9">
      <c r="A2807" s="3" t="s">
        <v>2832</v>
      </c>
      <c r="B2807" s="3" t="s">
        <v>26</v>
      </c>
      <c r="C2807" s="3">
        <v>2028310</v>
      </c>
      <c r="D2807" s="3">
        <v>717270</v>
      </c>
      <c r="E2807" s="3" t="s">
        <v>27</v>
      </c>
      <c r="F2807" s="3">
        <v>1490289</v>
      </c>
      <c r="G2807" s="3">
        <v>518847</v>
      </c>
      <c r="H2807" s="3">
        <v>538021</v>
      </c>
      <c r="I2807" s="3">
        <v>198423</v>
      </c>
    </row>
    <row r="2808" spans="1:9">
      <c r="A2808" s="3" t="s">
        <v>2833</v>
      </c>
      <c r="B2808" s="3" t="s">
        <v>26</v>
      </c>
      <c r="C2808" s="3">
        <v>1509400</v>
      </c>
      <c r="D2808" s="3">
        <v>328206</v>
      </c>
      <c r="E2808" s="3" t="s">
        <v>27</v>
      </c>
      <c r="F2808" s="3">
        <v>993815</v>
      </c>
      <c r="G2808" s="3">
        <v>231357</v>
      </c>
      <c r="H2808" s="3">
        <v>515585</v>
      </c>
      <c r="I2808" s="3">
        <v>96849</v>
      </c>
    </row>
    <row r="2809" spans="1:9">
      <c r="A2809" s="3" t="s">
        <v>2834</v>
      </c>
      <c r="B2809" s="3" t="s">
        <v>26</v>
      </c>
      <c r="C2809" s="3">
        <v>1918572</v>
      </c>
      <c r="D2809" s="3">
        <v>488417</v>
      </c>
      <c r="E2809" s="3" t="s">
        <v>27</v>
      </c>
      <c r="F2809" s="3">
        <v>1536493</v>
      </c>
      <c r="G2809" s="3">
        <v>383632</v>
      </c>
      <c r="H2809" s="3">
        <v>382079</v>
      </c>
      <c r="I2809" s="3">
        <v>104785</v>
      </c>
    </row>
    <row r="2810" spans="1:9">
      <c r="A2810" s="3" t="s">
        <v>2835</v>
      </c>
      <c r="B2810" s="3" t="s">
        <v>26</v>
      </c>
      <c r="C2810" s="3">
        <v>679424</v>
      </c>
      <c r="D2810" s="3">
        <v>3777</v>
      </c>
      <c r="E2810" s="3" t="s">
        <v>27</v>
      </c>
      <c r="F2810" s="3">
        <v>342335</v>
      </c>
      <c r="G2810" s="3">
        <v>651</v>
      </c>
      <c r="H2810" s="3">
        <v>337089</v>
      </c>
      <c r="I2810" s="3">
        <v>3126</v>
      </c>
    </row>
    <row r="2811" spans="1:9">
      <c r="A2811" s="3" t="s">
        <v>2836</v>
      </c>
      <c r="B2811" s="3" t="s">
        <v>26</v>
      </c>
      <c r="C2811" s="3">
        <v>1863848</v>
      </c>
      <c r="D2811" s="3">
        <v>608632</v>
      </c>
      <c r="E2811" s="3" t="s">
        <v>27</v>
      </c>
      <c r="F2811" s="3">
        <v>1451054</v>
      </c>
      <c r="G2811" s="3">
        <v>455276</v>
      </c>
      <c r="H2811" s="3">
        <v>412794</v>
      </c>
      <c r="I2811" s="3">
        <v>153356</v>
      </c>
    </row>
    <row r="2812" spans="1:9">
      <c r="A2812" s="3" t="s">
        <v>2837</v>
      </c>
      <c r="B2812" s="3" t="s">
        <v>26</v>
      </c>
      <c r="C2812" s="3">
        <v>2088968</v>
      </c>
      <c r="D2812" s="3">
        <v>591105</v>
      </c>
      <c r="E2812" s="3" t="s">
        <v>27</v>
      </c>
      <c r="F2812" s="3">
        <v>1383980</v>
      </c>
      <c r="G2812" s="3">
        <v>388146</v>
      </c>
      <c r="H2812" s="3">
        <v>704988</v>
      </c>
      <c r="I2812" s="3">
        <v>202959</v>
      </c>
    </row>
    <row r="2813" spans="1:9">
      <c r="A2813" s="3" t="s">
        <v>2838</v>
      </c>
      <c r="B2813" s="3" t="s">
        <v>26</v>
      </c>
      <c r="C2813" s="3">
        <v>1907204</v>
      </c>
      <c r="D2813" s="3">
        <v>621033</v>
      </c>
      <c r="E2813" s="3" t="s">
        <v>27</v>
      </c>
      <c r="F2813" s="3">
        <v>1442589</v>
      </c>
      <c r="G2813" s="3">
        <v>435270</v>
      </c>
      <c r="H2813" s="3">
        <v>464615</v>
      </c>
      <c r="I2813" s="3">
        <v>185763</v>
      </c>
    </row>
    <row r="2814" spans="1:9">
      <c r="A2814" s="3" t="s">
        <v>2839</v>
      </c>
      <c r="B2814" s="3" t="s">
        <v>26</v>
      </c>
      <c r="C2814" s="3">
        <v>895208</v>
      </c>
      <c r="D2814" s="3">
        <v>75180</v>
      </c>
      <c r="E2814" s="3" t="s">
        <v>27</v>
      </c>
      <c r="F2814" s="3">
        <v>448581</v>
      </c>
      <c r="G2814" s="3">
        <v>40790</v>
      </c>
      <c r="H2814" s="3">
        <v>446627</v>
      </c>
      <c r="I2814" s="3">
        <v>34390</v>
      </c>
    </row>
    <row r="2815" spans="1:9">
      <c r="A2815" s="3" t="s">
        <v>2840</v>
      </c>
      <c r="B2815" s="3" t="s">
        <v>26</v>
      </c>
      <c r="C2815" s="3">
        <v>2334</v>
      </c>
      <c r="D2815" s="3">
        <v>792</v>
      </c>
      <c r="E2815" s="3" t="s">
        <v>27</v>
      </c>
      <c r="F2815" s="3">
        <v>2054</v>
      </c>
      <c r="G2815" s="3">
        <v>624</v>
      </c>
      <c r="H2815" s="3">
        <v>280</v>
      </c>
      <c r="I2815" s="3">
        <v>168</v>
      </c>
    </row>
    <row r="2816" spans="1:9">
      <c r="A2816" s="3" t="s">
        <v>2841</v>
      </c>
      <c r="B2816" s="3" t="s">
        <v>26</v>
      </c>
      <c r="C2816" s="3">
        <v>2881911</v>
      </c>
      <c r="D2816" s="3">
        <v>678282</v>
      </c>
      <c r="E2816" s="3" t="s">
        <v>27</v>
      </c>
      <c r="F2816" s="3">
        <v>2160693</v>
      </c>
      <c r="G2816" s="3">
        <v>449451</v>
      </c>
      <c r="H2816" s="3">
        <v>721218</v>
      </c>
      <c r="I2816" s="3">
        <v>228831</v>
      </c>
    </row>
    <row r="2817" spans="1:9">
      <c r="A2817" s="3" t="s">
        <v>2842</v>
      </c>
      <c r="B2817" s="3" t="s">
        <v>26</v>
      </c>
      <c r="C2817" s="3">
        <v>1927711</v>
      </c>
      <c r="D2817" s="3">
        <v>491772</v>
      </c>
      <c r="E2817" s="3" t="s">
        <v>27</v>
      </c>
      <c r="F2817" s="3">
        <v>1198444</v>
      </c>
      <c r="G2817" s="3">
        <v>311180</v>
      </c>
      <c r="H2817" s="3">
        <v>729267</v>
      </c>
      <c r="I2817" s="3">
        <v>180592</v>
      </c>
    </row>
    <row r="2818" spans="1:9">
      <c r="A2818" s="3" t="s">
        <v>2843</v>
      </c>
      <c r="B2818" s="3" t="s">
        <v>26</v>
      </c>
      <c r="C2818" s="3">
        <v>1976812</v>
      </c>
      <c r="D2818" s="3">
        <v>506207</v>
      </c>
      <c r="E2818" s="3" t="s">
        <v>27</v>
      </c>
      <c r="F2818" s="3">
        <v>1447054</v>
      </c>
      <c r="G2818" s="3">
        <v>345883</v>
      </c>
      <c r="H2818" s="3">
        <v>529758</v>
      </c>
      <c r="I2818" s="3">
        <v>160324</v>
      </c>
    </row>
    <row r="2819" spans="1:9">
      <c r="A2819" s="3" t="s">
        <v>2844</v>
      </c>
      <c r="B2819" s="3" t="s">
        <v>26</v>
      </c>
      <c r="C2819" s="3">
        <v>1434126</v>
      </c>
      <c r="D2819" s="3">
        <v>272742</v>
      </c>
      <c r="E2819" s="3" t="s">
        <v>27</v>
      </c>
      <c r="F2819" s="3">
        <v>1109823</v>
      </c>
      <c r="G2819" s="3">
        <v>210652</v>
      </c>
      <c r="H2819" s="3">
        <v>324303</v>
      </c>
      <c r="I2819" s="3">
        <v>62090</v>
      </c>
    </row>
    <row r="2820" spans="1:9">
      <c r="A2820" s="3" t="s">
        <v>2845</v>
      </c>
      <c r="B2820" s="3" t="s">
        <v>26</v>
      </c>
      <c r="C2820" s="3">
        <v>1019035</v>
      </c>
      <c r="D2820" s="3">
        <v>151630</v>
      </c>
      <c r="E2820" s="3" t="s">
        <v>27</v>
      </c>
      <c r="F2820" s="3">
        <v>886192</v>
      </c>
      <c r="G2820" s="3">
        <v>115319</v>
      </c>
      <c r="H2820" s="3">
        <v>132843</v>
      </c>
      <c r="I2820" s="3">
        <v>36311</v>
      </c>
    </row>
    <row r="2821" spans="1:9">
      <c r="A2821" s="3" t="s">
        <v>2846</v>
      </c>
      <c r="B2821" s="3" t="s">
        <v>26</v>
      </c>
      <c r="C2821" s="3">
        <v>958307</v>
      </c>
      <c r="D2821" s="3">
        <v>30493</v>
      </c>
      <c r="E2821" s="3" t="s">
        <v>27</v>
      </c>
      <c r="F2821" s="3">
        <v>523697</v>
      </c>
      <c r="G2821" s="3">
        <v>19780</v>
      </c>
      <c r="H2821" s="3">
        <v>434610</v>
      </c>
      <c r="I2821" s="3">
        <v>10713</v>
      </c>
    </row>
    <row r="2822" spans="1:9">
      <c r="A2822" s="3" t="s">
        <v>2847</v>
      </c>
      <c r="B2822" s="3" t="s">
        <v>26</v>
      </c>
      <c r="C2822" s="3">
        <v>2004497</v>
      </c>
      <c r="D2822" s="3">
        <v>562157</v>
      </c>
      <c r="E2822" s="3" t="s">
        <v>27</v>
      </c>
      <c r="F2822" s="3">
        <v>1359265</v>
      </c>
      <c r="G2822" s="3">
        <v>378033</v>
      </c>
      <c r="H2822" s="3">
        <v>645232</v>
      </c>
      <c r="I2822" s="3">
        <v>184124</v>
      </c>
    </row>
    <row r="2823" spans="1:9">
      <c r="A2823" s="3" t="s">
        <v>2848</v>
      </c>
      <c r="B2823" s="3" t="s">
        <v>26</v>
      </c>
      <c r="C2823" s="3">
        <v>1288713</v>
      </c>
      <c r="D2823" s="3">
        <v>52847</v>
      </c>
      <c r="E2823" s="3" t="s">
        <v>27</v>
      </c>
      <c r="F2823" s="3">
        <v>710176</v>
      </c>
      <c r="G2823" s="3">
        <v>30131</v>
      </c>
      <c r="H2823" s="3">
        <v>578537</v>
      </c>
      <c r="I2823" s="3">
        <v>22716</v>
      </c>
    </row>
    <row r="2824" spans="1:9">
      <c r="A2824" s="3" t="s">
        <v>2849</v>
      </c>
      <c r="B2824" s="3" t="s">
        <v>26</v>
      </c>
      <c r="C2824" s="3">
        <v>1323731</v>
      </c>
      <c r="D2824" s="3">
        <v>44762</v>
      </c>
      <c r="E2824" s="3" t="s">
        <v>27</v>
      </c>
      <c r="F2824" s="3">
        <v>709452</v>
      </c>
      <c r="G2824" s="3">
        <v>22489</v>
      </c>
      <c r="H2824" s="3">
        <v>614279</v>
      </c>
      <c r="I2824" s="3">
        <v>22273</v>
      </c>
    </row>
    <row r="2825" spans="1:9">
      <c r="A2825" s="3" t="s">
        <v>2850</v>
      </c>
      <c r="B2825" s="3" t="s">
        <v>26</v>
      </c>
      <c r="C2825" s="3">
        <v>1333567</v>
      </c>
      <c r="D2825" s="3">
        <v>108035</v>
      </c>
      <c r="E2825" s="3" t="s">
        <v>27</v>
      </c>
      <c r="F2825" s="3">
        <v>788588</v>
      </c>
      <c r="G2825" s="3">
        <v>68135</v>
      </c>
      <c r="H2825" s="3">
        <v>544979</v>
      </c>
      <c r="I2825" s="3">
        <v>39900</v>
      </c>
    </row>
    <row r="2826" spans="1:9">
      <c r="A2826" s="3" t="s">
        <v>2851</v>
      </c>
      <c r="B2826" s="3" t="s">
        <v>26</v>
      </c>
      <c r="C2826" s="3">
        <v>1595997</v>
      </c>
      <c r="D2826" s="3">
        <v>331397</v>
      </c>
      <c r="E2826" s="3" t="s">
        <v>27</v>
      </c>
      <c r="F2826" s="3">
        <v>1291718</v>
      </c>
      <c r="G2826" s="3">
        <v>288472</v>
      </c>
      <c r="H2826" s="3">
        <v>304279</v>
      </c>
      <c r="I2826" s="3">
        <v>42925</v>
      </c>
    </row>
    <row r="2827" spans="1:9">
      <c r="A2827" s="3" t="s">
        <v>2852</v>
      </c>
      <c r="B2827" s="3" t="s">
        <v>26</v>
      </c>
      <c r="C2827" s="3">
        <v>2070246</v>
      </c>
      <c r="D2827" s="3">
        <v>400739</v>
      </c>
      <c r="E2827" s="3" t="s">
        <v>27</v>
      </c>
      <c r="F2827" s="3">
        <v>1430027</v>
      </c>
      <c r="G2827" s="3">
        <v>294765</v>
      </c>
      <c r="H2827" s="3">
        <v>640219</v>
      </c>
      <c r="I2827" s="3">
        <v>105974</v>
      </c>
    </row>
    <row r="2828" spans="1:9">
      <c r="A2828" s="3" t="s">
        <v>2853</v>
      </c>
      <c r="B2828" s="3" t="s">
        <v>26</v>
      </c>
      <c r="C2828" s="3">
        <v>2133073</v>
      </c>
      <c r="D2828" s="3">
        <v>537042</v>
      </c>
      <c r="E2828" s="3" t="s">
        <v>27</v>
      </c>
      <c r="F2828" s="3">
        <v>1489959</v>
      </c>
      <c r="G2828" s="3">
        <v>374811</v>
      </c>
      <c r="H2828" s="3">
        <v>643114</v>
      </c>
      <c r="I2828" s="3">
        <v>162231</v>
      </c>
    </row>
    <row r="2829" spans="1:9">
      <c r="A2829" s="3" t="s">
        <v>2854</v>
      </c>
      <c r="B2829" s="3" t="s">
        <v>26</v>
      </c>
      <c r="C2829" s="3">
        <v>944034</v>
      </c>
      <c r="D2829" s="3">
        <v>65245</v>
      </c>
      <c r="E2829" s="3" t="s">
        <v>27</v>
      </c>
      <c r="F2829" s="3">
        <v>693693</v>
      </c>
      <c r="G2829" s="3">
        <v>47410</v>
      </c>
      <c r="H2829" s="3">
        <v>250341</v>
      </c>
      <c r="I2829" s="3">
        <v>17835</v>
      </c>
    </row>
    <row r="2830" spans="1:9">
      <c r="A2830" s="3" t="s">
        <v>2855</v>
      </c>
      <c r="B2830" s="3" t="s">
        <v>26</v>
      </c>
      <c r="C2830" s="3">
        <v>2157866</v>
      </c>
      <c r="D2830" s="3">
        <v>476553</v>
      </c>
      <c r="E2830" s="3" t="s">
        <v>27</v>
      </c>
      <c r="F2830" s="3">
        <v>1343021</v>
      </c>
      <c r="G2830" s="3">
        <v>301229</v>
      </c>
      <c r="H2830" s="3">
        <v>814845</v>
      </c>
      <c r="I2830" s="3">
        <v>175324</v>
      </c>
    </row>
    <row r="2831" spans="1:9">
      <c r="A2831" s="3" t="s">
        <v>2856</v>
      </c>
      <c r="B2831" s="3" t="s">
        <v>26</v>
      </c>
      <c r="C2831" s="3">
        <v>1808161</v>
      </c>
      <c r="D2831" s="3">
        <v>414289</v>
      </c>
      <c r="E2831" s="3" t="s">
        <v>27</v>
      </c>
      <c r="F2831" s="3">
        <v>1338568</v>
      </c>
      <c r="G2831" s="3">
        <v>299032</v>
      </c>
      <c r="H2831" s="3">
        <v>469593</v>
      </c>
      <c r="I2831" s="3">
        <v>115257</v>
      </c>
    </row>
    <row r="2832" spans="1:9">
      <c r="A2832" s="3" t="s">
        <v>2857</v>
      </c>
      <c r="B2832" s="3" t="s">
        <v>26</v>
      </c>
      <c r="C2832" s="3">
        <v>2085744</v>
      </c>
      <c r="D2832" s="3">
        <v>417612</v>
      </c>
      <c r="E2832" s="3" t="s">
        <v>27</v>
      </c>
      <c r="F2832" s="3">
        <v>1280598</v>
      </c>
      <c r="G2832" s="3">
        <v>276918</v>
      </c>
      <c r="H2832" s="3">
        <v>805146</v>
      </c>
      <c r="I2832" s="3">
        <v>140694</v>
      </c>
    </row>
    <row r="2833" spans="1:9">
      <c r="A2833" s="3" t="s">
        <v>2858</v>
      </c>
      <c r="B2833" s="3" t="s">
        <v>26</v>
      </c>
      <c r="C2833" s="3">
        <v>1477941</v>
      </c>
      <c r="D2833" s="3">
        <v>348929</v>
      </c>
      <c r="E2833" s="3" t="s">
        <v>27</v>
      </c>
      <c r="F2833" s="3">
        <v>1055553</v>
      </c>
      <c r="G2833" s="3">
        <v>235472</v>
      </c>
      <c r="H2833" s="3">
        <v>422388</v>
      </c>
      <c r="I2833" s="3">
        <v>113457</v>
      </c>
    </row>
    <row r="2834" spans="1:9">
      <c r="A2834" s="3" t="s">
        <v>2859</v>
      </c>
      <c r="B2834" s="3" t="s">
        <v>26</v>
      </c>
      <c r="C2834" s="3">
        <v>1496997</v>
      </c>
      <c r="D2834" s="3">
        <v>248114</v>
      </c>
      <c r="E2834" s="3" t="s">
        <v>27</v>
      </c>
      <c r="F2834" s="3">
        <v>978063</v>
      </c>
      <c r="G2834" s="3">
        <v>153062</v>
      </c>
      <c r="H2834" s="3">
        <v>518934</v>
      </c>
      <c r="I2834" s="3">
        <v>95052</v>
      </c>
    </row>
    <row r="2835" spans="1:9">
      <c r="A2835" s="3" t="s">
        <v>2860</v>
      </c>
      <c r="B2835" s="3" t="s">
        <v>26</v>
      </c>
      <c r="C2835" s="3">
        <v>1741505</v>
      </c>
      <c r="D2835" s="3">
        <v>453631</v>
      </c>
      <c r="E2835" s="3" t="s">
        <v>27</v>
      </c>
      <c r="F2835" s="3">
        <v>1453544</v>
      </c>
      <c r="G2835" s="3">
        <v>365442</v>
      </c>
      <c r="H2835" s="3">
        <v>287961</v>
      </c>
      <c r="I2835" s="3">
        <v>88189</v>
      </c>
    </row>
    <row r="2836" spans="1:9">
      <c r="A2836" s="3" t="s">
        <v>2861</v>
      </c>
      <c r="B2836" s="3" t="s">
        <v>26</v>
      </c>
      <c r="C2836" s="3">
        <v>3035063</v>
      </c>
      <c r="D2836" s="3">
        <v>1048383</v>
      </c>
      <c r="E2836" s="3" t="s">
        <v>27</v>
      </c>
      <c r="F2836" s="3">
        <v>2049027</v>
      </c>
      <c r="G2836" s="3">
        <v>692356</v>
      </c>
      <c r="H2836" s="3">
        <v>986036</v>
      </c>
      <c r="I2836" s="3">
        <v>356027</v>
      </c>
    </row>
    <row r="2837" spans="1:9">
      <c r="A2837" s="3" t="s">
        <v>2862</v>
      </c>
      <c r="B2837" s="3" t="s">
        <v>26</v>
      </c>
      <c r="C2837" s="3">
        <v>263501</v>
      </c>
      <c r="D2837" s="3">
        <v>7160</v>
      </c>
      <c r="E2837" s="3" t="s">
        <v>27</v>
      </c>
      <c r="F2837" s="3">
        <v>151392</v>
      </c>
      <c r="G2837" s="3">
        <v>4453</v>
      </c>
      <c r="H2837" s="3">
        <v>112109</v>
      </c>
      <c r="I2837" s="3">
        <v>2707</v>
      </c>
    </row>
    <row r="2838" spans="1:9">
      <c r="A2838" s="3" t="s">
        <v>2863</v>
      </c>
      <c r="B2838" s="3" t="s">
        <v>26</v>
      </c>
      <c r="C2838" s="3">
        <v>1999702</v>
      </c>
      <c r="D2838" s="3">
        <v>334362</v>
      </c>
      <c r="E2838" s="3" t="s">
        <v>27</v>
      </c>
      <c r="F2838" s="3">
        <v>1328987</v>
      </c>
      <c r="G2838" s="3">
        <v>263476</v>
      </c>
      <c r="H2838" s="3">
        <v>670715</v>
      </c>
      <c r="I2838" s="3">
        <v>70886</v>
      </c>
    </row>
    <row r="2839" spans="1:9">
      <c r="A2839" s="3" t="s">
        <v>2864</v>
      </c>
      <c r="B2839" s="3" t="s">
        <v>26</v>
      </c>
      <c r="C2839" s="3">
        <v>1837813</v>
      </c>
      <c r="D2839" s="3">
        <v>458939</v>
      </c>
      <c r="E2839" s="3" t="s">
        <v>27</v>
      </c>
      <c r="F2839" s="3">
        <v>1300361</v>
      </c>
      <c r="G2839" s="3">
        <v>320966</v>
      </c>
      <c r="H2839" s="3">
        <v>537452</v>
      </c>
      <c r="I2839" s="3">
        <v>137973</v>
      </c>
    </row>
    <row r="2840" spans="1:9">
      <c r="A2840" s="3" t="s">
        <v>2865</v>
      </c>
      <c r="B2840" s="3" t="s">
        <v>26</v>
      </c>
      <c r="C2840" s="3">
        <v>2311120</v>
      </c>
      <c r="D2840" s="3">
        <v>549916</v>
      </c>
      <c r="E2840" s="3" t="s">
        <v>27</v>
      </c>
      <c r="F2840" s="3">
        <v>1577504</v>
      </c>
      <c r="G2840" s="3">
        <v>370461</v>
      </c>
      <c r="H2840" s="3">
        <v>733616</v>
      </c>
      <c r="I2840" s="3">
        <v>179455</v>
      </c>
    </row>
    <row r="2841" spans="1:9">
      <c r="A2841" s="3" t="s">
        <v>2866</v>
      </c>
      <c r="B2841" s="3" t="s">
        <v>26</v>
      </c>
      <c r="C2841" s="3">
        <v>2110887</v>
      </c>
      <c r="D2841" s="3">
        <v>526147</v>
      </c>
      <c r="E2841" s="3" t="s">
        <v>27</v>
      </c>
      <c r="F2841" s="3">
        <v>1583130</v>
      </c>
      <c r="G2841" s="3">
        <v>382228</v>
      </c>
      <c r="H2841" s="3">
        <v>527757</v>
      </c>
      <c r="I2841" s="3">
        <v>143919</v>
      </c>
    </row>
    <row r="2842" spans="1:9">
      <c r="A2842" s="3" t="s">
        <v>2867</v>
      </c>
      <c r="B2842" s="3" t="s">
        <v>26</v>
      </c>
      <c r="C2842" s="3">
        <v>2031898</v>
      </c>
      <c r="D2842" s="3">
        <v>494667</v>
      </c>
      <c r="E2842" s="3" t="s">
        <v>27</v>
      </c>
      <c r="F2842" s="3">
        <v>1489593</v>
      </c>
      <c r="G2842" s="3">
        <v>363481</v>
      </c>
      <c r="H2842" s="3">
        <v>542305</v>
      </c>
      <c r="I2842" s="3">
        <v>131186</v>
      </c>
    </row>
    <row r="2843" spans="1:9">
      <c r="A2843" s="3" t="s">
        <v>2868</v>
      </c>
      <c r="B2843" s="3" t="s">
        <v>26</v>
      </c>
      <c r="C2843" s="3">
        <v>1658147</v>
      </c>
      <c r="D2843" s="3">
        <v>282937</v>
      </c>
      <c r="E2843" s="3" t="s">
        <v>27</v>
      </c>
      <c r="F2843" s="3">
        <v>1195754</v>
      </c>
      <c r="G2843" s="3">
        <v>215762</v>
      </c>
      <c r="H2843" s="3">
        <v>462393</v>
      </c>
      <c r="I2843" s="3">
        <v>67175</v>
      </c>
    </row>
    <row r="2844" spans="1:9">
      <c r="A2844" s="3" t="s">
        <v>2869</v>
      </c>
      <c r="B2844" s="3" t="s">
        <v>26</v>
      </c>
      <c r="C2844" s="3">
        <v>733459</v>
      </c>
      <c r="D2844" s="3">
        <v>22666</v>
      </c>
      <c r="E2844" s="3" t="s">
        <v>27</v>
      </c>
      <c r="F2844" s="3">
        <v>357994</v>
      </c>
      <c r="G2844" s="3">
        <v>12311</v>
      </c>
      <c r="H2844" s="3">
        <v>375465</v>
      </c>
      <c r="I2844" s="3">
        <v>10355</v>
      </c>
    </row>
    <row r="2845" spans="1:9">
      <c r="A2845" s="3" t="s">
        <v>2870</v>
      </c>
      <c r="B2845" s="3" t="s">
        <v>26</v>
      </c>
      <c r="C2845" s="3">
        <v>1657357</v>
      </c>
      <c r="D2845" s="3">
        <v>155982</v>
      </c>
      <c r="E2845" s="3" t="s">
        <v>27</v>
      </c>
      <c r="F2845" s="3">
        <v>984677</v>
      </c>
      <c r="G2845" s="3">
        <v>98950</v>
      </c>
      <c r="H2845" s="3">
        <v>672680</v>
      </c>
      <c r="I2845" s="3">
        <v>57032</v>
      </c>
    </row>
    <row r="2846" spans="1:9">
      <c r="A2846" s="3" t="s">
        <v>2871</v>
      </c>
      <c r="B2846" s="3" t="s">
        <v>26</v>
      </c>
      <c r="C2846" s="3">
        <v>1434592</v>
      </c>
      <c r="D2846" s="3">
        <v>209548</v>
      </c>
      <c r="E2846" s="3" t="s">
        <v>27</v>
      </c>
      <c r="F2846" s="3">
        <v>1028242</v>
      </c>
      <c r="G2846" s="3">
        <v>165945</v>
      </c>
      <c r="H2846" s="3">
        <v>406350</v>
      </c>
      <c r="I2846" s="3">
        <v>43603</v>
      </c>
    </row>
    <row r="2847" spans="1:9">
      <c r="A2847" s="3" t="s">
        <v>2872</v>
      </c>
      <c r="B2847" s="3" t="s">
        <v>26</v>
      </c>
      <c r="C2847" s="3">
        <v>2660504</v>
      </c>
      <c r="D2847" s="3">
        <v>838853</v>
      </c>
      <c r="E2847" s="3" t="s">
        <v>27</v>
      </c>
      <c r="F2847" s="3">
        <v>2057140</v>
      </c>
      <c r="G2847" s="3">
        <v>616320</v>
      </c>
      <c r="H2847" s="3">
        <v>603364</v>
      </c>
      <c r="I2847" s="3">
        <v>222533</v>
      </c>
    </row>
    <row r="2848" spans="1:9">
      <c r="A2848" s="3" t="s">
        <v>2873</v>
      </c>
      <c r="B2848" s="3" t="s">
        <v>26</v>
      </c>
      <c r="C2848" s="3">
        <v>899541</v>
      </c>
      <c r="D2848" s="3">
        <v>111483</v>
      </c>
      <c r="E2848" s="3" t="s">
        <v>27</v>
      </c>
      <c r="F2848" s="3">
        <v>705797</v>
      </c>
      <c r="G2848" s="3">
        <v>75503</v>
      </c>
      <c r="H2848" s="3">
        <v>193744</v>
      </c>
      <c r="I2848" s="3">
        <v>35980</v>
      </c>
    </row>
    <row r="2849" spans="1:9">
      <c r="A2849" s="3" t="s">
        <v>2874</v>
      </c>
      <c r="B2849" s="3" t="s">
        <v>26</v>
      </c>
      <c r="C2849" s="3">
        <v>1236410</v>
      </c>
      <c r="D2849" s="3">
        <v>66764</v>
      </c>
      <c r="E2849" s="3" t="s">
        <v>27</v>
      </c>
      <c r="F2849" s="3">
        <v>670015</v>
      </c>
      <c r="G2849" s="3">
        <v>34825</v>
      </c>
      <c r="H2849" s="3">
        <v>566395</v>
      </c>
      <c r="I2849" s="3">
        <v>31939</v>
      </c>
    </row>
    <row r="2850" spans="1:9">
      <c r="A2850" s="3" t="s">
        <v>2875</v>
      </c>
      <c r="B2850" s="3" t="s">
        <v>26</v>
      </c>
      <c r="C2850" s="3">
        <v>1161223</v>
      </c>
      <c r="D2850" s="3">
        <v>288</v>
      </c>
      <c r="E2850" s="3" t="s">
        <v>27</v>
      </c>
      <c r="F2850" s="3">
        <v>403463</v>
      </c>
      <c r="G2850" s="3">
        <v>81</v>
      </c>
      <c r="H2850" s="3">
        <v>757760</v>
      </c>
      <c r="I2850" s="3">
        <v>207</v>
      </c>
    </row>
    <row r="2851" spans="1:9">
      <c r="A2851" s="3" t="s">
        <v>2876</v>
      </c>
      <c r="B2851" s="3" t="s">
        <v>26</v>
      </c>
      <c r="C2851" s="3">
        <v>2667141</v>
      </c>
      <c r="D2851" s="3">
        <v>909489</v>
      </c>
      <c r="E2851" s="3" t="s">
        <v>27</v>
      </c>
      <c r="F2851" s="3">
        <v>2045399</v>
      </c>
      <c r="G2851" s="3">
        <v>670831</v>
      </c>
      <c r="H2851" s="3">
        <v>621742</v>
      </c>
      <c r="I2851" s="3">
        <v>238658</v>
      </c>
    </row>
    <row r="2852" spans="1:9">
      <c r="A2852" s="3" t="s">
        <v>2877</v>
      </c>
      <c r="B2852" s="3" t="s">
        <v>26</v>
      </c>
      <c r="C2852" s="3">
        <v>1370729</v>
      </c>
      <c r="D2852" s="3">
        <v>31526</v>
      </c>
      <c r="E2852" s="3" t="s">
        <v>27</v>
      </c>
      <c r="F2852" s="3">
        <v>781033</v>
      </c>
      <c r="G2852" s="3">
        <v>20146</v>
      </c>
      <c r="H2852" s="3">
        <v>589696</v>
      </c>
      <c r="I2852" s="3">
        <v>11380</v>
      </c>
    </row>
    <row r="2853" spans="1:9">
      <c r="A2853" s="3" t="s">
        <v>2878</v>
      </c>
      <c r="B2853" s="3" t="s">
        <v>26</v>
      </c>
      <c r="C2853" s="3">
        <v>2731312</v>
      </c>
      <c r="D2853" s="3">
        <v>944973</v>
      </c>
      <c r="E2853" s="3" t="s">
        <v>27</v>
      </c>
      <c r="F2853" s="3">
        <v>1874781</v>
      </c>
      <c r="G2853" s="3">
        <v>623392</v>
      </c>
      <c r="H2853" s="3">
        <v>856531</v>
      </c>
      <c r="I2853" s="3">
        <v>321581</v>
      </c>
    </row>
    <row r="2854" spans="1:9">
      <c r="A2854" s="3" t="s">
        <v>2879</v>
      </c>
      <c r="B2854" s="3" t="s">
        <v>26</v>
      </c>
      <c r="C2854" s="3">
        <v>1490454</v>
      </c>
      <c r="D2854" s="3">
        <v>86496</v>
      </c>
      <c r="E2854" s="3" t="s">
        <v>27</v>
      </c>
      <c r="F2854" s="3">
        <v>924128</v>
      </c>
      <c r="G2854" s="3">
        <v>47685</v>
      </c>
      <c r="H2854" s="3">
        <v>566326</v>
      </c>
      <c r="I2854" s="3">
        <v>38811</v>
      </c>
    </row>
    <row r="2855" spans="1:9">
      <c r="A2855" s="3" t="s">
        <v>2880</v>
      </c>
      <c r="B2855" s="3" t="s">
        <v>26</v>
      </c>
      <c r="C2855" s="3">
        <v>2008869</v>
      </c>
      <c r="D2855" s="3">
        <v>230847</v>
      </c>
      <c r="E2855" s="3" t="s">
        <v>27</v>
      </c>
      <c r="F2855" s="3">
        <v>1134959</v>
      </c>
      <c r="G2855" s="3">
        <v>136438</v>
      </c>
      <c r="H2855" s="3">
        <v>873910</v>
      </c>
      <c r="I2855" s="3">
        <v>94409</v>
      </c>
    </row>
    <row r="2856" spans="1:9">
      <c r="A2856" s="3" t="s">
        <v>2881</v>
      </c>
      <c r="B2856" s="3" t="s">
        <v>26</v>
      </c>
      <c r="C2856" s="3">
        <v>1191894</v>
      </c>
      <c r="D2856" s="3">
        <v>33532</v>
      </c>
      <c r="E2856" s="3" t="s">
        <v>27</v>
      </c>
      <c r="F2856" s="3">
        <v>632297</v>
      </c>
      <c r="G2856" s="3">
        <v>16931</v>
      </c>
      <c r="H2856" s="3">
        <v>559597</v>
      </c>
      <c r="I2856" s="3">
        <v>16601</v>
      </c>
    </row>
    <row r="2857" spans="1:9">
      <c r="A2857" s="3" t="s">
        <v>2882</v>
      </c>
      <c r="B2857" s="3" t="s">
        <v>26</v>
      </c>
      <c r="C2857" s="3">
        <v>837770</v>
      </c>
      <c r="D2857" s="3">
        <v>8532</v>
      </c>
      <c r="E2857" s="3" t="s">
        <v>27</v>
      </c>
      <c r="F2857" s="3">
        <v>445650</v>
      </c>
      <c r="G2857" s="3">
        <v>1823</v>
      </c>
      <c r="H2857" s="3">
        <v>392120</v>
      </c>
      <c r="I2857" s="3">
        <v>6709</v>
      </c>
    </row>
    <row r="2858" spans="1:9">
      <c r="A2858" s="3" t="s">
        <v>2883</v>
      </c>
      <c r="B2858" s="3" t="s">
        <v>26</v>
      </c>
      <c r="C2858" s="3">
        <v>2383424</v>
      </c>
      <c r="D2858" s="3">
        <v>663420</v>
      </c>
      <c r="E2858" s="3" t="s">
        <v>27</v>
      </c>
      <c r="F2858" s="3">
        <v>1844051</v>
      </c>
      <c r="G2858" s="3">
        <v>527350</v>
      </c>
      <c r="H2858" s="3">
        <v>539373</v>
      </c>
      <c r="I2858" s="3">
        <v>136070</v>
      </c>
    </row>
    <row r="2859" spans="1:9">
      <c r="A2859" s="3" t="s">
        <v>2884</v>
      </c>
      <c r="B2859" s="3" t="s">
        <v>26</v>
      </c>
      <c r="C2859" s="3">
        <v>1792559</v>
      </c>
      <c r="D2859" s="3">
        <v>246199</v>
      </c>
      <c r="E2859" s="3" t="s">
        <v>27</v>
      </c>
      <c r="F2859" s="3">
        <v>1110338</v>
      </c>
      <c r="G2859" s="3">
        <v>162635</v>
      </c>
      <c r="H2859" s="3">
        <v>682221</v>
      </c>
      <c r="I2859" s="3">
        <v>83564</v>
      </c>
    </row>
    <row r="2860" spans="1:9">
      <c r="A2860" s="3" t="s">
        <v>2885</v>
      </c>
      <c r="B2860" s="3" t="s">
        <v>26</v>
      </c>
      <c r="C2860" s="3">
        <v>2491302</v>
      </c>
      <c r="D2860" s="3">
        <v>661676</v>
      </c>
      <c r="E2860" s="3" t="s">
        <v>27</v>
      </c>
      <c r="F2860" s="3">
        <v>1853926</v>
      </c>
      <c r="G2860" s="3">
        <v>498255</v>
      </c>
      <c r="H2860" s="3">
        <v>637376</v>
      </c>
      <c r="I2860" s="3">
        <v>163421</v>
      </c>
    </row>
    <row r="2861" spans="1:9">
      <c r="A2861" s="3" t="s">
        <v>2886</v>
      </c>
      <c r="B2861" s="3" t="s">
        <v>26</v>
      </c>
      <c r="C2861" s="3">
        <v>1480011</v>
      </c>
      <c r="D2861" s="3">
        <v>87499</v>
      </c>
      <c r="E2861" s="3" t="s">
        <v>27</v>
      </c>
      <c r="F2861" s="3">
        <v>827736</v>
      </c>
      <c r="G2861" s="3">
        <v>54327</v>
      </c>
      <c r="H2861" s="3">
        <v>652275</v>
      </c>
      <c r="I2861" s="3">
        <v>33172</v>
      </c>
    </row>
    <row r="2862" spans="1:9">
      <c r="A2862" s="3" t="s">
        <v>2887</v>
      </c>
      <c r="B2862" s="3" t="s">
        <v>26</v>
      </c>
      <c r="C2862" s="3">
        <v>1585901</v>
      </c>
      <c r="D2862" s="3">
        <v>232456</v>
      </c>
      <c r="E2862" s="3" t="s">
        <v>27</v>
      </c>
      <c r="F2862" s="3">
        <v>889585</v>
      </c>
      <c r="G2862" s="3">
        <v>124336</v>
      </c>
      <c r="H2862" s="3">
        <v>696316</v>
      </c>
      <c r="I2862" s="3">
        <v>108120</v>
      </c>
    </row>
    <row r="2863" spans="1:9">
      <c r="A2863" s="3" t="s">
        <v>2888</v>
      </c>
      <c r="B2863" s="3" t="s">
        <v>26</v>
      </c>
      <c r="C2863" s="3">
        <v>2272823</v>
      </c>
      <c r="D2863" s="3">
        <v>580880</v>
      </c>
      <c r="E2863" s="3" t="s">
        <v>27</v>
      </c>
      <c r="F2863" s="3">
        <v>1454856</v>
      </c>
      <c r="G2863" s="3">
        <v>379012</v>
      </c>
      <c r="H2863" s="3">
        <v>817967</v>
      </c>
      <c r="I2863" s="3">
        <v>201868</v>
      </c>
    </row>
    <row r="2864" spans="1:9">
      <c r="A2864" s="3" t="s">
        <v>2889</v>
      </c>
      <c r="B2864" s="3" t="s">
        <v>26</v>
      </c>
      <c r="C2864" s="3">
        <v>2398273</v>
      </c>
      <c r="D2864" s="3">
        <v>786771</v>
      </c>
      <c r="E2864" s="3" t="s">
        <v>27</v>
      </c>
      <c r="F2864" s="3">
        <v>1902476</v>
      </c>
      <c r="G2864" s="3">
        <v>593791</v>
      </c>
      <c r="H2864" s="3">
        <v>495797</v>
      </c>
      <c r="I2864" s="3">
        <v>192980</v>
      </c>
    </row>
    <row r="2865" spans="1:9">
      <c r="A2865" s="3" t="s">
        <v>2890</v>
      </c>
      <c r="B2865" s="3" t="s">
        <v>26</v>
      </c>
      <c r="C2865" s="3">
        <v>2982856</v>
      </c>
      <c r="D2865" s="3">
        <v>917925</v>
      </c>
      <c r="E2865" s="3" t="s">
        <v>27</v>
      </c>
      <c r="F2865" s="3">
        <v>2235417</v>
      </c>
      <c r="G2865" s="3">
        <v>650588</v>
      </c>
      <c r="H2865" s="3">
        <v>747439</v>
      </c>
      <c r="I2865" s="3">
        <v>267337</v>
      </c>
    </row>
    <row r="2866" spans="1:9">
      <c r="A2866" s="3" t="s">
        <v>2891</v>
      </c>
      <c r="B2866" s="3" t="s">
        <v>26</v>
      </c>
      <c r="C2866" s="3">
        <v>2020</v>
      </c>
      <c r="D2866" s="3">
        <v>615</v>
      </c>
      <c r="E2866" s="3" t="s">
        <v>27</v>
      </c>
      <c r="F2866" s="3">
        <v>1914</v>
      </c>
      <c r="G2866" s="3">
        <v>550</v>
      </c>
      <c r="H2866" s="3">
        <v>106</v>
      </c>
      <c r="I2866" s="3">
        <v>65</v>
      </c>
    </row>
    <row r="2867" spans="1:9">
      <c r="A2867" s="3" t="s">
        <v>2892</v>
      </c>
      <c r="B2867" s="3" t="s">
        <v>26</v>
      </c>
      <c r="C2867" s="3">
        <v>2655749</v>
      </c>
      <c r="D2867" s="3">
        <v>792645</v>
      </c>
      <c r="E2867" s="3" t="s">
        <v>27</v>
      </c>
      <c r="F2867" s="3">
        <v>1869233</v>
      </c>
      <c r="G2867" s="3">
        <v>532737</v>
      </c>
      <c r="H2867" s="3">
        <v>786516</v>
      </c>
      <c r="I2867" s="3">
        <v>259908</v>
      </c>
    </row>
    <row r="2868" spans="1:9">
      <c r="A2868" s="3" t="s">
        <v>2893</v>
      </c>
      <c r="B2868" s="3" t="s">
        <v>26</v>
      </c>
      <c r="C2868" s="3">
        <v>2090801</v>
      </c>
      <c r="D2868" s="3">
        <v>413663</v>
      </c>
      <c r="E2868" s="3" t="s">
        <v>27</v>
      </c>
      <c r="F2868" s="3">
        <v>1264434</v>
      </c>
      <c r="G2868" s="3">
        <v>267471</v>
      </c>
      <c r="H2868" s="3">
        <v>826367</v>
      </c>
      <c r="I2868" s="3">
        <v>146192</v>
      </c>
    </row>
    <row r="2869" spans="1:9">
      <c r="A2869" s="3" t="s">
        <v>2894</v>
      </c>
      <c r="B2869" s="3" t="s">
        <v>26</v>
      </c>
      <c r="C2869" s="3">
        <v>2075879</v>
      </c>
      <c r="D2869" s="3">
        <v>543596</v>
      </c>
      <c r="E2869" s="3" t="s">
        <v>27</v>
      </c>
      <c r="F2869" s="3">
        <v>1361613</v>
      </c>
      <c r="G2869" s="3">
        <v>354993</v>
      </c>
      <c r="H2869" s="3">
        <v>714266</v>
      </c>
      <c r="I2869" s="3">
        <v>188603</v>
      </c>
    </row>
    <row r="2870" spans="1:9">
      <c r="A2870" s="3" t="s">
        <v>2895</v>
      </c>
      <c r="B2870" s="3" t="s">
        <v>26</v>
      </c>
      <c r="C2870" s="3">
        <v>2119005</v>
      </c>
      <c r="D2870" s="3">
        <v>489023</v>
      </c>
      <c r="E2870" s="3" t="s">
        <v>27</v>
      </c>
      <c r="F2870" s="3">
        <v>1472158</v>
      </c>
      <c r="G2870" s="3">
        <v>360860</v>
      </c>
      <c r="H2870" s="3">
        <v>646847</v>
      </c>
      <c r="I2870" s="3">
        <v>128163</v>
      </c>
    </row>
    <row r="2871" spans="1:9">
      <c r="A2871" s="3" t="s">
        <v>2896</v>
      </c>
      <c r="B2871" s="3" t="s">
        <v>26</v>
      </c>
      <c r="C2871" s="3">
        <v>1951715</v>
      </c>
      <c r="D2871" s="3">
        <v>317342</v>
      </c>
      <c r="E2871" s="3" t="s">
        <v>27</v>
      </c>
      <c r="F2871" s="3">
        <v>1168841</v>
      </c>
      <c r="G2871" s="3">
        <v>194082</v>
      </c>
      <c r="H2871" s="3">
        <v>782874</v>
      </c>
      <c r="I2871" s="3">
        <v>123260</v>
      </c>
    </row>
    <row r="2872" spans="1:9">
      <c r="A2872" s="3" t="s">
        <v>2897</v>
      </c>
      <c r="B2872" s="3" t="s">
        <v>26</v>
      </c>
      <c r="C2872" s="3">
        <v>1944673</v>
      </c>
      <c r="D2872" s="3">
        <v>547844</v>
      </c>
      <c r="E2872" s="3" t="s">
        <v>27</v>
      </c>
      <c r="F2872" s="3">
        <v>1526556</v>
      </c>
      <c r="G2872" s="3">
        <v>418734</v>
      </c>
      <c r="H2872" s="3">
        <v>418117</v>
      </c>
      <c r="I2872" s="3">
        <v>129110</v>
      </c>
    </row>
    <row r="2873" spans="1:9">
      <c r="A2873" s="3" t="s">
        <v>2898</v>
      </c>
      <c r="B2873" s="3" t="s">
        <v>26</v>
      </c>
      <c r="C2873" s="3">
        <v>2819615</v>
      </c>
      <c r="D2873" s="3">
        <v>951064</v>
      </c>
      <c r="E2873" s="3" t="s">
        <v>27</v>
      </c>
      <c r="F2873" s="3">
        <v>2020535</v>
      </c>
      <c r="G2873" s="3">
        <v>672944</v>
      </c>
      <c r="H2873" s="3">
        <v>799080</v>
      </c>
      <c r="I2873" s="3">
        <v>278120</v>
      </c>
    </row>
    <row r="2874" spans="1:9">
      <c r="A2874" s="3" t="s">
        <v>2899</v>
      </c>
      <c r="B2874" s="3" t="s">
        <v>26</v>
      </c>
      <c r="C2874" s="3">
        <v>1528829</v>
      </c>
      <c r="D2874" s="3">
        <v>318063</v>
      </c>
      <c r="E2874" s="3" t="s">
        <v>27</v>
      </c>
      <c r="F2874" s="3">
        <v>1002544</v>
      </c>
      <c r="G2874" s="3">
        <v>202081</v>
      </c>
      <c r="H2874" s="3">
        <v>526285</v>
      </c>
      <c r="I2874" s="3">
        <v>115982</v>
      </c>
    </row>
    <row r="2875" spans="1:9">
      <c r="A2875" s="3" t="s">
        <v>2900</v>
      </c>
      <c r="B2875" s="3" t="s">
        <v>26</v>
      </c>
      <c r="C2875" s="3">
        <v>2061811</v>
      </c>
      <c r="D2875" s="3">
        <v>395455</v>
      </c>
      <c r="E2875" s="3" t="s">
        <v>27</v>
      </c>
      <c r="F2875" s="3">
        <v>1210603</v>
      </c>
      <c r="G2875" s="3">
        <v>232808</v>
      </c>
      <c r="H2875" s="3">
        <v>851208</v>
      </c>
      <c r="I2875" s="3">
        <v>162647</v>
      </c>
    </row>
    <row r="2876" spans="1:9">
      <c r="A2876" s="3" t="s">
        <v>2901</v>
      </c>
      <c r="B2876" s="3" t="s">
        <v>26</v>
      </c>
      <c r="C2876" s="3">
        <v>2206101</v>
      </c>
      <c r="D2876" s="3">
        <v>606471</v>
      </c>
      <c r="E2876" s="3" t="s">
        <v>27</v>
      </c>
      <c r="F2876" s="3">
        <v>1565959</v>
      </c>
      <c r="G2876" s="3">
        <v>435449</v>
      </c>
      <c r="H2876" s="3">
        <v>640142</v>
      </c>
      <c r="I2876" s="3">
        <v>171022</v>
      </c>
    </row>
    <row r="2877" spans="1:9">
      <c r="A2877" s="3" t="s">
        <v>2902</v>
      </c>
      <c r="B2877" s="3" t="s">
        <v>26</v>
      </c>
      <c r="C2877" s="3">
        <v>1628469</v>
      </c>
      <c r="D2877" s="3">
        <v>338577</v>
      </c>
      <c r="E2877" s="3" t="s">
        <v>27</v>
      </c>
      <c r="F2877" s="3">
        <v>1068590</v>
      </c>
      <c r="G2877" s="3">
        <v>232520</v>
      </c>
      <c r="H2877" s="3">
        <v>559879</v>
      </c>
      <c r="I2877" s="3">
        <v>106057</v>
      </c>
    </row>
    <row r="2878" spans="1:9">
      <c r="A2878" s="3" t="s">
        <v>2903</v>
      </c>
      <c r="B2878" s="3" t="s">
        <v>26</v>
      </c>
      <c r="C2878" s="3">
        <v>2494679</v>
      </c>
      <c r="D2878" s="3">
        <v>797262</v>
      </c>
      <c r="E2878" s="3" t="s">
        <v>27</v>
      </c>
      <c r="F2878" s="3">
        <v>2092837</v>
      </c>
      <c r="G2878" s="3">
        <v>657112</v>
      </c>
      <c r="H2878" s="3">
        <v>401842</v>
      </c>
      <c r="I2878" s="3">
        <v>140150</v>
      </c>
    </row>
    <row r="2879" spans="1:9">
      <c r="A2879" s="3" t="s">
        <v>2904</v>
      </c>
      <c r="B2879" s="3" t="s">
        <v>26</v>
      </c>
      <c r="C2879" s="3">
        <v>1855648</v>
      </c>
      <c r="D2879" s="3">
        <v>349530</v>
      </c>
      <c r="E2879" s="3" t="s">
        <v>27</v>
      </c>
      <c r="F2879" s="3">
        <v>1430403</v>
      </c>
      <c r="G2879" s="3">
        <v>276505</v>
      </c>
      <c r="H2879" s="3">
        <v>425245</v>
      </c>
      <c r="I2879" s="3">
        <v>73025</v>
      </c>
    </row>
    <row r="2880" spans="1:9">
      <c r="A2880" s="3" t="s">
        <v>2905</v>
      </c>
      <c r="B2880" s="3" t="s">
        <v>26</v>
      </c>
      <c r="C2880" s="3">
        <v>945158</v>
      </c>
      <c r="D2880" s="3">
        <v>24164</v>
      </c>
      <c r="E2880" s="3" t="s">
        <v>27</v>
      </c>
      <c r="F2880" s="3">
        <v>596621</v>
      </c>
      <c r="G2880" s="3">
        <v>12146</v>
      </c>
      <c r="H2880" s="3">
        <v>348537</v>
      </c>
      <c r="I2880" s="3">
        <v>12018</v>
      </c>
    </row>
    <row r="2881" spans="1:9">
      <c r="A2881" s="3" t="s">
        <v>2906</v>
      </c>
      <c r="B2881" s="3" t="s">
        <v>26</v>
      </c>
      <c r="C2881" s="3">
        <v>864448</v>
      </c>
      <c r="D2881" s="3">
        <v>8113</v>
      </c>
      <c r="E2881" s="3" t="s">
        <v>27</v>
      </c>
      <c r="F2881" s="3">
        <v>504955</v>
      </c>
      <c r="G2881" s="3">
        <v>6573</v>
      </c>
      <c r="H2881" s="3">
        <v>359493</v>
      </c>
      <c r="I2881" s="3">
        <v>1540</v>
      </c>
    </row>
    <row r="2882" spans="1:9">
      <c r="A2882" s="3" t="s">
        <v>2907</v>
      </c>
      <c r="B2882" s="3" t="s">
        <v>26</v>
      </c>
      <c r="C2882" s="3">
        <v>1732287</v>
      </c>
      <c r="D2882" s="3">
        <v>383039</v>
      </c>
      <c r="E2882" s="3" t="s">
        <v>27</v>
      </c>
      <c r="F2882" s="3">
        <v>1409463</v>
      </c>
      <c r="G2882" s="3">
        <v>275800</v>
      </c>
      <c r="H2882" s="3">
        <v>322824</v>
      </c>
      <c r="I2882" s="3">
        <v>107239</v>
      </c>
    </row>
    <row r="2883" spans="1:9">
      <c r="A2883" s="3" t="s">
        <v>2908</v>
      </c>
      <c r="B2883" s="3" t="s">
        <v>26</v>
      </c>
      <c r="C2883" s="3">
        <v>1659266</v>
      </c>
      <c r="D2883" s="3">
        <v>274097</v>
      </c>
      <c r="E2883" s="3" t="s">
        <v>27</v>
      </c>
      <c r="F2883" s="3">
        <v>1027921</v>
      </c>
      <c r="G2883" s="3">
        <v>160920</v>
      </c>
      <c r="H2883" s="3">
        <v>631345</v>
      </c>
      <c r="I2883" s="3">
        <v>113177</v>
      </c>
    </row>
    <row r="2884" spans="1:9">
      <c r="A2884" s="3" t="s">
        <v>2909</v>
      </c>
      <c r="B2884" s="3" t="s">
        <v>26</v>
      </c>
      <c r="C2884" s="3">
        <v>1360641</v>
      </c>
      <c r="D2884" s="3">
        <v>297966</v>
      </c>
      <c r="E2884" s="3" t="s">
        <v>27</v>
      </c>
      <c r="F2884" s="3">
        <v>874805</v>
      </c>
      <c r="G2884" s="3">
        <v>194083</v>
      </c>
      <c r="H2884" s="3">
        <v>485836</v>
      </c>
      <c r="I2884" s="3">
        <v>103883</v>
      </c>
    </row>
    <row r="2885" spans="1:9">
      <c r="A2885" s="3" t="s">
        <v>2910</v>
      </c>
      <c r="B2885" s="3" t="s">
        <v>26</v>
      </c>
      <c r="C2885" s="3">
        <v>2491332</v>
      </c>
      <c r="D2885" s="3">
        <v>878996</v>
      </c>
      <c r="E2885" s="3" t="s">
        <v>27</v>
      </c>
      <c r="F2885" s="3">
        <v>1803172</v>
      </c>
      <c r="G2885" s="3">
        <v>610772</v>
      </c>
      <c r="H2885" s="3">
        <v>688160</v>
      </c>
      <c r="I2885" s="3">
        <v>268224</v>
      </c>
    </row>
    <row r="2886" spans="1:9">
      <c r="A2886" s="3" t="s">
        <v>2911</v>
      </c>
      <c r="B2886" s="3" t="s">
        <v>26</v>
      </c>
      <c r="C2886" s="3">
        <v>2285205</v>
      </c>
      <c r="D2886" s="3">
        <v>805477</v>
      </c>
      <c r="E2886" s="3" t="s">
        <v>27</v>
      </c>
      <c r="F2886" s="3">
        <v>1910855</v>
      </c>
      <c r="G2886" s="3">
        <v>640168</v>
      </c>
      <c r="H2886" s="3">
        <v>374350</v>
      </c>
      <c r="I2886" s="3">
        <v>165309</v>
      </c>
    </row>
    <row r="2887" spans="1:9">
      <c r="A2887" s="3" t="s">
        <v>2912</v>
      </c>
      <c r="B2887" s="3" t="s">
        <v>26</v>
      </c>
      <c r="C2887" s="3">
        <v>1351271</v>
      </c>
      <c r="D2887" s="3">
        <v>12345</v>
      </c>
      <c r="E2887" s="3" t="s">
        <v>27</v>
      </c>
      <c r="F2887" s="3">
        <v>713232</v>
      </c>
      <c r="G2887" s="3">
        <v>5597</v>
      </c>
      <c r="H2887" s="3">
        <v>638039</v>
      </c>
      <c r="I2887" s="3">
        <v>6748</v>
      </c>
    </row>
    <row r="2888" spans="1:9">
      <c r="A2888" s="3" t="s">
        <v>2913</v>
      </c>
      <c r="B2888" s="3" t="s">
        <v>26</v>
      </c>
      <c r="C2888" s="3">
        <v>1483828</v>
      </c>
      <c r="D2888" s="3">
        <v>213068</v>
      </c>
      <c r="E2888" s="3" t="s">
        <v>27</v>
      </c>
      <c r="F2888" s="3">
        <v>747385</v>
      </c>
      <c r="G2888" s="3">
        <v>148727</v>
      </c>
      <c r="H2888" s="3">
        <v>736443</v>
      </c>
      <c r="I2888" s="3">
        <v>64341</v>
      </c>
    </row>
    <row r="2889" spans="1:9">
      <c r="A2889" s="3" t="s">
        <v>2914</v>
      </c>
      <c r="B2889" s="3" t="s">
        <v>26</v>
      </c>
      <c r="C2889" s="3">
        <v>2629054</v>
      </c>
      <c r="D2889" s="3">
        <v>937529</v>
      </c>
      <c r="E2889" s="3" t="s">
        <v>27</v>
      </c>
      <c r="F2889" s="3">
        <v>2021904</v>
      </c>
      <c r="G2889" s="3">
        <v>695041</v>
      </c>
      <c r="H2889" s="3">
        <v>607150</v>
      </c>
      <c r="I2889" s="3">
        <v>242488</v>
      </c>
    </row>
    <row r="2890" spans="1:9">
      <c r="A2890" s="3" t="s">
        <v>2915</v>
      </c>
      <c r="B2890" s="3" t="s">
        <v>26</v>
      </c>
      <c r="C2890" s="3">
        <v>2887425</v>
      </c>
      <c r="D2890" s="3">
        <v>1098798</v>
      </c>
      <c r="E2890" s="3" t="s">
        <v>27</v>
      </c>
      <c r="F2890" s="3">
        <v>2345976</v>
      </c>
      <c r="G2890" s="3">
        <v>867408</v>
      </c>
      <c r="H2890" s="3">
        <v>541449</v>
      </c>
      <c r="I2890" s="3">
        <v>231390</v>
      </c>
    </row>
    <row r="2891" spans="1:9">
      <c r="A2891" s="3" t="s">
        <v>2916</v>
      </c>
      <c r="B2891" s="3" t="s">
        <v>26</v>
      </c>
      <c r="C2891" s="3">
        <v>933778</v>
      </c>
      <c r="D2891" s="3">
        <v>17692</v>
      </c>
      <c r="E2891" s="3" t="s">
        <v>27</v>
      </c>
      <c r="F2891" s="3">
        <v>472955</v>
      </c>
      <c r="G2891" s="3">
        <v>7408</v>
      </c>
      <c r="H2891" s="3">
        <v>460823</v>
      </c>
      <c r="I2891" s="3">
        <v>10284</v>
      </c>
    </row>
    <row r="2892" spans="1:9">
      <c r="A2892" s="3" t="s">
        <v>2917</v>
      </c>
      <c r="B2892" s="3" t="s">
        <v>26</v>
      </c>
      <c r="C2892" s="3">
        <v>1364602</v>
      </c>
      <c r="D2892" s="3">
        <v>169204</v>
      </c>
      <c r="E2892" s="3" t="s">
        <v>27</v>
      </c>
      <c r="F2892" s="3">
        <v>806988</v>
      </c>
      <c r="G2892" s="3">
        <v>119333</v>
      </c>
      <c r="H2892" s="3">
        <v>557614</v>
      </c>
      <c r="I2892" s="3">
        <v>49871</v>
      </c>
    </row>
    <row r="2893" spans="1:9">
      <c r="A2893" s="3" t="s">
        <v>2918</v>
      </c>
      <c r="B2893" s="3" t="s">
        <v>26</v>
      </c>
      <c r="C2893" s="3">
        <v>2442813</v>
      </c>
      <c r="D2893" s="3">
        <v>848714</v>
      </c>
      <c r="E2893" s="3" t="s">
        <v>27</v>
      </c>
      <c r="F2893" s="3">
        <v>1847272</v>
      </c>
      <c r="G2893" s="3">
        <v>603871</v>
      </c>
      <c r="H2893" s="3">
        <v>595541</v>
      </c>
      <c r="I2893" s="3">
        <v>244843</v>
      </c>
    </row>
    <row r="2894" spans="1:9">
      <c r="A2894" s="3" t="s">
        <v>2919</v>
      </c>
      <c r="B2894" s="3" t="s">
        <v>26</v>
      </c>
      <c r="C2894" s="3">
        <v>2573291</v>
      </c>
      <c r="D2894" s="3">
        <v>786567</v>
      </c>
      <c r="E2894" s="3" t="s">
        <v>27</v>
      </c>
      <c r="F2894" s="3">
        <v>1709930</v>
      </c>
      <c r="G2894" s="3">
        <v>534545</v>
      </c>
      <c r="H2894" s="3">
        <v>863361</v>
      </c>
      <c r="I2894" s="3">
        <v>252022</v>
      </c>
    </row>
    <row r="2895" spans="1:9">
      <c r="A2895" s="3" t="s">
        <v>2920</v>
      </c>
      <c r="B2895" s="3" t="s">
        <v>26</v>
      </c>
      <c r="C2895" s="3">
        <v>1834956</v>
      </c>
      <c r="D2895" s="3">
        <v>596516</v>
      </c>
      <c r="E2895" s="3" t="s">
        <v>27</v>
      </c>
      <c r="F2895" s="3">
        <v>1588378</v>
      </c>
      <c r="G2895" s="3">
        <v>485023</v>
      </c>
      <c r="H2895" s="3">
        <v>246578</v>
      </c>
      <c r="I2895" s="3">
        <v>111493</v>
      </c>
    </row>
    <row r="2896" spans="1:9">
      <c r="A2896" s="3" t="s">
        <v>2921</v>
      </c>
      <c r="B2896" s="3" t="s">
        <v>26</v>
      </c>
      <c r="C2896" s="3">
        <v>1674903</v>
      </c>
      <c r="D2896" s="3">
        <v>374986</v>
      </c>
      <c r="E2896" s="3" t="s">
        <v>27</v>
      </c>
      <c r="F2896" s="3">
        <v>1175532</v>
      </c>
      <c r="G2896" s="3">
        <v>274430</v>
      </c>
      <c r="H2896" s="3">
        <v>499371</v>
      </c>
      <c r="I2896" s="3">
        <v>100556</v>
      </c>
    </row>
    <row r="2897" spans="1:9">
      <c r="A2897" s="3" t="s">
        <v>2922</v>
      </c>
      <c r="B2897" s="3" t="s">
        <v>26</v>
      </c>
      <c r="C2897" s="3">
        <v>1042696</v>
      </c>
      <c r="D2897" s="3">
        <v>279615</v>
      </c>
      <c r="E2897" s="3" t="s">
        <v>27</v>
      </c>
      <c r="F2897" s="3">
        <v>914187</v>
      </c>
      <c r="G2897" s="3">
        <v>238256</v>
      </c>
      <c r="H2897" s="3">
        <v>128509</v>
      </c>
      <c r="I2897" s="3">
        <v>41359</v>
      </c>
    </row>
    <row r="2898" spans="1:9">
      <c r="A2898" s="3" t="s">
        <v>2923</v>
      </c>
      <c r="B2898" s="3" t="s">
        <v>26</v>
      </c>
      <c r="C2898" s="3">
        <v>1081577</v>
      </c>
      <c r="D2898" s="3">
        <v>6995</v>
      </c>
      <c r="E2898" s="3" t="s">
        <v>27</v>
      </c>
      <c r="F2898" s="3">
        <v>722476</v>
      </c>
      <c r="G2898" s="3">
        <v>2933</v>
      </c>
      <c r="H2898" s="3">
        <v>359101</v>
      </c>
      <c r="I2898" s="3">
        <v>4062</v>
      </c>
    </row>
    <row r="2899" spans="1:9">
      <c r="A2899" s="3" t="s">
        <v>2924</v>
      </c>
      <c r="B2899" s="3" t="s">
        <v>26</v>
      </c>
      <c r="C2899" s="3">
        <v>1768236</v>
      </c>
      <c r="D2899" s="3">
        <v>372491</v>
      </c>
      <c r="E2899" s="3" t="s">
        <v>27</v>
      </c>
      <c r="F2899" s="3">
        <v>1128556</v>
      </c>
      <c r="G2899" s="3">
        <v>237226</v>
      </c>
      <c r="H2899" s="3">
        <v>639680</v>
      </c>
      <c r="I2899" s="3">
        <v>135265</v>
      </c>
    </row>
    <row r="2900" spans="1:9">
      <c r="A2900" s="3" t="s">
        <v>2925</v>
      </c>
      <c r="B2900" s="3" t="s">
        <v>26</v>
      </c>
      <c r="C2900" s="3">
        <v>2307432</v>
      </c>
      <c r="D2900" s="3">
        <v>848101</v>
      </c>
      <c r="E2900" s="3" t="s">
        <v>27</v>
      </c>
      <c r="F2900" s="3">
        <v>1870848</v>
      </c>
      <c r="G2900" s="3">
        <v>666449</v>
      </c>
      <c r="H2900" s="3">
        <v>436584</v>
      </c>
      <c r="I2900" s="3">
        <v>181652</v>
      </c>
    </row>
    <row r="2901" spans="1:9">
      <c r="A2901" s="3" t="s">
        <v>2926</v>
      </c>
      <c r="B2901" s="3" t="s">
        <v>26</v>
      </c>
      <c r="C2901" s="3">
        <v>2535860</v>
      </c>
      <c r="D2901" s="3">
        <v>986095</v>
      </c>
      <c r="E2901" s="3" t="s">
        <v>27</v>
      </c>
      <c r="F2901" s="3">
        <v>1885444</v>
      </c>
      <c r="G2901" s="3">
        <v>689188</v>
      </c>
      <c r="H2901" s="3">
        <v>650416</v>
      </c>
      <c r="I2901" s="3">
        <v>296907</v>
      </c>
    </row>
    <row r="2902" spans="1:9">
      <c r="A2902" s="3" t="s">
        <v>2927</v>
      </c>
      <c r="B2902" s="3" t="s">
        <v>26</v>
      </c>
      <c r="C2902" s="3">
        <v>2715845</v>
      </c>
      <c r="D2902" s="3">
        <v>1015367</v>
      </c>
      <c r="E2902" s="3" t="s">
        <v>27</v>
      </c>
      <c r="F2902" s="3">
        <v>2232677</v>
      </c>
      <c r="G2902" s="3">
        <v>806099</v>
      </c>
      <c r="H2902" s="3">
        <v>483168</v>
      </c>
      <c r="I2902" s="3">
        <v>209268</v>
      </c>
    </row>
    <row r="2903" spans="1:9">
      <c r="A2903" s="3" t="s">
        <v>2928</v>
      </c>
      <c r="B2903" s="3" t="s">
        <v>26</v>
      </c>
      <c r="C2903" s="3">
        <v>783578</v>
      </c>
      <c r="D2903" s="3">
        <v>1013</v>
      </c>
      <c r="E2903" s="3" t="s">
        <v>27</v>
      </c>
      <c r="F2903" s="3">
        <v>401896</v>
      </c>
      <c r="G2903" s="3">
        <v>420</v>
      </c>
      <c r="H2903" s="3">
        <v>381682</v>
      </c>
      <c r="I2903" s="3">
        <v>593</v>
      </c>
    </row>
    <row r="2904" spans="1:9">
      <c r="A2904" s="3" t="s">
        <v>2929</v>
      </c>
      <c r="B2904" s="3" t="s">
        <v>26</v>
      </c>
      <c r="C2904" s="3">
        <v>2378415</v>
      </c>
      <c r="D2904" s="3">
        <v>924250</v>
      </c>
      <c r="E2904" s="3" t="s">
        <v>27</v>
      </c>
      <c r="F2904" s="3">
        <v>1893246</v>
      </c>
      <c r="G2904" s="3">
        <v>711295</v>
      </c>
      <c r="H2904" s="3">
        <v>485169</v>
      </c>
      <c r="I2904" s="3">
        <v>212955</v>
      </c>
    </row>
    <row r="2905" spans="1:9">
      <c r="A2905" s="3" t="s">
        <v>2930</v>
      </c>
      <c r="B2905" s="3" t="s">
        <v>26</v>
      </c>
      <c r="C2905" s="3">
        <v>2315267</v>
      </c>
      <c r="D2905" s="3">
        <v>874131</v>
      </c>
      <c r="E2905" s="3" t="s">
        <v>27</v>
      </c>
      <c r="F2905" s="3">
        <v>1633609</v>
      </c>
      <c r="G2905" s="3">
        <v>632163</v>
      </c>
      <c r="H2905" s="3">
        <v>681658</v>
      </c>
      <c r="I2905" s="3">
        <v>241968</v>
      </c>
    </row>
    <row r="2906" spans="1:9">
      <c r="A2906" s="3" t="s">
        <v>2931</v>
      </c>
      <c r="B2906" s="3" t="s">
        <v>26</v>
      </c>
      <c r="C2906" s="3">
        <v>738350</v>
      </c>
      <c r="D2906" s="3">
        <v>128855</v>
      </c>
      <c r="E2906" s="3" t="s">
        <v>27</v>
      </c>
      <c r="F2906" s="3">
        <v>624810</v>
      </c>
      <c r="G2906" s="3">
        <v>91062</v>
      </c>
      <c r="H2906" s="3">
        <v>113540</v>
      </c>
      <c r="I2906" s="3">
        <v>37793</v>
      </c>
    </row>
    <row r="2907" spans="1:9">
      <c r="A2907" s="3" t="s">
        <v>2932</v>
      </c>
      <c r="B2907" s="3" t="s">
        <v>26</v>
      </c>
      <c r="C2907" s="3">
        <v>1110469</v>
      </c>
      <c r="D2907" s="3">
        <v>21163</v>
      </c>
      <c r="E2907" s="3" t="s">
        <v>27</v>
      </c>
      <c r="F2907" s="3">
        <v>561865</v>
      </c>
      <c r="G2907" s="3">
        <v>14255</v>
      </c>
      <c r="H2907" s="3">
        <v>548604</v>
      </c>
      <c r="I2907" s="3">
        <v>6908</v>
      </c>
    </row>
    <row r="2908" spans="1:9">
      <c r="A2908" s="3" t="s">
        <v>2933</v>
      </c>
      <c r="B2908" s="3" t="s">
        <v>26</v>
      </c>
      <c r="C2908" s="3">
        <v>2102813</v>
      </c>
      <c r="D2908" s="3">
        <v>730355</v>
      </c>
      <c r="E2908" s="3" t="s">
        <v>27</v>
      </c>
      <c r="F2908" s="3">
        <v>1575215</v>
      </c>
      <c r="G2908" s="3">
        <v>532915</v>
      </c>
      <c r="H2908" s="3">
        <v>527598</v>
      </c>
      <c r="I2908" s="3">
        <v>197440</v>
      </c>
    </row>
    <row r="2909" spans="1:9">
      <c r="A2909" s="3" t="s">
        <v>2934</v>
      </c>
      <c r="B2909" s="3" t="s">
        <v>26</v>
      </c>
      <c r="C2909" s="3">
        <v>1807289</v>
      </c>
      <c r="D2909" s="3">
        <v>298227</v>
      </c>
      <c r="E2909" s="3" t="s">
        <v>27</v>
      </c>
      <c r="F2909" s="3">
        <v>936236</v>
      </c>
      <c r="G2909" s="3">
        <v>174243</v>
      </c>
      <c r="H2909" s="3">
        <v>871053</v>
      </c>
      <c r="I2909" s="3">
        <v>123984</v>
      </c>
    </row>
    <row r="2910" spans="1:9">
      <c r="A2910" s="3" t="s">
        <v>2935</v>
      </c>
      <c r="B2910" s="3" t="s">
        <v>26</v>
      </c>
      <c r="C2910" s="3">
        <v>2118602</v>
      </c>
      <c r="D2910" s="3">
        <v>508521</v>
      </c>
      <c r="E2910" s="3" t="s">
        <v>27</v>
      </c>
      <c r="F2910" s="3">
        <v>1365791</v>
      </c>
      <c r="G2910" s="3">
        <v>325623</v>
      </c>
      <c r="H2910" s="3">
        <v>752811</v>
      </c>
      <c r="I2910" s="3">
        <v>182898</v>
      </c>
    </row>
    <row r="2911" spans="1:9">
      <c r="A2911" s="3" t="s">
        <v>2936</v>
      </c>
      <c r="B2911" s="3" t="s">
        <v>26</v>
      </c>
      <c r="C2911" s="3">
        <v>2006934</v>
      </c>
      <c r="D2911" s="3">
        <v>521788</v>
      </c>
      <c r="E2911" s="3" t="s">
        <v>27</v>
      </c>
      <c r="F2911" s="3">
        <v>1498053</v>
      </c>
      <c r="G2911" s="3">
        <v>369648</v>
      </c>
      <c r="H2911" s="3">
        <v>508881</v>
      </c>
      <c r="I2911" s="3">
        <v>152140</v>
      </c>
    </row>
    <row r="2912" spans="1:9">
      <c r="A2912" s="3" t="s">
        <v>2937</v>
      </c>
      <c r="B2912" s="3" t="s">
        <v>26</v>
      </c>
      <c r="C2912" s="3">
        <v>2094318</v>
      </c>
      <c r="D2912" s="3">
        <v>726516</v>
      </c>
      <c r="E2912" s="3" t="s">
        <v>27</v>
      </c>
      <c r="F2912" s="3">
        <v>1626354</v>
      </c>
      <c r="G2912" s="3">
        <v>529183</v>
      </c>
      <c r="H2912" s="3">
        <v>467964</v>
      </c>
      <c r="I2912" s="3">
        <v>197333</v>
      </c>
    </row>
    <row r="2913" spans="1:9">
      <c r="A2913" s="3" t="s">
        <v>2938</v>
      </c>
      <c r="B2913" s="3" t="s">
        <v>26</v>
      </c>
      <c r="C2913" s="3">
        <v>1901128</v>
      </c>
      <c r="D2913" s="3">
        <v>571198</v>
      </c>
      <c r="E2913" s="3" t="s">
        <v>27</v>
      </c>
      <c r="F2913" s="3">
        <v>1659942</v>
      </c>
      <c r="G2913" s="3">
        <v>469112</v>
      </c>
      <c r="H2913" s="3">
        <v>241186</v>
      </c>
      <c r="I2913" s="3">
        <v>102086</v>
      </c>
    </row>
    <row r="2914" spans="1:9">
      <c r="A2914" s="3" t="s">
        <v>2939</v>
      </c>
      <c r="B2914" s="3" t="s">
        <v>26</v>
      </c>
      <c r="C2914" s="3">
        <v>160767</v>
      </c>
      <c r="D2914" s="3">
        <v>12268</v>
      </c>
      <c r="E2914" s="3" t="s">
        <v>27</v>
      </c>
      <c r="F2914" s="3">
        <v>124327</v>
      </c>
      <c r="G2914" s="3">
        <v>9713</v>
      </c>
      <c r="H2914" s="3">
        <v>36440</v>
      </c>
      <c r="I2914" s="3">
        <v>2555</v>
      </c>
    </row>
    <row r="2915" spans="1:9">
      <c r="A2915" s="3" t="s">
        <v>2940</v>
      </c>
      <c r="B2915" s="3" t="s">
        <v>26</v>
      </c>
      <c r="C2915" s="3">
        <v>1467272</v>
      </c>
      <c r="D2915" s="3">
        <v>133700</v>
      </c>
      <c r="E2915" s="3" t="s">
        <v>27</v>
      </c>
      <c r="F2915" s="3">
        <v>946535</v>
      </c>
      <c r="G2915" s="3">
        <v>95769</v>
      </c>
      <c r="H2915" s="3">
        <v>520737</v>
      </c>
      <c r="I2915" s="3">
        <v>37931</v>
      </c>
    </row>
    <row r="2916" spans="1:9">
      <c r="A2916" s="3" t="s">
        <v>2941</v>
      </c>
      <c r="B2916" s="3" t="s">
        <v>26</v>
      </c>
      <c r="C2916" s="3">
        <v>2581606</v>
      </c>
      <c r="D2916" s="3">
        <v>534749</v>
      </c>
      <c r="E2916" s="3" t="s">
        <v>27</v>
      </c>
      <c r="F2916" s="3">
        <v>1696402</v>
      </c>
      <c r="G2916" s="3">
        <v>331059</v>
      </c>
      <c r="H2916" s="3">
        <v>885204</v>
      </c>
      <c r="I2916" s="3">
        <v>203690</v>
      </c>
    </row>
    <row r="2917" spans="1:9">
      <c r="A2917" s="3" t="s">
        <v>2942</v>
      </c>
      <c r="B2917" s="3" t="s">
        <v>26</v>
      </c>
      <c r="C2917" s="3">
        <v>2077306</v>
      </c>
      <c r="D2917" s="3">
        <v>104095</v>
      </c>
      <c r="E2917" s="3" t="s">
        <v>27</v>
      </c>
      <c r="F2917" s="3">
        <v>1140049</v>
      </c>
      <c r="G2917" s="3">
        <v>53677</v>
      </c>
      <c r="H2917" s="3">
        <v>937257</v>
      </c>
      <c r="I2917" s="3">
        <v>50418</v>
      </c>
    </row>
    <row r="2918" spans="1:9">
      <c r="A2918" s="3" t="s">
        <v>2943</v>
      </c>
      <c r="B2918" s="3" t="s">
        <v>26</v>
      </c>
      <c r="C2918" s="3">
        <v>3228583</v>
      </c>
      <c r="D2918" s="3">
        <v>1064817</v>
      </c>
      <c r="E2918" s="3" t="s">
        <v>27</v>
      </c>
      <c r="F2918" s="3">
        <v>2183355</v>
      </c>
      <c r="G2918" s="3">
        <v>702753</v>
      </c>
      <c r="H2918" s="3">
        <v>1045228</v>
      </c>
      <c r="I2918" s="3">
        <v>362064</v>
      </c>
    </row>
    <row r="2919" spans="1:9">
      <c r="A2919" s="3" t="s">
        <v>2944</v>
      </c>
      <c r="B2919" s="3" t="s">
        <v>26</v>
      </c>
      <c r="C2919" s="3">
        <v>1035266</v>
      </c>
      <c r="D2919" s="3">
        <v>4357</v>
      </c>
      <c r="E2919" s="3" t="s">
        <v>27</v>
      </c>
      <c r="F2919" s="3">
        <v>519607</v>
      </c>
      <c r="G2919" s="3">
        <v>486</v>
      </c>
      <c r="H2919" s="3">
        <v>515659</v>
      </c>
      <c r="I2919" s="3">
        <v>3871</v>
      </c>
    </row>
    <row r="2920" spans="1:9">
      <c r="A2920" s="3" t="s">
        <v>2945</v>
      </c>
      <c r="B2920" s="3" t="s">
        <v>26</v>
      </c>
      <c r="C2920" s="3">
        <v>2148746</v>
      </c>
      <c r="D2920" s="3">
        <v>533452</v>
      </c>
      <c r="E2920" s="3" t="s">
        <v>27</v>
      </c>
      <c r="F2920" s="3">
        <v>1673970</v>
      </c>
      <c r="G2920" s="3">
        <v>425361</v>
      </c>
      <c r="H2920" s="3">
        <v>474776</v>
      </c>
      <c r="I2920" s="3">
        <v>108091</v>
      </c>
    </row>
    <row r="2921" spans="1:9">
      <c r="A2921" s="3" t="s">
        <v>2946</v>
      </c>
      <c r="B2921" s="3" t="s">
        <v>26</v>
      </c>
      <c r="C2921" s="3">
        <v>3392213</v>
      </c>
      <c r="D2921" s="3">
        <v>1208307</v>
      </c>
      <c r="E2921" s="3" t="s">
        <v>27</v>
      </c>
      <c r="F2921" s="3">
        <v>2545105</v>
      </c>
      <c r="G2921" s="3">
        <v>871091</v>
      </c>
      <c r="H2921" s="3">
        <v>847108</v>
      </c>
      <c r="I2921" s="3">
        <v>337216</v>
      </c>
    </row>
    <row r="2922" spans="1:9">
      <c r="A2922" s="3" t="s">
        <v>2947</v>
      </c>
      <c r="B2922" s="3" t="s">
        <v>26</v>
      </c>
      <c r="C2922" s="3">
        <v>2322872</v>
      </c>
      <c r="D2922" s="3">
        <v>520876</v>
      </c>
      <c r="E2922" s="3" t="s">
        <v>27</v>
      </c>
      <c r="F2922" s="3">
        <v>1752644</v>
      </c>
      <c r="G2922" s="3">
        <v>389924</v>
      </c>
      <c r="H2922" s="3">
        <v>570228</v>
      </c>
      <c r="I2922" s="3">
        <v>130952</v>
      </c>
    </row>
    <row r="2923" spans="1:9">
      <c r="A2923" s="3" t="s">
        <v>2948</v>
      </c>
      <c r="B2923" s="3" t="s">
        <v>26</v>
      </c>
      <c r="C2923" s="3">
        <v>2670862</v>
      </c>
      <c r="D2923" s="3">
        <v>547176</v>
      </c>
      <c r="E2923" s="3" t="s">
        <v>27</v>
      </c>
      <c r="F2923" s="3">
        <v>1659619</v>
      </c>
      <c r="G2923" s="3">
        <v>349828</v>
      </c>
      <c r="H2923" s="3">
        <v>1011243</v>
      </c>
      <c r="I2923" s="3">
        <v>197348</v>
      </c>
    </row>
    <row r="2924" spans="1:9">
      <c r="A2924" s="3" t="s">
        <v>2949</v>
      </c>
      <c r="B2924" s="3" t="s">
        <v>26</v>
      </c>
      <c r="C2924" s="3">
        <v>1480106</v>
      </c>
      <c r="D2924" s="3">
        <v>177207</v>
      </c>
      <c r="E2924" s="3" t="s">
        <v>27</v>
      </c>
      <c r="F2924" s="3">
        <v>978897</v>
      </c>
      <c r="G2924" s="3">
        <v>123555</v>
      </c>
      <c r="H2924" s="3">
        <v>501209</v>
      </c>
      <c r="I2924" s="3">
        <v>53652</v>
      </c>
    </row>
    <row r="2925" spans="1:9">
      <c r="A2925" s="3" t="s">
        <v>2950</v>
      </c>
      <c r="B2925" s="3" t="s">
        <v>26</v>
      </c>
      <c r="C2925" s="3">
        <v>2185268</v>
      </c>
      <c r="D2925" s="3">
        <v>559124</v>
      </c>
      <c r="E2925" s="3" t="s">
        <v>27</v>
      </c>
      <c r="F2925" s="3">
        <v>1510464</v>
      </c>
      <c r="G2925" s="3">
        <v>383018</v>
      </c>
      <c r="H2925" s="3">
        <v>674804</v>
      </c>
      <c r="I2925" s="3">
        <v>176106</v>
      </c>
    </row>
    <row r="2926" spans="1:9">
      <c r="A2926" s="3" t="s">
        <v>2951</v>
      </c>
      <c r="B2926" s="3" t="s">
        <v>26</v>
      </c>
      <c r="C2926" s="3">
        <v>2071791</v>
      </c>
      <c r="D2926" s="3">
        <v>641891</v>
      </c>
      <c r="E2926" s="3" t="s">
        <v>27</v>
      </c>
      <c r="F2926" s="3">
        <v>1702054</v>
      </c>
      <c r="G2926" s="3">
        <v>507446</v>
      </c>
      <c r="H2926" s="3">
        <v>369737</v>
      </c>
      <c r="I2926" s="3">
        <v>134445</v>
      </c>
    </row>
    <row r="2927" spans="1:9">
      <c r="A2927" s="3" t="s">
        <v>2952</v>
      </c>
      <c r="B2927" s="3" t="s">
        <v>26</v>
      </c>
      <c r="C2927" s="3">
        <v>1579827</v>
      </c>
      <c r="D2927" s="3">
        <v>346545</v>
      </c>
      <c r="E2927" s="3" t="s">
        <v>27</v>
      </c>
      <c r="F2927" s="3">
        <v>1189200</v>
      </c>
      <c r="G2927" s="3">
        <v>225855</v>
      </c>
      <c r="H2927" s="3">
        <v>390627</v>
      </c>
      <c r="I2927" s="3">
        <v>120690</v>
      </c>
    </row>
    <row r="2928" spans="1:9">
      <c r="A2928" s="3" t="s">
        <v>2953</v>
      </c>
      <c r="B2928" s="3" t="s">
        <v>26</v>
      </c>
      <c r="C2928" s="3">
        <v>2630410</v>
      </c>
      <c r="D2928" s="3">
        <v>690334</v>
      </c>
      <c r="E2928" s="3" t="s">
        <v>27</v>
      </c>
      <c r="F2928" s="3">
        <v>2393326</v>
      </c>
      <c r="G2928" s="3">
        <v>595326</v>
      </c>
      <c r="H2928" s="3">
        <v>237084</v>
      </c>
      <c r="I2928" s="3">
        <v>95008</v>
      </c>
    </row>
    <row r="2929" spans="1:9">
      <c r="A2929" s="3" t="s">
        <v>2954</v>
      </c>
      <c r="B2929" s="3" t="s">
        <v>26</v>
      </c>
      <c r="C2929" s="3">
        <v>2609196</v>
      </c>
      <c r="D2929" s="3">
        <v>522121</v>
      </c>
      <c r="E2929" s="3" t="s">
        <v>27</v>
      </c>
      <c r="F2929" s="3">
        <v>1660409</v>
      </c>
      <c r="G2929" s="3">
        <v>340959</v>
      </c>
      <c r="H2929" s="3">
        <v>948787</v>
      </c>
      <c r="I2929" s="3">
        <v>181162</v>
      </c>
    </row>
    <row r="2930" spans="1:9">
      <c r="A2930" s="3" t="s">
        <v>2955</v>
      </c>
      <c r="B2930" s="3" t="s">
        <v>26</v>
      </c>
      <c r="C2930" s="3">
        <v>1645140</v>
      </c>
      <c r="D2930" s="3">
        <v>40975</v>
      </c>
      <c r="E2930" s="3" t="s">
        <v>27</v>
      </c>
      <c r="F2930" s="3">
        <v>862741</v>
      </c>
      <c r="G2930" s="3">
        <v>16094</v>
      </c>
      <c r="H2930" s="3">
        <v>782399</v>
      </c>
      <c r="I2930" s="3">
        <v>24881</v>
      </c>
    </row>
    <row r="2931" spans="1:9">
      <c r="A2931" s="3" t="s">
        <v>2956</v>
      </c>
      <c r="B2931" s="3" t="s">
        <v>26</v>
      </c>
      <c r="C2931" s="3">
        <v>2082413</v>
      </c>
      <c r="D2931" s="3">
        <v>230281</v>
      </c>
      <c r="E2931" s="3" t="s">
        <v>27</v>
      </c>
      <c r="F2931" s="3">
        <v>1262531</v>
      </c>
      <c r="G2931" s="3">
        <v>160194</v>
      </c>
      <c r="H2931" s="3">
        <v>819882</v>
      </c>
      <c r="I2931" s="3">
        <v>70087</v>
      </c>
    </row>
    <row r="2932" spans="1:9">
      <c r="A2932" s="3" t="s">
        <v>2957</v>
      </c>
      <c r="B2932" s="3" t="s">
        <v>26</v>
      </c>
      <c r="C2932" s="3">
        <v>2558944</v>
      </c>
      <c r="D2932" s="3">
        <v>729067</v>
      </c>
      <c r="E2932" s="3" t="s">
        <v>27</v>
      </c>
      <c r="F2932" s="3">
        <v>1779075</v>
      </c>
      <c r="G2932" s="3">
        <v>511320</v>
      </c>
      <c r="H2932" s="3">
        <v>779869</v>
      </c>
      <c r="I2932" s="3">
        <v>217747</v>
      </c>
    </row>
    <row r="2933" spans="1:9">
      <c r="A2933" s="3" t="s">
        <v>2958</v>
      </c>
      <c r="B2933" s="3" t="s">
        <v>26</v>
      </c>
      <c r="C2933" s="3">
        <v>3546240</v>
      </c>
      <c r="D2933" s="3">
        <v>841902</v>
      </c>
      <c r="E2933" s="3" t="s">
        <v>27</v>
      </c>
      <c r="F2933" s="3">
        <v>3024636</v>
      </c>
      <c r="G2933" s="3">
        <v>627433</v>
      </c>
      <c r="H2933" s="3">
        <v>521604</v>
      </c>
      <c r="I2933" s="3">
        <v>214469</v>
      </c>
    </row>
    <row r="2934" spans="1:9">
      <c r="A2934" s="3" t="s">
        <v>2959</v>
      </c>
      <c r="B2934" s="3" t="s">
        <v>26</v>
      </c>
      <c r="C2934" s="3">
        <v>3115303</v>
      </c>
      <c r="D2934" s="3">
        <v>1099812</v>
      </c>
      <c r="E2934" s="3" t="s">
        <v>27</v>
      </c>
      <c r="F2934" s="3">
        <v>2450999</v>
      </c>
      <c r="G2934" s="3">
        <v>842984</v>
      </c>
      <c r="H2934" s="3">
        <v>664304</v>
      </c>
      <c r="I2934" s="3">
        <v>256828</v>
      </c>
    </row>
    <row r="2935" spans="1:9">
      <c r="A2935" s="3" t="s">
        <v>2960</v>
      </c>
      <c r="B2935" s="3" t="s">
        <v>26</v>
      </c>
      <c r="C2935" s="3">
        <v>2929521</v>
      </c>
      <c r="D2935" s="3">
        <v>1014931</v>
      </c>
      <c r="E2935" s="3" t="s">
        <v>27</v>
      </c>
      <c r="F2935" s="3">
        <v>2251256</v>
      </c>
      <c r="G2935" s="3">
        <v>738238</v>
      </c>
      <c r="H2935" s="3">
        <v>678265</v>
      </c>
      <c r="I2935" s="3">
        <v>276693</v>
      </c>
    </row>
    <row r="2936" spans="1:9">
      <c r="A2936" s="3" t="s">
        <v>2961</v>
      </c>
      <c r="B2936" s="3" t="s">
        <v>26</v>
      </c>
      <c r="C2936" s="3">
        <v>1279542</v>
      </c>
      <c r="D2936" s="3">
        <v>74816</v>
      </c>
      <c r="E2936" s="3" t="s">
        <v>27</v>
      </c>
      <c r="F2936" s="3">
        <v>861360</v>
      </c>
      <c r="G2936" s="3">
        <v>54278</v>
      </c>
      <c r="H2936" s="3">
        <v>418182</v>
      </c>
      <c r="I2936" s="3">
        <v>20538</v>
      </c>
    </row>
    <row r="2937" spans="1:9">
      <c r="A2937" s="3" t="s">
        <v>2962</v>
      </c>
      <c r="B2937" s="3" t="s">
        <v>26</v>
      </c>
      <c r="C2937" s="3">
        <v>3277608</v>
      </c>
      <c r="D2937" s="3">
        <v>1191284</v>
      </c>
      <c r="E2937" s="3" t="s">
        <v>27</v>
      </c>
      <c r="F2937" s="3">
        <v>2482077</v>
      </c>
      <c r="G2937" s="3">
        <v>892253</v>
      </c>
      <c r="H2937" s="3">
        <v>795531</v>
      </c>
      <c r="I2937" s="3">
        <v>299031</v>
      </c>
    </row>
    <row r="2938" spans="1:9">
      <c r="A2938" s="3" t="s">
        <v>2963</v>
      </c>
      <c r="B2938" s="3" t="s">
        <v>26</v>
      </c>
      <c r="C2938" s="3">
        <v>2812168</v>
      </c>
      <c r="D2938" s="3">
        <v>880947</v>
      </c>
      <c r="E2938" s="3" t="s">
        <v>27</v>
      </c>
      <c r="F2938" s="3">
        <v>2280606</v>
      </c>
      <c r="G2938" s="3">
        <v>702711</v>
      </c>
      <c r="H2938" s="3">
        <v>531562</v>
      </c>
      <c r="I2938" s="3">
        <v>178236</v>
      </c>
    </row>
    <row r="2939" spans="1:9">
      <c r="A2939" s="3" t="s">
        <v>2964</v>
      </c>
      <c r="B2939" s="3" t="s">
        <v>26</v>
      </c>
      <c r="C2939" s="3">
        <v>1297136</v>
      </c>
      <c r="D2939" s="3">
        <v>144983</v>
      </c>
      <c r="E2939" s="3" t="s">
        <v>27</v>
      </c>
      <c r="F2939" s="3">
        <v>810700</v>
      </c>
      <c r="G2939" s="3">
        <v>105798</v>
      </c>
      <c r="H2939" s="3">
        <v>486436</v>
      </c>
      <c r="I2939" s="3">
        <v>39185</v>
      </c>
    </row>
    <row r="2940" spans="1:9">
      <c r="A2940" s="3" t="s">
        <v>2965</v>
      </c>
      <c r="B2940" s="3" t="s">
        <v>26</v>
      </c>
      <c r="C2940" s="3">
        <v>3405292</v>
      </c>
      <c r="D2940" s="3">
        <v>1332028</v>
      </c>
      <c r="E2940" s="3" t="s">
        <v>27</v>
      </c>
      <c r="F2940" s="3">
        <v>2965829</v>
      </c>
      <c r="G2940" s="3">
        <v>1117733</v>
      </c>
      <c r="H2940" s="3">
        <v>439463</v>
      </c>
      <c r="I2940" s="3">
        <v>214295</v>
      </c>
    </row>
    <row r="2941" spans="1:9">
      <c r="A2941" s="3" t="s">
        <v>2966</v>
      </c>
      <c r="B2941" s="3" t="s">
        <v>26</v>
      </c>
      <c r="C2941" s="3">
        <v>2172038</v>
      </c>
      <c r="D2941" s="3">
        <v>517669</v>
      </c>
      <c r="E2941" s="3" t="s">
        <v>27</v>
      </c>
      <c r="F2941" s="3">
        <v>1596204</v>
      </c>
      <c r="G2941" s="3">
        <v>386355</v>
      </c>
      <c r="H2941" s="3">
        <v>575834</v>
      </c>
      <c r="I2941" s="3">
        <v>131314</v>
      </c>
    </row>
    <row r="2942" spans="1:9">
      <c r="A2942" s="3" t="s">
        <v>2967</v>
      </c>
      <c r="B2942" s="3" t="s">
        <v>26</v>
      </c>
      <c r="C2942" s="3">
        <v>1694034</v>
      </c>
      <c r="D2942" s="3">
        <v>193002</v>
      </c>
      <c r="E2942" s="3" t="s">
        <v>27</v>
      </c>
      <c r="F2942" s="3">
        <v>1080739</v>
      </c>
      <c r="G2942" s="3">
        <v>132207</v>
      </c>
      <c r="H2942" s="3">
        <v>613295</v>
      </c>
      <c r="I2942" s="3">
        <v>60795</v>
      </c>
    </row>
    <row r="2943" spans="1:9">
      <c r="A2943" s="3" t="s">
        <v>2968</v>
      </c>
      <c r="B2943" s="3" t="s">
        <v>26</v>
      </c>
      <c r="C2943" s="3">
        <v>941232</v>
      </c>
      <c r="D2943" s="3">
        <v>2791</v>
      </c>
      <c r="E2943" s="3" t="s">
        <v>27</v>
      </c>
      <c r="F2943" s="3">
        <v>504756</v>
      </c>
      <c r="G2943" s="3">
        <v>1289</v>
      </c>
      <c r="H2943" s="3">
        <v>436476</v>
      </c>
      <c r="I2943" s="3">
        <v>1502</v>
      </c>
    </row>
    <row r="2944" spans="1:9">
      <c r="A2944" s="3" t="s">
        <v>2969</v>
      </c>
      <c r="B2944" s="3" t="s">
        <v>26</v>
      </c>
      <c r="C2944" s="3">
        <v>3224994</v>
      </c>
      <c r="D2944" s="3">
        <v>1185351</v>
      </c>
      <c r="E2944" s="3" t="s">
        <v>27</v>
      </c>
      <c r="F2944" s="3">
        <v>2541884</v>
      </c>
      <c r="G2944" s="3">
        <v>899364</v>
      </c>
      <c r="H2944" s="3">
        <v>683110</v>
      </c>
      <c r="I2944" s="3">
        <v>285987</v>
      </c>
    </row>
    <row r="2945" spans="1:9">
      <c r="A2945" s="3" t="s">
        <v>2970</v>
      </c>
      <c r="B2945" s="3" t="s">
        <v>26</v>
      </c>
      <c r="C2945" s="3">
        <v>1639024</v>
      </c>
      <c r="D2945" s="3">
        <v>137015</v>
      </c>
      <c r="E2945" s="3" t="s">
        <v>27</v>
      </c>
      <c r="F2945" s="3">
        <v>1035452</v>
      </c>
      <c r="G2945" s="3">
        <v>89201</v>
      </c>
      <c r="H2945" s="3">
        <v>603572</v>
      </c>
      <c r="I2945" s="3">
        <v>47814</v>
      </c>
    </row>
    <row r="2946" spans="1:9">
      <c r="A2946" s="3" t="s">
        <v>2971</v>
      </c>
      <c r="B2946" s="3" t="s">
        <v>26</v>
      </c>
      <c r="C2946" s="3">
        <v>2895620</v>
      </c>
      <c r="D2946" s="3">
        <v>721167</v>
      </c>
      <c r="E2946" s="3" t="s">
        <v>27</v>
      </c>
      <c r="F2946" s="3">
        <v>2293098</v>
      </c>
      <c r="G2946" s="3">
        <v>560427</v>
      </c>
      <c r="H2946" s="3">
        <v>602522</v>
      </c>
      <c r="I2946" s="3">
        <v>160740</v>
      </c>
    </row>
    <row r="2947" spans="1:9">
      <c r="A2947" s="3" t="s">
        <v>2972</v>
      </c>
      <c r="B2947" s="3" t="s">
        <v>26</v>
      </c>
      <c r="C2947" s="3">
        <v>3445049</v>
      </c>
      <c r="D2947" s="3">
        <v>1119084</v>
      </c>
      <c r="E2947" s="3" t="s">
        <v>27</v>
      </c>
      <c r="F2947" s="3">
        <v>2504715</v>
      </c>
      <c r="G2947" s="3">
        <v>764525</v>
      </c>
      <c r="H2947" s="3">
        <v>940334</v>
      </c>
      <c r="I2947" s="3">
        <v>354559</v>
      </c>
    </row>
    <row r="2948" spans="1:9">
      <c r="A2948" s="3" t="s">
        <v>2973</v>
      </c>
      <c r="B2948" s="3" t="s">
        <v>26</v>
      </c>
      <c r="C2948" s="3">
        <v>2561154</v>
      </c>
      <c r="D2948" s="3">
        <v>613053</v>
      </c>
      <c r="E2948" s="3" t="s">
        <v>27</v>
      </c>
      <c r="F2948" s="3">
        <v>1610450</v>
      </c>
      <c r="G2948" s="3">
        <v>378677</v>
      </c>
      <c r="H2948" s="3">
        <v>950704</v>
      </c>
      <c r="I2948" s="3">
        <v>234376</v>
      </c>
    </row>
    <row r="2949" spans="1:9">
      <c r="A2949" s="3" t="s">
        <v>2974</v>
      </c>
      <c r="B2949" s="3" t="s">
        <v>26</v>
      </c>
      <c r="C2949" s="3">
        <v>2039966</v>
      </c>
      <c r="D2949" s="3">
        <v>188567</v>
      </c>
      <c r="E2949" s="3" t="s">
        <v>27</v>
      </c>
      <c r="F2949" s="3">
        <v>1196020</v>
      </c>
      <c r="G2949" s="3">
        <v>136154</v>
      </c>
      <c r="H2949" s="3">
        <v>843946</v>
      </c>
      <c r="I2949" s="3">
        <v>52413</v>
      </c>
    </row>
    <row r="2950" spans="1:9">
      <c r="A2950" s="3" t="s">
        <v>2975</v>
      </c>
      <c r="B2950" s="3" t="s">
        <v>26</v>
      </c>
      <c r="C2950" s="3">
        <v>1504831</v>
      </c>
      <c r="D2950" s="3">
        <v>214590</v>
      </c>
      <c r="E2950" s="3" t="s">
        <v>27</v>
      </c>
      <c r="F2950" s="3">
        <v>1057599</v>
      </c>
      <c r="G2950" s="3">
        <v>176828</v>
      </c>
      <c r="H2950" s="3">
        <v>447232</v>
      </c>
      <c r="I2950" s="3">
        <v>37762</v>
      </c>
    </row>
    <row r="2951" spans="1:9">
      <c r="A2951" s="3" t="s">
        <v>2976</v>
      </c>
      <c r="B2951" s="3" t="s">
        <v>26</v>
      </c>
      <c r="C2951" s="3">
        <v>3368520</v>
      </c>
      <c r="D2951" s="3">
        <v>1170867</v>
      </c>
      <c r="E2951" s="3" t="s">
        <v>27</v>
      </c>
      <c r="F2951" s="3">
        <v>2276234</v>
      </c>
      <c r="G2951" s="3">
        <v>781784</v>
      </c>
      <c r="H2951" s="3">
        <v>1092286</v>
      </c>
      <c r="I2951" s="3">
        <v>389083</v>
      </c>
    </row>
    <row r="2952" spans="1:9">
      <c r="A2952" s="3" t="s">
        <v>2977</v>
      </c>
      <c r="B2952" s="3" t="s">
        <v>26</v>
      </c>
      <c r="C2952" s="3">
        <v>2284174</v>
      </c>
      <c r="D2952" s="3">
        <v>418395</v>
      </c>
      <c r="E2952" s="3" t="s">
        <v>27</v>
      </c>
      <c r="F2952" s="3">
        <v>1450509</v>
      </c>
      <c r="G2952" s="3">
        <v>281594</v>
      </c>
      <c r="H2952" s="3">
        <v>833665</v>
      </c>
      <c r="I2952" s="3">
        <v>136801</v>
      </c>
    </row>
    <row r="2953" spans="1:9">
      <c r="A2953" s="3" t="s">
        <v>2978</v>
      </c>
      <c r="B2953" s="3" t="s">
        <v>26</v>
      </c>
      <c r="C2953" s="3">
        <v>2180152</v>
      </c>
      <c r="D2953" s="3">
        <v>551986</v>
      </c>
      <c r="E2953" s="3" t="s">
        <v>27</v>
      </c>
      <c r="F2953" s="3">
        <v>1538919</v>
      </c>
      <c r="G2953" s="3">
        <v>390587</v>
      </c>
      <c r="H2953" s="3">
        <v>641233</v>
      </c>
      <c r="I2953" s="3">
        <v>161399</v>
      </c>
    </row>
    <row r="2954" spans="1:9">
      <c r="A2954" s="3" t="s">
        <v>2979</v>
      </c>
      <c r="B2954" s="3" t="s">
        <v>26</v>
      </c>
      <c r="C2954" s="3">
        <v>1434432</v>
      </c>
      <c r="D2954" s="3">
        <v>101230</v>
      </c>
      <c r="E2954" s="3" t="s">
        <v>27</v>
      </c>
      <c r="F2954" s="3">
        <v>862309</v>
      </c>
      <c r="G2954" s="3">
        <v>65511</v>
      </c>
      <c r="H2954" s="3">
        <v>572123</v>
      </c>
      <c r="I2954" s="3">
        <v>35719</v>
      </c>
    </row>
    <row r="2955" spans="1:9">
      <c r="A2955" s="3" t="s">
        <v>2980</v>
      </c>
      <c r="B2955" s="3" t="s">
        <v>26</v>
      </c>
      <c r="C2955" s="3">
        <v>1640841</v>
      </c>
      <c r="D2955" s="3">
        <v>191531</v>
      </c>
      <c r="E2955" s="3" t="s">
        <v>27</v>
      </c>
      <c r="F2955" s="3">
        <v>1013445</v>
      </c>
      <c r="G2955" s="3">
        <v>123400</v>
      </c>
      <c r="H2955" s="3">
        <v>627396</v>
      </c>
      <c r="I2955" s="3">
        <v>68131</v>
      </c>
    </row>
    <row r="2956" spans="1:9">
      <c r="A2956" s="3" t="s">
        <v>2981</v>
      </c>
      <c r="B2956" s="3" t="s">
        <v>26</v>
      </c>
      <c r="C2956" s="3">
        <v>2285299</v>
      </c>
      <c r="D2956" s="3">
        <v>506944</v>
      </c>
      <c r="E2956" s="3" t="s">
        <v>27</v>
      </c>
      <c r="F2956" s="3">
        <v>1489253</v>
      </c>
      <c r="G2956" s="3">
        <v>330598</v>
      </c>
      <c r="H2956" s="3">
        <v>796046</v>
      </c>
      <c r="I2956" s="3">
        <v>176346</v>
      </c>
    </row>
    <row r="2957" spans="1:9">
      <c r="A2957" s="3" t="s">
        <v>2982</v>
      </c>
      <c r="B2957" s="3" t="s">
        <v>26</v>
      </c>
      <c r="C2957" s="3">
        <v>3011433</v>
      </c>
      <c r="D2957" s="3">
        <v>1166194</v>
      </c>
      <c r="E2957" s="3" t="s">
        <v>27</v>
      </c>
      <c r="F2957" s="3">
        <v>2373625</v>
      </c>
      <c r="G2957" s="3">
        <v>908079</v>
      </c>
      <c r="H2957" s="3">
        <v>637808</v>
      </c>
      <c r="I2957" s="3">
        <v>258115</v>
      </c>
    </row>
    <row r="2958" spans="1:9">
      <c r="A2958" s="3" t="s">
        <v>2983</v>
      </c>
      <c r="B2958" s="3" t="s">
        <v>26</v>
      </c>
      <c r="C2958" s="3">
        <v>1039476</v>
      </c>
      <c r="D2958" s="3">
        <v>50828</v>
      </c>
      <c r="E2958" s="3" t="s">
        <v>27</v>
      </c>
      <c r="F2958" s="3">
        <v>787408</v>
      </c>
      <c r="G2958" s="3">
        <v>37661</v>
      </c>
      <c r="H2958" s="3">
        <v>252068</v>
      </c>
      <c r="I2958" s="3">
        <v>13167</v>
      </c>
    </row>
    <row r="2959" spans="1:9">
      <c r="A2959" s="3" t="s">
        <v>2984</v>
      </c>
      <c r="B2959" s="3" t="s">
        <v>26</v>
      </c>
      <c r="C2959" s="3">
        <v>2201026</v>
      </c>
      <c r="D2959" s="3">
        <v>683684</v>
      </c>
      <c r="E2959" s="3" t="s">
        <v>27</v>
      </c>
      <c r="F2959" s="3">
        <v>1963578</v>
      </c>
      <c r="G2959" s="3">
        <v>601629</v>
      </c>
      <c r="H2959" s="3">
        <v>237448</v>
      </c>
      <c r="I2959" s="3">
        <v>82055</v>
      </c>
    </row>
    <row r="2960" spans="1:9">
      <c r="A2960" s="3" t="s">
        <v>2985</v>
      </c>
      <c r="B2960" s="3" t="s">
        <v>26</v>
      </c>
      <c r="C2960" s="3">
        <v>3305373</v>
      </c>
      <c r="D2960" s="3">
        <v>1129897</v>
      </c>
      <c r="E2960" s="3" t="s">
        <v>27</v>
      </c>
      <c r="F2960" s="3">
        <v>2408628</v>
      </c>
      <c r="G2960" s="3">
        <v>797916</v>
      </c>
      <c r="H2960" s="3">
        <v>896745</v>
      </c>
      <c r="I2960" s="3">
        <v>331981</v>
      </c>
    </row>
    <row r="2961" spans="1:9">
      <c r="A2961" s="3" t="s">
        <v>2986</v>
      </c>
      <c r="B2961" s="3" t="s">
        <v>26</v>
      </c>
      <c r="C2961" s="3">
        <v>2016537</v>
      </c>
      <c r="D2961" s="3">
        <v>410793</v>
      </c>
      <c r="E2961" s="3" t="s">
        <v>27</v>
      </c>
      <c r="F2961" s="3">
        <v>1288209</v>
      </c>
      <c r="G2961" s="3">
        <v>258086</v>
      </c>
      <c r="H2961" s="3">
        <v>728328</v>
      </c>
      <c r="I2961" s="3">
        <v>152707</v>
      </c>
    </row>
    <row r="2962" spans="1:9">
      <c r="A2962" s="3" t="s">
        <v>2987</v>
      </c>
      <c r="B2962" s="3" t="s">
        <v>26</v>
      </c>
      <c r="C2962" s="3">
        <v>1327228</v>
      </c>
      <c r="D2962" s="3">
        <v>123631</v>
      </c>
      <c r="E2962" s="3" t="s">
        <v>27</v>
      </c>
      <c r="F2962" s="3">
        <v>729074</v>
      </c>
      <c r="G2962" s="3">
        <v>65609</v>
      </c>
      <c r="H2962" s="3">
        <v>598154</v>
      </c>
      <c r="I2962" s="3">
        <v>58022</v>
      </c>
    </row>
    <row r="2963" spans="1:9">
      <c r="A2963" s="3" t="s">
        <v>2988</v>
      </c>
      <c r="B2963" s="3" t="s">
        <v>26</v>
      </c>
      <c r="C2963" s="3">
        <v>2669307</v>
      </c>
      <c r="D2963" s="3">
        <v>767118</v>
      </c>
      <c r="E2963" s="3" t="s">
        <v>27</v>
      </c>
      <c r="F2963" s="3">
        <v>2029355</v>
      </c>
      <c r="G2963" s="3">
        <v>597325</v>
      </c>
      <c r="H2963" s="3">
        <v>639952</v>
      </c>
      <c r="I2963" s="3">
        <v>169793</v>
      </c>
    </row>
    <row r="2964" spans="1:9">
      <c r="A2964" s="3" t="s">
        <v>2989</v>
      </c>
      <c r="B2964" s="3" t="s">
        <v>26</v>
      </c>
      <c r="C2964" s="3">
        <v>3089911</v>
      </c>
      <c r="D2964" s="3">
        <v>963906</v>
      </c>
      <c r="E2964" s="3" t="s">
        <v>27</v>
      </c>
      <c r="F2964" s="3">
        <v>2011746</v>
      </c>
      <c r="G2964" s="3">
        <v>600228</v>
      </c>
      <c r="H2964" s="3">
        <v>1078165</v>
      </c>
      <c r="I2964" s="3">
        <v>363678</v>
      </c>
    </row>
    <row r="2965" spans="1:9">
      <c r="A2965" s="3" t="s">
        <v>2990</v>
      </c>
      <c r="B2965" s="3" t="s">
        <v>26</v>
      </c>
      <c r="C2965" s="3">
        <v>2566528</v>
      </c>
      <c r="D2965" s="3">
        <v>777160</v>
      </c>
      <c r="E2965" s="3" t="s">
        <v>27</v>
      </c>
      <c r="F2965" s="3">
        <v>1937679</v>
      </c>
      <c r="G2965" s="3">
        <v>580285</v>
      </c>
      <c r="H2965" s="3">
        <v>628849</v>
      </c>
      <c r="I2965" s="3">
        <v>196875</v>
      </c>
    </row>
    <row r="2966" spans="1:9">
      <c r="A2966" s="3" t="s">
        <v>2991</v>
      </c>
      <c r="B2966" s="3" t="s">
        <v>26</v>
      </c>
      <c r="C2966" s="3">
        <v>2774259</v>
      </c>
      <c r="D2966" s="3">
        <v>898634</v>
      </c>
      <c r="E2966" s="3" t="s">
        <v>27</v>
      </c>
      <c r="F2966" s="3">
        <v>2099374</v>
      </c>
      <c r="G2966" s="3">
        <v>648337</v>
      </c>
      <c r="H2966" s="3">
        <v>674885</v>
      </c>
      <c r="I2966" s="3">
        <v>250297</v>
      </c>
    </row>
    <row r="2967" spans="1:9">
      <c r="A2967" s="3" t="s">
        <v>2992</v>
      </c>
      <c r="B2967" s="3" t="s">
        <v>26</v>
      </c>
      <c r="C2967" s="3">
        <v>971972</v>
      </c>
      <c r="D2967" s="3">
        <v>6864</v>
      </c>
      <c r="E2967" s="3" t="s">
        <v>27</v>
      </c>
      <c r="F2967" s="3">
        <v>528756</v>
      </c>
      <c r="G2967" s="3">
        <v>3880</v>
      </c>
      <c r="H2967" s="3">
        <v>443216</v>
      </c>
      <c r="I2967" s="3">
        <v>2984</v>
      </c>
    </row>
    <row r="2968" spans="1:9">
      <c r="A2968" s="3" t="s">
        <v>2993</v>
      </c>
      <c r="B2968" s="3" t="s">
        <v>26</v>
      </c>
      <c r="C2968" s="3">
        <v>2866858</v>
      </c>
      <c r="D2968" s="3">
        <v>777083</v>
      </c>
      <c r="E2968" s="3" t="s">
        <v>27</v>
      </c>
      <c r="F2968" s="3">
        <v>1797273</v>
      </c>
      <c r="G2968" s="3">
        <v>476375</v>
      </c>
      <c r="H2968" s="3">
        <v>1069585</v>
      </c>
      <c r="I2968" s="3">
        <v>300708</v>
      </c>
    </row>
    <row r="2969" spans="1:9">
      <c r="A2969" s="3" t="s">
        <v>2994</v>
      </c>
      <c r="B2969" s="3" t="s">
        <v>26</v>
      </c>
      <c r="C2969" s="3">
        <v>1711609</v>
      </c>
      <c r="D2969" s="3">
        <v>286722</v>
      </c>
      <c r="E2969" s="3" t="s">
        <v>27</v>
      </c>
      <c r="F2969" s="3">
        <v>1101147</v>
      </c>
      <c r="G2969" s="3">
        <v>207710</v>
      </c>
      <c r="H2969" s="3">
        <v>610462</v>
      </c>
      <c r="I2969" s="3">
        <v>79012</v>
      </c>
    </row>
    <row r="2970" spans="1:9">
      <c r="A2970" s="3" t="s">
        <v>2995</v>
      </c>
      <c r="B2970" s="3" t="s">
        <v>26</v>
      </c>
      <c r="C2970" s="3">
        <v>1618131</v>
      </c>
      <c r="D2970" s="3">
        <v>57551</v>
      </c>
      <c r="E2970" s="3" t="s">
        <v>27</v>
      </c>
      <c r="F2970" s="3">
        <v>928517</v>
      </c>
      <c r="G2970" s="3">
        <v>35381</v>
      </c>
      <c r="H2970" s="3">
        <v>689614</v>
      </c>
      <c r="I2970" s="3">
        <v>22170</v>
      </c>
    </row>
    <row r="2971" spans="1:9">
      <c r="A2971" s="3" t="s">
        <v>2996</v>
      </c>
      <c r="B2971" s="3" t="s">
        <v>26</v>
      </c>
      <c r="C2971" s="3">
        <v>3241180</v>
      </c>
      <c r="D2971" s="3">
        <v>1218059</v>
      </c>
      <c r="E2971" s="3" t="s">
        <v>27</v>
      </c>
      <c r="F2971" s="3">
        <v>2616407</v>
      </c>
      <c r="G2971" s="3">
        <v>971999</v>
      </c>
      <c r="H2971" s="3">
        <v>624773</v>
      </c>
      <c r="I2971" s="3">
        <v>246060</v>
      </c>
    </row>
    <row r="2972" spans="1:9">
      <c r="A2972" s="3" t="s">
        <v>2997</v>
      </c>
      <c r="B2972" s="3" t="s">
        <v>26</v>
      </c>
      <c r="C2972" s="3">
        <v>2244057</v>
      </c>
      <c r="D2972" s="3">
        <v>555417</v>
      </c>
      <c r="E2972" s="3" t="s">
        <v>27</v>
      </c>
      <c r="F2972" s="3">
        <v>1662911</v>
      </c>
      <c r="G2972" s="3">
        <v>424270</v>
      </c>
      <c r="H2972" s="3">
        <v>581146</v>
      </c>
      <c r="I2972" s="3">
        <v>131147</v>
      </c>
    </row>
    <row r="2973" spans="1:9">
      <c r="A2973" s="3" t="s">
        <v>2998</v>
      </c>
      <c r="B2973" s="3" t="s">
        <v>26</v>
      </c>
      <c r="C2973" s="3">
        <v>2090292</v>
      </c>
      <c r="D2973" s="3">
        <v>455934</v>
      </c>
      <c r="E2973" s="3" t="s">
        <v>27</v>
      </c>
      <c r="F2973" s="3">
        <v>1277207</v>
      </c>
      <c r="G2973" s="3">
        <v>314852</v>
      </c>
      <c r="H2973" s="3">
        <v>813085</v>
      </c>
      <c r="I2973" s="3">
        <v>141082</v>
      </c>
    </row>
    <row r="2974" spans="1:9">
      <c r="A2974" s="3" t="s">
        <v>2999</v>
      </c>
      <c r="B2974" s="3" t="s">
        <v>26</v>
      </c>
      <c r="C2974" s="3">
        <v>965515</v>
      </c>
      <c r="D2974" s="3">
        <v>3879</v>
      </c>
      <c r="E2974" s="3" t="s">
        <v>27</v>
      </c>
      <c r="F2974" s="3">
        <v>531706</v>
      </c>
      <c r="G2974" s="3">
        <v>2397</v>
      </c>
      <c r="H2974" s="3">
        <v>433809</v>
      </c>
      <c r="I2974" s="3">
        <v>1482</v>
      </c>
    </row>
    <row r="2975" spans="1:9">
      <c r="A2975" s="3" t="s">
        <v>3000</v>
      </c>
      <c r="B2975" s="3" t="s">
        <v>26</v>
      </c>
      <c r="C2975" s="3">
        <v>3273257</v>
      </c>
      <c r="D2975" s="3">
        <v>1204369</v>
      </c>
      <c r="E2975" s="3" t="s">
        <v>27</v>
      </c>
      <c r="F2975" s="3">
        <v>2708727</v>
      </c>
      <c r="G2975" s="3">
        <v>947333</v>
      </c>
      <c r="H2975" s="3">
        <v>564530</v>
      </c>
      <c r="I2975" s="3">
        <v>257036</v>
      </c>
    </row>
    <row r="2976" spans="1:9">
      <c r="A2976" s="3" t="s">
        <v>3001</v>
      </c>
      <c r="B2976" s="3" t="s">
        <v>26</v>
      </c>
      <c r="C2976" s="3">
        <v>1687068</v>
      </c>
      <c r="D2976" s="3">
        <v>149637</v>
      </c>
      <c r="E2976" s="3" t="s">
        <v>27</v>
      </c>
      <c r="F2976" s="3">
        <v>1035575</v>
      </c>
      <c r="G2976" s="3">
        <v>94901</v>
      </c>
      <c r="H2976" s="3">
        <v>651493</v>
      </c>
      <c r="I2976" s="3">
        <v>54736</v>
      </c>
    </row>
    <row r="2977" spans="1:9">
      <c r="A2977" s="3" t="s">
        <v>3002</v>
      </c>
      <c r="B2977" s="3" t="s">
        <v>26</v>
      </c>
      <c r="C2977" s="3">
        <v>826429</v>
      </c>
      <c r="D2977" s="3">
        <v>75863</v>
      </c>
      <c r="E2977" s="3" t="s">
        <v>27</v>
      </c>
      <c r="F2977" s="3">
        <v>498076</v>
      </c>
      <c r="G2977" s="3">
        <v>50501</v>
      </c>
      <c r="H2977" s="3">
        <v>328353</v>
      </c>
      <c r="I2977" s="3">
        <v>25362</v>
      </c>
    </row>
    <row r="2978" spans="1:9">
      <c r="A2978" s="3" t="s">
        <v>3003</v>
      </c>
      <c r="B2978" s="3" t="s">
        <v>26</v>
      </c>
      <c r="C2978" s="3">
        <v>1464098</v>
      </c>
      <c r="D2978" s="3">
        <v>432578</v>
      </c>
      <c r="E2978" s="3" t="s">
        <v>27</v>
      </c>
      <c r="F2978" s="3">
        <v>1068486</v>
      </c>
      <c r="G2978" s="3">
        <v>301232</v>
      </c>
      <c r="H2978" s="3">
        <v>395612</v>
      </c>
      <c r="I2978" s="3">
        <v>131346</v>
      </c>
    </row>
    <row r="2979" spans="1:9">
      <c r="A2979" s="3" t="s">
        <v>3004</v>
      </c>
      <c r="B2979" s="3" t="s">
        <v>26</v>
      </c>
      <c r="C2979" s="3">
        <v>833959</v>
      </c>
      <c r="D2979" s="3">
        <v>170651</v>
      </c>
      <c r="E2979" s="3" t="s">
        <v>27</v>
      </c>
      <c r="F2979" s="3">
        <v>664509</v>
      </c>
      <c r="G2979" s="3">
        <v>126135</v>
      </c>
      <c r="H2979" s="3">
        <v>169450</v>
      </c>
      <c r="I2979" s="3">
        <v>44516</v>
      </c>
    </row>
    <row r="2980" spans="1:9">
      <c r="A2980" s="3" t="s">
        <v>3005</v>
      </c>
      <c r="B2980" s="3" t="s">
        <v>26</v>
      </c>
      <c r="C2980" s="3">
        <v>939060</v>
      </c>
      <c r="D2980" s="3">
        <v>34779</v>
      </c>
      <c r="E2980" s="3" t="s">
        <v>27</v>
      </c>
      <c r="F2980" s="3">
        <v>531229</v>
      </c>
      <c r="G2980" s="3">
        <v>25369</v>
      </c>
      <c r="H2980" s="3">
        <v>407831</v>
      </c>
      <c r="I2980" s="3">
        <v>9410</v>
      </c>
    </row>
    <row r="2981" spans="1:9">
      <c r="A2981" s="3" t="s">
        <v>3006</v>
      </c>
      <c r="B2981" s="3" t="s">
        <v>26</v>
      </c>
      <c r="C2981" s="3">
        <v>852314</v>
      </c>
      <c r="D2981" s="3">
        <v>54971</v>
      </c>
      <c r="E2981" s="3" t="s">
        <v>27</v>
      </c>
      <c r="F2981" s="3">
        <v>526860</v>
      </c>
      <c r="G2981" s="3">
        <v>24332</v>
      </c>
      <c r="H2981" s="3">
        <v>325454</v>
      </c>
      <c r="I2981" s="3">
        <v>30639</v>
      </c>
    </row>
    <row r="2982" spans="1:9">
      <c r="A2982" s="3" t="s">
        <v>3007</v>
      </c>
      <c r="B2982" s="3" t="s">
        <v>26</v>
      </c>
      <c r="C2982" s="3">
        <v>1481527</v>
      </c>
      <c r="D2982" s="3">
        <v>407760</v>
      </c>
      <c r="E2982" s="3" t="s">
        <v>27</v>
      </c>
      <c r="F2982" s="3">
        <v>1104047</v>
      </c>
      <c r="G2982" s="3">
        <v>284731</v>
      </c>
      <c r="H2982" s="3">
        <v>377480</v>
      </c>
      <c r="I2982" s="3">
        <v>123029</v>
      </c>
    </row>
    <row r="2983" spans="1:9">
      <c r="A2983" s="3" t="s">
        <v>3008</v>
      </c>
      <c r="B2983" s="3" t="s">
        <v>26</v>
      </c>
      <c r="C2983" s="3">
        <v>1662930</v>
      </c>
      <c r="D2983" s="3">
        <v>507569</v>
      </c>
      <c r="E2983" s="3" t="s">
        <v>27</v>
      </c>
      <c r="F2983" s="3">
        <v>1285976</v>
      </c>
      <c r="G2983" s="3">
        <v>372388</v>
      </c>
      <c r="H2983" s="3">
        <v>376954</v>
      </c>
      <c r="I2983" s="3">
        <v>135181</v>
      </c>
    </row>
    <row r="2984" spans="1:9">
      <c r="A2984" s="3" t="s">
        <v>3009</v>
      </c>
      <c r="B2984" s="3" t="s">
        <v>26</v>
      </c>
      <c r="C2984" s="3">
        <v>545834</v>
      </c>
      <c r="D2984" s="3">
        <v>8345</v>
      </c>
      <c r="E2984" s="3" t="s">
        <v>27</v>
      </c>
      <c r="F2984" s="3">
        <v>293391</v>
      </c>
      <c r="G2984" s="3">
        <v>3965</v>
      </c>
      <c r="H2984" s="3">
        <v>252443</v>
      </c>
      <c r="I2984" s="3">
        <v>4380</v>
      </c>
    </row>
    <row r="2985" spans="1:9">
      <c r="A2985" s="3" t="s">
        <v>3010</v>
      </c>
      <c r="B2985" s="3" t="s">
        <v>26</v>
      </c>
      <c r="C2985" s="3">
        <v>627883</v>
      </c>
      <c r="D2985" s="3">
        <v>6347</v>
      </c>
      <c r="E2985" s="3" t="s">
        <v>27</v>
      </c>
      <c r="F2985" s="3">
        <v>338142</v>
      </c>
      <c r="G2985" s="3">
        <v>3766</v>
      </c>
      <c r="H2985" s="3">
        <v>289741</v>
      </c>
      <c r="I2985" s="3">
        <v>2581</v>
      </c>
    </row>
    <row r="2986" spans="1:9">
      <c r="A2986" s="3" t="s">
        <v>3011</v>
      </c>
      <c r="B2986" s="3" t="s">
        <v>26</v>
      </c>
      <c r="C2986" s="3">
        <v>482742</v>
      </c>
      <c r="D2986" s="3">
        <v>100360</v>
      </c>
      <c r="E2986" s="3" t="s">
        <v>27</v>
      </c>
      <c r="F2986" s="3">
        <v>306001</v>
      </c>
      <c r="G2986" s="3">
        <v>57038</v>
      </c>
      <c r="H2986" s="3">
        <v>176741</v>
      </c>
      <c r="I2986" s="3">
        <v>43322</v>
      </c>
    </row>
    <row r="2987" spans="1:9">
      <c r="A2987" s="3" t="s">
        <v>3012</v>
      </c>
      <c r="B2987" s="3" t="s">
        <v>26</v>
      </c>
      <c r="C2987" s="3">
        <v>1510955</v>
      </c>
      <c r="D2987" s="3">
        <v>368286</v>
      </c>
      <c r="E2987" s="3" t="s">
        <v>27</v>
      </c>
      <c r="F2987" s="3">
        <v>1033332</v>
      </c>
      <c r="G2987" s="3">
        <v>245663</v>
      </c>
      <c r="H2987" s="3">
        <v>477623</v>
      </c>
      <c r="I2987" s="3">
        <v>122623</v>
      </c>
    </row>
    <row r="2988" spans="1:9">
      <c r="A2988" s="3" t="s">
        <v>3013</v>
      </c>
      <c r="B2988" s="3" t="s">
        <v>26</v>
      </c>
      <c r="C2988" s="3">
        <v>690502</v>
      </c>
      <c r="D2988" s="3">
        <v>178648</v>
      </c>
      <c r="E2988" s="3" t="s">
        <v>27</v>
      </c>
      <c r="F2988" s="3">
        <v>575955</v>
      </c>
      <c r="G2988" s="3">
        <v>137093</v>
      </c>
      <c r="H2988" s="3">
        <v>114547</v>
      </c>
      <c r="I2988" s="3">
        <v>41555</v>
      </c>
    </row>
    <row r="2989" spans="1:9">
      <c r="A2989" s="3" t="s">
        <v>3014</v>
      </c>
      <c r="B2989" s="3" t="s">
        <v>26</v>
      </c>
      <c r="C2989" s="3">
        <v>1073567</v>
      </c>
      <c r="D2989" s="3">
        <v>185498</v>
      </c>
      <c r="E2989" s="3" t="s">
        <v>27</v>
      </c>
      <c r="F2989" s="3">
        <v>756856</v>
      </c>
      <c r="G2989" s="3">
        <v>142422</v>
      </c>
      <c r="H2989" s="3">
        <v>316711</v>
      </c>
      <c r="I2989" s="3">
        <v>43076</v>
      </c>
    </row>
    <row r="2990" spans="1:9">
      <c r="A2990" s="3" t="s">
        <v>3015</v>
      </c>
      <c r="B2990" s="3" t="s">
        <v>26</v>
      </c>
      <c r="C2990" s="3">
        <v>261521</v>
      </c>
      <c r="D2990" s="3">
        <v>22437</v>
      </c>
      <c r="E2990" s="3" t="s">
        <v>27</v>
      </c>
      <c r="F2990" s="3">
        <v>234114</v>
      </c>
      <c r="G2990" s="3">
        <v>17903</v>
      </c>
      <c r="H2990" s="3">
        <v>27407</v>
      </c>
      <c r="I2990" s="3">
        <v>4534</v>
      </c>
    </row>
    <row r="2991" spans="1:9">
      <c r="A2991" s="3" t="s">
        <v>3016</v>
      </c>
      <c r="B2991" s="3" t="s">
        <v>26</v>
      </c>
      <c r="C2991" s="3">
        <v>541838</v>
      </c>
      <c r="D2991" s="3">
        <v>8790</v>
      </c>
      <c r="E2991" s="3" t="s">
        <v>27</v>
      </c>
      <c r="F2991" s="3">
        <v>275846</v>
      </c>
      <c r="G2991" s="3">
        <v>6131</v>
      </c>
      <c r="H2991" s="3">
        <v>265992</v>
      </c>
      <c r="I2991" s="3">
        <v>2659</v>
      </c>
    </row>
    <row r="2992" spans="1:9">
      <c r="A2992" s="3" t="s">
        <v>3017</v>
      </c>
      <c r="B2992" s="3" t="s">
        <v>26</v>
      </c>
      <c r="C2992" s="3">
        <v>1207255</v>
      </c>
      <c r="D2992" s="3">
        <v>177024</v>
      </c>
      <c r="E2992" s="3" t="s">
        <v>27</v>
      </c>
      <c r="F2992" s="3">
        <v>713244</v>
      </c>
      <c r="G2992" s="3">
        <v>109459</v>
      </c>
      <c r="H2992" s="3">
        <v>494011</v>
      </c>
      <c r="I2992" s="3">
        <v>67565</v>
      </c>
    </row>
    <row r="2993" spans="1:9">
      <c r="A2993" s="3" t="s">
        <v>3018</v>
      </c>
      <c r="B2993" s="3" t="s">
        <v>26</v>
      </c>
      <c r="C2993" s="3">
        <v>1859473</v>
      </c>
      <c r="D2993" s="3">
        <v>639444</v>
      </c>
      <c r="E2993" s="3" t="s">
        <v>27</v>
      </c>
      <c r="F2993" s="3">
        <v>1432395</v>
      </c>
      <c r="G2993" s="3">
        <v>475546</v>
      </c>
      <c r="H2993" s="3">
        <v>427078</v>
      </c>
      <c r="I2993" s="3">
        <v>163898</v>
      </c>
    </row>
    <row r="2994" spans="1:9">
      <c r="A2994" s="3" t="s">
        <v>3019</v>
      </c>
      <c r="B2994" s="3" t="s">
        <v>26</v>
      </c>
      <c r="C2994" s="3">
        <v>1620038</v>
      </c>
      <c r="D2994" s="3">
        <v>491543</v>
      </c>
      <c r="E2994" s="3" t="s">
        <v>27</v>
      </c>
      <c r="F2994" s="3">
        <v>1163915</v>
      </c>
      <c r="G2994" s="3">
        <v>339426</v>
      </c>
      <c r="H2994" s="3">
        <v>456123</v>
      </c>
      <c r="I2994" s="3">
        <v>152117</v>
      </c>
    </row>
    <row r="2995" spans="1:9">
      <c r="A2995" s="3" t="s">
        <v>3020</v>
      </c>
      <c r="B2995" s="3" t="s">
        <v>26</v>
      </c>
      <c r="C2995" s="3">
        <v>1598860</v>
      </c>
      <c r="D2995" s="3">
        <v>500416</v>
      </c>
      <c r="E2995" s="3" t="s">
        <v>27</v>
      </c>
      <c r="F2995" s="3">
        <v>1216856</v>
      </c>
      <c r="G2995" s="3">
        <v>366365</v>
      </c>
      <c r="H2995" s="3">
        <v>382004</v>
      </c>
      <c r="I2995" s="3">
        <v>134051</v>
      </c>
    </row>
    <row r="2996" spans="1:9">
      <c r="A2996" s="3" t="s">
        <v>3021</v>
      </c>
      <c r="B2996" s="3" t="s">
        <v>26</v>
      </c>
      <c r="C2996" s="3">
        <v>503398</v>
      </c>
      <c r="D2996" s="3">
        <v>590</v>
      </c>
      <c r="E2996" s="3" t="s">
        <v>27</v>
      </c>
      <c r="F2996" s="3">
        <v>259814</v>
      </c>
      <c r="G2996" s="3">
        <v>218</v>
      </c>
      <c r="H2996" s="3">
        <v>243584</v>
      </c>
      <c r="I2996" s="3">
        <v>372</v>
      </c>
    </row>
    <row r="2997" spans="1:9">
      <c r="A2997" s="3" t="s">
        <v>3022</v>
      </c>
      <c r="B2997" s="3" t="s">
        <v>26</v>
      </c>
      <c r="C2997" s="3">
        <v>1417735</v>
      </c>
      <c r="D2997" s="3">
        <v>429385</v>
      </c>
      <c r="E2997" s="3" t="s">
        <v>27</v>
      </c>
      <c r="F2997" s="3">
        <v>1164207</v>
      </c>
      <c r="G2997" s="3">
        <v>338056</v>
      </c>
      <c r="H2997" s="3">
        <v>253528</v>
      </c>
      <c r="I2997" s="3">
        <v>91329</v>
      </c>
    </row>
    <row r="2998" spans="1:9">
      <c r="A2998" s="3" t="s">
        <v>3023</v>
      </c>
      <c r="B2998" s="3" t="s">
        <v>26</v>
      </c>
      <c r="C2998" s="3">
        <v>1300273</v>
      </c>
      <c r="D2998" s="3">
        <v>278240</v>
      </c>
      <c r="E2998" s="3" t="s">
        <v>27</v>
      </c>
      <c r="F2998" s="3">
        <v>897407</v>
      </c>
      <c r="G2998" s="3">
        <v>190483</v>
      </c>
      <c r="H2998" s="3">
        <v>402866</v>
      </c>
      <c r="I2998" s="3">
        <v>87757</v>
      </c>
    </row>
    <row r="2999" spans="1:9">
      <c r="A2999" s="3" t="s">
        <v>3024</v>
      </c>
      <c r="B2999" s="3" t="s">
        <v>26</v>
      </c>
      <c r="C2999" s="3">
        <v>1561418</v>
      </c>
      <c r="D2999" s="3">
        <v>436207</v>
      </c>
      <c r="E2999" s="3" t="s">
        <v>27</v>
      </c>
      <c r="F2999" s="3">
        <v>1150800</v>
      </c>
      <c r="G2999" s="3">
        <v>298231</v>
      </c>
      <c r="H2999" s="3">
        <v>410618</v>
      </c>
      <c r="I2999" s="3">
        <v>137976</v>
      </c>
    </row>
    <row r="3000" spans="1:9">
      <c r="A3000" s="3" t="s">
        <v>3025</v>
      </c>
      <c r="B3000" s="3" t="s">
        <v>26</v>
      </c>
      <c r="C3000" s="3">
        <v>1197972</v>
      </c>
      <c r="D3000" s="3">
        <v>56692</v>
      </c>
      <c r="E3000" s="3" t="s">
        <v>27</v>
      </c>
      <c r="F3000" s="3">
        <v>635217</v>
      </c>
      <c r="G3000" s="3">
        <v>34251</v>
      </c>
      <c r="H3000" s="3">
        <v>562755</v>
      </c>
      <c r="I3000" s="3">
        <v>22441</v>
      </c>
    </row>
    <row r="3001" spans="1:9">
      <c r="A3001" s="3" t="s">
        <v>3026</v>
      </c>
      <c r="B3001" s="3" t="s">
        <v>26</v>
      </c>
      <c r="C3001" s="3">
        <v>1724461</v>
      </c>
      <c r="D3001" s="3">
        <v>510640</v>
      </c>
      <c r="E3001" s="3" t="s">
        <v>27</v>
      </c>
      <c r="F3001" s="3">
        <v>1141407</v>
      </c>
      <c r="G3001" s="3">
        <v>316142</v>
      </c>
      <c r="H3001" s="3">
        <v>583054</v>
      </c>
      <c r="I3001" s="3">
        <v>194498</v>
      </c>
    </row>
    <row r="3002" spans="1:9">
      <c r="A3002" s="3" t="s">
        <v>3027</v>
      </c>
      <c r="B3002" s="3" t="s">
        <v>26</v>
      </c>
      <c r="C3002" s="3">
        <v>1121138</v>
      </c>
      <c r="D3002" s="3">
        <v>165453</v>
      </c>
      <c r="E3002" s="3" t="s">
        <v>27</v>
      </c>
      <c r="F3002" s="3">
        <v>714488</v>
      </c>
      <c r="G3002" s="3">
        <v>108398</v>
      </c>
      <c r="H3002" s="3">
        <v>406650</v>
      </c>
      <c r="I3002" s="3">
        <v>57055</v>
      </c>
    </row>
    <row r="3003" spans="1:9">
      <c r="A3003" s="3" t="s">
        <v>3028</v>
      </c>
      <c r="B3003" s="3" t="s">
        <v>26</v>
      </c>
      <c r="C3003" s="3">
        <v>1486458</v>
      </c>
      <c r="D3003" s="3">
        <v>326677</v>
      </c>
      <c r="E3003" s="3" t="s">
        <v>27</v>
      </c>
      <c r="F3003" s="3">
        <v>973066</v>
      </c>
      <c r="G3003" s="3">
        <v>213758</v>
      </c>
      <c r="H3003" s="3">
        <v>513392</v>
      </c>
      <c r="I3003" s="3">
        <v>112919</v>
      </c>
    </row>
    <row r="3004" spans="1:9">
      <c r="A3004" s="3" t="s">
        <v>3029</v>
      </c>
      <c r="B3004" s="3" t="s">
        <v>26</v>
      </c>
      <c r="C3004" s="3">
        <v>1628118</v>
      </c>
      <c r="D3004" s="3">
        <v>465798</v>
      </c>
      <c r="E3004" s="3" t="s">
        <v>27</v>
      </c>
      <c r="F3004" s="3">
        <v>1146895</v>
      </c>
      <c r="G3004" s="3">
        <v>314455</v>
      </c>
      <c r="H3004" s="3">
        <v>481223</v>
      </c>
      <c r="I3004" s="3">
        <v>151343</v>
      </c>
    </row>
    <row r="3005" spans="1:9">
      <c r="A3005" s="3" t="s">
        <v>3030</v>
      </c>
      <c r="B3005" s="3" t="s">
        <v>26</v>
      </c>
      <c r="C3005" s="3">
        <v>1176291</v>
      </c>
      <c r="D3005" s="3">
        <v>282830</v>
      </c>
      <c r="E3005" s="3" t="s">
        <v>27</v>
      </c>
      <c r="F3005" s="3">
        <v>869609</v>
      </c>
      <c r="G3005" s="3">
        <v>191206</v>
      </c>
      <c r="H3005" s="3">
        <v>306682</v>
      </c>
      <c r="I3005" s="3">
        <v>91624</v>
      </c>
    </row>
    <row r="3006" spans="1:9">
      <c r="A3006" s="3" t="s">
        <v>3031</v>
      </c>
      <c r="B3006" s="3" t="s">
        <v>26</v>
      </c>
      <c r="C3006" s="3">
        <v>713172</v>
      </c>
      <c r="D3006" s="3">
        <v>158837</v>
      </c>
      <c r="E3006" s="3" t="s">
        <v>27</v>
      </c>
      <c r="F3006" s="3">
        <v>639206</v>
      </c>
      <c r="G3006" s="3">
        <v>134614</v>
      </c>
      <c r="H3006" s="3">
        <v>73966</v>
      </c>
      <c r="I3006" s="3">
        <v>24223</v>
      </c>
    </row>
    <row r="3007" spans="1:9">
      <c r="A3007" s="3" t="s">
        <v>3032</v>
      </c>
      <c r="B3007" s="3" t="s">
        <v>26</v>
      </c>
      <c r="C3007" s="3">
        <v>872260</v>
      </c>
      <c r="D3007" s="3">
        <v>8482</v>
      </c>
      <c r="E3007" s="3" t="s">
        <v>27</v>
      </c>
      <c r="F3007" s="3">
        <v>527402</v>
      </c>
      <c r="G3007" s="3">
        <v>5185</v>
      </c>
      <c r="H3007" s="3">
        <v>344858</v>
      </c>
      <c r="I3007" s="3">
        <v>3297</v>
      </c>
    </row>
    <row r="3008" spans="1:9">
      <c r="A3008" s="3" t="s">
        <v>3033</v>
      </c>
      <c r="B3008" s="3" t="s">
        <v>26</v>
      </c>
      <c r="C3008" s="3">
        <v>1148175</v>
      </c>
      <c r="D3008" s="3">
        <v>223486</v>
      </c>
      <c r="E3008" s="3" t="s">
        <v>27</v>
      </c>
      <c r="F3008" s="3">
        <v>798551</v>
      </c>
      <c r="G3008" s="3">
        <v>146241</v>
      </c>
      <c r="H3008" s="3">
        <v>349624</v>
      </c>
      <c r="I3008" s="3">
        <v>77245</v>
      </c>
    </row>
    <row r="3009" spans="1:9">
      <c r="A3009" s="3" t="s">
        <v>3034</v>
      </c>
      <c r="B3009" s="3" t="s">
        <v>26</v>
      </c>
      <c r="C3009" s="3">
        <v>1380817</v>
      </c>
      <c r="D3009" s="3">
        <v>146131</v>
      </c>
      <c r="E3009" s="3" t="s">
        <v>27</v>
      </c>
      <c r="F3009" s="3">
        <v>825124</v>
      </c>
      <c r="G3009" s="3">
        <v>92423</v>
      </c>
      <c r="H3009" s="3">
        <v>555693</v>
      </c>
      <c r="I3009" s="3">
        <v>53708</v>
      </c>
    </row>
    <row r="3010" spans="1:9">
      <c r="A3010" s="3" t="s">
        <v>3035</v>
      </c>
      <c r="B3010" s="3" t="s">
        <v>26</v>
      </c>
      <c r="C3010" s="3">
        <v>1069568</v>
      </c>
      <c r="D3010" s="3">
        <v>72959</v>
      </c>
      <c r="E3010" s="3" t="s">
        <v>27</v>
      </c>
      <c r="F3010" s="3">
        <v>606497</v>
      </c>
      <c r="G3010" s="3">
        <v>42043</v>
      </c>
      <c r="H3010" s="3">
        <v>463071</v>
      </c>
      <c r="I3010" s="3">
        <v>30916</v>
      </c>
    </row>
    <row r="3011" spans="1:9">
      <c r="A3011" s="3" t="s">
        <v>3036</v>
      </c>
      <c r="B3011" s="3" t="s">
        <v>26</v>
      </c>
      <c r="C3011" s="3">
        <v>1303039</v>
      </c>
      <c r="D3011" s="3">
        <v>287411</v>
      </c>
      <c r="E3011" s="3" t="s">
        <v>27</v>
      </c>
      <c r="F3011" s="3">
        <v>828146</v>
      </c>
      <c r="G3011" s="3">
        <v>190193</v>
      </c>
      <c r="H3011" s="3">
        <v>474893</v>
      </c>
      <c r="I3011" s="3">
        <v>97218</v>
      </c>
    </row>
    <row r="3012" spans="1:9">
      <c r="A3012" s="3" t="s">
        <v>3037</v>
      </c>
      <c r="B3012" s="3" t="s">
        <v>26</v>
      </c>
      <c r="C3012" s="3">
        <v>1185230</v>
      </c>
      <c r="D3012" s="3">
        <v>263727</v>
      </c>
      <c r="E3012" s="3" t="s">
        <v>27</v>
      </c>
      <c r="F3012" s="3">
        <v>891916</v>
      </c>
      <c r="G3012" s="3">
        <v>209352</v>
      </c>
      <c r="H3012" s="3">
        <v>293314</v>
      </c>
      <c r="I3012" s="3">
        <v>54375</v>
      </c>
    </row>
    <row r="3013" spans="1:9">
      <c r="A3013" s="3" t="s">
        <v>3038</v>
      </c>
      <c r="B3013" s="3" t="s">
        <v>26</v>
      </c>
      <c r="C3013" s="3">
        <v>4911</v>
      </c>
      <c r="D3013" s="3">
        <v>674</v>
      </c>
      <c r="E3013" s="3" t="s">
        <v>27</v>
      </c>
      <c r="F3013" s="3">
        <v>4911</v>
      </c>
      <c r="G3013" s="3">
        <v>674</v>
      </c>
      <c r="H3013" s="3">
        <v>0</v>
      </c>
      <c r="I3013" s="3">
        <v>0</v>
      </c>
    </row>
    <row r="3014" spans="1:9">
      <c r="A3014" s="3" t="s">
        <v>3039</v>
      </c>
      <c r="B3014" s="3" t="s">
        <v>26</v>
      </c>
      <c r="C3014" s="3">
        <v>1389989</v>
      </c>
      <c r="D3014" s="3">
        <v>202904</v>
      </c>
      <c r="E3014" s="3" t="s">
        <v>27</v>
      </c>
      <c r="F3014" s="3">
        <v>865333</v>
      </c>
      <c r="G3014" s="3">
        <v>145828</v>
      </c>
      <c r="H3014" s="3">
        <v>524656</v>
      </c>
      <c r="I3014" s="3">
        <v>57076</v>
      </c>
    </row>
    <row r="3015" spans="1:9">
      <c r="A3015" s="3" t="s">
        <v>3040</v>
      </c>
      <c r="B3015" s="3" t="s">
        <v>26</v>
      </c>
      <c r="C3015" s="3">
        <v>1835372</v>
      </c>
      <c r="D3015" s="3">
        <v>535431</v>
      </c>
      <c r="E3015" s="3" t="s">
        <v>27</v>
      </c>
      <c r="F3015" s="3">
        <v>1376200</v>
      </c>
      <c r="G3015" s="3">
        <v>387403</v>
      </c>
      <c r="H3015" s="3">
        <v>459172</v>
      </c>
      <c r="I3015" s="3">
        <v>148028</v>
      </c>
    </row>
    <row r="3016" spans="1:9">
      <c r="A3016" s="3" t="s">
        <v>3041</v>
      </c>
      <c r="B3016" s="3" t="s">
        <v>26</v>
      </c>
      <c r="C3016" s="3">
        <v>1244426</v>
      </c>
      <c r="D3016" s="3">
        <v>209613</v>
      </c>
      <c r="E3016" s="3" t="s">
        <v>27</v>
      </c>
      <c r="F3016" s="3">
        <v>772562</v>
      </c>
      <c r="G3016" s="3">
        <v>135133</v>
      </c>
      <c r="H3016" s="3">
        <v>471864</v>
      </c>
      <c r="I3016" s="3">
        <v>74480</v>
      </c>
    </row>
    <row r="3017" spans="1:9">
      <c r="A3017" s="3" t="s">
        <v>3042</v>
      </c>
      <c r="B3017" s="3" t="s">
        <v>26</v>
      </c>
      <c r="C3017" s="3">
        <v>679763</v>
      </c>
      <c r="D3017" s="3">
        <v>41700</v>
      </c>
      <c r="E3017" s="3" t="s">
        <v>27</v>
      </c>
      <c r="F3017" s="3">
        <v>425095</v>
      </c>
      <c r="G3017" s="3">
        <v>22766</v>
      </c>
      <c r="H3017" s="3">
        <v>254668</v>
      </c>
      <c r="I3017" s="3">
        <v>18934</v>
      </c>
    </row>
    <row r="3018" spans="1:9">
      <c r="A3018" s="3" t="s">
        <v>3043</v>
      </c>
      <c r="B3018" s="3" t="s">
        <v>26</v>
      </c>
      <c r="C3018" s="3">
        <v>1280626</v>
      </c>
      <c r="D3018" s="3">
        <v>223185</v>
      </c>
      <c r="E3018" s="3" t="s">
        <v>27</v>
      </c>
      <c r="F3018" s="3">
        <v>815152</v>
      </c>
      <c r="G3018" s="3">
        <v>145479</v>
      </c>
      <c r="H3018" s="3">
        <v>465474</v>
      </c>
      <c r="I3018" s="3">
        <v>77706</v>
      </c>
    </row>
    <row r="3019" spans="1:9">
      <c r="A3019" s="3" t="s">
        <v>3044</v>
      </c>
      <c r="B3019" s="3" t="s">
        <v>26</v>
      </c>
      <c r="C3019" s="3">
        <v>1496069</v>
      </c>
      <c r="D3019" s="3">
        <v>285942</v>
      </c>
      <c r="E3019" s="3" t="s">
        <v>27</v>
      </c>
      <c r="F3019" s="3">
        <v>1182972</v>
      </c>
      <c r="G3019" s="3">
        <v>220264</v>
      </c>
      <c r="H3019" s="3">
        <v>313097</v>
      </c>
      <c r="I3019" s="3">
        <v>65678</v>
      </c>
    </row>
    <row r="3020" spans="1:9">
      <c r="A3020" s="3" t="s">
        <v>3045</v>
      </c>
      <c r="B3020" s="3" t="s">
        <v>26</v>
      </c>
      <c r="C3020" s="3">
        <v>1326077</v>
      </c>
      <c r="D3020" s="3">
        <v>304702</v>
      </c>
      <c r="E3020" s="3" t="s">
        <v>27</v>
      </c>
      <c r="F3020" s="3">
        <v>972060</v>
      </c>
      <c r="G3020" s="3">
        <v>227987</v>
      </c>
      <c r="H3020" s="3">
        <v>354017</v>
      </c>
      <c r="I3020" s="3">
        <v>76715</v>
      </c>
    </row>
    <row r="3021" spans="1:9">
      <c r="A3021" s="3" t="s">
        <v>3046</v>
      </c>
      <c r="B3021" s="3" t="s">
        <v>26</v>
      </c>
      <c r="C3021" s="3">
        <v>1648191</v>
      </c>
      <c r="D3021" s="3">
        <v>420561</v>
      </c>
      <c r="E3021" s="3" t="s">
        <v>27</v>
      </c>
      <c r="F3021" s="3">
        <v>1331180</v>
      </c>
      <c r="G3021" s="3">
        <v>317072</v>
      </c>
      <c r="H3021" s="3">
        <v>317011</v>
      </c>
      <c r="I3021" s="3">
        <v>103489</v>
      </c>
    </row>
    <row r="3022" spans="1:9">
      <c r="A3022" s="3" t="s">
        <v>3047</v>
      </c>
      <c r="B3022" s="3" t="s">
        <v>26</v>
      </c>
      <c r="C3022" s="3">
        <v>1447771</v>
      </c>
      <c r="D3022" s="3">
        <v>264921</v>
      </c>
      <c r="E3022" s="3" t="s">
        <v>27</v>
      </c>
      <c r="F3022" s="3">
        <v>992377</v>
      </c>
      <c r="G3022" s="3">
        <v>184538</v>
      </c>
      <c r="H3022" s="3">
        <v>455394</v>
      </c>
      <c r="I3022" s="3">
        <v>80383</v>
      </c>
    </row>
    <row r="3023" spans="1:9">
      <c r="A3023" s="3" t="s">
        <v>3048</v>
      </c>
      <c r="B3023" s="3" t="s">
        <v>26</v>
      </c>
      <c r="C3023" s="3">
        <v>1034330</v>
      </c>
      <c r="D3023" s="3">
        <v>79275</v>
      </c>
      <c r="E3023" s="3" t="s">
        <v>27</v>
      </c>
      <c r="F3023" s="3">
        <v>579779</v>
      </c>
      <c r="G3023" s="3">
        <v>47060</v>
      </c>
      <c r="H3023" s="3">
        <v>454551</v>
      </c>
      <c r="I3023" s="3">
        <v>32215</v>
      </c>
    </row>
    <row r="3024" spans="1:9">
      <c r="A3024" s="3" t="s">
        <v>3049</v>
      </c>
      <c r="B3024" s="3" t="s">
        <v>26</v>
      </c>
      <c r="C3024" s="3">
        <v>702550</v>
      </c>
      <c r="D3024" s="3">
        <v>6110</v>
      </c>
      <c r="E3024" s="3" t="s">
        <v>27</v>
      </c>
      <c r="F3024" s="3">
        <v>381414</v>
      </c>
      <c r="G3024" s="3">
        <v>4534</v>
      </c>
      <c r="H3024" s="3">
        <v>321136</v>
      </c>
      <c r="I3024" s="3">
        <v>1576</v>
      </c>
    </row>
    <row r="3025" spans="1:9">
      <c r="A3025" s="3" t="s">
        <v>3050</v>
      </c>
      <c r="B3025" s="3" t="s">
        <v>26</v>
      </c>
      <c r="C3025" s="3">
        <v>1544037</v>
      </c>
      <c r="D3025" s="3">
        <v>315719</v>
      </c>
      <c r="E3025" s="3" t="s">
        <v>27</v>
      </c>
      <c r="F3025" s="3">
        <v>996599</v>
      </c>
      <c r="G3025" s="3">
        <v>207252</v>
      </c>
      <c r="H3025" s="3">
        <v>547438</v>
      </c>
      <c r="I3025" s="3">
        <v>108467</v>
      </c>
    </row>
    <row r="3026" spans="1:9">
      <c r="A3026" s="3" t="s">
        <v>3051</v>
      </c>
      <c r="B3026" s="3" t="s">
        <v>26</v>
      </c>
      <c r="C3026" s="3">
        <v>1405201</v>
      </c>
      <c r="D3026" s="3">
        <v>227496</v>
      </c>
      <c r="E3026" s="3" t="s">
        <v>27</v>
      </c>
      <c r="F3026" s="3">
        <v>942108</v>
      </c>
      <c r="G3026" s="3">
        <v>165419</v>
      </c>
      <c r="H3026" s="3">
        <v>463093</v>
      </c>
      <c r="I3026" s="3">
        <v>62077</v>
      </c>
    </row>
    <row r="3027" spans="1:9">
      <c r="A3027" s="3" t="s">
        <v>3052</v>
      </c>
      <c r="B3027" s="3" t="s">
        <v>26</v>
      </c>
      <c r="C3027" s="3">
        <v>1359500</v>
      </c>
      <c r="D3027" s="3">
        <v>298586</v>
      </c>
      <c r="E3027" s="3" t="s">
        <v>27</v>
      </c>
      <c r="F3027" s="3">
        <v>1013855</v>
      </c>
      <c r="G3027" s="3">
        <v>213979</v>
      </c>
      <c r="H3027" s="3">
        <v>345645</v>
      </c>
      <c r="I3027" s="3">
        <v>84607</v>
      </c>
    </row>
    <row r="3028" spans="1:9">
      <c r="A3028" s="3" t="s">
        <v>3053</v>
      </c>
      <c r="B3028" s="3" t="s">
        <v>26</v>
      </c>
      <c r="C3028" s="3">
        <v>1719257</v>
      </c>
      <c r="D3028" s="3">
        <v>506051</v>
      </c>
      <c r="E3028" s="3" t="s">
        <v>27</v>
      </c>
      <c r="F3028" s="3">
        <v>1273890</v>
      </c>
      <c r="G3028" s="3">
        <v>371073</v>
      </c>
      <c r="H3028" s="3">
        <v>445367</v>
      </c>
      <c r="I3028" s="3">
        <v>134978</v>
      </c>
    </row>
    <row r="3029" spans="1:9">
      <c r="A3029" s="3" t="s">
        <v>3054</v>
      </c>
      <c r="B3029" s="3" t="s">
        <v>26</v>
      </c>
      <c r="C3029" s="3">
        <v>828812</v>
      </c>
      <c r="D3029" s="3">
        <v>43543</v>
      </c>
      <c r="E3029" s="3" t="s">
        <v>27</v>
      </c>
      <c r="F3029" s="3">
        <v>459539</v>
      </c>
      <c r="G3029" s="3">
        <v>24916</v>
      </c>
      <c r="H3029" s="3">
        <v>369273</v>
      </c>
      <c r="I3029" s="3">
        <v>18627</v>
      </c>
    </row>
    <row r="3030" spans="1:9">
      <c r="A3030" s="3" t="s">
        <v>3055</v>
      </c>
      <c r="B3030" s="3" t="s">
        <v>26</v>
      </c>
      <c r="C3030" s="3">
        <v>1327636</v>
      </c>
      <c r="D3030" s="3">
        <v>209849</v>
      </c>
      <c r="E3030" s="3" t="s">
        <v>27</v>
      </c>
      <c r="F3030" s="3">
        <v>803706</v>
      </c>
      <c r="G3030" s="3">
        <v>135184</v>
      </c>
      <c r="H3030" s="3">
        <v>523930</v>
      </c>
      <c r="I3030" s="3">
        <v>74665</v>
      </c>
    </row>
    <row r="3031" spans="1:9">
      <c r="A3031" s="3" t="s">
        <v>3056</v>
      </c>
      <c r="B3031" s="3" t="s">
        <v>26</v>
      </c>
      <c r="C3031" s="3">
        <v>1439072</v>
      </c>
      <c r="D3031" s="3">
        <v>342567</v>
      </c>
      <c r="E3031" s="3" t="s">
        <v>27</v>
      </c>
      <c r="F3031" s="3">
        <v>1038540</v>
      </c>
      <c r="G3031" s="3">
        <v>247567</v>
      </c>
      <c r="H3031" s="3">
        <v>400532</v>
      </c>
      <c r="I3031" s="3">
        <v>95000</v>
      </c>
    </row>
    <row r="3032" spans="1:9">
      <c r="A3032" s="3" t="s">
        <v>3057</v>
      </c>
      <c r="B3032" s="3" t="s">
        <v>26</v>
      </c>
      <c r="C3032" s="3">
        <v>978766</v>
      </c>
      <c r="D3032" s="3">
        <v>41049</v>
      </c>
      <c r="E3032" s="3" t="s">
        <v>27</v>
      </c>
      <c r="F3032" s="3">
        <v>567441</v>
      </c>
      <c r="G3032" s="3">
        <v>23485</v>
      </c>
      <c r="H3032" s="3">
        <v>411325</v>
      </c>
      <c r="I3032" s="3">
        <v>17564</v>
      </c>
    </row>
    <row r="3033" spans="1:9">
      <c r="A3033" s="3" t="s">
        <v>3058</v>
      </c>
      <c r="B3033" s="3" t="s">
        <v>26</v>
      </c>
      <c r="C3033" s="3">
        <v>938676</v>
      </c>
      <c r="D3033" s="3">
        <v>194322</v>
      </c>
      <c r="E3033" s="3" t="s">
        <v>27</v>
      </c>
      <c r="F3033" s="3">
        <v>626768</v>
      </c>
      <c r="G3033" s="3">
        <v>119403</v>
      </c>
      <c r="H3033" s="3">
        <v>311908</v>
      </c>
      <c r="I3033" s="3">
        <v>74919</v>
      </c>
    </row>
    <row r="3034" spans="1:9">
      <c r="A3034" s="3" t="s">
        <v>3059</v>
      </c>
      <c r="B3034" s="3" t="s">
        <v>26</v>
      </c>
      <c r="C3034" s="3">
        <v>976656</v>
      </c>
      <c r="D3034" s="3">
        <v>161754</v>
      </c>
      <c r="E3034" s="3" t="s">
        <v>27</v>
      </c>
      <c r="F3034" s="3">
        <v>698267</v>
      </c>
      <c r="G3034" s="3">
        <v>112094</v>
      </c>
      <c r="H3034" s="3">
        <v>278389</v>
      </c>
      <c r="I3034" s="3">
        <v>49660</v>
      </c>
    </row>
    <row r="3035" spans="1:9">
      <c r="A3035" s="3" t="s">
        <v>3060</v>
      </c>
      <c r="B3035" s="3" t="s">
        <v>26</v>
      </c>
      <c r="C3035" s="3">
        <v>863021</v>
      </c>
      <c r="D3035" s="3">
        <v>39720</v>
      </c>
      <c r="E3035" s="3" t="s">
        <v>27</v>
      </c>
      <c r="F3035" s="3">
        <v>502347</v>
      </c>
      <c r="G3035" s="3">
        <v>20874</v>
      </c>
      <c r="H3035" s="3">
        <v>360674</v>
      </c>
      <c r="I3035" s="3">
        <v>18846</v>
      </c>
    </row>
    <row r="3036" spans="1:9">
      <c r="A3036" s="3" t="s">
        <v>3061</v>
      </c>
      <c r="B3036" s="3" t="s">
        <v>26</v>
      </c>
      <c r="C3036" s="3">
        <v>845200</v>
      </c>
      <c r="D3036" s="3">
        <v>59653</v>
      </c>
      <c r="E3036" s="3" t="s">
        <v>27</v>
      </c>
      <c r="F3036" s="3">
        <v>525254</v>
      </c>
      <c r="G3036" s="3">
        <v>45393</v>
      </c>
      <c r="H3036" s="3">
        <v>319946</v>
      </c>
      <c r="I3036" s="3">
        <v>14260</v>
      </c>
    </row>
    <row r="3037" spans="1:9">
      <c r="A3037" s="3" t="s">
        <v>3062</v>
      </c>
      <c r="B3037" s="3" t="s">
        <v>26</v>
      </c>
      <c r="C3037" s="3">
        <v>1870972</v>
      </c>
      <c r="D3037" s="3">
        <v>549649</v>
      </c>
      <c r="E3037" s="3" t="s">
        <v>27</v>
      </c>
      <c r="F3037" s="3">
        <v>1369696</v>
      </c>
      <c r="G3037" s="3">
        <v>381271</v>
      </c>
      <c r="H3037" s="3">
        <v>501276</v>
      </c>
      <c r="I3037" s="3">
        <v>168378</v>
      </c>
    </row>
    <row r="3038" spans="1:9">
      <c r="A3038" s="3" t="s">
        <v>3063</v>
      </c>
      <c r="B3038" s="3" t="s">
        <v>26</v>
      </c>
      <c r="C3038" s="3">
        <v>1311500</v>
      </c>
      <c r="D3038" s="3">
        <v>240383</v>
      </c>
      <c r="E3038" s="3" t="s">
        <v>27</v>
      </c>
      <c r="F3038" s="3">
        <v>777977</v>
      </c>
      <c r="G3038" s="3">
        <v>145173</v>
      </c>
      <c r="H3038" s="3">
        <v>533523</v>
      </c>
      <c r="I3038" s="3">
        <v>95210</v>
      </c>
    </row>
    <row r="3039" spans="1:9">
      <c r="A3039" s="3" t="s">
        <v>3064</v>
      </c>
      <c r="B3039" s="3" t="s">
        <v>26</v>
      </c>
      <c r="C3039" s="3">
        <v>1396041</v>
      </c>
      <c r="D3039" s="3">
        <v>275077</v>
      </c>
      <c r="E3039" s="3" t="s">
        <v>27</v>
      </c>
      <c r="F3039" s="3">
        <v>1016440</v>
      </c>
      <c r="G3039" s="3">
        <v>213841</v>
      </c>
      <c r="H3039" s="3">
        <v>379601</v>
      </c>
      <c r="I3039" s="3">
        <v>61236</v>
      </c>
    </row>
    <row r="3040" spans="1:9">
      <c r="A3040" s="3" t="s">
        <v>3065</v>
      </c>
      <c r="B3040" s="3" t="s">
        <v>26</v>
      </c>
      <c r="C3040" s="3">
        <v>1360775</v>
      </c>
      <c r="D3040" s="3">
        <v>195099</v>
      </c>
      <c r="E3040" s="3" t="s">
        <v>27</v>
      </c>
      <c r="F3040" s="3">
        <v>796478</v>
      </c>
      <c r="G3040" s="3">
        <v>116756</v>
      </c>
      <c r="H3040" s="3">
        <v>564297</v>
      </c>
      <c r="I3040" s="3">
        <v>78343</v>
      </c>
    </row>
    <row r="3041" spans="1:9">
      <c r="A3041" s="3" t="s">
        <v>3066</v>
      </c>
      <c r="B3041" s="3" t="s">
        <v>26</v>
      </c>
      <c r="C3041" s="3">
        <v>909887</v>
      </c>
      <c r="D3041" s="3">
        <v>51598</v>
      </c>
      <c r="E3041" s="3" t="s">
        <v>27</v>
      </c>
      <c r="F3041" s="3">
        <v>508907</v>
      </c>
      <c r="G3041" s="3">
        <v>33126</v>
      </c>
      <c r="H3041" s="3">
        <v>400980</v>
      </c>
      <c r="I3041" s="3">
        <v>18472</v>
      </c>
    </row>
    <row r="3042" spans="1:9">
      <c r="A3042" s="3" t="s">
        <v>3067</v>
      </c>
      <c r="B3042" s="3" t="s">
        <v>26</v>
      </c>
      <c r="C3042" s="3">
        <v>1039379</v>
      </c>
      <c r="D3042" s="3">
        <v>110140</v>
      </c>
      <c r="E3042" s="3" t="s">
        <v>27</v>
      </c>
      <c r="F3042" s="3">
        <v>631389</v>
      </c>
      <c r="G3042" s="3">
        <v>73845</v>
      </c>
      <c r="H3042" s="3">
        <v>407990</v>
      </c>
      <c r="I3042" s="3">
        <v>36295</v>
      </c>
    </row>
    <row r="3043" spans="1:9">
      <c r="A3043" s="3" t="s">
        <v>3068</v>
      </c>
      <c r="B3043" s="3" t="s">
        <v>26</v>
      </c>
      <c r="C3043" s="3">
        <v>807949</v>
      </c>
      <c r="D3043" s="3">
        <v>84528</v>
      </c>
      <c r="E3043" s="3" t="s">
        <v>27</v>
      </c>
      <c r="F3043" s="3">
        <v>562497</v>
      </c>
      <c r="G3043" s="3">
        <v>70281</v>
      </c>
      <c r="H3043" s="3">
        <v>245452</v>
      </c>
      <c r="I3043" s="3">
        <v>14247</v>
      </c>
    </row>
    <row r="3044" spans="1:9">
      <c r="A3044" s="3" t="s">
        <v>3069</v>
      </c>
      <c r="B3044" s="3" t="s">
        <v>26</v>
      </c>
      <c r="C3044" s="3">
        <v>2065060</v>
      </c>
      <c r="D3044" s="3">
        <v>545334</v>
      </c>
      <c r="E3044" s="3" t="s">
        <v>27</v>
      </c>
      <c r="F3044" s="3">
        <v>1371236</v>
      </c>
      <c r="G3044" s="3">
        <v>388144</v>
      </c>
      <c r="H3044" s="3">
        <v>693824</v>
      </c>
      <c r="I3044" s="3">
        <v>157190</v>
      </c>
    </row>
    <row r="3045" spans="1:9">
      <c r="A3045" s="3" t="s">
        <v>3070</v>
      </c>
      <c r="B3045" s="3" t="s">
        <v>26</v>
      </c>
      <c r="C3045" s="3">
        <v>1379579</v>
      </c>
      <c r="D3045" s="3">
        <v>210862</v>
      </c>
      <c r="E3045" s="3" t="s">
        <v>27</v>
      </c>
      <c r="F3045" s="3">
        <v>905876</v>
      </c>
      <c r="G3045" s="3">
        <v>142582</v>
      </c>
      <c r="H3045" s="3">
        <v>473703</v>
      </c>
      <c r="I3045" s="3">
        <v>68280</v>
      </c>
    </row>
    <row r="3046" spans="1:9">
      <c r="A3046" s="3" t="s">
        <v>3071</v>
      </c>
      <c r="B3046" s="3" t="s">
        <v>26</v>
      </c>
      <c r="C3046" s="3">
        <v>1568915</v>
      </c>
      <c r="D3046" s="3">
        <v>426877</v>
      </c>
      <c r="E3046" s="3" t="s">
        <v>27</v>
      </c>
      <c r="F3046" s="3">
        <v>1206564</v>
      </c>
      <c r="G3046" s="3">
        <v>318663</v>
      </c>
      <c r="H3046" s="3">
        <v>362351</v>
      </c>
      <c r="I3046" s="3">
        <v>108214</v>
      </c>
    </row>
    <row r="3047" spans="1:9">
      <c r="A3047" s="3" t="s">
        <v>3072</v>
      </c>
      <c r="B3047" s="3" t="s">
        <v>26</v>
      </c>
      <c r="C3047" s="3">
        <v>1094787</v>
      </c>
      <c r="D3047" s="3">
        <v>87435</v>
      </c>
      <c r="E3047" s="3" t="s">
        <v>27</v>
      </c>
      <c r="F3047" s="3">
        <v>635405</v>
      </c>
      <c r="G3047" s="3">
        <v>54544</v>
      </c>
      <c r="H3047" s="3">
        <v>459382</v>
      </c>
      <c r="I3047" s="3">
        <v>32891</v>
      </c>
    </row>
    <row r="3048" spans="1:9">
      <c r="A3048" s="3" t="s">
        <v>3073</v>
      </c>
      <c r="B3048" s="3" t="s">
        <v>26</v>
      </c>
      <c r="C3048" s="3">
        <v>870483</v>
      </c>
      <c r="D3048" s="3">
        <v>106864</v>
      </c>
      <c r="E3048" s="3" t="s">
        <v>27</v>
      </c>
      <c r="F3048" s="3">
        <v>594685</v>
      </c>
      <c r="G3048" s="3">
        <v>74581</v>
      </c>
      <c r="H3048" s="3">
        <v>275798</v>
      </c>
      <c r="I3048" s="3">
        <v>32283</v>
      </c>
    </row>
    <row r="3049" spans="1:9">
      <c r="A3049" s="3" t="s">
        <v>3074</v>
      </c>
      <c r="B3049" s="3" t="s">
        <v>26</v>
      </c>
      <c r="C3049" s="3">
        <v>239590</v>
      </c>
      <c r="D3049" s="3">
        <v>12224</v>
      </c>
      <c r="E3049" s="3" t="s">
        <v>27</v>
      </c>
      <c r="F3049" s="3">
        <v>127237</v>
      </c>
      <c r="G3049" s="3">
        <v>6359</v>
      </c>
      <c r="H3049" s="3">
        <v>112353</v>
      </c>
      <c r="I3049" s="3">
        <v>5865</v>
      </c>
    </row>
    <row r="3050" spans="1:9">
      <c r="A3050" s="3" t="s">
        <v>3075</v>
      </c>
      <c r="B3050" s="3" t="s">
        <v>26</v>
      </c>
      <c r="C3050" s="3">
        <v>1296147</v>
      </c>
      <c r="D3050" s="3">
        <v>297128</v>
      </c>
      <c r="E3050" s="3" t="s">
        <v>27</v>
      </c>
      <c r="F3050" s="3">
        <v>1002454</v>
      </c>
      <c r="G3050" s="3">
        <v>219696</v>
      </c>
      <c r="H3050" s="3">
        <v>293693</v>
      </c>
      <c r="I3050" s="3">
        <v>77432</v>
      </c>
    </row>
    <row r="3051" spans="1:9">
      <c r="A3051" s="3" t="s">
        <v>3076</v>
      </c>
      <c r="B3051" s="3" t="s">
        <v>26</v>
      </c>
      <c r="C3051" s="3">
        <v>1691010</v>
      </c>
      <c r="D3051" s="3">
        <v>495706</v>
      </c>
      <c r="E3051" s="3" t="s">
        <v>27</v>
      </c>
      <c r="F3051" s="3">
        <v>1197201</v>
      </c>
      <c r="G3051" s="3">
        <v>368004</v>
      </c>
      <c r="H3051" s="3">
        <v>493809</v>
      </c>
      <c r="I3051" s="3">
        <v>127702</v>
      </c>
    </row>
    <row r="3052" spans="1:9">
      <c r="A3052" s="3" t="s">
        <v>3077</v>
      </c>
      <c r="B3052" s="3" t="s">
        <v>26</v>
      </c>
      <c r="C3052" s="3">
        <v>1295270</v>
      </c>
      <c r="D3052" s="3">
        <v>347975</v>
      </c>
      <c r="E3052" s="3" t="s">
        <v>27</v>
      </c>
      <c r="F3052" s="3">
        <v>1104443</v>
      </c>
      <c r="G3052" s="3">
        <v>281254</v>
      </c>
      <c r="H3052" s="3">
        <v>190827</v>
      </c>
      <c r="I3052" s="3">
        <v>66721</v>
      </c>
    </row>
    <row r="3053" spans="1:9">
      <c r="A3053" s="3" t="s">
        <v>3078</v>
      </c>
      <c r="B3053" s="3" t="s">
        <v>26</v>
      </c>
      <c r="C3053" s="3">
        <v>1160750</v>
      </c>
      <c r="D3053" s="3">
        <v>131472</v>
      </c>
      <c r="E3053" s="3" t="s">
        <v>27</v>
      </c>
      <c r="F3053" s="3">
        <v>714936</v>
      </c>
      <c r="G3053" s="3">
        <v>79019</v>
      </c>
      <c r="H3053" s="3">
        <v>445814</v>
      </c>
      <c r="I3053" s="3">
        <v>52453</v>
      </c>
    </row>
    <row r="3054" spans="1:9">
      <c r="A3054" s="3" t="s">
        <v>3079</v>
      </c>
      <c r="B3054" s="3" t="s">
        <v>26</v>
      </c>
      <c r="C3054" s="3">
        <v>930289</v>
      </c>
      <c r="D3054" s="3">
        <v>21468</v>
      </c>
      <c r="E3054" s="3" t="s">
        <v>27</v>
      </c>
      <c r="F3054" s="3">
        <v>498745</v>
      </c>
      <c r="G3054" s="3">
        <v>10623</v>
      </c>
      <c r="H3054" s="3">
        <v>431544</v>
      </c>
      <c r="I3054" s="3">
        <v>10845</v>
      </c>
    </row>
    <row r="3055" spans="1:9">
      <c r="A3055" s="3" t="s">
        <v>3080</v>
      </c>
      <c r="B3055" s="3" t="s">
        <v>26</v>
      </c>
      <c r="C3055" s="3">
        <v>1200846</v>
      </c>
      <c r="D3055" s="3">
        <v>101440</v>
      </c>
      <c r="E3055" s="3" t="s">
        <v>27</v>
      </c>
      <c r="F3055" s="3">
        <v>736079</v>
      </c>
      <c r="G3055" s="3">
        <v>68696</v>
      </c>
      <c r="H3055" s="3">
        <v>464767</v>
      </c>
      <c r="I3055" s="3">
        <v>32744</v>
      </c>
    </row>
    <row r="3056" spans="1:9">
      <c r="A3056" s="3" t="s">
        <v>3081</v>
      </c>
      <c r="B3056" s="3" t="s">
        <v>26</v>
      </c>
      <c r="C3056" s="3">
        <v>1305877</v>
      </c>
      <c r="D3056" s="3">
        <v>275386</v>
      </c>
      <c r="E3056" s="3" t="s">
        <v>27</v>
      </c>
      <c r="F3056" s="3">
        <v>876890</v>
      </c>
      <c r="G3056" s="3">
        <v>190540</v>
      </c>
      <c r="H3056" s="3">
        <v>428987</v>
      </c>
      <c r="I3056" s="3">
        <v>84846</v>
      </c>
    </row>
    <row r="3057" spans="1:9">
      <c r="A3057" s="3" t="s">
        <v>3082</v>
      </c>
      <c r="B3057" s="3" t="s">
        <v>26</v>
      </c>
      <c r="C3057" s="3">
        <v>1050188</v>
      </c>
      <c r="D3057" s="3">
        <v>121878</v>
      </c>
      <c r="E3057" s="3" t="s">
        <v>27</v>
      </c>
      <c r="F3057" s="3">
        <v>728940</v>
      </c>
      <c r="G3057" s="3">
        <v>78563</v>
      </c>
      <c r="H3057" s="3">
        <v>321248</v>
      </c>
      <c r="I3057" s="3">
        <v>43315</v>
      </c>
    </row>
    <row r="3058" spans="1:9">
      <c r="A3058" s="3" t="s">
        <v>3083</v>
      </c>
      <c r="B3058" s="3" t="s">
        <v>26</v>
      </c>
      <c r="C3058" s="3">
        <v>784444</v>
      </c>
      <c r="D3058" s="3">
        <v>114256</v>
      </c>
      <c r="E3058" s="3" t="s">
        <v>27</v>
      </c>
      <c r="F3058" s="3">
        <v>599250</v>
      </c>
      <c r="G3058" s="3">
        <v>80307</v>
      </c>
      <c r="H3058" s="3">
        <v>185194</v>
      </c>
      <c r="I3058" s="3">
        <v>33949</v>
      </c>
    </row>
    <row r="3059" spans="1:9">
      <c r="A3059" s="3" t="s">
        <v>3084</v>
      </c>
      <c r="B3059" s="3" t="s">
        <v>26</v>
      </c>
      <c r="C3059" s="3">
        <v>1627623</v>
      </c>
      <c r="D3059" s="3">
        <v>539756</v>
      </c>
      <c r="E3059" s="3" t="s">
        <v>27</v>
      </c>
      <c r="F3059" s="3">
        <v>1302443</v>
      </c>
      <c r="G3059" s="3">
        <v>406311</v>
      </c>
      <c r="H3059" s="3">
        <v>325180</v>
      </c>
      <c r="I3059" s="3">
        <v>133445</v>
      </c>
    </row>
    <row r="3060" spans="1:9">
      <c r="A3060" s="3" t="s">
        <v>3085</v>
      </c>
      <c r="B3060" s="3" t="s">
        <v>26</v>
      </c>
      <c r="C3060" s="3">
        <v>923590</v>
      </c>
      <c r="D3060" s="3">
        <v>69918</v>
      </c>
      <c r="E3060" s="3" t="s">
        <v>27</v>
      </c>
      <c r="F3060" s="3">
        <v>532307</v>
      </c>
      <c r="G3060" s="3">
        <v>47218</v>
      </c>
      <c r="H3060" s="3">
        <v>391283</v>
      </c>
      <c r="I3060" s="3">
        <v>22700</v>
      </c>
    </row>
    <row r="3061" spans="1:9">
      <c r="A3061" s="3" t="s">
        <v>3086</v>
      </c>
      <c r="B3061" s="3" t="s">
        <v>26</v>
      </c>
      <c r="C3061" s="3">
        <v>1074043</v>
      </c>
      <c r="D3061" s="3">
        <v>151360</v>
      </c>
      <c r="E3061" s="3" t="s">
        <v>27</v>
      </c>
      <c r="F3061" s="3">
        <v>747009</v>
      </c>
      <c r="G3061" s="3">
        <v>101160</v>
      </c>
      <c r="H3061" s="3">
        <v>327034</v>
      </c>
      <c r="I3061" s="3">
        <v>50200</v>
      </c>
    </row>
    <row r="3062" spans="1:9">
      <c r="A3062" s="3" t="s">
        <v>3087</v>
      </c>
      <c r="B3062" s="3" t="s">
        <v>26</v>
      </c>
      <c r="C3062" s="3">
        <v>1392032</v>
      </c>
      <c r="D3062" s="3">
        <v>318594</v>
      </c>
      <c r="E3062" s="3" t="s">
        <v>27</v>
      </c>
      <c r="F3062" s="3">
        <v>1078372</v>
      </c>
      <c r="G3062" s="3">
        <v>238483</v>
      </c>
      <c r="H3062" s="3">
        <v>313660</v>
      </c>
      <c r="I3062" s="3">
        <v>80111</v>
      </c>
    </row>
    <row r="3063" spans="1:9">
      <c r="A3063" s="3" t="s">
        <v>3088</v>
      </c>
      <c r="B3063" s="3" t="s">
        <v>26</v>
      </c>
      <c r="C3063" s="3">
        <v>1087845</v>
      </c>
      <c r="D3063" s="3">
        <v>188079</v>
      </c>
      <c r="E3063" s="3" t="s">
        <v>27</v>
      </c>
      <c r="F3063" s="3">
        <v>779514</v>
      </c>
      <c r="G3063" s="3">
        <v>155805</v>
      </c>
      <c r="H3063" s="3">
        <v>308331</v>
      </c>
      <c r="I3063" s="3">
        <v>32274</v>
      </c>
    </row>
    <row r="3064" spans="1:9">
      <c r="A3064" s="3" t="s">
        <v>3089</v>
      </c>
      <c r="B3064" s="3" t="s">
        <v>26</v>
      </c>
      <c r="C3064" s="3">
        <v>1781294</v>
      </c>
      <c r="D3064" s="3">
        <v>530284</v>
      </c>
      <c r="E3064" s="3" t="s">
        <v>27</v>
      </c>
      <c r="F3064" s="3">
        <v>1373126</v>
      </c>
      <c r="G3064" s="3">
        <v>403120</v>
      </c>
      <c r="H3064" s="3">
        <v>408168</v>
      </c>
      <c r="I3064" s="3">
        <v>127164</v>
      </c>
    </row>
    <row r="3065" spans="1:9">
      <c r="A3065" s="3" t="s">
        <v>3090</v>
      </c>
      <c r="B3065" s="3" t="s">
        <v>26</v>
      </c>
      <c r="C3065" s="3">
        <v>1448704</v>
      </c>
      <c r="D3065" s="3">
        <v>327923</v>
      </c>
      <c r="E3065" s="3" t="s">
        <v>27</v>
      </c>
      <c r="F3065" s="3">
        <v>1129570</v>
      </c>
      <c r="G3065" s="3">
        <v>254160</v>
      </c>
      <c r="H3065" s="3">
        <v>319134</v>
      </c>
      <c r="I3065" s="3">
        <v>73763</v>
      </c>
    </row>
    <row r="3066" spans="1:9">
      <c r="A3066" s="3" t="s">
        <v>3091</v>
      </c>
      <c r="B3066" s="3" t="s">
        <v>26</v>
      </c>
      <c r="C3066" s="3">
        <v>679487</v>
      </c>
      <c r="D3066" s="3">
        <v>41030</v>
      </c>
      <c r="E3066" s="3" t="s">
        <v>27</v>
      </c>
      <c r="F3066" s="3">
        <v>405104</v>
      </c>
      <c r="G3066" s="3">
        <v>21908</v>
      </c>
      <c r="H3066" s="3">
        <v>274383</v>
      </c>
      <c r="I3066" s="3">
        <v>19122</v>
      </c>
    </row>
    <row r="3067" spans="1:9">
      <c r="A3067" s="3" t="s">
        <v>3092</v>
      </c>
      <c r="B3067" s="3" t="s">
        <v>26</v>
      </c>
      <c r="C3067" s="3">
        <v>714857</v>
      </c>
      <c r="D3067" s="3">
        <v>42563</v>
      </c>
      <c r="E3067" s="3" t="s">
        <v>27</v>
      </c>
      <c r="F3067" s="3">
        <v>397207</v>
      </c>
      <c r="G3067" s="3">
        <v>29231</v>
      </c>
      <c r="H3067" s="3">
        <v>317650</v>
      </c>
      <c r="I3067" s="3">
        <v>13332</v>
      </c>
    </row>
    <row r="3068" spans="1:9">
      <c r="A3068" s="3" t="s">
        <v>3093</v>
      </c>
      <c r="B3068" s="3" t="s">
        <v>26</v>
      </c>
      <c r="C3068" s="3">
        <v>542062</v>
      </c>
      <c r="D3068" s="3">
        <v>29834</v>
      </c>
      <c r="E3068" s="3" t="s">
        <v>27</v>
      </c>
      <c r="F3068" s="3">
        <v>433977</v>
      </c>
      <c r="G3068" s="3">
        <v>21794</v>
      </c>
      <c r="H3068" s="3">
        <v>108085</v>
      </c>
      <c r="I3068" s="3">
        <v>8040</v>
      </c>
    </row>
    <row r="3069" spans="1:9">
      <c r="A3069" s="3" t="s">
        <v>3094</v>
      </c>
      <c r="B3069" s="3" t="s">
        <v>26</v>
      </c>
      <c r="C3069" s="3">
        <v>1396854</v>
      </c>
      <c r="D3069" s="3">
        <v>346613</v>
      </c>
      <c r="E3069" s="3" t="s">
        <v>27</v>
      </c>
      <c r="F3069" s="3">
        <v>955571</v>
      </c>
      <c r="G3069" s="3">
        <v>223617</v>
      </c>
      <c r="H3069" s="3">
        <v>441283</v>
      </c>
      <c r="I3069" s="3">
        <v>122996</v>
      </c>
    </row>
    <row r="3070" spans="1:9">
      <c r="A3070" s="3" t="s">
        <v>3095</v>
      </c>
      <c r="B3070" s="3" t="s">
        <v>26</v>
      </c>
      <c r="C3070" s="3">
        <v>946088</v>
      </c>
      <c r="D3070" s="3">
        <v>105793</v>
      </c>
      <c r="E3070" s="3" t="s">
        <v>27</v>
      </c>
      <c r="F3070" s="3">
        <v>612981</v>
      </c>
      <c r="G3070" s="3">
        <v>71356</v>
      </c>
      <c r="H3070" s="3">
        <v>333107</v>
      </c>
      <c r="I3070" s="3">
        <v>34437</v>
      </c>
    </row>
    <row r="3071" spans="1:9">
      <c r="A3071" s="3" t="s">
        <v>3096</v>
      </c>
      <c r="B3071" s="3" t="s">
        <v>26</v>
      </c>
      <c r="C3071" s="3">
        <v>1887288</v>
      </c>
      <c r="D3071" s="3">
        <v>530612</v>
      </c>
      <c r="E3071" s="3" t="s">
        <v>27</v>
      </c>
      <c r="F3071" s="3">
        <v>1296391</v>
      </c>
      <c r="G3071" s="3">
        <v>375134</v>
      </c>
      <c r="H3071" s="3">
        <v>590897</v>
      </c>
      <c r="I3071" s="3">
        <v>155478</v>
      </c>
    </row>
    <row r="3072" spans="1:9">
      <c r="A3072" s="3" t="s">
        <v>3097</v>
      </c>
      <c r="B3072" s="3" t="s">
        <v>26</v>
      </c>
      <c r="C3072" s="3">
        <v>2317551</v>
      </c>
      <c r="D3072" s="3">
        <v>875574</v>
      </c>
      <c r="E3072" s="3" t="s">
        <v>27</v>
      </c>
      <c r="F3072" s="3">
        <v>1801308</v>
      </c>
      <c r="G3072" s="3">
        <v>653314</v>
      </c>
      <c r="H3072" s="3">
        <v>516243</v>
      </c>
      <c r="I3072" s="3">
        <v>222260</v>
      </c>
    </row>
    <row r="3073" spans="1:9">
      <c r="A3073" s="3" t="s">
        <v>3098</v>
      </c>
      <c r="B3073" s="3" t="s">
        <v>26</v>
      </c>
      <c r="C3073" s="3">
        <v>1317124</v>
      </c>
      <c r="D3073" s="3">
        <v>65581</v>
      </c>
      <c r="E3073" s="3" t="s">
        <v>27</v>
      </c>
      <c r="F3073" s="3">
        <v>726771</v>
      </c>
      <c r="G3073" s="3">
        <v>45479</v>
      </c>
      <c r="H3073" s="3">
        <v>590353</v>
      </c>
      <c r="I3073" s="3">
        <v>20102</v>
      </c>
    </row>
    <row r="3074" spans="1:9">
      <c r="A3074" s="3" t="s">
        <v>3099</v>
      </c>
      <c r="B3074" s="3" t="s">
        <v>26</v>
      </c>
      <c r="C3074" s="3">
        <v>979177</v>
      </c>
      <c r="D3074" s="3">
        <v>6895</v>
      </c>
      <c r="E3074" s="3" t="s">
        <v>27</v>
      </c>
      <c r="F3074" s="3">
        <v>439897</v>
      </c>
      <c r="G3074" s="3">
        <v>3195</v>
      </c>
      <c r="H3074" s="3">
        <v>539280</v>
      </c>
      <c r="I3074" s="3">
        <v>3700</v>
      </c>
    </row>
    <row r="3075" spans="1:9">
      <c r="A3075" s="3" t="s">
        <v>3100</v>
      </c>
      <c r="B3075" s="3" t="s">
        <v>26</v>
      </c>
      <c r="C3075" s="3">
        <v>1926461</v>
      </c>
      <c r="D3075" s="3">
        <v>630149</v>
      </c>
      <c r="E3075" s="3" t="s">
        <v>27</v>
      </c>
      <c r="F3075" s="3">
        <v>1485724</v>
      </c>
      <c r="G3075" s="3">
        <v>455311</v>
      </c>
      <c r="H3075" s="3">
        <v>440737</v>
      </c>
      <c r="I3075" s="3">
        <v>174838</v>
      </c>
    </row>
    <row r="3076" spans="1:9">
      <c r="A3076" s="3" t="s">
        <v>3101</v>
      </c>
      <c r="B3076" s="3" t="s">
        <v>26</v>
      </c>
      <c r="C3076" s="3">
        <v>1104192</v>
      </c>
      <c r="D3076" s="3">
        <v>278603</v>
      </c>
      <c r="E3076" s="3" t="s">
        <v>27</v>
      </c>
      <c r="F3076" s="3">
        <v>809456</v>
      </c>
      <c r="G3076" s="3">
        <v>188271</v>
      </c>
      <c r="H3076" s="3">
        <v>294736</v>
      </c>
      <c r="I3076" s="3">
        <v>90332</v>
      </c>
    </row>
    <row r="3077" spans="1:9">
      <c r="A3077" s="3" t="s">
        <v>3102</v>
      </c>
      <c r="B3077" s="3" t="s">
        <v>26</v>
      </c>
      <c r="C3077" s="3">
        <v>949387</v>
      </c>
      <c r="D3077" s="3">
        <v>87111</v>
      </c>
      <c r="E3077" s="3" t="s">
        <v>27</v>
      </c>
      <c r="F3077" s="3">
        <v>550662</v>
      </c>
      <c r="G3077" s="3">
        <v>57060</v>
      </c>
      <c r="H3077" s="3">
        <v>398725</v>
      </c>
      <c r="I3077" s="3">
        <v>30051</v>
      </c>
    </row>
    <row r="3078" spans="1:9">
      <c r="A3078" s="3" t="s">
        <v>3103</v>
      </c>
      <c r="B3078" s="3" t="s">
        <v>26</v>
      </c>
      <c r="C3078" s="3">
        <v>2032767</v>
      </c>
      <c r="D3078" s="3">
        <v>656865</v>
      </c>
      <c r="E3078" s="3" t="s">
        <v>27</v>
      </c>
      <c r="F3078" s="3">
        <v>1509920</v>
      </c>
      <c r="G3078" s="3">
        <v>467092</v>
      </c>
      <c r="H3078" s="3">
        <v>522847</v>
      </c>
      <c r="I3078" s="3">
        <v>189773</v>
      </c>
    </row>
    <row r="3079" spans="1:9">
      <c r="A3079" s="3" t="s">
        <v>3104</v>
      </c>
      <c r="B3079" s="3" t="s">
        <v>26</v>
      </c>
      <c r="C3079" s="3">
        <v>2118401</v>
      </c>
      <c r="D3079" s="3">
        <v>616039</v>
      </c>
      <c r="E3079" s="3" t="s">
        <v>27</v>
      </c>
      <c r="F3079" s="3">
        <v>1341861</v>
      </c>
      <c r="G3079" s="3">
        <v>384101</v>
      </c>
      <c r="H3079" s="3">
        <v>776540</v>
      </c>
      <c r="I3079" s="3">
        <v>231938</v>
      </c>
    </row>
    <row r="3080" spans="1:9">
      <c r="A3080" s="3" t="s">
        <v>3105</v>
      </c>
      <c r="B3080" s="3" t="s">
        <v>26</v>
      </c>
      <c r="C3080" s="3">
        <v>1386247</v>
      </c>
      <c r="D3080" s="3">
        <v>411103</v>
      </c>
      <c r="E3080" s="3" t="s">
        <v>27</v>
      </c>
      <c r="F3080" s="3">
        <v>1176834</v>
      </c>
      <c r="G3080" s="3">
        <v>330699</v>
      </c>
      <c r="H3080" s="3">
        <v>209413</v>
      </c>
      <c r="I3080" s="3">
        <v>80404</v>
      </c>
    </row>
    <row r="3081" spans="1:9">
      <c r="A3081" s="3" t="s">
        <v>3106</v>
      </c>
      <c r="B3081" s="3" t="s">
        <v>26</v>
      </c>
      <c r="C3081" s="3">
        <v>1221622</v>
      </c>
      <c r="D3081" s="3">
        <v>190335</v>
      </c>
      <c r="E3081" s="3" t="s">
        <v>27</v>
      </c>
      <c r="F3081" s="3">
        <v>848206</v>
      </c>
      <c r="G3081" s="3">
        <v>130762</v>
      </c>
      <c r="H3081" s="3">
        <v>373416</v>
      </c>
      <c r="I3081" s="3">
        <v>59573</v>
      </c>
    </row>
    <row r="3082" spans="1:9">
      <c r="A3082" s="3" t="s">
        <v>3107</v>
      </c>
      <c r="B3082" s="3" t="s">
        <v>26</v>
      </c>
      <c r="C3082" s="3">
        <v>1360659</v>
      </c>
      <c r="D3082" s="3">
        <v>375186</v>
      </c>
      <c r="E3082" s="3" t="s">
        <v>27</v>
      </c>
      <c r="F3082" s="3">
        <v>1149542</v>
      </c>
      <c r="G3082" s="3">
        <v>302009</v>
      </c>
      <c r="H3082" s="3">
        <v>211117</v>
      </c>
      <c r="I3082" s="3">
        <v>73177</v>
      </c>
    </row>
    <row r="3083" spans="1:9">
      <c r="A3083" s="3" t="s">
        <v>3108</v>
      </c>
      <c r="B3083" s="3" t="s">
        <v>26</v>
      </c>
      <c r="C3083" s="3">
        <v>680234</v>
      </c>
      <c r="D3083" s="3">
        <v>1830</v>
      </c>
      <c r="E3083" s="3" t="s">
        <v>27</v>
      </c>
      <c r="F3083" s="3">
        <v>348244</v>
      </c>
      <c r="G3083" s="3">
        <v>927</v>
      </c>
      <c r="H3083" s="3">
        <v>331990</v>
      </c>
      <c r="I3083" s="3">
        <v>903</v>
      </c>
    </row>
    <row r="3084" spans="1:9">
      <c r="A3084" s="3" t="s">
        <v>3109</v>
      </c>
      <c r="B3084" s="3" t="s">
        <v>26</v>
      </c>
      <c r="C3084" s="3">
        <v>1037655</v>
      </c>
      <c r="D3084" s="3">
        <v>151816</v>
      </c>
      <c r="E3084" s="3" t="s">
        <v>27</v>
      </c>
      <c r="F3084" s="3">
        <v>673110</v>
      </c>
      <c r="G3084" s="3">
        <v>96102</v>
      </c>
      <c r="H3084" s="3">
        <v>364545</v>
      </c>
      <c r="I3084" s="3">
        <v>55714</v>
      </c>
    </row>
    <row r="3085" spans="1:9">
      <c r="A3085" s="3" t="s">
        <v>3110</v>
      </c>
      <c r="B3085" s="3" t="s">
        <v>26</v>
      </c>
      <c r="C3085" s="3">
        <v>1672716</v>
      </c>
      <c r="D3085" s="3">
        <v>514607</v>
      </c>
      <c r="E3085" s="3" t="s">
        <v>27</v>
      </c>
      <c r="F3085" s="3">
        <v>1343879</v>
      </c>
      <c r="G3085" s="3">
        <v>402926</v>
      </c>
      <c r="H3085" s="3">
        <v>328837</v>
      </c>
      <c r="I3085" s="3">
        <v>111681</v>
      </c>
    </row>
    <row r="3086" spans="1:9">
      <c r="A3086" s="3" t="s">
        <v>3111</v>
      </c>
      <c r="B3086" s="3" t="s">
        <v>26</v>
      </c>
      <c r="C3086" s="3">
        <v>20369</v>
      </c>
      <c r="D3086" s="3">
        <v>6282</v>
      </c>
      <c r="E3086" s="3" t="s">
        <v>27</v>
      </c>
      <c r="F3086" s="3">
        <v>16749</v>
      </c>
      <c r="G3086" s="3">
        <v>4841</v>
      </c>
      <c r="H3086" s="3">
        <v>3620</v>
      </c>
      <c r="I3086" s="3">
        <v>1441</v>
      </c>
    </row>
    <row r="3087" spans="1:9">
      <c r="A3087" s="3" t="s">
        <v>3112</v>
      </c>
      <c r="B3087" s="3" t="s">
        <v>26</v>
      </c>
      <c r="C3087" s="3">
        <v>1771589</v>
      </c>
      <c r="D3087" s="3">
        <v>472277</v>
      </c>
      <c r="E3087" s="3" t="s">
        <v>27</v>
      </c>
      <c r="F3087" s="3">
        <v>1370955</v>
      </c>
      <c r="G3087" s="3">
        <v>350067</v>
      </c>
      <c r="H3087" s="3">
        <v>400634</v>
      </c>
      <c r="I3087" s="3">
        <v>122210</v>
      </c>
    </row>
    <row r="3088" spans="1:9">
      <c r="A3088" s="3" t="s">
        <v>3113</v>
      </c>
      <c r="B3088" s="3" t="s">
        <v>26</v>
      </c>
      <c r="C3088" s="3">
        <v>713829</v>
      </c>
      <c r="D3088" s="3">
        <v>9632</v>
      </c>
      <c r="E3088" s="3" t="s">
        <v>27</v>
      </c>
      <c r="F3088" s="3">
        <v>351573</v>
      </c>
      <c r="G3088" s="3">
        <v>4161</v>
      </c>
      <c r="H3088" s="3">
        <v>362256</v>
      </c>
      <c r="I3088" s="3">
        <v>5471</v>
      </c>
    </row>
    <row r="3089" spans="1:9">
      <c r="A3089" s="3" t="s">
        <v>3114</v>
      </c>
      <c r="B3089" s="3" t="s">
        <v>26</v>
      </c>
      <c r="C3089" s="3">
        <v>1866880</v>
      </c>
      <c r="D3089" s="3">
        <v>452785</v>
      </c>
      <c r="E3089" s="3" t="s">
        <v>27</v>
      </c>
      <c r="F3089" s="3">
        <v>1357644</v>
      </c>
      <c r="G3089" s="3">
        <v>320368</v>
      </c>
      <c r="H3089" s="3">
        <v>509236</v>
      </c>
      <c r="I3089" s="3">
        <v>132417</v>
      </c>
    </row>
    <row r="3090" spans="1:9">
      <c r="A3090" s="3" t="s">
        <v>3115</v>
      </c>
      <c r="B3090" s="3" t="s">
        <v>26</v>
      </c>
      <c r="C3090" s="3">
        <v>1138723</v>
      </c>
      <c r="D3090" s="3">
        <v>50098</v>
      </c>
      <c r="E3090" s="3" t="s">
        <v>27</v>
      </c>
      <c r="F3090" s="3">
        <v>610571</v>
      </c>
      <c r="G3090" s="3">
        <v>28756</v>
      </c>
      <c r="H3090" s="3">
        <v>528152</v>
      </c>
      <c r="I3090" s="3">
        <v>21342</v>
      </c>
    </row>
    <row r="3091" spans="1:9">
      <c r="A3091" s="3" t="s">
        <v>3116</v>
      </c>
      <c r="B3091" s="3" t="s">
        <v>26</v>
      </c>
      <c r="C3091" s="3">
        <v>2365506</v>
      </c>
      <c r="D3091" s="3">
        <v>803035</v>
      </c>
      <c r="E3091" s="3" t="s">
        <v>27</v>
      </c>
      <c r="F3091" s="3">
        <v>1612875</v>
      </c>
      <c r="G3091" s="3">
        <v>541652</v>
      </c>
      <c r="H3091" s="3">
        <v>752631</v>
      </c>
      <c r="I3091" s="3">
        <v>261383</v>
      </c>
    </row>
    <row r="3092" spans="1:9">
      <c r="A3092" s="3" t="s">
        <v>3117</v>
      </c>
      <c r="B3092" s="3" t="s">
        <v>26</v>
      </c>
      <c r="C3092" s="3">
        <v>1159600</v>
      </c>
      <c r="D3092" s="3">
        <v>58644</v>
      </c>
      <c r="E3092" s="3" t="s">
        <v>27</v>
      </c>
      <c r="F3092" s="3">
        <v>640585</v>
      </c>
      <c r="G3092" s="3">
        <v>35563</v>
      </c>
      <c r="H3092" s="3">
        <v>519015</v>
      </c>
      <c r="I3092" s="3">
        <v>23081</v>
      </c>
    </row>
    <row r="3093" spans="1:9">
      <c r="A3093" s="3" t="s">
        <v>3118</v>
      </c>
      <c r="B3093" s="3" t="s">
        <v>26</v>
      </c>
      <c r="C3093" s="3">
        <v>1367071</v>
      </c>
      <c r="D3093" s="3">
        <v>223006</v>
      </c>
      <c r="E3093" s="3" t="s">
        <v>27</v>
      </c>
      <c r="F3093" s="3">
        <v>860369</v>
      </c>
      <c r="G3093" s="3">
        <v>149411</v>
      </c>
      <c r="H3093" s="3">
        <v>506702</v>
      </c>
      <c r="I3093" s="3">
        <v>73595</v>
      </c>
    </row>
    <row r="3094" spans="1:9">
      <c r="A3094" s="3" t="s">
        <v>3119</v>
      </c>
      <c r="B3094" s="3" t="s">
        <v>26</v>
      </c>
      <c r="C3094" s="3">
        <v>2047744</v>
      </c>
      <c r="D3094" s="3">
        <v>630012</v>
      </c>
      <c r="E3094" s="3" t="s">
        <v>27</v>
      </c>
      <c r="F3094" s="3">
        <v>1541982</v>
      </c>
      <c r="G3094" s="3">
        <v>457171</v>
      </c>
      <c r="H3094" s="3">
        <v>505762</v>
      </c>
      <c r="I3094" s="3">
        <v>172841</v>
      </c>
    </row>
    <row r="3095" spans="1:9">
      <c r="A3095" s="3" t="s">
        <v>3120</v>
      </c>
      <c r="B3095" s="3" t="s">
        <v>26</v>
      </c>
      <c r="C3095" s="3">
        <v>2242631</v>
      </c>
      <c r="D3095" s="3">
        <v>713893</v>
      </c>
      <c r="E3095" s="3" t="s">
        <v>27</v>
      </c>
      <c r="F3095" s="3">
        <v>1862431</v>
      </c>
      <c r="G3095" s="3">
        <v>571390</v>
      </c>
      <c r="H3095" s="3">
        <v>380200</v>
      </c>
      <c r="I3095" s="3">
        <v>142503</v>
      </c>
    </row>
    <row r="3096" spans="1:9">
      <c r="A3096" s="3" t="s">
        <v>3121</v>
      </c>
      <c r="B3096" s="3" t="s">
        <v>26</v>
      </c>
      <c r="C3096" s="3">
        <v>1960053</v>
      </c>
      <c r="D3096" s="3">
        <v>593630</v>
      </c>
      <c r="E3096" s="3" t="s">
        <v>27</v>
      </c>
      <c r="F3096" s="3">
        <v>1640111</v>
      </c>
      <c r="G3096" s="3">
        <v>473932</v>
      </c>
      <c r="H3096" s="3">
        <v>319942</v>
      </c>
      <c r="I3096" s="3">
        <v>119698</v>
      </c>
    </row>
    <row r="3097" spans="1:9">
      <c r="A3097" s="3" t="s">
        <v>3122</v>
      </c>
      <c r="B3097" s="3" t="s">
        <v>26</v>
      </c>
      <c r="C3097" s="3">
        <v>931441</v>
      </c>
      <c r="D3097" s="3">
        <v>13015</v>
      </c>
      <c r="E3097" s="3" t="s">
        <v>27</v>
      </c>
      <c r="F3097" s="3">
        <v>496083</v>
      </c>
      <c r="G3097" s="3">
        <v>8113</v>
      </c>
      <c r="H3097" s="3">
        <v>435358</v>
      </c>
      <c r="I3097" s="3">
        <v>4902</v>
      </c>
    </row>
    <row r="3098" spans="1:9">
      <c r="A3098" s="3" t="s">
        <v>3123</v>
      </c>
      <c r="B3098" s="3" t="s">
        <v>26</v>
      </c>
      <c r="C3098" s="3">
        <v>1718269</v>
      </c>
      <c r="D3098" s="3">
        <v>167968</v>
      </c>
      <c r="E3098" s="3" t="s">
        <v>27</v>
      </c>
      <c r="F3098" s="3">
        <v>1016227</v>
      </c>
      <c r="G3098" s="3">
        <v>96569</v>
      </c>
      <c r="H3098" s="3">
        <v>702042</v>
      </c>
      <c r="I3098" s="3">
        <v>71399</v>
      </c>
    </row>
    <row r="3099" spans="1:9">
      <c r="A3099" s="3" t="s">
        <v>3124</v>
      </c>
      <c r="B3099" s="3" t="s">
        <v>26</v>
      </c>
      <c r="C3099" s="3">
        <v>1487538</v>
      </c>
      <c r="D3099" s="3">
        <v>61848</v>
      </c>
      <c r="E3099" s="3" t="s">
        <v>27</v>
      </c>
      <c r="F3099" s="3">
        <v>786885</v>
      </c>
      <c r="G3099" s="3">
        <v>29723</v>
      </c>
      <c r="H3099" s="3">
        <v>700653</v>
      </c>
      <c r="I3099" s="3">
        <v>32125</v>
      </c>
    </row>
    <row r="3100" spans="1:9">
      <c r="A3100" s="3" t="s">
        <v>3125</v>
      </c>
      <c r="B3100" s="3" t="s">
        <v>26</v>
      </c>
      <c r="C3100" s="3">
        <v>28281</v>
      </c>
      <c r="D3100" s="3">
        <v>4900</v>
      </c>
      <c r="E3100" s="3" t="s">
        <v>27</v>
      </c>
      <c r="F3100" s="3">
        <v>22477</v>
      </c>
      <c r="G3100" s="3">
        <v>3190</v>
      </c>
      <c r="H3100" s="3">
        <v>5804</v>
      </c>
      <c r="I3100" s="3">
        <v>1710</v>
      </c>
    </row>
    <row r="3101" spans="1:9">
      <c r="A3101" s="3" t="s">
        <v>3126</v>
      </c>
      <c r="B3101" s="3" t="s">
        <v>26</v>
      </c>
      <c r="C3101" s="3">
        <v>2223034</v>
      </c>
      <c r="D3101" s="3">
        <v>460679</v>
      </c>
      <c r="E3101" s="3" t="s">
        <v>27</v>
      </c>
      <c r="F3101" s="3">
        <v>1523256</v>
      </c>
      <c r="G3101" s="3">
        <v>341976</v>
      </c>
      <c r="H3101" s="3">
        <v>699778</v>
      </c>
      <c r="I3101" s="3">
        <v>118703</v>
      </c>
    </row>
    <row r="3102" spans="1:9">
      <c r="A3102" s="3" t="s">
        <v>3127</v>
      </c>
      <c r="B3102" s="3" t="s">
        <v>26</v>
      </c>
      <c r="C3102" s="3">
        <v>1816434</v>
      </c>
      <c r="D3102" s="3">
        <v>456332</v>
      </c>
      <c r="E3102" s="3" t="s">
        <v>27</v>
      </c>
      <c r="F3102" s="3">
        <v>1400031</v>
      </c>
      <c r="G3102" s="3">
        <v>365048</v>
      </c>
      <c r="H3102" s="3">
        <v>416403</v>
      </c>
      <c r="I3102" s="3">
        <v>91284</v>
      </c>
    </row>
    <row r="3103" spans="1:9">
      <c r="A3103" s="3" t="s">
        <v>3128</v>
      </c>
      <c r="B3103" s="3" t="s">
        <v>26</v>
      </c>
      <c r="C3103" s="3">
        <v>2405732</v>
      </c>
      <c r="D3103" s="3">
        <v>720968</v>
      </c>
      <c r="E3103" s="3" t="s">
        <v>27</v>
      </c>
      <c r="F3103" s="3">
        <v>1690238</v>
      </c>
      <c r="G3103" s="3">
        <v>498853</v>
      </c>
      <c r="H3103" s="3">
        <v>715494</v>
      </c>
      <c r="I3103" s="3">
        <v>222115</v>
      </c>
    </row>
    <row r="3104" spans="1:9">
      <c r="A3104" s="3" t="s">
        <v>3129</v>
      </c>
      <c r="B3104" s="3" t="s">
        <v>26</v>
      </c>
      <c r="C3104" s="3">
        <v>1285247</v>
      </c>
      <c r="D3104" s="3">
        <v>177735</v>
      </c>
      <c r="E3104" s="3" t="s">
        <v>27</v>
      </c>
      <c r="F3104" s="3">
        <v>883974</v>
      </c>
      <c r="G3104" s="3">
        <v>121904</v>
      </c>
      <c r="H3104" s="3">
        <v>401273</v>
      </c>
      <c r="I3104" s="3">
        <v>55831</v>
      </c>
    </row>
    <row r="3105" spans="1:9">
      <c r="A3105" s="3" t="s">
        <v>3130</v>
      </c>
      <c r="B3105" s="3" t="s">
        <v>26</v>
      </c>
      <c r="C3105" s="3">
        <v>2311717</v>
      </c>
      <c r="D3105" s="3">
        <v>564642</v>
      </c>
      <c r="E3105" s="3" t="s">
        <v>27</v>
      </c>
      <c r="F3105" s="3">
        <v>1675262</v>
      </c>
      <c r="G3105" s="3">
        <v>433749</v>
      </c>
      <c r="H3105" s="3">
        <v>636455</v>
      </c>
      <c r="I3105" s="3">
        <v>130893</v>
      </c>
    </row>
    <row r="3106" spans="1:9">
      <c r="A3106" s="3" t="s">
        <v>3131</v>
      </c>
      <c r="B3106" s="3" t="s">
        <v>26</v>
      </c>
      <c r="C3106" s="3">
        <v>1131843</v>
      </c>
      <c r="D3106" s="3">
        <v>64270</v>
      </c>
      <c r="E3106" s="3" t="s">
        <v>27</v>
      </c>
      <c r="F3106" s="3">
        <v>707996</v>
      </c>
      <c r="G3106" s="3">
        <v>44314</v>
      </c>
      <c r="H3106" s="3">
        <v>423847</v>
      </c>
      <c r="I3106" s="3">
        <v>19956</v>
      </c>
    </row>
    <row r="3107" spans="1:9">
      <c r="A3107" s="3" t="s">
        <v>3132</v>
      </c>
      <c r="B3107" s="3" t="s">
        <v>26</v>
      </c>
      <c r="C3107" s="3">
        <v>2221521</v>
      </c>
      <c r="D3107" s="3">
        <v>591487</v>
      </c>
      <c r="E3107" s="3" t="s">
        <v>27</v>
      </c>
      <c r="F3107" s="3">
        <v>1464164</v>
      </c>
      <c r="G3107" s="3">
        <v>395666</v>
      </c>
      <c r="H3107" s="3">
        <v>757357</v>
      </c>
      <c r="I3107" s="3">
        <v>195821</v>
      </c>
    </row>
    <row r="3108" spans="1:9">
      <c r="A3108" s="3" t="s">
        <v>3133</v>
      </c>
      <c r="B3108" s="3" t="s">
        <v>26</v>
      </c>
      <c r="C3108" s="3">
        <v>2289902</v>
      </c>
      <c r="D3108" s="3">
        <v>603439</v>
      </c>
      <c r="E3108" s="3" t="s">
        <v>27</v>
      </c>
      <c r="F3108" s="3">
        <v>1569565</v>
      </c>
      <c r="G3108" s="3">
        <v>429049</v>
      </c>
      <c r="H3108" s="3">
        <v>720337</v>
      </c>
      <c r="I3108" s="3">
        <v>174390</v>
      </c>
    </row>
    <row r="3109" spans="1:9">
      <c r="A3109" s="3" t="s">
        <v>3134</v>
      </c>
      <c r="B3109" s="3" t="s">
        <v>26</v>
      </c>
      <c r="C3109" s="3">
        <v>2231394</v>
      </c>
      <c r="D3109" s="3">
        <v>644846</v>
      </c>
      <c r="E3109" s="3" t="s">
        <v>27</v>
      </c>
      <c r="F3109" s="3">
        <v>1706788</v>
      </c>
      <c r="G3109" s="3">
        <v>467587</v>
      </c>
      <c r="H3109" s="3">
        <v>524606</v>
      </c>
      <c r="I3109" s="3">
        <v>177259</v>
      </c>
    </row>
    <row r="3110" spans="1:9">
      <c r="A3110" s="3" t="s">
        <v>3135</v>
      </c>
      <c r="B3110" s="3" t="s">
        <v>26</v>
      </c>
      <c r="C3110" s="3">
        <v>1855637</v>
      </c>
      <c r="D3110" s="3">
        <v>157474</v>
      </c>
      <c r="E3110" s="3" t="s">
        <v>27</v>
      </c>
      <c r="F3110" s="3">
        <v>1082481</v>
      </c>
      <c r="G3110" s="3">
        <v>98378</v>
      </c>
      <c r="H3110" s="3">
        <v>773156</v>
      </c>
      <c r="I3110" s="3">
        <v>59096</v>
      </c>
    </row>
    <row r="3111" spans="1:9">
      <c r="A3111" s="3" t="s">
        <v>3136</v>
      </c>
      <c r="B3111" s="3" t="s">
        <v>26</v>
      </c>
      <c r="C3111" s="3">
        <v>2539638</v>
      </c>
      <c r="D3111" s="3">
        <v>779163</v>
      </c>
      <c r="E3111" s="3" t="s">
        <v>27</v>
      </c>
      <c r="F3111" s="3">
        <v>2223299</v>
      </c>
      <c r="G3111" s="3">
        <v>648244</v>
      </c>
      <c r="H3111" s="3">
        <v>316339</v>
      </c>
      <c r="I3111" s="3">
        <v>130919</v>
      </c>
    </row>
    <row r="3112" spans="1:9">
      <c r="A3112" s="3" t="s">
        <v>3137</v>
      </c>
      <c r="B3112" s="3" t="s">
        <v>26</v>
      </c>
      <c r="C3112" s="3">
        <v>1689214</v>
      </c>
      <c r="D3112" s="3">
        <v>301382</v>
      </c>
      <c r="E3112" s="3" t="s">
        <v>27</v>
      </c>
      <c r="F3112" s="3">
        <v>1119641</v>
      </c>
      <c r="G3112" s="3">
        <v>198435</v>
      </c>
      <c r="H3112" s="3">
        <v>569573</v>
      </c>
      <c r="I3112" s="3">
        <v>102947</v>
      </c>
    </row>
    <row r="3113" spans="1:9">
      <c r="A3113" s="3" t="s">
        <v>3138</v>
      </c>
      <c r="B3113" s="3" t="s">
        <v>26</v>
      </c>
      <c r="C3113" s="3">
        <v>2318846</v>
      </c>
      <c r="D3113" s="3">
        <v>697508</v>
      </c>
      <c r="E3113" s="3" t="s">
        <v>27</v>
      </c>
      <c r="F3113" s="3">
        <v>1460477</v>
      </c>
      <c r="G3113" s="3">
        <v>445462</v>
      </c>
      <c r="H3113" s="3">
        <v>858369</v>
      </c>
      <c r="I3113" s="3">
        <v>252046</v>
      </c>
    </row>
    <row r="3114" spans="1:9">
      <c r="A3114" s="3" t="s">
        <v>3139</v>
      </c>
      <c r="B3114" s="3" t="s">
        <v>26</v>
      </c>
      <c r="C3114" s="3">
        <v>1279408</v>
      </c>
      <c r="D3114" s="3">
        <v>57043</v>
      </c>
      <c r="E3114" s="3" t="s">
        <v>27</v>
      </c>
      <c r="F3114" s="3">
        <v>745794</v>
      </c>
      <c r="G3114" s="3">
        <v>35748</v>
      </c>
      <c r="H3114" s="3">
        <v>533614</v>
      </c>
      <c r="I3114" s="3">
        <v>21295</v>
      </c>
    </row>
    <row r="3115" spans="1:9">
      <c r="A3115" s="3" t="s">
        <v>3140</v>
      </c>
      <c r="B3115" s="3" t="s">
        <v>26</v>
      </c>
      <c r="C3115" s="3">
        <v>2600117</v>
      </c>
      <c r="D3115" s="3">
        <v>838183</v>
      </c>
      <c r="E3115" s="3" t="s">
        <v>27</v>
      </c>
      <c r="F3115" s="3">
        <v>1670806</v>
      </c>
      <c r="G3115" s="3">
        <v>544049</v>
      </c>
      <c r="H3115" s="3">
        <v>929311</v>
      </c>
      <c r="I3115" s="3">
        <v>294134</v>
      </c>
    </row>
    <row r="3116" spans="1:9">
      <c r="A3116" s="3" t="s">
        <v>3141</v>
      </c>
      <c r="B3116" s="3" t="s">
        <v>26</v>
      </c>
      <c r="C3116" s="3">
        <v>1651541</v>
      </c>
      <c r="D3116" s="3">
        <v>368366</v>
      </c>
      <c r="E3116" s="3" t="s">
        <v>27</v>
      </c>
      <c r="F3116" s="3">
        <v>1216458</v>
      </c>
      <c r="G3116" s="3">
        <v>252141</v>
      </c>
      <c r="H3116" s="3">
        <v>435083</v>
      </c>
      <c r="I3116" s="3">
        <v>116225</v>
      </c>
    </row>
    <row r="3117" spans="1:9">
      <c r="A3117" s="3" t="s">
        <v>3142</v>
      </c>
      <c r="B3117" s="3" t="s">
        <v>26</v>
      </c>
      <c r="C3117" s="3">
        <v>2597816</v>
      </c>
      <c r="D3117" s="3">
        <v>911202</v>
      </c>
      <c r="E3117" s="3" t="s">
        <v>27</v>
      </c>
      <c r="F3117" s="3">
        <v>2246593</v>
      </c>
      <c r="G3117" s="3">
        <v>773118</v>
      </c>
      <c r="H3117" s="3">
        <v>351223</v>
      </c>
      <c r="I3117" s="3">
        <v>138084</v>
      </c>
    </row>
    <row r="3118" spans="1:9">
      <c r="A3118" s="3" t="s">
        <v>3143</v>
      </c>
      <c r="B3118" s="3" t="s">
        <v>26</v>
      </c>
      <c r="C3118" s="3">
        <v>2643169</v>
      </c>
      <c r="D3118" s="3">
        <v>871794</v>
      </c>
      <c r="E3118" s="3" t="s">
        <v>27</v>
      </c>
      <c r="F3118" s="3">
        <v>2026570</v>
      </c>
      <c r="G3118" s="3">
        <v>656692</v>
      </c>
      <c r="H3118" s="3">
        <v>616599</v>
      </c>
      <c r="I3118" s="3">
        <v>215102</v>
      </c>
    </row>
    <row r="3119" spans="1:9">
      <c r="A3119" s="3" t="s">
        <v>3144</v>
      </c>
      <c r="B3119" s="3" t="s">
        <v>26</v>
      </c>
      <c r="C3119" s="3">
        <v>1971725</v>
      </c>
      <c r="D3119" s="3">
        <v>543640</v>
      </c>
      <c r="E3119" s="3" t="s">
        <v>27</v>
      </c>
      <c r="F3119" s="3">
        <v>1437394</v>
      </c>
      <c r="G3119" s="3">
        <v>429629</v>
      </c>
      <c r="H3119" s="3">
        <v>534331</v>
      </c>
      <c r="I3119" s="3">
        <v>114011</v>
      </c>
    </row>
    <row r="3120" spans="1:9">
      <c r="A3120" s="3" t="s">
        <v>3145</v>
      </c>
      <c r="B3120" s="3" t="s">
        <v>26</v>
      </c>
      <c r="C3120" s="3">
        <v>2749079</v>
      </c>
      <c r="D3120" s="3">
        <v>834111</v>
      </c>
      <c r="E3120" s="3" t="s">
        <v>27</v>
      </c>
      <c r="F3120" s="3">
        <v>1921957</v>
      </c>
      <c r="G3120" s="3">
        <v>590042</v>
      </c>
      <c r="H3120" s="3">
        <v>827122</v>
      </c>
      <c r="I3120" s="3">
        <v>244069</v>
      </c>
    </row>
    <row r="3121" spans="1:9">
      <c r="A3121" s="3" t="s">
        <v>3146</v>
      </c>
      <c r="B3121" s="3" t="s">
        <v>26</v>
      </c>
      <c r="C3121" s="3">
        <v>1526434</v>
      </c>
      <c r="D3121" s="3">
        <v>184516</v>
      </c>
      <c r="E3121" s="3" t="s">
        <v>27</v>
      </c>
      <c r="F3121" s="3">
        <v>1006478</v>
      </c>
      <c r="G3121" s="3">
        <v>126981</v>
      </c>
      <c r="H3121" s="3">
        <v>519956</v>
      </c>
      <c r="I3121" s="3">
        <v>57535</v>
      </c>
    </row>
    <row r="3122" spans="1:9">
      <c r="A3122" s="3" t="s">
        <v>3147</v>
      </c>
      <c r="B3122" s="3" t="s">
        <v>26</v>
      </c>
      <c r="C3122" s="3">
        <v>1059682</v>
      </c>
      <c r="D3122" s="3">
        <v>53160</v>
      </c>
      <c r="E3122" s="3" t="s">
        <v>27</v>
      </c>
      <c r="F3122" s="3">
        <v>682624</v>
      </c>
      <c r="G3122" s="3">
        <v>33641</v>
      </c>
      <c r="H3122" s="3">
        <v>377058</v>
      </c>
      <c r="I3122" s="3">
        <v>19519</v>
      </c>
    </row>
    <row r="3123" spans="1:9">
      <c r="A3123" s="3" t="s">
        <v>3148</v>
      </c>
      <c r="B3123" s="3" t="s">
        <v>26</v>
      </c>
      <c r="C3123" s="3">
        <v>1904966</v>
      </c>
      <c r="D3123" s="3">
        <v>426898</v>
      </c>
      <c r="E3123" s="3" t="s">
        <v>27</v>
      </c>
      <c r="F3123" s="3">
        <v>1382208</v>
      </c>
      <c r="G3123" s="3">
        <v>318183</v>
      </c>
      <c r="H3123" s="3">
        <v>522758</v>
      </c>
      <c r="I3123" s="3">
        <v>108715</v>
      </c>
    </row>
    <row r="3124" spans="1:9">
      <c r="A3124" s="3" t="s">
        <v>3149</v>
      </c>
      <c r="B3124" s="3" t="s">
        <v>26</v>
      </c>
      <c r="C3124" s="3">
        <v>1597990</v>
      </c>
      <c r="D3124" s="3">
        <v>25979</v>
      </c>
      <c r="E3124" s="3" t="s">
        <v>27</v>
      </c>
      <c r="F3124" s="3">
        <v>814157</v>
      </c>
      <c r="G3124" s="3">
        <v>16380</v>
      </c>
      <c r="H3124" s="3">
        <v>783833</v>
      </c>
      <c r="I3124" s="3">
        <v>9599</v>
      </c>
    </row>
    <row r="3125" spans="1:9">
      <c r="A3125" s="3" t="s">
        <v>3150</v>
      </c>
      <c r="B3125" s="3" t="s">
        <v>26</v>
      </c>
      <c r="C3125" s="3">
        <v>782077</v>
      </c>
      <c r="D3125" s="3">
        <v>977</v>
      </c>
      <c r="E3125" s="3" t="s">
        <v>27</v>
      </c>
      <c r="F3125" s="3">
        <v>409686</v>
      </c>
      <c r="G3125" s="3">
        <v>964</v>
      </c>
      <c r="H3125" s="3">
        <v>372391</v>
      </c>
      <c r="I3125" s="3">
        <v>13</v>
      </c>
    </row>
    <row r="3126" spans="1:9">
      <c r="A3126" s="3" t="s">
        <v>3151</v>
      </c>
      <c r="B3126" s="3" t="s">
        <v>26</v>
      </c>
      <c r="C3126" s="3">
        <v>2906308</v>
      </c>
      <c r="D3126" s="3">
        <v>1089181</v>
      </c>
      <c r="E3126" s="3" t="s">
        <v>27</v>
      </c>
      <c r="F3126" s="3">
        <v>2178335</v>
      </c>
      <c r="G3126" s="3">
        <v>797792</v>
      </c>
      <c r="H3126" s="3">
        <v>727973</v>
      </c>
      <c r="I3126" s="3">
        <v>291389</v>
      </c>
    </row>
    <row r="3127" spans="1:9">
      <c r="A3127" s="3" t="s">
        <v>3152</v>
      </c>
      <c r="B3127" s="3" t="s">
        <v>26</v>
      </c>
      <c r="C3127" s="3">
        <v>1357020</v>
      </c>
      <c r="D3127" s="3">
        <v>40130</v>
      </c>
      <c r="E3127" s="3" t="s">
        <v>27</v>
      </c>
      <c r="F3127" s="3">
        <v>683671</v>
      </c>
      <c r="G3127" s="3">
        <v>19943</v>
      </c>
      <c r="H3127" s="3">
        <v>673349</v>
      </c>
      <c r="I3127" s="3">
        <v>20187</v>
      </c>
    </row>
    <row r="3128" spans="1:9">
      <c r="A3128" s="3" t="s">
        <v>3153</v>
      </c>
      <c r="B3128" s="3" t="s">
        <v>26</v>
      </c>
      <c r="C3128" s="3">
        <v>24556</v>
      </c>
      <c r="D3128" s="3">
        <v>5065</v>
      </c>
      <c r="E3128" s="3" t="s">
        <v>27</v>
      </c>
      <c r="F3128" s="3">
        <v>19692</v>
      </c>
      <c r="G3128" s="3">
        <v>3944</v>
      </c>
      <c r="H3128" s="3">
        <v>4864</v>
      </c>
      <c r="I3128" s="3">
        <v>1121</v>
      </c>
    </row>
    <row r="3129" spans="1:9">
      <c r="A3129" s="3" t="s">
        <v>3154</v>
      </c>
      <c r="B3129" s="3" t="s">
        <v>26</v>
      </c>
      <c r="C3129" s="3">
        <v>1899791</v>
      </c>
      <c r="D3129" s="3">
        <v>437513</v>
      </c>
      <c r="E3129" s="3" t="s">
        <v>27</v>
      </c>
      <c r="F3129" s="3">
        <v>1248331</v>
      </c>
      <c r="G3129" s="3">
        <v>300519</v>
      </c>
      <c r="H3129" s="3">
        <v>651460</v>
      </c>
      <c r="I3129" s="3">
        <v>136994</v>
      </c>
    </row>
    <row r="3130" spans="1:9">
      <c r="A3130" s="3" t="s">
        <v>3155</v>
      </c>
      <c r="B3130" s="3" t="s">
        <v>26</v>
      </c>
      <c r="C3130" s="3">
        <v>1288461</v>
      </c>
      <c r="D3130" s="3">
        <v>68208</v>
      </c>
      <c r="E3130" s="3" t="s">
        <v>27</v>
      </c>
      <c r="F3130" s="3">
        <v>730321</v>
      </c>
      <c r="G3130" s="3">
        <v>40479</v>
      </c>
      <c r="H3130" s="3">
        <v>558140</v>
      </c>
      <c r="I3130" s="3">
        <v>27729</v>
      </c>
    </row>
    <row r="3131" spans="1:9">
      <c r="A3131" s="3" t="s">
        <v>3156</v>
      </c>
      <c r="B3131" s="3" t="s">
        <v>26</v>
      </c>
      <c r="C3131" s="3">
        <v>1861930</v>
      </c>
      <c r="D3131" s="3">
        <v>94798</v>
      </c>
      <c r="E3131" s="3" t="s">
        <v>27</v>
      </c>
      <c r="F3131" s="3">
        <v>1003788</v>
      </c>
      <c r="G3131" s="3">
        <v>49895</v>
      </c>
      <c r="H3131" s="3">
        <v>858142</v>
      </c>
      <c r="I3131" s="3">
        <v>44903</v>
      </c>
    </row>
    <row r="3132" spans="1:9">
      <c r="A3132" s="3" t="s">
        <v>3157</v>
      </c>
      <c r="B3132" s="3" t="s">
        <v>26</v>
      </c>
      <c r="C3132" s="3">
        <v>904185</v>
      </c>
      <c r="D3132" s="3">
        <v>11406</v>
      </c>
      <c r="E3132" s="3" t="s">
        <v>27</v>
      </c>
      <c r="F3132" s="3">
        <v>501736</v>
      </c>
      <c r="G3132" s="3">
        <v>5980</v>
      </c>
      <c r="H3132" s="3">
        <v>402449</v>
      </c>
      <c r="I3132" s="3">
        <v>5426</v>
      </c>
    </row>
    <row r="3133" spans="1:9">
      <c r="A3133" s="3" t="s">
        <v>3158</v>
      </c>
      <c r="B3133" s="3" t="s">
        <v>26</v>
      </c>
      <c r="C3133" s="3">
        <v>1775058</v>
      </c>
      <c r="D3133" s="3">
        <v>445532</v>
      </c>
      <c r="E3133" s="3" t="s">
        <v>27</v>
      </c>
      <c r="F3133" s="3">
        <v>1230558</v>
      </c>
      <c r="G3133" s="3">
        <v>298643</v>
      </c>
      <c r="H3133" s="3">
        <v>544500</v>
      </c>
      <c r="I3133" s="3">
        <v>146889</v>
      </c>
    </row>
    <row r="3134" spans="1:9">
      <c r="A3134" s="3" t="s">
        <v>3159</v>
      </c>
      <c r="B3134" s="3" t="s">
        <v>26</v>
      </c>
      <c r="C3134" s="3">
        <v>1897079</v>
      </c>
      <c r="D3134" s="3">
        <v>294258</v>
      </c>
      <c r="E3134" s="3" t="s">
        <v>27</v>
      </c>
      <c r="F3134" s="3">
        <v>1191764</v>
      </c>
      <c r="G3134" s="3">
        <v>183463</v>
      </c>
      <c r="H3134" s="3">
        <v>705315</v>
      </c>
      <c r="I3134" s="3">
        <v>110795</v>
      </c>
    </row>
    <row r="3135" spans="1:9">
      <c r="A3135" s="3" t="s">
        <v>3160</v>
      </c>
      <c r="B3135" s="3" t="s">
        <v>26</v>
      </c>
      <c r="C3135" s="3">
        <v>2454209</v>
      </c>
      <c r="D3135" s="3">
        <v>681981</v>
      </c>
      <c r="E3135" s="3" t="s">
        <v>27</v>
      </c>
      <c r="F3135" s="3">
        <v>1913689</v>
      </c>
      <c r="G3135" s="3">
        <v>547058</v>
      </c>
      <c r="H3135" s="3">
        <v>540520</v>
      </c>
      <c r="I3135" s="3">
        <v>134923</v>
      </c>
    </row>
    <row r="3136" spans="1:9">
      <c r="A3136" s="3" t="s">
        <v>3161</v>
      </c>
      <c r="B3136" s="3" t="s">
        <v>26</v>
      </c>
      <c r="C3136" s="3">
        <v>1024262</v>
      </c>
      <c r="D3136" s="3">
        <v>75385</v>
      </c>
      <c r="E3136" s="3" t="s">
        <v>27</v>
      </c>
      <c r="F3136" s="3">
        <v>596870</v>
      </c>
      <c r="G3136" s="3">
        <v>48709</v>
      </c>
      <c r="H3136" s="3">
        <v>427392</v>
      </c>
      <c r="I3136" s="3">
        <v>26676</v>
      </c>
    </row>
    <row r="3137" spans="1:9">
      <c r="A3137" s="3" t="s">
        <v>3162</v>
      </c>
      <c r="B3137" s="3" t="s">
        <v>26</v>
      </c>
      <c r="C3137" s="3">
        <v>1233632</v>
      </c>
      <c r="D3137" s="3">
        <v>109998</v>
      </c>
      <c r="E3137" s="3" t="s">
        <v>27</v>
      </c>
      <c r="F3137" s="3">
        <v>800721</v>
      </c>
      <c r="G3137" s="3">
        <v>68578</v>
      </c>
      <c r="H3137" s="3">
        <v>432911</v>
      </c>
      <c r="I3137" s="3">
        <v>41420</v>
      </c>
    </row>
    <row r="3138" spans="1:9">
      <c r="A3138" s="3" t="s">
        <v>3163</v>
      </c>
      <c r="B3138" s="3" t="s">
        <v>26</v>
      </c>
      <c r="C3138" s="3">
        <v>2273878</v>
      </c>
      <c r="D3138" s="3">
        <v>503039</v>
      </c>
      <c r="E3138" s="3" t="s">
        <v>27</v>
      </c>
      <c r="F3138" s="3">
        <v>1447354</v>
      </c>
      <c r="G3138" s="3">
        <v>330161</v>
      </c>
      <c r="H3138" s="3">
        <v>826524</v>
      </c>
      <c r="I3138" s="3">
        <v>172878</v>
      </c>
    </row>
    <row r="3139" spans="1:9">
      <c r="A3139" s="3" t="s">
        <v>3164</v>
      </c>
      <c r="B3139" s="3" t="s">
        <v>26</v>
      </c>
      <c r="C3139" s="3">
        <v>25899</v>
      </c>
      <c r="D3139" s="3">
        <v>6912</v>
      </c>
      <c r="E3139" s="3" t="s">
        <v>27</v>
      </c>
      <c r="F3139" s="3">
        <v>23866</v>
      </c>
      <c r="G3139" s="3">
        <v>5939</v>
      </c>
      <c r="H3139" s="3">
        <v>2033</v>
      </c>
      <c r="I3139" s="3">
        <v>973</v>
      </c>
    </row>
    <row r="3140" spans="1:9">
      <c r="A3140" s="3" t="s">
        <v>3165</v>
      </c>
      <c r="B3140" s="3" t="s">
        <v>26</v>
      </c>
      <c r="C3140" s="3">
        <v>1586621</v>
      </c>
      <c r="D3140" s="3">
        <v>258257</v>
      </c>
      <c r="E3140" s="3" t="s">
        <v>27</v>
      </c>
      <c r="F3140" s="3">
        <v>998083</v>
      </c>
      <c r="G3140" s="3">
        <v>167949</v>
      </c>
      <c r="H3140" s="3">
        <v>588538</v>
      </c>
      <c r="I3140" s="3">
        <v>90308</v>
      </c>
    </row>
    <row r="3141" spans="1:9">
      <c r="A3141" s="3" t="s">
        <v>3166</v>
      </c>
      <c r="B3141" s="3" t="s">
        <v>26</v>
      </c>
      <c r="C3141" s="3">
        <v>452730</v>
      </c>
      <c r="D3141" s="3">
        <v>16708</v>
      </c>
      <c r="E3141" s="3" t="s">
        <v>27</v>
      </c>
      <c r="F3141" s="3">
        <v>446175</v>
      </c>
      <c r="G3141" s="3">
        <v>14693</v>
      </c>
      <c r="H3141" s="3">
        <v>6555</v>
      </c>
      <c r="I3141" s="3">
        <v>2015</v>
      </c>
    </row>
    <row r="3142" spans="1:9">
      <c r="A3142" s="3" t="s">
        <v>3167</v>
      </c>
      <c r="B3142" s="3" t="s">
        <v>26</v>
      </c>
      <c r="C3142" s="3">
        <v>2655913</v>
      </c>
      <c r="D3142" s="3">
        <v>852836</v>
      </c>
      <c r="E3142" s="3" t="s">
        <v>27</v>
      </c>
      <c r="F3142" s="3">
        <v>1830799</v>
      </c>
      <c r="G3142" s="3">
        <v>599612</v>
      </c>
      <c r="H3142" s="3">
        <v>825114</v>
      </c>
      <c r="I3142" s="3">
        <v>253224</v>
      </c>
    </row>
    <row r="3143" spans="1:9">
      <c r="A3143" s="3" t="s">
        <v>3168</v>
      </c>
      <c r="B3143" s="3" t="s">
        <v>26</v>
      </c>
      <c r="C3143" s="3">
        <v>1185025</v>
      </c>
      <c r="D3143" s="3">
        <v>20866</v>
      </c>
      <c r="E3143" s="3" t="s">
        <v>27</v>
      </c>
      <c r="F3143" s="3">
        <v>623454</v>
      </c>
      <c r="G3143" s="3">
        <v>13475</v>
      </c>
      <c r="H3143" s="3">
        <v>561571</v>
      </c>
      <c r="I3143" s="3">
        <v>7391</v>
      </c>
    </row>
    <row r="3144" spans="1:9">
      <c r="A3144" s="3" t="s">
        <v>3169</v>
      </c>
      <c r="B3144" s="3" t="s">
        <v>26</v>
      </c>
      <c r="C3144" s="3">
        <v>1498147</v>
      </c>
      <c r="D3144" s="3">
        <v>174246</v>
      </c>
      <c r="E3144" s="3" t="s">
        <v>27</v>
      </c>
      <c r="F3144" s="3">
        <v>908490</v>
      </c>
      <c r="G3144" s="3">
        <v>117879</v>
      </c>
      <c r="H3144" s="3">
        <v>589657</v>
      </c>
      <c r="I3144" s="3">
        <v>56367</v>
      </c>
    </row>
    <row r="3145" spans="1:9">
      <c r="A3145" s="3" t="s">
        <v>3170</v>
      </c>
      <c r="B3145" s="3" t="s">
        <v>26</v>
      </c>
      <c r="C3145" s="3">
        <v>2019980</v>
      </c>
      <c r="D3145" s="3">
        <v>588602</v>
      </c>
      <c r="E3145" s="3" t="s">
        <v>27</v>
      </c>
      <c r="F3145" s="3">
        <v>1496127</v>
      </c>
      <c r="G3145" s="3">
        <v>458011</v>
      </c>
      <c r="H3145" s="3">
        <v>523853</v>
      </c>
      <c r="I3145" s="3">
        <v>130591</v>
      </c>
    </row>
    <row r="3146" spans="1:9">
      <c r="A3146" s="3" t="s">
        <v>3171</v>
      </c>
      <c r="B3146" s="3" t="s">
        <v>26</v>
      </c>
      <c r="C3146" s="3">
        <v>1949691</v>
      </c>
      <c r="D3146" s="3">
        <v>339343</v>
      </c>
      <c r="E3146" s="3" t="s">
        <v>27</v>
      </c>
      <c r="F3146" s="3">
        <v>1471009</v>
      </c>
      <c r="G3146" s="3">
        <v>248065</v>
      </c>
      <c r="H3146" s="3">
        <v>478682</v>
      </c>
      <c r="I3146" s="3">
        <v>91278</v>
      </c>
    </row>
    <row r="3147" spans="1:9">
      <c r="A3147" s="3" t="s">
        <v>3172</v>
      </c>
      <c r="B3147" s="3" t="s">
        <v>26</v>
      </c>
      <c r="C3147" s="3">
        <v>1729910</v>
      </c>
      <c r="D3147" s="3">
        <v>337507</v>
      </c>
      <c r="E3147" s="3" t="s">
        <v>27</v>
      </c>
      <c r="F3147" s="3">
        <v>1373427</v>
      </c>
      <c r="G3147" s="3">
        <v>278645</v>
      </c>
      <c r="H3147" s="3">
        <v>356483</v>
      </c>
      <c r="I3147" s="3">
        <v>58862</v>
      </c>
    </row>
    <row r="3148" spans="1:9">
      <c r="A3148" s="3" t="s">
        <v>3173</v>
      </c>
      <c r="B3148" s="3" t="s">
        <v>26</v>
      </c>
      <c r="C3148" s="3">
        <v>2064856</v>
      </c>
      <c r="D3148" s="3">
        <v>651820</v>
      </c>
      <c r="E3148" s="3" t="s">
        <v>27</v>
      </c>
      <c r="F3148" s="3">
        <v>1457302</v>
      </c>
      <c r="G3148" s="3">
        <v>417182</v>
      </c>
      <c r="H3148" s="3">
        <v>607554</v>
      </c>
      <c r="I3148" s="3">
        <v>234638</v>
      </c>
    </row>
    <row r="3149" spans="1:9">
      <c r="A3149" s="3" t="s">
        <v>3174</v>
      </c>
      <c r="B3149" s="3" t="s">
        <v>26</v>
      </c>
      <c r="C3149" s="3">
        <v>921201</v>
      </c>
      <c r="D3149" s="3">
        <v>18771</v>
      </c>
      <c r="E3149" s="3" t="s">
        <v>27</v>
      </c>
      <c r="F3149" s="3">
        <v>503813</v>
      </c>
      <c r="G3149" s="3">
        <v>12756</v>
      </c>
      <c r="H3149" s="3">
        <v>417388</v>
      </c>
      <c r="I3149" s="3">
        <v>6015</v>
      </c>
    </row>
    <row r="3150" spans="1:9">
      <c r="A3150" s="3" t="s">
        <v>3175</v>
      </c>
      <c r="B3150" s="3" t="s">
        <v>26</v>
      </c>
      <c r="C3150" s="3">
        <v>926092</v>
      </c>
      <c r="D3150" s="3">
        <v>91501</v>
      </c>
      <c r="E3150" s="3" t="s">
        <v>27</v>
      </c>
      <c r="F3150" s="3">
        <v>519676</v>
      </c>
      <c r="G3150" s="3">
        <v>51000</v>
      </c>
      <c r="H3150" s="3">
        <v>406416</v>
      </c>
      <c r="I3150" s="3">
        <v>40501</v>
      </c>
    </row>
    <row r="3151" spans="1:9">
      <c r="A3151" s="3" t="s">
        <v>3176</v>
      </c>
      <c r="B3151" s="3" t="s">
        <v>26</v>
      </c>
      <c r="C3151" s="3">
        <v>2019678</v>
      </c>
      <c r="D3151" s="3">
        <v>648920</v>
      </c>
      <c r="E3151" s="3" t="s">
        <v>27</v>
      </c>
      <c r="F3151" s="3">
        <v>1508356</v>
      </c>
      <c r="G3151" s="3">
        <v>502226</v>
      </c>
      <c r="H3151" s="3">
        <v>511322</v>
      </c>
      <c r="I3151" s="3">
        <v>146694</v>
      </c>
    </row>
    <row r="3152" spans="1:9">
      <c r="A3152" s="3" t="s">
        <v>3177</v>
      </c>
      <c r="B3152" s="3" t="s">
        <v>26</v>
      </c>
      <c r="C3152" s="3">
        <v>1312362</v>
      </c>
      <c r="D3152" s="3">
        <v>12937</v>
      </c>
      <c r="E3152" s="3" t="s">
        <v>27</v>
      </c>
      <c r="F3152" s="3">
        <v>702368</v>
      </c>
      <c r="G3152" s="3">
        <v>6146</v>
      </c>
      <c r="H3152" s="3">
        <v>609994</v>
      </c>
      <c r="I3152" s="3">
        <v>6791</v>
      </c>
    </row>
    <row r="3153" spans="1:9">
      <c r="A3153" s="3" t="s">
        <v>3178</v>
      </c>
      <c r="B3153" s="3" t="s">
        <v>26</v>
      </c>
      <c r="C3153" s="3">
        <v>2493629</v>
      </c>
      <c r="D3153" s="3">
        <v>790616</v>
      </c>
      <c r="E3153" s="3" t="s">
        <v>27</v>
      </c>
      <c r="F3153" s="3">
        <v>1951067</v>
      </c>
      <c r="G3153" s="3">
        <v>622003</v>
      </c>
      <c r="H3153" s="3">
        <v>542562</v>
      </c>
      <c r="I3153" s="3">
        <v>168613</v>
      </c>
    </row>
    <row r="3154" spans="1:9">
      <c r="A3154" s="3" t="s">
        <v>3179</v>
      </c>
      <c r="B3154" s="3" t="s">
        <v>26</v>
      </c>
      <c r="C3154" s="3">
        <v>1446961</v>
      </c>
      <c r="D3154" s="3">
        <v>239008</v>
      </c>
      <c r="E3154" s="3" t="s">
        <v>27</v>
      </c>
      <c r="F3154" s="3">
        <v>1006276</v>
      </c>
      <c r="G3154" s="3">
        <v>151883</v>
      </c>
      <c r="H3154" s="3">
        <v>440685</v>
      </c>
      <c r="I3154" s="3">
        <v>87125</v>
      </c>
    </row>
    <row r="3155" spans="1:9">
      <c r="A3155" s="3" t="s">
        <v>3180</v>
      </c>
      <c r="B3155" s="3" t="s">
        <v>26</v>
      </c>
      <c r="C3155" s="3">
        <v>1252744</v>
      </c>
      <c r="D3155" s="3">
        <v>98362</v>
      </c>
      <c r="E3155" s="3" t="s">
        <v>27</v>
      </c>
      <c r="F3155" s="3">
        <v>711318</v>
      </c>
      <c r="G3155" s="3">
        <v>57827</v>
      </c>
      <c r="H3155" s="3">
        <v>541426</v>
      </c>
      <c r="I3155" s="3">
        <v>40535</v>
      </c>
    </row>
    <row r="3156" spans="1:9">
      <c r="A3156" s="3" t="s">
        <v>3181</v>
      </c>
      <c r="B3156" s="3" t="s">
        <v>26</v>
      </c>
      <c r="C3156" s="3">
        <v>901006</v>
      </c>
      <c r="D3156" s="3">
        <v>10219</v>
      </c>
      <c r="E3156" s="3" t="s">
        <v>27</v>
      </c>
      <c r="F3156" s="3">
        <v>479985</v>
      </c>
      <c r="G3156" s="3">
        <v>5922</v>
      </c>
      <c r="H3156" s="3">
        <v>421021</v>
      </c>
      <c r="I3156" s="3">
        <v>4297</v>
      </c>
    </row>
    <row r="3157" spans="1:9">
      <c r="A3157" s="3" t="s">
        <v>3182</v>
      </c>
      <c r="B3157" s="3" t="s">
        <v>26</v>
      </c>
      <c r="C3157" s="3">
        <v>2127270</v>
      </c>
      <c r="D3157" s="3">
        <v>706293</v>
      </c>
      <c r="E3157" s="3" t="s">
        <v>27</v>
      </c>
      <c r="F3157" s="3">
        <v>1706459</v>
      </c>
      <c r="G3157" s="3">
        <v>545960</v>
      </c>
      <c r="H3157" s="3">
        <v>420811</v>
      </c>
      <c r="I3157" s="3">
        <v>160333</v>
      </c>
    </row>
    <row r="3158" spans="1:9">
      <c r="A3158" s="3" t="s">
        <v>3183</v>
      </c>
      <c r="B3158" s="3" t="s">
        <v>26</v>
      </c>
      <c r="C3158" s="3">
        <v>1803783</v>
      </c>
      <c r="D3158" s="3">
        <v>286221</v>
      </c>
      <c r="E3158" s="3" t="s">
        <v>27</v>
      </c>
      <c r="F3158" s="3">
        <v>1151852</v>
      </c>
      <c r="G3158" s="3">
        <v>183317</v>
      </c>
      <c r="H3158" s="3">
        <v>651931</v>
      </c>
      <c r="I3158" s="3">
        <v>102904</v>
      </c>
    </row>
    <row r="3159" spans="1:9">
      <c r="A3159" s="3" t="s">
        <v>3184</v>
      </c>
      <c r="B3159" s="3" t="s">
        <v>26</v>
      </c>
      <c r="C3159" s="3">
        <v>1621948</v>
      </c>
      <c r="D3159" s="3">
        <v>267556</v>
      </c>
      <c r="E3159" s="3" t="s">
        <v>27</v>
      </c>
      <c r="F3159" s="3">
        <v>927009</v>
      </c>
      <c r="G3159" s="3">
        <v>163824</v>
      </c>
      <c r="H3159" s="3">
        <v>694939</v>
      </c>
      <c r="I3159" s="3">
        <v>103732</v>
      </c>
    </row>
    <row r="3160" spans="1:9">
      <c r="A3160" s="3" t="s">
        <v>3185</v>
      </c>
      <c r="B3160" s="3" t="s">
        <v>26</v>
      </c>
      <c r="C3160" s="3">
        <v>2694253</v>
      </c>
      <c r="D3160" s="3">
        <v>863808</v>
      </c>
      <c r="E3160" s="3" t="s">
        <v>27</v>
      </c>
      <c r="F3160" s="3">
        <v>2111300</v>
      </c>
      <c r="G3160" s="3">
        <v>633676</v>
      </c>
      <c r="H3160" s="3">
        <v>582953</v>
      </c>
      <c r="I3160" s="3">
        <v>230132</v>
      </c>
    </row>
    <row r="3161" spans="1:9">
      <c r="A3161" s="3" t="s">
        <v>3186</v>
      </c>
      <c r="B3161" s="3" t="s">
        <v>26</v>
      </c>
      <c r="C3161" s="3">
        <v>1960434</v>
      </c>
      <c r="D3161" s="3">
        <v>581236</v>
      </c>
      <c r="E3161" s="3" t="s">
        <v>27</v>
      </c>
      <c r="F3161" s="3">
        <v>1623739</v>
      </c>
      <c r="G3161" s="3">
        <v>447194</v>
      </c>
      <c r="H3161" s="3">
        <v>336695</v>
      </c>
      <c r="I3161" s="3">
        <v>134042</v>
      </c>
    </row>
    <row r="3162" spans="1:9">
      <c r="A3162" s="3" t="s">
        <v>3187</v>
      </c>
      <c r="B3162" s="3" t="s">
        <v>26</v>
      </c>
      <c r="C3162" s="3">
        <v>1267248</v>
      </c>
      <c r="D3162" s="3">
        <v>149010</v>
      </c>
      <c r="E3162" s="3" t="s">
        <v>27</v>
      </c>
      <c r="F3162" s="3">
        <v>768849</v>
      </c>
      <c r="G3162" s="3">
        <v>115443</v>
      </c>
      <c r="H3162" s="3">
        <v>498399</v>
      </c>
      <c r="I3162" s="3">
        <v>33567</v>
      </c>
    </row>
    <row r="3163" spans="1:9">
      <c r="A3163" s="3" t="s">
        <v>3188</v>
      </c>
      <c r="B3163" s="3" t="s">
        <v>26</v>
      </c>
      <c r="C3163" s="3">
        <v>1291314</v>
      </c>
      <c r="D3163" s="3">
        <v>40476</v>
      </c>
      <c r="E3163" s="3" t="s">
        <v>27</v>
      </c>
      <c r="F3163" s="3">
        <v>627335</v>
      </c>
      <c r="G3163" s="3">
        <v>24512</v>
      </c>
      <c r="H3163" s="3">
        <v>663979</v>
      </c>
      <c r="I3163" s="3">
        <v>15964</v>
      </c>
    </row>
    <row r="3164" spans="1:9">
      <c r="A3164" s="3" t="s">
        <v>3189</v>
      </c>
      <c r="B3164" s="3" t="s">
        <v>26</v>
      </c>
      <c r="C3164" s="3">
        <v>2385113</v>
      </c>
      <c r="D3164" s="3">
        <v>774281</v>
      </c>
      <c r="E3164" s="3" t="s">
        <v>27</v>
      </c>
      <c r="F3164" s="3">
        <v>1873829</v>
      </c>
      <c r="G3164" s="3">
        <v>577299</v>
      </c>
      <c r="H3164" s="3">
        <v>511284</v>
      </c>
      <c r="I3164" s="3">
        <v>196982</v>
      </c>
    </row>
    <row r="3165" spans="1:9">
      <c r="A3165" s="3" t="s">
        <v>3190</v>
      </c>
      <c r="B3165" s="3" t="s">
        <v>26</v>
      </c>
      <c r="C3165" s="3">
        <v>2049611</v>
      </c>
      <c r="D3165" s="3">
        <v>537265</v>
      </c>
      <c r="E3165" s="3" t="s">
        <v>27</v>
      </c>
      <c r="F3165" s="3">
        <v>1608864</v>
      </c>
      <c r="G3165" s="3">
        <v>436126</v>
      </c>
      <c r="H3165" s="3">
        <v>440747</v>
      </c>
      <c r="I3165" s="3">
        <v>101139</v>
      </c>
    </row>
    <row r="3166" spans="1:9">
      <c r="A3166" s="3" t="s">
        <v>3191</v>
      </c>
      <c r="B3166" s="3" t="s">
        <v>26</v>
      </c>
      <c r="C3166" s="3">
        <v>942184</v>
      </c>
      <c r="D3166" s="3">
        <v>13219</v>
      </c>
      <c r="E3166" s="3" t="s">
        <v>27</v>
      </c>
      <c r="F3166" s="3">
        <v>504757</v>
      </c>
      <c r="G3166" s="3">
        <v>5544</v>
      </c>
      <c r="H3166" s="3">
        <v>437427</v>
      </c>
      <c r="I3166" s="3">
        <v>7675</v>
      </c>
    </row>
    <row r="3167" spans="1:9">
      <c r="A3167" s="3" t="s">
        <v>3192</v>
      </c>
      <c r="B3167" s="3" t="s">
        <v>26</v>
      </c>
      <c r="C3167" s="3">
        <v>1013696</v>
      </c>
      <c r="D3167" s="3">
        <v>94105</v>
      </c>
      <c r="E3167" s="3" t="s">
        <v>27</v>
      </c>
      <c r="F3167" s="3">
        <v>604437</v>
      </c>
      <c r="G3167" s="3">
        <v>62084</v>
      </c>
      <c r="H3167" s="3">
        <v>409259</v>
      </c>
      <c r="I3167" s="3">
        <v>32021</v>
      </c>
    </row>
    <row r="3168" spans="1:9">
      <c r="A3168" s="3" t="s">
        <v>3193</v>
      </c>
      <c r="B3168" s="3" t="s">
        <v>26</v>
      </c>
      <c r="C3168" s="3">
        <v>1974666</v>
      </c>
      <c r="D3168" s="3">
        <v>646930</v>
      </c>
      <c r="E3168" s="3" t="s">
        <v>27</v>
      </c>
      <c r="F3168" s="3">
        <v>1418774</v>
      </c>
      <c r="G3168" s="3">
        <v>451904</v>
      </c>
      <c r="H3168" s="3">
        <v>555892</v>
      </c>
      <c r="I3168" s="3">
        <v>195026</v>
      </c>
    </row>
    <row r="3169" spans="1:9">
      <c r="A3169" s="3" t="s">
        <v>3194</v>
      </c>
      <c r="B3169" s="3" t="s">
        <v>26</v>
      </c>
      <c r="C3169" s="3">
        <v>2749020</v>
      </c>
      <c r="D3169" s="3">
        <v>937575</v>
      </c>
      <c r="E3169" s="3" t="s">
        <v>27</v>
      </c>
      <c r="F3169" s="3">
        <v>1728889</v>
      </c>
      <c r="G3169" s="3">
        <v>596710</v>
      </c>
      <c r="H3169" s="3">
        <v>1020131</v>
      </c>
      <c r="I3169" s="3">
        <v>340865</v>
      </c>
    </row>
    <row r="3170" spans="1:9">
      <c r="A3170" s="3" t="s">
        <v>3195</v>
      </c>
      <c r="B3170" s="3" t="s">
        <v>26</v>
      </c>
      <c r="C3170" s="3">
        <v>1601565</v>
      </c>
      <c r="D3170" s="3">
        <v>493197</v>
      </c>
      <c r="E3170" s="3" t="s">
        <v>27</v>
      </c>
      <c r="F3170" s="3">
        <v>1271259</v>
      </c>
      <c r="G3170" s="3">
        <v>365013</v>
      </c>
      <c r="H3170" s="3">
        <v>330306</v>
      </c>
      <c r="I3170" s="3">
        <v>128184</v>
      </c>
    </row>
    <row r="3171" spans="1:9">
      <c r="A3171" s="3" t="s">
        <v>3196</v>
      </c>
      <c r="B3171" s="3" t="s">
        <v>26</v>
      </c>
      <c r="C3171" s="3">
        <v>1528803</v>
      </c>
      <c r="D3171" s="3">
        <v>266685</v>
      </c>
      <c r="E3171" s="3" t="s">
        <v>27</v>
      </c>
      <c r="F3171" s="3">
        <v>940432</v>
      </c>
      <c r="G3171" s="3">
        <v>179301</v>
      </c>
      <c r="H3171" s="3">
        <v>588371</v>
      </c>
      <c r="I3171" s="3">
        <v>87384</v>
      </c>
    </row>
    <row r="3172" spans="1:9">
      <c r="A3172" s="3" t="s">
        <v>3197</v>
      </c>
      <c r="B3172" s="3" t="s">
        <v>26</v>
      </c>
      <c r="C3172" s="3">
        <v>2242559</v>
      </c>
      <c r="D3172" s="3">
        <v>761847</v>
      </c>
      <c r="E3172" s="3" t="s">
        <v>27</v>
      </c>
      <c r="F3172" s="3">
        <v>1902609</v>
      </c>
      <c r="G3172" s="3">
        <v>626225</v>
      </c>
      <c r="H3172" s="3">
        <v>339950</v>
      </c>
      <c r="I3172" s="3">
        <v>135622</v>
      </c>
    </row>
    <row r="3173" spans="1:9">
      <c r="A3173" s="3" t="s">
        <v>3198</v>
      </c>
      <c r="B3173" s="3" t="s">
        <v>26</v>
      </c>
      <c r="C3173" s="3">
        <v>837521</v>
      </c>
      <c r="D3173" s="3">
        <v>8124</v>
      </c>
      <c r="E3173" s="3" t="s">
        <v>27</v>
      </c>
      <c r="F3173" s="3">
        <v>418167</v>
      </c>
      <c r="G3173" s="3">
        <v>3518</v>
      </c>
      <c r="H3173" s="3">
        <v>419354</v>
      </c>
      <c r="I3173" s="3">
        <v>4606</v>
      </c>
    </row>
    <row r="3174" spans="1:9">
      <c r="A3174" s="3" t="s">
        <v>3199</v>
      </c>
      <c r="B3174" s="3" t="s">
        <v>26</v>
      </c>
      <c r="C3174" s="3">
        <v>1898335</v>
      </c>
      <c r="D3174" s="3">
        <v>384904</v>
      </c>
      <c r="E3174" s="3" t="s">
        <v>27</v>
      </c>
      <c r="F3174" s="3">
        <v>1099238</v>
      </c>
      <c r="G3174" s="3">
        <v>240044</v>
      </c>
      <c r="H3174" s="3">
        <v>799097</v>
      </c>
      <c r="I3174" s="3">
        <v>144860</v>
      </c>
    </row>
    <row r="3175" spans="1:9">
      <c r="A3175" s="3" t="s">
        <v>3200</v>
      </c>
      <c r="B3175" s="3" t="s">
        <v>26</v>
      </c>
      <c r="C3175" s="3">
        <v>3396727</v>
      </c>
      <c r="D3175" s="3">
        <v>666355</v>
      </c>
      <c r="E3175" s="3" t="s">
        <v>27</v>
      </c>
      <c r="F3175" s="3">
        <v>3076086</v>
      </c>
      <c r="G3175" s="3">
        <v>550492</v>
      </c>
      <c r="H3175" s="3">
        <v>320641</v>
      </c>
      <c r="I3175" s="3">
        <v>115863</v>
      </c>
    </row>
    <row r="3176" spans="1:9">
      <c r="A3176" s="3" t="s">
        <v>3201</v>
      </c>
      <c r="B3176" s="3" t="s">
        <v>26</v>
      </c>
      <c r="C3176" s="3">
        <v>2064207</v>
      </c>
      <c r="D3176" s="3">
        <v>685740</v>
      </c>
      <c r="E3176" s="3" t="s">
        <v>27</v>
      </c>
      <c r="F3176" s="3">
        <v>1489935</v>
      </c>
      <c r="G3176" s="3">
        <v>479019</v>
      </c>
      <c r="H3176" s="3">
        <v>574272</v>
      </c>
      <c r="I3176" s="3">
        <v>206721</v>
      </c>
    </row>
    <row r="3177" spans="1:9">
      <c r="A3177" s="3" t="s">
        <v>3202</v>
      </c>
      <c r="B3177" s="3" t="s">
        <v>26</v>
      </c>
      <c r="C3177" s="3">
        <v>2502746</v>
      </c>
      <c r="D3177" s="3">
        <v>833207</v>
      </c>
      <c r="E3177" s="3" t="s">
        <v>27</v>
      </c>
      <c r="F3177" s="3">
        <v>1938636</v>
      </c>
      <c r="G3177" s="3">
        <v>627094</v>
      </c>
      <c r="H3177" s="3">
        <v>564110</v>
      </c>
      <c r="I3177" s="3">
        <v>206113</v>
      </c>
    </row>
    <row r="3178" spans="1:9">
      <c r="A3178" s="3" t="s">
        <v>3203</v>
      </c>
      <c r="B3178" s="3" t="s">
        <v>26</v>
      </c>
      <c r="C3178" s="3">
        <v>1168463</v>
      </c>
      <c r="D3178" s="3">
        <v>4570</v>
      </c>
      <c r="E3178" s="3" t="s">
        <v>27</v>
      </c>
      <c r="F3178" s="3">
        <v>409066</v>
      </c>
      <c r="G3178" s="3">
        <v>2279</v>
      </c>
      <c r="H3178" s="3">
        <v>759397</v>
      </c>
      <c r="I3178" s="3">
        <v>2291</v>
      </c>
    </row>
    <row r="3179" spans="1:9">
      <c r="A3179" s="3" t="s">
        <v>3204</v>
      </c>
      <c r="B3179" s="3" t="s">
        <v>26</v>
      </c>
      <c r="C3179" s="3">
        <v>2446191</v>
      </c>
      <c r="D3179" s="3">
        <v>1009162</v>
      </c>
      <c r="E3179" s="3" t="s">
        <v>27</v>
      </c>
      <c r="F3179" s="3">
        <v>1879968</v>
      </c>
      <c r="G3179" s="3">
        <v>759229</v>
      </c>
      <c r="H3179" s="3">
        <v>566223</v>
      </c>
      <c r="I3179" s="3">
        <v>249933</v>
      </c>
    </row>
    <row r="3180" spans="1:9">
      <c r="A3180" s="3" t="s">
        <v>3205</v>
      </c>
      <c r="B3180" s="3" t="s">
        <v>26</v>
      </c>
      <c r="C3180" s="3">
        <v>2344642</v>
      </c>
      <c r="D3180" s="3">
        <v>689153</v>
      </c>
      <c r="E3180" s="3" t="s">
        <v>27</v>
      </c>
      <c r="F3180" s="3">
        <v>1676754</v>
      </c>
      <c r="G3180" s="3">
        <v>504575</v>
      </c>
      <c r="H3180" s="3">
        <v>667888</v>
      </c>
      <c r="I3180" s="3">
        <v>184578</v>
      </c>
    </row>
    <row r="3181" spans="1:9">
      <c r="A3181" s="3" t="s">
        <v>3206</v>
      </c>
      <c r="B3181" s="3" t="s">
        <v>26</v>
      </c>
      <c r="C3181" s="3">
        <v>1809009</v>
      </c>
      <c r="D3181" s="3">
        <v>536846</v>
      </c>
      <c r="E3181" s="3" t="s">
        <v>27</v>
      </c>
      <c r="F3181" s="3">
        <v>1500174</v>
      </c>
      <c r="G3181" s="3">
        <v>423153</v>
      </c>
      <c r="H3181" s="3">
        <v>308835</v>
      </c>
      <c r="I3181" s="3">
        <v>113693</v>
      </c>
    </row>
    <row r="3182" spans="1:9">
      <c r="A3182" s="3" t="s">
        <v>3207</v>
      </c>
      <c r="B3182" s="3" t="s">
        <v>26</v>
      </c>
      <c r="C3182" s="3">
        <v>1070154</v>
      </c>
      <c r="D3182" s="3">
        <v>8053</v>
      </c>
      <c r="E3182" s="3" t="s">
        <v>27</v>
      </c>
      <c r="F3182" s="3">
        <v>543642</v>
      </c>
      <c r="G3182" s="3">
        <v>5250</v>
      </c>
      <c r="H3182" s="3">
        <v>526512</v>
      </c>
      <c r="I3182" s="3">
        <v>2803</v>
      </c>
    </row>
    <row r="3183" spans="1:9">
      <c r="A3183" s="3" t="s">
        <v>3208</v>
      </c>
      <c r="B3183" s="3" t="s">
        <v>26</v>
      </c>
      <c r="C3183" s="3">
        <v>2140961</v>
      </c>
      <c r="D3183" s="3">
        <v>618974</v>
      </c>
      <c r="E3183" s="3" t="s">
        <v>27</v>
      </c>
      <c r="F3183" s="3">
        <v>1543289</v>
      </c>
      <c r="G3183" s="3">
        <v>424735</v>
      </c>
      <c r="H3183" s="3">
        <v>597672</v>
      </c>
      <c r="I3183" s="3">
        <v>194239</v>
      </c>
    </row>
    <row r="3184" spans="1:9">
      <c r="A3184" s="3" t="s">
        <v>3209</v>
      </c>
      <c r="B3184" s="3" t="s">
        <v>26</v>
      </c>
      <c r="C3184" s="3">
        <v>1374528</v>
      </c>
      <c r="D3184" s="3">
        <v>128059</v>
      </c>
      <c r="E3184" s="3" t="s">
        <v>27</v>
      </c>
      <c r="F3184" s="3">
        <v>765610</v>
      </c>
      <c r="G3184" s="3">
        <v>80653</v>
      </c>
      <c r="H3184" s="3">
        <v>608918</v>
      </c>
      <c r="I3184" s="3">
        <v>47406</v>
      </c>
    </row>
    <row r="3185" spans="1:9">
      <c r="A3185" s="3" t="s">
        <v>3210</v>
      </c>
      <c r="B3185" s="3" t="s">
        <v>26</v>
      </c>
      <c r="C3185" s="3">
        <v>2220333</v>
      </c>
      <c r="D3185" s="3">
        <v>485567</v>
      </c>
      <c r="E3185" s="3" t="s">
        <v>27</v>
      </c>
      <c r="F3185" s="3">
        <v>1300501</v>
      </c>
      <c r="G3185" s="3">
        <v>274636</v>
      </c>
      <c r="H3185" s="3">
        <v>919832</v>
      </c>
      <c r="I3185" s="3">
        <v>210931</v>
      </c>
    </row>
    <row r="3186" spans="1:9">
      <c r="A3186" s="3" t="s">
        <v>3211</v>
      </c>
      <c r="B3186" s="3" t="s">
        <v>26</v>
      </c>
      <c r="C3186" s="3">
        <v>1803228</v>
      </c>
      <c r="D3186" s="3">
        <v>606667</v>
      </c>
      <c r="E3186" s="3" t="s">
        <v>27</v>
      </c>
      <c r="F3186" s="3">
        <v>1250939</v>
      </c>
      <c r="G3186" s="3">
        <v>404519</v>
      </c>
      <c r="H3186" s="3">
        <v>552289</v>
      </c>
      <c r="I3186" s="3">
        <v>202148</v>
      </c>
    </row>
    <row r="3187" spans="1:9">
      <c r="A3187" s="3" t="s">
        <v>3212</v>
      </c>
      <c r="B3187" s="3" t="s">
        <v>26</v>
      </c>
      <c r="C3187" s="3">
        <v>1924642</v>
      </c>
      <c r="D3187" s="3">
        <v>590664</v>
      </c>
      <c r="E3187" s="3" t="s">
        <v>27</v>
      </c>
      <c r="F3187" s="3">
        <v>1508528</v>
      </c>
      <c r="G3187" s="3">
        <v>443976</v>
      </c>
      <c r="H3187" s="3">
        <v>416114</v>
      </c>
      <c r="I3187" s="3">
        <v>146688</v>
      </c>
    </row>
    <row r="3188" spans="1:9">
      <c r="A3188" s="3" t="s">
        <v>3213</v>
      </c>
      <c r="B3188" s="3" t="s">
        <v>26</v>
      </c>
      <c r="C3188" s="3">
        <v>1615166</v>
      </c>
      <c r="D3188" s="3">
        <v>471154</v>
      </c>
      <c r="E3188" s="3" t="s">
        <v>27</v>
      </c>
      <c r="F3188" s="3">
        <v>1370513</v>
      </c>
      <c r="G3188" s="3">
        <v>389803</v>
      </c>
      <c r="H3188" s="3">
        <v>244653</v>
      </c>
      <c r="I3188" s="3">
        <v>81351</v>
      </c>
    </row>
    <row r="3189" spans="1:9">
      <c r="A3189" s="3" t="s">
        <v>3214</v>
      </c>
      <c r="B3189" s="3" t="s">
        <v>26</v>
      </c>
      <c r="C3189" s="3">
        <v>1676393</v>
      </c>
      <c r="D3189" s="3">
        <v>97277</v>
      </c>
      <c r="E3189" s="3" t="s">
        <v>27</v>
      </c>
      <c r="F3189" s="3">
        <v>946886</v>
      </c>
      <c r="G3189" s="3">
        <v>58566</v>
      </c>
      <c r="H3189" s="3">
        <v>729507</v>
      </c>
      <c r="I3189" s="3">
        <v>38711</v>
      </c>
    </row>
    <row r="3190" spans="1:9">
      <c r="A3190" s="3" t="s">
        <v>3215</v>
      </c>
      <c r="B3190" s="3" t="s">
        <v>26</v>
      </c>
      <c r="C3190" s="3">
        <v>2343922</v>
      </c>
      <c r="D3190" s="3">
        <v>454172</v>
      </c>
      <c r="E3190" s="3" t="s">
        <v>27</v>
      </c>
      <c r="F3190" s="3">
        <v>1394210</v>
      </c>
      <c r="G3190" s="3">
        <v>282268</v>
      </c>
      <c r="H3190" s="3">
        <v>949712</v>
      </c>
      <c r="I3190" s="3">
        <v>171904</v>
      </c>
    </row>
    <row r="3191" spans="1:9">
      <c r="A3191" s="3" t="s">
        <v>3216</v>
      </c>
      <c r="B3191" s="3" t="s">
        <v>26</v>
      </c>
      <c r="C3191" s="3">
        <v>1991019</v>
      </c>
      <c r="D3191" s="3">
        <v>204912</v>
      </c>
      <c r="E3191" s="3" t="s">
        <v>27</v>
      </c>
      <c r="F3191" s="3">
        <v>1147029</v>
      </c>
      <c r="G3191" s="3">
        <v>113482</v>
      </c>
      <c r="H3191" s="3">
        <v>843990</v>
      </c>
      <c r="I3191" s="3">
        <v>91430</v>
      </c>
    </row>
    <row r="3192" spans="1:9">
      <c r="A3192" s="3" t="s">
        <v>3217</v>
      </c>
      <c r="B3192" s="3" t="s">
        <v>26</v>
      </c>
      <c r="C3192" s="3">
        <v>2470161</v>
      </c>
      <c r="D3192" s="3">
        <v>657639</v>
      </c>
      <c r="E3192" s="3" t="s">
        <v>27</v>
      </c>
      <c r="F3192" s="3">
        <v>1599505</v>
      </c>
      <c r="G3192" s="3">
        <v>428791</v>
      </c>
      <c r="H3192" s="3">
        <v>870656</v>
      </c>
      <c r="I3192" s="3">
        <v>228848</v>
      </c>
    </row>
    <row r="3193" spans="1:9">
      <c r="A3193" s="3" t="s">
        <v>3218</v>
      </c>
      <c r="B3193" s="3" t="s">
        <v>26</v>
      </c>
      <c r="C3193" s="3">
        <v>1505456</v>
      </c>
      <c r="D3193" s="3">
        <v>33281</v>
      </c>
      <c r="E3193" s="3" t="s">
        <v>27</v>
      </c>
      <c r="F3193" s="3">
        <v>787275</v>
      </c>
      <c r="G3193" s="3">
        <v>14404</v>
      </c>
      <c r="H3193" s="3">
        <v>718181</v>
      </c>
      <c r="I3193" s="3">
        <v>18877</v>
      </c>
    </row>
    <row r="3194" spans="1:9">
      <c r="A3194" s="3" t="s">
        <v>3219</v>
      </c>
      <c r="B3194" s="3" t="s">
        <v>26</v>
      </c>
      <c r="C3194" s="3">
        <v>1846569</v>
      </c>
      <c r="D3194" s="3">
        <v>397193</v>
      </c>
      <c r="E3194" s="3" t="s">
        <v>27</v>
      </c>
      <c r="F3194" s="3">
        <v>1413802</v>
      </c>
      <c r="G3194" s="3">
        <v>325288</v>
      </c>
      <c r="H3194" s="3">
        <v>432767</v>
      </c>
      <c r="I3194" s="3">
        <v>71905</v>
      </c>
    </row>
    <row r="3195" spans="1:9">
      <c r="A3195" s="3" t="s">
        <v>3220</v>
      </c>
      <c r="B3195" s="3" t="s">
        <v>26</v>
      </c>
      <c r="C3195" s="3">
        <v>2411113</v>
      </c>
      <c r="D3195" s="3">
        <v>507262</v>
      </c>
      <c r="E3195" s="3" t="s">
        <v>27</v>
      </c>
      <c r="F3195" s="3">
        <v>1671450</v>
      </c>
      <c r="G3195" s="3">
        <v>353877</v>
      </c>
      <c r="H3195" s="3">
        <v>739663</v>
      </c>
      <c r="I3195" s="3">
        <v>153385</v>
      </c>
    </row>
    <row r="3196" spans="1:9">
      <c r="A3196" s="3" t="s">
        <v>3221</v>
      </c>
      <c r="B3196" s="3" t="s">
        <v>26</v>
      </c>
      <c r="C3196" s="3">
        <v>2044566</v>
      </c>
      <c r="D3196" s="3">
        <v>149677</v>
      </c>
      <c r="E3196" s="3" t="s">
        <v>27</v>
      </c>
      <c r="F3196" s="3">
        <v>1228647</v>
      </c>
      <c r="G3196" s="3">
        <v>94274</v>
      </c>
      <c r="H3196" s="3">
        <v>815919</v>
      </c>
      <c r="I3196" s="3">
        <v>55403</v>
      </c>
    </row>
    <row r="3197" spans="1:9">
      <c r="A3197" s="3" t="s">
        <v>3222</v>
      </c>
      <c r="B3197" s="3" t="s">
        <v>26</v>
      </c>
      <c r="C3197" s="3">
        <v>1881792</v>
      </c>
      <c r="D3197" s="3">
        <v>574170</v>
      </c>
      <c r="E3197" s="3" t="s">
        <v>27</v>
      </c>
      <c r="F3197" s="3">
        <v>1555398</v>
      </c>
      <c r="G3197" s="3">
        <v>475833</v>
      </c>
      <c r="H3197" s="3">
        <v>326394</v>
      </c>
      <c r="I3197" s="3">
        <v>98337</v>
      </c>
    </row>
    <row r="3198" spans="1:9">
      <c r="A3198" s="3" t="s">
        <v>3223</v>
      </c>
      <c r="B3198" s="3" t="s">
        <v>26</v>
      </c>
      <c r="C3198" s="3">
        <v>1553715</v>
      </c>
      <c r="D3198" s="3">
        <v>96877</v>
      </c>
      <c r="E3198" s="3" t="s">
        <v>27</v>
      </c>
      <c r="F3198" s="3">
        <v>886762</v>
      </c>
      <c r="G3198" s="3">
        <v>52469</v>
      </c>
      <c r="H3198" s="3">
        <v>666953</v>
      </c>
      <c r="I3198" s="3">
        <v>44408</v>
      </c>
    </row>
    <row r="3199" spans="1:9">
      <c r="A3199" s="3" t="s">
        <v>3224</v>
      </c>
      <c r="B3199" s="3" t="s">
        <v>26</v>
      </c>
      <c r="C3199" s="3">
        <v>1151357</v>
      </c>
      <c r="D3199" s="3">
        <v>53757</v>
      </c>
      <c r="E3199" s="3" t="s">
        <v>27</v>
      </c>
      <c r="F3199" s="3">
        <v>666359</v>
      </c>
      <c r="G3199" s="3">
        <v>27424</v>
      </c>
      <c r="H3199" s="3">
        <v>484998</v>
      </c>
      <c r="I3199" s="3">
        <v>26333</v>
      </c>
    </row>
    <row r="3200" spans="1:9">
      <c r="A3200" s="3" t="s">
        <v>3225</v>
      </c>
      <c r="B3200" s="3" t="s">
        <v>26</v>
      </c>
      <c r="C3200" s="3">
        <v>2864955</v>
      </c>
      <c r="D3200" s="3">
        <v>809987</v>
      </c>
      <c r="E3200" s="3" t="s">
        <v>27</v>
      </c>
      <c r="F3200" s="3">
        <v>1858904</v>
      </c>
      <c r="G3200" s="3">
        <v>505707</v>
      </c>
      <c r="H3200" s="3">
        <v>1006051</v>
      </c>
      <c r="I3200" s="3">
        <v>304280</v>
      </c>
    </row>
    <row r="3201" spans="1:9">
      <c r="A3201" s="3" t="s">
        <v>3226</v>
      </c>
      <c r="B3201" s="3" t="s">
        <v>26</v>
      </c>
      <c r="C3201" s="3">
        <v>2478930</v>
      </c>
      <c r="D3201" s="3">
        <v>685249</v>
      </c>
      <c r="E3201" s="3" t="s">
        <v>27</v>
      </c>
      <c r="F3201" s="3">
        <v>1926062</v>
      </c>
      <c r="G3201" s="3">
        <v>517842</v>
      </c>
      <c r="H3201" s="3">
        <v>552868</v>
      </c>
      <c r="I3201" s="3">
        <v>167407</v>
      </c>
    </row>
    <row r="3202" spans="1:9">
      <c r="A3202" s="3" t="s">
        <v>3227</v>
      </c>
      <c r="B3202" s="3" t="s">
        <v>26</v>
      </c>
      <c r="C3202" s="3">
        <v>1796271</v>
      </c>
      <c r="D3202" s="3">
        <v>258774</v>
      </c>
      <c r="E3202" s="3" t="s">
        <v>27</v>
      </c>
      <c r="F3202" s="3">
        <v>1137971</v>
      </c>
      <c r="G3202" s="3">
        <v>154165</v>
      </c>
      <c r="H3202" s="3">
        <v>658300</v>
      </c>
      <c r="I3202" s="3">
        <v>104609</v>
      </c>
    </row>
    <row r="3203" spans="1:9">
      <c r="A3203" s="3" t="s">
        <v>3228</v>
      </c>
      <c r="B3203" s="3" t="s">
        <v>26</v>
      </c>
      <c r="C3203" s="3">
        <v>2060674</v>
      </c>
      <c r="D3203" s="3">
        <v>486954</v>
      </c>
      <c r="E3203" s="3" t="s">
        <v>27</v>
      </c>
      <c r="F3203" s="3">
        <v>1743592</v>
      </c>
      <c r="G3203" s="3">
        <v>395338</v>
      </c>
      <c r="H3203" s="3">
        <v>317082</v>
      </c>
      <c r="I3203" s="3">
        <v>91616</v>
      </c>
    </row>
    <row r="3204" spans="1:9">
      <c r="A3204" s="3" t="s">
        <v>3229</v>
      </c>
      <c r="B3204" s="3" t="s">
        <v>26</v>
      </c>
      <c r="C3204" s="3">
        <v>2258197</v>
      </c>
      <c r="D3204" s="3">
        <v>710112</v>
      </c>
      <c r="E3204" s="3" t="s">
        <v>27</v>
      </c>
      <c r="F3204" s="3">
        <v>1576909</v>
      </c>
      <c r="G3204" s="3">
        <v>531623</v>
      </c>
      <c r="H3204" s="3">
        <v>681288</v>
      </c>
      <c r="I3204" s="3">
        <v>178489</v>
      </c>
    </row>
    <row r="3205" spans="1:9">
      <c r="A3205" s="3" t="s">
        <v>3230</v>
      </c>
      <c r="B3205" s="3" t="s">
        <v>26</v>
      </c>
      <c r="C3205" s="3">
        <v>2773617</v>
      </c>
      <c r="D3205" s="3">
        <v>755389</v>
      </c>
      <c r="E3205" s="3" t="s">
        <v>27</v>
      </c>
      <c r="F3205" s="3">
        <v>1709847</v>
      </c>
      <c r="G3205" s="3">
        <v>468821</v>
      </c>
      <c r="H3205" s="3">
        <v>1063770</v>
      </c>
      <c r="I3205" s="3">
        <v>286568</v>
      </c>
    </row>
    <row r="3206" spans="1:9">
      <c r="A3206" s="3" t="s">
        <v>3231</v>
      </c>
      <c r="B3206" s="3" t="s">
        <v>26</v>
      </c>
      <c r="C3206" s="3">
        <v>1901836</v>
      </c>
      <c r="D3206" s="3">
        <v>64293</v>
      </c>
      <c r="E3206" s="3" t="s">
        <v>27</v>
      </c>
      <c r="F3206" s="3">
        <v>1119029</v>
      </c>
      <c r="G3206" s="3">
        <v>44483</v>
      </c>
      <c r="H3206" s="3">
        <v>782807</v>
      </c>
      <c r="I3206" s="3">
        <v>19810</v>
      </c>
    </row>
    <row r="3207" spans="1:9">
      <c r="A3207" s="3" t="s">
        <v>3232</v>
      </c>
      <c r="B3207" s="3" t="s">
        <v>26</v>
      </c>
      <c r="C3207" s="3">
        <v>2224378</v>
      </c>
      <c r="D3207" s="3">
        <v>322983</v>
      </c>
      <c r="E3207" s="3" t="s">
        <v>27</v>
      </c>
      <c r="F3207" s="3">
        <v>1399589</v>
      </c>
      <c r="G3207" s="3">
        <v>249680</v>
      </c>
      <c r="H3207" s="3">
        <v>824789</v>
      </c>
      <c r="I3207" s="3">
        <v>73303</v>
      </c>
    </row>
    <row r="3208" spans="1:9">
      <c r="A3208" s="3" t="s">
        <v>3233</v>
      </c>
      <c r="B3208" s="3" t="s">
        <v>26</v>
      </c>
      <c r="C3208" s="3">
        <v>1779863</v>
      </c>
      <c r="D3208" s="3">
        <v>199087</v>
      </c>
      <c r="E3208" s="3" t="s">
        <v>27</v>
      </c>
      <c r="F3208" s="3">
        <v>1220774</v>
      </c>
      <c r="G3208" s="3">
        <v>151146</v>
      </c>
      <c r="H3208" s="3">
        <v>559089</v>
      </c>
      <c r="I3208" s="3">
        <v>47941</v>
      </c>
    </row>
    <row r="3209" spans="1:9">
      <c r="A3209" s="3" t="s">
        <v>3234</v>
      </c>
      <c r="B3209" s="3" t="s">
        <v>26</v>
      </c>
      <c r="C3209" s="3">
        <v>2021025</v>
      </c>
      <c r="D3209" s="3">
        <v>408328</v>
      </c>
      <c r="E3209" s="3" t="s">
        <v>27</v>
      </c>
      <c r="F3209" s="3">
        <v>1570677</v>
      </c>
      <c r="G3209" s="3">
        <v>306561</v>
      </c>
      <c r="H3209" s="3">
        <v>450348</v>
      </c>
      <c r="I3209" s="3">
        <v>101767</v>
      </c>
    </row>
    <row r="3210" spans="1:9">
      <c r="A3210" s="3" t="s">
        <v>3235</v>
      </c>
      <c r="B3210" s="3" t="s">
        <v>26</v>
      </c>
      <c r="C3210" s="3">
        <v>2839150</v>
      </c>
      <c r="D3210" s="3">
        <v>979239</v>
      </c>
      <c r="E3210" s="3" t="s">
        <v>27</v>
      </c>
      <c r="F3210" s="3">
        <v>2249657</v>
      </c>
      <c r="G3210" s="3">
        <v>745117</v>
      </c>
      <c r="H3210" s="3">
        <v>589493</v>
      </c>
      <c r="I3210" s="3">
        <v>234122</v>
      </c>
    </row>
    <row r="3211" spans="1:9">
      <c r="A3211" s="3" t="s">
        <v>3236</v>
      </c>
      <c r="B3211" s="3" t="s">
        <v>26</v>
      </c>
      <c r="C3211" s="3">
        <v>1532753</v>
      </c>
      <c r="D3211" s="3">
        <v>31354</v>
      </c>
      <c r="E3211" s="3" t="s">
        <v>27</v>
      </c>
      <c r="F3211" s="3">
        <v>823112</v>
      </c>
      <c r="G3211" s="3">
        <v>15153</v>
      </c>
      <c r="H3211" s="3">
        <v>709641</v>
      </c>
      <c r="I3211" s="3">
        <v>16201</v>
      </c>
    </row>
    <row r="3212" spans="1:9">
      <c r="A3212" s="3" t="s">
        <v>3237</v>
      </c>
      <c r="B3212" s="3" t="s">
        <v>26</v>
      </c>
      <c r="C3212" s="3">
        <v>1677878</v>
      </c>
      <c r="D3212" s="3">
        <v>155087</v>
      </c>
      <c r="E3212" s="3" t="s">
        <v>27</v>
      </c>
      <c r="F3212" s="3">
        <v>1068501</v>
      </c>
      <c r="G3212" s="3">
        <v>99304</v>
      </c>
      <c r="H3212" s="3">
        <v>609377</v>
      </c>
      <c r="I3212" s="3">
        <v>55783</v>
      </c>
    </row>
    <row r="3213" spans="1:9">
      <c r="A3213" s="3" t="s">
        <v>3238</v>
      </c>
      <c r="B3213" s="3" t="s">
        <v>26</v>
      </c>
      <c r="C3213" s="3">
        <v>2219193</v>
      </c>
      <c r="D3213" s="3">
        <v>609153</v>
      </c>
      <c r="E3213" s="3" t="s">
        <v>27</v>
      </c>
      <c r="F3213" s="3">
        <v>1669864</v>
      </c>
      <c r="G3213" s="3">
        <v>470187</v>
      </c>
      <c r="H3213" s="3">
        <v>549329</v>
      </c>
      <c r="I3213" s="3">
        <v>138966</v>
      </c>
    </row>
    <row r="3214" spans="1:9">
      <c r="A3214" s="3" t="s">
        <v>3239</v>
      </c>
      <c r="B3214" s="3" t="s">
        <v>26</v>
      </c>
      <c r="C3214" s="3">
        <v>1678971</v>
      </c>
      <c r="D3214" s="3">
        <v>38477</v>
      </c>
      <c r="E3214" s="3" t="s">
        <v>27</v>
      </c>
      <c r="F3214" s="3">
        <v>936180</v>
      </c>
      <c r="G3214" s="3">
        <v>23735</v>
      </c>
      <c r="H3214" s="3">
        <v>742791</v>
      </c>
      <c r="I3214" s="3">
        <v>14742</v>
      </c>
    </row>
    <row r="3215" spans="1:9">
      <c r="A3215" s="3" t="s">
        <v>3240</v>
      </c>
      <c r="B3215" s="3" t="s">
        <v>26</v>
      </c>
      <c r="C3215" s="3">
        <v>2842679</v>
      </c>
      <c r="D3215" s="3">
        <v>925700</v>
      </c>
      <c r="E3215" s="3" t="s">
        <v>27</v>
      </c>
      <c r="F3215" s="3">
        <v>2091019</v>
      </c>
      <c r="G3215" s="3">
        <v>662185</v>
      </c>
      <c r="H3215" s="3">
        <v>751660</v>
      </c>
      <c r="I3215" s="3">
        <v>263515</v>
      </c>
    </row>
    <row r="3216" spans="1:9">
      <c r="A3216" s="3" t="s">
        <v>3241</v>
      </c>
      <c r="B3216" s="3" t="s">
        <v>26</v>
      </c>
      <c r="C3216" s="3">
        <v>2579909</v>
      </c>
      <c r="D3216" s="3">
        <v>686708</v>
      </c>
      <c r="E3216" s="3" t="s">
        <v>27</v>
      </c>
      <c r="F3216" s="3">
        <v>1953445</v>
      </c>
      <c r="G3216" s="3">
        <v>518378</v>
      </c>
      <c r="H3216" s="3">
        <v>626464</v>
      </c>
      <c r="I3216" s="3">
        <v>168330</v>
      </c>
    </row>
    <row r="3217" spans="1:9">
      <c r="A3217" s="3" t="s">
        <v>3242</v>
      </c>
      <c r="B3217" s="3" t="s">
        <v>26</v>
      </c>
      <c r="C3217" s="3">
        <v>1092011</v>
      </c>
      <c r="D3217" s="3">
        <v>20005</v>
      </c>
      <c r="E3217" s="3" t="s">
        <v>27</v>
      </c>
      <c r="F3217" s="3">
        <v>539549</v>
      </c>
      <c r="G3217" s="3">
        <v>8453</v>
      </c>
      <c r="H3217" s="3">
        <v>552462</v>
      </c>
      <c r="I3217" s="3">
        <v>11552</v>
      </c>
    </row>
    <row r="3218" spans="1:9">
      <c r="A3218" s="3" t="s">
        <v>3243</v>
      </c>
      <c r="B3218" s="3" t="s">
        <v>26</v>
      </c>
      <c r="C3218" s="3">
        <v>1443448</v>
      </c>
      <c r="D3218" s="3">
        <v>5165</v>
      </c>
      <c r="E3218" s="3" t="s">
        <v>27</v>
      </c>
      <c r="F3218" s="3">
        <v>501878</v>
      </c>
      <c r="G3218" s="3">
        <v>431</v>
      </c>
      <c r="H3218" s="3">
        <v>941570</v>
      </c>
      <c r="I3218" s="3">
        <v>4734</v>
      </c>
    </row>
    <row r="3219" spans="1:9">
      <c r="A3219" s="3" t="s">
        <v>3244</v>
      </c>
      <c r="B3219" s="3" t="s">
        <v>26</v>
      </c>
      <c r="C3219" s="3">
        <v>3096776</v>
      </c>
      <c r="D3219" s="3">
        <v>971998</v>
      </c>
      <c r="E3219" s="3" t="s">
        <v>27</v>
      </c>
      <c r="F3219" s="3">
        <v>2367384</v>
      </c>
      <c r="G3219" s="3">
        <v>690505</v>
      </c>
      <c r="H3219" s="3">
        <v>729392</v>
      </c>
      <c r="I3219" s="3">
        <v>281493</v>
      </c>
    </row>
    <row r="3220" spans="1:9">
      <c r="A3220" s="3" t="s">
        <v>3245</v>
      </c>
      <c r="B3220" s="3" t="s">
        <v>26</v>
      </c>
      <c r="C3220" s="3">
        <v>2791378</v>
      </c>
      <c r="D3220" s="3">
        <v>729456</v>
      </c>
      <c r="E3220" s="3" t="s">
        <v>27</v>
      </c>
      <c r="F3220" s="3">
        <v>1788493</v>
      </c>
      <c r="G3220" s="3">
        <v>450407</v>
      </c>
      <c r="H3220" s="3">
        <v>1002885</v>
      </c>
      <c r="I3220" s="3">
        <v>279049</v>
      </c>
    </row>
    <row r="3221" spans="1:9">
      <c r="A3221" s="3" t="s">
        <v>3246</v>
      </c>
      <c r="B3221" s="3" t="s">
        <v>26</v>
      </c>
      <c r="C3221" s="3">
        <v>2280957</v>
      </c>
      <c r="D3221" s="3">
        <v>432408</v>
      </c>
      <c r="E3221" s="3" t="s">
        <v>27</v>
      </c>
      <c r="F3221" s="3">
        <v>1527128</v>
      </c>
      <c r="G3221" s="3">
        <v>288877</v>
      </c>
      <c r="H3221" s="3">
        <v>753829</v>
      </c>
      <c r="I3221" s="3">
        <v>143531</v>
      </c>
    </row>
    <row r="3222" spans="1:9">
      <c r="A3222" s="3" t="s">
        <v>3247</v>
      </c>
      <c r="B3222" s="3" t="s">
        <v>26</v>
      </c>
      <c r="C3222" s="3">
        <v>2588902</v>
      </c>
      <c r="D3222" s="3">
        <v>350374</v>
      </c>
      <c r="E3222" s="3" t="s">
        <v>27</v>
      </c>
      <c r="F3222" s="3">
        <v>1584144</v>
      </c>
      <c r="G3222" s="3">
        <v>236812</v>
      </c>
      <c r="H3222" s="3">
        <v>1004758</v>
      </c>
      <c r="I3222" s="3">
        <v>113562</v>
      </c>
    </row>
    <row r="3223" spans="1:9">
      <c r="A3223" s="3" t="s">
        <v>3248</v>
      </c>
      <c r="B3223" s="3" t="s">
        <v>26</v>
      </c>
      <c r="C3223" s="3">
        <v>2100219</v>
      </c>
      <c r="D3223" s="3">
        <v>371273</v>
      </c>
      <c r="E3223" s="3" t="s">
        <v>27</v>
      </c>
      <c r="F3223" s="3">
        <v>1327739</v>
      </c>
      <c r="G3223" s="3">
        <v>258544</v>
      </c>
      <c r="H3223" s="3">
        <v>772480</v>
      </c>
      <c r="I3223" s="3">
        <v>112729</v>
      </c>
    </row>
    <row r="3224" spans="1:9">
      <c r="A3224" s="3" t="s">
        <v>3249</v>
      </c>
      <c r="B3224" s="3" t="s">
        <v>26</v>
      </c>
      <c r="C3224" s="3">
        <v>1454748</v>
      </c>
      <c r="D3224" s="3">
        <v>24501</v>
      </c>
      <c r="E3224" s="3" t="s">
        <v>27</v>
      </c>
      <c r="F3224" s="3">
        <v>771768</v>
      </c>
      <c r="G3224" s="3">
        <v>11259</v>
      </c>
      <c r="H3224" s="3">
        <v>682980</v>
      </c>
      <c r="I3224" s="3">
        <v>13242</v>
      </c>
    </row>
    <row r="3225" spans="1:9">
      <c r="A3225" s="3" t="s">
        <v>3250</v>
      </c>
      <c r="B3225" s="3" t="s">
        <v>26</v>
      </c>
      <c r="C3225" s="3">
        <v>1637039</v>
      </c>
      <c r="D3225" s="3">
        <v>287753</v>
      </c>
      <c r="E3225" s="3" t="s">
        <v>27</v>
      </c>
      <c r="F3225" s="3">
        <v>1200559</v>
      </c>
      <c r="G3225" s="3">
        <v>221741</v>
      </c>
      <c r="H3225" s="3">
        <v>436480</v>
      </c>
      <c r="I3225" s="3">
        <v>66012</v>
      </c>
    </row>
    <row r="3226" spans="1:9">
      <c r="A3226" s="3" t="s">
        <v>3251</v>
      </c>
      <c r="B3226" s="3" t="s">
        <v>26</v>
      </c>
      <c r="C3226" s="3">
        <v>2123121</v>
      </c>
      <c r="D3226" s="3">
        <v>513292</v>
      </c>
      <c r="E3226" s="3" t="s">
        <v>27</v>
      </c>
      <c r="F3226" s="3">
        <v>1387207</v>
      </c>
      <c r="G3226" s="3">
        <v>342368</v>
      </c>
      <c r="H3226" s="3">
        <v>735914</v>
      </c>
      <c r="I3226" s="3">
        <v>170924</v>
      </c>
    </row>
    <row r="3227" spans="1:9">
      <c r="A3227" s="3" t="s">
        <v>3252</v>
      </c>
      <c r="B3227" s="3" t="s">
        <v>26</v>
      </c>
      <c r="C3227" s="3">
        <v>2255846</v>
      </c>
      <c r="D3227" s="3">
        <v>364442</v>
      </c>
      <c r="E3227" s="3" t="s">
        <v>27</v>
      </c>
      <c r="F3227" s="3">
        <v>1476610</v>
      </c>
      <c r="G3227" s="3">
        <v>263250</v>
      </c>
      <c r="H3227" s="3">
        <v>779236</v>
      </c>
      <c r="I3227" s="3">
        <v>101192</v>
      </c>
    </row>
    <row r="3228" spans="1:9">
      <c r="A3228" s="3" t="s">
        <v>3253</v>
      </c>
      <c r="B3228" s="3" t="s">
        <v>26</v>
      </c>
      <c r="C3228" s="3">
        <v>3312321</v>
      </c>
      <c r="D3228" s="3">
        <v>1246997</v>
      </c>
      <c r="E3228" s="3" t="s">
        <v>27</v>
      </c>
      <c r="F3228" s="3">
        <v>2625595</v>
      </c>
      <c r="G3228" s="3">
        <v>958364</v>
      </c>
      <c r="H3228" s="3">
        <v>686726</v>
      </c>
      <c r="I3228" s="3">
        <v>288633</v>
      </c>
    </row>
    <row r="3229" spans="1:9">
      <c r="A3229" s="3" t="s">
        <v>3254</v>
      </c>
      <c r="B3229" s="3" t="s">
        <v>26</v>
      </c>
      <c r="C3229" s="3">
        <v>2697288</v>
      </c>
      <c r="D3229" s="3">
        <v>673047</v>
      </c>
      <c r="E3229" s="3" t="s">
        <v>27</v>
      </c>
      <c r="F3229" s="3">
        <v>1743250</v>
      </c>
      <c r="G3229" s="3">
        <v>446336</v>
      </c>
      <c r="H3229" s="3">
        <v>954038</v>
      </c>
      <c r="I3229" s="3">
        <v>226711</v>
      </c>
    </row>
    <row r="3230" spans="1:9">
      <c r="A3230" s="3" t="s">
        <v>3255</v>
      </c>
      <c r="B3230" s="3" t="s">
        <v>26</v>
      </c>
      <c r="C3230" s="3">
        <v>2371136</v>
      </c>
      <c r="D3230" s="3">
        <v>350180</v>
      </c>
      <c r="E3230" s="3" t="s">
        <v>27</v>
      </c>
      <c r="F3230" s="3">
        <v>1316421</v>
      </c>
      <c r="G3230" s="3">
        <v>202929</v>
      </c>
      <c r="H3230" s="3">
        <v>1054715</v>
      </c>
      <c r="I3230" s="3">
        <v>147251</v>
      </c>
    </row>
    <row r="3231" spans="1:9">
      <c r="A3231" s="3" t="s">
        <v>3256</v>
      </c>
      <c r="B3231" s="3" t="s">
        <v>26</v>
      </c>
      <c r="C3231" s="3">
        <v>2352508</v>
      </c>
      <c r="D3231" s="3">
        <v>423670</v>
      </c>
      <c r="E3231" s="3" t="s">
        <v>27</v>
      </c>
      <c r="F3231" s="3">
        <v>1461272</v>
      </c>
      <c r="G3231" s="3">
        <v>290037</v>
      </c>
      <c r="H3231" s="3">
        <v>891236</v>
      </c>
      <c r="I3231" s="3">
        <v>133633</v>
      </c>
    </row>
    <row r="3232" spans="1:9">
      <c r="A3232" s="3" t="s">
        <v>3257</v>
      </c>
      <c r="B3232" s="3" t="s">
        <v>26</v>
      </c>
      <c r="C3232" s="3">
        <v>2619995</v>
      </c>
      <c r="D3232" s="3">
        <v>667585</v>
      </c>
      <c r="E3232" s="3" t="s">
        <v>27</v>
      </c>
      <c r="F3232" s="3">
        <v>2077489</v>
      </c>
      <c r="G3232" s="3">
        <v>491249</v>
      </c>
      <c r="H3232" s="3">
        <v>542506</v>
      </c>
      <c r="I3232" s="3">
        <v>176336</v>
      </c>
    </row>
    <row r="3233" spans="1:9">
      <c r="A3233" s="3" t="s">
        <v>3258</v>
      </c>
      <c r="B3233" s="3" t="s">
        <v>26</v>
      </c>
      <c r="C3233" s="3">
        <v>873144</v>
      </c>
      <c r="D3233" s="3">
        <v>137692</v>
      </c>
      <c r="E3233" s="3" t="s">
        <v>27</v>
      </c>
      <c r="F3233" s="3">
        <v>745478</v>
      </c>
      <c r="G3233" s="3">
        <v>116037</v>
      </c>
      <c r="H3233" s="3">
        <v>127666</v>
      </c>
      <c r="I3233" s="3">
        <v>21655</v>
      </c>
    </row>
    <row r="3234" spans="1:9">
      <c r="A3234" s="3" t="s">
        <v>3259</v>
      </c>
      <c r="B3234" s="3" t="s">
        <v>26</v>
      </c>
      <c r="C3234" s="3">
        <v>1926897</v>
      </c>
      <c r="D3234" s="3">
        <v>435980</v>
      </c>
      <c r="E3234" s="3" t="s">
        <v>27</v>
      </c>
      <c r="F3234" s="3">
        <v>1722567</v>
      </c>
      <c r="G3234" s="3">
        <v>368649</v>
      </c>
      <c r="H3234" s="3">
        <v>204330</v>
      </c>
      <c r="I3234" s="3">
        <v>67331</v>
      </c>
    </row>
    <row r="3235" spans="1:9">
      <c r="A3235" s="3" t="s">
        <v>3260</v>
      </c>
      <c r="B3235" s="3" t="s">
        <v>26</v>
      </c>
      <c r="C3235" s="3">
        <v>2639413</v>
      </c>
      <c r="D3235" s="3">
        <v>884378</v>
      </c>
      <c r="E3235" s="3" t="s">
        <v>27</v>
      </c>
      <c r="F3235" s="3">
        <v>1876150</v>
      </c>
      <c r="G3235" s="3">
        <v>593452</v>
      </c>
      <c r="H3235" s="3">
        <v>763263</v>
      </c>
      <c r="I3235" s="3">
        <v>290926</v>
      </c>
    </row>
    <row r="3236" spans="1:9">
      <c r="A3236" s="3" t="s">
        <v>3261</v>
      </c>
      <c r="B3236" s="3" t="s">
        <v>26</v>
      </c>
      <c r="C3236" s="3">
        <v>2904920</v>
      </c>
      <c r="D3236" s="3">
        <v>701389</v>
      </c>
      <c r="E3236" s="3" t="s">
        <v>27</v>
      </c>
      <c r="F3236" s="3">
        <v>1902021</v>
      </c>
      <c r="G3236" s="3">
        <v>435824</v>
      </c>
      <c r="H3236" s="3">
        <v>1002899</v>
      </c>
      <c r="I3236" s="3">
        <v>265565</v>
      </c>
    </row>
    <row r="3237" spans="1:9">
      <c r="A3237" s="3" t="s">
        <v>3262</v>
      </c>
      <c r="B3237" s="3" t="s">
        <v>26</v>
      </c>
      <c r="C3237" s="3">
        <v>2443233</v>
      </c>
      <c r="D3237" s="3">
        <v>498410</v>
      </c>
      <c r="E3237" s="3" t="s">
        <v>27</v>
      </c>
      <c r="F3237" s="3">
        <v>1442038</v>
      </c>
      <c r="G3237" s="3">
        <v>297728</v>
      </c>
      <c r="H3237" s="3">
        <v>1001195</v>
      </c>
      <c r="I3237" s="3">
        <v>200682</v>
      </c>
    </row>
    <row r="3238" spans="1:9">
      <c r="A3238" s="3" t="s">
        <v>3263</v>
      </c>
      <c r="B3238" s="3" t="s">
        <v>26</v>
      </c>
      <c r="C3238" s="3">
        <v>2353357</v>
      </c>
      <c r="D3238" s="3">
        <v>530934</v>
      </c>
      <c r="E3238" s="3" t="s">
        <v>27</v>
      </c>
      <c r="F3238" s="3">
        <v>1573631</v>
      </c>
      <c r="G3238" s="3">
        <v>364800</v>
      </c>
      <c r="H3238" s="3">
        <v>779726</v>
      </c>
      <c r="I3238" s="3">
        <v>166134</v>
      </c>
    </row>
    <row r="3239" spans="1:9">
      <c r="A3239" s="3" t="s">
        <v>3264</v>
      </c>
      <c r="B3239" s="3" t="s">
        <v>26</v>
      </c>
      <c r="C3239" s="3">
        <v>2525376</v>
      </c>
      <c r="D3239" s="3">
        <v>652886</v>
      </c>
      <c r="E3239" s="3" t="s">
        <v>27</v>
      </c>
      <c r="F3239" s="3">
        <v>1667083</v>
      </c>
      <c r="G3239" s="3">
        <v>446986</v>
      </c>
      <c r="H3239" s="3">
        <v>858293</v>
      </c>
      <c r="I3239" s="3">
        <v>205900</v>
      </c>
    </row>
    <row r="3240" spans="1:9">
      <c r="A3240" s="3" t="s">
        <v>3265</v>
      </c>
      <c r="B3240" s="3" t="s">
        <v>26</v>
      </c>
      <c r="C3240" s="3">
        <v>2394250</v>
      </c>
      <c r="D3240" s="3">
        <v>767740</v>
      </c>
      <c r="E3240" s="3" t="s">
        <v>27</v>
      </c>
      <c r="F3240" s="3">
        <v>1977511</v>
      </c>
      <c r="G3240" s="3">
        <v>655658</v>
      </c>
      <c r="H3240" s="3">
        <v>416739</v>
      </c>
      <c r="I3240" s="3">
        <v>112082</v>
      </c>
    </row>
    <row r="3241" spans="1:9">
      <c r="A3241" s="3" t="s">
        <v>3266</v>
      </c>
      <c r="B3241" s="3" t="s">
        <v>26</v>
      </c>
      <c r="C3241" s="3">
        <v>3035293</v>
      </c>
      <c r="D3241" s="3">
        <v>1206834</v>
      </c>
      <c r="E3241" s="3" t="s">
        <v>27</v>
      </c>
      <c r="F3241" s="3">
        <v>2414444</v>
      </c>
      <c r="G3241" s="3">
        <v>927055</v>
      </c>
      <c r="H3241" s="3">
        <v>620849</v>
      </c>
      <c r="I3241" s="3">
        <v>279779</v>
      </c>
    </row>
    <row r="3242" spans="1:9">
      <c r="A3242" s="3" t="s">
        <v>3267</v>
      </c>
      <c r="B3242" s="3" t="s">
        <v>26</v>
      </c>
      <c r="C3242" s="3">
        <v>1222681</v>
      </c>
      <c r="D3242" s="3">
        <v>18770</v>
      </c>
      <c r="E3242" s="3" t="s">
        <v>27</v>
      </c>
      <c r="F3242" s="3">
        <v>652554</v>
      </c>
      <c r="G3242" s="3">
        <v>11756</v>
      </c>
      <c r="H3242" s="3">
        <v>570127</v>
      </c>
      <c r="I3242" s="3">
        <v>7014</v>
      </c>
    </row>
    <row r="3243" spans="1:9">
      <c r="A3243" s="3" t="s">
        <v>3268</v>
      </c>
      <c r="B3243" s="3" t="s">
        <v>26</v>
      </c>
      <c r="C3243" s="3">
        <v>2510639</v>
      </c>
      <c r="D3243" s="3">
        <v>724198</v>
      </c>
      <c r="E3243" s="3" t="s">
        <v>27</v>
      </c>
      <c r="F3243" s="3">
        <v>1699343</v>
      </c>
      <c r="G3243" s="3">
        <v>502394</v>
      </c>
      <c r="H3243" s="3">
        <v>811296</v>
      </c>
      <c r="I3243" s="3">
        <v>221804</v>
      </c>
    </row>
    <row r="3244" spans="1:9">
      <c r="A3244" s="3" t="s">
        <v>3269</v>
      </c>
      <c r="B3244" s="3" t="s">
        <v>26</v>
      </c>
      <c r="C3244" s="3">
        <v>2438769</v>
      </c>
      <c r="D3244" s="3">
        <v>684975</v>
      </c>
      <c r="E3244" s="3" t="s">
        <v>27</v>
      </c>
      <c r="F3244" s="3">
        <v>1778415</v>
      </c>
      <c r="G3244" s="3">
        <v>527182</v>
      </c>
      <c r="H3244" s="3">
        <v>660354</v>
      </c>
      <c r="I3244" s="3">
        <v>157793</v>
      </c>
    </row>
    <row r="3245" spans="1:9">
      <c r="A3245" s="3" t="s">
        <v>3270</v>
      </c>
      <c r="B3245" s="3" t="s">
        <v>26</v>
      </c>
      <c r="C3245" s="3">
        <v>2603161</v>
      </c>
      <c r="D3245" s="3">
        <v>689453</v>
      </c>
      <c r="E3245" s="3" t="s">
        <v>27</v>
      </c>
      <c r="F3245" s="3">
        <v>1772071</v>
      </c>
      <c r="G3245" s="3">
        <v>511642</v>
      </c>
      <c r="H3245" s="3">
        <v>831090</v>
      </c>
      <c r="I3245" s="3">
        <v>177811</v>
      </c>
    </row>
    <row r="3246" spans="1:9">
      <c r="A3246" s="3" t="s">
        <v>3271</v>
      </c>
      <c r="B3246" s="3" t="s">
        <v>26</v>
      </c>
      <c r="C3246" s="3">
        <v>1488584</v>
      </c>
      <c r="D3246" s="3">
        <v>332673</v>
      </c>
      <c r="E3246" s="3" t="s">
        <v>27</v>
      </c>
      <c r="F3246" s="3">
        <v>1048989</v>
      </c>
      <c r="G3246" s="3">
        <v>234562</v>
      </c>
      <c r="H3246" s="3">
        <v>439595</v>
      </c>
      <c r="I3246" s="3">
        <v>98111</v>
      </c>
    </row>
    <row r="3247" spans="1:9">
      <c r="A3247" s="3" t="s">
        <v>3272</v>
      </c>
      <c r="B3247" s="3" t="s">
        <v>26</v>
      </c>
      <c r="C3247" s="3">
        <v>1860632</v>
      </c>
      <c r="D3247" s="3">
        <v>255720</v>
      </c>
      <c r="E3247" s="3" t="s">
        <v>27</v>
      </c>
      <c r="F3247" s="3">
        <v>1237073</v>
      </c>
      <c r="G3247" s="3">
        <v>183231</v>
      </c>
      <c r="H3247" s="3">
        <v>623559</v>
      </c>
      <c r="I3247" s="3">
        <v>72489</v>
      </c>
    </row>
    <row r="3248" spans="1:9">
      <c r="A3248" s="3" t="s">
        <v>3273</v>
      </c>
      <c r="B3248" s="3" t="s">
        <v>26</v>
      </c>
      <c r="C3248" s="3">
        <v>1817753</v>
      </c>
      <c r="D3248" s="3">
        <v>79121</v>
      </c>
      <c r="E3248" s="3" t="s">
        <v>27</v>
      </c>
      <c r="F3248" s="3">
        <v>1009088</v>
      </c>
      <c r="G3248" s="3">
        <v>51406</v>
      </c>
      <c r="H3248" s="3">
        <v>808665</v>
      </c>
      <c r="I3248" s="3">
        <v>27715</v>
      </c>
    </row>
    <row r="3249" spans="1:9">
      <c r="A3249" s="3" t="s">
        <v>3274</v>
      </c>
      <c r="B3249" s="3" t="s">
        <v>26</v>
      </c>
      <c r="C3249" s="3">
        <v>941682</v>
      </c>
      <c r="D3249" s="3">
        <v>19610</v>
      </c>
      <c r="E3249" s="3" t="s">
        <v>27</v>
      </c>
      <c r="F3249" s="3">
        <v>498083</v>
      </c>
      <c r="G3249" s="3">
        <v>11795</v>
      </c>
      <c r="H3249" s="3">
        <v>443599</v>
      </c>
      <c r="I3249" s="3">
        <v>7815</v>
      </c>
    </row>
    <row r="3250" spans="1:9">
      <c r="A3250" s="3" t="s">
        <v>3275</v>
      </c>
      <c r="B3250" s="3" t="s">
        <v>26</v>
      </c>
      <c r="C3250" s="3">
        <v>2470883</v>
      </c>
      <c r="D3250" s="3">
        <v>811124</v>
      </c>
      <c r="E3250" s="3" t="s">
        <v>27</v>
      </c>
      <c r="F3250" s="3">
        <v>1932195</v>
      </c>
      <c r="G3250" s="3">
        <v>603675</v>
      </c>
      <c r="H3250" s="3">
        <v>538688</v>
      </c>
      <c r="I3250" s="3">
        <v>207449</v>
      </c>
    </row>
    <row r="3251" spans="1:9">
      <c r="A3251" s="3" t="s">
        <v>3276</v>
      </c>
      <c r="B3251" s="3" t="s">
        <v>26</v>
      </c>
      <c r="C3251" s="3">
        <v>2003088</v>
      </c>
      <c r="D3251" s="3">
        <v>459834</v>
      </c>
      <c r="E3251" s="3" t="s">
        <v>27</v>
      </c>
      <c r="F3251" s="3">
        <v>1331250</v>
      </c>
      <c r="G3251" s="3">
        <v>319851</v>
      </c>
      <c r="H3251" s="3">
        <v>671838</v>
      </c>
      <c r="I3251" s="3">
        <v>139983</v>
      </c>
    </row>
    <row r="3252" spans="1:9">
      <c r="A3252" s="3" t="s">
        <v>3277</v>
      </c>
      <c r="B3252" s="3" t="s">
        <v>26</v>
      </c>
      <c r="C3252" s="3">
        <v>744789</v>
      </c>
      <c r="D3252" s="3">
        <v>18341</v>
      </c>
      <c r="E3252" s="3" t="s">
        <v>27</v>
      </c>
      <c r="F3252" s="3">
        <v>421625</v>
      </c>
      <c r="G3252" s="3">
        <v>11128</v>
      </c>
      <c r="H3252" s="3">
        <v>323164</v>
      </c>
      <c r="I3252" s="3">
        <v>7213</v>
      </c>
    </row>
    <row r="3253" spans="1:9">
      <c r="A3253" s="3" t="s">
        <v>3278</v>
      </c>
      <c r="B3253" s="3" t="s">
        <v>26</v>
      </c>
      <c r="C3253" s="3">
        <v>1723011</v>
      </c>
      <c r="D3253" s="3">
        <v>530721</v>
      </c>
      <c r="E3253" s="3" t="s">
        <v>27</v>
      </c>
      <c r="F3253" s="3">
        <v>1292131</v>
      </c>
      <c r="G3253" s="3">
        <v>384139</v>
      </c>
      <c r="H3253" s="3">
        <v>430880</v>
      </c>
      <c r="I3253" s="3">
        <v>146582</v>
      </c>
    </row>
    <row r="3254" spans="1:9">
      <c r="A3254" s="3" t="s">
        <v>3279</v>
      </c>
      <c r="B3254" s="3" t="s">
        <v>26</v>
      </c>
      <c r="C3254" s="3">
        <v>1554643</v>
      </c>
      <c r="D3254" s="3">
        <v>449290</v>
      </c>
      <c r="E3254" s="3" t="s">
        <v>27</v>
      </c>
      <c r="F3254" s="3">
        <v>1250488</v>
      </c>
      <c r="G3254" s="3">
        <v>339868</v>
      </c>
      <c r="H3254" s="3">
        <v>304155</v>
      </c>
      <c r="I3254" s="3">
        <v>109422</v>
      </c>
    </row>
    <row r="3255" spans="1:9">
      <c r="A3255" s="3" t="s">
        <v>3280</v>
      </c>
      <c r="B3255" s="3" t="s">
        <v>26</v>
      </c>
      <c r="C3255" s="3">
        <v>1246662</v>
      </c>
      <c r="D3255" s="3">
        <v>151752</v>
      </c>
      <c r="E3255" s="3" t="s">
        <v>27</v>
      </c>
      <c r="F3255" s="3">
        <v>826521</v>
      </c>
      <c r="G3255" s="3">
        <v>98162</v>
      </c>
      <c r="H3255" s="3">
        <v>420141</v>
      </c>
      <c r="I3255" s="3">
        <v>53590</v>
      </c>
    </row>
    <row r="3256" spans="1:9">
      <c r="A3256" s="3" t="s">
        <v>3281</v>
      </c>
      <c r="B3256" s="3" t="s">
        <v>26</v>
      </c>
      <c r="C3256" s="3">
        <v>904060</v>
      </c>
      <c r="D3256" s="3">
        <v>3017</v>
      </c>
      <c r="E3256" s="3" t="s">
        <v>27</v>
      </c>
      <c r="F3256" s="3">
        <v>460101</v>
      </c>
      <c r="G3256" s="3">
        <v>943</v>
      </c>
      <c r="H3256" s="3">
        <v>443959</v>
      </c>
      <c r="I3256" s="3">
        <v>2074</v>
      </c>
    </row>
    <row r="3257" spans="1:9">
      <c r="A3257" s="3" t="s">
        <v>3282</v>
      </c>
      <c r="B3257" s="3" t="s">
        <v>26</v>
      </c>
      <c r="C3257" s="3">
        <v>1853394</v>
      </c>
      <c r="D3257" s="3">
        <v>339205</v>
      </c>
      <c r="E3257" s="3" t="s">
        <v>27</v>
      </c>
      <c r="F3257" s="3">
        <v>1595546</v>
      </c>
      <c r="G3257" s="3">
        <v>256635</v>
      </c>
      <c r="H3257" s="3">
        <v>257848</v>
      </c>
      <c r="I3257" s="3">
        <v>82570</v>
      </c>
    </row>
    <row r="3258" spans="1:9">
      <c r="A3258" s="3" t="s">
        <v>3283</v>
      </c>
      <c r="B3258" s="3" t="s">
        <v>26</v>
      </c>
      <c r="C3258" s="3">
        <v>1199513</v>
      </c>
      <c r="D3258" s="3">
        <v>337091</v>
      </c>
      <c r="E3258" s="3" t="s">
        <v>27</v>
      </c>
      <c r="F3258" s="3">
        <v>896185</v>
      </c>
      <c r="G3258" s="3">
        <v>241284</v>
      </c>
      <c r="H3258" s="3">
        <v>303328</v>
      </c>
      <c r="I3258" s="3">
        <v>95807</v>
      </c>
    </row>
    <row r="3259" spans="1:9">
      <c r="A3259" s="3" t="s">
        <v>3284</v>
      </c>
      <c r="B3259" s="3" t="s">
        <v>26</v>
      </c>
      <c r="C3259" s="3">
        <v>548151</v>
      </c>
      <c r="D3259" s="3">
        <v>3475</v>
      </c>
      <c r="E3259" s="3" t="s">
        <v>27</v>
      </c>
      <c r="F3259" s="3">
        <v>311681</v>
      </c>
      <c r="G3259" s="3">
        <v>1806</v>
      </c>
      <c r="H3259" s="3">
        <v>236470</v>
      </c>
      <c r="I3259" s="3">
        <v>1669</v>
      </c>
    </row>
    <row r="3260" spans="1:9">
      <c r="A3260" s="3" t="s">
        <v>3285</v>
      </c>
      <c r="B3260" s="3" t="s">
        <v>26</v>
      </c>
      <c r="C3260" s="3">
        <v>607024</v>
      </c>
      <c r="D3260" s="3">
        <v>10301</v>
      </c>
      <c r="E3260" s="3" t="s">
        <v>27</v>
      </c>
      <c r="F3260" s="3">
        <v>321730</v>
      </c>
      <c r="G3260" s="3">
        <v>5106</v>
      </c>
      <c r="H3260" s="3">
        <v>285294</v>
      </c>
      <c r="I3260" s="3">
        <v>5195</v>
      </c>
    </row>
    <row r="3261" spans="1:9">
      <c r="A3261" s="3" t="s">
        <v>3286</v>
      </c>
      <c r="B3261" s="3" t="s">
        <v>26</v>
      </c>
      <c r="C3261" s="3">
        <v>1402463</v>
      </c>
      <c r="D3261" s="3">
        <v>379747</v>
      </c>
      <c r="E3261" s="3" t="s">
        <v>27</v>
      </c>
      <c r="F3261" s="3">
        <v>1044349</v>
      </c>
      <c r="G3261" s="3">
        <v>268156</v>
      </c>
      <c r="H3261" s="3">
        <v>358114</v>
      </c>
      <c r="I3261" s="3">
        <v>111591</v>
      </c>
    </row>
    <row r="3262" spans="1:9">
      <c r="A3262" s="3" t="s">
        <v>3287</v>
      </c>
      <c r="B3262" s="3" t="s">
        <v>26</v>
      </c>
      <c r="C3262" s="3">
        <v>1114556</v>
      </c>
      <c r="D3262" s="3">
        <v>178590</v>
      </c>
      <c r="E3262" s="3" t="s">
        <v>27</v>
      </c>
      <c r="F3262" s="3">
        <v>743221</v>
      </c>
      <c r="G3262" s="3">
        <v>109662</v>
      </c>
      <c r="H3262" s="3">
        <v>371335</v>
      </c>
      <c r="I3262" s="3">
        <v>68928</v>
      </c>
    </row>
    <row r="3263" spans="1:9">
      <c r="A3263" s="3" t="s">
        <v>3288</v>
      </c>
      <c r="B3263" s="3" t="s">
        <v>26</v>
      </c>
      <c r="C3263" s="3">
        <v>1110354</v>
      </c>
      <c r="D3263" s="3">
        <v>245872</v>
      </c>
      <c r="E3263" s="3" t="s">
        <v>27</v>
      </c>
      <c r="F3263" s="3">
        <v>973700</v>
      </c>
      <c r="G3263" s="3">
        <v>196884</v>
      </c>
      <c r="H3263" s="3">
        <v>136654</v>
      </c>
      <c r="I3263" s="3">
        <v>48988</v>
      </c>
    </row>
    <row r="3264" spans="1:9">
      <c r="A3264" s="3" t="s">
        <v>3289</v>
      </c>
      <c r="B3264" s="3" t="s">
        <v>26</v>
      </c>
      <c r="C3264" s="3">
        <v>1112423</v>
      </c>
      <c r="D3264" s="3">
        <v>165008</v>
      </c>
      <c r="E3264" s="3" t="s">
        <v>27</v>
      </c>
      <c r="F3264" s="3">
        <v>694005</v>
      </c>
      <c r="G3264" s="3">
        <v>109986</v>
      </c>
      <c r="H3264" s="3">
        <v>418418</v>
      </c>
      <c r="I3264" s="3">
        <v>55022</v>
      </c>
    </row>
    <row r="3265" spans="1:9">
      <c r="A3265" s="3" t="s">
        <v>3290</v>
      </c>
      <c r="B3265" s="3" t="s">
        <v>26</v>
      </c>
      <c r="C3265" s="3">
        <v>578294</v>
      </c>
      <c r="D3265" s="3">
        <v>99295</v>
      </c>
      <c r="E3265" s="3" t="s">
        <v>27</v>
      </c>
      <c r="F3265" s="3">
        <v>514369</v>
      </c>
      <c r="G3265" s="3">
        <v>79610</v>
      </c>
      <c r="H3265" s="3">
        <v>63925</v>
      </c>
      <c r="I3265" s="3">
        <v>19685</v>
      </c>
    </row>
    <row r="3266" spans="1:9">
      <c r="A3266" s="3" t="s">
        <v>3291</v>
      </c>
      <c r="B3266" s="3" t="s">
        <v>26</v>
      </c>
      <c r="C3266" s="3">
        <v>519169</v>
      </c>
      <c r="D3266" s="3">
        <v>1139</v>
      </c>
      <c r="E3266" s="3" t="s">
        <v>27</v>
      </c>
      <c r="F3266" s="3">
        <v>267571</v>
      </c>
      <c r="G3266" s="3">
        <v>558</v>
      </c>
      <c r="H3266" s="3">
        <v>251598</v>
      </c>
      <c r="I3266" s="3">
        <v>581</v>
      </c>
    </row>
    <row r="3267" spans="1:9">
      <c r="A3267" s="3" t="s">
        <v>3292</v>
      </c>
      <c r="B3267" s="3" t="s">
        <v>26</v>
      </c>
      <c r="C3267" s="3">
        <v>1034478</v>
      </c>
      <c r="D3267" s="3">
        <v>40158</v>
      </c>
      <c r="E3267" s="3" t="s">
        <v>27</v>
      </c>
      <c r="F3267" s="3">
        <v>569410</v>
      </c>
      <c r="G3267" s="3">
        <v>21930</v>
      </c>
      <c r="H3267" s="3">
        <v>465068</v>
      </c>
      <c r="I3267" s="3">
        <v>18228</v>
      </c>
    </row>
    <row r="3268" spans="1:9">
      <c r="A3268" s="3" t="s">
        <v>3293</v>
      </c>
      <c r="B3268" s="3" t="s">
        <v>26</v>
      </c>
      <c r="C3268" s="3">
        <v>1225829</v>
      </c>
      <c r="D3268" s="3">
        <v>345341</v>
      </c>
      <c r="E3268" s="3" t="s">
        <v>27</v>
      </c>
      <c r="F3268" s="3">
        <v>940407</v>
      </c>
      <c r="G3268" s="3">
        <v>247082</v>
      </c>
      <c r="H3268" s="3">
        <v>285422</v>
      </c>
      <c r="I3268" s="3">
        <v>98259</v>
      </c>
    </row>
    <row r="3269" spans="1:9">
      <c r="A3269" s="3" t="s">
        <v>3294</v>
      </c>
      <c r="B3269" s="3" t="s">
        <v>26</v>
      </c>
      <c r="C3269" s="3">
        <v>1626692</v>
      </c>
      <c r="D3269" s="3">
        <v>507652</v>
      </c>
      <c r="E3269" s="3" t="s">
        <v>27</v>
      </c>
      <c r="F3269" s="3">
        <v>1156666</v>
      </c>
      <c r="G3269" s="3">
        <v>345489</v>
      </c>
      <c r="H3269" s="3">
        <v>470026</v>
      </c>
      <c r="I3269" s="3">
        <v>162163</v>
      </c>
    </row>
    <row r="3270" spans="1:9">
      <c r="A3270" s="3" t="s">
        <v>3295</v>
      </c>
      <c r="B3270" s="3" t="s">
        <v>26</v>
      </c>
      <c r="C3270" s="3">
        <v>1427358</v>
      </c>
      <c r="D3270" s="3">
        <v>348419</v>
      </c>
      <c r="E3270" s="3" t="s">
        <v>27</v>
      </c>
      <c r="F3270" s="3">
        <v>1030918</v>
      </c>
      <c r="G3270" s="3">
        <v>250445</v>
      </c>
      <c r="H3270" s="3">
        <v>396440</v>
      </c>
      <c r="I3270" s="3">
        <v>97974</v>
      </c>
    </row>
    <row r="3271" spans="1:9">
      <c r="A3271" s="3" t="s">
        <v>3296</v>
      </c>
      <c r="B3271" s="3" t="s">
        <v>26</v>
      </c>
      <c r="C3271" s="3">
        <v>503108</v>
      </c>
      <c r="D3271" s="3">
        <v>657</v>
      </c>
      <c r="E3271" s="3" t="s">
        <v>27</v>
      </c>
      <c r="F3271" s="3">
        <v>259948</v>
      </c>
      <c r="G3271" s="3">
        <v>342</v>
      </c>
      <c r="H3271" s="3">
        <v>243160</v>
      </c>
      <c r="I3271" s="3">
        <v>315</v>
      </c>
    </row>
    <row r="3272" spans="1:9">
      <c r="A3272" s="3" t="s">
        <v>3297</v>
      </c>
      <c r="B3272" s="3" t="s">
        <v>26</v>
      </c>
      <c r="C3272" s="3">
        <v>1540478</v>
      </c>
      <c r="D3272" s="3">
        <v>445760</v>
      </c>
      <c r="E3272" s="3" t="s">
        <v>27</v>
      </c>
      <c r="F3272" s="3">
        <v>1287943</v>
      </c>
      <c r="G3272" s="3">
        <v>356472</v>
      </c>
      <c r="H3272" s="3">
        <v>252535</v>
      </c>
      <c r="I3272" s="3">
        <v>89288</v>
      </c>
    </row>
    <row r="3273" spans="1:9">
      <c r="A3273" s="3" t="s">
        <v>3298</v>
      </c>
      <c r="B3273" s="3" t="s">
        <v>26</v>
      </c>
      <c r="C3273" s="3">
        <v>1300757</v>
      </c>
      <c r="D3273" s="3">
        <v>336174</v>
      </c>
      <c r="E3273" s="3" t="s">
        <v>27</v>
      </c>
      <c r="F3273" s="3">
        <v>882536</v>
      </c>
      <c r="G3273" s="3">
        <v>229752</v>
      </c>
      <c r="H3273" s="3">
        <v>418221</v>
      </c>
      <c r="I3273" s="3">
        <v>106422</v>
      </c>
    </row>
    <row r="3274" spans="1:9">
      <c r="A3274" s="3" t="s">
        <v>3299</v>
      </c>
      <c r="B3274" s="3" t="s">
        <v>26</v>
      </c>
      <c r="C3274" s="3">
        <v>1040699</v>
      </c>
      <c r="D3274" s="3">
        <v>198333</v>
      </c>
      <c r="E3274" s="3" t="s">
        <v>27</v>
      </c>
      <c r="F3274" s="3">
        <v>734177</v>
      </c>
      <c r="G3274" s="3">
        <v>133139</v>
      </c>
      <c r="H3274" s="3">
        <v>306522</v>
      </c>
      <c r="I3274" s="3">
        <v>65194</v>
      </c>
    </row>
    <row r="3275" spans="1:9">
      <c r="A3275" s="3" t="s">
        <v>3300</v>
      </c>
      <c r="B3275" s="3" t="s">
        <v>26</v>
      </c>
      <c r="C3275" s="3">
        <v>838724</v>
      </c>
      <c r="D3275" s="3">
        <v>5506</v>
      </c>
      <c r="E3275" s="3" t="s">
        <v>27</v>
      </c>
      <c r="F3275" s="3">
        <v>361264</v>
      </c>
      <c r="G3275" s="3">
        <v>3032</v>
      </c>
      <c r="H3275" s="3">
        <v>477460</v>
      </c>
      <c r="I3275" s="3">
        <v>2474</v>
      </c>
    </row>
    <row r="3276" spans="1:9">
      <c r="A3276" s="3" t="s">
        <v>3301</v>
      </c>
      <c r="B3276" s="3" t="s">
        <v>26</v>
      </c>
      <c r="C3276" s="3">
        <v>1638516</v>
      </c>
      <c r="D3276" s="3">
        <v>441217</v>
      </c>
      <c r="E3276" s="3" t="s">
        <v>27</v>
      </c>
      <c r="F3276" s="3">
        <v>1066612</v>
      </c>
      <c r="G3276" s="3">
        <v>274062</v>
      </c>
      <c r="H3276" s="3">
        <v>571904</v>
      </c>
      <c r="I3276" s="3">
        <v>167155</v>
      </c>
    </row>
    <row r="3277" spans="1:9">
      <c r="A3277" s="3" t="s">
        <v>3302</v>
      </c>
      <c r="B3277" s="3" t="s">
        <v>26</v>
      </c>
      <c r="C3277" s="3">
        <v>850764</v>
      </c>
      <c r="D3277" s="3">
        <v>52640</v>
      </c>
      <c r="E3277" s="3" t="s">
        <v>27</v>
      </c>
      <c r="F3277" s="3">
        <v>502836</v>
      </c>
      <c r="G3277" s="3">
        <v>33018</v>
      </c>
      <c r="H3277" s="3">
        <v>347928</v>
      </c>
      <c r="I3277" s="3">
        <v>19622</v>
      </c>
    </row>
    <row r="3278" spans="1:9">
      <c r="A3278" s="3" t="s">
        <v>3303</v>
      </c>
      <c r="B3278" s="3" t="s">
        <v>26</v>
      </c>
      <c r="C3278" s="3">
        <v>909513</v>
      </c>
      <c r="D3278" s="3">
        <v>70771</v>
      </c>
      <c r="E3278" s="3" t="s">
        <v>27</v>
      </c>
      <c r="F3278" s="3">
        <v>565224</v>
      </c>
      <c r="G3278" s="3">
        <v>45848</v>
      </c>
      <c r="H3278" s="3">
        <v>344289</v>
      </c>
      <c r="I3278" s="3">
        <v>24923</v>
      </c>
    </row>
    <row r="3279" spans="1:9">
      <c r="A3279" s="3" t="s">
        <v>3304</v>
      </c>
      <c r="B3279" s="3" t="s">
        <v>26</v>
      </c>
      <c r="C3279" s="3">
        <v>1387173</v>
      </c>
      <c r="D3279" s="3">
        <v>332074</v>
      </c>
      <c r="E3279" s="3" t="s">
        <v>27</v>
      </c>
      <c r="F3279" s="3">
        <v>1062929</v>
      </c>
      <c r="G3279" s="3">
        <v>231303</v>
      </c>
      <c r="H3279" s="3">
        <v>324244</v>
      </c>
      <c r="I3279" s="3">
        <v>100771</v>
      </c>
    </row>
    <row r="3280" spans="1:9">
      <c r="A3280" s="3" t="s">
        <v>3305</v>
      </c>
      <c r="B3280" s="3" t="s">
        <v>26</v>
      </c>
      <c r="C3280" s="3">
        <v>1477681</v>
      </c>
      <c r="D3280" s="3">
        <v>459776</v>
      </c>
      <c r="E3280" s="3" t="s">
        <v>27</v>
      </c>
      <c r="F3280" s="3">
        <v>1097324</v>
      </c>
      <c r="G3280" s="3">
        <v>320998</v>
      </c>
      <c r="H3280" s="3">
        <v>380357</v>
      </c>
      <c r="I3280" s="3">
        <v>138778</v>
      </c>
    </row>
    <row r="3281" spans="1:9">
      <c r="A3281" s="3" t="s">
        <v>3306</v>
      </c>
      <c r="B3281" s="3" t="s">
        <v>26</v>
      </c>
      <c r="C3281" s="3">
        <v>1315665</v>
      </c>
      <c r="D3281" s="3">
        <v>409722</v>
      </c>
      <c r="E3281" s="3" t="s">
        <v>27</v>
      </c>
      <c r="F3281" s="3">
        <v>1060395</v>
      </c>
      <c r="G3281" s="3">
        <v>316108</v>
      </c>
      <c r="H3281" s="3">
        <v>255270</v>
      </c>
      <c r="I3281" s="3">
        <v>93614</v>
      </c>
    </row>
    <row r="3282" spans="1:9">
      <c r="A3282" s="3" t="s">
        <v>3307</v>
      </c>
      <c r="B3282" s="3" t="s">
        <v>26</v>
      </c>
      <c r="C3282" s="3">
        <v>979907</v>
      </c>
      <c r="D3282" s="3">
        <v>64648</v>
      </c>
      <c r="E3282" s="3" t="s">
        <v>27</v>
      </c>
      <c r="F3282" s="3">
        <v>550377</v>
      </c>
      <c r="G3282" s="3">
        <v>43032</v>
      </c>
      <c r="H3282" s="3">
        <v>429530</v>
      </c>
      <c r="I3282" s="3">
        <v>21616</v>
      </c>
    </row>
    <row r="3283" spans="1:9">
      <c r="A3283" s="3" t="s">
        <v>3308</v>
      </c>
      <c r="B3283" s="3" t="s">
        <v>26</v>
      </c>
      <c r="C3283" s="3">
        <v>1007410</v>
      </c>
      <c r="D3283" s="3">
        <v>182130</v>
      </c>
      <c r="E3283" s="3" t="s">
        <v>27</v>
      </c>
      <c r="F3283" s="3">
        <v>759444</v>
      </c>
      <c r="G3283" s="3">
        <v>137129</v>
      </c>
      <c r="H3283" s="3">
        <v>247966</v>
      </c>
      <c r="I3283" s="3">
        <v>45001</v>
      </c>
    </row>
    <row r="3284" spans="1:9">
      <c r="A3284" s="3" t="s">
        <v>3309</v>
      </c>
      <c r="B3284" s="3" t="s">
        <v>26</v>
      </c>
      <c r="C3284" s="3">
        <v>1145325</v>
      </c>
      <c r="D3284" s="3">
        <v>81876</v>
      </c>
      <c r="E3284" s="3" t="s">
        <v>27</v>
      </c>
      <c r="F3284" s="3">
        <v>633923</v>
      </c>
      <c r="G3284" s="3">
        <v>41444</v>
      </c>
      <c r="H3284" s="3">
        <v>511402</v>
      </c>
      <c r="I3284" s="3">
        <v>40432</v>
      </c>
    </row>
    <row r="3285" spans="1:9">
      <c r="A3285" s="3" t="s">
        <v>3310</v>
      </c>
      <c r="B3285" s="3" t="s">
        <v>26</v>
      </c>
      <c r="C3285" s="3">
        <v>1113143</v>
      </c>
      <c r="D3285" s="3">
        <v>18575</v>
      </c>
      <c r="E3285" s="3" t="s">
        <v>27</v>
      </c>
      <c r="F3285" s="3">
        <v>591715</v>
      </c>
      <c r="G3285" s="3">
        <v>10810</v>
      </c>
      <c r="H3285" s="3">
        <v>521428</v>
      </c>
      <c r="I3285" s="3">
        <v>7765</v>
      </c>
    </row>
    <row r="3286" spans="1:9">
      <c r="A3286" s="3" t="s">
        <v>3311</v>
      </c>
      <c r="B3286" s="3" t="s">
        <v>26</v>
      </c>
      <c r="C3286" s="3">
        <v>1342802</v>
      </c>
      <c r="D3286" s="3">
        <v>229579</v>
      </c>
      <c r="E3286" s="3" t="s">
        <v>27</v>
      </c>
      <c r="F3286" s="3">
        <v>766967</v>
      </c>
      <c r="G3286" s="3">
        <v>146338</v>
      </c>
      <c r="H3286" s="3">
        <v>575835</v>
      </c>
      <c r="I3286" s="3">
        <v>83241</v>
      </c>
    </row>
    <row r="3287" spans="1:9">
      <c r="A3287" s="3" t="s">
        <v>3312</v>
      </c>
      <c r="B3287" s="3" t="s">
        <v>26</v>
      </c>
      <c r="C3287" s="3">
        <v>219040</v>
      </c>
      <c r="D3287" s="3">
        <v>754</v>
      </c>
      <c r="E3287" s="3" t="s">
        <v>27</v>
      </c>
      <c r="F3287" s="3">
        <v>115812</v>
      </c>
      <c r="G3287" s="3">
        <v>404</v>
      </c>
      <c r="H3287" s="3">
        <v>103228</v>
      </c>
      <c r="I3287" s="3">
        <v>350</v>
      </c>
    </row>
    <row r="3288" spans="1:9">
      <c r="A3288" s="3" t="s">
        <v>3313</v>
      </c>
      <c r="B3288" s="3" t="s">
        <v>26</v>
      </c>
      <c r="C3288" s="3">
        <v>1385622</v>
      </c>
      <c r="D3288" s="3">
        <v>290525</v>
      </c>
      <c r="E3288" s="3" t="s">
        <v>27</v>
      </c>
      <c r="F3288" s="3">
        <v>967184</v>
      </c>
      <c r="G3288" s="3">
        <v>206447</v>
      </c>
      <c r="H3288" s="3">
        <v>418438</v>
      </c>
      <c r="I3288" s="3">
        <v>84078</v>
      </c>
    </row>
    <row r="3289" spans="1:9">
      <c r="A3289" s="3" t="s">
        <v>3314</v>
      </c>
      <c r="B3289" s="3" t="s">
        <v>26</v>
      </c>
      <c r="C3289" s="3">
        <v>1357406</v>
      </c>
      <c r="D3289" s="3">
        <v>250834</v>
      </c>
      <c r="E3289" s="3" t="s">
        <v>27</v>
      </c>
      <c r="F3289" s="3">
        <v>838840</v>
      </c>
      <c r="G3289" s="3">
        <v>152270</v>
      </c>
      <c r="H3289" s="3">
        <v>518566</v>
      </c>
      <c r="I3289" s="3">
        <v>98564</v>
      </c>
    </row>
    <row r="3290" spans="1:9">
      <c r="A3290" s="3" t="s">
        <v>3315</v>
      </c>
      <c r="B3290" s="3" t="s">
        <v>26</v>
      </c>
      <c r="C3290" s="3">
        <v>1542256</v>
      </c>
      <c r="D3290" s="3">
        <v>338052</v>
      </c>
      <c r="E3290" s="3" t="s">
        <v>27</v>
      </c>
      <c r="F3290" s="3">
        <v>1001028</v>
      </c>
      <c r="G3290" s="3">
        <v>220175</v>
      </c>
      <c r="H3290" s="3">
        <v>541228</v>
      </c>
      <c r="I3290" s="3">
        <v>117877</v>
      </c>
    </row>
    <row r="3291" spans="1:9">
      <c r="A3291" s="3" t="s">
        <v>3316</v>
      </c>
      <c r="B3291" s="3" t="s">
        <v>26</v>
      </c>
      <c r="C3291" s="3">
        <v>1064160</v>
      </c>
      <c r="D3291" s="3">
        <v>39104</v>
      </c>
      <c r="E3291" s="3" t="s">
        <v>27</v>
      </c>
      <c r="F3291" s="3">
        <v>605716</v>
      </c>
      <c r="G3291" s="3">
        <v>23229</v>
      </c>
      <c r="H3291" s="3">
        <v>458444</v>
      </c>
      <c r="I3291" s="3">
        <v>15875</v>
      </c>
    </row>
    <row r="3292" spans="1:9">
      <c r="A3292" s="3" t="s">
        <v>3317</v>
      </c>
      <c r="B3292" s="3" t="s">
        <v>26</v>
      </c>
      <c r="C3292" s="3">
        <v>1071363</v>
      </c>
      <c r="D3292" s="3">
        <v>129448</v>
      </c>
      <c r="E3292" s="3" t="s">
        <v>27</v>
      </c>
      <c r="F3292" s="3">
        <v>712633</v>
      </c>
      <c r="G3292" s="3">
        <v>92096</v>
      </c>
      <c r="H3292" s="3">
        <v>358730</v>
      </c>
      <c r="I3292" s="3">
        <v>37352</v>
      </c>
    </row>
    <row r="3293" spans="1:9">
      <c r="A3293" s="3" t="s">
        <v>3318</v>
      </c>
      <c r="B3293" s="3" t="s">
        <v>26</v>
      </c>
      <c r="C3293" s="3">
        <v>1002394</v>
      </c>
      <c r="D3293" s="3">
        <v>179271</v>
      </c>
      <c r="E3293" s="3" t="s">
        <v>27</v>
      </c>
      <c r="F3293" s="3">
        <v>768347</v>
      </c>
      <c r="G3293" s="3">
        <v>145831</v>
      </c>
      <c r="H3293" s="3">
        <v>234047</v>
      </c>
      <c r="I3293" s="3">
        <v>33440</v>
      </c>
    </row>
    <row r="3294" spans="1:9">
      <c r="A3294" s="3" t="s">
        <v>3319</v>
      </c>
      <c r="B3294" s="3" t="s">
        <v>26</v>
      </c>
      <c r="C3294" s="3">
        <v>1469096</v>
      </c>
      <c r="D3294" s="3">
        <v>362393</v>
      </c>
      <c r="E3294" s="3" t="s">
        <v>27</v>
      </c>
      <c r="F3294" s="3">
        <v>1145993</v>
      </c>
      <c r="G3294" s="3">
        <v>281620</v>
      </c>
      <c r="H3294" s="3">
        <v>323103</v>
      </c>
      <c r="I3294" s="3">
        <v>80773</v>
      </c>
    </row>
    <row r="3295" spans="1:9">
      <c r="A3295" s="3" t="s">
        <v>3320</v>
      </c>
      <c r="B3295" s="3" t="s">
        <v>26</v>
      </c>
      <c r="C3295" s="3">
        <v>978363</v>
      </c>
      <c r="D3295" s="3">
        <v>115091</v>
      </c>
      <c r="E3295" s="3" t="s">
        <v>27</v>
      </c>
      <c r="F3295" s="3">
        <v>624625</v>
      </c>
      <c r="G3295" s="3">
        <v>86289</v>
      </c>
      <c r="H3295" s="3">
        <v>353738</v>
      </c>
      <c r="I3295" s="3">
        <v>28802</v>
      </c>
    </row>
    <row r="3296" spans="1:9">
      <c r="A3296" s="3" t="s">
        <v>3321</v>
      </c>
      <c r="B3296" s="3" t="s">
        <v>26</v>
      </c>
      <c r="C3296" s="3">
        <v>1401242</v>
      </c>
      <c r="D3296" s="3">
        <v>332989</v>
      </c>
      <c r="E3296" s="3" t="s">
        <v>27</v>
      </c>
      <c r="F3296" s="3">
        <v>1126465</v>
      </c>
      <c r="G3296" s="3">
        <v>271225</v>
      </c>
      <c r="H3296" s="3">
        <v>274777</v>
      </c>
      <c r="I3296" s="3">
        <v>61764</v>
      </c>
    </row>
    <row r="3297" spans="1:9">
      <c r="A3297" s="3" t="s">
        <v>3322</v>
      </c>
      <c r="B3297" s="3" t="s">
        <v>26</v>
      </c>
      <c r="C3297" s="3">
        <v>1057256</v>
      </c>
      <c r="D3297" s="3">
        <v>86836</v>
      </c>
      <c r="E3297" s="3" t="s">
        <v>27</v>
      </c>
      <c r="F3297" s="3">
        <v>597412</v>
      </c>
      <c r="G3297" s="3">
        <v>48277</v>
      </c>
      <c r="H3297" s="3">
        <v>459844</v>
      </c>
      <c r="I3297" s="3">
        <v>38559</v>
      </c>
    </row>
    <row r="3298" spans="1:9">
      <c r="A3298" s="3" t="s">
        <v>3323</v>
      </c>
      <c r="B3298" s="3" t="s">
        <v>26</v>
      </c>
      <c r="C3298" s="3">
        <v>1487636</v>
      </c>
      <c r="D3298" s="3">
        <v>250670</v>
      </c>
      <c r="E3298" s="3" t="s">
        <v>27</v>
      </c>
      <c r="F3298" s="3">
        <v>911283</v>
      </c>
      <c r="G3298" s="3">
        <v>163376</v>
      </c>
      <c r="H3298" s="3">
        <v>576353</v>
      </c>
      <c r="I3298" s="3">
        <v>87294</v>
      </c>
    </row>
    <row r="3299" spans="1:9">
      <c r="A3299" s="3" t="s">
        <v>3324</v>
      </c>
      <c r="B3299" s="3" t="s">
        <v>26</v>
      </c>
      <c r="C3299" s="3">
        <v>1228163</v>
      </c>
      <c r="D3299" s="3">
        <v>153324</v>
      </c>
      <c r="E3299" s="3" t="s">
        <v>27</v>
      </c>
      <c r="F3299" s="3">
        <v>872763</v>
      </c>
      <c r="G3299" s="3">
        <v>122342</v>
      </c>
      <c r="H3299" s="3">
        <v>355400</v>
      </c>
      <c r="I3299" s="3">
        <v>30982</v>
      </c>
    </row>
    <row r="3300" spans="1:9">
      <c r="A3300" s="3" t="s">
        <v>3325</v>
      </c>
      <c r="B3300" s="3" t="s">
        <v>26</v>
      </c>
      <c r="C3300" s="3">
        <v>1661350</v>
      </c>
      <c r="D3300" s="3">
        <v>509287</v>
      </c>
      <c r="E3300" s="3" t="s">
        <v>27</v>
      </c>
      <c r="F3300" s="3">
        <v>1111815</v>
      </c>
      <c r="G3300" s="3">
        <v>326474</v>
      </c>
      <c r="H3300" s="3">
        <v>549535</v>
      </c>
      <c r="I3300" s="3">
        <v>182813</v>
      </c>
    </row>
    <row r="3301" spans="1:9">
      <c r="A3301" s="3" t="s">
        <v>3326</v>
      </c>
      <c r="B3301" s="3" t="s">
        <v>26</v>
      </c>
      <c r="C3301" s="3">
        <v>1260651</v>
      </c>
      <c r="D3301" s="3">
        <v>242717</v>
      </c>
      <c r="E3301" s="3" t="s">
        <v>27</v>
      </c>
      <c r="F3301" s="3">
        <v>764601</v>
      </c>
      <c r="G3301" s="3">
        <v>153824</v>
      </c>
      <c r="H3301" s="3">
        <v>496050</v>
      </c>
      <c r="I3301" s="3">
        <v>88893</v>
      </c>
    </row>
    <row r="3302" spans="1:9">
      <c r="A3302" s="3" t="s">
        <v>3327</v>
      </c>
      <c r="B3302" s="3" t="s">
        <v>26</v>
      </c>
      <c r="C3302" s="3">
        <v>733024</v>
      </c>
      <c r="D3302" s="3">
        <v>79737</v>
      </c>
      <c r="E3302" s="3" t="s">
        <v>27</v>
      </c>
      <c r="F3302" s="3">
        <v>529800</v>
      </c>
      <c r="G3302" s="3">
        <v>48629</v>
      </c>
      <c r="H3302" s="3">
        <v>203224</v>
      </c>
      <c r="I3302" s="3">
        <v>31108</v>
      </c>
    </row>
    <row r="3303" spans="1:9">
      <c r="A3303" s="3" t="s">
        <v>3328</v>
      </c>
      <c r="B3303" s="3" t="s">
        <v>26</v>
      </c>
      <c r="C3303" s="3">
        <v>1219480</v>
      </c>
      <c r="D3303" s="3">
        <v>185508</v>
      </c>
      <c r="E3303" s="3" t="s">
        <v>27</v>
      </c>
      <c r="F3303" s="3">
        <v>808227</v>
      </c>
      <c r="G3303" s="3">
        <v>117992</v>
      </c>
      <c r="H3303" s="3">
        <v>411253</v>
      </c>
      <c r="I3303" s="3">
        <v>67516</v>
      </c>
    </row>
    <row r="3304" spans="1:9">
      <c r="A3304" s="3" t="s">
        <v>3329</v>
      </c>
      <c r="B3304" s="3" t="s">
        <v>26</v>
      </c>
      <c r="C3304" s="3">
        <v>972513</v>
      </c>
      <c r="D3304" s="3">
        <v>120967</v>
      </c>
      <c r="E3304" s="3" t="s">
        <v>27</v>
      </c>
      <c r="F3304" s="3">
        <v>688222</v>
      </c>
      <c r="G3304" s="3">
        <v>92649</v>
      </c>
      <c r="H3304" s="3">
        <v>284291</v>
      </c>
      <c r="I3304" s="3">
        <v>28318</v>
      </c>
    </row>
    <row r="3305" spans="1:9">
      <c r="A3305" s="3" t="s">
        <v>3330</v>
      </c>
      <c r="B3305" s="3" t="s">
        <v>26</v>
      </c>
      <c r="C3305" s="3">
        <v>1375087</v>
      </c>
      <c r="D3305" s="3">
        <v>271330</v>
      </c>
      <c r="E3305" s="3" t="s">
        <v>27</v>
      </c>
      <c r="F3305" s="3">
        <v>789138</v>
      </c>
      <c r="G3305" s="3">
        <v>141578</v>
      </c>
      <c r="H3305" s="3">
        <v>585949</v>
      </c>
      <c r="I3305" s="3">
        <v>129752</v>
      </c>
    </row>
    <row r="3306" spans="1:9">
      <c r="A3306" s="3" t="s">
        <v>3331</v>
      </c>
      <c r="B3306" s="3" t="s">
        <v>26</v>
      </c>
      <c r="C3306" s="3">
        <v>1373165</v>
      </c>
      <c r="D3306" s="3">
        <v>341333</v>
      </c>
      <c r="E3306" s="3" t="s">
        <v>27</v>
      </c>
      <c r="F3306" s="3">
        <v>1070542</v>
      </c>
      <c r="G3306" s="3">
        <v>262421</v>
      </c>
      <c r="H3306" s="3">
        <v>302623</v>
      </c>
      <c r="I3306" s="3">
        <v>78912</v>
      </c>
    </row>
    <row r="3307" spans="1:9">
      <c r="A3307" s="3" t="s">
        <v>3332</v>
      </c>
      <c r="B3307" s="3" t="s">
        <v>26</v>
      </c>
      <c r="C3307" s="3">
        <v>1030071</v>
      </c>
      <c r="D3307" s="3">
        <v>112718</v>
      </c>
      <c r="E3307" s="3" t="s">
        <v>27</v>
      </c>
      <c r="F3307" s="3">
        <v>648530</v>
      </c>
      <c r="G3307" s="3">
        <v>89506</v>
      </c>
      <c r="H3307" s="3">
        <v>381541</v>
      </c>
      <c r="I3307" s="3">
        <v>23212</v>
      </c>
    </row>
    <row r="3308" spans="1:9">
      <c r="A3308" s="3" t="s">
        <v>3333</v>
      </c>
      <c r="B3308" s="3" t="s">
        <v>26</v>
      </c>
      <c r="C3308" s="3">
        <v>1466340</v>
      </c>
      <c r="D3308" s="3">
        <v>308464</v>
      </c>
      <c r="E3308" s="3" t="s">
        <v>27</v>
      </c>
      <c r="F3308" s="3">
        <v>976383</v>
      </c>
      <c r="G3308" s="3">
        <v>215756</v>
      </c>
      <c r="H3308" s="3">
        <v>489957</v>
      </c>
      <c r="I3308" s="3">
        <v>92708</v>
      </c>
    </row>
    <row r="3309" spans="1:9">
      <c r="A3309" s="3" t="s">
        <v>3334</v>
      </c>
      <c r="B3309" s="3" t="s">
        <v>26</v>
      </c>
      <c r="C3309" s="3">
        <v>1241736</v>
      </c>
      <c r="D3309" s="3">
        <v>241084</v>
      </c>
      <c r="E3309" s="3" t="s">
        <v>27</v>
      </c>
      <c r="F3309" s="3">
        <v>800411</v>
      </c>
      <c r="G3309" s="3">
        <v>151431</v>
      </c>
      <c r="H3309" s="3">
        <v>441325</v>
      </c>
      <c r="I3309" s="3">
        <v>89653</v>
      </c>
    </row>
    <row r="3310" spans="1:9">
      <c r="A3310" s="3" t="s">
        <v>3335</v>
      </c>
      <c r="B3310" s="3" t="s">
        <v>26</v>
      </c>
      <c r="C3310" s="3">
        <v>834800</v>
      </c>
      <c r="D3310" s="3">
        <v>19630</v>
      </c>
      <c r="E3310" s="3" t="s">
        <v>27</v>
      </c>
      <c r="F3310" s="3">
        <v>429817</v>
      </c>
      <c r="G3310" s="3">
        <v>9345</v>
      </c>
      <c r="H3310" s="3">
        <v>404983</v>
      </c>
      <c r="I3310" s="3">
        <v>10285</v>
      </c>
    </row>
    <row r="3311" spans="1:9">
      <c r="A3311" s="3" t="s">
        <v>3336</v>
      </c>
      <c r="B3311" s="3" t="s">
        <v>26</v>
      </c>
      <c r="C3311" s="3">
        <v>799885</v>
      </c>
      <c r="D3311" s="3">
        <v>34522</v>
      </c>
      <c r="E3311" s="3" t="s">
        <v>27</v>
      </c>
      <c r="F3311" s="3">
        <v>413299</v>
      </c>
      <c r="G3311" s="3">
        <v>19998</v>
      </c>
      <c r="H3311" s="3">
        <v>386586</v>
      </c>
      <c r="I3311" s="3">
        <v>14524</v>
      </c>
    </row>
    <row r="3312" spans="1:9">
      <c r="A3312" s="3" t="s">
        <v>3337</v>
      </c>
      <c r="B3312" s="3" t="s">
        <v>26</v>
      </c>
      <c r="C3312" s="3">
        <v>1606367</v>
      </c>
      <c r="D3312" s="3">
        <v>384393</v>
      </c>
      <c r="E3312" s="3" t="s">
        <v>27</v>
      </c>
      <c r="F3312" s="3">
        <v>1212758</v>
      </c>
      <c r="G3312" s="3">
        <v>269033</v>
      </c>
      <c r="H3312" s="3">
        <v>393609</v>
      </c>
      <c r="I3312" s="3">
        <v>115360</v>
      </c>
    </row>
    <row r="3313" spans="1:9">
      <c r="A3313" s="3" t="s">
        <v>3338</v>
      </c>
      <c r="B3313" s="3" t="s">
        <v>26</v>
      </c>
      <c r="C3313" s="3">
        <v>825623</v>
      </c>
      <c r="D3313" s="3">
        <v>57663</v>
      </c>
      <c r="E3313" s="3" t="s">
        <v>27</v>
      </c>
      <c r="F3313" s="3">
        <v>483517</v>
      </c>
      <c r="G3313" s="3">
        <v>34699</v>
      </c>
      <c r="H3313" s="3">
        <v>342106</v>
      </c>
      <c r="I3313" s="3">
        <v>22964</v>
      </c>
    </row>
    <row r="3314" spans="1:9">
      <c r="A3314" s="3" t="s">
        <v>3339</v>
      </c>
      <c r="B3314" s="3" t="s">
        <v>26</v>
      </c>
      <c r="C3314" s="3">
        <v>824771</v>
      </c>
      <c r="D3314" s="3">
        <v>74037</v>
      </c>
      <c r="E3314" s="3" t="s">
        <v>27</v>
      </c>
      <c r="F3314" s="3">
        <v>557362</v>
      </c>
      <c r="G3314" s="3">
        <v>54937</v>
      </c>
      <c r="H3314" s="3">
        <v>267409</v>
      </c>
      <c r="I3314" s="3">
        <v>19100</v>
      </c>
    </row>
    <row r="3315" spans="1:9">
      <c r="A3315" s="3" t="s">
        <v>3340</v>
      </c>
      <c r="B3315" s="3" t="s">
        <v>26</v>
      </c>
      <c r="C3315" s="3">
        <v>1542467</v>
      </c>
      <c r="D3315" s="3">
        <v>354084</v>
      </c>
      <c r="E3315" s="3" t="s">
        <v>27</v>
      </c>
      <c r="F3315" s="3">
        <v>1008084</v>
      </c>
      <c r="G3315" s="3">
        <v>220499</v>
      </c>
      <c r="H3315" s="3">
        <v>534383</v>
      </c>
      <c r="I3315" s="3">
        <v>133585</v>
      </c>
    </row>
    <row r="3316" spans="1:9">
      <c r="A3316" s="3" t="s">
        <v>3341</v>
      </c>
      <c r="B3316" s="3" t="s">
        <v>26</v>
      </c>
      <c r="C3316" s="3">
        <v>1714162</v>
      </c>
      <c r="D3316" s="3">
        <v>387990</v>
      </c>
      <c r="E3316" s="3" t="s">
        <v>27</v>
      </c>
      <c r="F3316" s="3">
        <v>1014649</v>
      </c>
      <c r="G3316" s="3">
        <v>210998</v>
      </c>
      <c r="H3316" s="3">
        <v>699513</v>
      </c>
      <c r="I3316" s="3">
        <v>176992</v>
      </c>
    </row>
    <row r="3317" spans="1:9">
      <c r="A3317" s="3" t="s">
        <v>3342</v>
      </c>
      <c r="B3317" s="3" t="s">
        <v>26</v>
      </c>
      <c r="C3317" s="3">
        <v>927448</v>
      </c>
      <c r="D3317" s="3">
        <v>58859</v>
      </c>
      <c r="E3317" s="3" t="s">
        <v>27</v>
      </c>
      <c r="F3317" s="3">
        <v>579584</v>
      </c>
      <c r="G3317" s="3">
        <v>41496</v>
      </c>
      <c r="H3317" s="3">
        <v>347864</v>
      </c>
      <c r="I3317" s="3">
        <v>17363</v>
      </c>
    </row>
    <row r="3318" spans="1:9">
      <c r="A3318" s="3" t="s">
        <v>3343</v>
      </c>
      <c r="B3318" s="3" t="s">
        <v>26</v>
      </c>
      <c r="C3318" s="3">
        <v>571176</v>
      </c>
      <c r="D3318" s="3">
        <v>69409</v>
      </c>
      <c r="E3318" s="3" t="s">
        <v>27</v>
      </c>
      <c r="F3318" s="3">
        <v>357562</v>
      </c>
      <c r="G3318" s="3">
        <v>61745</v>
      </c>
      <c r="H3318" s="3">
        <v>213614</v>
      </c>
      <c r="I3318" s="3">
        <v>7664</v>
      </c>
    </row>
    <row r="3319" spans="1:9">
      <c r="A3319" s="3" t="s">
        <v>3344</v>
      </c>
      <c r="B3319" s="3" t="s">
        <v>26</v>
      </c>
      <c r="C3319" s="3">
        <v>1565463</v>
      </c>
      <c r="D3319" s="3">
        <v>436450</v>
      </c>
      <c r="E3319" s="3" t="s">
        <v>27</v>
      </c>
      <c r="F3319" s="3">
        <v>1170224</v>
      </c>
      <c r="G3319" s="3">
        <v>333043</v>
      </c>
      <c r="H3319" s="3">
        <v>395239</v>
      </c>
      <c r="I3319" s="3">
        <v>103407</v>
      </c>
    </row>
    <row r="3320" spans="1:9">
      <c r="A3320" s="3" t="s">
        <v>3345</v>
      </c>
      <c r="B3320" s="3" t="s">
        <v>26</v>
      </c>
      <c r="C3320" s="3">
        <v>959437</v>
      </c>
      <c r="D3320" s="3">
        <v>138948</v>
      </c>
      <c r="E3320" s="3" t="s">
        <v>27</v>
      </c>
      <c r="F3320" s="3">
        <v>639078</v>
      </c>
      <c r="G3320" s="3">
        <v>97798</v>
      </c>
      <c r="H3320" s="3">
        <v>320359</v>
      </c>
      <c r="I3320" s="3">
        <v>41150</v>
      </c>
    </row>
    <row r="3321" spans="1:9">
      <c r="A3321" s="3" t="s">
        <v>3346</v>
      </c>
      <c r="B3321" s="3" t="s">
        <v>26</v>
      </c>
      <c r="C3321" s="3">
        <v>1282161</v>
      </c>
      <c r="D3321" s="3">
        <v>247123</v>
      </c>
      <c r="E3321" s="3" t="s">
        <v>27</v>
      </c>
      <c r="F3321" s="3">
        <v>938582</v>
      </c>
      <c r="G3321" s="3">
        <v>174795</v>
      </c>
      <c r="H3321" s="3">
        <v>343579</v>
      </c>
      <c r="I3321" s="3">
        <v>72328</v>
      </c>
    </row>
    <row r="3322" spans="1:9">
      <c r="A3322" s="3" t="s">
        <v>3347</v>
      </c>
      <c r="B3322" s="3" t="s">
        <v>26</v>
      </c>
      <c r="C3322" s="3">
        <v>1198729</v>
      </c>
      <c r="D3322" s="3">
        <v>40427</v>
      </c>
      <c r="E3322" s="3" t="s">
        <v>27</v>
      </c>
      <c r="F3322" s="3">
        <v>636001</v>
      </c>
      <c r="G3322" s="3">
        <v>19129</v>
      </c>
      <c r="H3322" s="3">
        <v>562728</v>
      </c>
      <c r="I3322" s="3">
        <v>21298</v>
      </c>
    </row>
    <row r="3323" spans="1:9">
      <c r="A3323" s="3" t="s">
        <v>3348</v>
      </c>
      <c r="B3323" s="3" t="s">
        <v>26</v>
      </c>
      <c r="C3323" s="3">
        <v>1239151</v>
      </c>
      <c r="D3323" s="3">
        <v>134335</v>
      </c>
      <c r="E3323" s="3" t="s">
        <v>27</v>
      </c>
      <c r="F3323" s="3">
        <v>717004</v>
      </c>
      <c r="G3323" s="3">
        <v>72327</v>
      </c>
      <c r="H3323" s="3">
        <v>522147</v>
      </c>
      <c r="I3323" s="3">
        <v>62008</v>
      </c>
    </row>
    <row r="3324" spans="1:9">
      <c r="A3324" s="3" t="s">
        <v>3349</v>
      </c>
      <c r="B3324" s="3" t="s">
        <v>26</v>
      </c>
      <c r="C3324" s="3">
        <v>872797</v>
      </c>
      <c r="D3324" s="3">
        <v>55585</v>
      </c>
      <c r="E3324" s="3" t="s">
        <v>27</v>
      </c>
      <c r="F3324" s="3">
        <v>497235</v>
      </c>
      <c r="G3324" s="3">
        <v>29085</v>
      </c>
      <c r="H3324" s="3">
        <v>375562</v>
      </c>
      <c r="I3324" s="3">
        <v>26500</v>
      </c>
    </row>
    <row r="3325" spans="1:9">
      <c r="A3325" s="3" t="s">
        <v>3350</v>
      </c>
      <c r="B3325" s="3" t="s">
        <v>26</v>
      </c>
      <c r="C3325" s="3">
        <v>1234268</v>
      </c>
      <c r="D3325" s="3">
        <v>282307</v>
      </c>
      <c r="E3325" s="3" t="s">
        <v>27</v>
      </c>
      <c r="F3325" s="3">
        <v>885085</v>
      </c>
      <c r="G3325" s="3">
        <v>198989</v>
      </c>
      <c r="H3325" s="3">
        <v>349183</v>
      </c>
      <c r="I3325" s="3">
        <v>83318</v>
      </c>
    </row>
    <row r="3326" spans="1:9">
      <c r="A3326" s="3" t="s">
        <v>3351</v>
      </c>
      <c r="B3326" s="3" t="s">
        <v>26</v>
      </c>
      <c r="C3326" s="3">
        <v>888650</v>
      </c>
      <c r="D3326" s="3">
        <v>138718</v>
      </c>
      <c r="E3326" s="3" t="s">
        <v>27</v>
      </c>
      <c r="F3326" s="3">
        <v>706220</v>
      </c>
      <c r="G3326" s="3">
        <v>109999</v>
      </c>
      <c r="H3326" s="3">
        <v>182430</v>
      </c>
      <c r="I3326" s="3">
        <v>28719</v>
      </c>
    </row>
    <row r="3327" spans="1:9">
      <c r="A3327" s="3" t="s">
        <v>3352</v>
      </c>
      <c r="B3327" s="3" t="s">
        <v>26</v>
      </c>
      <c r="C3327" s="3">
        <v>1700667</v>
      </c>
      <c r="D3327" s="3">
        <v>468707</v>
      </c>
      <c r="E3327" s="3" t="s">
        <v>27</v>
      </c>
      <c r="F3327" s="3">
        <v>1496055</v>
      </c>
      <c r="G3327" s="3">
        <v>391504</v>
      </c>
      <c r="H3327" s="3">
        <v>204612</v>
      </c>
      <c r="I3327" s="3">
        <v>77203</v>
      </c>
    </row>
    <row r="3328" spans="1:9">
      <c r="A3328" s="3" t="s">
        <v>3353</v>
      </c>
      <c r="B3328" s="3" t="s">
        <v>26</v>
      </c>
      <c r="C3328" s="3">
        <v>1179801</v>
      </c>
      <c r="D3328" s="3">
        <v>234004</v>
      </c>
      <c r="E3328" s="3" t="s">
        <v>27</v>
      </c>
      <c r="F3328" s="3">
        <v>772344</v>
      </c>
      <c r="G3328" s="3">
        <v>148124</v>
      </c>
      <c r="H3328" s="3">
        <v>407457</v>
      </c>
      <c r="I3328" s="3">
        <v>85880</v>
      </c>
    </row>
    <row r="3329" spans="1:9">
      <c r="A3329" s="3" t="s">
        <v>3354</v>
      </c>
      <c r="B3329" s="3" t="s">
        <v>26</v>
      </c>
      <c r="C3329" s="3">
        <v>1174175</v>
      </c>
      <c r="D3329" s="3">
        <v>145884</v>
      </c>
      <c r="E3329" s="3" t="s">
        <v>27</v>
      </c>
      <c r="F3329" s="3">
        <v>688719</v>
      </c>
      <c r="G3329" s="3">
        <v>95087</v>
      </c>
      <c r="H3329" s="3">
        <v>485456</v>
      </c>
      <c r="I3329" s="3">
        <v>50797</v>
      </c>
    </row>
    <row r="3330" spans="1:9">
      <c r="A3330" s="3" t="s">
        <v>3355</v>
      </c>
      <c r="B3330" s="3" t="s">
        <v>26</v>
      </c>
      <c r="C3330" s="3">
        <v>1454838</v>
      </c>
      <c r="D3330" s="3">
        <v>313265</v>
      </c>
      <c r="E3330" s="3" t="s">
        <v>27</v>
      </c>
      <c r="F3330" s="3">
        <v>964384</v>
      </c>
      <c r="G3330" s="3">
        <v>234357</v>
      </c>
      <c r="H3330" s="3">
        <v>490454</v>
      </c>
      <c r="I3330" s="3">
        <v>78908</v>
      </c>
    </row>
    <row r="3331" spans="1:9">
      <c r="A3331" s="3" t="s">
        <v>3356</v>
      </c>
      <c r="B3331" s="3" t="s">
        <v>26</v>
      </c>
      <c r="C3331" s="3">
        <v>6003</v>
      </c>
      <c r="D3331" s="3">
        <v>787</v>
      </c>
      <c r="E3331" s="3" t="s">
        <v>27</v>
      </c>
      <c r="F3331" s="3">
        <v>6003</v>
      </c>
      <c r="G3331" s="3">
        <v>787</v>
      </c>
      <c r="H3331" s="3">
        <v>0</v>
      </c>
      <c r="I3331" s="3">
        <v>0</v>
      </c>
    </row>
    <row r="3332" spans="1:9">
      <c r="A3332" s="3" t="s">
        <v>3357</v>
      </c>
      <c r="B3332" s="3" t="s">
        <v>26</v>
      </c>
      <c r="C3332" s="3">
        <v>1154910</v>
      </c>
      <c r="D3332" s="3">
        <v>164379</v>
      </c>
      <c r="E3332" s="3" t="s">
        <v>27</v>
      </c>
      <c r="F3332" s="3">
        <v>736664</v>
      </c>
      <c r="G3332" s="3">
        <v>97521</v>
      </c>
      <c r="H3332" s="3">
        <v>418246</v>
      </c>
      <c r="I3332" s="3">
        <v>66858</v>
      </c>
    </row>
    <row r="3333" spans="1:9">
      <c r="A3333" s="3" t="s">
        <v>3358</v>
      </c>
      <c r="B3333" s="3" t="s">
        <v>26</v>
      </c>
      <c r="C3333" s="3">
        <v>872647</v>
      </c>
      <c r="D3333" s="3">
        <v>133534</v>
      </c>
      <c r="E3333" s="3" t="s">
        <v>27</v>
      </c>
      <c r="F3333" s="3">
        <v>636611</v>
      </c>
      <c r="G3333" s="3">
        <v>106356</v>
      </c>
      <c r="H3333" s="3">
        <v>236036</v>
      </c>
      <c r="I3333" s="3">
        <v>27178</v>
      </c>
    </row>
    <row r="3334" spans="1:9">
      <c r="A3334" s="3" t="s">
        <v>3359</v>
      </c>
      <c r="B3334" s="3" t="s">
        <v>26</v>
      </c>
      <c r="C3334" s="3">
        <v>1457034</v>
      </c>
      <c r="D3334" s="3">
        <v>259649</v>
      </c>
      <c r="E3334" s="3" t="s">
        <v>27</v>
      </c>
      <c r="F3334" s="3">
        <v>1055761</v>
      </c>
      <c r="G3334" s="3">
        <v>190770</v>
      </c>
      <c r="H3334" s="3">
        <v>401273</v>
      </c>
      <c r="I3334" s="3">
        <v>68879</v>
      </c>
    </row>
    <row r="3335" spans="1:9">
      <c r="A3335" s="3" t="s">
        <v>3360</v>
      </c>
      <c r="B3335" s="3" t="s">
        <v>26</v>
      </c>
      <c r="C3335" s="3">
        <v>825285</v>
      </c>
      <c r="D3335" s="3">
        <v>102555</v>
      </c>
      <c r="E3335" s="3" t="s">
        <v>27</v>
      </c>
      <c r="F3335" s="3">
        <v>500658</v>
      </c>
      <c r="G3335" s="3">
        <v>70484</v>
      </c>
      <c r="H3335" s="3">
        <v>324627</v>
      </c>
      <c r="I3335" s="3">
        <v>32071</v>
      </c>
    </row>
    <row r="3336" spans="1:9">
      <c r="A3336" s="3" t="s">
        <v>3361</v>
      </c>
      <c r="B3336" s="3" t="s">
        <v>26</v>
      </c>
      <c r="C3336" s="3">
        <v>1347703</v>
      </c>
      <c r="D3336" s="3">
        <v>223046</v>
      </c>
      <c r="E3336" s="3" t="s">
        <v>27</v>
      </c>
      <c r="F3336" s="3">
        <v>878051</v>
      </c>
      <c r="G3336" s="3">
        <v>135588</v>
      </c>
      <c r="H3336" s="3">
        <v>469652</v>
      </c>
      <c r="I3336" s="3">
        <v>87458</v>
      </c>
    </row>
    <row r="3337" spans="1:9">
      <c r="A3337" s="3" t="s">
        <v>3362</v>
      </c>
      <c r="B3337" s="3" t="s">
        <v>26</v>
      </c>
      <c r="C3337" s="3">
        <v>1293203</v>
      </c>
      <c r="D3337" s="3">
        <v>310198</v>
      </c>
      <c r="E3337" s="3" t="s">
        <v>27</v>
      </c>
      <c r="F3337" s="3">
        <v>921922</v>
      </c>
      <c r="G3337" s="3">
        <v>220448</v>
      </c>
      <c r="H3337" s="3">
        <v>371281</v>
      </c>
      <c r="I3337" s="3">
        <v>89750</v>
      </c>
    </row>
    <row r="3338" spans="1:9">
      <c r="A3338" s="3" t="s">
        <v>3363</v>
      </c>
      <c r="B3338" s="3" t="s">
        <v>26</v>
      </c>
      <c r="C3338" s="3">
        <v>1182891</v>
      </c>
      <c r="D3338" s="3">
        <v>118514</v>
      </c>
      <c r="E3338" s="3" t="s">
        <v>27</v>
      </c>
      <c r="F3338" s="3">
        <v>680404</v>
      </c>
      <c r="G3338" s="3">
        <v>67636</v>
      </c>
      <c r="H3338" s="3">
        <v>502487</v>
      </c>
      <c r="I3338" s="3">
        <v>50878</v>
      </c>
    </row>
    <row r="3339" spans="1:9">
      <c r="A3339" s="3" t="s">
        <v>3364</v>
      </c>
      <c r="B3339" s="3" t="s">
        <v>26</v>
      </c>
      <c r="C3339" s="3">
        <v>1535436</v>
      </c>
      <c r="D3339" s="3">
        <v>365482</v>
      </c>
      <c r="E3339" s="3" t="s">
        <v>27</v>
      </c>
      <c r="F3339" s="3">
        <v>1234716</v>
      </c>
      <c r="G3339" s="3">
        <v>282466</v>
      </c>
      <c r="H3339" s="3">
        <v>300720</v>
      </c>
      <c r="I3339" s="3">
        <v>83016</v>
      </c>
    </row>
    <row r="3340" spans="1:9">
      <c r="A3340" s="3" t="s">
        <v>3365</v>
      </c>
      <c r="B3340" s="3" t="s">
        <v>26</v>
      </c>
      <c r="C3340" s="3">
        <v>1466681</v>
      </c>
      <c r="D3340" s="3">
        <v>304297</v>
      </c>
      <c r="E3340" s="3" t="s">
        <v>27</v>
      </c>
      <c r="F3340" s="3">
        <v>1032954</v>
      </c>
      <c r="G3340" s="3">
        <v>212220</v>
      </c>
      <c r="H3340" s="3">
        <v>433727</v>
      </c>
      <c r="I3340" s="3">
        <v>92077</v>
      </c>
    </row>
    <row r="3341" spans="1:9">
      <c r="A3341" s="3" t="s">
        <v>3366</v>
      </c>
      <c r="B3341" s="3" t="s">
        <v>26</v>
      </c>
      <c r="C3341" s="3">
        <v>1075658</v>
      </c>
      <c r="D3341" s="3">
        <v>116201</v>
      </c>
      <c r="E3341" s="3" t="s">
        <v>27</v>
      </c>
      <c r="F3341" s="3">
        <v>581981</v>
      </c>
      <c r="G3341" s="3">
        <v>63405</v>
      </c>
      <c r="H3341" s="3">
        <v>493677</v>
      </c>
      <c r="I3341" s="3">
        <v>52796</v>
      </c>
    </row>
    <row r="3342" spans="1:9">
      <c r="A3342" s="3" t="s">
        <v>3367</v>
      </c>
      <c r="B3342" s="3" t="s">
        <v>26</v>
      </c>
      <c r="C3342" s="3">
        <v>603365</v>
      </c>
      <c r="D3342" s="3">
        <v>4950</v>
      </c>
      <c r="E3342" s="3" t="s">
        <v>27</v>
      </c>
      <c r="F3342" s="3">
        <v>322749</v>
      </c>
      <c r="G3342" s="3">
        <v>2355</v>
      </c>
      <c r="H3342" s="3">
        <v>280616</v>
      </c>
      <c r="I3342" s="3">
        <v>2595</v>
      </c>
    </row>
    <row r="3343" spans="1:9">
      <c r="A3343" s="3" t="s">
        <v>3368</v>
      </c>
      <c r="B3343" s="3" t="s">
        <v>26</v>
      </c>
      <c r="C3343" s="3">
        <v>1645662</v>
      </c>
      <c r="D3343" s="3">
        <v>408070</v>
      </c>
      <c r="E3343" s="3" t="s">
        <v>27</v>
      </c>
      <c r="F3343" s="3">
        <v>1261296</v>
      </c>
      <c r="G3343" s="3">
        <v>309859</v>
      </c>
      <c r="H3343" s="3">
        <v>384366</v>
      </c>
      <c r="I3343" s="3">
        <v>98211</v>
      </c>
    </row>
    <row r="3344" spans="1:9">
      <c r="A3344" s="3" t="s">
        <v>3369</v>
      </c>
      <c r="B3344" s="3" t="s">
        <v>26</v>
      </c>
      <c r="C3344" s="3">
        <v>1139688</v>
      </c>
      <c r="D3344" s="3">
        <v>194075</v>
      </c>
      <c r="E3344" s="3" t="s">
        <v>27</v>
      </c>
      <c r="F3344" s="3">
        <v>711092</v>
      </c>
      <c r="G3344" s="3">
        <v>136006</v>
      </c>
      <c r="H3344" s="3">
        <v>428596</v>
      </c>
      <c r="I3344" s="3">
        <v>58069</v>
      </c>
    </row>
    <row r="3345" spans="1:9">
      <c r="A3345" s="3" t="s">
        <v>3370</v>
      </c>
      <c r="B3345" s="3" t="s">
        <v>26</v>
      </c>
      <c r="C3345" s="3">
        <v>1075221</v>
      </c>
      <c r="D3345" s="3">
        <v>58809</v>
      </c>
      <c r="E3345" s="3" t="s">
        <v>27</v>
      </c>
      <c r="F3345" s="3">
        <v>590857</v>
      </c>
      <c r="G3345" s="3">
        <v>31990</v>
      </c>
      <c r="H3345" s="3">
        <v>484364</v>
      </c>
      <c r="I3345" s="3">
        <v>26819</v>
      </c>
    </row>
    <row r="3346" spans="1:9">
      <c r="A3346" s="3" t="s">
        <v>3371</v>
      </c>
      <c r="B3346" s="3" t="s">
        <v>26</v>
      </c>
      <c r="C3346" s="3">
        <v>1531425</v>
      </c>
      <c r="D3346" s="3">
        <v>308950</v>
      </c>
      <c r="E3346" s="3" t="s">
        <v>27</v>
      </c>
      <c r="F3346" s="3">
        <v>1017300</v>
      </c>
      <c r="G3346" s="3">
        <v>211022</v>
      </c>
      <c r="H3346" s="3">
        <v>514125</v>
      </c>
      <c r="I3346" s="3">
        <v>97928</v>
      </c>
    </row>
    <row r="3347" spans="1:9">
      <c r="A3347" s="3" t="s">
        <v>3372</v>
      </c>
      <c r="B3347" s="3" t="s">
        <v>26</v>
      </c>
      <c r="C3347" s="3">
        <v>2234561</v>
      </c>
      <c r="D3347" s="3">
        <v>793533</v>
      </c>
      <c r="E3347" s="3" t="s">
        <v>27</v>
      </c>
      <c r="F3347" s="3">
        <v>1784763</v>
      </c>
      <c r="G3347" s="3">
        <v>616413</v>
      </c>
      <c r="H3347" s="3">
        <v>449798</v>
      </c>
      <c r="I3347" s="3">
        <v>177120</v>
      </c>
    </row>
    <row r="3348" spans="1:9">
      <c r="A3348" s="3" t="s">
        <v>3373</v>
      </c>
      <c r="B3348" s="3" t="s">
        <v>26</v>
      </c>
      <c r="C3348" s="3">
        <v>1822383</v>
      </c>
      <c r="D3348" s="3">
        <v>371832</v>
      </c>
      <c r="E3348" s="3" t="s">
        <v>27</v>
      </c>
      <c r="F3348" s="3">
        <v>1160320</v>
      </c>
      <c r="G3348" s="3">
        <v>248789</v>
      </c>
      <c r="H3348" s="3">
        <v>662063</v>
      </c>
      <c r="I3348" s="3">
        <v>123043</v>
      </c>
    </row>
    <row r="3349" spans="1:9">
      <c r="A3349" s="3" t="s">
        <v>3374</v>
      </c>
      <c r="B3349" s="3" t="s">
        <v>26</v>
      </c>
      <c r="C3349" s="3">
        <v>1285114</v>
      </c>
      <c r="D3349" s="3">
        <v>24500</v>
      </c>
      <c r="E3349" s="3" t="s">
        <v>27</v>
      </c>
      <c r="F3349" s="3">
        <v>669044</v>
      </c>
      <c r="G3349" s="3">
        <v>15101</v>
      </c>
      <c r="H3349" s="3">
        <v>616070</v>
      </c>
      <c r="I3349" s="3">
        <v>9399</v>
      </c>
    </row>
    <row r="3350" spans="1:9">
      <c r="A3350" s="3" t="s">
        <v>3375</v>
      </c>
      <c r="B3350" s="3" t="s">
        <v>26</v>
      </c>
      <c r="C3350" s="3">
        <v>2165713</v>
      </c>
      <c r="D3350" s="3">
        <v>697730</v>
      </c>
      <c r="E3350" s="3" t="s">
        <v>27</v>
      </c>
      <c r="F3350" s="3">
        <v>1683820</v>
      </c>
      <c r="G3350" s="3">
        <v>523794</v>
      </c>
      <c r="H3350" s="3">
        <v>481893</v>
      </c>
      <c r="I3350" s="3">
        <v>173936</v>
      </c>
    </row>
    <row r="3351" spans="1:9">
      <c r="A3351" s="3" t="s">
        <v>3376</v>
      </c>
      <c r="B3351" s="3" t="s">
        <v>26</v>
      </c>
      <c r="C3351" s="3">
        <v>1175331</v>
      </c>
      <c r="D3351" s="3">
        <v>239226</v>
      </c>
      <c r="E3351" s="3" t="s">
        <v>27</v>
      </c>
      <c r="F3351" s="3">
        <v>861836</v>
      </c>
      <c r="G3351" s="3">
        <v>169661</v>
      </c>
      <c r="H3351" s="3">
        <v>313495</v>
      </c>
      <c r="I3351" s="3">
        <v>69565</v>
      </c>
    </row>
    <row r="3352" spans="1:9">
      <c r="A3352" s="3" t="s">
        <v>3377</v>
      </c>
      <c r="B3352" s="3" t="s">
        <v>26</v>
      </c>
      <c r="C3352" s="3">
        <v>710534</v>
      </c>
      <c r="D3352" s="3">
        <v>7453</v>
      </c>
      <c r="E3352" s="3" t="s">
        <v>27</v>
      </c>
      <c r="F3352" s="3">
        <v>403834</v>
      </c>
      <c r="G3352" s="3">
        <v>5391</v>
      </c>
      <c r="H3352" s="3">
        <v>306700</v>
      </c>
      <c r="I3352" s="3">
        <v>2062</v>
      </c>
    </row>
    <row r="3353" spans="1:9">
      <c r="A3353" s="3" t="s">
        <v>3378</v>
      </c>
      <c r="B3353" s="3" t="s">
        <v>26</v>
      </c>
      <c r="C3353" s="3">
        <v>760957</v>
      </c>
      <c r="D3353" s="3">
        <v>35995</v>
      </c>
      <c r="E3353" s="3" t="s">
        <v>27</v>
      </c>
      <c r="F3353" s="3">
        <v>427633</v>
      </c>
      <c r="G3353" s="3">
        <v>21212</v>
      </c>
      <c r="H3353" s="3">
        <v>333324</v>
      </c>
      <c r="I3353" s="3">
        <v>14783</v>
      </c>
    </row>
    <row r="3354" spans="1:9">
      <c r="A3354" s="3" t="s">
        <v>3379</v>
      </c>
      <c r="B3354" s="3" t="s">
        <v>26</v>
      </c>
      <c r="C3354" s="3">
        <v>2106334</v>
      </c>
      <c r="D3354" s="3">
        <v>720472</v>
      </c>
      <c r="E3354" s="3" t="s">
        <v>27</v>
      </c>
      <c r="F3354" s="3">
        <v>1647492</v>
      </c>
      <c r="G3354" s="3">
        <v>532534</v>
      </c>
      <c r="H3354" s="3">
        <v>458842</v>
      </c>
      <c r="I3354" s="3">
        <v>187938</v>
      </c>
    </row>
    <row r="3355" spans="1:9">
      <c r="A3355" s="3" t="s">
        <v>3380</v>
      </c>
      <c r="B3355" s="3" t="s">
        <v>26</v>
      </c>
      <c r="C3355" s="3">
        <v>1433612</v>
      </c>
      <c r="D3355" s="3">
        <v>122320</v>
      </c>
      <c r="E3355" s="3" t="s">
        <v>27</v>
      </c>
      <c r="F3355" s="3">
        <v>771229</v>
      </c>
      <c r="G3355" s="3">
        <v>65410</v>
      </c>
      <c r="H3355" s="3">
        <v>662383</v>
      </c>
      <c r="I3355" s="3">
        <v>56910</v>
      </c>
    </row>
    <row r="3356" spans="1:9">
      <c r="A3356" s="3" t="s">
        <v>3381</v>
      </c>
      <c r="B3356" s="3" t="s">
        <v>26</v>
      </c>
      <c r="C3356" s="3">
        <v>1979439</v>
      </c>
      <c r="D3356" s="3">
        <v>300986</v>
      </c>
      <c r="E3356" s="3" t="s">
        <v>27</v>
      </c>
      <c r="F3356" s="3">
        <v>1817602</v>
      </c>
      <c r="G3356" s="3">
        <v>251895</v>
      </c>
      <c r="H3356" s="3">
        <v>161837</v>
      </c>
      <c r="I3356" s="3">
        <v>49091</v>
      </c>
    </row>
    <row r="3357" spans="1:9">
      <c r="A3357" s="3" t="s">
        <v>3382</v>
      </c>
      <c r="B3357" s="3" t="s">
        <v>26</v>
      </c>
      <c r="C3357" s="3">
        <v>1441987</v>
      </c>
      <c r="D3357" s="3">
        <v>289402</v>
      </c>
      <c r="E3357" s="3" t="s">
        <v>27</v>
      </c>
      <c r="F3357" s="3">
        <v>964591</v>
      </c>
      <c r="G3357" s="3">
        <v>204450</v>
      </c>
      <c r="H3357" s="3">
        <v>477396</v>
      </c>
      <c r="I3357" s="3">
        <v>84952</v>
      </c>
    </row>
    <row r="3358" spans="1:9">
      <c r="A3358" s="3" t="s">
        <v>3383</v>
      </c>
      <c r="B3358" s="3" t="s">
        <v>26</v>
      </c>
      <c r="C3358" s="3">
        <v>1966429</v>
      </c>
      <c r="D3358" s="3">
        <v>633483</v>
      </c>
      <c r="E3358" s="3" t="s">
        <v>27</v>
      </c>
      <c r="F3358" s="3">
        <v>1653946</v>
      </c>
      <c r="G3358" s="3">
        <v>520561</v>
      </c>
      <c r="H3358" s="3">
        <v>312483</v>
      </c>
      <c r="I3358" s="3">
        <v>112922</v>
      </c>
    </row>
    <row r="3359" spans="1:9">
      <c r="A3359" s="3" t="s">
        <v>3384</v>
      </c>
      <c r="B3359" s="3" t="s">
        <v>26</v>
      </c>
      <c r="C3359" s="3">
        <v>787735</v>
      </c>
      <c r="D3359" s="3">
        <v>957</v>
      </c>
      <c r="E3359" s="3" t="s">
        <v>27</v>
      </c>
      <c r="F3359" s="3">
        <v>334307</v>
      </c>
      <c r="G3359" s="3">
        <v>34</v>
      </c>
      <c r="H3359" s="3">
        <v>453428</v>
      </c>
      <c r="I3359" s="3">
        <v>923</v>
      </c>
    </row>
    <row r="3360" spans="1:9">
      <c r="A3360" s="3" t="s">
        <v>3385</v>
      </c>
      <c r="B3360" s="3" t="s">
        <v>26</v>
      </c>
      <c r="C3360" s="3">
        <v>1425802</v>
      </c>
      <c r="D3360" s="3">
        <v>22254</v>
      </c>
      <c r="E3360" s="3" t="s">
        <v>27</v>
      </c>
      <c r="F3360" s="3">
        <v>736907</v>
      </c>
      <c r="G3360" s="3">
        <v>14077</v>
      </c>
      <c r="H3360" s="3">
        <v>688895</v>
      </c>
      <c r="I3360" s="3">
        <v>8177</v>
      </c>
    </row>
    <row r="3361" spans="1:9">
      <c r="A3361" s="3" t="s">
        <v>3386</v>
      </c>
      <c r="B3361" s="3" t="s">
        <v>26</v>
      </c>
      <c r="C3361" s="3">
        <v>1719988</v>
      </c>
      <c r="D3361" s="3">
        <v>486261</v>
      </c>
      <c r="E3361" s="3" t="s">
        <v>27</v>
      </c>
      <c r="F3361" s="3">
        <v>1400884</v>
      </c>
      <c r="G3361" s="3">
        <v>382775</v>
      </c>
      <c r="H3361" s="3">
        <v>319104</v>
      </c>
      <c r="I3361" s="3">
        <v>103486</v>
      </c>
    </row>
    <row r="3362" spans="1:9">
      <c r="A3362" s="3" t="s">
        <v>3387</v>
      </c>
      <c r="B3362" s="3" t="s">
        <v>26</v>
      </c>
      <c r="C3362" s="3">
        <v>2034388</v>
      </c>
      <c r="D3362" s="3">
        <v>625844</v>
      </c>
      <c r="E3362" s="3" t="s">
        <v>27</v>
      </c>
      <c r="F3362" s="3">
        <v>1520438</v>
      </c>
      <c r="G3362" s="3">
        <v>451132</v>
      </c>
      <c r="H3362" s="3">
        <v>513950</v>
      </c>
      <c r="I3362" s="3">
        <v>174712</v>
      </c>
    </row>
    <row r="3363" spans="1:9">
      <c r="A3363" s="3" t="s">
        <v>3388</v>
      </c>
      <c r="B3363" s="3" t="s">
        <v>26</v>
      </c>
      <c r="C3363" s="3">
        <v>2062163</v>
      </c>
      <c r="D3363" s="3">
        <v>675098</v>
      </c>
      <c r="E3363" s="3" t="s">
        <v>27</v>
      </c>
      <c r="F3363" s="3">
        <v>1575917</v>
      </c>
      <c r="G3363" s="3">
        <v>495555</v>
      </c>
      <c r="H3363" s="3">
        <v>486246</v>
      </c>
      <c r="I3363" s="3">
        <v>179543</v>
      </c>
    </row>
    <row r="3364" spans="1:9">
      <c r="A3364" s="3" t="s">
        <v>3389</v>
      </c>
      <c r="B3364" s="3" t="s">
        <v>26</v>
      </c>
      <c r="C3364" s="3">
        <v>762125</v>
      </c>
      <c r="D3364" s="3">
        <v>4153</v>
      </c>
      <c r="E3364" s="3" t="s">
        <v>27</v>
      </c>
      <c r="F3364" s="3">
        <v>347800</v>
      </c>
      <c r="G3364" s="3">
        <v>669</v>
      </c>
      <c r="H3364" s="3">
        <v>414325</v>
      </c>
      <c r="I3364" s="3">
        <v>3484</v>
      </c>
    </row>
    <row r="3365" spans="1:9">
      <c r="A3365" s="3" t="s">
        <v>3390</v>
      </c>
      <c r="B3365" s="3" t="s">
        <v>26</v>
      </c>
      <c r="C3365" s="3">
        <v>2033985</v>
      </c>
      <c r="D3365" s="3">
        <v>659985</v>
      </c>
      <c r="E3365" s="3" t="s">
        <v>27</v>
      </c>
      <c r="F3365" s="3">
        <v>1550158</v>
      </c>
      <c r="G3365" s="3">
        <v>493851</v>
      </c>
      <c r="H3365" s="3">
        <v>483827</v>
      </c>
      <c r="I3365" s="3">
        <v>166134</v>
      </c>
    </row>
    <row r="3366" spans="1:9">
      <c r="A3366" s="3" t="s">
        <v>3391</v>
      </c>
      <c r="B3366" s="3" t="s">
        <v>26</v>
      </c>
      <c r="C3366" s="3">
        <v>2098477</v>
      </c>
      <c r="D3366" s="3">
        <v>693544</v>
      </c>
      <c r="E3366" s="3" t="s">
        <v>27</v>
      </c>
      <c r="F3366" s="3">
        <v>1497664</v>
      </c>
      <c r="G3366" s="3">
        <v>487470</v>
      </c>
      <c r="H3366" s="3">
        <v>600813</v>
      </c>
      <c r="I3366" s="3">
        <v>206074</v>
      </c>
    </row>
    <row r="3367" spans="1:9">
      <c r="A3367" s="3" t="s">
        <v>3392</v>
      </c>
      <c r="B3367" s="3" t="s">
        <v>26</v>
      </c>
      <c r="C3367" s="3">
        <v>2195198</v>
      </c>
      <c r="D3367" s="3">
        <v>757967</v>
      </c>
      <c r="E3367" s="3" t="s">
        <v>27</v>
      </c>
      <c r="F3367" s="3">
        <v>1649767</v>
      </c>
      <c r="G3367" s="3">
        <v>539093</v>
      </c>
      <c r="H3367" s="3">
        <v>545431</v>
      </c>
      <c r="I3367" s="3">
        <v>218874</v>
      </c>
    </row>
    <row r="3368" spans="1:9">
      <c r="A3368" s="3" t="s">
        <v>3393</v>
      </c>
      <c r="B3368" s="3" t="s">
        <v>26</v>
      </c>
      <c r="C3368" s="3">
        <v>878076</v>
      </c>
      <c r="D3368" s="3">
        <v>7685</v>
      </c>
      <c r="E3368" s="3" t="s">
        <v>27</v>
      </c>
      <c r="F3368" s="3">
        <v>449526</v>
      </c>
      <c r="G3368" s="3">
        <v>3960</v>
      </c>
      <c r="H3368" s="3">
        <v>428550</v>
      </c>
      <c r="I3368" s="3">
        <v>3725</v>
      </c>
    </row>
    <row r="3369" spans="1:9">
      <c r="A3369" s="3" t="s">
        <v>3394</v>
      </c>
      <c r="B3369" s="3" t="s">
        <v>26</v>
      </c>
      <c r="C3369" s="3">
        <v>1854300</v>
      </c>
      <c r="D3369" s="3">
        <v>424241</v>
      </c>
      <c r="E3369" s="3" t="s">
        <v>27</v>
      </c>
      <c r="F3369" s="3">
        <v>1242290</v>
      </c>
      <c r="G3369" s="3">
        <v>288218</v>
      </c>
      <c r="H3369" s="3">
        <v>612010</v>
      </c>
      <c r="I3369" s="3">
        <v>136023</v>
      </c>
    </row>
    <row r="3370" spans="1:9">
      <c r="A3370" s="3" t="s">
        <v>3395</v>
      </c>
      <c r="B3370" s="3" t="s">
        <v>26</v>
      </c>
      <c r="C3370" s="3">
        <v>1729303</v>
      </c>
      <c r="D3370" s="3">
        <v>227671</v>
      </c>
      <c r="E3370" s="3" t="s">
        <v>27</v>
      </c>
      <c r="F3370" s="3">
        <v>1070828</v>
      </c>
      <c r="G3370" s="3">
        <v>152901</v>
      </c>
      <c r="H3370" s="3">
        <v>658475</v>
      </c>
      <c r="I3370" s="3">
        <v>74770</v>
      </c>
    </row>
    <row r="3371" spans="1:9">
      <c r="A3371" s="3" t="s">
        <v>3396</v>
      </c>
      <c r="B3371" s="3" t="s">
        <v>26</v>
      </c>
      <c r="C3371" s="3">
        <v>1617440</v>
      </c>
      <c r="D3371" s="3">
        <v>321615</v>
      </c>
      <c r="E3371" s="3" t="s">
        <v>27</v>
      </c>
      <c r="F3371" s="3">
        <v>965606</v>
      </c>
      <c r="G3371" s="3">
        <v>199439</v>
      </c>
      <c r="H3371" s="3">
        <v>651834</v>
      </c>
      <c r="I3371" s="3">
        <v>122176</v>
      </c>
    </row>
    <row r="3372" spans="1:9">
      <c r="A3372" s="3" t="s">
        <v>3397</v>
      </c>
      <c r="B3372" s="3" t="s">
        <v>26</v>
      </c>
      <c r="C3372" s="3">
        <v>2205309</v>
      </c>
      <c r="D3372" s="3">
        <v>712546</v>
      </c>
      <c r="E3372" s="3" t="s">
        <v>27</v>
      </c>
      <c r="F3372" s="3">
        <v>1666465</v>
      </c>
      <c r="G3372" s="3">
        <v>518215</v>
      </c>
      <c r="H3372" s="3">
        <v>538844</v>
      </c>
      <c r="I3372" s="3">
        <v>194331</v>
      </c>
    </row>
    <row r="3373" spans="1:9">
      <c r="A3373" s="3" t="s">
        <v>3398</v>
      </c>
      <c r="B3373" s="3" t="s">
        <v>26</v>
      </c>
      <c r="C3373" s="3">
        <v>1349814</v>
      </c>
      <c r="D3373" s="3">
        <v>306855</v>
      </c>
      <c r="E3373" s="3" t="s">
        <v>27</v>
      </c>
      <c r="F3373" s="3">
        <v>1045611</v>
      </c>
      <c r="G3373" s="3">
        <v>211530</v>
      </c>
      <c r="H3373" s="3">
        <v>304203</v>
      </c>
      <c r="I3373" s="3">
        <v>95325</v>
      </c>
    </row>
    <row r="3374" spans="1:9">
      <c r="A3374" s="3" t="s">
        <v>3399</v>
      </c>
      <c r="B3374" s="3" t="s">
        <v>26</v>
      </c>
      <c r="C3374" s="3">
        <v>1547788</v>
      </c>
      <c r="D3374" s="3">
        <v>410983</v>
      </c>
      <c r="E3374" s="3" t="s">
        <v>27</v>
      </c>
      <c r="F3374" s="3">
        <v>1358794</v>
      </c>
      <c r="G3374" s="3">
        <v>339903</v>
      </c>
      <c r="H3374" s="3">
        <v>188994</v>
      </c>
      <c r="I3374" s="3">
        <v>71080</v>
      </c>
    </row>
    <row r="3375" spans="1:9">
      <c r="A3375" s="3" t="s">
        <v>3400</v>
      </c>
      <c r="B3375" s="3" t="s">
        <v>26</v>
      </c>
      <c r="C3375" s="3">
        <v>1405190</v>
      </c>
      <c r="D3375" s="3">
        <v>79722</v>
      </c>
      <c r="E3375" s="3" t="s">
        <v>27</v>
      </c>
      <c r="F3375" s="3">
        <v>764909</v>
      </c>
      <c r="G3375" s="3">
        <v>48099</v>
      </c>
      <c r="H3375" s="3">
        <v>640281</v>
      </c>
      <c r="I3375" s="3">
        <v>31623</v>
      </c>
    </row>
    <row r="3376" spans="1:9">
      <c r="A3376" s="3" t="s">
        <v>3401</v>
      </c>
      <c r="B3376" s="3" t="s">
        <v>26</v>
      </c>
      <c r="C3376" s="3">
        <v>1973206</v>
      </c>
      <c r="D3376" s="3">
        <v>529541</v>
      </c>
      <c r="E3376" s="3" t="s">
        <v>27</v>
      </c>
      <c r="F3376" s="3">
        <v>1252557</v>
      </c>
      <c r="G3376" s="3">
        <v>351560</v>
      </c>
      <c r="H3376" s="3">
        <v>720649</v>
      </c>
      <c r="I3376" s="3">
        <v>177981</v>
      </c>
    </row>
    <row r="3377" spans="1:9">
      <c r="A3377" s="3" t="s">
        <v>3402</v>
      </c>
      <c r="B3377" s="3" t="s">
        <v>26</v>
      </c>
      <c r="C3377" s="3">
        <v>1843085</v>
      </c>
      <c r="D3377" s="3">
        <v>46343</v>
      </c>
      <c r="E3377" s="3" t="s">
        <v>27</v>
      </c>
      <c r="F3377" s="3">
        <v>952875</v>
      </c>
      <c r="G3377" s="3">
        <v>19295</v>
      </c>
      <c r="H3377" s="3">
        <v>890210</v>
      </c>
      <c r="I3377" s="3">
        <v>27048</v>
      </c>
    </row>
    <row r="3378" spans="1:9">
      <c r="A3378" s="3" t="s">
        <v>3403</v>
      </c>
      <c r="B3378" s="3" t="s">
        <v>26</v>
      </c>
      <c r="C3378" s="3">
        <v>2287167</v>
      </c>
      <c r="D3378" s="3">
        <v>553420</v>
      </c>
      <c r="E3378" s="3" t="s">
        <v>27</v>
      </c>
      <c r="F3378" s="3">
        <v>1519568</v>
      </c>
      <c r="G3378" s="3">
        <v>394720</v>
      </c>
      <c r="H3378" s="3">
        <v>767599</v>
      </c>
      <c r="I3378" s="3">
        <v>158700</v>
      </c>
    </row>
    <row r="3379" spans="1:9">
      <c r="A3379" s="3" t="s">
        <v>3404</v>
      </c>
      <c r="B3379" s="3" t="s">
        <v>26</v>
      </c>
      <c r="C3379" s="3">
        <v>1427514</v>
      </c>
      <c r="D3379" s="3">
        <v>28784</v>
      </c>
      <c r="E3379" s="3" t="s">
        <v>27</v>
      </c>
      <c r="F3379" s="3">
        <v>736707</v>
      </c>
      <c r="G3379" s="3">
        <v>11301</v>
      </c>
      <c r="H3379" s="3">
        <v>690807</v>
      </c>
      <c r="I3379" s="3">
        <v>17483</v>
      </c>
    </row>
    <row r="3380" spans="1:9">
      <c r="A3380" s="3" t="s">
        <v>3405</v>
      </c>
      <c r="B3380" s="3" t="s">
        <v>26</v>
      </c>
      <c r="C3380" s="3">
        <v>1485452</v>
      </c>
      <c r="D3380" s="3">
        <v>356860</v>
      </c>
      <c r="E3380" s="3" t="s">
        <v>27</v>
      </c>
      <c r="F3380" s="3">
        <v>1181329</v>
      </c>
      <c r="G3380" s="3">
        <v>301765</v>
      </c>
      <c r="H3380" s="3">
        <v>304123</v>
      </c>
      <c r="I3380" s="3">
        <v>55095</v>
      </c>
    </row>
    <row r="3381" spans="1:9">
      <c r="A3381" s="3" t="s">
        <v>3406</v>
      </c>
      <c r="B3381" s="3" t="s">
        <v>26</v>
      </c>
      <c r="C3381" s="3">
        <v>2472944</v>
      </c>
      <c r="D3381" s="3">
        <v>723038</v>
      </c>
      <c r="E3381" s="3" t="s">
        <v>27</v>
      </c>
      <c r="F3381" s="3">
        <v>1855351</v>
      </c>
      <c r="G3381" s="3">
        <v>518346</v>
      </c>
      <c r="H3381" s="3">
        <v>617593</v>
      </c>
      <c r="I3381" s="3">
        <v>204692</v>
      </c>
    </row>
    <row r="3382" spans="1:9">
      <c r="A3382" s="3" t="s">
        <v>3407</v>
      </c>
      <c r="B3382" s="3" t="s">
        <v>26</v>
      </c>
      <c r="C3382" s="3">
        <v>738956</v>
      </c>
      <c r="D3382" s="3">
        <v>8849</v>
      </c>
      <c r="E3382" s="3" t="s">
        <v>27</v>
      </c>
      <c r="F3382" s="3">
        <v>437153</v>
      </c>
      <c r="G3382" s="3">
        <v>3506</v>
      </c>
      <c r="H3382" s="3">
        <v>301803</v>
      </c>
      <c r="I3382" s="3">
        <v>5343</v>
      </c>
    </row>
    <row r="3383" spans="1:9">
      <c r="A3383" s="3" t="s">
        <v>3408</v>
      </c>
      <c r="B3383" s="3" t="s">
        <v>26</v>
      </c>
      <c r="C3383" s="3">
        <v>1990439</v>
      </c>
      <c r="D3383" s="3">
        <v>424882</v>
      </c>
      <c r="E3383" s="3" t="s">
        <v>27</v>
      </c>
      <c r="F3383" s="3">
        <v>1449565</v>
      </c>
      <c r="G3383" s="3">
        <v>299266</v>
      </c>
      <c r="H3383" s="3">
        <v>540874</v>
      </c>
      <c r="I3383" s="3">
        <v>125616</v>
      </c>
    </row>
    <row r="3384" spans="1:9">
      <c r="A3384" s="3" t="s">
        <v>3409</v>
      </c>
      <c r="B3384" s="3" t="s">
        <v>26</v>
      </c>
      <c r="C3384" s="3">
        <v>2808886</v>
      </c>
      <c r="D3384" s="3">
        <v>898001</v>
      </c>
      <c r="E3384" s="3" t="s">
        <v>27</v>
      </c>
      <c r="F3384" s="3">
        <v>1995281</v>
      </c>
      <c r="G3384" s="3">
        <v>617612</v>
      </c>
      <c r="H3384" s="3">
        <v>813605</v>
      </c>
      <c r="I3384" s="3">
        <v>280389</v>
      </c>
    </row>
    <row r="3385" spans="1:9">
      <c r="A3385" s="3" t="s">
        <v>3410</v>
      </c>
      <c r="B3385" s="3" t="s">
        <v>26</v>
      </c>
      <c r="C3385" s="3">
        <v>1508073</v>
      </c>
      <c r="D3385" s="3">
        <v>208015</v>
      </c>
      <c r="E3385" s="3" t="s">
        <v>27</v>
      </c>
      <c r="F3385" s="3">
        <v>1007970</v>
      </c>
      <c r="G3385" s="3">
        <v>151243</v>
      </c>
      <c r="H3385" s="3">
        <v>500103</v>
      </c>
      <c r="I3385" s="3">
        <v>56772</v>
      </c>
    </row>
    <row r="3386" spans="1:9">
      <c r="A3386" s="3" t="s">
        <v>3411</v>
      </c>
      <c r="B3386" s="3" t="s">
        <v>26</v>
      </c>
      <c r="C3386" s="3">
        <v>2323146</v>
      </c>
      <c r="D3386" s="3">
        <v>595033</v>
      </c>
      <c r="E3386" s="3" t="s">
        <v>27</v>
      </c>
      <c r="F3386" s="3">
        <v>1550376</v>
      </c>
      <c r="G3386" s="3">
        <v>402195</v>
      </c>
      <c r="H3386" s="3">
        <v>772770</v>
      </c>
      <c r="I3386" s="3">
        <v>192838</v>
      </c>
    </row>
    <row r="3387" spans="1:9">
      <c r="A3387" s="3" t="s">
        <v>3412</v>
      </c>
      <c r="B3387" s="3" t="s">
        <v>26</v>
      </c>
      <c r="C3387" s="3">
        <v>2462760</v>
      </c>
      <c r="D3387" s="3">
        <v>749283</v>
      </c>
      <c r="E3387" s="3" t="s">
        <v>27</v>
      </c>
      <c r="F3387" s="3">
        <v>1948371</v>
      </c>
      <c r="G3387" s="3">
        <v>555032</v>
      </c>
      <c r="H3387" s="3">
        <v>514389</v>
      </c>
      <c r="I3387" s="3">
        <v>194251</v>
      </c>
    </row>
    <row r="3388" spans="1:9">
      <c r="A3388" s="3" t="s">
        <v>3413</v>
      </c>
      <c r="B3388" s="3" t="s">
        <v>26</v>
      </c>
      <c r="C3388" s="3">
        <v>2099007</v>
      </c>
      <c r="D3388" s="3">
        <v>487062</v>
      </c>
      <c r="E3388" s="3" t="s">
        <v>27</v>
      </c>
      <c r="F3388" s="3">
        <v>1434794</v>
      </c>
      <c r="G3388" s="3">
        <v>301620</v>
      </c>
      <c r="H3388" s="3">
        <v>664213</v>
      </c>
      <c r="I3388" s="3">
        <v>185442</v>
      </c>
    </row>
    <row r="3389" spans="1:9">
      <c r="A3389" s="3" t="s">
        <v>3414</v>
      </c>
      <c r="B3389" s="3" t="s">
        <v>26</v>
      </c>
      <c r="C3389" s="3">
        <v>1931946</v>
      </c>
      <c r="D3389" s="3">
        <v>515711</v>
      </c>
      <c r="E3389" s="3" t="s">
        <v>27</v>
      </c>
      <c r="F3389" s="3">
        <v>1459693</v>
      </c>
      <c r="G3389" s="3">
        <v>390849</v>
      </c>
      <c r="H3389" s="3">
        <v>472253</v>
      </c>
      <c r="I3389" s="3">
        <v>124862</v>
      </c>
    </row>
    <row r="3390" spans="1:9">
      <c r="A3390" s="3" t="s">
        <v>3415</v>
      </c>
      <c r="B3390" s="3" t="s">
        <v>26</v>
      </c>
      <c r="C3390" s="3">
        <v>1715306</v>
      </c>
      <c r="D3390" s="3">
        <v>179357</v>
      </c>
      <c r="E3390" s="3" t="s">
        <v>27</v>
      </c>
      <c r="F3390" s="3">
        <v>1054508</v>
      </c>
      <c r="G3390" s="3">
        <v>112744</v>
      </c>
      <c r="H3390" s="3">
        <v>660798</v>
      </c>
      <c r="I3390" s="3">
        <v>66613</v>
      </c>
    </row>
    <row r="3391" spans="1:9">
      <c r="A3391" s="3" t="s">
        <v>3416</v>
      </c>
      <c r="B3391" s="3" t="s">
        <v>26</v>
      </c>
      <c r="C3391" s="3">
        <v>1429999</v>
      </c>
      <c r="D3391" s="3">
        <v>16321</v>
      </c>
      <c r="E3391" s="3" t="s">
        <v>27</v>
      </c>
      <c r="F3391" s="3">
        <v>754583</v>
      </c>
      <c r="G3391" s="3">
        <v>7953</v>
      </c>
      <c r="H3391" s="3">
        <v>675416</v>
      </c>
      <c r="I3391" s="3">
        <v>8368</v>
      </c>
    </row>
    <row r="3392" spans="1:9">
      <c r="A3392" s="3" t="s">
        <v>3417</v>
      </c>
      <c r="B3392" s="3" t="s">
        <v>26</v>
      </c>
      <c r="C3392" s="3">
        <v>1220212</v>
      </c>
      <c r="D3392" s="3">
        <v>66528</v>
      </c>
      <c r="E3392" s="3" t="s">
        <v>27</v>
      </c>
      <c r="F3392" s="3">
        <v>657852</v>
      </c>
      <c r="G3392" s="3">
        <v>42830</v>
      </c>
      <c r="H3392" s="3">
        <v>562360</v>
      </c>
      <c r="I3392" s="3">
        <v>23698</v>
      </c>
    </row>
    <row r="3393" spans="1:9">
      <c r="A3393" s="3" t="s">
        <v>3418</v>
      </c>
      <c r="B3393" s="3" t="s">
        <v>26</v>
      </c>
      <c r="C3393" s="3">
        <v>1768460</v>
      </c>
      <c r="D3393" s="3">
        <v>327737</v>
      </c>
      <c r="E3393" s="3" t="s">
        <v>27</v>
      </c>
      <c r="F3393" s="3">
        <v>1153317</v>
      </c>
      <c r="G3393" s="3">
        <v>215225</v>
      </c>
      <c r="H3393" s="3">
        <v>615143</v>
      </c>
      <c r="I3393" s="3">
        <v>112512</v>
      </c>
    </row>
    <row r="3394" spans="1:9">
      <c r="A3394" s="3" t="s">
        <v>3419</v>
      </c>
      <c r="B3394" s="3" t="s">
        <v>26</v>
      </c>
      <c r="C3394" s="3">
        <v>2105860</v>
      </c>
      <c r="D3394" s="3">
        <v>470950</v>
      </c>
      <c r="E3394" s="3" t="s">
        <v>27</v>
      </c>
      <c r="F3394" s="3">
        <v>1330129</v>
      </c>
      <c r="G3394" s="3">
        <v>294776</v>
      </c>
      <c r="H3394" s="3">
        <v>775731</v>
      </c>
      <c r="I3394" s="3">
        <v>176174</v>
      </c>
    </row>
    <row r="3395" spans="1:9">
      <c r="A3395" s="3" t="s">
        <v>3420</v>
      </c>
      <c r="B3395" s="3" t="s">
        <v>26</v>
      </c>
      <c r="C3395" s="3">
        <v>1897814</v>
      </c>
      <c r="D3395" s="3">
        <v>436178</v>
      </c>
      <c r="E3395" s="3" t="s">
        <v>27</v>
      </c>
      <c r="F3395" s="3">
        <v>1424512</v>
      </c>
      <c r="G3395" s="3">
        <v>314280</v>
      </c>
      <c r="H3395" s="3">
        <v>473302</v>
      </c>
      <c r="I3395" s="3">
        <v>121898</v>
      </c>
    </row>
    <row r="3396" spans="1:9">
      <c r="A3396" s="3" t="s">
        <v>3421</v>
      </c>
      <c r="B3396" s="3" t="s">
        <v>26</v>
      </c>
      <c r="C3396" s="3">
        <v>2147746</v>
      </c>
      <c r="D3396" s="3">
        <v>613803</v>
      </c>
      <c r="E3396" s="3" t="s">
        <v>27</v>
      </c>
      <c r="F3396" s="3">
        <v>1612621</v>
      </c>
      <c r="G3396" s="3">
        <v>434429</v>
      </c>
      <c r="H3396" s="3">
        <v>535125</v>
      </c>
      <c r="I3396" s="3">
        <v>179374</v>
      </c>
    </row>
    <row r="3397" spans="1:9">
      <c r="A3397" s="3" t="s">
        <v>3422</v>
      </c>
      <c r="B3397" s="3" t="s">
        <v>26</v>
      </c>
      <c r="C3397" s="3">
        <v>1306440</v>
      </c>
      <c r="D3397" s="3">
        <v>108501</v>
      </c>
      <c r="E3397" s="3" t="s">
        <v>27</v>
      </c>
      <c r="F3397" s="3">
        <v>756645</v>
      </c>
      <c r="G3397" s="3">
        <v>67800</v>
      </c>
      <c r="H3397" s="3">
        <v>549795</v>
      </c>
      <c r="I3397" s="3">
        <v>40701</v>
      </c>
    </row>
    <row r="3398" spans="1:9">
      <c r="A3398" s="3" t="s">
        <v>3423</v>
      </c>
      <c r="B3398" s="3" t="s">
        <v>26</v>
      </c>
      <c r="C3398" s="3">
        <v>976345</v>
      </c>
      <c r="D3398" s="3">
        <v>34451</v>
      </c>
      <c r="E3398" s="3" t="s">
        <v>27</v>
      </c>
      <c r="F3398" s="3">
        <v>672977</v>
      </c>
      <c r="G3398" s="3">
        <v>23862</v>
      </c>
      <c r="H3398" s="3">
        <v>303368</v>
      </c>
      <c r="I3398" s="3">
        <v>10589</v>
      </c>
    </row>
    <row r="3399" spans="1:9">
      <c r="A3399" s="3" t="s">
        <v>3424</v>
      </c>
      <c r="B3399" s="3" t="s">
        <v>26</v>
      </c>
      <c r="C3399" s="3">
        <v>1422060</v>
      </c>
      <c r="D3399" s="3">
        <v>207161</v>
      </c>
      <c r="E3399" s="3" t="s">
        <v>27</v>
      </c>
      <c r="F3399" s="3">
        <v>1042950</v>
      </c>
      <c r="G3399" s="3">
        <v>164754</v>
      </c>
      <c r="H3399" s="3">
        <v>379110</v>
      </c>
      <c r="I3399" s="3">
        <v>42407</v>
      </c>
    </row>
    <row r="3400" spans="1:9">
      <c r="A3400" s="3" t="s">
        <v>3425</v>
      </c>
      <c r="B3400" s="3" t="s">
        <v>26</v>
      </c>
      <c r="C3400" s="3">
        <v>1113626</v>
      </c>
      <c r="D3400" s="3">
        <v>42339</v>
      </c>
      <c r="E3400" s="3" t="s">
        <v>27</v>
      </c>
      <c r="F3400" s="3">
        <v>653101</v>
      </c>
      <c r="G3400" s="3">
        <v>25443</v>
      </c>
      <c r="H3400" s="3">
        <v>460525</v>
      </c>
      <c r="I3400" s="3">
        <v>16896</v>
      </c>
    </row>
    <row r="3401" spans="1:9">
      <c r="A3401" s="3" t="s">
        <v>3426</v>
      </c>
      <c r="B3401" s="3" t="s">
        <v>26</v>
      </c>
      <c r="C3401" s="3">
        <v>2561112</v>
      </c>
      <c r="D3401" s="3">
        <v>718616</v>
      </c>
      <c r="E3401" s="3" t="s">
        <v>27</v>
      </c>
      <c r="F3401" s="3">
        <v>1891437</v>
      </c>
      <c r="G3401" s="3">
        <v>519782</v>
      </c>
      <c r="H3401" s="3">
        <v>669675</v>
      </c>
      <c r="I3401" s="3">
        <v>198834</v>
      </c>
    </row>
    <row r="3402" spans="1:9">
      <c r="A3402" s="3" t="s">
        <v>3427</v>
      </c>
      <c r="B3402" s="3" t="s">
        <v>26</v>
      </c>
      <c r="C3402" s="3">
        <v>2139715</v>
      </c>
      <c r="D3402" s="3">
        <v>538804</v>
      </c>
      <c r="E3402" s="3" t="s">
        <v>27</v>
      </c>
      <c r="F3402" s="3">
        <v>1594870</v>
      </c>
      <c r="G3402" s="3">
        <v>390010</v>
      </c>
      <c r="H3402" s="3">
        <v>544845</v>
      </c>
      <c r="I3402" s="3">
        <v>148794</v>
      </c>
    </row>
    <row r="3403" spans="1:9">
      <c r="A3403" s="3" t="s">
        <v>3428</v>
      </c>
      <c r="B3403" s="3" t="s">
        <v>26</v>
      </c>
      <c r="C3403" s="3">
        <v>1068720</v>
      </c>
      <c r="D3403" s="3">
        <v>7661</v>
      </c>
      <c r="E3403" s="3" t="s">
        <v>27</v>
      </c>
      <c r="F3403" s="3">
        <v>540259</v>
      </c>
      <c r="G3403" s="3">
        <v>3742</v>
      </c>
      <c r="H3403" s="3">
        <v>528461</v>
      </c>
      <c r="I3403" s="3">
        <v>3919</v>
      </c>
    </row>
    <row r="3404" spans="1:9">
      <c r="A3404" s="3" t="s">
        <v>3429</v>
      </c>
      <c r="B3404" s="3" t="s">
        <v>26</v>
      </c>
      <c r="C3404" s="3">
        <v>892865</v>
      </c>
      <c r="D3404" s="3">
        <v>6618</v>
      </c>
      <c r="E3404" s="3" t="s">
        <v>27</v>
      </c>
      <c r="F3404" s="3">
        <v>519594</v>
      </c>
      <c r="G3404" s="3">
        <v>2071</v>
      </c>
      <c r="H3404" s="3">
        <v>373271</v>
      </c>
      <c r="I3404" s="3">
        <v>4547</v>
      </c>
    </row>
    <row r="3405" spans="1:9">
      <c r="A3405" s="3" t="s">
        <v>3430</v>
      </c>
      <c r="B3405" s="3" t="s">
        <v>26</v>
      </c>
      <c r="C3405" s="3">
        <v>2628451</v>
      </c>
      <c r="D3405" s="3">
        <v>948907</v>
      </c>
      <c r="E3405" s="3" t="s">
        <v>27</v>
      </c>
      <c r="F3405" s="3">
        <v>2083724</v>
      </c>
      <c r="G3405" s="3">
        <v>708941</v>
      </c>
      <c r="H3405" s="3">
        <v>544727</v>
      </c>
      <c r="I3405" s="3">
        <v>239966</v>
      </c>
    </row>
    <row r="3406" spans="1:9">
      <c r="A3406" s="3" t="s">
        <v>3431</v>
      </c>
      <c r="B3406" s="3" t="s">
        <v>26</v>
      </c>
      <c r="C3406" s="3">
        <v>1626214</v>
      </c>
      <c r="D3406" s="3">
        <v>79382</v>
      </c>
      <c r="E3406" s="3" t="s">
        <v>27</v>
      </c>
      <c r="F3406" s="3">
        <v>959179</v>
      </c>
      <c r="G3406" s="3">
        <v>54747</v>
      </c>
      <c r="H3406" s="3">
        <v>667035</v>
      </c>
      <c r="I3406" s="3">
        <v>24635</v>
      </c>
    </row>
    <row r="3407" spans="1:9">
      <c r="A3407" s="3" t="s">
        <v>3432</v>
      </c>
      <c r="B3407" s="3" t="s">
        <v>26</v>
      </c>
      <c r="C3407" s="3">
        <v>2221455</v>
      </c>
      <c r="D3407" s="3">
        <v>594942</v>
      </c>
      <c r="E3407" s="3" t="s">
        <v>27</v>
      </c>
      <c r="F3407" s="3">
        <v>1641953</v>
      </c>
      <c r="G3407" s="3">
        <v>423070</v>
      </c>
      <c r="H3407" s="3">
        <v>579502</v>
      </c>
      <c r="I3407" s="3">
        <v>171872</v>
      </c>
    </row>
    <row r="3408" spans="1:9">
      <c r="A3408" s="3" t="s">
        <v>3433</v>
      </c>
      <c r="B3408" s="3" t="s">
        <v>26</v>
      </c>
      <c r="C3408" s="3">
        <v>2064483</v>
      </c>
      <c r="D3408" s="3">
        <v>407005</v>
      </c>
      <c r="E3408" s="3" t="s">
        <v>27</v>
      </c>
      <c r="F3408" s="3">
        <v>1314008</v>
      </c>
      <c r="G3408" s="3">
        <v>269387</v>
      </c>
      <c r="H3408" s="3">
        <v>750475</v>
      </c>
      <c r="I3408" s="3">
        <v>137618</v>
      </c>
    </row>
    <row r="3409" spans="1:9">
      <c r="A3409" s="3" t="s">
        <v>3434</v>
      </c>
      <c r="B3409" s="3" t="s">
        <v>26</v>
      </c>
      <c r="C3409" s="3">
        <v>1150554</v>
      </c>
      <c r="D3409" s="3">
        <v>100822</v>
      </c>
      <c r="E3409" s="3" t="s">
        <v>27</v>
      </c>
      <c r="F3409" s="3">
        <v>711882</v>
      </c>
      <c r="G3409" s="3">
        <v>68107</v>
      </c>
      <c r="H3409" s="3">
        <v>438672</v>
      </c>
      <c r="I3409" s="3">
        <v>32715</v>
      </c>
    </row>
    <row r="3410" spans="1:9">
      <c r="A3410" s="3" t="s">
        <v>3435</v>
      </c>
      <c r="B3410" s="3" t="s">
        <v>26</v>
      </c>
      <c r="C3410" s="3">
        <v>1378149</v>
      </c>
      <c r="D3410" s="3">
        <v>72879</v>
      </c>
      <c r="E3410" s="3" t="s">
        <v>27</v>
      </c>
      <c r="F3410" s="3">
        <v>790885</v>
      </c>
      <c r="G3410" s="3">
        <v>51662</v>
      </c>
      <c r="H3410" s="3">
        <v>587264</v>
      </c>
      <c r="I3410" s="3">
        <v>21217</v>
      </c>
    </row>
    <row r="3411" spans="1:9">
      <c r="A3411" s="3" t="s">
        <v>3436</v>
      </c>
      <c r="B3411" s="3" t="s">
        <v>26</v>
      </c>
      <c r="C3411" s="3">
        <v>1481658</v>
      </c>
      <c r="D3411" s="3">
        <v>304327</v>
      </c>
      <c r="E3411" s="3" t="s">
        <v>27</v>
      </c>
      <c r="F3411" s="3">
        <v>1117686</v>
      </c>
      <c r="G3411" s="3">
        <v>249729</v>
      </c>
      <c r="H3411" s="3">
        <v>363972</v>
      </c>
      <c r="I3411" s="3">
        <v>54598</v>
      </c>
    </row>
    <row r="3412" spans="1:9">
      <c r="A3412" s="3" t="s">
        <v>3437</v>
      </c>
      <c r="B3412" s="3" t="s">
        <v>26</v>
      </c>
      <c r="C3412" s="3">
        <v>2281956</v>
      </c>
      <c r="D3412" s="3">
        <v>616069</v>
      </c>
      <c r="E3412" s="3" t="s">
        <v>27</v>
      </c>
      <c r="F3412" s="3">
        <v>1665560</v>
      </c>
      <c r="G3412" s="3">
        <v>432333</v>
      </c>
      <c r="H3412" s="3">
        <v>616396</v>
      </c>
      <c r="I3412" s="3">
        <v>183736</v>
      </c>
    </row>
    <row r="3413" spans="1:9">
      <c r="A3413" s="3" t="s">
        <v>3438</v>
      </c>
      <c r="B3413" s="3" t="s">
        <v>26</v>
      </c>
      <c r="C3413" s="3">
        <v>1678399</v>
      </c>
      <c r="D3413" s="3">
        <v>219171</v>
      </c>
      <c r="E3413" s="3" t="s">
        <v>27</v>
      </c>
      <c r="F3413" s="3">
        <v>1090063</v>
      </c>
      <c r="G3413" s="3">
        <v>154981</v>
      </c>
      <c r="H3413" s="3">
        <v>588336</v>
      </c>
      <c r="I3413" s="3">
        <v>64190</v>
      </c>
    </row>
    <row r="3414" spans="1:9">
      <c r="A3414" s="3" t="s">
        <v>3439</v>
      </c>
      <c r="B3414" s="3" t="s">
        <v>26</v>
      </c>
      <c r="C3414" s="3">
        <v>2279041</v>
      </c>
      <c r="D3414" s="3">
        <v>694475</v>
      </c>
      <c r="E3414" s="3" t="s">
        <v>27</v>
      </c>
      <c r="F3414" s="3">
        <v>1774021</v>
      </c>
      <c r="G3414" s="3">
        <v>536927</v>
      </c>
      <c r="H3414" s="3">
        <v>505020</v>
      </c>
      <c r="I3414" s="3">
        <v>157548</v>
      </c>
    </row>
    <row r="3415" spans="1:9">
      <c r="A3415" s="3" t="s">
        <v>3440</v>
      </c>
      <c r="B3415" s="3" t="s">
        <v>26</v>
      </c>
      <c r="C3415" s="3">
        <v>2530573</v>
      </c>
      <c r="D3415" s="3">
        <v>775998</v>
      </c>
      <c r="E3415" s="3" t="s">
        <v>27</v>
      </c>
      <c r="F3415" s="3">
        <v>1753644</v>
      </c>
      <c r="G3415" s="3">
        <v>535313</v>
      </c>
      <c r="H3415" s="3">
        <v>776929</v>
      </c>
      <c r="I3415" s="3">
        <v>240685</v>
      </c>
    </row>
    <row r="3416" spans="1:9">
      <c r="A3416" s="3" t="s">
        <v>3441</v>
      </c>
      <c r="B3416" s="3" t="s">
        <v>26</v>
      </c>
      <c r="C3416" s="3">
        <v>1823918</v>
      </c>
      <c r="D3416" s="3">
        <v>417170</v>
      </c>
      <c r="E3416" s="3" t="s">
        <v>27</v>
      </c>
      <c r="F3416" s="3">
        <v>1096487</v>
      </c>
      <c r="G3416" s="3">
        <v>245518</v>
      </c>
      <c r="H3416" s="3">
        <v>727431</v>
      </c>
      <c r="I3416" s="3">
        <v>171652</v>
      </c>
    </row>
    <row r="3417" spans="1:9">
      <c r="A3417" s="3" t="s">
        <v>3442</v>
      </c>
      <c r="B3417" s="3" t="s">
        <v>26</v>
      </c>
      <c r="C3417" s="3">
        <v>1614327</v>
      </c>
      <c r="D3417" s="3">
        <v>86200</v>
      </c>
      <c r="E3417" s="3" t="s">
        <v>27</v>
      </c>
      <c r="F3417" s="3">
        <v>969891</v>
      </c>
      <c r="G3417" s="3">
        <v>59716</v>
      </c>
      <c r="H3417" s="3">
        <v>644436</v>
      </c>
      <c r="I3417" s="3">
        <v>26484</v>
      </c>
    </row>
    <row r="3418" spans="1:9">
      <c r="A3418" s="3" t="s">
        <v>3443</v>
      </c>
      <c r="B3418" s="3" t="s">
        <v>26</v>
      </c>
      <c r="C3418" s="3">
        <v>1729495</v>
      </c>
      <c r="D3418" s="3">
        <v>356997</v>
      </c>
      <c r="E3418" s="3" t="s">
        <v>27</v>
      </c>
      <c r="F3418" s="3">
        <v>1306845</v>
      </c>
      <c r="G3418" s="3">
        <v>269894</v>
      </c>
      <c r="H3418" s="3">
        <v>422650</v>
      </c>
      <c r="I3418" s="3">
        <v>87103</v>
      </c>
    </row>
    <row r="3419" spans="1:9">
      <c r="A3419" s="3" t="s">
        <v>3444</v>
      </c>
      <c r="B3419" s="3" t="s">
        <v>26</v>
      </c>
      <c r="C3419" s="3">
        <v>1381461</v>
      </c>
      <c r="D3419" s="3">
        <v>222727</v>
      </c>
      <c r="E3419" s="3" t="s">
        <v>27</v>
      </c>
      <c r="F3419" s="3">
        <v>958720</v>
      </c>
      <c r="G3419" s="3">
        <v>169679</v>
      </c>
      <c r="H3419" s="3">
        <v>422741</v>
      </c>
      <c r="I3419" s="3">
        <v>53048</v>
      </c>
    </row>
    <row r="3420" spans="1:9">
      <c r="A3420" s="3" t="s">
        <v>3445</v>
      </c>
      <c r="B3420" s="3" t="s">
        <v>26</v>
      </c>
      <c r="C3420" s="3">
        <v>1582603</v>
      </c>
      <c r="D3420" s="3">
        <v>334268</v>
      </c>
      <c r="E3420" s="3" t="s">
        <v>27</v>
      </c>
      <c r="F3420" s="3">
        <v>1413964</v>
      </c>
      <c r="G3420" s="3">
        <v>279223</v>
      </c>
      <c r="H3420" s="3">
        <v>168639</v>
      </c>
      <c r="I3420" s="3">
        <v>55045</v>
      </c>
    </row>
    <row r="3421" spans="1:9">
      <c r="A3421" s="3" t="s">
        <v>3446</v>
      </c>
      <c r="B3421" s="3" t="s">
        <v>26</v>
      </c>
      <c r="C3421" s="3">
        <v>2446647</v>
      </c>
      <c r="D3421" s="3">
        <v>901683</v>
      </c>
      <c r="E3421" s="3" t="s">
        <v>27</v>
      </c>
      <c r="F3421" s="3">
        <v>1715852</v>
      </c>
      <c r="G3421" s="3">
        <v>622187</v>
      </c>
      <c r="H3421" s="3">
        <v>730795</v>
      </c>
      <c r="I3421" s="3">
        <v>279496</v>
      </c>
    </row>
    <row r="3422" spans="1:9">
      <c r="A3422" s="3" t="s">
        <v>3447</v>
      </c>
      <c r="B3422" s="3" t="s">
        <v>26</v>
      </c>
      <c r="C3422" s="3">
        <v>1668908</v>
      </c>
      <c r="D3422" s="3">
        <v>147277</v>
      </c>
      <c r="E3422" s="3" t="s">
        <v>27</v>
      </c>
      <c r="F3422" s="3">
        <v>1037600</v>
      </c>
      <c r="G3422" s="3">
        <v>89603</v>
      </c>
      <c r="H3422" s="3">
        <v>631308</v>
      </c>
      <c r="I3422" s="3">
        <v>57674</v>
      </c>
    </row>
    <row r="3423" spans="1:9">
      <c r="A3423" s="3" t="s">
        <v>3448</v>
      </c>
      <c r="B3423" s="3" t="s">
        <v>26</v>
      </c>
      <c r="C3423" s="3">
        <v>1439942</v>
      </c>
      <c r="D3423" s="3">
        <v>72504</v>
      </c>
      <c r="E3423" s="3" t="s">
        <v>27</v>
      </c>
      <c r="F3423" s="3">
        <v>945640</v>
      </c>
      <c r="G3423" s="3">
        <v>45570</v>
      </c>
      <c r="H3423" s="3">
        <v>494302</v>
      </c>
      <c r="I3423" s="3">
        <v>26934</v>
      </c>
    </row>
    <row r="3424" spans="1:9">
      <c r="A3424" s="3" t="s">
        <v>3449</v>
      </c>
      <c r="B3424" s="3" t="s">
        <v>26</v>
      </c>
      <c r="C3424" s="3">
        <v>2230252</v>
      </c>
      <c r="D3424" s="3">
        <v>467744</v>
      </c>
      <c r="E3424" s="3" t="s">
        <v>27</v>
      </c>
      <c r="F3424" s="3">
        <v>1626372</v>
      </c>
      <c r="G3424" s="3">
        <v>357299</v>
      </c>
      <c r="H3424" s="3">
        <v>603880</v>
      </c>
      <c r="I3424" s="3">
        <v>110445</v>
      </c>
    </row>
    <row r="3425" spans="1:9">
      <c r="A3425" s="3" t="s">
        <v>3450</v>
      </c>
      <c r="B3425" s="3" t="s">
        <v>26</v>
      </c>
      <c r="C3425" s="3">
        <v>2486021</v>
      </c>
      <c r="D3425" s="3">
        <v>579696</v>
      </c>
      <c r="E3425" s="3" t="s">
        <v>27</v>
      </c>
      <c r="F3425" s="3">
        <v>1744405</v>
      </c>
      <c r="G3425" s="3">
        <v>407082</v>
      </c>
      <c r="H3425" s="3">
        <v>741616</v>
      </c>
      <c r="I3425" s="3">
        <v>172614</v>
      </c>
    </row>
    <row r="3426" spans="1:9">
      <c r="A3426" s="3" t="s">
        <v>3451</v>
      </c>
      <c r="B3426" s="3" t="s">
        <v>26</v>
      </c>
      <c r="C3426" s="3">
        <v>2231825</v>
      </c>
      <c r="D3426" s="3">
        <v>642457</v>
      </c>
      <c r="E3426" s="3" t="s">
        <v>27</v>
      </c>
      <c r="F3426" s="3">
        <v>1751302</v>
      </c>
      <c r="G3426" s="3">
        <v>532434</v>
      </c>
      <c r="H3426" s="3">
        <v>480523</v>
      </c>
      <c r="I3426" s="3">
        <v>110023</v>
      </c>
    </row>
    <row r="3427" spans="1:9">
      <c r="A3427" s="3" t="s">
        <v>3452</v>
      </c>
      <c r="B3427" s="3" t="s">
        <v>26</v>
      </c>
      <c r="C3427" s="3">
        <v>2634388</v>
      </c>
      <c r="D3427" s="3">
        <v>808535</v>
      </c>
      <c r="E3427" s="3" t="s">
        <v>27</v>
      </c>
      <c r="F3427" s="3">
        <v>1974836</v>
      </c>
      <c r="G3427" s="3">
        <v>569293</v>
      </c>
      <c r="H3427" s="3">
        <v>659552</v>
      </c>
      <c r="I3427" s="3">
        <v>239242</v>
      </c>
    </row>
    <row r="3428" spans="1:9">
      <c r="A3428" s="3" t="s">
        <v>3453</v>
      </c>
      <c r="B3428" s="3" t="s">
        <v>26</v>
      </c>
      <c r="C3428" s="3">
        <v>1870017</v>
      </c>
      <c r="D3428" s="3">
        <v>596137</v>
      </c>
      <c r="E3428" s="3" t="s">
        <v>27</v>
      </c>
      <c r="F3428" s="3">
        <v>1422059</v>
      </c>
      <c r="G3428" s="3">
        <v>489403</v>
      </c>
      <c r="H3428" s="3">
        <v>447958</v>
      </c>
      <c r="I3428" s="3">
        <v>106734</v>
      </c>
    </row>
    <row r="3429" spans="1:9">
      <c r="A3429" s="3" t="s">
        <v>3454</v>
      </c>
      <c r="B3429" s="3" t="s">
        <v>26</v>
      </c>
      <c r="C3429" s="3">
        <v>2061127</v>
      </c>
      <c r="D3429" s="3">
        <v>431070</v>
      </c>
      <c r="E3429" s="3" t="s">
        <v>27</v>
      </c>
      <c r="F3429" s="3">
        <v>1419311</v>
      </c>
      <c r="G3429" s="3">
        <v>294978</v>
      </c>
      <c r="H3429" s="3">
        <v>641816</v>
      </c>
      <c r="I3429" s="3">
        <v>136092</v>
      </c>
    </row>
    <row r="3430" spans="1:9">
      <c r="A3430" s="3" t="s">
        <v>3455</v>
      </c>
      <c r="B3430" s="3" t="s">
        <v>26</v>
      </c>
      <c r="C3430" s="3">
        <v>895197</v>
      </c>
      <c r="D3430" s="3">
        <v>86147</v>
      </c>
      <c r="E3430" s="3" t="s">
        <v>27</v>
      </c>
      <c r="F3430" s="3">
        <v>537601</v>
      </c>
      <c r="G3430" s="3">
        <v>53784</v>
      </c>
      <c r="H3430" s="3">
        <v>357596</v>
      </c>
      <c r="I3430" s="3">
        <v>32363</v>
      </c>
    </row>
    <row r="3431" spans="1:9">
      <c r="A3431" s="3" t="s">
        <v>3456</v>
      </c>
      <c r="B3431" s="3" t="s">
        <v>26</v>
      </c>
      <c r="C3431" s="3">
        <v>1309143</v>
      </c>
      <c r="D3431" s="3">
        <v>77258</v>
      </c>
      <c r="E3431" s="3" t="s">
        <v>27</v>
      </c>
      <c r="F3431" s="3">
        <v>749211</v>
      </c>
      <c r="G3431" s="3">
        <v>53751</v>
      </c>
      <c r="H3431" s="3">
        <v>559932</v>
      </c>
      <c r="I3431" s="3">
        <v>23507</v>
      </c>
    </row>
    <row r="3432" spans="1:9">
      <c r="A3432" s="3" t="s">
        <v>3457</v>
      </c>
      <c r="B3432" s="3" t="s">
        <v>26</v>
      </c>
      <c r="C3432" s="3">
        <v>2617671</v>
      </c>
      <c r="D3432" s="3">
        <v>793608</v>
      </c>
      <c r="E3432" s="3" t="s">
        <v>27</v>
      </c>
      <c r="F3432" s="3">
        <v>2189535</v>
      </c>
      <c r="G3432" s="3">
        <v>657564</v>
      </c>
      <c r="H3432" s="3">
        <v>428136</v>
      </c>
      <c r="I3432" s="3">
        <v>136044</v>
      </c>
    </row>
    <row r="3433" spans="1:9">
      <c r="A3433" s="3" t="s">
        <v>3458</v>
      </c>
      <c r="B3433" s="3" t="s">
        <v>26</v>
      </c>
      <c r="C3433" s="3">
        <v>1762127</v>
      </c>
      <c r="D3433" s="3">
        <v>331420</v>
      </c>
      <c r="E3433" s="3" t="s">
        <v>27</v>
      </c>
      <c r="F3433" s="3">
        <v>1252212</v>
      </c>
      <c r="G3433" s="3">
        <v>236855</v>
      </c>
      <c r="H3433" s="3">
        <v>509915</v>
      </c>
      <c r="I3433" s="3">
        <v>94565</v>
      </c>
    </row>
    <row r="3434" spans="1:9">
      <c r="A3434" s="3" t="s">
        <v>3459</v>
      </c>
      <c r="B3434" s="3" t="s">
        <v>26</v>
      </c>
      <c r="C3434" s="3">
        <v>1215285</v>
      </c>
      <c r="D3434" s="3">
        <v>130769</v>
      </c>
      <c r="E3434" s="3" t="s">
        <v>27</v>
      </c>
      <c r="F3434" s="3">
        <v>712365</v>
      </c>
      <c r="G3434" s="3">
        <v>80808</v>
      </c>
      <c r="H3434" s="3">
        <v>502920</v>
      </c>
      <c r="I3434" s="3">
        <v>49961</v>
      </c>
    </row>
    <row r="3435" spans="1:9">
      <c r="A3435" s="3" t="s">
        <v>3460</v>
      </c>
      <c r="B3435" s="3" t="s">
        <v>26</v>
      </c>
      <c r="C3435" s="3">
        <v>938407</v>
      </c>
      <c r="D3435" s="3">
        <v>43419</v>
      </c>
      <c r="E3435" s="3" t="s">
        <v>27</v>
      </c>
      <c r="F3435" s="3">
        <v>525193</v>
      </c>
      <c r="G3435" s="3">
        <v>31259</v>
      </c>
      <c r="H3435" s="3">
        <v>413214</v>
      </c>
      <c r="I3435" s="3">
        <v>12160</v>
      </c>
    </row>
    <row r="3436" spans="1:9">
      <c r="A3436" s="3" t="s">
        <v>3461</v>
      </c>
      <c r="B3436" s="3" t="s">
        <v>26</v>
      </c>
      <c r="C3436" s="3">
        <v>2301805</v>
      </c>
      <c r="D3436" s="3">
        <v>728807</v>
      </c>
      <c r="E3436" s="3" t="s">
        <v>27</v>
      </c>
      <c r="F3436" s="3">
        <v>1850790</v>
      </c>
      <c r="G3436" s="3">
        <v>544903</v>
      </c>
      <c r="H3436" s="3">
        <v>451015</v>
      </c>
      <c r="I3436" s="3">
        <v>183904</v>
      </c>
    </row>
    <row r="3437" spans="1:9">
      <c r="A3437" s="3" t="s">
        <v>3462</v>
      </c>
      <c r="B3437" s="3" t="s">
        <v>26</v>
      </c>
      <c r="C3437" s="3">
        <v>1107449</v>
      </c>
      <c r="D3437" s="3">
        <v>23258</v>
      </c>
      <c r="E3437" s="3" t="s">
        <v>27</v>
      </c>
      <c r="F3437" s="3">
        <v>589371</v>
      </c>
      <c r="G3437" s="3">
        <v>10708</v>
      </c>
      <c r="H3437" s="3">
        <v>518078</v>
      </c>
      <c r="I3437" s="3">
        <v>12550</v>
      </c>
    </row>
    <row r="3438" spans="1:9">
      <c r="A3438" s="3" t="s">
        <v>3463</v>
      </c>
      <c r="B3438" s="3" t="s">
        <v>26</v>
      </c>
      <c r="C3438" s="3">
        <v>1443649</v>
      </c>
      <c r="D3438" s="3">
        <v>265042</v>
      </c>
      <c r="E3438" s="3" t="s">
        <v>27</v>
      </c>
      <c r="F3438" s="3">
        <v>948795</v>
      </c>
      <c r="G3438" s="3">
        <v>185042</v>
      </c>
      <c r="H3438" s="3">
        <v>494854</v>
      </c>
      <c r="I3438" s="3">
        <v>80000</v>
      </c>
    </row>
    <row r="3439" spans="1:9">
      <c r="A3439" s="3" t="s">
        <v>3464</v>
      </c>
      <c r="B3439" s="3" t="s">
        <v>26</v>
      </c>
      <c r="C3439" s="3">
        <v>2206187</v>
      </c>
      <c r="D3439" s="3">
        <v>623488</v>
      </c>
      <c r="E3439" s="3" t="s">
        <v>27</v>
      </c>
      <c r="F3439" s="3">
        <v>1521908</v>
      </c>
      <c r="G3439" s="3">
        <v>430083</v>
      </c>
      <c r="H3439" s="3">
        <v>684279</v>
      </c>
      <c r="I3439" s="3">
        <v>193405</v>
      </c>
    </row>
    <row r="3440" spans="1:9">
      <c r="A3440" s="3" t="s">
        <v>3465</v>
      </c>
      <c r="B3440" s="3" t="s">
        <v>26</v>
      </c>
      <c r="C3440" s="3">
        <v>2276982</v>
      </c>
      <c r="D3440" s="3">
        <v>673022</v>
      </c>
      <c r="E3440" s="3" t="s">
        <v>27</v>
      </c>
      <c r="F3440" s="3">
        <v>1823629</v>
      </c>
      <c r="G3440" s="3">
        <v>508987</v>
      </c>
      <c r="H3440" s="3">
        <v>453353</v>
      </c>
      <c r="I3440" s="3">
        <v>164035</v>
      </c>
    </row>
    <row r="3441" spans="1:9">
      <c r="A3441" s="3" t="s">
        <v>3466</v>
      </c>
      <c r="B3441" s="3" t="s">
        <v>26</v>
      </c>
      <c r="C3441" s="3">
        <v>1870615</v>
      </c>
      <c r="D3441" s="3">
        <v>265642</v>
      </c>
      <c r="E3441" s="3" t="s">
        <v>27</v>
      </c>
      <c r="F3441" s="3">
        <v>1100485</v>
      </c>
      <c r="G3441" s="3">
        <v>162193</v>
      </c>
      <c r="H3441" s="3">
        <v>770130</v>
      </c>
      <c r="I3441" s="3">
        <v>103449</v>
      </c>
    </row>
    <row r="3442" spans="1:9">
      <c r="A3442" s="3" t="s">
        <v>3467</v>
      </c>
      <c r="B3442" s="3" t="s">
        <v>26</v>
      </c>
      <c r="C3442" s="3">
        <v>957014</v>
      </c>
      <c r="D3442" s="3">
        <v>13893</v>
      </c>
      <c r="E3442" s="3" t="s">
        <v>27</v>
      </c>
      <c r="F3442" s="3">
        <v>616425</v>
      </c>
      <c r="G3442" s="3">
        <v>10588</v>
      </c>
      <c r="H3442" s="3">
        <v>340589</v>
      </c>
      <c r="I3442" s="3">
        <v>3305</v>
      </c>
    </row>
    <row r="3443" spans="1:9">
      <c r="A3443" s="3" t="s">
        <v>3468</v>
      </c>
      <c r="B3443" s="3" t="s">
        <v>26</v>
      </c>
      <c r="C3443" s="3">
        <v>2945971</v>
      </c>
      <c r="D3443" s="3">
        <v>620587</v>
      </c>
      <c r="E3443" s="3" t="s">
        <v>27</v>
      </c>
      <c r="F3443" s="3">
        <v>2495388</v>
      </c>
      <c r="G3443" s="3">
        <v>470052</v>
      </c>
      <c r="H3443" s="3">
        <v>450583</v>
      </c>
      <c r="I3443" s="3">
        <v>150535</v>
      </c>
    </row>
    <row r="3444" spans="1:9">
      <c r="A3444" s="3" t="s">
        <v>3469</v>
      </c>
      <c r="B3444" s="3" t="s">
        <v>26</v>
      </c>
      <c r="C3444" s="3">
        <v>2338193</v>
      </c>
      <c r="D3444" s="3">
        <v>883323</v>
      </c>
      <c r="E3444" s="3" t="s">
        <v>27</v>
      </c>
      <c r="F3444" s="3">
        <v>1872172</v>
      </c>
      <c r="G3444" s="3">
        <v>692618</v>
      </c>
      <c r="H3444" s="3">
        <v>466021</v>
      </c>
      <c r="I3444" s="3">
        <v>190705</v>
      </c>
    </row>
    <row r="3445" spans="1:9">
      <c r="A3445" s="3" t="s">
        <v>3470</v>
      </c>
      <c r="B3445" s="3" t="s">
        <v>26</v>
      </c>
      <c r="C3445" s="3">
        <v>886738</v>
      </c>
      <c r="D3445" s="3">
        <v>12845</v>
      </c>
      <c r="E3445" s="3" t="s">
        <v>27</v>
      </c>
      <c r="F3445" s="3">
        <v>459402</v>
      </c>
      <c r="G3445" s="3">
        <v>6871</v>
      </c>
      <c r="H3445" s="3">
        <v>427336</v>
      </c>
      <c r="I3445" s="3">
        <v>5974</v>
      </c>
    </row>
    <row r="3446" spans="1:9">
      <c r="A3446" s="3" t="s">
        <v>3471</v>
      </c>
      <c r="B3446" s="3" t="s">
        <v>26</v>
      </c>
      <c r="C3446" s="3">
        <v>936848</v>
      </c>
      <c r="D3446" s="3">
        <v>5298</v>
      </c>
      <c r="E3446" s="3" t="s">
        <v>27</v>
      </c>
      <c r="F3446" s="3">
        <v>498167</v>
      </c>
      <c r="G3446" s="3">
        <v>2777</v>
      </c>
      <c r="H3446" s="3">
        <v>438681</v>
      </c>
      <c r="I3446" s="3">
        <v>2521</v>
      </c>
    </row>
    <row r="3447" spans="1:9">
      <c r="A3447" s="3" t="s">
        <v>3472</v>
      </c>
      <c r="B3447" s="3" t="s">
        <v>26</v>
      </c>
      <c r="C3447" s="3">
        <v>2750543</v>
      </c>
      <c r="D3447" s="3">
        <v>976277</v>
      </c>
      <c r="E3447" s="3" t="s">
        <v>27</v>
      </c>
      <c r="F3447" s="3">
        <v>2102894</v>
      </c>
      <c r="G3447" s="3">
        <v>722166</v>
      </c>
      <c r="H3447" s="3">
        <v>647649</v>
      </c>
      <c r="I3447" s="3">
        <v>254111</v>
      </c>
    </row>
    <row r="3448" spans="1:9">
      <c r="A3448" s="3" t="s">
        <v>3473</v>
      </c>
      <c r="B3448" s="3" t="s">
        <v>26</v>
      </c>
      <c r="C3448" s="3">
        <v>1711301</v>
      </c>
      <c r="D3448" s="3">
        <v>293978</v>
      </c>
      <c r="E3448" s="3" t="s">
        <v>27</v>
      </c>
      <c r="F3448" s="3">
        <v>1011541</v>
      </c>
      <c r="G3448" s="3">
        <v>173140</v>
      </c>
      <c r="H3448" s="3">
        <v>699760</v>
      </c>
      <c r="I3448" s="3">
        <v>120838</v>
      </c>
    </row>
    <row r="3449" spans="1:9">
      <c r="A3449" s="3" t="s">
        <v>3474</v>
      </c>
      <c r="B3449" s="3" t="s">
        <v>26</v>
      </c>
      <c r="C3449" s="3">
        <v>534950</v>
      </c>
      <c r="D3449" s="3">
        <v>34452</v>
      </c>
      <c r="E3449" s="3" t="s">
        <v>27</v>
      </c>
      <c r="F3449" s="3">
        <v>514495</v>
      </c>
      <c r="G3449" s="3">
        <v>28448</v>
      </c>
      <c r="H3449" s="3">
        <v>20455</v>
      </c>
      <c r="I3449" s="3">
        <v>6004</v>
      </c>
    </row>
    <row r="3450" spans="1:9">
      <c r="A3450" s="3" t="s">
        <v>3475</v>
      </c>
      <c r="B3450" s="3" t="s">
        <v>26</v>
      </c>
      <c r="C3450" s="3">
        <v>1562816</v>
      </c>
      <c r="D3450" s="3">
        <v>368107</v>
      </c>
      <c r="E3450" s="3" t="s">
        <v>27</v>
      </c>
      <c r="F3450" s="3">
        <v>1163194</v>
      </c>
      <c r="G3450" s="3">
        <v>300718</v>
      </c>
      <c r="H3450" s="3">
        <v>399622</v>
      </c>
      <c r="I3450" s="3">
        <v>67389</v>
      </c>
    </row>
    <row r="3451" spans="1:9">
      <c r="A3451" s="3" t="s">
        <v>3476</v>
      </c>
      <c r="B3451" s="3" t="s">
        <v>26</v>
      </c>
      <c r="C3451" s="3">
        <v>2603931</v>
      </c>
      <c r="D3451" s="3">
        <v>937708</v>
      </c>
      <c r="E3451" s="3" t="s">
        <v>27</v>
      </c>
      <c r="F3451" s="3">
        <v>2179701</v>
      </c>
      <c r="G3451" s="3">
        <v>757502</v>
      </c>
      <c r="H3451" s="3">
        <v>424230</v>
      </c>
      <c r="I3451" s="3">
        <v>180206</v>
      </c>
    </row>
    <row r="3452" spans="1:9">
      <c r="A3452" s="3" t="s">
        <v>3477</v>
      </c>
      <c r="B3452" s="3" t="s">
        <v>26</v>
      </c>
      <c r="C3452" s="3">
        <v>1166253</v>
      </c>
      <c r="D3452" s="3">
        <v>4869</v>
      </c>
      <c r="E3452" s="3" t="s">
        <v>27</v>
      </c>
      <c r="F3452" s="3">
        <v>758282</v>
      </c>
      <c r="G3452" s="3">
        <v>1758</v>
      </c>
      <c r="H3452" s="3">
        <v>407971</v>
      </c>
      <c r="I3452" s="3">
        <v>3111</v>
      </c>
    </row>
    <row r="3453" spans="1:9">
      <c r="A3453" s="3" t="s">
        <v>3478</v>
      </c>
      <c r="B3453" s="3" t="s">
        <v>26</v>
      </c>
      <c r="C3453" s="3">
        <v>1606570</v>
      </c>
      <c r="D3453" s="3">
        <v>79653</v>
      </c>
      <c r="E3453" s="3" t="s">
        <v>27</v>
      </c>
      <c r="F3453" s="3">
        <v>903135</v>
      </c>
      <c r="G3453" s="3">
        <v>52123</v>
      </c>
      <c r="H3453" s="3">
        <v>703435</v>
      </c>
      <c r="I3453" s="3">
        <v>27530</v>
      </c>
    </row>
    <row r="3454" spans="1:9">
      <c r="A3454" s="3" t="s">
        <v>3479</v>
      </c>
      <c r="B3454" s="3" t="s">
        <v>26</v>
      </c>
      <c r="C3454" s="3">
        <v>2337516</v>
      </c>
      <c r="D3454" s="3">
        <v>761845</v>
      </c>
      <c r="E3454" s="3" t="s">
        <v>27</v>
      </c>
      <c r="F3454" s="3">
        <v>1848349</v>
      </c>
      <c r="G3454" s="3">
        <v>581217</v>
      </c>
      <c r="H3454" s="3">
        <v>489167</v>
      </c>
      <c r="I3454" s="3">
        <v>180628</v>
      </c>
    </row>
    <row r="3455" spans="1:9">
      <c r="A3455" s="3" t="s">
        <v>3480</v>
      </c>
      <c r="B3455" s="3" t="s">
        <v>26</v>
      </c>
      <c r="C3455" s="3">
        <v>28176</v>
      </c>
      <c r="D3455" s="3">
        <v>7828</v>
      </c>
      <c r="E3455" s="3" t="s">
        <v>27</v>
      </c>
      <c r="F3455" s="3">
        <v>23931</v>
      </c>
      <c r="G3455" s="3">
        <v>6167</v>
      </c>
      <c r="H3455" s="3">
        <v>4245</v>
      </c>
      <c r="I3455" s="3">
        <v>1661</v>
      </c>
    </row>
    <row r="3456" spans="1:9">
      <c r="A3456" s="3" t="s">
        <v>3481</v>
      </c>
      <c r="B3456" s="3" t="s">
        <v>26</v>
      </c>
      <c r="C3456" s="3">
        <v>1013253</v>
      </c>
      <c r="D3456" s="3">
        <v>178125</v>
      </c>
      <c r="E3456" s="3" t="s">
        <v>27</v>
      </c>
      <c r="F3456" s="3">
        <v>804210</v>
      </c>
      <c r="G3456" s="3">
        <v>121857</v>
      </c>
      <c r="H3456" s="3">
        <v>209043</v>
      </c>
      <c r="I3456" s="3">
        <v>56268</v>
      </c>
    </row>
    <row r="3457" spans="1:9">
      <c r="A3457" s="3" t="s">
        <v>3482</v>
      </c>
      <c r="B3457" s="3" t="s">
        <v>26</v>
      </c>
      <c r="C3457" s="3">
        <v>1457284</v>
      </c>
      <c r="D3457" s="3">
        <v>1741</v>
      </c>
      <c r="E3457" s="3" t="s">
        <v>27</v>
      </c>
      <c r="F3457" s="3">
        <v>734195</v>
      </c>
      <c r="G3457" s="3">
        <v>549</v>
      </c>
      <c r="H3457" s="3">
        <v>723089</v>
      </c>
      <c r="I3457" s="3">
        <v>1192</v>
      </c>
    </row>
    <row r="3458" spans="1:9">
      <c r="A3458" s="3" t="s">
        <v>3483</v>
      </c>
      <c r="B3458" s="3" t="s">
        <v>26</v>
      </c>
      <c r="C3458" s="3">
        <v>2694080</v>
      </c>
      <c r="D3458" s="3">
        <v>1048195</v>
      </c>
      <c r="E3458" s="3" t="s">
        <v>27</v>
      </c>
      <c r="F3458" s="3">
        <v>2168360</v>
      </c>
      <c r="G3458" s="3">
        <v>826999</v>
      </c>
      <c r="H3458" s="3">
        <v>525720</v>
      </c>
      <c r="I3458" s="3">
        <v>221196</v>
      </c>
    </row>
    <row r="3459" spans="1:9">
      <c r="A3459" s="3" t="s">
        <v>3484</v>
      </c>
      <c r="B3459" s="3" t="s">
        <v>26</v>
      </c>
      <c r="C3459" s="3">
        <v>2716210</v>
      </c>
      <c r="D3459" s="3">
        <v>953609</v>
      </c>
      <c r="E3459" s="3" t="s">
        <v>27</v>
      </c>
      <c r="F3459" s="3">
        <v>1938259</v>
      </c>
      <c r="G3459" s="3">
        <v>660911</v>
      </c>
      <c r="H3459" s="3">
        <v>777951</v>
      </c>
      <c r="I3459" s="3">
        <v>292698</v>
      </c>
    </row>
    <row r="3460" spans="1:9">
      <c r="A3460" s="3" t="s">
        <v>3485</v>
      </c>
      <c r="B3460" s="3" t="s">
        <v>26</v>
      </c>
      <c r="C3460" s="3">
        <v>2013104</v>
      </c>
      <c r="D3460" s="3">
        <v>660448</v>
      </c>
      <c r="E3460" s="3" t="s">
        <v>27</v>
      </c>
      <c r="F3460" s="3">
        <v>1579505</v>
      </c>
      <c r="G3460" s="3">
        <v>507340</v>
      </c>
      <c r="H3460" s="3">
        <v>433599</v>
      </c>
      <c r="I3460" s="3">
        <v>153108</v>
      </c>
    </row>
    <row r="3461" spans="1:9">
      <c r="A3461" s="3" t="s">
        <v>3486</v>
      </c>
      <c r="B3461" s="3" t="s">
        <v>26</v>
      </c>
      <c r="C3461" s="3">
        <v>843328</v>
      </c>
      <c r="D3461" s="3">
        <v>5082</v>
      </c>
      <c r="E3461" s="3" t="s">
        <v>27</v>
      </c>
      <c r="F3461" s="3">
        <v>426597</v>
      </c>
      <c r="G3461" s="3">
        <v>2617</v>
      </c>
      <c r="H3461" s="3">
        <v>416731</v>
      </c>
      <c r="I3461" s="3">
        <v>2465</v>
      </c>
    </row>
    <row r="3462" spans="1:9">
      <c r="A3462" s="3" t="s">
        <v>3487</v>
      </c>
      <c r="B3462" s="3" t="s">
        <v>26</v>
      </c>
      <c r="C3462" s="3">
        <v>2749407</v>
      </c>
      <c r="D3462" s="3">
        <v>1024787</v>
      </c>
      <c r="E3462" s="3" t="s">
        <v>27</v>
      </c>
      <c r="F3462" s="3">
        <v>1917769</v>
      </c>
      <c r="G3462" s="3">
        <v>697957</v>
      </c>
      <c r="H3462" s="3">
        <v>831638</v>
      </c>
      <c r="I3462" s="3">
        <v>326830</v>
      </c>
    </row>
    <row r="3463" spans="1:9">
      <c r="A3463" s="3" t="s">
        <v>3488</v>
      </c>
      <c r="B3463" s="3" t="s">
        <v>26</v>
      </c>
      <c r="C3463" s="3">
        <v>1539578</v>
      </c>
      <c r="D3463" s="3">
        <v>263554</v>
      </c>
      <c r="E3463" s="3" t="s">
        <v>27</v>
      </c>
      <c r="F3463" s="3">
        <v>925319</v>
      </c>
      <c r="G3463" s="3">
        <v>157434</v>
      </c>
      <c r="H3463" s="3">
        <v>614259</v>
      </c>
      <c r="I3463" s="3">
        <v>106120</v>
      </c>
    </row>
    <row r="3464" spans="1:9">
      <c r="A3464" s="3" t="s">
        <v>3489</v>
      </c>
      <c r="B3464" s="3" t="s">
        <v>26</v>
      </c>
      <c r="C3464" s="3">
        <v>1969446</v>
      </c>
      <c r="D3464" s="3">
        <v>468794</v>
      </c>
      <c r="E3464" s="3" t="s">
        <v>27</v>
      </c>
      <c r="F3464" s="3">
        <v>1234056</v>
      </c>
      <c r="G3464" s="3">
        <v>290619</v>
      </c>
      <c r="H3464" s="3">
        <v>735390</v>
      </c>
      <c r="I3464" s="3">
        <v>178175</v>
      </c>
    </row>
    <row r="3465" spans="1:9">
      <c r="A3465" s="3" t="s">
        <v>3490</v>
      </c>
      <c r="B3465" s="3" t="s">
        <v>26</v>
      </c>
      <c r="C3465" s="3">
        <v>2016276</v>
      </c>
      <c r="D3465" s="3">
        <v>669776</v>
      </c>
      <c r="E3465" s="3" t="s">
        <v>27</v>
      </c>
      <c r="F3465" s="3">
        <v>1507864</v>
      </c>
      <c r="G3465" s="3">
        <v>485042</v>
      </c>
      <c r="H3465" s="3">
        <v>508412</v>
      </c>
      <c r="I3465" s="3">
        <v>184734</v>
      </c>
    </row>
    <row r="3466" spans="1:9">
      <c r="A3466" s="3" t="s">
        <v>3491</v>
      </c>
      <c r="B3466" s="3" t="s">
        <v>26</v>
      </c>
      <c r="C3466" s="3">
        <v>2503866</v>
      </c>
      <c r="D3466" s="3">
        <v>863127</v>
      </c>
      <c r="E3466" s="3" t="s">
        <v>27</v>
      </c>
      <c r="F3466" s="3">
        <v>2040820</v>
      </c>
      <c r="G3466" s="3">
        <v>672856</v>
      </c>
      <c r="H3466" s="3">
        <v>463046</v>
      </c>
      <c r="I3466" s="3">
        <v>190271</v>
      </c>
    </row>
    <row r="3467" spans="1:9">
      <c r="A3467" s="3" t="s">
        <v>3492</v>
      </c>
      <c r="B3467" s="3" t="s">
        <v>26</v>
      </c>
      <c r="C3467" s="3">
        <v>84663</v>
      </c>
      <c r="D3467" s="3">
        <v>18961</v>
      </c>
      <c r="E3467" s="3" t="s">
        <v>27</v>
      </c>
      <c r="F3467" s="3">
        <v>78595</v>
      </c>
      <c r="G3467" s="3">
        <v>18005</v>
      </c>
      <c r="H3467" s="3">
        <v>6068</v>
      </c>
      <c r="I3467" s="3">
        <v>956</v>
      </c>
    </row>
    <row r="3468" spans="1:9">
      <c r="A3468" s="3" t="s">
        <v>3493</v>
      </c>
      <c r="B3468" s="3" t="s">
        <v>26</v>
      </c>
      <c r="C3468" s="3">
        <v>1597785</v>
      </c>
      <c r="D3468" s="3">
        <v>119944</v>
      </c>
      <c r="E3468" s="3" t="s">
        <v>27</v>
      </c>
      <c r="F3468" s="3">
        <v>891198</v>
      </c>
      <c r="G3468" s="3">
        <v>76694</v>
      </c>
      <c r="H3468" s="3">
        <v>706587</v>
      </c>
      <c r="I3468" s="3">
        <v>43250</v>
      </c>
    </row>
    <row r="3469" spans="1:9">
      <c r="A3469" s="3" t="s">
        <v>3494</v>
      </c>
      <c r="B3469" s="3" t="s">
        <v>26</v>
      </c>
      <c r="C3469" s="3">
        <v>2420887</v>
      </c>
      <c r="D3469" s="3">
        <v>420495</v>
      </c>
      <c r="E3469" s="3" t="s">
        <v>27</v>
      </c>
      <c r="F3469" s="3">
        <v>1501922</v>
      </c>
      <c r="G3469" s="3">
        <v>274452</v>
      </c>
      <c r="H3469" s="3">
        <v>918965</v>
      </c>
      <c r="I3469" s="3">
        <v>146043</v>
      </c>
    </row>
    <row r="3470" spans="1:9">
      <c r="A3470" s="3" t="s">
        <v>3495</v>
      </c>
      <c r="B3470" s="3" t="s">
        <v>26</v>
      </c>
      <c r="C3470" s="3">
        <v>3519345</v>
      </c>
      <c r="D3470" s="3">
        <v>1363031</v>
      </c>
      <c r="E3470" s="3" t="s">
        <v>27</v>
      </c>
      <c r="F3470" s="3">
        <v>2552332</v>
      </c>
      <c r="G3470" s="3">
        <v>973468</v>
      </c>
      <c r="H3470" s="3">
        <v>967013</v>
      </c>
      <c r="I3470" s="3">
        <v>389563</v>
      </c>
    </row>
    <row r="3471" spans="1:9">
      <c r="A3471" s="3" t="s">
        <v>3496</v>
      </c>
      <c r="B3471" s="3" t="s">
        <v>26</v>
      </c>
      <c r="C3471" s="3">
        <v>2345913</v>
      </c>
      <c r="D3471" s="3">
        <v>284925</v>
      </c>
      <c r="E3471" s="3" t="s">
        <v>27</v>
      </c>
      <c r="F3471" s="3">
        <v>1343199</v>
      </c>
      <c r="G3471" s="3">
        <v>174087</v>
      </c>
      <c r="H3471" s="3">
        <v>1002714</v>
      </c>
      <c r="I3471" s="3">
        <v>110838</v>
      </c>
    </row>
    <row r="3472" spans="1:9">
      <c r="A3472" s="3" t="s">
        <v>3497</v>
      </c>
      <c r="B3472" s="3" t="s">
        <v>26</v>
      </c>
      <c r="C3472" s="3">
        <v>1354415</v>
      </c>
      <c r="D3472" s="3">
        <v>72676</v>
      </c>
      <c r="E3472" s="3" t="s">
        <v>27</v>
      </c>
      <c r="F3472" s="3">
        <v>739602</v>
      </c>
      <c r="G3472" s="3">
        <v>42571</v>
      </c>
      <c r="H3472" s="3">
        <v>614813</v>
      </c>
      <c r="I3472" s="3">
        <v>30105</v>
      </c>
    </row>
    <row r="3473" spans="1:9">
      <c r="A3473" s="3" t="s">
        <v>3498</v>
      </c>
      <c r="B3473" s="3" t="s">
        <v>26</v>
      </c>
      <c r="C3473" s="3">
        <v>1028124</v>
      </c>
      <c r="D3473" s="3">
        <v>5157</v>
      </c>
      <c r="E3473" s="3" t="s">
        <v>27</v>
      </c>
      <c r="F3473" s="3">
        <v>555761</v>
      </c>
      <c r="G3473" s="3">
        <v>2571</v>
      </c>
      <c r="H3473" s="3">
        <v>472363</v>
      </c>
      <c r="I3473" s="3">
        <v>2586</v>
      </c>
    </row>
    <row r="3474" spans="1:9">
      <c r="A3474" s="3" t="s">
        <v>3499</v>
      </c>
      <c r="B3474" s="3" t="s">
        <v>26</v>
      </c>
      <c r="C3474" s="3">
        <v>2682382</v>
      </c>
      <c r="D3474" s="3">
        <v>806533</v>
      </c>
      <c r="E3474" s="3" t="s">
        <v>27</v>
      </c>
      <c r="F3474" s="3">
        <v>1966634</v>
      </c>
      <c r="G3474" s="3">
        <v>625383</v>
      </c>
      <c r="H3474" s="3">
        <v>715748</v>
      </c>
      <c r="I3474" s="3">
        <v>181150</v>
      </c>
    </row>
    <row r="3475" spans="1:9">
      <c r="A3475" s="3" t="s">
        <v>3500</v>
      </c>
      <c r="B3475" s="3" t="s">
        <v>26</v>
      </c>
      <c r="C3475" s="3">
        <v>3322760</v>
      </c>
      <c r="D3475" s="3">
        <v>1166897</v>
      </c>
      <c r="E3475" s="3" t="s">
        <v>27</v>
      </c>
      <c r="F3475" s="3">
        <v>2268978</v>
      </c>
      <c r="G3475" s="3">
        <v>782820</v>
      </c>
      <c r="H3475" s="3">
        <v>1053782</v>
      </c>
      <c r="I3475" s="3">
        <v>384077</v>
      </c>
    </row>
    <row r="3476" spans="1:9">
      <c r="A3476" s="3" t="s">
        <v>3501</v>
      </c>
      <c r="B3476" s="3" t="s">
        <v>26</v>
      </c>
      <c r="C3476" s="3">
        <v>2906390</v>
      </c>
      <c r="D3476" s="3">
        <v>1091969</v>
      </c>
      <c r="E3476" s="3" t="s">
        <v>27</v>
      </c>
      <c r="F3476" s="3">
        <v>2191460</v>
      </c>
      <c r="G3476" s="3">
        <v>783010</v>
      </c>
      <c r="H3476" s="3">
        <v>714930</v>
      </c>
      <c r="I3476" s="3">
        <v>308959</v>
      </c>
    </row>
    <row r="3477" spans="1:9">
      <c r="A3477" s="3" t="s">
        <v>3502</v>
      </c>
      <c r="B3477" s="3" t="s">
        <v>26</v>
      </c>
      <c r="C3477" s="3">
        <v>32072</v>
      </c>
      <c r="D3477" s="3">
        <v>569</v>
      </c>
      <c r="E3477" s="3" t="s">
        <v>27</v>
      </c>
      <c r="F3477" s="3">
        <v>17515</v>
      </c>
      <c r="G3477" s="3">
        <v>315</v>
      </c>
      <c r="H3477" s="3">
        <v>14557</v>
      </c>
      <c r="I3477" s="3">
        <v>254</v>
      </c>
    </row>
    <row r="3478" spans="1:9">
      <c r="A3478" s="3" t="s">
        <v>3503</v>
      </c>
      <c r="B3478" s="3" t="s">
        <v>26</v>
      </c>
      <c r="C3478" s="3">
        <v>1782064</v>
      </c>
      <c r="D3478" s="3">
        <v>398515</v>
      </c>
      <c r="E3478" s="3" t="s">
        <v>27</v>
      </c>
      <c r="F3478" s="3">
        <v>1122753</v>
      </c>
      <c r="G3478" s="3">
        <v>262934</v>
      </c>
      <c r="H3478" s="3">
        <v>659311</v>
      </c>
      <c r="I3478" s="3">
        <v>135581</v>
      </c>
    </row>
    <row r="3479" spans="1:9">
      <c r="A3479" s="3" t="s">
        <v>3504</v>
      </c>
      <c r="B3479" s="3" t="s">
        <v>26</v>
      </c>
      <c r="C3479" s="3">
        <v>2159590</v>
      </c>
      <c r="D3479" s="3">
        <v>590470</v>
      </c>
      <c r="E3479" s="3" t="s">
        <v>27</v>
      </c>
      <c r="F3479" s="3">
        <v>1704370</v>
      </c>
      <c r="G3479" s="3">
        <v>477865</v>
      </c>
      <c r="H3479" s="3">
        <v>455220</v>
      </c>
      <c r="I3479" s="3">
        <v>112605</v>
      </c>
    </row>
    <row r="3480" spans="1:9">
      <c r="A3480" s="3" t="s">
        <v>3505</v>
      </c>
      <c r="B3480" s="3" t="s">
        <v>26</v>
      </c>
      <c r="C3480" s="3">
        <v>2383559</v>
      </c>
      <c r="D3480" s="3">
        <v>458222</v>
      </c>
      <c r="E3480" s="3" t="s">
        <v>27</v>
      </c>
      <c r="F3480" s="3">
        <v>1616178</v>
      </c>
      <c r="G3480" s="3">
        <v>316074</v>
      </c>
      <c r="H3480" s="3">
        <v>767381</v>
      </c>
      <c r="I3480" s="3">
        <v>142148</v>
      </c>
    </row>
    <row r="3481" spans="1:9">
      <c r="A3481" s="3" t="s">
        <v>3506</v>
      </c>
      <c r="B3481" s="3" t="s">
        <v>26</v>
      </c>
      <c r="C3481" s="3">
        <v>2179310</v>
      </c>
      <c r="D3481" s="3">
        <v>225366</v>
      </c>
      <c r="E3481" s="3" t="s">
        <v>27</v>
      </c>
      <c r="F3481" s="3">
        <v>1341366</v>
      </c>
      <c r="G3481" s="3">
        <v>147003</v>
      </c>
      <c r="H3481" s="3">
        <v>837944</v>
      </c>
      <c r="I3481" s="3">
        <v>78363</v>
      </c>
    </row>
    <row r="3482" spans="1:9">
      <c r="A3482" s="3" t="s">
        <v>3507</v>
      </c>
      <c r="B3482" s="3" t="s">
        <v>26</v>
      </c>
      <c r="C3482" s="3">
        <v>2207708</v>
      </c>
      <c r="D3482" s="3">
        <v>799567</v>
      </c>
      <c r="E3482" s="3" t="s">
        <v>27</v>
      </c>
      <c r="F3482" s="3">
        <v>1864260</v>
      </c>
      <c r="G3482" s="3">
        <v>656210</v>
      </c>
      <c r="H3482" s="3">
        <v>343448</v>
      </c>
      <c r="I3482" s="3">
        <v>143357</v>
      </c>
    </row>
    <row r="3483" spans="1:9">
      <c r="A3483" s="3" t="s">
        <v>3508</v>
      </c>
      <c r="B3483" s="3" t="s">
        <v>26</v>
      </c>
      <c r="C3483" s="3">
        <v>3518531</v>
      </c>
      <c r="D3483" s="3">
        <v>1364803</v>
      </c>
      <c r="E3483" s="3" t="s">
        <v>27</v>
      </c>
      <c r="F3483" s="3">
        <v>2458546</v>
      </c>
      <c r="G3483" s="3">
        <v>925248</v>
      </c>
      <c r="H3483" s="3">
        <v>1059985</v>
      </c>
      <c r="I3483" s="3">
        <v>439555</v>
      </c>
    </row>
    <row r="3484" spans="1:9">
      <c r="A3484" s="3" t="s">
        <v>3509</v>
      </c>
      <c r="B3484" s="3" t="s">
        <v>26</v>
      </c>
      <c r="C3484" s="3">
        <v>2236412</v>
      </c>
      <c r="D3484" s="3">
        <v>384637</v>
      </c>
      <c r="E3484" s="3" t="s">
        <v>27</v>
      </c>
      <c r="F3484" s="3">
        <v>1362054</v>
      </c>
      <c r="G3484" s="3">
        <v>243079</v>
      </c>
      <c r="H3484" s="3">
        <v>874358</v>
      </c>
      <c r="I3484" s="3">
        <v>141558</v>
      </c>
    </row>
    <row r="3485" spans="1:9">
      <c r="A3485" s="3" t="s">
        <v>3510</v>
      </c>
      <c r="B3485" s="3" t="s">
        <v>26</v>
      </c>
      <c r="C3485" s="3">
        <v>2279598</v>
      </c>
      <c r="D3485" s="3">
        <v>485192</v>
      </c>
      <c r="E3485" s="3" t="s">
        <v>27</v>
      </c>
      <c r="F3485" s="3">
        <v>1429451</v>
      </c>
      <c r="G3485" s="3">
        <v>318754</v>
      </c>
      <c r="H3485" s="3">
        <v>850147</v>
      </c>
      <c r="I3485" s="3">
        <v>166438</v>
      </c>
    </row>
    <row r="3486" spans="1:9">
      <c r="A3486" s="3" t="s">
        <v>3511</v>
      </c>
      <c r="B3486" s="3" t="s">
        <v>26</v>
      </c>
      <c r="C3486" s="3">
        <v>2507580</v>
      </c>
      <c r="D3486" s="3">
        <v>631000</v>
      </c>
      <c r="E3486" s="3" t="s">
        <v>27</v>
      </c>
      <c r="F3486" s="3">
        <v>1767258</v>
      </c>
      <c r="G3486" s="3">
        <v>457477</v>
      </c>
      <c r="H3486" s="3">
        <v>740322</v>
      </c>
      <c r="I3486" s="3">
        <v>173523</v>
      </c>
    </row>
    <row r="3487" spans="1:9">
      <c r="A3487" s="3" t="s">
        <v>3512</v>
      </c>
      <c r="B3487" s="3" t="s">
        <v>26</v>
      </c>
      <c r="C3487" s="3">
        <v>1545135</v>
      </c>
      <c r="D3487" s="3">
        <v>272650</v>
      </c>
      <c r="E3487" s="3" t="s">
        <v>27</v>
      </c>
      <c r="F3487" s="3">
        <v>954613</v>
      </c>
      <c r="G3487" s="3">
        <v>161965</v>
      </c>
      <c r="H3487" s="3">
        <v>590522</v>
      </c>
      <c r="I3487" s="3">
        <v>110685</v>
      </c>
    </row>
    <row r="3488" spans="1:9">
      <c r="A3488" s="3" t="s">
        <v>3513</v>
      </c>
      <c r="B3488" s="3" t="s">
        <v>26</v>
      </c>
      <c r="C3488" s="3">
        <v>3018014</v>
      </c>
      <c r="D3488" s="3">
        <v>1112595</v>
      </c>
      <c r="E3488" s="3" t="s">
        <v>27</v>
      </c>
      <c r="F3488" s="3">
        <v>2517749</v>
      </c>
      <c r="G3488" s="3">
        <v>895927</v>
      </c>
      <c r="H3488" s="3">
        <v>500265</v>
      </c>
      <c r="I3488" s="3">
        <v>216668</v>
      </c>
    </row>
    <row r="3489" spans="1:9">
      <c r="A3489" s="3" t="s">
        <v>3514</v>
      </c>
      <c r="B3489" s="3" t="s">
        <v>26</v>
      </c>
      <c r="C3489" s="3">
        <v>1993254</v>
      </c>
      <c r="D3489" s="3">
        <v>324512</v>
      </c>
      <c r="E3489" s="3" t="s">
        <v>27</v>
      </c>
      <c r="F3489" s="3">
        <v>1420567</v>
      </c>
      <c r="G3489" s="3">
        <v>234015</v>
      </c>
      <c r="H3489" s="3">
        <v>572687</v>
      </c>
      <c r="I3489" s="3">
        <v>90497</v>
      </c>
    </row>
    <row r="3490" spans="1:9">
      <c r="A3490" s="3" t="s">
        <v>3515</v>
      </c>
      <c r="B3490" s="3" t="s">
        <v>26</v>
      </c>
      <c r="C3490" s="3">
        <v>1320720</v>
      </c>
      <c r="D3490" s="3">
        <v>46147</v>
      </c>
      <c r="E3490" s="3" t="s">
        <v>27</v>
      </c>
      <c r="F3490" s="3">
        <v>752085</v>
      </c>
      <c r="G3490" s="3">
        <v>29456</v>
      </c>
      <c r="H3490" s="3">
        <v>568635</v>
      </c>
      <c r="I3490" s="3">
        <v>16691</v>
      </c>
    </row>
    <row r="3491" spans="1:9">
      <c r="A3491" s="3" t="s">
        <v>3516</v>
      </c>
      <c r="B3491" s="3" t="s">
        <v>26</v>
      </c>
      <c r="C3491" s="3">
        <v>2754758</v>
      </c>
      <c r="D3491" s="3">
        <v>523405</v>
      </c>
      <c r="E3491" s="3" t="s">
        <v>27</v>
      </c>
      <c r="F3491" s="3">
        <v>1926154</v>
      </c>
      <c r="G3491" s="3">
        <v>356932</v>
      </c>
      <c r="H3491" s="3">
        <v>828604</v>
      </c>
      <c r="I3491" s="3">
        <v>166473</v>
      </c>
    </row>
    <row r="3492" spans="1:9">
      <c r="A3492" s="3" t="s">
        <v>3517</v>
      </c>
      <c r="B3492" s="3" t="s">
        <v>26</v>
      </c>
      <c r="C3492" s="3">
        <v>2869365</v>
      </c>
      <c r="D3492" s="3">
        <v>896206</v>
      </c>
      <c r="E3492" s="3" t="s">
        <v>27</v>
      </c>
      <c r="F3492" s="3">
        <v>2245776</v>
      </c>
      <c r="G3492" s="3">
        <v>700402</v>
      </c>
      <c r="H3492" s="3">
        <v>623589</v>
      </c>
      <c r="I3492" s="3">
        <v>195804</v>
      </c>
    </row>
    <row r="3493" spans="1:9">
      <c r="A3493" s="3" t="s">
        <v>3518</v>
      </c>
      <c r="B3493" s="3" t="s">
        <v>26</v>
      </c>
      <c r="C3493" s="3">
        <v>1192664</v>
      </c>
      <c r="D3493" s="3">
        <v>10683</v>
      </c>
      <c r="E3493" s="3" t="s">
        <v>27</v>
      </c>
      <c r="F3493" s="3">
        <v>626736</v>
      </c>
      <c r="G3493" s="3">
        <v>4591</v>
      </c>
      <c r="H3493" s="3">
        <v>565928</v>
      </c>
      <c r="I3493" s="3">
        <v>6092</v>
      </c>
    </row>
    <row r="3494" spans="1:9">
      <c r="A3494" s="3" t="s">
        <v>3519</v>
      </c>
      <c r="B3494" s="3" t="s">
        <v>26</v>
      </c>
      <c r="C3494" s="3">
        <v>29765</v>
      </c>
      <c r="D3494" s="3">
        <v>7421</v>
      </c>
      <c r="E3494" s="3" t="s">
        <v>27</v>
      </c>
      <c r="F3494" s="3">
        <v>25649</v>
      </c>
      <c r="G3494" s="3">
        <v>5927</v>
      </c>
      <c r="H3494" s="3">
        <v>4116</v>
      </c>
      <c r="I3494" s="3">
        <v>1494</v>
      </c>
    </row>
    <row r="3495" spans="1:9">
      <c r="A3495" s="3" t="s">
        <v>3520</v>
      </c>
      <c r="B3495" s="3" t="s">
        <v>26</v>
      </c>
      <c r="C3495" s="3">
        <v>2367958</v>
      </c>
      <c r="D3495" s="3">
        <v>428939</v>
      </c>
      <c r="E3495" s="3" t="s">
        <v>27</v>
      </c>
      <c r="F3495" s="3">
        <v>1694732</v>
      </c>
      <c r="G3495" s="3">
        <v>327800</v>
      </c>
      <c r="H3495" s="3">
        <v>673226</v>
      </c>
      <c r="I3495" s="3">
        <v>101139</v>
      </c>
    </row>
    <row r="3496" spans="1:9">
      <c r="A3496" s="3" t="s">
        <v>3521</v>
      </c>
      <c r="B3496" s="3" t="s">
        <v>26</v>
      </c>
      <c r="C3496" s="3">
        <v>1181328</v>
      </c>
      <c r="D3496" s="3">
        <v>28347</v>
      </c>
      <c r="E3496" s="3" t="s">
        <v>27</v>
      </c>
      <c r="F3496" s="3">
        <v>663076</v>
      </c>
      <c r="G3496" s="3">
        <v>16962</v>
      </c>
      <c r="H3496" s="3">
        <v>518252</v>
      </c>
      <c r="I3496" s="3">
        <v>11385</v>
      </c>
    </row>
    <row r="3497" spans="1:9">
      <c r="A3497" s="3" t="s">
        <v>3522</v>
      </c>
      <c r="B3497" s="3" t="s">
        <v>26</v>
      </c>
      <c r="C3497" s="3">
        <v>957180</v>
      </c>
      <c r="D3497" s="3">
        <v>3284</v>
      </c>
      <c r="E3497" s="3" t="s">
        <v>27</v>
      </c>
      <c r="F3497" s="3">
        <v>483696</v>
      </c>
      <c r="G3497" s="3">
        <v>1924</v>
      </c>
      <c r="H3497" s="3">
        <v>473484</v>
      </c>
      <c r="I3497" s="3">
        <v>1360</v>
      </c>
    </row>
    <row r="3498" spans="1:9">
      <c r="A3498" s="3" t="s">
        <v>3523</v>
      </c>
      <c r="B3498" s="3" t="s">
        <v>26</v>
      </c>
      <c r="C3498" s="3">
        <v>2157394</v>
      </c>
      <c r="D3498" s="3">
        <v>645315</v>
      </c>
      <c r="E3498" s="3" t="s">
        <v>27</v>
      </c>
      <c r="F3498" s="3">
        <v>1686626</v>
      </c>
      <c r="G3498" s="3">
        <v>467062</v>
      </c>
      <c r="H3498" s="3">
        <v>470768</v>
      </c>
      <c r="I3498" s="3">
        <v>178253</v>
      </c>
    </row>
    <row r="3499" spans="1:9">
      <c r="A3499" s="3" t="s">
        <v>3524</v>
      </c>
      <c r="B3499" s="3" t="s">
        <v>26</v>
      </c>
      <c r="C3499" s="3">
        <v>2353614</v>
      </c>
      <c r="D3499" s="3">
        <v>653516</v>
      </c>
      <c r="E3499" s="3" t="s">
        <v>27</v>
      </c>
      <c r="F3499" s="3">
        <v>1664282</v>
      </c>
      <c r="G3499" s="3">
        <v>474065</v>
      </c>
      <c r="H3499" s="3">
        <v>689332</v>
      </c>
      <c r="I3499" s="3">
        <v>179451</v>
      </c>
    </row>
    <row r="3500" spans="1:9">
      <c r="A3500" s="3" t="s">
        <v>3525</v>
      </c>
      <c r="B3500" s="3" t="s">
        <v>26</v>
      </c>
      <c r="C3500" s="3">
        <v>3027416</v>
      </c>
      <c r="D3500" s="3">
        <v>715140</v>
      </c>
      <c r="E3500" s="3" t="s">
        <v>27</v>
      </c>
      <c r="F3500" s="3">
        <v>2140491</v>
      </c>
      <c r="G3500" s="3">
        <v>479769</v>
      </c>
      <c r="H3500" s="3">
        <v>886925</v>
      </c>
      <c r="I3500" s="3">
        <v>235371</v>
      </c>
    </row>
    <row r="3501" spans="1:9">
      <c r="A3501" s="3" t="s">
        <v>3526</v>
      </c>
      <c r="B3501" s="3" t="s">
        <v>26</v>
      </c>
      <c r="C3501" s="3">
        <v>2385331</v>
      </c>
      <c r="D3501" s="3">
        <v>451430</v>
      </c>
      <c r="E3501" s="3" t="s">
        <v>27</v>
      </c>
      <c r="F3501" s="3">
        <v>1558968</v>
      </c>
      <c r="G3501" s="3">
        <v>310953</v>
      </c>
      <c r="H3501" s="3">
        <v>826363</v>
      </c>
      <c r="I3501" s="3">
        <v>140477</v>
      </c>
    </row>
    <row r="3502" spans="1:9">
      <c r="A3502" s="3" t="s">
        <v>3527</v>
      </c>
      <c r="B3502" s="3" t="s">
        <v>26</v>
      </c>
      <c r="C3502" s="3">
        <v>2410706</v>
      </c>
      <c r="D3502" s="3">
        <v>140490</v>
      </c>
      <c r="E3502" s="3" t="s">
        <v>27</v>
      </c>
      <c r="F3502" s="3">
        <v>1388013</v>
      </c>
      <c r="G3502" s="3">
        <v>85529</v>
      </c>
      <c r="H3502" s="3">
        <v>1022693</v>
      </c>
      <c r="I3502" s="3">
        <v>54961</v>
      </c>
    </row>
    <row r="3503" spans="1:9">
      <c r="A3503" s="3" t="s">
        <v>3528</v>
      </c>
      <c r="B3503" s="3" t="s">
        <v>26</v>
      </c>
      <c r="C3503" s="3">
        <v>1359764</v>
      </c>
      <c r="D3503" s="3">
        <v>18486</v>
      </c>
      <c r="E3503" s="3" t="s">
        <v>27</v>
      </c>
      <c r="F3503" s="3">
        <v>676193</v>
      </c>
      <c r="G3503" s="3">
        <v>7648</v>
      </c>
      <c r="H3503" s="3">
        <v>683571</v>
      </c>
      <c r="I3503" s="3">
        <v>10838</v>
      </c>
    </row>
    <row r="3504" spans="1:9">
      <c r="A3504" s="3" t="s">
        <v>3529</v>
      </c>
      <c r="B3504" s="3" t="s">
        <v>26</v>
      </c>
      <c r="C3504" s="3">
        <v>1010896</v>
      </c>
      <c r="D3504" s="3">
        <v>4231</v>
      </c>
      <c r="E3504" s="3" t="s">
        <v>27</v>
      </c>
      <c r="F3504" s="3">
        <v>544682</v>
      </c>
      <c r="G3504" s="3">
        <v>2014</v>
      </c>
      <c r="H3504" s="3">
        <v>466214</v>
      </c>
      <c r="I3504" s="3">
        <v>2217</v>
      </c>
    </row>
    <row r="3505" spans="1:9">
      <c r="A3505" s="3" t="s">
        <v>3530</v>
      </c>
      <c r="B3505" s="3" t="s">
        <v>26</v>
      </c>
      <c r="C3505" s="3">
        <v>2257387</v>
      </c>
      <c r="D3505" s="3">
        <v>407989</v>
      </c>
      <c r="E3505" s="3" t="s">
        <v>27</v>
      </c>
      <c r="F3505" s="3">
        <v>1413058</v>
      </c>
      <c r="G3505" s="3">
        <v>232407</v>
      </c>
      <c r="H3505" s="3">
        <v>844329</v>
      </c>
      <c r="I3505" s="3">
        <v>175582</v>
      </c>
    </row>
    <row r="3506" spans="1:9">
      <c r="A3506" s="3" t="s">
        <v>3531</v>
      </c>
      <c r="B3506" s="3" t="s">
        <v>26</v>
      </c>
      <c r="C3506" s="3">
        <v>2031501</v>
      </c>
      <c r="D3506" s="3">
        <v>366031</v>
      </c>
      <c r="E3506" s="3" t="s">
        <v>27</v>
      </c>
      <c r="F3506" s="3">
        <v>1273238</v>
      </c>
      <c r="G3506" s="3">
        <v>227672</v>
      </c>
      <c r="H3506" s="3">
        <v>758263</v>
      </c>
      <c r="I3506" s="3">
        <v>138359</v>
      </c>
    </row>
    <row r="3507" spans="1:9">
      <c r="A3507" s="3" t="s">
        <v>3532</v>
      </c>
      <c r="B3507" s="3" t="s">
        <v>26</v>
      </c>
      <c r="C3507" s="3">
        <v>1800367</v>
      </c>
      <c r="D3507" s="3">
        <v>390036</v>
      </c>
      <c r="E3507" s="3" t="s">
        <v>27</v>
      </c>
      <c r="F3507" s="3">
        <v>1355751</v>
      </c>
      <c r="G3507" s="3">
        <v>263144</v>
      </c>
      <c r="H3507" s="3">
        <v>444616</v>
      </c>
      <c r="I3507" s="3">
        <v>126892</v>
      </c>
    </row>
    <row r="3508" spans="1:9">
      <c r="A3508" s="3" t="s">
        <v>3533</v>
      </c>
      <c r="B3508" s="3" t="s">
        <v>26</v>
      </c>
      <c r="C3508" s="3">
        <v>1551282</v>
      </c>
      <c r="D3508" s="3">
        <v>86341</v>
      </c>
      <c r="E3508" s="3" t="s">
        <v>27</v>
      </c>
      <c r="F3508" s="3">
        <v>1001749</v>
      </c>
      <c r="G3508" s="3">
        <v>65080</v>
      </c>
      <c r="H3508" s="3">
        <v>549533</v>
      </c>
      <c r="I3508" s="3">
        <v>21261</v>
      </c>
    </row>
    <row r="3509" spans="1:9">
      <c r="A3509" s="3" t="s">
        <v>3534</v>
      </c>
      <c r="B3509" s="3" t="s">
        <v>26</v>
      </c>
      <c r="C3509" s="3">
        <v>1384426</v>
      </c>
      <c r="D3509" s="3">
        <v>92357</v>
      </c>
      <c r="E3509" s="3" t="s">
        <v>27</v>
      </c>
      <c r="F3509" s="3">
        <v>847976</v>
      </c>
      <c r="G3509" s="3">
        <v>54250</v>
      </c>
      <c r="H3509" s="3">
        <v>536450</v>
      </c>
      <c r="I3509" s="3">
        <v>38107</v>
      </c>
    </row>
    <row r="3510" spans="1:9">
      <c r="A3510" s="3" t="s">
        <v>3535</v>
      </c>
      <c r="B3510" s="3" t="s">
        <v>26</v>
      </c>
      <c r="C3510" s="3">
        <v>2314778</v>
      </c>
      <c r="D3510" s="3">
        <v>531001</v>
      </c>
      <c r="E3510" s="3" t="s">
        <v>27</v>
      </c>
      <c r="F3510" s="3">
        <v>1428365</v>
      </c>
      <c r="G3510" s="3">
        <v>346887</v>
      </c>
      <c r="H3510" s="3">
        <v>886413</v>
      </c>
      <c r="I3510" s="3">
        <v>184114</v>
      </c>
    </row>
    <row r="3511" spans="1:9">
      <c r="A3511" s="3" t="s">
        <v>3536</v>
      </c>
      <c r="B3511" s="3" t="s">
        <v>26</v>
      </c>
      <c r="C3511" s="3">
        <v>2497060</v>
      </c>
      <c r="D3511" s="3">
        <v>835540</v>
      </c>
      <c r="E3511" s="3" t="s">
        <v>27</v>
      </c>
      <c r="F3511" s="3">
        <v>2109183</v>
      </c>
      <c r="G3511" s="3">
        <v>676992</v>
      </c>
      <c r="H3511" s="3">
        <v>387877</v>
      </c>
      <c r="I3511" s="3">
        <v>158548</v>
      </c>
    </row>
    <row r="3512" spans="1:9">
      <c r="A3512" s="3" t="s">
        <v>3537</v>
      </c>
      <c r="B3512" s="3" t="s">
        <v>26</v>
      </c>
      <c r="C3512" s="3">
        <v>2649062</v>
      </c>
      <c r="D3512" s="3">
        <v>943431</v>
      </c>
      <c r="E3512" s="3" t="s">
        <v>27</v>
      </c>
      <c r="F3512" s="3">
        <v>1787777</v>
      </c>
      <c r="G3512" s="3">
        <v>633802</v>
      </c>
      <c r="H3512" s="3">
        <v>861285</v>
      </c>
      <c r="I3512" s="3">
        <v>309629</v>
      </c>
    </row>
    <row r="3513" spans="1:9">
      <c r="A3513" s="3" t="s">
        <v>3538</v>
      </c>
      <c r="B3513" s="3" t="s">
        <v>26</v>
      </c>
      <c r="C3513" s="3">
        <v>1347075</v>
      </c>
      <c r="D3513" s="3">
        <v>228638</v>
      </c>
      <c r="E3513" s="3" t="s">
        <v>27</v>
      </c>
      <c r="F3513" s="3">
        <v>1234780</v>
      </c>
      <c r="G3513" s="3">
        <v>198325</v>
      </c>
      <c r="H3513" s="3">
        <v>112295</v>
      </c>
      <c r="I3513" s="3">
        <v>30313</v>
      </c>
    </row>
    <row r="3514" spans="1:9">
      <c r="A3514" s="3" t="s">
        <v>3539</v>
      </c>
      <c r="B3514" s="3" t="s">
        <v>26</v>
      </c>
      <c r="C3514" s="3">
        <v>2836027</v>
      </c>
      <c r="D3514" s="3">
        <v>1050019</v>
      </c>
      <c r="E3514" s="3" t="s">
        <v>27</v>
      </c>
      <c r="F3514" s="3">
        <v>2121147</v>
      </c>
      <c r="G3514" s="3">
        <v>763869</v>
      </c>
      <c r="H3514" s="3">
        <v>714880</v>
      </c>
      <c r="I3514" s="3">
        <v>286150</v>
      </c>
    </row>
    <row r="3515" spans="1:9">
      <c r="A3515" s="3" t="s">
        <v>3540</v>
      </c>
      <c r="B3515" s="3" t="s">
        <v>26</v>
      </c>
      <c r="C3515" s="3">
        <v>2182647</v>
      </c>
      <c r="D3515" s="3">
        <v>464812</v>
      </c>
      <c r="E3515" s="3" t="s">
        <v>27</v>
      </c>
      <c r="F3515" s="3">
        <v>1491727</v>
      </c>
      <c r="G3515" s="3">
        <v>338014</v>
      </c>
      <c r="H3515" s="3">
        <v>690920</v>
      </c>
      <c r="I3515" s="3">
        <v>126798</v>
      </c>
    </row>
    <row r="3516" spans="1:9">
      <c r="A3516" s="3" t="s">
        <v>3541</v>
      </c>
      <c r="B3516" s="3" t="s">
        <v>26</v>
      </c>
      <c r="C3516" s="3">
        <v>2272919</v>
      </c>
      <c r="D3516" s="3">
        <v>441446</v>
      </c>
      <c r="E3516" s="3" t="s">
        <v>27</v>
      </c>
      <c r="F3516" s="3">
        <v>1455615</v>
      </c>
      <c r="G3516" s="3">
        <v>304591</v>
      </c>
      <c r="H3516" s="3">
        <v>817304</v>
      </c>
      <c r="I3516" s="3">
        <v>136855</v>
      </c>
    </row>
    <row r="3517" spans="1:9">
      <c r="A3517" s="3" t="s">
        <v>3542</v>
      </c>
      <c r="B3517" s="3" t="s">
        <v>26</v>
      </c>
      <c r="C3517" s="3">
        <v>2525749</v>
      </c>
      <c r="D3517" s="3">
        <v>806193</v>
      </c>
      <c r="E3517" s="3" t="s">
        <v>27</v>
      </c>
      <c r="F3517" s="3">
        <v>1999728</v>
      </c>
      <c r="G3517" s="3">
        <v>678322</v>
      </c>
      <c r="H3517" s="3">
        <v>526021</v>
      </c>
      <c r="I3517" s="3">
        <v>127871</v>
      </c>
    </row>
    <row r="3518" spans="1:9">
      <c r="A3518" s="3" t="s">
        <v>3543</v>
      </c>
      <c r="B3518" s="3" t="s">
        <v>26</v>
      </c>
      <c r="C3518" s="3">
        <v>1488233</v>
      </c>
      <c r="D3518" s="3">
        <v>224719</v>
      </c>
      <c r="E3518" s="3" t="s">
        <v>27</v>
      </c>
      <c r="F3518" s="3">
        <v>997537</v>
      </c>
      <c r="G3518" s="3">
        <v>138119</v>
      </c>
      <c r="H3518" s="3">
        <v>490696</v>
      </c>
      <c r="I3518" s="3">
        <v>86600</v>
      </c>
    </row>
    <row r="3519" spans="1:9">
      <c r="A3519" s="3" t="s">
        <v>3544</v>
      </c>
      <c r="B3519" s="3" t="s">
        <v>26</v>
      </c>
      <c r="C3519" s="3">
        <v>2304687</v>
      </c>
      <c r="D3519" s="3">
        <v>579597</v>
      </c>
      <c r="E3519" s="3" t="s">
        <v>27</v>
      </c>
      <c r="F3519" s="3">
        <v>1881882</v>
      </c>
      <c r="G3519" s="3">
        <v>464012</v>
      </c>
      <c r="H3519" s="3">
        <v>422805</v>
      </c>
      <c r="I3519" s="3">
        <v>115585</v>
      </c>
    </row>
    <row r="3520" spans="1:9">
      <c r="A3520" s="3" t="s">
        <v>3545</v>
      </c>
      <c r="B3520" s="3" t="s">
        <v>26</v>
      </c>
      <c r="C3520" s="3">
        <v>2554172</v>
      </c>
      <c r="D3520" s="3">
        <v>673126</v>
      </c>
      <c r="E3520" s="3" t="s">
        <v>27</v>
      </c>
      <c r="F3520" s="3">
        <v>1810900</v>
      </c>
      <c r="G3520" s="3">
        <v>471140</v>
      </c>
      <c r="H3520" s="3">
        <v>743272</v>
      </c>
      <c r="I3520" s="3">
        <v>201986</v>
      </c>
    </row>
    <row r="3521" spans="1:9">
      <c r="A3521" s="3" t="s">
        <v>3546</v>
      </c>
      <c r="B3521" s="3" t="s">
        <v>26</v>
      </c>
      <c r="C3521" s="3">
        <v>1632479</v>
      </c>
      <c r="D3521" s="3">
        <v>20658</v>
      </c>
      <c r="E3521" s="3" t="s">
        <v>27</v>
      </c>
      <c r="F3521" s="3">
        <v>893084</v>
      </c>
      <c r="G3521" s="3">
        <v>9797</v>
      </c>
      <c r="H3521" s="3">
        <v>739395</v>
      </c>
      <c r="I3521" s="3">
        <v>10861</v>
      </c>
    </row>
    <row r="3522" spans="1:9">
      <c r="A3522" s="3" t="s">
        <v>3547</v>
      </c>
      <c r="B3522" s="3" t="s">
        <v>26</v>
      </c>
      <c r="C3522" s="3">
        <v>2513708</v>
      </c>
      <c r="D3522" s="3">
        <v>743803</v>
      </c>
      <c r="E3522" s="3" t="s">
        <v>27</v>
      </c>
      <c r="F3522" s="3">
        <v>1766888</v>
      </c>
      <c r="G3522" s="3">
        <v>556196</v>
      </c>
      <c r="H3522" s="3">
        <v>746820</v>
      </c>
      <c r="I3522" s="3">
        <v>187607</v>
      </c>
    </row>
    <row r="3523" spans="1:9">
      <c r="A3523" s="3" t="s">
        <v>3548</v>
      </c>
      <c r="B3523" s="3" t="s">
        <v>26</v>
      </c>
      <c r="C3523" s="3">
        <v>2011928</v>
      </c>
      <c r="D3523" s="3">
        <v>439303</v>
      </c>
      <c r="E3523" s="3" t="s">
        <v>27</v>
      </c>
      <c r="F3523" s="3">
        <v>1248124</v>
      </c>
      <c r="G3523" s="3">
        <v>276859</v>
      </c>
      <c r="H3523" s="3">
        <v>763804</v>
      </c>
      <c r="I3523" s="3">
        <v>162444</v>
      </c>
    </row>
    <row r="3524" spans="1:9">
      <c r="A3524" s="3" t="s">
        <v>3549</v>
      </c>
      <c r="B3524" s="3" t="s">
        <v>26</v>
      </c>
      <c r="C3524" s="3">
        <v>2302602</v>
      </c>
      <c r="D3524" s="3">
        <v>487781</v>
      </c>
      <c r="E3524" s="3" t="s">
        <v>27</v>
      </c>
      <c r="F3524" s="3">
        <v>1361543</v>
      </c>
      <c r="G3524" s="3">
        <v>290583</v>
      </c>
      <c r="H3524" s="3">
        <v>941059</v>
      </c>
      <c r="I3524" s="3">
        <v>197198</v>
      </c>
    </row>
    <row r="3525" spans="1:9">
      <c r="A3525" s="3" t="s">
        <v>3550</v>
      </c>
      <c r="B3525" s="3" t="s">
        <v>26</v>
      </c>
      <c r="C3525" s="3">
        <v>1589163</v>
      </c>
      <c r="D3525" s="3">
        <v>194332</v>
      </c>
      <c r="E3525" s="3" t="s">
        <v>27</v>
      </c>
      <c r="F3525" s="3">
        <v>1133711</v>
      </c>
      <c r="G3525" s="3">
        <v>132536</v>
      </c>
      <c r="H3525" s="3">
        <v>455452</v>
      </c>
      <c r="I3525" s="3">
        <v>61796</v>
      </c>
    </row>
    <row r="3526" spans="1:9">
      <c r="A3526" s="3" t="s">
        <v>3551</v>
      </c>
      <c r="B3526" s="3" t="s">
        <v>26</v>
      </c>
      <c r="C3526" s="3">
        <v>2017743</v>
      </c>
      <c r="D3526" s="3">
        <v>292706</v>
      </c>
      <c r="E3526" s="3" t="s">
        <v>27</v>
      </c>
      <c r="F3526" s="3">
        <v>1251357</v>
      </c>
      <c r="G3526" s="3">
        <v>180827</v>
      </c>
      <c r="H3526" s="3">
        <v>766386</v>
      </c>
      <c r="I3526" s="3">
        <v>111879</v>
      </c>
    </row>
    <row r="3527" spans="1:9">
      <c r="A3527" s="3" t="s">
        <v>3552</v>
      </c>
      <c r="B3527" s="3" t="s">
        <v>26</v>
      </c>
      <c r="C3527" s="3">
        <v>1627575</v>
      </c>
      <c r="D3527" s="3">
        <v>122209</v>
      </c>
      <c r="E3527" s="3" t="s">
        <v>27</v>
      </c>
      <c r="F3527" s="3">
        <v>949531</v>
      </c>
      <c r="G3527" s="3">
        <v>84773</v>
      </c>
      <c r="H3527" s="3">
        <v>678044</v>
      </c>
      <c r="I3527" s="3">
        <v>37436</v>
      </c>
    </row>
    <row r="3528" spans="1:9">
      <c r="A3528" s="3" t="s">
        <v>3553</v>
      </c>
      <c r="B3528" s="3" t="s">
        <v>26</v>
      </c>
      <c r="C3528" s="3">
        <v>1460959</v>
      </c>
      <c r="D3528" s="3">
        <v>203040</v>
      </c>
      <c r="E3528" s="3" t="s">
        <v>27</v>
      </c>
      <c r="F3528" s="3">
        <v>887554</v>
      </c>
      <c r="G3528" s="3">
        <v>138287</v>
      </c>
      <c r="H3528" s="3">
        <v>573405</v>
      </c>
      <c r="I3528" s="3">
        <v>64753</v>
      </c>
    </row>
    <row r="3529" spans="1:9">
      <c r="A3529" s="3" t="s">
        <v>3554</v>
      </c>
      <c r="B3529" s="3" t="s">
        <v>26</v>
      </c>
      <c r="C3529" s="3">
        <v>2524637</v>
      </c>
      <c r="D3529" s="3">
        <v>863060</v>
      </c>
      <c r="E3529" s="3" t="s">
        <v>27</v>
      </c>
      <c r="F3529" s="3">
        <v>1934692</v>
      </c>
      <c r="G3529" s="3">
        <v>623782</v>
      </c>
      <c r="H3529" s="3">
        <v>589945</v>
      </c>
      <c r="I3529" s="3">
        <v>239278</v>
      </c>
    </row>
    <row r="3530" spans="1:9">
      <c r="A3530" s="3" t="s">
        <v>3555</v>
      </c>
      <c r="B3530" s="3" t="s">
        <v>26</v>
      </c>
      <c r="C3530" s="3">
        <v>1506818</v>
      </c>
      <c r="D3530" s="3">
        <v>157606</v>
      </c>
      <c r="E3530" s="3" t="s">
        <v>27</v>
      </c>
      <c r="F3530" s="3">
        <v>989265</v>
      </c>
      <c r="G3530" s="3">
        <v>101473</v>
      </c>
      <c r="H3530" s="3">
        <v>517553</v>
      </c>
      <c r="I3530" s="3">
        <v>56133</v>
      </c>
    </row>
    <row r="3531" spans="1:9">
      <c r="A3531" s="3" t="s">
        <v>3556</v>
      </c>
      <c r="B3531" s="3" t="s">
        <v>26</v>
      </c>
      <c r="C3531" s="3">
        <v>1075229</v>
      </c>
      <c r="D3531" s="3">
        <v>206253</v>
      </c>
      <c r="E3531" s="3" t="s">
        <v>27</v>
      </c>
      <c r="F3531" s="3">
        <v>721978</v>
      </c>
      <c r="G3531" s="3">
        <v>145071</v>
      </c>
      <c r="H3531" s="3">
        <v>353251</v>
      </c>
      <c r="I3531" s="3">
        <v>61182</v>
      </c>
    </row>
    <row r="3532" spans="1:9">
      <c r="A3532" s="3" t="s">
        <v>3557</v>
      </c>
      <c r="B3532" s="3" t="s">
        <v>26</v>
      </c>
      <c r="C3532" s="3">
        <v>1603933</v>
      </c>
      <c r="D3532" s="3">
        <v>464714</v>
      </c>
      <c r="E3532" s="3" t="s">
        <v>27</v>
      </c>
      <c r="F3532" s="3">
        <v>1179660</v>
      </c>
      <c r="G3532" s="3">
        <v>323880</v>
      </c>
      <c r="H3532" s="3">
        <v>424273</v>
      </c>
      <c r="I3532" s="3">
        <v>140834</v>
      </c>
    </row>
    <row r="3533" spans="1:9">
      <c r="A3533" s="3" t="s">
        <v>3558</v>
      </c>
      <c r="B3533" s="3" t="s">
        <v>26</v>
      </c>
      <c r="C3533" s="3">
        <v>1658689</v>
      </c>
      <c r="D3533" s="3">
        <v>476378</v>
      </c>
      <c r="E3533" s="3" t="s">
        <v>27</v>
      </c>
      <c r="F3533" s="3">
        <v>1390043</v>
      </c>
      <c r="G3533" s="3">
        <v>375646</v>
      </c>
      <c r="H3533" s="3">
        <v>268646</v>
      </c>
      <c r="I3533" s="3">
        <v>100732</v>
      </c>
    </row>
    <row r="3534" spans="1:9">
      <c r="A3534" s="3" t="s">
        <v>3559</v>
      </c>
      <c r="B3534" s="3" t="s">
        <v>26</v>
      </c>
      <c r="C3534" s="3">
        <v>1246571</v>
      </c>
      <c r="D3534" s="3">
        <v>168847</v>
      </c>
      <c r="E3534" s="3" t="s">
        <v>27</v>
      </c>
      <c r="F3534" s="3">
        <v>774032</v>
      </c>
      <c r="G3534" s="3">
        <v>116953</v>
      </c>
      <c r="H3534" s="3">
        <v>472539</v>
      </c>
      <c r="I3534" s="3">
        <v>51894</v>
      </c>
    </row>
    <row r="3535" spans="1:9">
      <c r="A3535" s="3" t="s">
        <v>3560</v>
      </c>
      <c r="B3535" s="3" t="s">
        <v>26</v>
      </c>
      <c r="C3535" s="3">
        <v>828239</v>
      </c>
      <c r="D3535" s="3">
        <v>66951</v>
      </c>
      <c r="E3535" s="3" t="s">
        <v>27</v>
      </c>
      <c r="F3535" s="3">
        <v>533160</v>
      </c>
      <c r="G3535" s="3">
        <v>46353</v>
      </c>
      <c r="H3535" s="3">
        <v>295079</v>
      </c>
      <c r="I3535" s="3">
        <v>20598</v>
      </c>
    </row>
    <row r="3536" spans="1:9">
      <c r="A3536" s="3" t="s">
        <v>3561</v>
      </c>
      <c r="B3536" s="3" t="s">
        <v>26</v>
      </c>
      <c r="C3536" s="3">
        <v>1131941</v>
      </c>
      <c r="D3536" s="3">
        <v>258098</v>
      </c>
      <c r="E3536" s="3" t="s">
        <v>27</v>
      </c>
      <c r="F3536" s="3">
        <v>917639</v>
      </c>
      <c r="G3536" s="3">
        <v>195909</v>
      </c>
      <c r="H3536" s="3">
        <v>214302</v>
      </c>
      <c r="I3536" s="3">
        <v>62189</v>
      </c>
    </row>
    <row r="3537" spans="1:9">
      <c r="A3537" s="3" t="s">
        <v>3562</v>
      </c>
      <c r="B3537" s="3" t="s">
        <v>26</v>
      </c>
      <c r="C3537" s="3">
        <v>1759954</v>
      </c>
      <c r="D3537" s="3">
        <v>571715</v>
      </c>
      <c r="E3537" s="3" t="s">
        <v>27</v>
      </c>
      <c r="F3537" s="3">
        <v>1404551</v>
      </c>
      <c r="G3537" s="3">
        <v>444210</v>
      </c>
      <c r="H3537" s="3">
        <v>355403</v>
      </c>
      <c r="I3537" s="3">
        <v>127505</v>
      </c>
    </row>
    <row r="3538" spans="1:9">
      <c r="A3538" s="3" t="s">
        <v>3563</v>
      </c>
      <c r="B3538" s="3" t="s">
        <v>26</v>
      </c>
      <c r="C3538" s="3">
        <v>611245</v>
      </c>
      <c r="D3538" s="3">
        <v>20924</v>
      </c>
      <c r="E3538" s="3" t="s">
        <v>27</v>
      </c>
      <c r="F3538" s="3">
        <v>325252</v>
      </c>
      <c r="G3538" s="3">
        <v>9745</v>
      </c>
      <c r="H3538" s="3">
        <v>285993</v>
      </c>
      <c r="I3538" s="3">
        <v>11179</v>
      </c>
    </row>
    <row r="3539" spans="1:9">
      <c r="A3539" s="3" t="s">
        <v>3564</v>
      </c>
      <c r="B3539" s="3" t="s">
        <v>26</v>
      </c>
      <c r="C3539" s="3">
        <v>626504</v>
      </c>
      <c r="D3539" s="3">
        <v>15092</v>
      </c>
      <c r="E3539" s="3" t="s">
        <v>27</v>
      </c>
      <c r="F3539" s="3">
        <v>344930</v>
      </c>
      <c r="G3539" s="3">
        <v>11058</v>
      </c>
      <c r="H3539" s="3">
        <v>281574</v>
      </c>
      <c r="I3539" s="3">
        <v>4034</v>
      </c>
    </row>
    <row r="3540" spans="1:9">
      <c r="A3540" s="3" t="s">
        <v>3565</v>
      </c>
      <c r="B3540" s="3" t="s">
        <v>26</v>
      </c>
      <c r="C3540" s="3">
        <v>1432701</v>
      </c>
      <c r="D3540" s="3">
        <v>358603</v>
      </c>
      <c r="E3540" s="3" t="s">
        <v>27</v>
      </c>
      <c r="F3540" s="3">
        <v>1094137</v>
      </c>
      <c r="G3540" s="3">
        <v>247771</v>
      </c>
      <c r="H3540" s="3">
        <v>338564</v>
      </c>
      <c r="I3540" s="3">
        <v>110832</v>
      </c>
    </row>
    <row r="3541" spans="1:9">
      <c r="A3541" s="3" t="s">
        <v>3566</v>
      </c>
      <c r="B3541" s="3" t="s">
        <v>26</v>
      </c>
      <c r="C3541" s="3">
        <v>1378514</v>
      </c>
      <c r="D3541" s="3">
        <v>236689</v>
      </c>
      <c r="E3541" s="3" t="s">
        <v>27</v>
      </c>
      <c r="F3541" s="3">
        <v>771424</v>
      </c>
      <c r="G3541" s="3">
        <v>156767</v>
      </c>
      <c r="H3541" s="3">
        <v>607090</v>
      </c>
      <c r="I3541" s="3">
        <v>79922</v>
      </c>
    </row>
    <row r="3542" spans="1:9">
      <c r="A3542" s="3" t="s">
        <v>3567</v>
      </c>
      <c r="B3542" s="3" t="s">
        <v>26</v>
      </c>
      <c r="C3542" s="3">
        <v>1192805</v>
      </c>
      <c r="D3542" s="3">
        <v>304478</v>
      </c>
      <c r="E3542" s="3" t="s">
        <v>27</v>
      </c>
      <c r="F3542" s="3">
        <v>983897</v>
      </c>
      <c r="G3542" s="3">
        <v>241665</v>
      </c>
      <c r="H3542" s="3">
        <v>208908</v>
      </c>
      <c r="I3542" s="3">
        <v>62813</v>
      </c>
    </row>
    <row r="3543" spans="1:9">
      <c r="A3543" s="3" t="s">
        <v>3568</v>
      </c>
      <c r="B3543" s="3" t="s">
        <v>26</v>
      </c>
      <c r="C3543" s="3">
        <v>942932</v>
      </c>
      <c r="D3543" s="3">
        <v>132621</v>
      </c>
      <c r="E3543" s="3" t="s">
        <v>27</v>
      </c>
      <c r="F3543" s="3">
        <v>668743</v>
      </c>
      <c r="G3543" s="3">
        <v>103610</v>
      </c>
      <c r="H3543" s="3">
        <v>274189</v>
      </c>
      <c r="I3543" s="3">
        <v>29011</v>
      </c>
    </row>
    <row r="3544" spans="1:9">
      <c r="A3544" s="3" t="s">
        <v>3569</v>
      </c>
      <c r="B3544" s="3" t="s">
        <v>26</v>
      </c>
      <c r="C3544" s="3">
        <v>1015379</v>
      </c>
      <c r="D3544" s="3">
        <v>229385</v>
      </c>
      <c r="E3544" s="3" t="s">
        <v>27</v>
      </c>
      <c r="F3544" s="3">
        <v>819975</v>
      </c>
      <c r="G3544" s="3">
        <v>163968</v>
      </c>
      <c r="H3544" s="3">
        <v>195404</v>
      </c>
      <c r="I3544" s="3">
        <v>65417</v>
      </c>
    </row>
    <row r="3545" spans="1:9">
      <c r="A3545" s="3" t="s">
        <v>3570</v>
      </c>
      <c r="B3545" s="3" t="s">
        <v>26</v>
      </c>
      <c r="C3545" s="3">
        <v>512260</v>
      </c>
      <c r="D3545" s="3">
        <v>1074</v>
      </c>
      <c r="E3545" s="3" t="s">
        <v>27</v>
      </c>
      <c r="F3545" s="3">
        <v>262413</v>
      </c>
      <c r="G3545" s="3">
        <v>427</v>
      </c>
      <c r="H3545" s="3">
        <v>249847</v>
      </c>
      <c r="I3545" s="3">
        <v>647</v>
      </c>
    </row>
    <row r="3546" spans="1:9">
      <c r="A3546" s="3" t="s">
        <v>3571</v>
      </c>
      <c r="B3546" s="3" t="s">
        <v>26</v>
      </c>
      <c r="C3546" s="3">
        <v>862987</v>
      </c>
      <c r="D3546" s="3">
        <v>7760</v>
      </c>
      <c r="E3546" s="3" t="s">
        <v>27</v>
      </c>
      <c r="F3546" s="3">
        <v>350904</v>
      </c>
      <c r="G3546" s="3">
        <v>3906</v>
      </c>
      <c r="H3546" s="3">
        <v>512083</v>
      </c>
      <c r="I3546" s="3">
        <v>3854</v>
      </c>
    </row>
    <row r="3547" spans="1:9">
      <c r="A3547" s="3" t="s">
        <v>3572</v>
      </c>
      <c r="B3547" s="3" t="s">
        <v>26</v>
      </c>
      <c r="C3547" s="3">
        <v>1366055</v>
      </c>
      <c r="D3547" s="3">
        <v>346553</v>
      </c>
      <c r="E3547" s="3" t="s">
        <v>27</v>
      </c>
      <c r="F3547" s="3">
        <v>1002220</v>
      </c>
      <c r="G3547" s="3">
        <v>235209</v>
      </c>
      <c r="H3547" s="3">
        <v>363835</v>
      </c>
      <c r="I3547" s="3">
        <v>111344</v>
      </c>
    </row>
    <row r="3548" spans="1:9">
      <c r="A3548" s="3" t="s">
        <v>3573</v>
      </c>
      <c r="B3548" s="3" t="s">
        <v>26</v>
      </c>
      <c r="C3548" s="3">
        <v>1267375</v>
      </c>
      <c r="D3548" s="3">
        <v>318708</v>
      </c>
      <c r="E3548" s="3" t="s">
        <v>27</v>
      </c>
      <c r="F3548" s="3">
        <v>906869</v>
      </c>
      <c r="G3548" s="3">
        <v>217765</v>
      </c>
      <c r="H3548" s="3">
        <v>360506</v>
      </c>
      <c r="I3548" s="3">
        <v>100943</v>
      </c>
    </row>
    <row r="3549" spans="1:9">
      <c r="A3549" s="3" t="s">
        <v>3574</v>
      </c>
      <c r="B3549" s="3" t="s">
        <v>26</v>
      </c>
      <c r="C3549" s="3">
        <v>1569618</v>
      </c>
      <c r="D3549" s="3">
        <v>445874</v>
      </c>
      <c r="E3549" s="3" t="s">
        <v>27</v>
      </c>
      <c r="F3549" s="3">
        <v>1193490</v>
      </c>
      <c r="G3549" s="3">
        <v>329808</v>
      </c>
      <c r="H3549" s="3">
        <v>376128</v>
      </c>
      <c r="I3549" s="3">
        <v>116066</v>
      </c>
    </row>
    <row r="3550" spans="1:9">
      <c r="A3550" s="3" t="s">
        <v>3575</v>
      </c>
      <c r="B3550" s="3" t="s">
        <v>26</v>
      </c>
      <c r="C3550" s="3">
        <v>507421</v>
      </c>
      <c r="D3550" s="3">
        <v>599</v>
      </c>
      <c r="E3550" s="3" t="s">
        <v>27</v>
      </c>
      <c r="F3550" s="3">
        <v>263049</v>
      </c>
      <c r="G3550" s="3">
        <v>282</v>
      </c>
      <c r="H3550" s="3">
        <v>244372</v>
      </c>
      <c r="I3550" s="3">
        <v>317</v>
      </c>
    </row>
    <row r="3551" spans="1:9">
      <c r="A3551" s="3" t="s">
        <v>3576</v>
      </c>
      <c r="B3551" s="3" t="s">
        <v>26</v>
      </c>
      <c r="C3551" s="3">
        <v>1659673</v>
      </c>
      <c r="D3551" s="3">
        <v>432758</v>
      </c>
      <c r="E3551" s="3" t="s">
        <v>27</v>
      </c>
      <c r="F3551" s="3">
        <v>1418589</v>
      </c>
      <c r="G3551" s="3">
        <v>352738</v>
      </c>
      <c r="H3551" s="3">
        <v>241084</v>
      </c>
      <c r="I3551" s="3">
        <v>80020</v>
      </c>
    </row>
    <row r="3552" spans="1:9">
      <c r="A3552" s="3" t="s">
        <v>3577</v>
      </c>
      <c r="B3552" s="3" t="s">
        <v>26</v>
      </c>
      <c r="C3552" s="3">
        <v>407479</v>
      </c>
      <c r="D3552" s="3">
        <v>75538</v>
      </c>
      <c r="E3552" s="3" t="s">
        <v>27</v>
      </c>
      <c r="F3552" s="3">
        <v>305072</v>
      </c>
      <c r="G3552" s="3">
        <v>54407</v>
      </c>
      <c r="H3552" s="3">
        <v>102407</v>
      </c>
      <c r="I3552" s="3">
        <v>21131</v>
      </c>
    </row>
    <row r="3553" spans="1:9">
      <c r="A3553" s="3" t="s">
        <v>3578</v>
      </c>
      <c r="B3553" s="3" t="s">
        <v>26</v>
      </c>
      <c r="C3553" s="3">
        <v>1133821</v>
      </c>
      <c r="D3553" s="3">
        <v>309091</v>
      </c>
      <c r="E3553" s="3" t="s">
        <v>27</v>
      </c>
      <c r="F3553" s="3">
        <v>875412</v>
      </c>
      <c r="G3553" s="3">
        <v>215591</v>
      </c>
      <c r="H3553" s="3">
        <v>258409</v>
      </c>
      <c r="I3553" s="3">
        <v>93500</v>
      </c>
    </row>
    <row r="3554" spans="1:9">
      <c r="A3554" s="3" t="s">
        <v>3579</v>
      </c>
      <c r="B3554" s="3" t="s">
        <v>26</v>
      </c>
      <c r="C3554" s="3">
        <v>953975</v>
      </c>
      <c r="D3554" s="3">
        <v>2857</v>
      </c>
      <c r="E3554" s="3" t="s">
        <v>27</v>
      </c>
      <c r="F3554" s="3">
        <v>482053</v>
      </c>
      <c r="G3554" s="3">
        <v>605</v>
      </c>
      <c r="H3554" s="3">
        <v>471922</v>
      </c>
      <c r="I3554" s="3">
        <v>2252</v>
      </c>
    </row>
    <row r="3555" spans="1:9">
      <c r="A3555" s="3" t="s">
        <v>3580</v>
      </c>
      <c r="B3555" s="3" t="s">
        <v>26</v>
      </c>
      <c r="C3555" s="3">
        <v>1266296</v>
      </c>
      <c r="D3555" s="3">
        <v>331918</v>
      </c>
      <c r="E3555" s="3" t="s">
        <v>27</v>
      </c>
      <c r="F3555" s="3">
        <v>846435</v>
      </c>
      <c r="G3555" s="3">
        <v>208343</v>
      </c>
      <c r="H3555" s="3">
        <v>419861</v>
      </c>
      <c r="I3555" s="3">
        <v>123575</v>
      </c>
    </row>
    <row r="3556" spans="1:9">
      <c r="A3556" s="3" t="s">
        <v>3581</v>
      </c>
      <c r="B3556" s="3" t="s">
        <v>26</v>
      </c>
      <c r="C3556" s="3">
        <v>1558911</v>
      </c>
      <c r="D3556" s="3">
        <v>371505</v>
      </c>
      <c r="E3556" s="3" t="s">
        <v>27</v>
      </c>
      <c r="F3556" s="3">
        <v>958969</v>
      </c>
      <c r="G3556" s="3">
        <v>237498</v>
      </c>
      <c r="H3556" s="3">
        <v>599942</v>
      </c>
      <c r="I3556" s="3">
        <v>134007</v>
      </c>
    </row>
    <row r="3557" spans="1:9">
      <c r="A3557" s="3" t="s">
        <v>3582</v>
      </c>
      <c r="B3557" s="3" t="s">
        <v>26</v>
      </c>
      <c r="C3557" s="3">
        <v>1218404</v>
      </c>
      <c r="D3557" s="3">
        <v>233971</v>
      </c>
      <c r="E3557" s="3" t="s">
        <v>27</v>
      </c>
      <c r="F3557" s="3">
        <v>739329</v>
      </c>
      <c r="G3557" s="3">
        <v>138782</v>
      </c>
      <c r="H3557" s="3">
        <v>479075</v>
      </c>
      <c r="I3557" s="3">
        <v>95189</v>
      </c>
    </row>
    <row r="3558" spans="1:9">
      <c r="A3558" s="3" t="s">
        <v>3583</v>
      </c>
      <c r="B3558" s="3" t="s">
        <v>26</v>
      </c>
      <c r="C3558" s="3">
        <v>1536687</v>
      </c>
      <c r="D3558" s="3">
        <v>360511</v>
      </c>
      <c r="E3558" s="3" t="s">
        <v>27</v>
      </c>
      <c r="F3558" s="3">
        <v>1144006</v>
      </c>
      <c r="G3558" s="3">
        <v>251117</v>
      </c>
      <c r="H3558" s="3">
        <v>392681</v>
      </c>
      <c r="I3558" s="3">
        <v>109394</v>
      </c>
    </row>
    <row r="3559" spans="1:9">
      <c r="A3559" s="3" t="s">
        <v>3584</v>
      </c>
      <c r="B3559" s="3" t="s">
        <v>26</v>
      </c>
      <c r="C3559" s="3">
        <v>1558224</v>
      </c>
      <c r="D3559" s="3">
        <v>457560</v>
      </c>
      <c r="E3559" s="3" t="s">
        <v>27</v>
      </c>
      <c r="F3559" s="3">
        <v>1209407</v>
      </c>
      <c r="G3559" s="3">
        <v>345185</v>
      </c>
      <c r="H3559" s="3">
        <v>348817</v>
      </c>
      <c r="I3559" s="3">
        <v>112375</v>
      </c>
    </row>
    <row r="3560" spans="1:9">
      <c r="A3560" s="3" t="s">
        <v>3585</v>
      </c>
      <c r="B3560" s="3" t="s">
        <v>26</v>
      </c>
      <c r="C3560" s="3">
        <v>1202354</v>
      </c>
      <c r="D3560" s="3">
        <v>297363</v>
      </c>
      <c r="E3560" s="3" t="s">
        <v>27</v>
      </c>
      <c r="F3560" s="3">
        <v>1033272</v>
      </c>
      <c r="G3560" s="3">
        <v>243774</v>
      </c>
      <c r="H3560" s="3">
        <v>169082</v>
      </c>
      <c r="I3560" s="3">
        <v>53589</v>
      </c>
    </row>
    <row r="3561" spans="1:9">
      <c r="A3561" s="3" t="s">
        <v>3586</v>
      </c>
      <c r="B3561" s="3" t="s">
        <v>26</v>
      </c>
      <c r="C3561" s="3">
        <v>1066325</v>
      </c>
      <c r="D3561" s="3">
        <v>35908</v>
      </c>
      <c r="E3561" s="3" t="s">
        <v>27</v>
      </c>
      <c r="F3561" s="3">
        <v>583849</v>
      </c>
      <c r="G3561" s="3">
        <v>23191</v>
      </c>
      <c r="H3561" s="3">
        <v>482476</v>
      </c>
      <c r="I3561" s="3">
        <v>12717</v>
      </c>
    </row>
    <row r="3562" spans="1:9">
      <c r="A3562" s="3" t="s">
        <v>3587</v>
      </c>
      <c r="B3562" s="3" t="s">
        <v>26</v>
      </c>
      <c r="C3562" s="3">
        <v>1413750</v>
      </c>
      <c r="D3562" s="3">
        <v>317335</v>
      </c>
      <c r="E3562" s="3" t="s">
        <v>27</v>
      </c>
      <c r="F3562" s="3">
        <v>1011150</v>
      </c>
      <c r="G3562" s="3">
        <v>216154</v>
      </c>
      <c r="H3562" s="3">
        <v>402600</v>
      </c>
      <c r="I3562" s="3">
        <v>101181</v>
      </c>
    </row>
    <row r="3563" spans="1:9">
      <c r="A3563" s="3" t="s">
        <v>3588</v>
      </c>
      <c r="B3563" s="3" t="s">
        <v>26</v>
      </c>
      <c r="C3563" s="3">
        <v>903897</v>
      </c>
      <c r="D3563" s="3">
        <v>82294</v>
      </c>
      <c r="E3563" s="3" t="s">
        <v>27</v>
      </c>
      <c r="F3563" s="3">
        <v>499224</v>
      </c>
      <c r="G3563" s="3">
        <v>44639</v>
      </c>
      <c r="H3563" s="3">
        <v>404673</v>
      </c>
      <c r="I3563" s="3">
        <v>37655</v>
      </c>
    </row>
    <row r="3564" spans="1:9">
      <c r="A3564" s="3" t="s">
        <v>3589</v>
      </c>
      <c r="B3564" s="3" t="s">
        <v>26</v>
      </c>
      <c r="C3564" s="3">
        <v>1111384</v>
      </c>
      <c r="D3564" s="3">
        <v>105247</v>
      </c>
      <c r="E3564" s="3" t="s">
        <v>27</v>
      </c>
      <c r="F3564" s="3">
        <v>612383</v>
      </c>
      <c r="G3564" s="3">
        <v>56330</v>
      </c>
      <c r="H3564" s="3">
        <v>499001</v>
      </c>
      <c r="I3564" s="3">
        <v>48917</v>
      </c>
    </row>
    <row r="3565" spans="1:9">
      <c r="A3565" s="3" t="s">
        <v>3590</v>
      </c>
      <c r="B3565" s="3" t="s">
        <v>26</v>
      </c>
      <c r="C3565" s="3">
        <v>1375817</v>
      </c>
      <c r="D3565" s="3">
        <v>269969</v>
      </c>
      <c r="E3565" s="3" t="s">
        <v>27</v>
      </c>
      <c r="F3565" s="3">
        <v>946784</v>
      </c>
      <c r="G3565" s="3">
        <v>197105</v>
      </c>
      <c r="H3565" s="3">
        <v>429033</v>
      </c>
      <c r="I3565" s="3">
        <v>72864</v>
      </c>
    </row>
    <row r="3566" spans="1:9">
      <c r="A3566" s="3" t="s">
        <v>3591</v>
      </c>
      <c r="B3566" s="3" t="s">
        <v>26</v>
      </c>
      <c r="C3566" s="3">
        <v>954509</v>
      </c>
      <c r="D3566" s="3">
        <v>145984</v>
      </c>
      <c r="E3566" s="3" t="s">
        <v>27</v>
      </c>
      <c r="F3566" s="3">
        <v>684154</v>
      </c>
      <c r="G3566" s="3">
        <v>103746</v>
      </c>
      <c r="H3566" s="3">
        <v>270355</v>
      </c>
      <c r="I3566" s="3">
        <v>42238</v>
      </c>
    </row>
    <row r="3567" spans="1:9">
      <c r="A3567" s="3" t="s">
        <v>3592</v>
      </c>
      <c r="B3567" s="3" t="s">
        <v>26</v>
      </c>
      <c r="C3567" s="3">
        <v>1463878</v>
      </c>
      <c r="D3567" s="3">
        <v>285634</v>
      </c>
      <c r="E3567" s="3" t="s">
        <v>27</v>
      </c>
      <c r="F3567" s="3">
        <v>946989</v>
      </c>
      <c r="G3567" s="3">
        <v>190231</v>
      </c>
      <c r="H3567" s="3">
        <v>516889</v>
      </c>
      <c r="I3567" s="3">
        <v>95403</v>
      </c>
    </row>
    <row r="3568" spans="1:9">
      <c r="A3568" s="3" t="s">
        <v>3593</v>
      </c>
      <c r="B3568" s="3" t="s">
        <v>26</v>
      </c>
      <c r="C3568" s="3">
        <v>829151</v>
      </c>
      <c r="D3568" s="3">
        <v>51701</v>
      </c>
      <c r="E3568" s="3" t="s">
        <v>27</v>
      </c>
      <c r="F3568" s="3">
        <v>493679</v>
      </c>
      <c r="G3568" s="3">
        <v>32231</v>
      </c>
      <c r="H3568" s="3">
        <v>335472</v>
      </c>
      <c r="I3568" s="3">
        <v>19470</v>
      </c>
    </row>
    <row r="3569" spans="1:9">
      <c r="A3569" s="3" t="s">
        <v>3594</v>
      </c>
      <c r="B3569" s="3" t="s">
        <v>26</v>
      </c>
      <c r="C3569" s="3">
        <v>1169994</v>
      </c>
      <c r="D3569" s="3">
        <v>322769</v>
      </c>
      <c r="E3569" s="3" t="s">
        <v>27</v>
      </c>
      <c r="F3569" s="3">
        <v>916777</v>
      </c>
      <c r="G3569" s="3">
        <v>244871</v>
      </c>
      <c r="H3569" s="3">
        <v>253217</v>
      </c>
      <c r="I3569" s="3">
        <v>77898</v>
      </c>
    </row>
    <row r="3570" spans="1:9">
      <c r="A3570" s="3" t="s">
        <v>3595</v>
      </c>
      <c r="B3570" s="3" t="s">
        <v>26</v>
      </c>
      <c r="C3570" s="3">
        <v>1108891</v>
      </c>
      <c r="D3570" s="3">
        <v>83534</v>
      </c>
      <c r="E3570" s="3" t="s">
        <v>27</v>
      </c>
      <c r="F3570" s="3">
        <v>685994</v>
      </c>
      <c r="G3570" s="3">
        <v>54814</v>
      </c>
      <c r="H3570" s="3">
        <v>422897</v>
      </c>
      <c r="I3570" s="3">
        <v>28720</v>
      </c>
    </row>
    <row r="3571" spans="1:9">
      <c r="A3571" s="3" t="s">
        <v>3596</v>
      </c>
      <c r="B3571" s="3" t="s">
        <v>26</v>
      </c>
      <c r="C3571" s="3">
        <v>2050941</v>
      </c>
      <c r="D3571" s="3">
        <v>98311</v>
      </c>
      <c r="E3571" s="3" t="s">
        <v>27</v>
      </c>
      <c r="F3571" s="3">
        <v>1705863</v>
      </c>
      <c r="G3571" s="3">
        <v>67910</v>
      </c>
      <c r="H3571" s="3">
        <v>345078</v>
      </c>
      <c r="I3571" s="3">
        <v>30401</v>
      </c>
    </row>
    <row r="3572" spans="1:9">
      <c r="A3572" s="3" t="s">
        <v>3597</v>
      </c>
      <c r="B3572" s="3" t="s">
        <v>26</v>
      </c>
      <c r="C3572" s="3">
        <v>1163350</v>
      </c>
      <c r="D3572" s="3">
        <v>195857</v>
      </c>
      <c r="E3572" s="3" t="s">
        <v>27</v>
      </c>
      <c r="F3572" s="3">
        <v>892818</v>
      </c>
      <c r="G3572" s="3">
        <v>158683</v>
      </c>
      <c r="H3572" s="3">
        <v>270532</v>
      </c>
      <c r="I3572" s="3">
        <v>37174</v>
      </c>
    </row>
    <row r="3573" spans="1:9">
      <c r="A3573" s="3" t="s">
        <v>3598</v>
      </c>
      <c r="B3573" s="3" t="s">
        <v>26</v>
      </c>
      <c r="C3573" s="3">
        <v>544942</v>
      </c>
      <c r="D3573" s="3">
        <v>38087</v>
      </c>
      <c r="E3573" s="3" t="s">
        <v>27</v>
      </c>
      <c r="F3573" s="3">
        <v>386591</v>
      </c>
      <c r="G3573" s="3">
        <v>26976</v>
      </c>
      <c r="H3573" s="3">
        <v>158351</v>
      </c>
      <c r="I3573" s="3">
        <v>11111</v>
      </c>
    </row>
    <row r="3574" spans="1:9">
      <c r="A3574" s="3" t="s">
        <v>3599</v>
      </c>
      <c r="B3574" s="3" t="s">
        <v>26</v>
      </c>
      <c r="C3574" s="3">
        <v>1063071</v>
      </c>
      <c r="D3574" s="3">
        <v>160247</v>
      </c>
      <c r="E3574" s="3" t="s">
        <v>27</v>
      </c>
      <c r="F3574" s="3">
        <v>719302</v>
      </c>
      <c r="G3574" s="3">
        <v>114205</v>
      </c>
      <c r="H3574" s="3">
        <v>343769</v>
      </c>
      <c r="I3574" s="3">
        <v>46042</v>
      </c>
    </row>
    <row r="3575" spans="1:9">
      <c r="A3575" s="3" t="s">
        <v>3600</v>
      </c>
      <c r="B3575" s="3" t="s">
        <v>26</v>
      </c>
      <c r="C3575" s="3">
        <v>1317191</v>
      </c>
      <c r="D3575" s="3">
        <v>344059</v>
      </c>
      <c r="E3575" s="3" t="s">
        <v>27</v>
      </c>
      <c r="F3575" s="3">
        <v>1075594</v>
      </c>
      <c r="G3575" s="3">
        <v>266050</v>
      </c>
      <c r="H3575" s="3">
        <v>241597</v>
      </c>
      <c r="I3575" s="3">
        <v>78009</v>
      </c>
    </row>
    <row r="3576" spans="1:9">
      <c r="A3576" s="3" t="s">
        <v>3601</v>
      </c>
      <c r="B3576" s="3" t="s">
        <v>26</v>
      </c>
      <c r="C3576" s="3">
        <v>1325509</v>
      </c>
      <c r="D3576" s="3">
        <v>295301</v>
      </c>
      <c r="E3576" s="3" t="s">
        <v>27</v>
      </c>
      <c r="F3576" s="3">
        <v>814936</v>
      </c>
      <c r="G3576" s="3">
        <v>183327</v>
      </c>
      <c r="H3576" s="3">
        <v>510573</v>
      </c>
      <c r="I3576" s="3">
        <v>111974</v>
      </c>
    </row>
    <row r="3577" spans="1:9">
      <c r="A3577" s="3" t="s">
        <v>3602</v>
      </c>
      <c r="B3577" s="3" t="s">
        <v>26</v>
      </c>
      <c r="C3577" s="3">
        <v>1247364</v>
      </c>
      <c r="D3577" s="3">
        <v>155048</v>
      </c>
      <c r="E3577" s="3" t="s">
        <v>27</v>
      </c>
      <c r="F3577" s="3">
        <v>777131</v>
      </c>
      <c r="G3577" s="3">
        <v>106511</v>
      </c>
      <c r="H3577" s="3">
        <v>470233</v>
      </c>
      <c r="I3577" s="3">
        <v>48537</v>
      </c>
    </row>
    <row r="3578" spans="1:9">
      <c r="A3578" s="3" t="s">
        <v>3603</v>
      </c>
      <c r="B3578" s="3" t="s">
        <v>26</v>
      </c>
      <c r="C3578" s="3">
        <v>846467</v>
      </c>
      <c r="D3578" s="3">
        <v>22752</v>
      </c>
      <c r="E3578" s="3" t="s">
        <v>27</v>
      </c>
      <c r="F3578" s="3">
        <v>405945</v>
      </c>
      <c r="G3578" s="3">
        <v>13337</v>
      </c>
      <c r="H3578" s="3">
        <v>440522</v>
      </c>
      <c r="I3578" s="3">
        <v>9415</v>
      </c>
    </row>
    <row r="3579" spans="1:9">
      <c r="A3579" s="3" t="s">
        <v>3604</v>
      </c>
      <c r="B3579" s="3" t="s">
        <v>26</v>
      </c>
      <c r="C3579" s="3">
        <v>1311767</v>
      </c>
      <c r="D3579" s="3">
        <v>267031</v>
      </c>
      <c r="E3579" s="3" t="s">
        <v>27</v>
      </c>
      <c r="F3579" s="3">
        <v>983455</v>
      </c>
      <c r="G3579" s="3">
        <v>194908</v>
      </c>
      <c r="H3579" s="3">
        <v>328312</v>
      </c>
      <c r="I3579" s="3">
        <v>72123</v>
      </c>
    </row>
    <row r="3580" spans="1:9">
      <c r="A3580" s="3" t="s">
        <v>3605</v>
      </c>
      <c r="B3580" s="3" t="s">
        <v>26</v>
      </c>
      <c r="C3580" s="3">
        <v>1126045</v>
      </c>
      <c r="D3580" s="3">
        <v>156122</v>
      </c>
      <c r="E3580" s="3" t="s">
        <v>27</v>
      </c>
      <c r="F3580" s="3">
        <v>702379</v>
      </c>
      <c r="G3580" s="3">
        <v>104645</v>
      </c>
      <c r="H3580" s="3">
        <v>423666</v>
      </c>
      <c r="I3580" s="3">
        <v>51477</v>
      </c>
    </row>
    <row r="3581" spans="1:9">
      <c r="A3581" s="3" t="s">
        <v>3606</v>
      </c>
      <c r="B3581" s="3" t="s">
        <v>26</v>
      </c>
      <c r="C3581" s="3">
        <v>1114625</v>
      </c>
      <c r="D3581" s="3">
        <v>142817</v>
      </c>
      <c r="E3581" s="3" t="s">
        <v>27</v>
      </c>
      <c r="F3581" s="3">
        <v>771470</v>
      </c>
      <c r="G3581" s="3">
        <v>94773</v>
      </c>
      <c r="H3581" s="3">
        <v>343155</v>
      </c>
      <c r="I3581" s="3">
        <v>48044</v>
      </c>
    </row>
    <row r="3582" spans="1:9">
      <c r="A3582" s="3" t="s">
        <v>3607</v>
      </c>
      <c r="B3582" s="3" t="s">
        <v>26</v>
      </c>
      <c r="C3582" s="3">
        <v>1691281</v>
      </c>
      <c r="D3582" s="3">
        <v>409968</v>
      </c>
      <c r="E3582" s="3" t="s">
        <v>27</v>
      </c>
      <c r="F3582" s="3">
        <v>1267282</v>
      </c>
      <c r="G3582" s="3">
        <v>303521</v>
      </c>
      <c r="H3582" s="3">
        <v>423999</v>
      </c>
      <c r="I3582" s="3">
        <v>106447</v>
      </c>
    </row>
    <row r="3583" spans="1:9">
      <c r="A3583" s="3" t="s">
        <v>3608</v>
      </c>
      <c r="B3583" s="3" t="s">
        <v>26</v>
      </c>
      <c r="C3583" s="3">
        <v>1148726</v>
      </c>
      <c r="D3583" s="3">
        <v>169488</v>
      </c>
      <c r="E3583" s="3" t="s">
        <v>27</v>
      </c>
      <c r="F3583" s="3">
        <v>813838</v>
      </c>
      <c r="G3583" s="3">
        <v>126310</v>
      </c>
      <c r="H3583" s="3">
        <v>334888</v>
      </c>
      <c r="I3583" s="3">
        <v>43178</v>
      </c>
    </row>
    <row r="3584" spans="1:9">
      <c r="A3584" s="3" t="s">
        <v>3609</v>
      </c>
      <c r="B3584" s="3" t="s">
        <v>26</v>
      </c>
      <c r="C3584" s="3">
        <v>1954673</v>
      </c>
      <c r="D3584" s="3">
        <v>520611</v>
      </c>
      <c r="E3584" s="3" t="s">
        <v>27</v>
      </c>
      <c r="F3584" s="3">
        <v>1311022</v>
      </c>
      <c r="G3584" s="3">
        <v>326354</v>
      </c>
      <c r="H3584" s="3">
        <v>643651</v>
      </c>
      <c r="I3584" s="3">
        <v>194257</v>
      </c>
    </row>
    <row r="3585" spans="1:9">
      <c r="A3585" s="3" t="s">
        <v>3610</v>
      </c>
      <c r="B3585" s="3" t="s">
        <v>26</v>
      </c>
      <c r="C3585" s="3">
        <v>1450751</v>
      </c>
      <c r="D3585" s="3">
        <v>399443</v>
      </c>
      <c r="E3585" s="3" t="s">
        <v>27</v>
      </c>
      <c r="F3585" s="3">
        <v>1126086</v>
      </c>
      <c r="G3585" s="3">
        <v>308498</v>
      </c>
      <c r="H3585" s="3">
        <v>324665</v>
      </c>
      <c r="I3585" s="3">
        <v>90945</v>
      </c>
    </row>
    <row r="3586" spans="1:9">
      <c r="A3586" s="3" t="s">
        <v>3611</v>
      </c>
      <c r="B3586" s="3" t="s">
        <v>26</v>
      </c>
      <c r="C3586" s="3">
        <v>1096276</v>
      </c>
      <c r="D3586" s="3">
        <v>140424</v>
      </c>
      <c r="E3586" s="3" t="s">
        <v>27</v>
      </c>
      <c r="F3586" s="3">
        <v>748639</v>
      </c>
      <c r="G3586" s="3">
        <v>96610</v>
      </c>
      <c r="H3586" s="3">
        <v>347637</v>
      </c>
      <c r="I3586" s="3">
        <v>43814</v>
      </c>
    </row>
    <row r="3587" spans="1:9">
      <c r="A3587" s="3" t="s">
        <v>3612</v>
      </c>
      <c r="B3587" s="3" t="s">
        <v>26</v>
      </c>
      <c r="C3587" s="3">
        <v>892552</v>
      </c>
      <c r="D3587" s="3">
        <v>155919</v>
      </c>
      <c r="E3587" s="3" t="s">
        <v>27</v>
      </c>
      <c r="F3587" s="3">
        <v>614388</v>
      </c>
      <c r="G3587" s="3">
        <v>90418</v>
      </c>
      <c r="H3587" s="3">
        <v>278164</v>
      </c>
      <c r="I3587" s="3">
        <v>65501</v>
      </c>
    </row>
    <row r="3588" spans="1:9">
      <c r="A3588" s="3" t="s">
        <v>3613</v>
      </c>
      <c r="B3588" s="3" t="s">
        <v>26</v>
      </c>
      <c r="C3588" s="3">
        <v>1718292</v>
      </c>
      <c r="D3588" s="3">
        <v>263849</v>
      </c>
      <c r="E3588" s="3" t="s">
        <v>27</v>
      </c>
      <c r="F3588" s="3">
        <v>1423819</v>
      </c>
      <c r="G3588" s="3">
        <v>206630</v>
      </c>
      <c r="H3588" s="3">
        <v>294473</v>
      </c>
      <c r="I3588" s="3">
        <v>57219</v>
      </c>
    </row>
    <row r="3589" spans="1:9">
      <c r="A3589" s="3" t="s">
        <v>3614</v>
      </c>
      <c r="B3589" s="3" t="s">
        <v>26</v>
      </c>
      <c r="C3589" s="3">
        <v>774148</v>
      </c>
      <c r="D3589" s="3">
        <v>43862</v>
      </c>
      <c r="E3589" s="3" t="s">
        <v>27</v>
      </c>
      <c r="F3589" s="3">
        <v>411808</v>
      </c>
      <c r="G3589" s="3">
        <v>21096</v>
      </c>
      <c r="H3589" s="3">
        <v>362340</v>
      </c>
      <c r="I3589" s="3">
        <v>22766</v>
      </c>
    </row>
    <row r="3590" spans="1:9">
      <c r="A3590" s="3" t="s">
        <v>3615</v>
      </c>
      <c r="B3590" s="3" t="s">
        <v>26</v>
      </c>
      <c r="C3590" s="3">
        <v>558223</v>
      </c>
      <c r="D3590" s="3">
        <v>592</v>
      </c>
      <c r="E3590" s="3" t="s">
        <v>27</v>
      </c>
      <c r="F3590" s="3">
        <v>283728</v>
      </c>
      <c r="G3590" s="3">
        <v>272</v>
      </c>
      <c r="H3590" s="3">
        <v>274495</v>
      </c>
      <c r="I3590" s="3">
        <v>320</v>
      </c>
    </row>
    <row r="3591" spans="1:9">
      <c r="A3591" s="3" t="s">
        <v>3616</v>
      </c>
      <c r="B3591" s="3" t="s">
        <v>26</v>
      </c>
      <c r="C3591" s="3">
        <v>1720556</v>
      </c>
      <c r="D3591" s="3">
        <v>482690</v>
      </c>
      <c r="E3591" s="3" t="s">
        <v>27</v>
      </c>
      <c r="F3591" s="3">
        <v>1259280</v>
      </c>
      <c r="G3591" s="3">
        <v>339724</v>
      </c>
      <c r="H3591" s="3">
        <v>461276</v>
      </c>
      <c r="I3591" s="3">
        <v>142966</v>
      </c>
    </row>
    <row r="3592" spans="1:9">
      <c r="A3592" s="3" t="s">
        <v>3617</v>
      </c>
      <c r="B3592" s="3" t="s">
        <v>26</v>
      </c>
      <c r="C3592" s="3">
        <v>828807</v>
      </c>
      <c r="D3592" s="3">
        <v>55429</v>
      </c>
      <c r="E3592" s="3" t="s">
        <v>27</v>
      </c>
      <c r="F3592" s="3">
        <v>494492</v>
      </c>
      <c r="G3592" s="3">
        <v>29255</v>
      </c>
      <c r="H3592" s="3">
        <v>334315</v>
      </c>
      <c r="I3592" s="3">
        <v>26174</v>
      </c>
    </row>
    <row r="3593" spans="1:9">
      <c r="A3593" s="3" t="s">
        <v>3618</v>
      </c>
      <c r="B3593" s="3" t="s">
        <v>26</v>
      </c>
      <c r="C3593" s="3">
        <v>1405854</v>
      </c>
      <c r="D3593" s="3">
        <v>241535</v>
      </c>
      <c r="E3593" s="3" t="s">
        <v>27</v>
      </c>
      <c r="F3593" s="3">
        <v>889875</v>
      </c>
      <c r="G3593" s="3">
        <v>159768</v>
      </c>
      <c r="H3593" s="3">
        <v>515979</v>
      </c>
      <c r="I3593" s="3">
        <v>81767</v>
      </c>
    </row>
    <row r="3594" spans="1:9">
      <c r="A3594" s="3" t="s">
        <v>3619</v>
      </c>
      <c r="B3594" s="3" t="s">
        <v>26</v>
      </c>
      <c r="C3594" s="3">
        <v>1374723</v>
      </c>
      <c r="D3594" s="3">
        <v>145189</v>
      </c>
      <c r="E3594" s="3" t="s">
        <v>27</v>
      </c>
      <c r="F3594" s="3">
        <v>829075</v>
      </c>
      <c r="G3594" s="3">
        <v>87486</v>
      </c>
      <c r="H3594" s="3">
        <v>545648</v>
      </c>
      <c r="I3594" s="3">
        <v>57703</v>
      </c>
    </row>
    <row r="3595" spans="1:9">
      <c r="A3595" s="3" t="s">
        <v>3620</v>
      </c>
      <c r="B3595" s="3" t="s">
        <v>26</v>
      </c>
      <c r="C3595" s="3">
        <v>1147372</v>
      </c>
      <c r="D3595" s="3">
        <v>60031</v>
      </c>
      <c r="E3595" s="3" t="s">
        <v>27</v>
      </c>
      <c r="F3595" s="3">
        <v>636103</v>
      </c>
      <c r="G3595" s="3">
        <v>29383</v>
      </c>
      <c r="H3595" s="3">
        <v>511269</v>
      </c>
      <c r="I3595" s="3">
        <v>30648</v>
      </c>
    </row>
    <row r="3596" spans="1:9">
      <c r="A3596" s="3" t="s">
        <v>3621</v>
      </c>
      <c r="B3596" s="3" t="s">
        <v>26</v>
      </c>
      <c r="C3596" s="3">
        <v>1652100</v>
      </c>
      <c r="D3596" s="3">
        <v>430036</v>
      </c>
      <c r="E3596" s="3" t="s">
        <v>27</v>
      </c>
      <c r="F3596" s="3">
        <v>1125841</v>
      </c>
      <c r="G3596" s="3">
        <v>284753</v>
      </c>
      <c r="H3596" s="3">
        <v>526259</v>
      </c>
      <c r="I3596" s="3">
        <v>145283</v>
      </c>
    </row>
    <row r="3597" spans="1:9">
      <c r="A3597" s="3" t="s">
        <v>3622</v>
      </c>
      <c r="B3597" s="3" t="s">
        <v>26</v>
      </c>
      <c r="C3597" s="3">
        <v>978269</v>
      </c>
      <c r="D3597" s="3">
        <v>148545</v>
      </c>
      <c r="E3597" s="3" t="s">
        <v>27</v>
      </c>
      <c r="F3597" s="3">
        <v>677072</v>
      </c>
      <c r="G3597" s="3">
        <v>104534</v>
      </c>
      <c r="H3597" s="3">
        <v>301197</v>
      </c>
      <c r="I3597" s="3">
        <v>44011</v>
      </c>
    </row>
    <row r="3598" spans="1:9">
      <c r="A3598" s="3" t="s">
        <v>3623</v>
      </c>
      <c r="B3598" s="3" t="s">
        <v>26</v>
      </c>
      <c r="C3598" s="3">
        <v>1712018</v>
      </c>
      <c r="D3598" s="3">
        <v>382258</v>
      </c>
      <c r="E3598" s="3" t="s">
        <v>27</v>
      </c>
      <c r="F3598" s="3">
        <v>1127620</v>
      </c>
      <c r="G3598" s="3">
        <v>246903</v>
      </c>
      <c r="H3598" s="3">
        <v>584398</v>
      </c>
      <c r="I3598" s="3">
        <v>135355</v>
      </c>
    </row>
    <row r="3599" spans="1:9">
      <c r="A3599" s="3" t="s">
        <v>3624</v>
      </c>
      <c r="B3599" s="3" t="s">
        <v>26</v>
      </c>
      <c r="C3599" s="3">
        <v>1546119</v>
      </c>
      <c r="D3599" s="3">
        <v>386067</v>
      </c>
      <c r="E3599" s="3" t="s">
        <v>27</v>
      </c>
      <c r="F3599" s="3">
        <v>1141012</v>
      </c>
      <c r="G3599" s="3">
        <v>292060</v>
      </c>
      <c r="H3599" s="3">
        <v>405107</v>
      </c>
      <c r="I3599" s="3">
        <v>94007</v>
      </c>
    </row>
    <row r="3600" spans="1:9">
      <c r="A3600" s="3" t="s">
        <v>3625</v>
      </c>
      <c r="B3600" s="3" t="s">
        <v>26</v>
      </c>
      <c r="C3600" s="3">
        <v>1228542</v>
      </c>
      <c r="D3600" s="3">
        <v>256560</v>
      </c>
      <c r="E3600" s="3" t="s">
        <v>27</v>
      </c>
      <c r="F3600" s="3">
        <v>891127</v>
      </c>
      <c r="G3600" s="3">
        <v>185286</v>
      </c>
      <c r="H3600" s="3">
        <v>337415</v>
      </c>
      <c r="I3600" s="3">
        <v>71274</v>
      </c>
    </row>
    <row r="3601" spans="1:9">
      <c r="A3601" s="3" t="s">
        <v>3626</v>
      </c>
      <c r="B3601" s="3" t="s">
        <v>26</v>
      </c>
      <c r="C3601" s="3">
        <v>1425375</v>
      </c>
      <c r="D3601" s="3">
        <v>234247</v>
      </c>
      <c r="E3601" s="3" t="s">
        <v>27</v>
      </c>
      <c r="F3601" s="3">
        <v>859762</v>
      </c>
      <c r="G3601" s="3">
        <v>155764</v>
      </c>
      <c r="H3601" s="3">
        <v>565613</v>
      </c>
      <c r="I3601" s="3">
        <v>78483</v>
      </c>
    </row>
    <row r="3602" spans="1:9">
      <c r="A3602" s="3" t="s">
        <v>3627</v>
      </c>
      <c r="B3602" s="3" t="s">
        <v>26</v>
      </c>
      <c r="C3602" s="3">
        <v>1309997</v>
      </c>
      <c r="D3602" s="3">
        <v>292717</v>
      </c>
      <c r="E3602" s="3" t="s">
        <v>27</v>
      </c>
      <c r="F3602" s="3">
        <v>943321</v>
      </c>
      <c r="G3602" s="3">
        <v>200732</v>
      </c>
      <c r="H3602" s="3">
        <v>366676</v>
      </c>
      <c r="I3602" s="3">
        <v>91985</v>
      </c>
    </row>
    <row r="3603" spans="1:9">
      <c r="A3603" s="3" t="s">
        <v>3628</v>
      </c>
      <c r="B3603" s="3" t="s">
        <v>26</v>
      </c>
      <c r="C3603" s="3">
        <v>1788941</v>
      </c>
      <c r="D3603" s="3">
        <v>245416</v>
      </c>
      <c r="E3603" s="3" t="s">
        <v>27</v>
      </c>
      <c r="F3603" s="3">
        <v>1080304</v>
      </c>
      <c r="G3603" s="3">
        <v>169877</v>
      </c>
      <c r="H3603" s="3">
        <v>708637</v>
      </c>
      <c r="I3603" s="3">
        <v>75539</v>
      </c>
    </row>
    <row r="3604" spans="1:9">
      <c r="A3604" s="3" t="s">
        <v>3629</v>
      </c>
      <c r="B3604" s="3" t="s">
        <v>26</v>
      </c>
      <c r="C3604" s="3">
        <v>1144509</v>
      </c>
      <c r="D3604" s="3">
        <v>213837</v>
      </c>
      <c r="E3604" s="3" t="s">
        <v>27</v>
      </c>
      <c r="F3604" s="3">
        <v>860625</v>
      </c>
      <c r="G3604" s="3">
        <v>153836</v>
      </c>
      <c r="H3604" s="3">
        <v>283884</v>
      </c>
      <c r="I3604" s="3">
        <v>60001</v>
      </c>
    </row>
    <row r="3605" spans="1:9">
      <c r="A3605" s="3" t="s">
        <v>3630</v>
      </c>
      <c r="B3605" s="3" t="s">
        <v>26</v>
      </c>
      <c r="C3605" s="3">
        <v>1600944</v>
      </c>
      <c r="D3605" s="3">
        <v>369016</v>
      </c>
      <c r="E3605" s="3" t="s">
        <v>27</v>
      </c>
      <c r="F3605" s="3">
        <v>1149655</v>
      </c>
      <c r="G3605" s="3">
        <v>266707</v>
      </c>
      <c r="H3605" s="3">
        <v>451289</v>
      </c>
      <c r="I3605" s="3">
        <v>102309</v>
      </c>
    </row>
    <row r="3606" spans="1:9">
      <c r="A3606" s="3" t="s">
        <v>3631</v>
      </c>
      <c r="B3606" s="3" t="s">
        <v>26</v>
      </c>
      <c r="C3606" s="3">
        <v>1089369</v>
      </c>
      <c r="D3606" s="3">
        <v>281488</v>
      </c>
      <c r="E3606" s="3" t="s">
        <v>27</v>
      </c>
      <c r="F3606" s="3">
        <v>919397</v>
      </c>
      <c r="G3606" s="3">
        <v>225857</v>
      </c>
      <c r="H3606" s="3">
        <v>169972</v>
      </c>
      <c r="I3606" s="3">
        <v>55631</v>
      </c>
    </row>
    <row r="3607" spans="1:9">
      <c r="A3607" s="3" t="s">
        <v>3632</v>
      </c>
      <c r="B3607" s="3" t="s">
        <v>26</v>
      </c>
      <c r="C3607" s="3">
        <v>805079</v>
      </c>
      <c r="D3607" s="3">
        <v>78146</v>
      </c>
      <c r="E3607" s="3" t="s">
        <v>27</v>
      </c>
      <c r="F3607" s="3">
        <v>490062</v>
      </c>
      <c r="G3607" s="3">
        <v>43708</v>
      </c>
      <c r="H3607" s="3">
        <v>315017</v>
      </c>
      <c r="I3607" s="3">
        <v>34438</v>
      </c>
    </row>
    <row r="3608" spans="1:9">
      <c r="A3608" s="3" t="s">
        <v>3633</v>
      </c>
      <c r="B3608" s="3" t="s">
        <v>26</v>
      </c>
      <c r="C3608" s="3">
        <v>1716097</v>
      </c>
      <c r="D3608" s="3">
        <v>482521</v>
      </c>
      <c r="E3608" s="3" t="s">
        <v>27</v>
      </c>
      <c r="F3608" s="3">
        <v>1059772</v>
      </c>
      <c r="G3608" s="3">
        <v>292495</v>
      </c>
      <c r="H3608" s="3">
        <v>656325</v>
      </c>
      <c r="I3608" s="3">
        <v>190026</v>
      </c>
    </row>
    <row r="3609" spans="1:9">
      <c r="A3609" s="3" t="s">
        <v>3634</v>
      </c>
      <c r="B3609" s="3" t="s">
        <v>26</v>
      </c>
      <c r="C3609" s="3">
        <v>989142</v>
      </c>
      <c r="D3609" s="3">
        <v>132941</v>
      </c>
      <c r="E3609" s="3" t="s">
        <v>27</v>
      </c>
      <c r="F3609" s="3">
        <v>642786</v>
      </c>
      <c r="G3609" s="3">
        <v>95069</v>
      </c>
      <c r="H3609" s="3">
        <v>346356</v>
      </c>
      <c r="I3609" s="3">
        <v>37872</v>
      </c>
    </row>
    <row r="3610" spans="1:9">
      <c r="A3610" s="3" t="s">
        <v>3635</v>
      </c>
      <c r="B3610" s="3" t="s">
        <v>26</v>
      </c>
      <c r="C3610" s="3">
        <v>1253939</v>
      </c>
      <c r="D3610" s="3">
        <v>190333</v>
      </c>
      <c r="E3610" s="3" t="s">
        <v>27</v>
      </c>
      <c r="F3610" s="3">
        <v>810233</v>
      </c>
      <c r="G3610" s="3">
        <v>129948</v>
      </c>
      <c r="H3610" s="3">
        <v>443706</v>
      </c>
      <c r="I3610" s="3">
        <v>60385</v>
      </c>
    </row>
    <row r="3611" spans="1:9">
      <c r="A3611" s="3" t="s">
        <v>3636</v>
      </c>
      <c r="B3611" s="3" t="s">
        <v>26</v>
      </c>
      <c r="C3611" s="3">
        <v>1649528</v>
      </c>
      <c r="D3611" s="3">
        <v>382820</v>
      </c>
      <c r="E3611" s="3" t="s">
        <v>27</v>
      </c>
      <c r="F3611" s="3">
        <v>1230340</v>
      </c>
      <c r="G3611" s="3">
        <v>293665</v>
      </c>
      <c r="H3611" s="3">
        <v>419188</v>
      </c>
      <c r="I3611" s="3">
        <v>89155</v>
      </c>
    </row>
    <row r="3612" spans="1:9">
      <c r="A3612" s="3" t="s">
        <v>3637</v>
      </c>
      <c r="B3612" s="3" t="s">
        <v>26</v>
      </c>
      <c r="C3612" s="3">
        <v>1173168</v>
      </c>
      <c r="D3612" s="3">
        <v>190551</v>
      </c>
      <c r="E3612" s="3" t="s">
        <v>27</v>
      </c>
      <c r="F3612" s="3">
        <v>809909</v>
      </c>
      <c r="G3612" s="3">
        <v>135103</v>
      </c>
      <c r="H3612" s="3">
        <v>363259</v>
      </c>
      <c r="I3612" s="3">
        <v>55448</v>
      </c>
    </row>
    <row r="3613" spans="1:9">
      <c r="A3613" s="3" t="s">
        <v>3638</v>
      </c>
      <c r="B3613" s="3" t="s">
        <v>26</v>
      </c>
      <c r="C3613" s="3">
        <v>1342852</v>
      </c>
      <c r="D3613" s="3">
        <v>266078</v>
      </c>
      <c r="E3613" s="3" t="s">
        <v>27</v>
      </c>
      <c r="F3613" s="3">
        <v>1077962</v>
      </c>
      <c r="G3613" s="3">
        <v>212909</v>
      </c>
      <c r="H3613" s="3">
        <v>264890</v>
      </c>
      <c r="I3613" s="3">
        <v>53169</v>
      </c>
    </row>
    <row r="3614" spans="1:9">
      <c r="A3614" s="3" t="s">
        <v>3639</v>
      </c>
      <c r="B3614" s="3" t="s">
        <v>26</v>
      </c>
      <c r="C3614" s="3">
        <v>1224994</v>
      </c>
      <c r="D3614" s="3">
        <v>124781</v>
      </c>
      <c r="E3614" s="3" t="s">
        <v>27</v>
      </c>
      <c r="F3614" s="3">
        <v>732242</v>
      </c>
      <c r="G3614" s="3">
        <v>80359</v>
      </c>
      <c r="H3614" s="3">
        <v>492752</v>
      </c>
      <c r="I3614" s="3">
        <v>44422</v>
      </c>
    </row>
    <row r="3615" spans="1:9">
      <c r="A3615" s="3" t="s">
        <v>3640</v>
      </c>
      <c r="B3615" s="3" t="s">
        <v>26</v>
      </c>
      <c r="C3615" s="3">
        <v>1539322</v>
      </c>
      <c r="D3615" s="3">
        <v>342023</v>
      </c>
      <c r="E3615" s="3" t="s">
        <v>27</v>
      </c>
      <c r="F3615" s="3">
        <v>1006092</v>
      </c>
      <c r="G3615" s="3">
        <v>212083</v>
      </c>
      <c r="H3615" s="3">
        <v>533230</v>
      </c>
      <c r="I3615" s="3">
        <v>129940</v>
      </c>
    </row>
    <row r="3616" spans="1:9">
      <c r="A3616" s="3" t="s">
        <v>3641</v>
      </c>
      <c r="B3616" s="3" t="s">
        <v>26</v>
      </c>
      <c r="C3616" s="3">
        <v>1512448</v>
      </c>
      <c r="D3616" s="3">
        <v>336927</v>
      </c>
      <c r="E3616" s="3" t="s">
        <v>27</v>
      </c>
      <c r="F3616" s="3">
        <v>1081893</v>
      </c>
      <c r="G3616" s="3">
        <v>238931</v>
      </c>
      <c r="H3616" s="3">
        <v>430555</v>
      </c>
      <c r="I3616" s="3">
        <v>97996</v>
      </c>
    </row>
    <row r="3617" spans="1:9">
      <c r="A3617" s="3" t="s">
        <v>3642</v>
      </c>
      <c r="B3617" s="3" t="s">
        <v>26</v>
      </c>
      <c r="C3617" s="3">
        <v>942651</v>
      </c>
      <c r="D3617" s="3">
        <v>60481</v>
      </c>
      <c r="E3617" s="3" t="s">
        <v>27</v>
      </c>
      <c r="F3617" s="3">
        <v>559232</v>
      </c>
      <c r="G3617" s="3">
        <v>34121</v>
      </c>
      <c r="H3617" s="3">
        <v>383419</v>
      </c>
      <c r="I3617" s="3">
        <v>26360</v>
      </c>
    </row>
    <row r="3618" spans="1:9">
      <c r="A3618" s="3" t="s">
        <v>3643</v>
      </c>
      <c r="B3618" s="3" t="s">
        <v>26</v>
      </c>
      <c r="C3618" s="3">
        <v>1429923</v>
      </c>
      <c r="D3618" s="3">
        <v>331362</v>
      </c>
      <c r="E3618" s="3" t="s">
        <v>27</v>
      </c>
      <c r="F3618" s="3">
        <v>1133276</v>
      </c>
      <c r="G3618" s="3">
        <v>256950</v>
      </c>
      <c r="H3618" s="3">
        <v>296647</v>
      </c>
      <c r="I3618" s="3">
        <v>74412</v>
      </c>
    </row>
    <row r="3619" spans="1:9">
      <c r="A3619" s="3" t="s">
        <v>3644</v>
      </c>
      <c r="B3619" s="3" t="s">
        <v>26</v>
      </c>
      <c r="C3619" s="3">
        <v>1399949</v>
      </c>
      <c r="D3619" s="3">
        <v>249648</v>
      </c>
      <c r="E3619" s="3" t="s">
        <v>27</v>
      </c>
      <c r="F3619" s="3">
        <v>972506</v>
      </c>
      <c r="G3619" s="3">
        <v>183989</v>
      </c>
      <c r="H3619" s="3">
        <v>427443</v>
      </c>
      <c r="I3619" s="3">
        <v>65659</v>
      </c>
    </row>
    <row r="3620" spans="1:9">
      <c r="A3620" s="3" t="s">
        <v>3645</v>
      </c>
      <c r="B3620" s="3" t="s">
        <v>26</v>
      </c>
      <c r="C3620" s="3">
        <v>900193</v>
      </c>
      <c r="D3620" s="3">
        <v>48114</v>
      </c>
      <c r="E3620" s="3" t="s">
        <v>27</v>
      </c>
      <c r="F3620" s="3">
        <v>503797</v>
      </c>
      <c r="G3620" s="3">
        <v>29335</v>
      </c>
      <c r="H3620" s="3">
        <v>396396</v>
      </c>
      <c r="I3620" s="3">
        <v>18779</v>
      </c>
    </row>
    <row r="3621" spans="1:9">
      <c r="A3621" s="3" t="s">
        <v>3646</v>
      </c>
      <c r="B3621" s="3" t="s">
        <v>26</v>
      </c>
      <c r="C3621" s="3">
        <v>650145</v>
      </c>
      <c r="D3621" s="3">
        <v>23282</v>
      </c>
      <c r="E3621" s="3" t="s">
        <v>27</v>
      </c>
      <c r="F3621" s="3">
        <v>367133</v>
      </c>
      <c r="G3621" s="3">
        <v>14808</v>
      </c>
      <c r="H3621" s="3">
        <v>283012</v>
      </c>
      <c r="I3621" s="3">
        <v>8474</v>
      </c>
    </row>
    <row r="3622" spans="1:9">
      <c r="A3622" s="3" t="s">
        <v>3647</v>
      </c>
      <c r="B3622" s="3" t="s">
        <v>26</v>
      </c>
      <c r="C3622" s="3">
        <v>1428649</v>
      </c>
      <c r="D3622" s="3">
        <v>387573</v>
      </c>
      <c r="E3622" s="3" t="s">
        <v>27</v>
      </c>
      <c r="F3622" s="3">
        <v>1034483</v>
      </c>
      <c r="G3622" s="3">
        <v>260262</v>
      </c>
      <c r="H3622" s="3">
        <v>394166</v>
      </c>
      <c r="I3622" s="3">
        <v>127311</v>
      </c>
    </row>
    <row r="3623" spans="1:9">
      <c r="A3623" s="3" t="s">
        <v>3648</v>
      </c>
      <c r="B3623" s="3" t="s">
        <v>26</v>
      </c>
      <c r="C3623" s="3">
        <v>1087660</v>
      </c>
      <c r="D3623" s="3">
        <v>40241</v>
      </c>
      <c r="E3623" s="3" t="s">
        <v>27</v>
      </c>
      <c r="F3623" s="3">
        <v>608893</v>
      </c>
      <c r="G3623" s="3">
        <v>26350</v>
      </c>
      <c r="H3623" s="3">
        <v>478767</v>
      </c>
      <c r="I3623" s="3">
        <v>13891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cols>
    <col min="1" max="1" width="110.7109375" style="3" customWidth="1"/>
  </cols>
  <sheetData>
    <row r="1" spans="1:1">
      <c r="A1" s="3" t="s">
        <v>3649</v>
      </c>
    </row>
    <row r="2" spans="1:1">
      <c r="A2" s="3" t="s">
        <v>3650</v>
      </c>
    </row>
    <row r="3" spans="1:1">
      <c r="A3" s="3" t="s">
        <v>3651</v>
      </c>
    </row>
    <row r="4" spans="1:1">
      <c r="A4" s="3" t="s">
        <v>3652</v>
      </c>
    </row>
    <row r="5" spans="1:1">
      <c r="A5" s="3" t="s">
        <v>3653</v>
      </c>
    </row>
    <row r="6" spans="1:1">
      <c r="A6" s="3" t="s">
        <v>3654</v>
      </c>
    </row>
    <row r="7" spans="1:1">
      <c r="A7" s="3" t="s">
        <v>3655</v>
      </c>
    </row>
    <row r="8" spans="1:1">
      <c r="A8" s="3" t="s">
        <v>3656</v>
      </c>
    </row>
    <row r="9" spans="1:1">
      <c r="A9" s="3" t="s">
        <v>3657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full#0, 21_0, 19</vt:lpstr>
      <vt:lpstr>full#21, 33_19, 32</vt:lpstr>
      <vt:lpstr>full#33, 44_32, 43</vt:lpstr>
      <vt:lpstr>full#44, 101_43, 101</vt:lpstr>
      <vt:lpstr>rrep#0_21</vt:lpstr>
      <vt:lpstr>rrep#21_33</vt:lpstr>
      <vt:lpstr>rrep#33_44</vt:lpstr>
      <vt:lpstr>rrep#44_101</vt:lpstr>
      <vt:lpstr>rreq#0_19</vt:lpstr>
      <vt:lpstr>rreq#19_32</vt:lpstr>
      <vt:lpstr>rreq#32_43</vt:lpstr>
      <vt:lpstr>rreq#43_101</vt:lpstr>
      <vt:lpstr>Raw Counts</vt:lpstr>
      <vt:lpstr>Read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2026-09-15T06:47:42Z</dcterms:created>
  <dcterms:modified xsi:type="dcterms:W3CDTF">2026-09-15T06:47:42Z</dcterms:modified>
</cp:coreProperties>
</file>