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#0, 21_0, 19" sheetId="1" r:id="rId1"/>
    <sheet name="full#21, 33_19, 32" sheetId="2" r:id="rId2"/>
    <sheet name="full#33, 44_32, 43" sheetId="3" r:id="rId3"/>
    <sheet name="full#44, 101_43, 101" sheetId="4" r:id="rId4"/>
    <sheet name="rrep#0_21" sheetId="5" r:id="rId5"/>
    <sheet name="rrep#21_33" sheetId="6" r:id="rId6"/>
    <sheet name="rrep#33_44" sheetId="7" r:id="rId7"/>
    <sheet name="rrep#44_101" sheetId="8" r:id="rId8"/>
    <sheet name="rreq#0_19" sheetId="9" r:id="rId9"/>
    <sheet name="rreq#19_32" sheetId="10" r:id="rId10"/>
    <sheet name="rreq#32_43" sheetId="11" r:id="rId11"/>
    <sheet name="rreq#43_101" sheetId="12" r:id="rId12"/>
    <sheet name="Raw Counts" sheetId="13" r:id="rId13"/>
    <sheet name="Read Me" sheetId="14" r:id="rId1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19_result\d#120\v#30\30\ping_collision_summary.csv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32_result\d#120\v#30\30\ping_collision_summary.csv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43_result\d#120\v#30\30\ping_collision_summary.csv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101_result\d#120\v#30\30\ping_collision_summary.csv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D:\CBP_2026.07.21\i#3\rrep\rrep#0_21_result\d#120\v#30\30\ping_collision_summary.csv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D:\CBP_2026.07.21\i#3\rrep\rrep#21_33_result\d#120\v#30\30\ping_collision_summary.csv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D:\CBP_2026.07.21\i#3\rrep\rrep#33_44_result\d#120\v#30\30\ping_collision_summary.csv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D:\CBP_2026.07.21\i#3\rrep\rrep#44_101_result\d#120\v#30\30\ping_collision_summary.csv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D:\CBP_2026.07.21\i#3\rreq\rreq#0_19_result\d#120\v#30\30\ping_collision_summary.csv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D:\CBP_2026.07.21\i#3\rreq\rreq#19_32_result\d#120\v#30\30\ping_collision_summary.csv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D:\CBP_2026.07.21\i#3\rreq\rreq#32_43_result\d#120\v#30\30\ping_collision_summary.csv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D:\CBP_2026.07.21\i#3\rreq\rreq#43_101_result\d#120\v#30\30\ping_collision_summary.csv</t>
        </r>
      </text>
    </comment>
  </commentList>
</comments>
</file>

<file path=xl/sharedStrings.xml><?xml version="1.0" encoding="utf-8"?>
<sst xmlns="http://schemas.openxmlformats.org/spreadsheetml/2006/main" count="11756" uniqueCount="3658">
  <si>
    <t>70/10</t>
  </si>
  <si>
    <t>No</t>
  </si>
  <si>
    <t>nodeId</t>
  </si>
  <si>
    <t>Legacy</t>
  </si>
  <si>
    <t>Proposed</t>
  </si>
  <si>
    <t>Delta</t>
  </si>
  <si>
    <t>AVG</t>
  </si>
  <si>
    <t>N</t>
  </si>
  <si>
    <t>70/20</t>
  </si>
  <si>
    <t>70/30</t>
  </si>
  <si>
    <t>100/10</t>
  </si>
  <si>
    <t>100/20</t>
  </si>
  <si>
    <t>100/30</t>
  </si>
  <si>
    <t>120/10</t>
  </si>
  <si>
    <t>120/20</t>
  </si>
  <si>
    <t>120/30</t>
  </si>
  <si>
    <t>source</t>
  </si>
  <si>
    <t>packet</t>
  </si>
  <si>
    <t>receptionAttempts</t>
  </si>
  <si>
    <t>failedReceptionsWithInterference</t>
  </si>
  <si>
    <t>status</t>
  </si>
  <si>
    <t>D:\CBP_2026.07.21\i#3\full\full#0, 21_0, 19_result\d#100\v#10\0\ping_collision_summary.csv</t>
  </si>
  <si>
    <t>request</t>
  </si>
  <si>
    <t>ok</t>
  </si>
  <si>
    <t>D:\CBP_2026.07.21\i#3\full\full#0, 21_0, 19_result\d#100\v#10\10\ping_collision_summary.csv</t>
  </si>
  <si>
    <t>D:\CBP_2026.07.21\i#3\full\full#0, 21_0, 19_result\d#100\v#10\11\ping_collision_summary.csv</t>
  </si>
  <si>
    <t>D:\CBP_2026.07.21\i#3\full\full#0, 21_0, 19_result\d#100\v#10\12\ping_collision_summary.csv</t>
  </si>
  <si>
    <t>D:\CBP_2026.07.21\i#3\full\full#0, 21_0, 19_result\d#100\v#10\13\ping_collision_summary.csv</t>
  </si>
  <si>
    <t>D:\CBP_2026.07.21\i#3\full\full#0, 21_0, 19_result\d#100\v#10\14\ping_collision_summary.csv</t>
  </si>
  <si>
    <t>D:\CBP_2026.07.21\i#3\full\full#0, 21_0, 19_result\d#100\v#10\15\ping_collision_summary.csv</t>
  </si>
  <si>
    <t>D:\CBP_2026.07.21\i#3\full\full#0, 21_0, 19_result\d#100\v#10\16\ping_collision_summary.csv</t>
  </si>
  <si>
    <t>D:\CBP_2026.07.21\i#3\full\full#0, 21_0, 19_result\d#100\v#10\17\ping_collision_summary.csv</t>
  </si>
  <si>
    <t>D:\CBP_2026.07.21\i#3\full\full#0, 21_0, 19_result\d#100\v#10\18\ping_collision_summary.csv</t>
  </si>
  <si>
    <t>D:\CBP_2026.07.21\i#3\full\full#0, 21_0, 19_result\d#100\v#10\19\ping_collision_summary.csv</t>
  </si>
  <si>
    <t>D:\CBP_2026.07.21\i#3\full\full#0, 21_0, 19_result\d#100\v#10\1\ping_collision_summary.csv</t>
  </si>
  <si>
    <t>D:\CBP_2026.07.21\i#3\full\full#0, 21_0, 19_result\d#100\v#10\20\ping_collision_summary.csv</t>
  </si>
  <si>
    <t>D:\CBP_2026.07.21\i#3\full\full#0, 21_0, 19_result\d#100\v#10\21\ping_collision_summary.csv</t>
  </si>
  <si>
    <t>D:\CBP_2026.07.21\i#3\full\full#0, 21_0, 19_result\d#100\v#10\22\ping_collision_summary.csv</t>
  </si>
  <si>
    <t>D:\CBP_2026.07.21\i#3\full\full#0, 21_0, 19_result\d#100\v#10\23\ping_collision_summary.csv</t>
  </si>
  <si>
    <t>D:\CBP_2026.07.21\i#3\full\full#0, 21_0, 19_result\d#100\v#10\24\ping_collision_summary.csv</t>
  </si>
  <si>
    <t>D:\CBP_2026.07.21\i#3\full\full#0, 21_0, 19_result\d#100\v#10\25\ping_collision_summary.csv</t>
  </si>
  <si>
    <t>D:\CBP_2026.07.21\i#3\full\full#0, 21_0, 19_result\d#100\v#10\26\ping_collision_summary.csv</t>
  </si>
  <si>
    <t>D:\CBP_2026.07.21\i#3\full\full#0, 21_0, 19_result\d#100\v#10\27\ping_collision_summary.csv</t>
  </si>
  <si>
    <t>D:\CBP_2026.07.21\i#3\full\full#0, 21_0, 19_result\d#100\v#10\28\ping_collision_summary.csv</t>
  </si>
  <si>
    <t>D:\CBP_2026.07.21\i#3\full\full#0, 21_0, 19_result\d#100\v#10\29\ping_collision_summary.csv</t>
  </si>
  <si>
    <t>D:\CBP_2026.07.21\i#3\full\full#0, 21_0, 19_result\d#100\v#10\2\ping_collision_summary.csv</t>
  </si>
  <si>
    <t>D:\CBP_2026.07.21\i#3\full\full#0, 21_0, 19_result\d#100\v#10\30\ping_collision_summary.csv</t>
  </si>
  <si>
    <t>D:\CBP_2026.07.21\i#3\full\full#0, 21_0, 19_result\d#100\v#10\3\ping_collision_summary.csv</t>
  </si>
  <si>
    <t>D:\CBP_2026.07.21\i#3\full\full#0, 21_0, 19_result\d#100\v#10\4\ping_collision_summary.csv</t>
  </si>
  <si>
    <t>D:\CBP_2026.07.21\i#3\full\full#0, 21_0, 19_result\d#100\v#10\5\ping_collision_summary.csv</t>
  </si>
  <si>
    <t>D:\CBP_2026.07.21\i#3\full\full#0, 21_0, 19_result\d#100\v#10\6\ping_collision_summary.csv</t>
  </si>
  <si>
    <t>D:\CBP_2026.07.21\i#3\full\full#0, 21_0, 19_result\d#100\v#10\7\ping_collision_summary.csv</t>
  </si>
  <si>
    <t>D:\CBP_2026.07.21\i#3\full\full#0, 21_0, 19_result\d#100\v#10\8\ping_collision_summary.csv</t>
  </si>
  <si>
    <t>D:\CBP_2026.07.21\i#3\full\full#0, 21_0, 19_result\d#100\v#10\9\ping_collision_summary.csv</t>
  </si>
  <si>
    <t>D:\CBP_2026.07.21\i#3\full\full#0, 21_0, 19_result\d#100\v#20\0\ping_collision_summary.csv</t>
  </si>
  <si>
    <t>D:\CBP_2026.07.21\i#3\full\full#0, 21_0, 19_result\d#100\v#20\10\ping_collision_summary.csv</t>
  </si>
  <si>
    <t>D:\CBP_2026.07.21\i#3\full\full#0, 21_0, 19_result\d#100\v#20\11\ping_collision_summary.csv</t>
  </si>
  <si>
    <t>D:\CBP_2026.07.21\i#3\full\full#0, 21_0, 19_result\d#100\v#20\12\ping_collision_summary.csv</t>
  </si>
  <si>
    <t>D:\CBP_2026.07.21\i#3\full\full#0, 21_0, 19_result\d#100\v#20\13\ping_collision_summary.csv</t>
  </si>
  <si>
    <t>D:\CBP_2026.07.21\i#3\full\full#0, 21_0, 19_result\d#100\v#20\14\ping_collision_summary.csv</t>
  </si>
  <si>
    <t>D:\CBP_2026.07.21\i#3\full\full#0, 21_0, 19_result\d#100\v#20\15\ping_collision_summary.csv</t>
  </si>
  <si>
    <t>D:\CBP_2026.07.21\i#3\full\full#0, 21_0, 19_result\d#100\v#20\16\ping_collision_summary.csv</t>
  </si>
  <si>
    <t>D:\CBP_2026.07.21\i#3\full\full#0, 21_0, 19_result\d#100\v#20\17\ping_collision_summary.csv</t>
  </si>
  <si>
    <t>D:\CBP_2026.07.21\i#3\full\full#0, 21_0, 19_result\d#100\v#20\18\ping_collision_summary.csv</t>
  </si>
  <si>
    <t>D:\CBP_2026.07.21\i#3\full\full#0, 21_0, 19_result\d#100\v#20\19\ping_collision_summary.csv</t>
  </si>
  <si>
    <t>D:\CBP_2026.07.21\i#3\full\full#0, 21_0, 19_result\d#100\v#20\1\ping_collision_summary.csv</t>
  </si>
  <si>
    <t>D:\CBP_2026.07.21\i#3\full\full#0, 21_0, 19_result\d#100\v#20\20\ping_collision_summary.csv</t>
  </si>
  <si>
    <t>D:\CBP_2026.07.21\i#3\full\full#0, 21_0, 19_result\d#100\v#20\21\ping_collision_summary.csv</t>
  </si>
  <si>
    <t>D:\CBP_2026.07.21\i#3\full\full#0, 21_0, 19_result\d#100\v#20\22\ping_collision_summary.csv</t>
  </si>
  <si>
    <t>D:\CBP_2026.07.21\i#3\full\full#0, 21_0, 19_result\d#100\v#20\23\ping_collision_summary.csv</t>
  </si>
  <si>
    <t>D:\CBP_2026.07.21\i#3\full\full#0, 21_0, 19_result\d#100\v#20\24\ping_collision_summary.csv</t>
  </si>
  <si>
    <t>D:\CBP_2026.07.21\i#3\full\full#0, 21_0, 19_result\d#100\v#20\25\ping_collision_summary.csv</t>
  </si>
  <si>
    <t>D:\CBP_2026.07.21\i#3\full\full#0, 21_0, 19_result\d#100\v#20\26\ping_collision_summary.csv</t>
  </si>
  <si>
    <t>D:\CBP_2026.07.21\i#3\full\full#0, 21_0, 19_result\d#100\v#20\27\ping_collision_summary.csv</t>
  </si>
  <si>
    <t>D:\CBP_2026.07.21\i#3\full\full#0, 21_0, 19_result\d#100\v#20\28\ping_collision_summary.csv</t>
  </si>
  <si>
    <t>D:\CBP_2026.07.21\i#3\full\full#0, 21_0, 19_result\d#100\v#20\29\ping_collision_summary.csv</t>
  </si>
  <si>
    <t>D:\CBP_2026.07.21\i#3\full\full#0, 21_0, 19_result\d#100\v#20\2\ping_collision_summary.csv</t>
  </si>
  <si>
    <t>D:\CBP_2026.07.21\i#3\full\full#0, 21_0, 19_result\d#100\v#20\30\ping_collision_summary.csv</t>
  </si>
  <si>
    <t>D:\CBP_2026.07.21\i#3\full\full#0, 21_0, 19_result\d#100\v#20\3\ping_collision_summary.csv</t>
  </si>
  <si>
    <t>D:\CBP_2026.07.21\i#3\full\full#0, 21_0, 19_result\d#100\v#20\4\ping_collision_summary.csv</t>
  </si>
  <si>
    <t>D:\CBP_2026.07.21\i#3\full\full#0, 21_0, 19_result\d#100\v#20\5\ping_collision_summary.csv</t>
  </si>
  <si>
    <t>D:\CBP_2026.07.21\i#3\full\full#0, 21_0, 19_result\d#100\v#20\6\ping_collision_summary.csv</t>
  </si>
  <si>
    <t>D:\CBP_2026.07.21\i#3\full\full#0, 21_0, 19_result\d#100\v#20\7\ping_collision_summary.csv</t>
  </si>
  <si>
    <t>D:\CBP_2026.07.21\i#3\full\full#0, 21_0, 19_result\d#100\v#20\8\ping_collision_summary.csv</t>
  </si>
  <si>
    <t>D:\CBP_2026.07.21\i#3\full\full#0, 21_0, 19_result\d#100\v#20\9\ping_collision_summary.csv</t>
  </si>
  <si>
    <t>D:\CBP_2026.07.21\i#3\full\full#0, 21_0, 19_result\d#100\v#30\0\ping_collision_summary.csv</t>
  </si>
  <si>
    <t>D:\CBP_2026.07.21\i#3\full\full#0, 21_0, 19_result\d#100\v#30\10\ping_collision_summary.csv</t>
  </si>
  <si>
    <t>D:\CBP_2026.07.21\i#3\full\full#0, 21_0, 19_result\d#100\v#30\11\ping_collision_summary.csv</t>
  </si>
  <si>
    <t>D:\CBP_2026.07.21\i#3\full\full#0, 21_0, 19_result\d#100\v#30\12\ping_collision_summary.csv</t>
  </si>
  <si>
    <t>D:\CBP_2026.07.21\i#3\full\full#0, 21_0, 19_result\d#100\v#30\13\ping_collision_summary.csv</t>
  </si>
  <si>
    <t>D:\CBP_2026.07.21\i#3\full\full#0, 21_0, 19_result\d#100\v#30\14\ping_collision_summary.csv</t>
  </si>
  <si>
    <t>D:\CBP_2026.07.21\i#3\full\full#0, 21_0, 19_result\d#100\v#30\15\ping_collision_summary.csv</t>
  </si>
  <si>
    <t>D:\CBP_2026.07.21\i#3\full\full#0, 21_0, 19_result\d#100\v#30\16\ping_collision_summary.csv</t>
  </si>
  <si>
    <t>D:\CBP_2026.07.21\i#3\full\full#0, 21_0, 19_result\d#100\v#30\17\ping_collision_summary.csv</t>
  </si>
  <si>
    <t>D:\CBP_2026.07.21\i#3\full\full#0, 21_0, 19_result\d#100\v#30\18\ping_collision_summary.csv</t>
  </si>
  <si>
    <t>D:\CBP_2026.07.21\i#3\full\full#0, 21_0, 19_result\d#100\v#30\19\ping_collision_summary.csv</t>
  </si>
  <si>
    <t>D:\CBP_2026.07.21\i#3\full\full#0, 21_0, 19_result\d#100\v#30\1\ping_collision_summary.csv</t>
  </si>
  <si>
    <t>D:\CBP_2026.07.21\i#3\full\full#0, 21_0, 19_result\d#100\v#30\20\ping_collision_summary.csv</t>
  </si>
  <si>
    <t>D:\CBP_2026.07.21\i#3\full\full#0, 21_0, 19_result\d#100\v#30\21\ping_collision_summary.csv</t>
  </si>
  <si>
    <t>D:\CBP_2026.07.21\i#3\full\full#0, 21_0, 19_result\d#100\v#30\22\ping_collision_summary.csv</t>
  </si>
  <si>
    <t>D:\CBP_2026.07.21\i#3\full\full#0, 21_0, 19_result\d#100\v#30\23\ping_collision_summary.csv</t>
  </si>
  <si>
    <t>D:\CBP_2026.07.21\i#3\full\full#0, 21_0, 19_result\d#100\v#30\24\ping_collision_summary.csv</t>
  </si>
  <si>
    <t>D:\CBP_2026.07.21\i#3\full\full#0, 21_0, 19_result\d#100\v#30\25\ping_collision_summary.csv</t>
  </si>
  <si>
    <t>D:\CBP_2026.07.21\i#3\full\full#0, 21_0, 19_result\d#100\v#30\26\ping_collision_summary.csv</t>
  </si>
  <si>
    <t>D:\CBP_2026.07.21\i#3\full\full#0, 21_0, 19_result\d#100\v#30\27\ping_collision_summary.csv</t>
  </si>
  <si>
    <t>D:\CBP_2026.07.21\i#3\full\full#0, 21_0, 19_result\d#100\v#30\28\ping_collision_summary.csv</t>
  </si>
  <si>
    <t>D:\CBP_2026.07.21\i#3\full\full#0, 21_0, 19_result\d#100\v#30\29\ping_collision_summary.csv</t>
  </si>
  <si>
    <t>D:\CBP_2026.07.21\i#3\full\full#0, 21_0, 19_result\d#100\v#30\2\ping_collision_summary.csv</t>
  </si>
  <si>
    <t>D:\CBP_2026.07.21\i#3\full\full#0, 21_0, 19_result\d#100\v#30\30\ping_collision_summary.csv</t>
  </si>
  <si>
    <t>D:\CBP_2026.07.21\i#3\full\full#0, 21_0, 19_result\d#100\v#30\3\ping_collision_summary.csv</t>
  </si>
  <si>
    <t>D:\CBP_2026.07.21\i#3\full\full#0, 21_0, 19_result\d#100\v#30\4\ping_collision_summary.csv</t>
  </si>
  <si>
    <t>D:\CBP_2026.07.21\i#3\full\full#0, 21_0, 19_result\d#100\v#30\5\ping_collision_summary.csv</t>
  </si>
  <si>
    <t>D:\CBP_2026.07.21\i#3\full\full#0, 21_0, 19_result\d#100\v#30\6\ping_collision_summary.csv</t>
  </si>
  <si>
    <t>D:\CBP_2026.07.21\i#3\full\full#0, 21_0, 19_result\d#100\v#30\7\ping_collision_summary.csv</t>
  </si>
  <si>
    <t>D:\CBP_2026.07.21\i#3\full\full#0, 21_0, 19_result\d#100\v#30\8\ping_collision_summary.csv</t>
  </si>
  <si>
    <t>D:\CBP_2026.07.21\i#3\full\full#0, 21_0, 19_result\d#100\v#30\9\ping_collision_summary.csv</t>
  </si>
  <si>
    <t>D:\CBP_2026.07.21\i#3\full\full#0, 21_0, 19_result\d#120\v#10\0\ping_collision_summary.csv</t>
  </si>
  <si>
    <t>D:\CBP_2026.07.21\i#3\full\full#0, 21_0, 19_result\d#120\v#10\10\ping_collision_summary.csv</t>
  </si>
  <si>
    <t>D:\CBP_2026.07.21\i#3\full\full#0, 21_0, 19_result\d#120\v#10\11\ping_collision_summary.csv</t>
  </si>
  <si>
    <t>D:\CBP_2026.07.21\i#3\full\full#0, 21_0, 19_result\d#120\v#10\12\ping_collision_summary.csv</t>
  </si>
  <si>
    <t>D:\CBP_2026.07.21\i#3\full\full#0, 21_0, 19_result\d#120\v#10\13\ping_collision_summary.csv</t>
  </si>
  <si>
    <t>D:\CBP_2026.07.21\i#3\full\full#0, 21_0, 19_result\d#120\v#10\14\ping_collision_summary.csv</t>
  </si>
  <si>
    <t>D:\CBP_2026.07.21\i#3\full\full#0, 21_0, 19_result\d#120\v#10\15\ping_collision_summary.csv</t>
  </si>
  <si>
    <t>D:\CBP_2026.07.21\i#3\full\full#0, 21_0, 19_result\d#120\v#10\16\ping_collision_summary.csv</t>
  </si>
  <si>
    <t>D:\CBP_2026.07.21\i#3\full\full#0, 21_0, 19_result\d#120\v#10\17\ping_collision_summary.csv</t>
  </si>
  <si>
    <t>D:\CBP_2026.07.21\i#3\full\full#0, 21_0, 19_result\d#120\v#10\18\ping_collision_summary.csv</t>
  </si>
  <si>
    <t>D:\CBP_2026.07.21\i#3\full\full#0, 21_0, 19_result\d#120\v#10\19\ping_collision_summary.csv</t>
  </si>
  <si>
    <t>D:\CBP_2026.07.21\i#3\full\full#0, 21_0, 19_result\d#120\v#10\1\ping_collision_summary.csv</t>
  </si>
  <si>
    <t>D:\CBP_2026.07.21\i#3\full\full#0, 21_0, 19_result\d#120\v#10\20\ping_collision_summary.csv</t>
  </si>
  <si>
    <t>D:\CBP_2026.07.21\i#3\full\full#0, 21_0, 19_result\d#120\v#10\21\ping_collision_summary.csv</t>
  </si>
  <si>
    <t>D:\CBP_2026.07.21\i#3\full\full#0, 21_0, 19_result\d#120\v#10\22\ping_collision_summary.csv</t>
  </si>
  <si>
    <t>D:\CBP_2026.07.21\i#3\full\full#0, 21_0, 19_result\d#120\v#10\23\ping_collision_summary.csv</t>
  </si>
  <si>
    <t>D:\CBP_2026.07.21\i#3\full\full#0, 21_0, 19_result\d#120\v#10\24\ping_collision_summary.csv</t>
  </si>
  <si>
    <t>D:\CBP_2026.07.21\i#3\full\full#0, 21_0, 19_result\d#120\v#10\25\ping_collision_summary.csv</t>
  </si>
  <si>
    <t>D:\CBP_2026.07.21\i#3\full\full#0, 21_0, 19_result\d#120\v#10\26\ping_collision_summary.csv</t>
  </si>
  <si>
    <t>D:\CBP_2026.07.21\i#3\full\full#0, 21_0, 19_result\d#120\v#10\27\ping_collision_summary.csv</t>
  </si>
  <si>
    <t>D:\CBP_2026.07.21\i#3\full\full#0, 21_0, 19_result\d#120\v#10\28\ping_collision_summary.csv</t>
  </si>
  <si>
    <t>D:\CBP_2026.07.21\i#3\full\full#0, 21_0, 19_result\d#120\v#10\29\ping_collision_summary.csv</t>
  </si>
  <si>
    <t>D:\CBP_2026.07.21\i#3\full\full#0, 21_0, 19_result\d#120\v#10\2\ping_collision_summary.csv</t>
  </si>
  <si>
    <t>D:\CBP_2026.07.21\i#3\full\full#0, 21_0, 19_result\d#120\v#10\30\ping_collision_summary.csv</t>
  </si>
  <si>
    <t>D:\CBP_2026.07.21\i#3\full\full#0, 21_0, 19_result\d#120\v#10\3\ping_collision_summary.csv</t>
  </si>
  <si>
    <t>D:\CBP_2026.07.21\i#3\full\full#0, 21_0, 19_result\d#120\v#10\4\ping_collision_summary.csv</t>
  </si>
  <si>
    <t>D:\CBP_2026.07.21\i#3\full\full#0, 21_0, 19_result\d#120\v#10\5\ping_collision_summary.csv</t>
  </si>
  <si>
    <t>D:\CBP_2026.07.21\i#3\full\full#0, 21_0, 19_result\d#120\v#10\6\ping_collision_summary.csv</t>
  </si>
  <si>
    <t>D:\CBP_2026.07.21\i#3\full\full#0, 21_0, 19_result\d#120\v#10\7\ping_collision_summary.csv</t>
  </si>
  <si>
    <t>D:\CBP_2026.07.21\i#3\full\full#0, 21_0, 19_result\d#120\v#10\8\ping_collision_summary.csv</t>
  </si>
  <si>
    <t>D:\CBP_2026.07.21\i#3\full\full#0, 21_0, 19_result\d#120\v#10\9\ping_collision_summary.csv</t>
  </si>
  <si>
    <t>D:\CBP_2026.07.21\i#3\full\full#0, 21_0, 19_result\d#120\v#20\0\ping_collision_summary.csv</t>
  </si>
  <si>
    <t>D:\CBP_2026.07.21\i#3\full\full#0, 21_0, 19_result\d#120\v#20\10\ping_collision_summary.csv</t>
  </si>
  <si>
    <t>D:\CBP_2026.07.21\i#3\full\full#0, 21_0, 19_result\d#120\v#20\11\ping_collision_summary.csv</t>
  </si>
  <si>
    <t>D:\CBP_2026.07.21\i#3\full\full#0, 21_0, 19_result\d#120\v#20\12\ping_collision_summary.csv</t>
  </si>
  <si>
    <t>D:\CBP_2026.07.21\i#3\full\full#0, 21_0, 19_result\d#120\v#20\13\ping_collision_summary.csv</t>
  </si>
  <si>
    <t>D:\CBP_2026.07.21\i#3\full\full#0, 21_0, 19_result\d#120\v#20\14\ping_collision_summary.csv</t>
  </si>
  <si>
    <t>D:\CBP_2026.07.21\i#3\full\full#0, 21_0, 19_result\d#120\v#20\15\ping_collision_summary.csv</t>
  </si>
  <si>
    <t>D:\CBP_2026.07.21\i#3\full\full#0, 21_0, 19_result\d#120\v#20\16\ping_collision_summary.csv</t>
  </si>
  <si>
    <t>D:\CBP_2026.07.21\i#3\full\full#0, 21_0, 19_result\d#120\v#20\17\ping_collision_summary.csv</t>
  </si>
  <si>
    <t>D:\CBP_2026.07.21\i#3\full\full#0, 21_0, 19_result\d#120\v#20\18\ping_collision_summary.csv</t>
  </si>
  <si>
    <t>D:\CBP_2026.07.21\i#3\full\full#0, 21_0, 19_result\d#120\v#20\19\ping_collision_summary.csv</t>
  </si>
  <si>
    <t>D:\CBP_2026.07.21\i#3\full\full#0, 21_0, 19_result\d#120\v#20\1\ping_collision_summary.csv</t>
  </si>
  <si>
    <t>D:\CBP_2026.07.21\i#3\full\full#0, 21_0, 19_result\d#120\v#20\20\ping_collision_summary.csv</t>
  </si>
  <si>
    <t>D:\CBP_2026.07.21\i#3\full\full#0, 21_0, 19_result\d#120\v#20\21\ping_collision_summary.csv</t>
  </si>
  <si>
    <t>D:\CBP_2026.07.21\i#3\full\full#0, 21_0, 19_result\d#120\v#20\22\ping_collision_summary.csv</t>
  </si>
  <si>
    <t>D:\CBP_2026.07.21\i#3\full\full#0, 21_0, 19_result\d#120\v#20\23\ping_collision_summary.csv</t>
  </si>
  <si>
    <t>D:\CBP_2026.07.21\i#3\full\full#0, 21_0, 19_result\d#120\v#20\24\ping_collision_summary.csv</t>
  </si>
  <si>
    <t>D:\CBP_2026.07.21\i#3\full\full#0, 21_0, 19_result\d#120\v#20\25\ping_collision_summary.csv</t>
  </si>
  <si>
    <t>D:\CBP_2026.07.21\i#3\full\full#0, 21_0, 19_result\d#120\v#20\26\ping_collision_summary.csv</t>
  </si>
  <si>
    <t>D:\CBP_2026.07.21\i#3\full\full#0, 21_0, 19_result\d#120\v#20\27\ping_collision_summary.csv</t>
  </si>
  <si>
    <t>D:\CBP_2026.07.21\i#3\full\full#0, 21_0, 19_result\d#120\v#20\28\ping_collision_summary.csv</t>
  </si>
  <si>
    <t>D:\CBP_2026.07.21\i#3\full\full#0, 21_0, 19_result\d#120\v#20\29\ping_collision_summary.csv</t>
  </si>
  <si>
    <t>D:\CBP_2026.07.21\i#3\full\full#0, 21_0, 19_result\d#120\v#20\2\ping_collision_summary.csv</t>
  </si>
  <si>
    <t>D:\CBP_2026.07.21\i#3\full\full#0, 21_0, 19_result\d#120\v#20\30\ping_collision_summary.csv</t>
  </si>
  <si>
    <t>D:\CBP_2026.07.21\i#3\full\full#0, 21_0, 19_result\d#120\v#20\3\ping_collision_summary.csv</t>
  </si>
  <si>
    <t>D:\CBP_2026.07.21\i#3\full\full#0, 21_0, 19_result\d#120\v#20\4\ping_collision_summary.csv</t>
  </si>
  <si>
    <t>D:\CBP_2026.07.21\i#3\full\full#0, 21_0, 19_result\d#120\v#20\5\ping_collision_summary.csv</t>
  </si>
  <si>
    <t>D:\CBP_2026.07.21\i#3\full\full#0, 21_0, 19_result\d#120\v#20\6\ping_collision_summary.csv</t>
  </si>
  <si>
    <t>D:\CBP_2026.07.21\i#3\full\full#0, 21_0, 19_result\d#120\v#20\7\ping_collision_summary.csv</t>
  </si>
  <si>
    <t>D:\CBP_2026.07.21\i#3\full\full#0, 21_0, 19_result\d#120\v#20\8\ping_collision_summary.csv</t>
  </si>
  <si>
    <t>D:\CBP_2026.07.21\i#3\full\full#0, 21_0, 19_result\d#120\v#20\9\ping_collision_summary.csv</t>
  </si>
  <si>
    <t>D:\CBP_2026.07.21\i#3\full\full#0, 21_0, 19_result\d#120\v#30\0\ping_collision_summary.csv</t>
  </si>
  <si>
    <t>D:\CBP_2026.07.21\i#3\full\full#0, 21_0, 19_result\d#120\v#30\10\ping_collision_summary.csv</t>
  </si>
  <si>
    <t>D:\CBP_2026.07.21\i#3\full\full#0, 21_0, 19_result\d#120\v#30\11\ping_collision_summary.csv</t>
  </si>
  <si>
    <t>D:\CBP_2026.07.21\i#3\full\full#0, 21_0, 19_result\d#120\v#30\12\ping_collision_summary.csv</t>
  </si>
  <si>
    <t>D:\CBP_2026.07.21\i#3\full\full#0, 21_0, 19_result\d#120\v#30\13\ping_collision_summary.csv</t>
  </si>
  <si>
    <t>D:\CBP_2026.07.21\i#3\full\full#0, 21_0, 19_result\d#120\v#30\14\ping_collision_summary.csv</t>
  </si>
  <si>
    <t>D:\CBP_2026.07.21\i#3\full\full#0, 21_0, 19_result\d#120\v#30\15\ping_collision_summary.csv</t>
  </si>
  <si>
    <t>D:\CBP_2026.07.21\i#3\full\full#0, 21_0, 19_result\d#120\v#30\16\ping_collision_summary.csv</t>
  </si>
  <si>
    <t>D:\CBP_2026.07.21\i#3\full\full#0, 21_0, 19_result\d#120\v#30\17\ping_collision_summary.csv</t>
  </si>
  <si>
    <t>D:\CBP_2026.07.21\i#3\full\full#0, 21_0, 19_result\d#120\v#30\18\ping_collision_summary.csv</t>
  </si>
  <si>
    <t>D:\CBP_2026.07.21\i#3\full\full#0, 21_0, 19_result\d#120\v#30\19\ping_collision_summary.csv</t>
  </si>
  <si>
    <t>D:\CBP_2026.07.21\i#3\full\full#0, 21_0, 19_result\d#120\v#30\1\ping_collision_summary.csv</t>
  </si>
  <si>
    <t>D:\CBP_2026.07.21\i#3\full\full#0, 21_0, 19_result\d#120\v#30\20\ping_collision_summary.csv</t>
  </si>
  <si>
    <t>D:\CBP_2026.07.21\i#3\full\full#0, 21_0, 19_result\d#120\v#30\21\ping_collision_summary.csv</t>
  </si>
  <si>
    <t>D:\CBP_2026.07.21\i#3\full\full#0, 21_0, 19_result\d#120\v#30\22\ping_collision_summary.csv</t>
  </si>
  <si>
    <t>D:\CBP_2026.07.21\i#3\full\full#0, 21_0, 19_result\d#120\v#30\23\ping_collision_summary.csv</t>
  </si>
  <si>
    <t>D:\CBP_2026.07.21\i#3\full\full#0, 21_0, 19_result\d#120\v#30\24\ping_collision_summary.csv</t>
  </si>
  <si>
    <t>D:\CBP_2026.07.21\i#3\full\full#0, 21_0, 19_result\d#120\v#30\25\ping_collision_summary.csv</t>
  </si>
  <si>
    <t>D:\CBP_2026.07.21\i#3\full\full#0, 21_0, 19_result\d#120\v#30\26\ping_collision_summary.csv</t>
  </si>
  <si>
    <t>D:\CBP_2026.07.21\i#3\full\full#0, 21_0, 19_result\d#120\v#30\27\ping_collision_summary.csv</t>
  </si>
  <si>
    <t>D:\CBP_2026.07.21\i#3\full\full#0, 21_0, 19_result\d#120\v#30\28\ping_collision_summary.csv</t>
  </si>
  <si>
    <t>D:\CBP_2026.07.21\i#3\full\full#0, 21_0, 19_result\d#120\v#30\29\ping_collision_summary.csv</t>
  </si>
  <si>
    <t>D:\CBP_2026.07.21\i#3\full\full#0, 21_0, 19_result\d#120\v#30\2\ping_collision_summary.csv</t>
  </si>
  <si>
    <t>D:\CBP_2026.07.21\i#3\full\full#0, 21_0, 19_result\d#120\v#30\30\ping_collision_summary.csv</t>
  </si>
  <si>
    <t>D:\CBP_2026.07.21\i#3\full\full#0, 21_0, 19_result\d#120\v#30\3\ping_collision_summary.csv</t>
  </si>
  <si>
    <t>D:\CBP_2026.07.21\i#3\full\full#0, 21_0, 19_result\d#120\v#30\4\ping_collision_summary.csv</t>
  </si>
  <si>
    <t>D:\CBP_2026.07.21\i#3\full\full#0, 21_0, 19_result\d#120\v#30\5\ping_collision_summary.csv</t>
  </si>
  <si>
    <t>D:\CBP_2026.07.21\i#3\full\full#0, 21_0, 19_result\d#120\v#30\6\ping_collision_summary.csv</t>
  </si>
  <si>
    <t>D:\CBP_2026.07.21\i#3\full\full#0, 21_0, 19_result\d#120\v#30\7\ping_collision_summary.csv</t>
  </si>
  <si>
    <t>D:\CBP_2026.07.21\i#3\full\full#0, 21_0, 19_result\d#120\v#30\8\ping_collision_summary.csv</t>
  </si>
  <si>
    <t>D:\CBP_2026.07.21\i#3\full\full#0, 21_0, 19_result\d#120\v#30\9\ping_collision_summary.csv</t>
  </si>
  <si>
    <t>D:\CBP_2026.07.21\i#3\full\full#0, 21_0, 19_result\d#70\v#10\0\ping_collision_summary.csv</t>
  </si>
  <si>
    <t>D:\CBP_2026.07.21\i#3\full\full#0, 21_0, 19_result\d#70\v#10\10\ping_collision_summary.csv</t>
  </si>
  <si>
    <t>D:\CBP_2026.07.21\i#3\full\full#0, 21_0, 19_result\d#70\v#10\11\ping_collision_summary.csv</t>
  </si>
  <si>
    <t>D:\CBP_2026.07.21\i#3\full\full#0, 21_0, 19_result\d#70\v#10\12\ping_collision_summary.csv</t>
  </si>
  <si>
    <t>D:\CBP_2026.07.21\i#3\full\full#0, 21_0, 19_result\d#70\v#10\13\ping_collision_summary.csv</t>
  </si>
  <si>
    <t>D:\CBP_2026.07.21\i#3\full\full#0, 21_0, 19_result\d#70\v#10\14\ping_collision_summary.csv</t>
  </si>
  <si>
    <t>D:\CBP_2026.07.21\i#3\full\full#0, 21_0, 19_result\d#70\v#10\15\ping_collision_summary.csv</t>
  </si>
  <si>
    <t>D:\CBP_2026.07.21\i#3\full\full#0, 21_0, 19_result\d#70\v#10\16\ping_collision_summary.csv</t>
  </si>
  <si>
    <t>D:\CBP_2026.07.21\i#3\full\full#0, 21_0, 19_result\d#70\v#10\17\ping_collision_summary.csv</t>
  </si>
  <si>
    <t>D:\CBP_2026.07.21\i#3\full\full#0, 21_0, 19_result\d#70\v#10\18\ping_collision_summary.csv</t>
  </si>
  <si>
    <t>D:\CBP_2026.07.21\i#3\full\full#0, 21_0, 19_result\d#70\v#10\19\ping_collision_summary.csv</t>
  </si>
  <si>
    <t>D:\CBP_2026.07.21\i#3\full\full#0, 21_0, 19_result\d#70\v#10\1\ping_collision_summary.csv</t>
  </si>
  <si>
    <t>D:\CBP_2026.07.21\i#3\full\full#0, 21_0, 19_result\d#70\v#10\20\ping_collision_summary.csv</t>
  </si>
  <si>
    <t>D:\CBP_2026.07.21\i#3\full\full#0, 21_0, 19_result\d#70\v#10\21\ping_collision_summary.csv</t>
  </si>
  <si>
    <t>D:\CBP_2026.07.21\i#3\full\full#0, 21_0, 19_result\d#70\v#10\22\ping_collision_summary.csv</t>
  </si>
  <si>
    <t>D:\CBP_2026.07.21\i#3\full\full#0, 21_0, 19_result\d#70\v#10\23\ping_collision_summary.csv</t>
  </si>
  <si>
    <t>D:\CBP_2026.07.21\i#3\full\full#0, 21_0, 19_result\d#70\v#10\24\ping_collision_summary.csv</t>
  </si>
  <si>
    <t>D:\CBP_2026.07.21\i#3\full\full#0, 21_0, 19_result\d#70\v#10\25\ping_collision_summary.csv</t>
  </si>
  <si>
    <t>D:\CBP_2026.07.21\i#3\full\full#0, 21_0, 19_result\d#70\v#10\26\ping_collision_summary.csv</t>
  </si>
  <si>
    <t>D:\CBP_2026.07.21\i#3\full\full#0, 21_0, 19_result\d#70\v#10\27\ping_collision_summary.csv</t>
  </si>
  <si>
    <t>D:\CBP_2026.07.21\i#3\full\full#0, 21_0, 19_result\d#70\v#10\28\ping_collision_summary.csv</t>
  </si>
  <si>
    <t>D:\CBP_2026.07.21\i#3\full\full#0, 21_0, 19_result\d#70\v#10\29\ping_collision_summary.csv</t>
  </si>
  <si>
    <t>D:\CBP_2026.07.21\i#3\full\full#0, 21_0, 19_result\d#70\v#10\2\ping_collision_summary.csv</t>
  </si>
  <si>
    <t>D:\CBP_2026.07.21\i#3\full\full#0, 21_0, 19_result\d#70\v#10\30\ping_collision_summary.csv</t>
  </si>
  <si>
    <t>D:\CBP_2026.07.21\i#3\full\full#0, 21_0, 19_result\d#70\v#10\3\ping_collision_summary.csv</t>
  </si>
  <si>
    <t>D:\CBP_2026.07.21\i#3\full\full#0, 21_0, 19_result\d#70\v#10\4\ping_collision_summary.csv</t>
  </si>
  <si>
    <t>D:\CBP_2026.07.21\i#3\full\full#0, 21_0, 19_result\d#70\v#10\5\ping_collision_summary.csv</t>
  </si>
  <si>
    <t>D:\CBP_2026.07.21\i#3\full\full#0, 21_0, 19_result\d#70\v#10\6\ping_collision_summary.csv</t>
  </si>
  <si>
    <t>D:\CBP_2026.07.21\i#3\full\full#0, 21_0, 19_result\d#70\v#10\7\ping_collision_summary.csv</t>
  </si>
  <si>
    <t>D:\CBP_2026.07.21\i#3\full\full#0, 21_0, 19_result\d#70\v#10\8\ping_collision_summary.csv</t>
  </si>
  <si>
    <t>D:\CBP_2026.07.21\i#3\full\full#0, 21_0, 19_result\d#70\v#10\9\ping_collision_summary.csv</t>
  </si>
  <si>
    <t>D:\CBP_2026.07.21\i#3\full\full#0, 21_0, 19_result\d#70\v#20\0\ping_collision_summary.csv</t>
  </si>
  <si>
    <t>D:\CBP_2026.07.21\i#3\full\full#0, 21_0, 19_result\d#70\v#20\10\ping_collision_summary.csv</t>
  </si>
  <si>
    <t>D:\CBP_2026.07.21\i#3\full\full#0, 21_0, 19_result\d#70\v#20\11\ping_collision_summary.csv</t>
  </si>
  <si>
    <t>D:\CBP_2026.07.21\i#3\full\full#0, 21_0, 19_result\d#70\v#20\12\ping_collision_summary.csv</t>
  </si>
  <si>
    <t>D:\CBP_2026.07.21\i#3\full\full#0, 21_0, 19_result\d#70\v#20\13\ping_collision_summary.csv</t>
  </si>
  <si>
    <t>D:\CBP_2026.07.21\i#3\full\full#0, 21_0, 19_result\d#70\v#20\14\ping_collision_summary.csv</t>
  </si>
  <si>
    <t>D:\CBP_2026.07.21\i#3\full\full#0, 21_0, 19_result\d#70\v#20\15\ping_collision_summary.csv</t>
  </si>
  <si>
    <t>D:\CBP_2026.07.21\i#3\full\full#0, 21_0, 19_result\d#70\v#20\16\ping_collision_summary.csv</t>
  </si>
  <si>
    <t>D:\CBP_2026.07.21\i#3\full\full#0, 21_0, 19_result\d#70\v#20\17\ping_collision_summary.csv</t>
  </si>
  <si>
    <t>D:\CBP_2026.07.21\i#3\full\full#0, 21_0, 19_result\d#70\v#20\18\ping_collision_summary.csv</t>
  </si>
  <si>
    <t>D:\CBP_2026.07.21\i#3\full\full#0, 21_0, 19_result\d#70\v#20\19\ping_collision_summary.csv</t>
  </si>
  <si>
    <t>D:\CBP_2026.07.21\i#3\full\full#0, 21_0, 19_result\d#70\v#20\1\ping_collision_summary.csv</t>
  </si>
  <si>
    <t>D:\CBP_2026.07.21\i#3\full\full#0, 21_0, 19_result\d#70\v#20\20\ping_collision_summary.csv</t>
  </si>
  <si>
    <t>D:\CBP_2026.07.21\i#3\full\full#0, 21_0, 19_result\d#70\v#20\21\ping_collision_summary.csv</t>
  </si>
  <si>
    <t>D:\CBP_2026.07.21\i#3\full\full#0, 21_0, 19_result\d#70\v#20\22\ping_collision_summary.csv</t>
  </si>
  <si>
    <t>D:\CBP_2026.07.21\i#3\full\full#0, 21_0, 19_result\d#70\v#20\23\ping_collision_summary.csv</t>
  </si>
  <si>
    <t>D:\CBP_2026.07.21\i#3\full\full#0, 21_0, 19_result\d#70\v#20\24\ping_collision_summary.csv</t>
  </si>
  <si>
    <t>D:\CBP_2026.07.21\i#3\full\full#0, 21_0, 19_result\d#70\v#20\25\ping_collision_summary.csv</t>
  </si>
  <si>
    <t>D:\CBP_2026.07.21\i#3\full\full#0, 21_0, 19_result\d#70\v#20\26\ping_collision_summary.csv</t>
  </si>
  <si>
    <t>D:\CBP_2026.07.21\i#3\full\full#0, 21_0, 19_result\d#70\v#20\27\ping_collision_summary.csv</t>
  </si>
  <si>
    <t>D:\CBP_2026.07.21\i#3\full\full#0, 21_0, 19_result\d#70\v#20\28\ping_collision_summary.csv</t>
  </si>
  <si>
    <t>D:\CBP_2026.07.21\i#3\full\full#0, 21_0, 19_result\d#70\v#20\29\ping_collision_summary.csv</t>
  </si>
  <si>
    <t>D:\CBP_2026.07.21\i#3\full\full#0, 21_0, 19_result\d#70\v#20\2\ping_collision_summary.csv</t>
  </si>
  <si>
    <t>D:\CBP_2026.07.21\i#3\full\full#0, 21_0, 19_result\d#70\v#20\30\ping_collision_summary.csv</t>
  </si>
  <si>
    <t>D:\CBP_2026.07.21\i#3\full\full#0, 21_0, 19_result\d#70\v#20\3\ping_collision_summary.csv</t>
  </si>
  <si>
    <t>D:\CBP_2026.07.21\i#3\full\full#0, 21_0, 19_result\d#70\v#20\4\ping_collision_summary.csv</t>
  </si>
  <si>
    <t>D:\CBP_2026.07.21\i#3\full\full#0, 21_0, 19_result\d#70\v#20\5\ping_collision_summary.csv</t>
  </si>
  <si>
    <t>D:\CBP_2026.07.21\i#3\full\full#0, 21_0, 19_result\d#70\v#20\6\ping_collision_summary.csv</t>
  </si>
  <si>
    <t>D:\CBP_2026.07.21\i#3\full\full#0, 21_0, 19_result\d#70\v#20\7\ping_collision_summary.csv</t>
  </si>
  <si>
    <t>D:\CBP_2026.07.21\i#3\full\full#0, 21_0, 19_result\d#70\v#20\8\ping_collision_summary.csv</t>
  </si>
  <si>
    <t>D:\CBP_2026.07.21\i#3\full\full#0, 21_0, 19_result\d#70\v#20\9\ping_collision_summary.csv</t>
  </si>
  <si>
    <t>D:\CBP_2026.07.21\i#3\full\full#0, 21_0, 19_result\d#70\v#30\0\ping_collision_summary.csv</t>
  </si>
  <si>
    <t>D:\CBP_2026.07.21\i#3\full\full#0, 21_0, 19_result\d#70\v#30\10\ping_collision_summary.csv</t>
  </si>
  <si>
    <t>D:\CBP_2026.07.21\i#3\full\full#0, 21_0, 19_result\d#70\v#30\11\ping_collision_summary.csv</t>
  </si>
  <si>
    <t>D:\CBP_2026.07.21\i#3\full\full#0, 21_0, 19_result\d#70\v#30\12\ping_collision_summary.csv</t>
  </si>
  <si>
    <t>D:\CBP_2026.07.21\i#3\full\full#0, 21_0, 19_result\d#70\v#30\13\ping_collision_summary.csv</t>
  </si>
  <si>
    <t>D:\CBP_2026.07.21\i#3\full\full#0, 21_0, 19_result\d#70\v#30\14\ping_collision_summary.csv</t>
  </si>
  <si>
    <t>D:\CBP_2026.07.21\i#3\full\full#0, 21_0, 19_result\d#70\v#30\15\ping_collision_summary.csv</t>
  </si>
  <si>
    <t>D:\CBP_2026.07.21\i#3\full\full#0, 21_0, 19_result\d#70\v#30\16\ping_collision_summary.csv</t>
  </si>
  <si>
    <t>D:\CBP_2026.07.21\i#3\full\full#0, 21_0, 19_result\d#70\v#30\17\ping_collision_summary.csv</t>
  </si>
  <si>
    <t>D:\CBP_2026.07.21\i#3\full\full#0, 21_0, 19_result\d#70\v#30\18\ping_collision_summary.csv</t>
  </si>
  <si>
    <t>D:\CBP_2026.07.21\i#3\full\full#0, 21_0, 19_result\d#70\v#30\19\ping_collision_summary.csv</t>
  </si>
  <si>
    <t>D:\CBP_2026.07.21\i#3\full\full#0, 21_0, 19_result\d#70\v#30\1\ping_collision_summary.csv</t>
  </si>
  <si>
    <t>D:\CBP_2026.07.21\i#3\full\full#0, 21_0, 19_result\d#70\v#30\20\ping_collision_summary.csv</t>
  </si>
  <si>
    <t>D:\CBP_2026.07.21\i#3\full\full#0, 21_0, 19_result\d#70\v#30\21\ping_collision_summary.csv</t>
  </si>
  <si>
    <t>D:\CBP_2026.07.21\i#3\full\full#0, 21_0, 19_result\d#70\v#30\22\ping_collision_summary.csv</t>
  </si>
  <si>
    <t>D:\CBP_2026.07.21\i#3\full\full#0, 21_0, 19_result\d#70\v#30\23\ping_collision_summary.csv</t>
  </si>
  <si>
    <t>D:\CBP_2026.07.21\i#3\full\full#0, 21_0, 19_result\d#70\v#30\24\ping_collision_summary.csv</t>
  </si>
  <si>
    <t>D:\CBP_2026.07.21\i#3\full\full#0, 21_0, 19_result\d#70\v#30\25\ping_collision_summary.csv</t>
  </si>
  <si>
    <t>D:\CBP_2026.07.21\i#3\full\full#0, 21_0, 19_result\d#70\v#30\26\ping_collision_summary.csv</t>
  </si>
  <si>
    <t>D:\CBP_2026.07.21\i#3\full\full#0, 21_0, 19_result\d#70\v#30\27\ping_collision_summary.csv</t>
  </si>
  <si>
    <t>D:\CBP_2026.07.21\i#3\full\full#0, 21_0, 19_result\d#70\v#30\28\ping_collision_summary.csv</t>
  </si>
  <si>
    <t>D:\CBP_2026.07.21\i#3\full\full#0, 21_0, 19_result\d#70\v#30\29\ping_collision_summary.csv</t>
  </si>
  <si>
    <t>D:\CBP_2026.07.21\i#3\full\full#0, 21_0, 19_result\d#70\v#30\2\ping_collision_summary.csv</t>
  </si>
  <si>
    <t>D:\CBP_2026.07.21\i#3\full\full#0, 21_0, 19_result\d#70\v#30\30\ping_collision_summary.csv</t>
  </si>
  <si>
    <t>D:\CBP_2026.07.21\i#3\full\full#0, 21_0, 19_result\d#70\v#30\3\ping_collision_summary.csv</t>
  </si>
  <si>
    <t>D:\CBP_2026.07.21\i#3\full\full#0, 21_0, 19_result\d#70\v#30\4\ping_collision_summary.csv</t>
  </si>
  <si>
    <t>D:\CBP_2026.07.21\i#3\full\full#0, 21_0, 19_result\d#70\v#30\5\ping_collision_summary.csv</t>
  </si>
  <si>
    <t>D:\CBP_2026.07.21\i#3\full\full#0, 21_0, 19_result\d#70\v#30\6\ping_collision_summary.csv</t>
  </si>
  <si>
    <t>D:\CBP_2026.07.21\i#3\full\full#0, 21_0, 19_result\d#70\v#30\7\ping_collision_summary.csv</t>
  </si>
  <si>
    <t>D:\CBP_2026.07.21\i#3\full\full#0, 21_0, 19_result\d#70\v#30\8\ping_collision_summary.csv</t>
  </si>
  <si>
    <t>D:\CBP_2026.07.21\i#3\full\full#0, 21_0, 19_result\d#70\v#30\9\ping_collision_summary.csv</t>
  </si>
  <si>
    <t>D:\CBP_2026.07.21\i#3\full\full#21, 33_19, 32_result\d#100\v#10\0\ping_collision_summary.csv</t>
  </si>
  <si>
    <t>D:\CBP_2026.07.21\i#3\full\full#21, 33_19, 32_result\d#100\v#10\10\ping_collision_summary.csv</t>
  </si>
  <si>
    <t>D:\CBP_2026.07.21\i#3\full\full#21, 33_19, 32_result\d#100\v#10\11\ping_collision_summary.csv</t>
  </si>
  <si>
    <t>D:\CBP_2026.07.21\i#3\full\full#21, 33_19, 32_result\d#100\v#10\12\ping_collision_summary.csv</t>
  </si>
  <si>
    <t>D:\CBP_2026.07.21\i#3\full\full#21, 33_19, 32_result\d#100\v#10\13\ping_collision_summary.csv</t>
  </si>
  <si>
    <t>D:\CBP_2026.07.21\i#3\full\full#21, 33_19, 32_result\d#100\v#10\14\ping_collision_summary.csv</t>
  </si>
  <si>
    <t>D:\CBP_2026.07.21\i#3\full\full#21, 33_19, 32_result\d#100\v#10\15\ping_collision_summary.csv</t>
  </si>
  <si>
    <t>D:\CBP_2026.07.21\i#3\full\full#21, 33_19, 32_result\d#100\v#10\16\ping_collision_summary.csv</t>
  </si>
  <si>
    <t>D:\CBP_2026.07.21\i#3\full\full#21, 33_19, 32_result\d#100\v#10\17\ping_collision_summary.csv</t>
  </si>
  <si>
    <t>D:\CBP_2026.07.21\i#3\full\full#21, 33_19, 32_result\d#100\v#10\18\ping_collision_summary.csv</t>
  </si>
  <si>
    <t>D:\CBP_2026.07.21\i#3\full\full#21, 33_19, 32_result\d#100\v#10\19\ping_collision_summary.csv</t>
  </si>
  <si>
    <t>D:\CBP_2026.07.21\i#3\full\full#21, 33_19, 32_result\d#100\v#10\1\ping_collision_summary.csv</t>
  </si>
  <si>
    <t>D:\CBP_2026.07.21\i#3\full\full#21, 33_19, 32_result\d#100\v#10\20\ping_collision_summary.csv</t>
  </si>
  <si>
    <t>D:\CBP_2026.07.21\i#3\full\full#21, 33_19, 32_result\d#100\v#10\21\ping_collision_summary.csv</t>
  </si>
  <si>
    <t>D:\CBP_2026.07.21\i#3\full\full#21, 33_19, 32_result\d#100\v#10\22\ping_collision_summary.csv</t>
  </si>
  <si>
    <t>D:\CBP_2026.07.21\i#3\full\full#21, 33_19, 32_result\d#100\v#10\23\ping_collision_summary.csv</t>
  </si>
  <si>
    <t>D:\CBP_2026.07.21\i#3\full\full#21, 33_19, 32_result\d#100\v#10\24\ping_collision_summary.csv</t>
  </si>
  <si>
    <t>D:\CBP_2026.07.21\i#3\full\full#21, 33_19, 32_result\d#100\v#10\25\ping_collision_summary.csv</t>
  </si>
  <si>
    <t>D:\CBP_2026.07.21\i#3\full\full#21, 33_19, 32_result\d#100\v#10\26\ping_collision_summary.csv</t>
  </si>
  <si>
    <t>D:\CBP_2026.07.21\i#3\full\full#21, 33_19, 32_result\d#100\v#10\27\ping_collision_summary.csv</t>
  </si>
  <si>
    <t>D:\CBP_2026.07.21\i#3\full\full#21, 33_19, 32_result\d#100\v#10\28\ping_collision_summary.csv</t>
  </si>
  <si>
    <t>D:\CBP_2026.07.21\i#3\full\full#21, 33_19, 32_result\d#100\v#10\29\ping_collision_summary.csv</t>
  </si>
  <si>
    <t>D:\CBP_2026.07.21\i#3\full\full#21, 33_19, 32_result\d#100\v#10\2\ping_collision_summary.csv</t>
  </si>
  <si>
    <t>D:\CBP_2026.07.21\i#3\full\full#21, 33_19, 32_result\d#100\v#10\30\ping_collision_summary.csv</t>
  </si>
  <si>
    <t>D:\CBP_2026.07.21\i#3\full\full#21, 33_19, 32_result\d#100\v#10\3\ping_collision_summary.csv</t>
  </si>
  <si>
    <t>D:\CBP_2026.07.21\i#3\full\full#21, 33_19, 32_result\d#100\v#10\4\ping_collision_summary.csv</t>
  </si>
  <si>
    <t>D:\CBP_2026.07.21\i#3\full\full#21, 33_19, 32_result\d#100\v#10\5\ping_collision_summary.csv</t>
  </si>
  <si>
    <t>D:\CBP_2026.07.21\i#3\full\full#21, 33_19, 32_result\d#100\v#10\6\ping_collision_summary.csv</t>
  </si>
  <si>
    <t>D:\CBP_2026.07.21\i#3\full\full#21, 33_19, 32_result\d#100\v#10\7\ping_collision_summary.csv</t>
  </si>
  <si>
    <t>D:\CBP_2026.07.21\i#3\full\full#21, 33_19, 32_result\d#100\v#10\8\ping_collision_summary.csv</t>
  </si>
  <si>
    <t>D:\CBP_2026.07.21\i#3\full\full#21, 33_19, 32_result\d#100\v#10\9\ping_collision_summary.csv</t>
  </si>
  <si>
    <t>D:\CBP_2026.07.21\i#3\full\full#21, 33_19, 32_result\d#100\v#20\0\ping_collision_summary.csv</t>
  </si>
  <si>
    <t>D:\CBP_2026.07.21\i#3\full\full#21, 33_19, 32_result\d#100\v#20\10\ping_collision_summary.csv</t>
  </si>
  <si>
    <t>D:\CBP_2026.07.21\i#3\full\full#21, 33_19, 32_result\d#100\v#20\11\ping_collision_summary.csv</t>
  </si>
  <si>
    <t>D:\CBP_2026.07.21\i#3\full\full#21, 33_19, 32_result\d#100\v#20\12\ping_collision_summary.csv</t>
  </si>
  <si>
    <t>D:\CBP_2026.07.21\i#3\full\full#21, 33_19, 32_result\d#100\v#20\13\ping_collision_summary.csv</t>
  </si>
  <si>
    <t>D:\CBP_2026.07.21\i#3\full\full#21, 33_19, 32_result\d#100\v#20\14\ping_collision_summary.csv</t>
  </si>
  <si>
    <t>D:\CBP_2026.07.21\i#3\full\full#21, 33_19, 32_result\d#100\v#20\15\ping_collision_summary.csv</t>
  </si>
  <si>
    <t>D:\CBP_2026.07.21\i#3\full\full#21, 33_19, 32_result\d#100\v#20\16\ping_collision_summary.csv</t>
  </si>
  <si>
    <t>D:\CBP_2026.07.21\i#3\full\full#21, 33_19, 32_result\d#100\v#20\17\ping_collision_summary.csv</t>
  </si>
  <si>
    <t>D:\CBP_2026.07.21\i#3\full\full#21, 33_19, 32_result\d#100\v#20\18\ping_collision_summary.csv</t>
  </si>
  <si>
    <t>D:\CBP_2026.07.21\i#3\full\full#21, 33_19, 32_result\d#100\v#20\19\ping_collision_summary.csv</t>
  </si>
  <si>
    <t>D:\CBP_2026.07.21\i#3\full\full#21, 33_19, 32_result\d#100\v#20\1\ping_collision_summary.csv</t>
  </si>
  <si>
    <t>D:\CBP_2026.07.21\i#3\full\full#21, 33_19, 32_result\d#100\v#20\20\ping_collision_summary.csv</t>
  </si>
  <si>
    <t>D:\CBP_2026.07.21\i#3\full\full#21, 33_19, 32_result\d#100\v#20\21\ping_collision_summary.csv</t>
  </si>
  <si>
    <t>D:\CBP_2026.07.21\i#3\full\full#21, 33_19, 32_result\d#100\v#20\22\ping_collision_summary.csv</t>
  </si>
  <si>
    <t>D:\CBP_2026.07.21\i#3\full\full#21, 33_19, 32_result\d#100\v#20\23\ping_collision_summary.csv</t>
  </si>
  <si>
    <t>D:\CBP_2026.07.21\i#3\full\full#21, 33_19, 32_result\d#100\v#20\24\ping_collision_summary.csv</t>
  </si>
  <si>
    <t>D:\CBP_2026.07.21\i#3\full\full#21, 33_19, 32_result\d#100\v#20\25\ping_collision_summary.csv</t>
  </si>
  <si>
    <t>D:\CBP_2026.07.21\i#3\full\full#21, 33_19, 32_result\d#100\v#20\26\ping_collision_summary.csv</t>
  </si>
  <si>
    <t>D:\CBP_2026.07.21\i#3\full\full#21, 33_19, 32_result\d#100\v#20\27\ping_collision_summary.csv</t>
  </si>
  <si>
    <t>D:\CBP_2026.07.21\i#3\full\full#21, 33_19, 32_result\d#100\v#20\28\ping_collision_summary.csv</t>
  </si>
  <si>
    <t>D:\CBP_2026.07.21\i#3\full\full#21, 33_19, 32_result\d#100\v#20\29\ping_collision_summary.csv</t>
  </si>
  <si>
    <t>D:\CBP_2026.07.21\i#3\full\full#21, 33_19, 32_result\d#100\v#20\2\ping_collision_summary.csv</t>
  </si>
  <si>
    <t>D:\CBP_2026.07.21\i#3\full\full#21, 33_19, 32_result\d#100\v#20\30\ping_collision_summary.csv</t>
  </si>
  <si>
    <t>D:\CBP_2026.07.21\i#3\full\full#21, 33_19, 32_result\d#100\v#20\3\ping_collision_summary.csv</t>
  </si>
  <si>
    <t>D:\CBP_2026.07.21\i#3\full\full#21, 33_19, 32_result\d#100\v#20\4\ping_collision_summary.csv</t>
  </si>
  <si>
    <t>D:\CBP_2026.07.21\i#3\full\full#21, 33_19, 32_result\d#100\v#20\5\ping_collision_summary.csv</t>
  </si>
  <si>
    <t>D:\CBP_2026.07.21\i#3\full\full#21, 33_19, 32_result\d#100\v#20\6\ping_collision_summary.csv</t>
  </si>
  <si>
    <t>D:\CBP_2026.07.21\i#3\full\full#21, 33_19, 32_result\d#100\v#20\7\ping_collision_summary.csv</t>
  </si>
  <si>
    <t>D:\CBP_2026.07.21\i#3\full\full#21, 33_19, 32_result\d#100\v#20\8\ping_collision_summary.csv</t>
  </si>
  <si>
    <t>D:\CBP_2026.07.21\i#3\full\full#21, 33_19, 32_result\d#100\v#20\9\ping_collision_summary.csv</t>
  </si>
  <si>
    <t>D:\CBP_2026.07.21\i#3\full\full#21, 33_19, 32_result\d#100\v#30\0\ping_collision_summary.csv</t>
  </si>
  <si>
    <t>D:\CBP_2026.07.21\i#3\full\full#21, 33_19, 32_result\d#100\v#30\10\ping_collision_summary.csv</t>
  </si>
  <si>
    <t>D:\CBP_2026.07.21\i#3\full\full#21, 33_19, 32_result\d#100\v#30\11\ping_collision_summary.csv</t>
  </si>
  <si>
    <t>D:\CBP_2026.07.21\i#3\full\full#21, 33_19, 32_result\d#100\v#30\12\ping_collision_summary.csv</t>
  </si>
  <si>
    <t>D:\CBP_2026.07.21\i#3\full\full#21, 33_19, 32_result\d#100\v#30\13\ping_collision_summary.csv</t>
  </si>
  <si>
    <t>D:\CBP_2026.07.21\i#3\full\full#21, 33_19, 32_result\d#100\v#30\14\ping_collision_summary.csv</t>
  </si>
  <si>
    <t>D:\CBP_2026.07.21\i#3\full\full#21, 33_19, 32_result\d#100\v#30\15\ping_collision_summary.csv</t>
  </si>
  <si>
    <t>D:\CBP_2026.07.21\i#3\full\full#21, 33_19, 32_result\d#100\v#30\16\ping_collision_summary.csv</t>
  </si>
  <si>
    <t>D:\CBP_2026.07.21\i#3\full\full#21, 33_19, 32_result\d#100\v#30\17\ping_collision_summary.csv</t>
  </si>
  <si>
    <t>D:\CBP_2026.07.21\i#3\full\full#21, 33_19, 32_result\d#100\v#30\18\ping_collision_summary.csv</t>
  </si>
  <si>
    <t>D:\CBP_2026.07.21\i#3\full\full#21, 33_19, 32_result\d#100\v#30\19\ping_collision_summary.csv</t>
  </si>
  <si>
    <t>D:\CBP_2026.07.21\i#3\full\full#21, 33_19, 32_result\d#100\v#30\1\ping_collision_summary.csv</t>
  </si>
  <si>
    <t>D:\CBP_2026.07.21\i#3\full\full#21, 33_19, 32_result\d#100\v#30\20\ping_collision_summary.csv</t>
  </si>
  <si>
    <t>D:\CBP_2026.07.21\i#3\full\full#21, 33_19, 32_result\d#100\v#30\21\ping_collision_summary.csv</t>
  </si>
  <si>
    <t>D:\CBP_2026.07.21\i#3\full\full#21, 33_19, 32_result\d#100\v#30\22\ping_collision_summary.csv</t>
  </si>
  <si>
    <t>D:\CBP_2026.07.21\i#3\full\full#21, 33_19, 32_result\d#100\v#30\23\ping_collision_summary.csv</t>
  </si>
  <si>
    <t>D:\CBP_2026.07.21\i#3\full\full#21, 33_19, 32_result\d#100\v#30\24\ping_collision_summary.csv</t>
  </si>
  <si>
    <t>D:\CBP_2026.07.21\i#3\full\full#21, 33_19, 32_result\d#100\v#30\25\ping_collision_summary.csv</t>
  </si>
  <si>
    <t>D:\CBP_2026.07.21\i#3\full\full#21, 33_19, 32_result\d#100\v#30\26\ping_collision_summary.csv</t>
  </si>
  <si>
    <t>D:\CBP_2026.07.21\i#3\full\full#21, 33_19, 32_result\d#100\v#30\27\ping_collision_summary.csv</t>
  </si>
  <si>
    <t>D:\CBP_2026.07.21\i#3\full\full#21, 33_19, 32_result\d#100\v#30\28\ping_collision_summary.csv</t>
  </si>
  <si>
    <t>D:\CBP_2026.07.21\i#3\full\full#21, 33_19, 32_result\d#100\v#30\29\ping_collision_summary.csv</t>
  </si>
  <si>
    <t>D:\CBP_2026.07.21\i#3\full\full#21, 33_19, 32_result\d#100\v#30\2\ping_collision_summary.csv</t>
  </si>
  <si>
    <t>D:\CBP_2026.07.21\i#3\full\full#21, 33_19, 32_result\d#100\v#30\30\ping_collision_summary.csv</t>
  </si>
  <si>
    <t>D:\CBP_2026.07.21\i#3\full\full#21, 33_19, 32_result\d#100\v#30\3\ping_collision_summary.csv</t>
  </si>
  <si>
    <t>D:\CBP_2026.07.21\i#3\full\full#21, 33_19, 32_result\d#100\v#30\4\ping_collision_summary.csv</t>
  </si>
  <si>
    <t>D:\CBP_2026.07.21\i#3\full\full#21, 33_19, 32_result\d#100\v#30\5\ping_collision_summary.csv</t>
  </si>
  <si>
    <t>D:\CBP_2026.07.21\i#3\full\full#21, 33_19, 32_result\d#100\v#30\6\ping_collision_summary.csv</t>
  </si>
  <si>
    <t>D:\CBP_2026.07.21\i#3\full\full#21, 33_19, 32_result\d#100\v#30\7\ping_collision_summary.csv</t>
  </si>
  <si>
    <t>D:\CBP_2026.07.21\i#3\full\full#21, 33_19, 32_result\d#100\v#30\8\ping_collision_summary.csv</t>
  </si>
  <si>
    <t>D:\CBP_2026.07.21\i#3\full\full#21, 33_19, 32_result\d#100\v#30\9\ping_collision_summary.csv</t>
  </si>
  <si>
    <t>D:\CBP_2026.07.21\i#3\full\full#21, 33_19, 32_result\d#120\v#10\0\ping_collision_summary.csv</t>
  </si>
  <si>
    <t>D:\CBP_2026.07.21\i#3\full\full#21, 33_19, 32_result\d#120\v#10\10\ping_collision_summary.csv</t>
  </si>
  <si>
    <t>D:\CBP_2026.07.21\i#3\full\full#21, 33_19, 32_result\d#120\v#10\11\ping_collision_summary.csv</t>
  </si>
  <si>
    <t>D:\CBP_2026.07.21\i#3\full\full#21, 33_19, 32_result\d#120\v#10\12\ping_collision_summary.csv</t>
  </si>
  <si>
    <t>D:\CBP_2026.07.21\i#3\full\full#21, 33_19, 32_result\d#120\v#10\13\ping_collision_summary.csv</t>
  </si>
  <si>
    <t>D:\CBP_2026.07.21\i#3\full\full#21, 33_19, 32_result\d#120\v#10\14\ping_collision_summary.csv</t>
  </si>
  <si>
    <t>D:\CBP_2026.07.21\i#3\full\full#21, 33_19, 32_result\d#120\v#10\15\ping_collision_summary.csv</t>
  </si>
  <si>
    <t>D:\CBP_2026.07.21\i#3\full\full#21, 33_19, 32_result\d#120\v#10\16\ping_collision_summary.csv</t>
  </si>
  <si>
    <t>D:\CBP_2026.07.21\i#3\full\full#21, 33_19, 32_result\d#120\v#10\17\ping_collision_summary.csv</t>
  </si>
  <si>
    <t>D:\CBP_2026.07.21\i#3\full\full#21, 33_19, 32_result\d#120\v#10\18\ping_collision_summary.csv</t>
  </si>
  <si>
    <t>D:\CBP_2026.07.21\i#3\full\full#21, 33_19, 32_result\d#120\v#10\19\ping_collision_summary.csv</t>
  </si>
  <si>
    <t>D:\CBP_2026.07.21\i#3\full\full#21, 33_19, 32_result\d#120\v#10\1\ping_collision_summary.csv</t>
  </si>
  <si>
    <t>D:\CBP_2026.07.21\i#3\full\full#21, 33_19, 32_result\d#120\v#10\20\ping_collision_summary.csv</t>
  </si>
  <si>
    <t>D:\CBP_2026.07.21\i#3\full\full#21, 33_19, 32_result\d#120\v#10\21\ping_collision_summary.csv</t>
  </si>
  <si>
    <t>D:\CBP_2026.07.21\i#3\full\full#21, 33_19, 32_result\d#120\v#10\22\ping_collision_summary.csv</t>
  </si>
  <si>
    <t>D:\CBP_2026.07.21\i#3\full\full#21, 33_19, 32_result\d#120\v#10\23\ping_collision_summary.csv</t>
  </si>
  <si>
    <t>D:\CBP_2026.07.21\i#3\full\full#21, 33_19, 32_result\d#120\v#10\24\ping_collision_summary.csv</t>
  </si>
  <si>
    <t>D:\CBP_2026.07.21\i#3\full\full#21, 33_19, 32_result\d#120\v#10\25\ping_collision_summary.csv</t>
  </si>
  <si>
    <t>D:\CBP_2026.07.21\i#3\full\full#21, 33_19, 32_result\d#120\v#10\26\ping_collision_summary.csv</t>
  </si>
  <si>
    <t>D:\CBP_2026.07.21\i#3\full\full#21, 33_19, 32_result\d#120\v#10\27\ping_collision_summary.csv</t>
  </si>
  <si>
    <t>D:\CBP_2026.07.21\i#3\full\full#21, 33_19, 32_result\d#120\v#10\28\ping_collision_summary.csv</t>
  </si>
  <si>
    <t>D:\CBP_2026.07.21\i#3\full\full#21, 33_19, 32_result\d#120\v#10\29\ping_collision_summary.csv</t>
  </si>
  <si>
    <t>D:\CBP_2026.07.21\i#3\full\full#21, 33_19, 32_result\d#120\v#10\2\ping_collision_summary.csv</t>
  </si>
  <si>
    <t>D:\CBP_2026.07.21\i#3\full\full#21, 33_19, 32_result\d#120\v#10\30\ping_collision_summary.csv</t>
  </si>
  <si>
    <t>D:\CBP_2026.07.21\i#3\full\full#21, 33_19, 32_result\d#120\v#10\3\ping_collision_summary.csv</t>
  </si>
  <si>
    <t>D:\CBP_2026.07.21\i#3\full\full#21, 33_19, 32_result\d#120\v#10\4\ping_collision_summary.csv</t>
  </si>
  <si>
    <t>D:\CBP_2026.07.21\i#3\full\full#21, 33_19, 32_result\d#120\v#10\5\ping_collision_summary.csv</t>
  </si>
  <si>
    <t>D:\CBP_2026.07.21\i#3\full\full#21, 33_19, 32_result\d#120\v#10\6\ping_collision_summary.csv</t>
  </si>
  <si>
    <t>D:\CBP_2026.07.21\i#3\full\full#21, 33_19, 32_result\d#120\v#10\7\ping_collision_summary.csv</t>
  </si>
  <si>
    <t>D:\CBP_2026.07.21\i#3\full\full#21, 33_19, 32_result\d#120\v#10\8\ping_collision_summary.csv</t>
  </si>
  <si>
    <t>D:\CBP_2026.07.21\i#3\full\full#21, 33_19, 32_result\d#120\v#10\9\ping_collision_summary.csv</t>
  </si>
  <si>
    <t>D:\CBP_2026.07.21\i#3\full\full#21, 33_19, 32_result\d#120\v#20\0\ping_collision_summary.csv</t>
  </si>
  <si>
    <t>D:\CBP_2026.07.21\i#3\full\full#21, 33_19, 32_result\d#120\v#20\10\ping_collision_summary.csv</t>
  </si>
  <si>
    <t>D:\CBP_2026.07.21\i#3\full\full#21, 33_19, 32_result\d#120\v#20\11\ping_collision_summary.csv</t>
  </si>
  <si>
    <t>D:\CBP_2026.07.21\i#3\full\full#21, 33_19, 32_result\d#120\v#20\12\ping_collision_summary.csv</t>
  </si>
  <si>
    <t>D:\CBP_2026.07.21\i#3\full\full#21, 33_19, 32_result\d#120\v#20\13\ping_collision_summary.csv</t>
  </si>
  <si>
    <t>D:\CBP_2026.07.21\i#3\full\full#21, 33_19, 32_result\d#120\v#20\14\ping_collision_summary.csv</t>
  </si>
  <si>
    <t>D:\CBP_2026.07.21\i#3\full\full#21, 33_19, 32_result\d#120\v#20\15\ping_collision_summary.csv</t>
  </si>
  <si>
    <t>D:\CBP_2026.07.21\i#3\full\full#21, 33_19, 32_result\d#120\v#20\16\ping_collision_summary.csv</t>
  </si>
  <si>
    <t>D:\CBP_2026.07.21\i#3\full\full#21, 33_19, 32_result\d#120\v#20\17\ping_collision_summary.csv</t>
  </si>
  <si>
    <t>D:\CBP_2026.07.21\i#3\full\full#21, 33_19, 32_result\d#120\v#20\18\ping_collision_summary.csv</t>
  </si>
  <si>
    <t>D:\CBP_2026.07.21\i#3\full\full#21, 33_19, 32_result\d#120\v#20\19\ping_collision_summary.csv</t>
  </si>
  <si>
    <t>D:\CBP_2026.07.21\i#3\full\full#21, 33_19, 32_result\d#120\v#20\1\ping_collision_summary.csv</t>
  </si>
  <si>
    <t>D:\CBP_2026.07.21\i#3\full\full#21, 33_19, 32_result\d#120\v#20\20\ping_collision_summary.csv</t>
  </si>
  <si>
    <t>D:\CBP_2026.07.21\i#3\full\full#21, 33_19, 32_result\d#120\v#20\21\ping_collision_summary.csv</t>
  </si>
  <si>
    <t>D:\CBP_2026.07.21\i#3\full\full#21, 33_19, 32_result\d#120\v#20\22\ping_collision_summary.csv</t>
  </si>
  <si>
    <t>D:\CBP_2026.07.21\i#3\full\full#21, 33_19, 32_result\d#120\v#20\23\ping_collision_summary.csv</t>
  </si>
  <si>
    <t>D:\CBP_2026.07.21\i#3\full\full#21, 33_19, 32_result\d#120\v#20\24\ping_collision_summary.csv</t>
  </si>
  <si>
    <t>D:\CBP_2026.07.21\i#3\full\full#21, 33_19, 32_result\d#120\v#20\25\ping_collision_summary.csv</t>
  </si>
  <si>
    <t>D:\CBP_2026.07.21\i#3\full\full#21, 33_19, 32_result\d#120\v#20\26\ping_collision_summary.csv</t>
  </si>
  <si>
    <t>D:\CBP_2026.07.21\i#3\full\full#21, 33_19, 32_result\d#120\v#20\27\ping_collision_summary.csv</t>
  </si>
  <si>
    <t>D:\CBP_2026.07.21\i#3\full\full#21, 33_19, 32_result\d#120\v#20\28\ping_collision_summary.csv</t>
  </si>
  <si>
    <t>D:\CBP_2026.07.21\i#3\full\full#21, 33_19, 32_result\d#120\v#20\29\ping_collision_summary.csv</t>
  </si>
  <si>
    <t>D:\CBP_2026.07.21\i#3\full\full#21, 33_19, 32_result\d#120\v#20\2\ping_collision_summary.csv</t>
  </si>
  <si>
    <t>D:\CBP_2026.07.21\i#3\full\full#21, 33_19, 32_result\d#120\v#20\30\ping_collision_summary.csv</t>
  </si>
  <si>
    <t>D:\CBP_2026.07.21\i#3\full\full#21, 33_19, 32_result\d#120\v#20\3\ping_collision_summary.csv</t>
  </si>
  <si>
    <t>D:\CBP_2026.07.21\i#3\full\full#21, 33_19, 32_result\d#120\v#20\4\ping_collision_summary.csv</t>
  </si>
  <si>
    <t>D:\CBP_2026.07.21\i#3\full\full#21, 33_19, 32_result\d#120\v#20\5\ping_collision_summary.csv</t>
  </si>
  <si>
    <t>D:\CBP_2026.07.21\i#3\full\full#21, 33_19, 32_result\d#120\v#20\6\ping_collision_summary.csv</t>
  </si>
  <si>
    <t>D:\CBP_2026.07.21\i#3\full\full#21, 33_19, 32_result\d#120\v#20\7\ping_collision_summary.csv</t>
  </si>
  <si>
    <t>D:\CBP_2026.07.21\i#3\full\full#21, 33_19, 32_result\d#120\v#20\8\ping_collision_summary.csv</t>
  </si>
  <si>
    <t>D:\CBP_2026.07.21\i#3\full\full#21, 33_19, 32_result\d#120\v#20\9\ping_collision_summary.csv</t>
  </si>
  <si>
    <t>D:\CBP_2026.07.21\i#3\full\full#21, 33_19, 32_result\d#120\v#30\0\ping_collision_summary.csv</t>
  </si>
  <si>
    <t>D:\CBP_2026.07.21\i#3\full\full#21, 33_19, 32_result\d#120\v#30\10\ping_collision_summary.csv</t>
  </si>
  <si>
    <t>D:\CBP_2026.07.21\i#3\full\full#21, 33_19, 32_result\d#120\v#30\11\ping_collision_summary.csv</t>
  </si>
  <si>
    <t>D:\CBP_2026.07.21\i#3\full\full#21, 33_19, 32_result\d#120\v#30\12\ping_collision_summary.csv</t>
  </si>
  <si>
    <t>D:\CBP_2026.07.21\i#3\full\full#21, 33_19, 32_result\d#120\v#30\13\ping_collision_summary.csv</t>
  </si>
  <si>
    <t>D:\CBP_2026.07.21\i#3\full\full#21, 33_19, 32_result\d#120\v#30\14\ping_collision_summary.csv</t>
  </si>
  <si>
    <t>D:\CBP_2026.07.21\i#3\full\full#21, 33_19, 32_result\d#120\v#30\15\ping_collision_summary.csv</t>
  </si>
  <si>
    <t>D:\CBP_2026.07.21\i#3\full\full#21, 33_19, 32_result\d#120\v#30\16\ping_collision_summary.csv</t>
  </si>
  <si>
    <t>D:\CBP_2026.07.21\i#3\full\full#21, 33_19, 32_result\d#120\v#30\17\ping_collision_summary.csv</t>
  </si>
  <si>
    <t>D:\CBP_2026.07.21\i#3\full\full#21, 33_19, 32_result\d#120\v#30\18\ping_collision_summary.csv</t>
  </si>
  <si>
    <t>D:\CBP_2026.07.21\i#3\full\full#21, 33_19, 32_result\d#120\v#30\19\ping_collision_summary.csv</t>
  </si>
  <si>
    <t>D:\CBP_2026.07.21\i#3\full\full#21, 33_19, 32_result\d#120\v#30\1\ping_collision_summary.csv</t>
  </si>
  <si>
    <t>D:\CBP_2026.07.21\i#3\full\full#21, 33_19, 32_result\d#120\v#30\20\ping_collision_summary.csv</t>
  </si>
  <si>
    <t>D:\CBP_2026.07.21\i#3\full\full#21, 33_19, 32_result\d#120\v#30\21\ping_collision_summary.csv</t>
  </si>
  <si>
    <t>D:\CBP_2026.07.21\i#3\full\full#21, 33_19, 32_result\d#120\v#30\22\ping_collision_summary.csv</t>
  </si>
  <si>
    <t>D:\CBP_2026.07.21\i#3\full\full#21, 33_19, 32_result\d#120\v#30\23\ping_collision_summary.csv</t>
  </si>
  <si>
    <t>D:\CBP_2026.07.21\i#3\full\full#21, 33_19, 32_result\d#120\v#30\24\ping_collision_summary.csv</t>
  </si>
  <si>
    <t>D:\CBP_2026.07.21\i#3\full\full#21, 33_19, 32_result\d#120\v#30\25\ping_collision_summary.csv</t>
  </si>
  <si>
    <t>D:\CBP_2026.07.21\i#3\full\full#21, 33_19, 32_result\d#120\v#30\26\ping_collision_summary.csv</t>
  </si>
  <si>
    <t>D:\CBP_2026.07.21\i#3\full\full#21, 33_19, 32_result\d#120\v#30\27\ping_collision_summary.csv</t>
  </si>
  <si>
    <t>D:\CBP_2026.07.21\i#3\full\full#21, 33_19, 32_result\d#120\v#30\28\ping_collision_summary.csv</t>
  </si>
  <si>
    <t>D:\CBP_2026.07.21\i#3\full\full#21, 33_19, 32_result\d#120\v#30\29\ping_collision_summary.csv</t>
  </si>
  <si>
    <t>D:\CBP_2026.07.21\i#3\full\full#21, 33_19, 32_result\d#120\v#30\2\ping_collision_summary.csv</t>
  </si>
  <si>
    <t>D:\CBP_2026.07.21\i#3\full\full#21, 33_19, 32_result\d#120\v#30\30\ping_collision_summary.csv</t>
  </si>
  <si>
    <t>D:\CBP_2026.07.21\i#3\full\full#21, 33_19, 32_result\d#120\v#30\3\ping_collision_summary.csv</t>
  </si>
  <si>
    <t>D:\CBP_2026.07.21\i#3\full\full#21, 33_19, 32_result\d#120\v#30\4\ping_collision_summary.csv</t>
  </si>
  <si>
    <t>D:\CBP_2026.07.21\i#3\full\full#21, 33_19, 32_result\d#120\v#30\5\ping_collision_summary.csv</t>
  </si>
  <si>
    <t>D:\CBP_2026.07.21\i#3\full\full#21, 33_19, 32_result\d#120\v#30\6\ping_collision_summary.csv</t>
  </si>
  <si>
    <t>D:\CBP_2026.07.21\i#3\full\full#21, 33_19, 32_result\d#120\v#30\7\ping_collision_summary.csv</t>
  </si>
  <si>
    <t>D:\CBP_2026.07.21\i#3\full\full#21, 33_19, 32_result\d#120\v#30\8\ping_collision_summary.csv</t>
  </si>
  <si>
    <t>D:\CBP_2026.07.21\i#3\full\full#21, 33_19, 32_result\d#120\v#30\9\ping_collision_summary.csv</t>
  </si>
  <si>
    <t>D:\CBP_2026.07.21\i#3\full\full#21, 33_19, 32_result\d#70\v#10\0\ping_collision_summary.csv</t>
  </si>
  <si>
    <t>D:\CBP_2026.07.21\i#3\full\full#21, 33_19, 32_result\d#70\v#10\10\ping_collision_summary.csv</t>
  </si>
  <si>
    <t>D:\CBP_2026.07.21\i#3\full\full#21, 33_19, 32_result\d#70\v#10\11\ping_collision_summary.csv</t>
  </si>
  <si>
    <t>D:\CBP_2026.07.21\i#3\full\full#21, 33_19, 32_result\d#70\v#10\12\ping_collision_summary.csv</t>
  </si>
  <si>
    <t>D:\CBP_2026.07.21\i#3\full\full#21, 33_19, 32_result\d#70\v#10\13\ping_collision_summary.csv</t>
  </si>
  <si>
    <t>D:\CBP_2026.07.21\i#3\full\full#21, 33_19, 32_result\d#70\v#10\14\ping_collision_summary.csv</t>
  </si>
  <si>
    <t>D:\CBP_2026.07.21\i#3\full\full#21, 33_19, 32_result\d#70\v#10\15\ping_collision_summary.csv</t>
  </si>
  <si>
    <t>D:\CBP_2026.07.21\i#3\full\full#21, 33_19, 32_result\d#70\v#10\16\ping_collision_summary.csv</t>
  </si>
  <si>
    <t>D:\CBP_2026.07.21\i#3\full\full#21, 33_19, 32_result\d#70\v#10\17\ping_collision_summary.csv</t>
  </si>
  <si>
    <t>D:\CBP_2026.07.21\i#3\full\full#21, 33_19, 32_result\d#70\v#10\18\ping_collision_summary.csv</t>
  </si>
  <si>
    <t>D:\CBP_2026.07.21\i#3\full\full#21, 33_19, 32_result\d#70\v#10\19\ping_collision_summary.csv</t>
  </si>
  <si>
    <t>D:\CBP_2026.07.21\i#3\full\full#21, 33_19, 32_result\d#70\v#10\1\ping_collision_summary.csv</t>
  </si>
  <si>
    <t>D:\CBP_2026.07.21\i#3\full\full#21, 33_19, 32_result\d#70\v#10\20\ping_collision_summary.csv</t>
  </si>
  <si>
    <t>D:\CBP_2026.07.21\i#3\full\full#21, 33_19, 32_result\d#70\v#10\21\ping_collision_summary.csv</t>
  </si>
  <si>
    <t>D:\CBP_2026.07.21\i#3\full\full#21, 33_19, 32_result\d#70\v#10\22\ping_collision_summary.csv</t>
  </si>
  <si>
    <t>D:\CBP_2026.07.21\i#3\full\full#21, 33_19, 32_result\d#70\v#10\23\ping_collision_summary.csv</t>
  </si>
  <si>
    <t>D:\CBP_2026.07.21\i#3\full\full#21, 33_19, 32_result\d#70\v#10\24\ping_collision_summary.csv</t>
  </si>
  <si>
    <t>D:\CBP_2026.07.21\i#3\full\full#21, 33_19, 32_result\d#70\v#10\25\ping_collision_summary.csv</t>
  </si>
  <si>
    <t>D:\CBP_2026.07.21\i#3\full\full#21, 33_19, 32_result\d#70\v#10\26\ping_collision_summary.csv</t>
  </si>
  <si>
    <t>D:\CBP_2026.07.21\i#3\full\full#21, 33_19, 32_result\d#70\v#10\27\ping_collision_summary.csv</t>
  </si>
  <si>
    <t>D:\CBP_2026.07.21\i#3\full\full#21, 33_19, 32_result\d#70\v#10\28\ping_collision_summary.csv</t>
  </si>
  <si>
    <t>D:\CBP_2026.07.21\i#3\full\full#21, 33_19, 32_result\d#70\v#10\29\ping_collision_summary.csv</t>
  </si>
  <si>
    <t>D:\CBP_2026.07.21\i#3\full\full#21, 33_19, 32_result\d#70\v#10\2\ping_collision_summary.csv</t>
  </si>
  <si>
    <t>D:\CBP_2026.07.21\i#3\full\full#21, 33_19, 32_result\d#70\v#10\30\ping_collision_summary.csv</t>
  </si>
  <si>
    <t>D:\CBP_2026.07.21\i#3\full\full#21, 33_19, 32_result\d#70\v#10\3\ping_collision_summary.csv</t>
  </si>
  <si>
    <t>D:\CBP_2026.07.21\i#3\full\full#21, 33_19, 32_result\d#70\v#10\4\ping_collision_summary.csv</t>
  </si>
  <si>
    <t>D:\CBP_2026.07.21\i#3\full\full#21, 33_19, 32_result\d#70\v#10\5\ping_collision_summary.csv</t>
  </si>
  <si>
    <t>D:\CBP_2026.07.21\i#3\full\full#21, 33_19, 32_result\d#70\v#10\6\ping_collision_summary.csv</t>
  </si>
  <si>
    <t>D:\CBP_2026.07.21\i#3\full\full#21, 33_19, 32_result\d#70\v#10\7\ping_collision_summary.csv</t>
  </si>
  <si>
    <t>D:\CBP_2026.07.21\i#3\full\full#21, 33_19, 32_result\d#70\v#10\8\ping_collision_summary.csv</t>
  </si>
  <si>
    <t>D:\CBP_2026.07.21\i#3\full\full#21, 33_19, 32_result\d#70\v#10\9\ping_collision_summary.csv</t>
  </si>
  <si>
    <t>D:\CBP_2026.07.21\i#3\full\full#21, 33_19, 32_result\d#70\v#20\0\ping_collision_summary.csv</t>
  </si>
  <si>
    <t>D:\CBP_2026.07.21\i#3\full\full#21, 33_19, 32_result\d#70\v#20\10\ping_collision_summary.csv</t>
  </si>
  <si>
    <t>D:\CBP_2026.07.21\i#3\full\full#21, 33_19, 32_result\d#70\v#20\11\ping_collision_summary.csv</t>
  </si>
  <si>
    <t>D:\CBP_2026.07.21\i#3\full\full#21, 33_19, 32_result\d#70\v#20\12\ping_collision_summary.csv</t>
  </si>
  <si>
    <t>D:\CBP_2026.07.21\i#3\full\full#21, 33_19, 32_result\d#70\v#20\13\ping_collision_summary.csv</t>
  </si>
  <si>
    <t>D:\CBP_2026.07.21\i#3\full\full#21, 33_19, 32_result\d#70\v#20\14\ping_collision_summary.csv</t>
  </si>
  <si>
    <t>D:\CBP_2026.07.21\i#3\full\full#21, 33_19, 32_result\d#70\v#20\15\ping_collision_summary.csv</t>
  </si>
  <si>
    <t>D:\CBP_2026.07.21\i#3\full\full#21, 33_19, 32_result\d#70\v#20\16\ping_collision_summary.csv</t>
  </si>
  <si>
    <t>D:\CBP_2026.07.21\i#3\full\full#21, 33_19, 32_result\d#70\v#20\17\ping_collision_summary.csv</t>
  </si>
  <si>
    <t>D:\CBP_2026.07.21\i#3\full\full#21, 33_19, 32_result\d#70\v#20\18\ping_collision_summary.csv</t>
  </si>
  <si>
    <t>D:\CBP_2026.07.21\i#3\full\full#21, 33_19, 32_result\d#70\v#20\19\ping_collision_summary.csv</t>
  </si>
  <si>
    <t>D:\CBP_2026.07.21\i#3\full\full#21, 33_19, 32_result\d#70\v#20\1\ping_collision_summary.csv</t>
  </si>
  <si>
    <t>D:\CBP_2026.07.21\i#3\full\full#21, 33_19, 32_result\d#70\v#20\20\ping_collision_summary.csv</t>
  </si>
  <si>
    <t>D:\CBP_2026.07.21\i#3\full\full#21, 33_19, 32_result\d#70\v#20\21\ping_collision_summary.csv</t>
  </si>
  <si>
    <t>D:\CBP_2026.07.21\i#3\full\full#21, 33_19, 32_result\d#70\v#20\22\ping_collision_summary.csv</t>
  </si>
  <si>
    <t>D:\CBP_2026.07.21\i#3\full\full#21, 33_19, 32_result\d#70\v#20\23\ping_collision_summary.csv</t>
  </si>
  <si>
    <t>D:\CBP_2026.07.21\i#3\full\full#21, 33_19, 32_result\d#70\v#20\24\ping_collision_summary.csv</t>
  </si>
  <si>
    <t>D:\CBP_2026.07.21\i#3\full\full#21, 33_19, 32_result\d#70\v#20\25\ping_collision_summary.csv</t>
  </si>
  <si>
    <t>D:\CBP_2026.07.21\i#3\full\full#21, 33_19, 32_result\d#70\v#20\26\ping_collision_summary.csv</t>
  </si>
  <si>
    <t>D:\CBP_2026.07.21\i#3\full\full#21, 33_19, 32_result\d#70\v#20\27\ping_collision_summary.csv</t>
  </si>
  <si>
    <t>D:\CBP_2026.07.21\i#3\full\full#21, 33_19, 32_result\d#70\v#20\28\ping_collision_summary.csv</t>
  </si>
  <si>
    <t>D:\CBP_2026.07.21\i#3\full\full#21, 33_19, 32_result\d#70\v#20\29\ping_collision_summary.csv</t>
  </si>
  <si>
    <t>D:\CBP_2026.07.21\i#3\full\full#21, 33_19, 32_result\d#70\v#20\2\ping_collision_summary.csv</t>
  </si>
  <si>
    <t>D:\CBP_2026.07.21\i#3\full\full#21, 33_19, 32_result\d#70\v#20\30\ping_collision_summary.csv</t>
  </si>
  <si>
    <t>D:\CBP_2026.07.21\i#3\full\full#21, 33_19, 32_result\d#70\v#20\3\ping_collision_summary.csv</t>
  </si>
  <si>
    <t>D:\CBP_2026.07.21\i#3\full\full#21, 33_19, 32_result\d#70\v#20\4\ping_collision_summary.csv</t>
  </si>
  <si>
    <t>D:\CBP_2026.07.21\i#3\full\full#21, 33_19, 32_result\d#70\v#20\5\ping_collision_summary.csv</t>
  </si>
  <si>
    <t>D:\CBP_2026.07.21\i#3\full\full#21, 33_19, 32_result\d#70\v#20\6\ping_collision_summary.csv</t>
  </si>
  <si>
    <t>D:\CBP_2026.07.21\i#3\full\full#21, 33_19, 32_result\d#70\v#20\7\ping_collision_summary.csv</t>
  </si>
  <si>
    <t>D:\CBP_2026.07.21\i#3\full\full#21, 33_19, 32_result\d#70\v#20\8\ping_collision_summary.csv</t>
  </si>
  <si>
    <t>D:\CBP_2026.07.21\i#3\full\full#21, 33_19, 32_result\d#70\v#20\9\ping_collision_summary.csv</t>
  </si>
  <si>
    <t>D:\CBP_2026.07.21\i#3\full\full#21, 33_19, 32_result\d#70\v#30\0\ping_collision_summary.csv</t>
  </si>
  <si>
    <t>D:\CBP_2026.07.21\i#3\full\full#21, 33_19, 32_result\d#70\v#30\10\ping_collision_summary.csv</t>
  </si>
  <si>
    <t>D:\CBP_2026.07.21\i#3\full\full#21, 33_19, 32_result\d#70\v#30\11\ping_collision_summary.csv</t>
  </si>
  <si>
    <t>D:\CBP_2026.07.21\i#3\full\full#21, 33_19, 32_result\d#70\v#30\12\ping_collision_summary.csv</t>
  </si>
  <si>
    <t>D:\CBP_2026.07.21\i#3\full\full#21, 33_19, 32_result\d#70\v#30\13\ping_collision_summary.csv</t>
  </si>
  <si>
    <t>D:\CBP_2026.07.21\i#3\full\full#21, 33_19, 32_result\d#70\v#30\14\ping_collision_summary.csv</t>
  </si>
  <si>
    <t>D:\CBP_2026.07.21\i#3\full\full#21, 33_19, 32_result\d#70\v#30\15\ping_collision_summary.csv</t>
  </si>
  <si>
    <t>D:\CBP_2026.07.21\i#3\full\full#21, 33_19, 32_result\d#70\v#30\16\ping_collision_summary.csv</t>
  </si>
  <si>
    <t>D:\CBP_2026.07.21\i#3\full\full#21, 33_19, 32_result\d#70\v#30\17\ping_collision_summary.csv</t>
  </si>
  <si>
    <t>D:\CBP_2026.07.21\i#3\full\full#21, 33_19, 32_result\d#70\v#30\18\ping_collision_summary.csv</t>
  </si>
  <si>
    <t>D:\CBP_2026.07.21\i#3\full\full#21, 33_19, 32_result\d#70\v#30\19\ping_collision_summary.csv</t>
  </si>
  <si>
    <t>D:\CBP_2026.07.21\i#3\full\full#21, 33_19, 32_result\d#70\v#30\1\ping_collision_summary.csv</t>
  </si>
  <si>
    <t>D:\CBP_2026.07.21\i#3\full\full#21, 33_19, 32_result\d#70\v#30\20\ping_collision_summary.csv</t>
  </si>
  <si>
    <t>D:\CBP_2026.07.21\i#3\full\full#21, 33_19, 32_result\d#70\v#30\21\ping_collision_summary.csv</t>
  </si>
  <si>
    <t>D:\CBP_2026.07.21\i#3\full\full#21, 33_19, 32_result\d#70\v#30\22\ping_collision_summary.csv</t>
  </si>
  <si>
    <t>D:\CBP_2026.07.21\i#3\full\full#21, 33_19, 32_result\d#70\v#30\23\ping_collision_summary.csv</t>
  </si>
  <si>
    <t>D:\CBP_2026.07.21\i#3\full\full#21, 33_19, 32_result\d#70\v#30\24\ping_collision_summary.csv</t>
  </si>
  <si>
    <t>D:\CBP_2026.07.21\i#3\full\full#21, 33_19, 32_result\d#70\v#30\25\ping_collision_summary.csv</t>
  </si>
  <si>
    <t>D:\CBP_2026.07.21\i#3\full\full#21, 33_19, 32_result\d#70\v#30\26\ping_collision_summary.csv</t>
  </si>
  <si>
    <t>D:\CBP_2026.07.21\i#3\full\full#21, 33_19, 32_result\d#70\v#30\27\ping_collision_summary.csv</t>
  </si>
  <si>
    <t>D:\CBP_2026.07.21\i#3\full\full#21, 33_19, 32_result\d#70\v#30\28\ping_collision_summary.csv</t>
  </si>
  <si>
    <t>D:\CBP_2026.07.21\i#3\full\full#21, 33_19, 32_result\d#70\v#30\29\ping_collision_summary.csv</t>
  </si>
  <si>
    <t>D:\CBP_2026.07.21\i#3\full\full#21, 33_19, 32_result\d#70\v#30\2\ping_collision_summary.csv</t>
  </si>
  <si>
    <t>D:\CBP_2026.07.21\i#3\full\full#21, 33_19, 32_result\d#70\v#30\30\ping_collision_summary.csv</t>
  </si>
  <si>
    <t>D:\CBP_2026.07.21\i#3\full\full#21, 33_19, 32_result\d#70\v#30\3\ping_collision_summary.csv</t>
  </si>
  <si>
    <t>D:\CBP_2026.07.21\i#3\full\full#21, 33_19, 32_result\d#70\v#30\4\ping_collision_summary.csv</t>
  </si>
  <si>
    <t>D:\CBP_2026.07.21\i#3\full\full#21, 33_19, 32_result\d#70\v#30\5\ping_collision_summary.csv</t>
  </si>
  <si>
    <t>D:\CBP_2026.07.21\i#3\full\full#21, 33_19, 32_result\d#70\v#30\6\ping_collision_summary.csv</t>
  </si>
  <si>
    <t>D:\CBP_2026.07.21\i#3\full\full#21, 33_19, 32_result\d#70\v#30\7\ping_collision_summary.csv</t>
  </si>
  <si>
    <t>D:\CBP_2026.07.21\i#3\full\full#21, 33_19, 32_result\d#70\v#30\8\ping_collision_summary.csv</t>
  </si>
  <si>
    <t>D:\CBP_2026.07.21\i#3\full\full#21, 33_19, 32_result\d#70\v#30\9\ping_collision_summary.csv</t>
  </si>
  <si>
    <t>D:\CBP_2026.07.21\i#3\full\full#33, 44_32, 43_result\d#100\v#10\0\ping_collision_summary.csv</t>
  </si>
  <si>
    <t>D:\CBP_2026.07.21\i#3\full\full#33, 44_32, 43_result\d#100\v#10\10\ping_collision_summary.csv</t>
  </si>
  <si>
    <t>D:\CBP_2026.07.21\i#3\full\full#33, 44_32, 43_result\d#100\v#10\11\ping_collision_summary.csv</t>
  </si>
  <si>
    <t>D:\CBP_2026.07.21\i#3\full\full#33, 44_32, 43_result\d#100\v#10\12\ping_collision_summary.csv</t>
  </si>
  <si>
    <t>D:\CBP_2026.07.21\i#3\full\full#33, 44_32, 43_result\d#100\v#10\13\ping_collision_summary.csv</t>
  </si>
  <si>
    <t>D:\CBP_2026.07.21\i#3\full\full#33, 44_32, 43_result\d#100\v#10\14\ping_collision_summary.csv</t>
  </si>
  <si>
    <t>D:\CBP_2026.07.21\i#3\full\full#33, 44_32, 43_result\d#100\v#10\15\ping_collision_summary.csv</t>
  </si>
  <si>
    <t>D:\CBP_2026.07.21\i#3\full\full#33, 44_32, 43_result\d#100\v#10\16\ping_collision_summary.csv</t>
  </si>
  <si>
    <t>D:\CBP_2026.07.21\i#3\full\full#33, 44_32, 43_result\d#100\v#10\17\ping_collision_summary.csv</t>
  </si>
  <si>
    <t>D:\CBP_2026.07.21\i#3\full\full#33, 44_32, 43_result\d#100\v#10\18\ping_collision_summary.csv</t>
  </si>
  <si>
    <t>D:\CBP_2026.07.21\i#3\full\full#33, 44_32, 43_result\d#100\v#10\19\ping_collision_summary.csv</t>
  </si>
  <si>
    <t>D:\CBP_2026.07.21\i#3\full\full#33, 44_32, 43_result\d#100\v#10\1\ping_collision_summary.csv</t>
  </si>
  <si>
    <t>D:\CBP_2026.07.21\i#3\full\full#33, 44_32, 43_result\d#100\v#10\20\ping_collision_summary.csv</t>
  </si>
  <si>
    <t>D:\CBP_2026.07.21\i#3\full\full#33, 44_32, 43_result\d#100\v#10\21\ping_collision_summary.csv</t>
  </si>
  <si>
    <t>D:\CBP_2026.07.21\i#3\full\full#33, 44_32, 43_result\d#100\v#10\22\ping_collision_summary.csv</t>
  </si>
  <si>
    <t>D:\CBP_2026.07.21\i#3\full\full#33, 44_32, 43_result\d#100\v#10\23\ping_collision_summary.csv</t>
  </si>
  <si>
    <t>D:\CBP_2026.07.21\i#3\full\full#33, 44_32, 43_result\d#100\v#10\24\ping_collision_summary.csv</t>
  </si>
  <si>
    <t>D:\CBP_2026.07.21\i#3\full\full#33, 44_32, 43_result\d#100\v#10\25\ping_collision_summary.csv</t>
  </si>
  <si>
    <t>D:\CBP_2026.07.21\i#3\full\full#33, 44_32, 43_result\d#100\v#10\26\ping_collision_summary.csv</t>
  </si>
  <si>
    <t>D:\CBP_2026.07.21\i#3\full\full#33, 44_32, 43_result\d#100\v#10\27\ping_collision_summary.csv</t>
  </si>
  <si>
    <t>D:\CBP_2026.07.21\i#3\full\full#33, 44_32, 43_result\d#100\v#10\28\ping_collision_summary.csv</t>
  </si>
  <si>
    <t>D:\CBP_2026.07.21\i#3\full\full#33, 44_32, 43_result\d#100\v#10\29\ping_collision_summary.csv</t>
  </si>
  <si>
    <t>D:\CBP_2026.07.21\i#3\full\full#33, 44_32, 43_result\d#100\v#10\2\ping_collision_summary.csv</t>
  </si>
  <si>
    <t>D:\CBP_2026.07.21\i#3\full\full#33, 44_32, 43_result\d#100\v#10\30\ping_collision_summary.csv</t>
  </si>
  <si>
    <t>D:\CBP_2026.07.21\i#3\full\full#33, 44_32, 43_result\d#100\v#10\3\ping_collision_summary.csv</t>
  </si>
  <si>
    <t>D:\CBP_2026.07.21\i#3\full\full#33, 44_32, 43_result\d#100\v#10\4\ping_collision_summary.csv</t>
  </si>
  <si>
    <t>D:\CBP_2026.07.21\i#3\full\full#33, 44_32, 43_result\d#100\v#10\5\ping_collision_summary.csv</t>
  </si>
  <si>
    <t>D:\CBP_2026.07.21\i#3\full\full#33, 44_32, 43_result\d#100\v#10\6\ping_collision_summary.csv</t>
  </si>
  <si>
    <t>D:\CBP_2026.07.21\i#3\full\full#33, 44_32, 43_result\d#100\v#10\7\ping_collision_summary.csv</t>
  </si>
  <si>
    <t>D:\CBP_2026.07.21\i#3\full\full#33, 44_32, 43_result\d#100\v#10\8\ping_collision_summary.csv</t>
  </si>
  <si>
    <t>D:\CBP_2026.07.21\i#3\full\full#33, 44_32, 43_result\d#100\v#10\9\ping_collision_summary.csv</t>
  </si>
  <si>
    <t>D:\CBP_2026.07.21\i#3\full\full#33, 44_32, 43_result\d#100\v#20\0\ping_collision_summary.csv</t>
  </si>
  <si>
    <t>D:\CBP_2026.07.21\i#3\full\full#33, 44_32, 43_result\d#100\v#20\10\ping_collision_summary.csv</t>
  </si>
  <si>
    <t>D:\CBP_2026.07.21\i#3\full\full#33, 44_32, 43_result\d#100\v#20\11\ping_collision_summary.csv</t>
  </si>
  <si>
    <t>D:\CBP_2026.07.21\i#3\full\full#33, 44_32, 43_result\d#100\v#20\12\ping_collision_summary.csv</t>
  </si>
  <si>
    <t>D:\CBP_2026.07.21\i#3\full\full#33, 44_32, 43_result\d#100\v#20\13\ping_collision_summary.csv</t>
  </si>
  <si>
    <t>D:\CBP_2026.07.21\i#3\full\full#33, 44_32, 43_result\d#100\v#20\14\ping_collision_summary.csv</t>
  </si>
  <si>
    <t>D:\CBP_2026.07.21\i#3\full\full#33, 44_32, 43_result\d#100\v#20\15\ping_collision_summary.csv</t>
  </si>
  <si>
    <t>D:\CBP_2026.07.21\i#3\full\full#33, 44_32, 43_result\d#100\v#20\16\ping_collision_summary.csv</t>
  </si>
  <si>
    <t>D:\CBP_2026.07.21\i#3\full\full#33, 44_32, 43_result\d#100\v#20\17\ping_collision_summary.csv</t>
  </si>
  <si>
    <t>D:\CBP_2026.07.21\i#3\full\full#33, 44_32, 43_result\d#100\v#20\18\ping_collision_summary.csv</t>
  </si>
  <si>
    <t>D:\CBP_2026.07.21\i#3\full\full#33, 44_32, 43_result\d#100\v#20\19\ping_collision_summary.csv</t>
  </si>
  <si>
    <t>D:\CBP_2026.07.21\i#3\full\full#33, 44_32, 43_result\d#100\v#20\1\ping_collision_summary.csv</t>
  </si>
  <si>
    <t>D:\CBP_2026.07.21\i#3\full\full#33, 44_32, 43_result\d#100\v#20\20\ping_collision_summary.csv</t>
  </si>
  <si>
    <t>D:\CBP_2026.07.21\i#3\full\full#33, 44_32, 43_result\d#100\v#20\21\ping_collision_summary.csv</t>
  </si>
  <si>
    <t>D:\CBP_2026.07.21\i#3\full\full#33, 44_32, 43_result\d#100\v#20\22\ping_collision_summary.csv</t>
  </si>
  <si>
    <t>D:\CBP_2026.07.21\i#3\full\full#33, 44_32, 43_result\d#100\v#20\23\ping_collision_summary.csv</t>
  </si>
  <si>
    <t>D:\CBP_2026.07.21\i#3\full\full#33, 44_32, 43_result\d#100\v#20\24\ping_collision_summary.csv</t>
  </si>
  <si>
    <t>D:\CBP_2026.07.21\i#3\full\full#33, 44_32, 43_result\d#100\v#20\25\ping_collision_summary.csv</t>
  </si>
  <si>
    <t>D:\CBP_2026.07.21\i#3\full\full#33, 44_32, 43_result\d#100\v#20\26\ping_collision_summary.csv</t>
  </si>
  <si>
    <t>D:\CBP_2026.07.21\i#3\full\full#33, 44_32, 43_result\d#100\v#20\27\ping_collision_summary.csv</t>
  </si>
  <si>
    <t>D:\CBP_2026.07.21\i#3\full\full#33, 44_32, 43_result\d#100\v#20\28\ping_collision_summary.csv</t>
  </si>
  <si>
    <t>D:\CBP_2026.07.21\i#3\full\full#33, 44_32, 43_result\d#100\v#20\29\ping_collision_summary.csv</t>
  </si>
  <si>
    <t>D:\CBP_2026.07.21\i#3\full\full#33, 44_32, 43_result\d#100\v#20\2\ping_collision_summary.csv</t>
  </si>
  <si>
    <t>D:\CBP_2026.07.21\i#3\full\full#33, 44_32, 43_result\d#100\v#20\30\ping_collision_summary.csv</t>
  </si>
  <si>
    <t>D:\CBP_2026.07.21\i#3\full\full#33, 44_32, 43_result\d#100\v#20\3\ping_collision_summary.csv</t>
  </si>
  <si>
    <t>D:\CBP_2026.07.21\i#3\full\full#33, 44_32, 43_result\d#100\v#20\4\ping_collision_summary.csv</t>
  </si>
  <si>
    <t>D:\CBP_2026.07.21\i#3\full\full#33, 44_32, 43_result\d#100\v#20\5\ping_collision_summary.csv</t>
  </si>
  <si>
    <t>D:\CBP_2026.07.21\i#3\full\full#33, 44_32, 43_result\d#100\v#20\6\ping_collision_summary.csv</t>
  </si>
  <si>
    <t>D:\CBP_2026.07.21\i#3\full\full#33, 44_32, 43_result\d#100\v#20\7\ping_collision_summary.csv</t>
  </si>
  <si>
    <t>D:\CBP_2026.07.21\i#3\full\full#33, 44_32, 43_result\d#100\v#20\8\ping_collision_summary.csv</t>
  </si>
  <si>
    <t>D:\CBP_2026.07.21\i#3\full\full#33, 44_32, 43_result\d#100\v#20\9\ping_collision_summary.csv</t>
  </si>
  <si>
    <t>D:\CBP_2026.07.21\i#3\full\full#33, 44_32, 43_result\d#100\v#30\0\ping_collision_summary.csv</t>
  </si>
  <si>
    <t>D:\CBP_2026.07.21\i#3\full\full#33, 44_32, 43_result\d#100\v#30\10\ping_collision_summary.csv</t>
  </si>
  <si>
    <t>D:\CBP_2026.07.21\i#3\full\full#33, 44_32, 43_result\d#100\v#30\11\ping_collision_summary.csv</t>
  </si>
  <si>
    <t>D:\CBP_2026.07.21\i#3\full\full#33, 44_32, 43_result\d#100\v#30\12\ping_collision_summary.csv</t>
  </si>
  <si>
    <t>D:\CBP_2026.07.21\i#3\full\full#33, 44_32, 43_result\d#100\v#30\13\ping_collision_summary.csv</t>
  </si>
  <si>
    <t>D:\CBP_2026.07.21\i#3\full\full#33, 44_32, 43_result\d#100\v#30\14\ping_collision_summary.csv</t>
  </si>
  <si>
    <t>D:\CBP_2026.07.21\i#3\full\full#33, 44_32, 43_result\d#100\v#30\15\ping_collision_summary.csv</t>
  </si>
  <si>
    <t>D:\CBP_2026.07.21\i#3\full\full#33, 44_32, 43_result\d#100\v#30\16\ping_collision_summary.csv</t>
  </si>
  <si>
    <t>D:\CBP_2026.07.21\i#3\full\full#33, 44_32, 43_result\d#100\v#30\17\ping_collision_summary.csv</t>
  </si>
  <si>
    <t>D:\CBP_2026.07.21\i#3\full\full#33, 44_32, 43_result\d#100\v#30\18\ping_collision_summary.csv</t>
  </si>
  <si>
    <t>D:\CBP_2026.07.21\i#3\full\full#33, 44_32, 43_result\d#100\v#30\19\ping_collision_summary.csv</t>
  </si>
  <si>
    <t>D:\CBP_2026.07.21\i#3\full\full#33, 44_32, 43_result\d#100\v#30\1\ping_collision_summary.csv</t>
  </si>
  <si>
    <t>D:\CBP_2026.07.21\i#3\full\full#33, 44_32, 43_result\d#100\v#30\20\ping_collision_summary.csv</t>
  </si>
  <si>
    <t>D:\CBP_2026.07.21\i#3\full\full#33, 44_32, 43_result\d#100\v#30\21\ping_collision_summary.csv</t>
  </si>
  <si>
    <t>D:\CBP_2026.07.21\i#3\full\full#33, 44_32, 43_result\d#100\v#30\22\ping_collision_summary.csv</t>
  </si>
  <si>
    <t>D:\CBP_2026.07.21\i#3\full\full#33, 44_32, 43_result\d#100\v#30\23\ping_collision_summary.csv</t>
  </si>
  <si>
    <t>D:\CBP_2026.07.21\i#3\full\full#33, 44_32, 43_result\d#100\v#30\24\ping_collision_summary.csv</t>
  </si>
  <si>
    <t>D:\CBP_2026.07.21\i#3\full\full#33, 44_32, 43_result\d#100\v#30\25\ping_collision_summary.csv</t>
  </si>
  <si>
    <t>D:\CBP_2026.07.21\i#3\full\full#33, 44_32, 43_result\d#100\v#30\26\ping_collision_summary.csv</t>
  </si>
  <si>
    <t>D:\CBP_2026.07.21\i#3\full\full#33, 44_32, 43_result\d#100\v#30\27\ping_collision_summary.csv</t>
  </si>
  <si>
    <t>D:\CBP_2026.07.21\i#3\full\full#33, 44_32, 43_result\d#100\v#30\28\ping_collision_summary.csv</t>
  </si>
  <si>
    <t>D:\CBP_2026.07.21\i#3\full\full#33, 44_32, 43_result\d#100\v#30\29\ping_collision_summary.csv</t>
  </si>
  <si>
    <t>D:\CBP_2026.07.21\i#3\full\full#33, 44_32, 43_result\d#100\v#30\2\ping_collision_summary.csv</t>
  </si>
  <si>
    <t>D:\CBP_2026.07.21\i#3\full\full#33, 44_32, 43_result\d#100\v#30\30\ping_collision_summary.csv</t>
  </si>
  <si>
    <t>D:\CBP_2026.07.21\i#3\full\full#33, 44_32, 43_result\d#100\v#30\3\ping_collision_summary.csv</t>
  </si>
  <si>
    <t>D:\CBP_2026.07.21\i#3\full\full#33, 44_32, 43_result\d#100\v#30\4\ping_collision_summary.csv</t>
  </si>
  <si>
    <t>D:\CBP_2026.07.21\i#3\full\full#33, 44_32, 43_result\d#100\v#30\5\ping_collision_summary.csv</t>
  </si>
  <si>
    <t>D:\CBP_2026.07.21\i#3\full\full#33, 44_32, 43_result\d#100\v#30\6\ping_collision_summary.csv</t>
  </si>
  <si>
    <t>D:\CBP_2026.07.21\i#3\full\full#33, 44_32, 43_result\d#100\v#30\7\ping_collision_summary.csv</t>
  </si>
  <si>
    <t>D:\CBP_2026.07.21\i#3\full\full#33, 44_32, 43_result\d#100\v#30\8\ping_collision_summary.csv</t>
  </si>
  <si>
    <t>D:\CBP_2026.07.21\i#3\full\full#33, 44_32, 43_result\d#100\v#30\9\ping_collision_summary.csv</t>
  </si>
  <si>
    <t>D:\CBP_2026.07.21\i#3\full\full#33, 44_32, 43_result\d#120\v#10\0\ping_collision_summary.csv</t>
  </si>
  <si>
    <t>D:\CBP_2026.07.21\i#3\full\full#33, 44_32, 43_result\d#120\v#10\10\ping_collision_summary.csv</t>
  </si>
  <si>
    <t>D:\CBP_2026.07.21\i#3\full\full#33, 44_32, 43_result\d#120\v#10\11\ping_collision_summary.csv</t>
  </si>
  <si>
    <t>D:\CBP_2026.07.21\i#3\full\full#33, 44_32, 43_result\d#120\v#10\12\ping_collision_summary.csv</t>
  </si>
  <si>
    <t>D:\CBP_2026.07.21\i#3\full\full#33, 44_32, 43_result\d#120\v#10\13\ping_collision_summary.csv</t>
  </si>
  <si>
    <t>D:\CBP_2026.07.21\i#3\full\full#33, 44_32, 43_result\d#120\v#10\14\ping_collision_summary.csv</t>
  </si>
  <si>
    <t>D:\CBP_2026.07.21\i#3\full\full#33, 44_32, 43_result\d#120\v#10\15\ping_collision_summary.csv</t>
  </si>
  <si>
    <t>D:\CBP_2026.07.21\i#3\full\full#33, 44_32, 43_result\d#120\v#10\16\ping_collision_summary.csv</t>
  </si>
  <si>
    <t>D:\CBP_2026.07.21\i#3\full\full#33, 44_32, 43_result\d#120\v#10\17\ping_collision_summary.csv</t>
  </si>
  <si>
    <t>D:\CBP_2026.07.21\i#3\full\full#33, 44_32, 43_result\d#120\v#10\18\ping_collision_summary.csv</t>
  </si>
  <si>
    <t>D:\CBP_2026.07.21\i#3\full\full#33, 44_32, 43_result\d#120\v#10\19\ping_collision_summary.csv</t>
  </si>
  <si>
    <t>D:\CBP_2026.07.21\i#3\full\full#33, 44_32, 43_result\d#120\v#10\1\ping_collision_summary.csv</t>
  </si>
  <si>
    <t>D:\CBP_2026.07.21\i#3\full\full#33, 44_32, 43_result\d#120\v#10\20\ping_collision_summary.csv</t>
  </si>
  <si>
    <t>D:\CBP_2026.07.21\i#3\full\full#33, 44_32, 43_result\d#120\v#10\21\ping_collision_summary.csv</t>
  </si>
  <si>
    <t>D:\CBP_2026.07.21\i#3\full\full#33, 44_32, 43_result\d#120\v#10\22\ping_collision_summary.csv</t>
  </si>
  <si>
    <t>D:\CBP_2026.07.21\i#3\full\full#33, 44_32, 43_result\d#120\v#10\23\ping_collision_summary.csv</t>
  </si>
  <si>
    <t>D:\CBP_2026.07.21\i#3\full\full#33, 44_32, 43_result\d#120\v#10\24\ping_collision_summary.csv</t>
  </si>
  <si>
    <t>D:\CBP_2026.07.21\i#3\full\full#33, 44_32, 43_result\d#120\v#10\25\ping_collision_summary.csv</t>
  </si>
  <si>
    <t>D:\CBP_2026.07.21\i#3\full\full#33, 44_32, 43_result\d#120\v#10\26\ping_collision_summary.csv</t>
  </si>
  <si>
    <t>D:\CBP_2026.07.21\i#3\full\full#33, 44_32, 43_result\d#120\v#10\27\ping_collision_summary.csv</t>
  </si>
  <si>
    <t>D:\CBP_2026.07.21\i#3\full\full#33, 44_32, 43_result\d#120\v#10\28\ping_collision_summary.csv</t>
  </si>
  <si>
    <t>D:\CBP_2026.07.21\i#3\full\full#33, 44_32, 43_result\d#120\v#10\29\ping_collision_summary.csv</t>
  </si>
  <si>
    <t>D:\CBP_2026.07.21\i#3\full\full#33, 44_32, 43_result\d#120\v#10\2\ping_collision_summary.csv</t>
  </si>
  <si>
    <t>D:\CBP_2026.07.21\i#3\full\full#33, 44_32, 43_result\d#120\v#10\30\ping_collision_summary.csv</t>
  </si>
  <si>
    <t>D:\CBP_2026.07.21\i#3\full\full#33, 44_32, 43_result\d#120\v#10\3\ping_collision_summary.csv</t>
  </si>
  <si>
    <t>D:\CBP_2026.07.21\i#3\full\full#33, 44_32, 43_result\d#120\v#10\4\ping_collision_summary.csv</t>
  </si>
  <si>
    <t>D:\CBP_2026.07.21\i#3\full\full#33, 44_32, 43_result\d#120\v#10\5\ping_collision_summary.csv</t>
  </si>
  <si>
    <t>D:\CBP_2026.07.21\i#3\full\full#33, 44_32, 43_result\d#120\v#10\6\ping_collision_summary.csv</t>
  </si>
  <si>
    <t>D:\CBP_2026.07.21\i#3\full\full#33, 44_32, 43_result\d#120\v#10\7\ping_collision_summary.csv</t>
  </si>
  <si>
    <t>D:\CBP_2026.07.21\i#3\full\full#33, 44_32, 43_result\d#120\v#10\8\ping_collision_summary.csv</t>
  </si>
  <si>
    <t>D:\CBP_2026.07.21\i#3\full\full#33, 44_32, 43_result\d#120\v#10\9\ping_collision_summary.csv</t>
  </si>
  <si>
    <t>D:\CBP_2026.07.21\i#3\full\full#33, 44_32, 43_result\d#120\v#20\0\ping_collision_summary.csv</t>
  </si>
  <si>
    <t>D:\CBP_2026.07.21\i#3\full\full#33, 44_32, 43_result\d#120\v#20\10\ping_collision_summary.csv</t>
  </si>
  <si>
    <t>D:\CBP_2026.07.21\i#3\full\full#33, 44_32, 43_result\d#120\v#20\11\ping_collision_summary.csv</t>
  </si>
  <si>
    <t>D:\CBP_2026.07.21\i#3\full\full#33, 44_32, 43_result\d#120\v#20\12\ping_collision_summary.csv</t>
  </si>
  <si>
    <t>D:\CBP_2026.07.21\i#3\full\full#33, 44_32, 43_result\d#120\v#20\13\ping_collision_summary.csv</t>
  </si>
  <si>
    <t>D:\CBP_2026.07.21\i#3\full\full#33, 44_32, 43_result\d#120\v#20\14\ping_collision_summary.csv</t>
  </si>
  <si>
    <t>D:\CBP_2026.07.21\i#3\full\full#33, 44_32, 43_result\d#120\v#20\15\ping_collision_summary.csv</t>
  </si>
  <si>
    <t>D:\CBP_2026.07.21\i#3\full\full#33, 44_32, 43_result\d#120\v#20\16\ping_collision_summary.csv</t>
  </si>
  <si>
    <t>D:\CBP_2026.07.21\i#3\full\full#33, 44_32, 43_result\d#120\v#20\17\ping_collision_summary.csv</t>
  </si>
  <si>
    <t>D:\CBP_2026.07.21\i#3\full\full#33, 44_32, 43_result\d#120\v#20\18\ping_collision_summary.csv</t>
  </si>
  <si>
    <t>D:\CBP_2026.07.21\i#3\full\full#33, 44_32, 43_result\d#120\v#20\19\ping_collision_summary.csv</t>
  </si>
  <si>
    <t>D:\CBP_2026.07.21\i#3\full\full#33, 44_32, 43_result\d#120\v#20\1\ping_collision_summary.csv</t>
  </si>
  <si>
    <t>D:\CBP_2026.07.21\i#3\full\full#33, 44_32, 43_result\d#120\v#20\20\ping_collision_summary.csv</t>
  </si>
  <si>
    <t>D:\CBP_2026.07.21\i#3\full\full#33, 44_32, 43_result\d#120\v#20\21\ping_collision_summary.csv</t>
  </si>
  <si>
    <t>D:\CBP_2026.07.21\i#3\full\full#33, 44_32, 43_result\d#120\v#20\22\ping_collision_summary.csv</t>
  </si>
  <si>
    <t>D:\CBP_2026.07.21\i#3\full\full#33, 44_32, 43_result\d#120\v#20\23\ping_collision_summary.csv</t>
  </si>
  <si>
    <t>D:\CBP_2026.07.21\i#3\full\full#33, 44_32, 43_result\d#120\v#20\24\ping_collision_summary.csv</t>
  </si>
  <si>
    <t>D:\CBP_2026.07.21\i#3\full\full#33, 44_32, 43_result\d#120\v#20\25\ping_collision_summary.csv</t>
  </si>
  <si>
    <t>D:\CBP_2026.07.21\i#3\full\full#33, 44_32, 43_result\d#120\v#20\26\ping_collision_summary.csv</t>
  </si>
  <si>
    <t>D:\CBP_2026.07.21\i#3\full\full#33, 44_32, 43_result\d#120\v#20\27\ping_collision_summary.csv</t>
  </si>
  <si>
    <t>D:\CBP_2026.07.21\i#3\full\full#33, 44_32, 43_result\d#120\v#20\28\ping_collision_summary.csv</t>
  </si>
  <si>
    <t>D:\CBP_2026.07.21\i#3\full\full#33, 44_32, 43_result\d#120\v#20\29\ping_collision_summary.csv</t>
  </si>
  <si>
    <t>D:\CBP_2026.07.21\i#3\full\full#33, 44_32, 43_result\d#120\v#20\2\ping_collision_summary.csv</t>
  </si>
  <si>
    <t>D:\CBP_2026.07.21\i#3\full\full#33, 44_32, 43_result\d#120\v#20\30\ping_collision_summary.csv</t>
  </si>
  <si>
    <t>D:\CBP_2026.07.21\i#3\full\full#33, 44_32, 43_result\d#120\v#20\3\ping_collision_summary.csv</t>
  </si>
  <si>
    <t>D:\CBP_2026.07.21\i#3\full\full#33, 44_32, 43_result\d#120\v#20\4\ping_collision_summary.csv</t>
  </si>
  <si>
    <t>D:\CBP_2026.07.21\i#3\full\full#33, 44_32, 43_result\d#120\v#20\5\ping_collision_summary.csv</t>
  </si>
  <si>
    <t>D:\CBP_2026.07.21\i#3\full\full#33, 44_32, 43_result\d#120\v#20\6\ping_collision_summary.csv</t>
  </si>
  <si>
    <t>D:\CBP_2026.07.21\i#3\full\full#33, 44_32, 43_result\d#120\v#20\7\ping_collision_summary.csv</t>
  </si>
  <si>
    <t>D:\CBP_2026.07.21\i#3\full\full#33, 44_32, 43_result\d#120\v#20\8\ping_collision_summary.csv</t>
  </si>
  <si>
    <t>D:\CBP_2026.07.21\i#3\full\full#33, 44_32, 43_result\d#120\v#20\9\ping_collision_summary.csv</t>
  </si>
  <si>
    <t>D:\CBP_2026.07.21\i#3\full\full#33, 44_32, 43_result\d#120\v#30\0\ping_collision_summary.csv</t>
  </si>
  <si>
    <t>D:\CBP_2026.07.21\i#3\full\full#33, 44_32, 43_result\d#120\v#30\10\ping_collision_summary.csv</t>
  </si>
  <si>
    <t>D:\CBP_2026.07.21\i#3\full\full#33, 44_32, 43_result\d#120\v#30\11\ping_collision_summary.csv</t>
  </si>
  <si>
    <t>D:\CBP_2026.07.21\i#3\full\full#33, 44_32, 43_result\d#120\v#30\12\ping_collision_summary.csv</t>
  </si>
  <si>
    <t>D:\CBP_2026.07.21\i#3\full\full#33, 44_32, 43_result\d#120\v#30\13\ping_collision_summary.csv</t>
  </si>
  <si>
    <t>D:\CBP_2026.07.21\i#3\full\full#33, 44_32, 43_result\d#120\v#30\14\ping_collision_summary.csv</t>
  </si>
  <si>
    <t>D:\CBP_2026.07.21\i#3\full\full#33, 44_32, 43_result\d#120\v#30\15\ping_collision_summary.csv</t>
  </si>
  <si>
    <t>D:\CBP_2026.07.21\i#3\full\full#33, 44_32, 43_result\d#120\v#30\16\ping_collision_summary.csv</t>
  </si>
  <si>
    <t>D:\CBP_2026.07.21\i#3\full\full#33, 44_32, 43_result\d#120\v#30\17\ping_collision_summary.csv</t>
  </si>
  <si>
    <t>D:\CBP_2026.07.21\i#3\full\full#33, 44_32, 43_result\d#120\v#30\18\ping_collision_summary.csv</t>
  </si>
  <si>
    <t>D:\CBP_2026.07.21\i#3\full\full#33, 44_32, 43_result\d#120\v#30\19\ping_collision_summary.csv</t>
  </si>
  <si>
    <t>D:\CBP_2026.07.21\i#3\full\full#33, 44_32, 43_result\d#120\v#30\1\ping_collision_summary.csv</t>
  </si>
  <si>
    <t>D:\CBP_2026.07.21\i#3\full\full#33, 44_32, 43_result\d#120\v#30\20\ping_collision_summary.csv</t>
  </si>
  <si>
    <t>D:\CBP_2026.07.21\i#3\full\full#33, 44_32, 43_result\d#120\v#30\21\ping_collision_summary.csv</t>
  </si>
  <si>
    <t>D:\CBP_2026.07.21\i#3\full\full#33, 44_32, 43_result\d#120\v#30\22\ping_collision_summary.csv</t>
  </si>
  <si>
    <t>D:\CBP_2026.07.21\i#3\full\full#33, 44_32, 43_result\d#120\v#30\23\ping_collision_summary.csv</t>
  </si>
  <si>
    <t>D:\CBP_2026.07.21\i#3\full\full#33, 44_32, 43_result\d#120\v#30\24\ping_collision_summary.csv</t>
  </si>
  <si>
    <t>D:\CBP_2026.07.21\i#3\full\full#33, 44_32, 43_result\d#120\v#30\25\ping_collision_summary.csv</t>
  </si>
  <si>
    <t>D:\CBP_2026.07.21\i#3\full\full#33, 44_32, 43_result\d#120\v#30\26\ping_collision_summary.csv</t>
  </si>
  <si>
    <t>D:\CBP_2026.07.21\i#3\full\full#33, 44_32, 43_result\d#120\v#30\27\ping_collision_summary.csv</t>
  </si>
  <si>
    <t>D:\CBP_2026.07.21\i#3\full\full#33, 44_32, 43_result\d#120\v#30\28\ping_collision_summary.csv</t>
  </si>
  <si>
    <t>D:\CBP_2026.07.21\i#3\full\full#33, 44_32, 43_result\d#120\v#30\29\ping_collision_summary.csv</t>
  </si>
  <si>
    <t>D:\CBP_2026.07.21\i#3\full\full#33, 44_32, 43_result\d#120\v#30\2\ping_collision_summary.csv</t>
  </si>
  <si>
    <t>D:\CBP_2026.07.21\i#3\full\full#33, 44_32, 43_result\d#120\v#30\30\ping_collision_summary.csv</t>
  </si>
  <si>
    <t>D:\CBP_2026.07.21\i#3\full\full#33, 44_32, 43_result\d#120\v#30\3\ping_collision_summary.csv</t>
  </si>
  <si>
    <t>D:\CBP_2026.07.21\i#3\full\full#33, 44_32, 43_result\d#120\v#30\4\ping_collision_summary.csv</t>
  </si>
  <si>
    <t>D:\CBP_2026.07.21\i#3\full\full#33, 44_32, 43_result\d#120\v#30\5\ping_collision_summary.csv</t>
  </si>
  <si>
    <t>D:\CBP_2026.07.21\i#3\full\full#33, 44_32, 43_result\d#120\v#30\6\ping_collision_summary.csv</t>
  </si>
  <si>
    <t>D:\CBP_2026.07.21\i#3\full\full#33, 44_32, 43_result\d#120\v#30\7\ping_collision_summary.csv</t>
  </si>
  <si>
    <t>D:\CBP_2026.07.21\i#3\full\full#33, 44_32, 43_result\d#120\v#30\8\ping_collision_summary.csv</t>
  </si>
  <si>
    <t>D:\CBP_2026.07.21\i#3\full\full#33, 44_32, 43_result\d#120\v#30\9\ping_collision_summary.csv</t>
  </si>
  <si>
    <t>D:\CBP_2026.07.21\i#3\full\full#33, 44_32, 43_result\d#70\v#10\0\ping_collision_summary.csv</t>
  </si>
  <si>
    <t>D:\CBP_2026.07.21\i#3\full\full#33, 44_32, 43_result\d#70\v#10\10\ping_collision_summary.csv</t>
  </si>
  <si>
    <t>D:\CBP_2026.07.21\i#3\full\full#33, 44_32, 43_result\d#70\v#10\11\ping_collision_summary.csv</t>
  </si>
  <si>
    <t>D:\CBP_2026.07.21\i#3\full\full#33, 44_32, 43_result\d#70\v#10\12\ping_collision_summary.csv</t>
  </si>
  <si>
    <t>D:\CBP_2026.07.21\i#3\full\full#33, 44_32, 43_result\d#70\v#10\13\ping_collision_summary.csv</t>
  </si>
  <si>
    <t>D:\CBP_2026.07.21\i#3\full\full#33, 44_32, 43_result\d#70\v#10\14\ping_collision_summary.csv</t>
  </si>
  <si>
    <t>D:\CBP_2026.07.21\i#3\full\full#33, 44_32, 43_result\d#70\v#10\15\ping_collision_summary.csv</t>
  </si>
  <si>
    <t>D:\CBP_2026.07.21\i#3\full\full#33, 44_32, 43_result\d#70\v#10\16\ping_collision_summary.csv</t>
  </si>
  <si>
    <t>D:\CBP_2026.07.21\i#3\full\full#33, 44_32, 43_result\d#70\v#10\17\ping_collision_summary.csv</t>
  </si>
  <si>
    <t>D:\CBP_2026.07.21\i#3\full\full#33, 44_32, 43_result\d#70\v#10\18\ping_collision_summary.csv</t>
  </si>
  <si>
    <t>D:\CBP_2026.07.21\i#3\full\full#33, 44_32, 43_result\d#70\v#10\19\ping_collision_summary.csv</t>
  </si>
  <si>
    <t>D:\CBP_2026.07.21\i#3\full\full#33, 44_32, 43_result\d#70\v#10\1\ping_collision_summary.csv</t>
  </si>
  <si>
    <t>D:\CBP_2026.07.21\i#3\full\full#33, 44_32, 43_result\d#70\v#10\20\ping_collision_summary.csv</t>
  </si>
  <si>
    <t>D:\CBP_2026.07.21\i#3\full\full#33, 44_32, 43_result\d#70\v#10\21\ping_collision_summary.csv</t>
  </si>
  <si>
    <t>D:\CBP_2026.07.21\i#3\full\full#33, 44_32, 43_result\d#70\v#10\22\ping_collision_summary.csv</t>
  </si>
  <si>
    <t>D:\CBP_2026.07.21\i#3\full\full#33, 44_32, 43_result\d#70\v#10\23\ping_collision_summary.csv</t>
  </si>
  <si>
    <t>D:\CBP_2026.07.21\i#3\full\full#33, 44_32, 43_result\d#70\v#10\24\ping_collision_summary.csv</t>
  </si>
  <si>
    <t>D:\CBP_2026.07.21\i#3\full\full#33, 44_32, 43_result\d#70\v#10\25\ping_collision_summary.csv</t>
  </si>
  <si>
    <t>D:\CBP_2026.07.21\i#3\full\full#33, 44_32, 43_result\d#70\v#10\26\ping_collision_summary.csv</t>
  </si>
  <si>
    <t>D:\CBP_2026.07.21\i#3\full\full#33, 44_32, 43_result\d#70\v#10\27\ping_collision_summary.csv</t>
  </si>
  <si>
    <t>D:\CBP_2026.07.21\i#3\full\full#33, 44_32, 43_result\d#70\v#10\28\ping_collision_summary.csv</t>
  </si>
  <si>
    <t>D:\CBP_2026.07.21\i#3\full\full#33, 44_32, 43_result\d#70\v#10\29\ping_collision_summary.csv</t>
  </si>
  <si>
    <t>D:\CBP_2026.07.21\i#3\full\full#33, 44_32, 43_result\d#70\v#10\2\ping_collision_summary.csv</t>
  </si>
  <si>
    <t>D:\CBP_2026.07.21\i#3\full\full#33, 44_32, 43_result\d#70\v#10\30\ping_collision_summary.csv</t>
  </si>
  <si>
    <t>D:\CBP_2026.07.21\i#3\full\full#33, 44_32, 43_result\d#70\v#10\3\ping_collision_summary.csv</t>
  </si>
  <si>
    <t>D:\CBP_2026.07.21\i#3\full\full#33, 44_32, 43_result\d#70\v#10\4\ping_collision_summary.csv</t>
  </si>
  <si>
    <t>D:\CBP_2026.07.21\i#3\full\full#33, 44_32, 43_result\d#70\v#10\5\ping_collision_summary.csv</t>
  </si>
  <si>
    <t>D:\CBP_2026.07.21\i#3\full\full#33, 44_32, 43_result\d#70\v#10\6\ping_collision_summary.csv</t>
  </si>
  <si>
    <t>D:\CBP_2026.07.21\i#3\full\full#33, 44_32, 43_result\d#70\v#10\7\ping_collision_summary.csv</t>
  </si>
  <si>
    <t>D:\CBP_2026.07.21\i#3\full\full#33, 44_32, 43_result\d#70\v#10\8\ping_collision_summary.csv</t>
  </si>
  <si>
    <t>D:\CBP_2026.07.21\i#3\full\full#33, 44_32, 43_result\d#70\v#10\9\ping_collision_summary.csv</t>
  </si>
  <si>
    <t>D:\CBP_2026.07.21\i#3\full\full#33, 44_32, 43_result\d#70\v#20\0\ping_collision_summary.csv</t>
  </si>
  <si>
    <t>D:\CBP_2026.07.21\i#3\full\full#33, 44_32, 43_result\d#70\v#20\10\ping_collision_summary.csv</t>
  </si>
  <si>
    <t>D:\CBP_2026.07.21\i#3\full\full#33, 44_32, 43_result\d#70\v#20\11\ping_collision_summary.csv</t>
  </si>
  <si>
    <t>D:\CBP_2026.07.21\i#3\full\full#33, 44_32, 43_result\d#70\v#20\12\ping_collision_summary.csv</t>
  </si>
  <si>
    <t>D:\CBP_2026.07.21\i#3\full\full#33, 44_32, 43_result\d#70\v#20\13\ping_collision_summary.csv</t>
  </si>
  <si>
    <t>D:\CBP_2026.07.21\i#3\full\full#33, 44_32, 43_result\d#70\v#20\14\ping_collision_summary.csv</t>
  </si>
  <si>
    <t>D:\CBP_2026.07.21\i#3\full\full#33, 44_32, 43_result\d#70\v#20\15\ping_collision_summary.csv</t>
  </si>
  <si>
    <t>D:\CBP_2026.07.21\i#3\full\full#33, 44_32, 43_result\d#70\v#20\16\ping_collision_summary.csv</t>
  </si>
  <si>
    <t>D:\CBP_2026.07.21\i#3\full\full#33, 44_32, 43_result\d#70\v#20\17\ping_collision_summary.csv</t>
  </si>
  <si>
    <t>D:\CBP_2026.07.21\i#3\full\full#33, 44_32, 43_result\d#70\v#20\18\ping_collision_summary.csv</t>
  </si>
  <si>
    <t>D:\CBP_2026.07.21\i#3\full\full#33, 44_32, 43_result\d#70\v#20\19\ping_collision_summary.csv</t>
  </si>
  <si>
    <t>D:\CBP_2026.07.21\i#3\full\full#33, 44_32, 43_result\d#70\v#20\1\ping_collision_summary.csv</t>
  </si>
  <si>
    <t>D:\CBP_2026.07.21\i#3\full\full#33, 44_32, 43_result\d#70\v#20\20\ping_collision_summary.csv</t>
  </si>
  <si>
    <t>D:\CBP_2026.07.21\i#3\full\full#33, 44_32, 43_result\d#70\v#20\21\ping_collision_summary.csv</t>
  </si>
  <si>
    <t>D:\CBP_2026.07.21\i#3\full\full#33, 44_32, 43_result\d#70\v#20\22\ping_collision_summary.csv</t>
  </si>
  <si>
    <t>D:\CBP_2026.07.21\i#3\full\full#33, 44_32, 43_result\d#70\v#20\23\ping_collision_summary.csv</t>
  </si>
  <si>
    <t>D:\CBP_2026.07.21\i#3\full\full#33, 44_32, 43_result\d#70\v#20\24\ping_collision_summary.csv</t>
  </si>
  <si>
    <t>D:\CBP_2026.07.21\i#3\full\full#33, 44_32, 43_result\d#70\v#20\25\ping_collision_summary.csv</t>
  </si>
  <si>
    <t>D:\CBP_2026.07.21\i#3\full\full#33, 44_32, 43_result\d#70\v#20\26\ping_collision_summary.csv</t>
  </si>
  <si>
    <t>D:\CBP_2026.07.21\i#3\full\full#33, 44_32, 43_result\d#70\v#20\27\ping_collision_summary.csv</t>
  </si>
  <si>
    <t>D:\CBP_2026.07.21\i#3\full\full#33, 44_32, 43_result\d#70\v#20\28\ping_collision_summary.csv</t>
  </si>
  <si>
    <t>D:\CBP_2026.07.21\i#3\full\full#33, 44_32, 43_result\d#70\v#20\29\ping_collision_summary.csv</t>
  </si>
  <si>
    <t>D:\CBP_2026.07.21\i#3\full\full#33, 44_32, 43_result\d#70\v#20\2\ping_collision_summary.csv</t>
  </si>
  <si>
    <t>D:\CBP_2026.07.21\i#3\full\full#33, 44_32, 43_result\d#70\v#20\30\ping_collision_summary.csv</t>
  </si>
  <si>
    <t>D:\CBP_2026.07.21\i#3\full\full#33, 44_32, 43_result\d#70\v#20\3\ping_collision_summary.csv</t>
  </si>
  <si>
    <t>D:\CBP_2026.07.21\i#3\full\full#33, 44_32, 43_result\d#70\v#20\4\ping_collision_summary.csv</t>
  </si>
  <si>
    <t>D:\CBP_2026.07.21\i#3\full\full#33, 44_32, 43_result\d#70\v#20\5\ping_collision_summary.csv</t>
  </si>
  <si>
    <t>D:\CBP_2026.07.21\i#3\full\full#33, 44_32, 43_result\d#70\v#20\6\ping_collision_summary.csv</t>
  </si>
  <si>
    <t>D:\CBP_2026.07.21\i#3\full\full#33, 44_32, 43_result\d#70\v#20\7\ping_collision_summary.csv</t>
  </si>
  <si>
    <t>D:\CBP_2026.07.21\i#3\full\full#33, 44_32, 43_result\d#70\v#20\8\ping_collision_summary.csv</t>
  </si>
  <si>
    <t>D:\CBP_2026.07.21\i#3\full\full#33, 44_32, 43_result\d#70\v#20\9\ping_collision_summary.csv</t>
  </si>
  <si>
    <t>D:\CBP_2026.07.21\i#3\full\full#33, 44_32, 43_result\d#70\v#30\0\ping_collision_summary.csv</t>
  </si>
  <si>
    <t>D:\CBP_2026.07.21\i#3\full\full#33, 44_32, 43_result\d#70\v#30\10\ping_collision_summary.csv</t>
  </si>
  <si>
    <t>D:\CBP_2026.07.21\i#3\full\full#33, 44_32, 43_result\d#70\v#30\11\ping_collision_summary.csv</t>
  </si>
  <si>
    <t>D:\CBP_2026.07.21\i#3\full\full#33, 44_32, 43_result\d#70\v#30\12\ping_collision_summary.csv</t>
  </si>
  <si>
    <t>D:\CBP_2026.07.21\i#3\full\full#33, 44_32, 43_result\d#70\v#30\13\ping_collision_summary.csv</t>
  </si>
  <si>
    <t>D:\CBP_2026.07.21\i#3\full\full#33, 44_32, 43_result\d#70\v#30\14\ping_collision_summary.csv</t>
  </si>
  <si>
    <t>D:\CBP_2026.07.21\i#3\full\full#33, 44_32, 43_result\d#70\v#30\15\ping_collision_summary.csv</t>
  </si>
  <si>
    <t>D:\CBP_2026.07.21\i#3\full\full#33, 44_32, 43_result\d#70\v#30\16\ping_collision_summary.csv</t>
  </si>
  <si>
    <t>D:\CBP_2026.07.21\i#3\full\full#33, 44_32, 43_result\d#70\v#30\17\ping_collision_summary.csv</t>
  </si>
  <si>
    <t>D:\CBP_2026.07.21\i#3\full\full#33, 44_32, 43_result\d#70\v#30\18\ping_collision_summary.csv</t>
  </si>
  <si>
    <t>D:\CBP_2026.07.21\i#3\full\full#33, 44_32, 43_result\d#70\v#30\19\ping_collision_summary.csv</t>
  </si>
  <si>
    <t>D:\CBP_2026.07.21\i#3\full\full#33, 44_32, 43_result\d#70\v#30\1\ping_collision_summary.csv</t>
  </si>
  <si>
    <t>D:\CBP_2026.07.21\i#3\full\full#33, 44_32, 43_result\d#70\v#30\20\ping_collision_summary.csv</t>
  </si>
  <si>
    <t>D:\CBP_2026.07.21\i#3\full\full#33, 44_32, 43_result\d#70\v#30\21\ping_collision_summary.csv</t>
  </si>
  <si>
    <t>D:\CBP_2026.07.21\i#3\full\full#33, 44_32, 43_result\d#70\v#30\22\ping_collision_summary.csv</t>
  </si>
  <si>
    <t>D:\CBP_2026.07.21\i#3\full\full#33, 44_32, 43_result\d#70\v#30\23\ping_collision_summary.csv</t>
  </si>
  <si>
    <t>D:\CBP_2026.07.21\i#3\full\full#33, 44_32, 43_result\d#70\v#30\24\ping_collision_summary.csv</t>
  </si>
  <si>
    <t>D:\CBP_2026.07.21\i#3\full\full#33, 44_32, 43_result\d#70\v#30\25\ping_collision_summary.csv</t>
  </si>
  <si>
    <t>D:\CBP_2026.07.21\i#3\full\full#33, 44_32, 43_result\d#70\v#30\26\ping_collision_summary.csv</t>
  </si>
  <si>
    <t>D:\CBP_2026.07.21\i#3\full\full#33, 44_32, 43_result\d#70\v#30\27\ping_collision_summary.csv</t>
  </si>
  <si>
    <t>D:\CBP_2026.07.21\i#3\full\full#33, 44_32, 43_result\d#70\v#30\28\ping_collision_summary.csv</t>
  </si>
  <si>
    <t>D:\CBP_2026.07.21\i#3\full\full#33, 44_32, 43_result\d#70\v#30\29\ping_collision_summary.csv</t>
  </si>
  <si>
    <t>D:\CBP_2026.07.21\i#3\full\full#33, 44_32, 43_result\d#70\v#30\2\ping_collision_summary.csv</t>
  </si>
  <si>
    <t>D:\CBP_2026.07.21\i#3\full\full#33, 44_32, 43_result\d#70\v#30\30\ping_collision_summary.csv</t>
  </si>
  <si>
    <t>D:\CBP_2026.07.21\i#3\full\full#33, 44_32, 43_result\d#70\v#30\3\ping_collision_summary.csv</t>
  </si>
  <si>
    <t>D:\CBP_2026.07.21\i#3\full\full#33, 44_32, 43_result\d#70\v#30\4\ping_collision_summary.csv</t>
  </si>
  <si>
    <t>D:\CBP_2026.07.21\i#3\full\full#33, 44_32, 43_result\d#70\v#30\5\ping_collision_summary.csv</t>
  </si>
  <si>
    <t>D:\CBP_2026.07.21\i#3\full\full#33, 44_32, 43_result\d#70\v#30\6\ping_collision_summary.csv</t>
  </si>
  <si>
    <t>D:\CBP_2026.07.21\i#3\full\full#33, 44_32, 43_result\d#70\v#30\7\ping_collision_summary.csv</t>
  </si>
  <si>
    <t>D:\CBP_2026.07.21\i#3\full\full#33, 44_32, 43_result\d#70\v#30\8\ping_collision_summary.csv</t>
  </si>
  <si>
    <t>D:\CBP_2026.07.21\i#3\full\full#33, 44_32, 43_result\d#70\v#30\9\ping_collision_summary.csv</t>
  </si>
  <si>
    <t>D:\CBP_2026.07.21\i#3\full\full#44, 101_43, 101_result\d#100\v#10\0\ping_collision_summary.csv</t>
  </si>
  <si>
    <t>D:\CBP_2026.07.21\i#3\full\full#44, 101_43, 101_result\d#100\v#10\10\ping_collision_summary.csv</t>
  </si>
  <si>
    <t>D:\CBP_2026.07.21\i#3\full\full#44, 101_43, 101_result\d#100\v#10\11\ping_collision_summary.csv</t>
  </si>
  <si>
    <t>D:\CBP_2026.07.21\i#3\full\full#44, 101_43, 101_result\d#100\v#10\12\ping_collision_summary.csv</t>
  </si>
  <si>
    <t>D:\CBP_2026.07.21\i#3\full\full#44, 101_43, 101_result\d#100\v#10\13\ping_collision_summary.csv</t>
  </si>
  <si>
    <t>D:\CBP_2026.07.21\i#3\full\full#44, 101_43, 101_result\d#100\v#10\14\ping_collision_summary.csv</t>
  </si>
  <si>
    <t>D:\CBP_2026.07.21\i#3\full\full#44, 101_43, 101_result\d#100\v#10\15\ping_collision_summary.csv</t>
  </si>
  <si>
    <t>D:\CBP_2026.07.21\i#3\full\full#44, 101_43, 101_result\d#100\v#10\16\ping_collision_summary.csv</t>
  </si>
  <si>
    <t>D:\CBP_2026.07.21\i#3\full\full#44, 101_43, 101_result\d#100\v#10\17\ping_collision_summary.csv</t>
  </si>
  <si>
    <t>D:\CBP_2026.07.21\i#3\full\full#44, 101_43, 101_result\d#100\v#10\18\ping_collision_summary.csv</t>
  </si>
  <si>
    <t>D:\CBP_2026.07.21\i#3\full\full#44, 101_43, 101_result\d#100\v#10\19\ping_collision_summary.csv</t>
  </si>
  <si>
    <t>D:\CBP_2026.07.21\i#3\full\full#44, 101_43, 101_result\d#100\v#10\1\ping_collision_summary.csv</t>
  </si>
  <si>
    <t>D:\CBP_2026.07.21\i#3\full\full#44, 101_43, 101_result\d#100\v#10\20\ping_collision_summary.csv</t>
  </si>
  <si>
    <t>D:\CBP_2026.07.21\i#3\full\full#44, 101_43, 101_result\d#100\v#10\21\ping_collision_summary.csv</t>
  </si>
  <si>
    <t>D:\CBP_2026.07.21\i#3\full\full#44, 101_43, 101_result\d#100\v#10\22\ping_collision_summary.csv</t>
  </si>
  <si>
    <t>D:\CBP_2026.07.21\i#3\full\full#44, 101_43, 101_result\d#100\v#10\23\ping_collision_summary.csv</t>
  </si>
  <si>
    <t>D:\CBP_2026.07.21\i#3\full\full#44, 101_43, 101_result\d#100\v#10\24\ping_collision_summary.csv</t>
  </si>
  <si>
    <t>D:\CBP_2026.07.21\i#3\full\full#44, 101_43, 101_result\d#100\v#10\25\ping_collision_summary.csv</t>
  </si>
  <si>
    <t>D:\CBP_2026.07.21\i#3\full\full#44, 101_43, 101_result\d#100\v#10\26\ping_collision_summary.csv</t>
  </si>
  <si>
    <t>D:\CBP_2026.07.21\i#3\full\full#44, 101_43, 101_result\d#100\v#10\27\ping_collision_summary.csv</t>
  </si>
  <si>
    <t>D:\CBP_2026.07.21\i#3\full\full#44, 101_43, 101_result\d#100\v#10\28\ping_collision_summary.csv</t>
  </si>
  <si>
    <t>D:\CBP_2026.07.21\i#3\full\full#44, 101_43, 101_result\d#100\v#10\29\ping_collision_summary.csv</t>
  </si>
  <si>
    <t>D:\CBP_2026.07.21\i#3\full\full#44, 101_43, 101_result\d#100\v#10\2\ping_collision_summary.csv</t>
  </si>
  <si>
    <t>D:\CBP_2026.07.21\i#3\full\full#44, 101_43, 101_result\d#100\v#10\30\ping_collision_summary.csv</t>
  </si>
  <si>
    <t>D:\CBP_2026.07.21\i#3\full\full#44, 101_43, 101_result\d#100\v#10\3\ping_collision_summary.csv</t>
  </si>
  <si>
    <t>D:\CBP_2026.07.21\i#3\full\full#44, 101_43, 101_result\d#100\v#10\4\ping_collision_summary.csv</t>
  </si>
  <si>
    <t>D:\CBP_2026.07.21\i#3\full\full#44, 101_43, 101_result\d#100\v#10\5\ping_collision_summary.csv</t>
  </si>
  <si>
    <t>D:\CBP_2026.07.21\i#3\full\full#44, 101_43, 101_result\d#100\v#10\6\ping_collision_summary.csv</t>
  </si>
  <si>
    <t>D:\CBP_2026.07.21\i#3\full\full#44, 101_43, 101_result\d#100\v#10\7\ping_collision_summary.csv</t>
  </si>
  <si>
    <t>D:\CBP_2026.07.21\i#3\full\full#44, 101_43, 101_result\d#100\v#10\8\ping_collision_summary.csv</t>
  </si>
  <si>
    <t>D:\CBP_2026.07.21\i#3\full\full#44, 101_43, 101_result\d#100\v#10\9\ping_collision_summary.csv</t>
  </si>
  <si>
    <t>D:\CBP_2026.07.21\i#3\full\full#44, 101_43, 101_result\d#100\v#20\0\ping_collision_summary.csv</t>
  </si>
  <si>
    <t>D:\CBP_2026.07.21\i#3\full\full#44, 101_43, 101_result\d#100\v#20\10\ping_collision_summary.csv</t>
  </si>
  <si>
    <t>D:\CBP_2026.07.21\i#3\full\full#44, 101_43, 101_result\d#100\v#20\11\ping_collision_summary.csv</t>
  </si>
  <si>
    <t>D:\CBP_2026.07.21\i#3\full\full#44, 101_43, 101_result\d#100\v#20\12\ping_collision_summary.csv</t>
  </si>
  <si>
    <t>D:\CBP_2026.07.21\i#3\full\full#44, 101_43, 101_result\d#100\v#20\13\ping_collision_summary.csv</t>
  </si>
  <si>
    <t>D:\CBP_2026.07.21\i#3\full\full#44, 101_43, 101_result\d#100\v#20\14\ping_collision_summary.csv</t>
  </si>
  <si>
    <t>D:\CBP_2026.07.21\i#3\full\full#44, 101_43, 101_result\d#100\v#20\15\ping_collision_summary.csv</t>
  </si>
  <si>
    <t>D:\CBP_2026.07.21\i#3\full\full#44, 101_43, 101_result\d#100\v#20\16\ping_collision_summary.csv</t>
  </si>
  <si>
    <t>D:\CBP_2026.07.21\i#3\full\full#44, 101_43, 101_result\d#100\v#20\17\ping_collision_summary.csv</t>
  </si>
  <si>
    <t>D:\CBP_2026.07.21\i#3\full\full#44, 101_43, 101_result\d#100\v#20\18\ping_collision_summary.csv</t>
  </si>
  <si>
    <t>D:\CBP_2026.07.21\i#3\full\full#44, 101_43, 101_result\d#100\v#20\19\ping_collision_summary.csv</t>
  </si>
  <si>
    <t>D:\CBP_2026.07.21\i#3\full\full#44, 101_43, 101_result\d#100\v#20\1\ping_collision_summary.csv</t>
  </si>
  <si>
    <t>D:\CBP_2026.07.21\i#3\full\full#44, 101_43, 101_result\d#100\v#20\20\ping_collision_summary.csv</t>
  </si>
  <si>
    <t>D:\CBP_2026.07.21\i#3\full\full#44, 101_43, 101_result\d#100\v#20\21\ping_collision_summary.csv</t>
  </si>
  <si>
    <t>D:\CBP_2026.07.21\i#3\full\full#44, 101_43, 101_result\d#100\v#20\22\ping_collision_summary.csv</t>
  </si>
  <si>
    <t>D:\CBP_2026.07.21\i#3\full\full#44, 101_43, 101_result\d#100\v#20\23\ping_collision_summary.csv</t>
  </si>
  <si>
    <t>D:\CBP_2026.07.21\i#3\full\full#44, 101_43, 101_result\d#100\v#20\24\ping_collision_summary.csv</t>
  </si>
  <si>
    <t>D:\CBP_2026.07.21\i#3\full\full#44, 101_43, 101_result\d#100\v#20\25\ping_collision_summary.csv</t>
  </si>
  <si>
    <t>D:\CBP_2026.07.21\i#3\full\full#44, 101_43, 101_result\d#100\v#20\26\ping_collision_summary.csv</t>
  </si>
  <si>
    <t>D:\CBP_2026.07.21\i#3\full\full#44, 101_43, 101_result\d#100\v#20\27\ping_collision_summary.csv</t>
  </si>
  <si>
    <t>D:\CBP_2026.07.21\i#3\full\full#44, 101_43, 101_result\d#100\v#20\28\ping_collision_summary.csv</t>
  </si>
  <si>
    <t>D:\CBP_2026.07.21\i#3\full\full#44, 101_43, 101_result\d#100\v#20\29\ping_collision_summary.csv</t>
  </si>
  <si>
    <t>D:\CBP_2026.07.21\i#3\full\full#44, 101_43, 101_result\d#100\v#20\2\ping_collision_summary.csv</t>
  </si>
  <si>
    <t>D:\CBP_2026.07.21\i#3\full\full#44, 101_43, 101_result\d#100\v#20\30\ping_collision_summary.csv</t>
  </si>
  <si>
    <t>D:\CBP_2026.07.21\i#3\full\full#44, 101_43, 101_result\d#100\v#20\3\ping_collision_summary.csv</t>
  </si>
  <si>
    <t>D:\CBP_2026.07.21\i#3\full\full#44, 101_43, 101_result\d#100\v#20\4\ping_collision_summary.csv</t>
  </si>
  <si>
    <t>D:\CBP_2026.07.21\i#3\full\full#44, 101_43, 101_result\d#100\v#20\5\ping_collision_summary.csv</t>
  </si>
  <si>
    <t>D:\CBP_2026.07.21\i#3\full\full#44, 101_43, 101_result\d#100\v#20\6\ping_collision_summary.csv</t>
  </si>
  <si>
    <t>D:\CBP_2026.07.21\i#3\full\full#44, 101_43, 101_result\d#100\v#20\7\ping_collision_summary.csv</t>
  </si>
  <si>
    <t>D:\CBP_2026.07.21\i#3\full\full#44, 101_43, 101_result\d#100\v#20\8\ping_collision_summary.csv</t>
  </si>
  <si>
    <t>D:\CBP_2026.07.21\i#3\full\full#44, 101_43, 101_result\d#100\v#20\9\ping_collision_summary.csv</t>
  </si>
  <si>
    <t>D:\CBP_2026.07.21\i#3\full\full#44, 101_43, 101_result\d#100\v#30\0\ping_collision_summary.csv</t>
  </si>
  <si>
    <t>D:\CBP_2026.07.21\i#3\full\full#44, 101_43, 101_result\d#100\v#30\10\ping_collision_summary.csv</t>
  </si>
  <si>
    <t>D:\CBP_2026.07.21\i#3\full\full#44, 101_43, 101_result\d#100\v#30\11\ping_collision_summary.csv</t>
  </si>
  <si>
    <t>D:\CBP_2026.07.21\i#3\full\full#44, 101_43, 101_result\d#100\v#30\12\ping_collision_summary.csv</t>
  </si>
  <si>
    <t>D:\CBP_2026.07.21\i#3\full\full#44, 101_43, 101_result\d#100\v#30\13\ping_collision_summary.csv</t>
  </si>
  <si>
    <t>D:\CBP_2026.07.21\i#3\full\full#44, 101_43, 101_result\d#100\v#30\14\ping_collision_summary.csv</t>
  </si>
  <si>
    <t>D:\CBP_2026.07.21\i#3\full\full#44, 101_43, 101_result\d#100\v#30\15\ping_collision_summary.csv</t>
  </si>
  <si>
    <t>D:\CBP_2026.07.21\i#3\full\full#44, 101_43, 101_result\d#100\v#30\16\ping_collision_summary.csv</t>
  </si>
  <si>
    <t>D:\CBP_2026.07.21\i#3\full\full#44, 101_43, 101_result\d#100\v#30\17\ping_collision_summary.csv</t>
  </si>
  <si>
    <t>D:\CBP_2026.07.21\i#3\full\full#44, 101_43, 101_result\d#100\v#30\18\ping_collision_summary.csv</t>
  </si>
  <si>
    <t>D:\CBP_2026.07.21\i#3\full\full#44, 101_43, 101_result\d#100\v#30\19\ping_collision_summary.csv</t>
  </si>
  <si>
    <t>D:\CBP_2026.07.21\i#3\full\full#44, 101_43, 101_result\d#100\v#30\1\ping_collision_summary.csv</t>
  </si>
  <si>
    <t>D:\CBP_2026.07.21\i#3\full\full#44, 101_43, 101_result\d#100\v#30\20\ping_collision_summary.csv</t>
  </si>
  <si>
    <t>D:\CBP_2026.07.21\i#3\full\full#44, 101_43, 101_result\d#100\v#30\21\ping_collision_summary.csv</t>
  </si>
  <si>
    <t>D:\CBP_2026.07.21\i#3\full\full#44, 101_43, 101_result\d#100\v#30\22\ping_collision_summary.csv</t>
  </si>
  <si>
    <t>D:\CBP_2026.07.21\i#3\full\full#44, 101_43, 101_result\d#100\v#30\23\ping_collision_summary.csv</t>
  </si>
  <si>
    <t>D:\CBP_2026.07.21\i#3\full\full#44, 101_43, 101_result\d#100\v#30\24\ping_collision_summary.csv</t>
  </si>
  <si>
    <t>D:\CBP_2026.07.21\i#3\full\full#44, 101_43, 101_result\d#100\v#30\25\ping_collision_summary.csv</t>
  </si>
  <si>
    <t>D:\CBP_2026.07.21\i#3\full\full#44, 101_43, 101_result\d#100\v#30\26\ping_collision_summary.csv</t>
  </si>
  <si>
    <t>D:\CBP_2026.07.21\i#3\full\full#44, 101_43, 101_result\d#100\v#30\27\ping_collision_summary.csv</t>
  </si>
  <si>
    <t>D:\CBP_2026.07.21\i#3\full\full#44, 101_43, 101_result\d#100\v#30\28\ping_collision_summary.csv</t>
  </si>
  <si>
    <t>D:\CBP_2026.07.21\i#3\full\full#44, 101_43, 101_result\d#100\v#30\29\ping_collision_summary.csv</t>
  </si>
  <si>
    <t>D:\CBP_2026.07.21\i#3\full\full#44, 101_43, 101_result\d#100\v#30\2\ping_collision_summary.csv</t>
  </si>
  <si>
    <t>D:\CBP_2026.07.21\i#3\full\full#44, 101_43, 101_result\d#100\v#30\30\ping_collision_summary.csv</t>
  </si>
  <si>
    <t>D:\CBP_2026.07.21\i#3\full\full#44, 101_43, 101_result\d#100\v#30\3\ping_collision_summary.csv</t>
  </si>
  <si>
    <t>D:\CBP_2026.07.21\i#3\full\full#44, 101_43, 101_result\d#100\v#30\4\ping_collision_summary.csv</t>
  </si>
  <si>
    <t>D:\CBP_2026.07.21\i#3\full\full#44, 101_43, 101_result\d#100\v#30\5\ping_collision_summary.csv</t>
  </si>
  <si>
    <t>D:\CBP_2026.07.21\i#3\full\full#44, 101_43, 101_result\d#100\v#30\6\ping_collision_summary.csv</t>
  </si>
  <si>
    <t>D:\CBP_2026.07.21\i#3\full\full#44, 101_43, 101_result\d#100\v#30\7\ping_collision_summary.csv</t>
  </si>
  <si>
    <t>D:\CBP_2026.07.21\i#3\full\full#44, 101_43, 101_result\d#100\v#30\8\ping_collision_summary.csv</t>
  </si>
  <si>
    <t>D:\CBP_2026.07.21\i#3\full\full#44, 101_43, 101_result\d#100\v#30\9\ping_collision_summary.csv</t>
  </si>
  <si>
    <t>D:\CBP_2026.07.21\i#3\full\full#44, 101_43, 101_result\d#120\v#10\0\ping_collision_summary.csv</t>
  </si>
  <si>
    <t>D:\CBP_2026.07.21\i#3\full\full#44, 101_43, 101_result\d#120\v#10\10\ping_collision_summary.csv</t>
  </si>
  <si>
    <t>D:\CBP_2026.07.21\i#3\full\full#44, 101_43, 101_result\d#120\v#10\11\ping_collision_summary.csv</t>
  </si>
  <si>
    <t>D:\CBP_2026.07.21\i#3\full\full#44, 101_43, 101_result\d#120\v#10\12\ping_collision_summary.csv</t>
  </si>
  <si>
    <t>D:\CBP_2026.07.21\i#3\full\full#44, 101_43, 101_result\d#120\v#10\13\ping_collision_summary.csv</t>
  </si>
  <si>
    <t>D:\CBP_2026.07.21\i#3\full\full#44, 101_43, 101_result\d#120\v#10\14\ping_collision_summary.csv</t>
  </si>
  <si>
    <t>D:\CBP_2026.07.21\i#3\full\full#44, 101_43, 101_result\d#120\v#10\15\ping_collision_summary.csv</t>
  </si>
  <si>
    <t>D:\CBP_2026.07.21\i#3\full\full#44, 101_43, 101_result\d#120\v#10\16\ping_collision_summary.csv</t>
  </si>
  <si>
    <t>D:\CBP_2026.07.21\i#3\full\full#44, 101_43, 101_result\d#120\v#10\17\ping_collision_summary.csv</t>
  </si>
  <si>
    <t>D:\CBP_2026.07.21\i#3\full\full#44, 101_43, 101_result\d#120\v#10\18\ping_collision_summary.csv</t>
  </si>
  <si>
    <t>D:\CBP_2026.07.21\i#3\full\full#44, 101_43, 101_result\d#120\v#10\19\ping_collision_summary.csv</t>
  </si>
  <si>
    <t>D:\CBP_2026.07.21\i#3\full\full#44, 101_43, 101_result\d#120\v#10\1\ping_collision_summary.csv</t>
  </si>
  <si>
    <t>D:\CBP_2026.07.21\i#3\full\full#44, 101_43, 101_result\d#120\v#10\20\ping_collision_summary.csv</t>
  </si>
  <si>
    <t>D:\CBP_2026.07.21\i#3\full\full#44, 101_43, 101_result\d#120\v#10\21\ping_collision_summary.csv</t>
  </si>
  <si>
    <t>D:\CBP_2026.07.21\i#3\full\full#44, 101_43, 101_result\d#120\v#10\22\ping_collision_summary.csv</t>
  </si>
  <si>
    <t>D:\CBP_2026.07.21\i#3\full\full#44, 101_43, 101_result\d#120\v#10\23\ping_collision_summary.csv</t>
  </si>
  <si>
    <t>D:\CBP_2026.07.21\i#3\full\full#44, 101_43, 101_result\d#120\v#10\24\ping_collision_summary.csv</t>
  </si>
  <si>
    <t>D:\CBP_2026.07.21\i#3\full\full#44, 101_43, 101_result\d#120\v#10\25\ping_collision_summary.csv</t>
  </si>
  <si>
    <t>D:\CBP_2026.07.21\i#3\full\full#44, 101_43, 101_result\d#120\v#10\26\ping_collision_summary.csv</t>
  </si>
  <si>
    <t>D:\CBP_2026.07.21\i#3\full\full#44, 101_43, 101_result\d#120\v#10\27\ping_collision_summary.csv</t>
  </si>
  <si>
    <t>D:\CBP_2026.07.21\i#3\full\full#44, 101_43, 101_result\d#120\v#10\28\ping_collision_summary.csv</t>
  </si>
  <si>
    <t>D:\CBP_2026.07.21\i#3\full\full#44, 101_43, 101_result\d#120\v#10\29\ping_collision_summary.csv</t>
  </si>
  <si>
    <t>D:\CBP_2026.07.21\i#3\full\full#44, 101_43, 101_result\d#120\v#10\2\ping_collision_summary.csv</t>
  </si>
  <si>
    <t>D:\CBP_2026.07.21\i#3\full\full#44, 101_43, 101_result\d#120\v#10\30\ping_collision_summary.csv</t>
  </si>
  <si>
    <t>D:\CBP_2026.07.21\i#3\full\full#44, 101_43, 101_result\d#120\v#10\3\ping_collision_summary.csv</t>
  </si>
  <si>
    <t>D:\CBP_2026.07.21\i#3\full\full#44, 101_43, 101_result\d#120\v#10\4\ping_collision_summary.csv</t>
  </si>
  <si>
    <t>D:\CBP_2026.07.21\i#3\full\full#44, 101_43, 101_result\d#120\v#10\5\ping_collision_summary.csv</t>
  </si>
  <si>
    <t>D:\CBP_2026.07.21\i#3\full\full#44, 101_43, 101_result\d#120\v#10\6\ping_collision_summary.csv</t>
  </si>
  <si>
    <t>D:\CBP_2026.07.21\i#3\full\full#44, 101_43, 101_result\d#120\v#10\7\ping_collision_summary.csv</t>
  </si>
  <si>
    <t>D:\CBP_2026.07.21\i#3\full\full#44, 101_43, 101_result\d#120\v#10\8\ping_collision_summary.csv</t>
  </si>
  <si>
    <t>D:\CBP_2026.07.21\i#3\full\full#44, 101_43, 101_result\d#120\v#10\9\ping_collision_summary.csv</t>
  </si>
  <si>
    <t>D:\CBP_2026.07.21\i#3\full\full#44, 101_43, 101_result\d#120\v#20\0\ping_collision_summary.csv</t>
  </si>
  <si>
    <t>D:\CBP_2026.07.21\i#3\full\full#44, 101_43, 101_result\d#120\v#20\10\ping_collision_summary.csv</t>
  </si>
  <si>
    <t>D:\CBP_2026.07.21\i#3\full\full#44, 101_43, 101_result\d#120\v#20\11\ping_collision_summary.csv</t>
  </si>
  <si>
    <t>D:\CBP_2026.07.21\i#3\full\full#44, 101_43, 101_result\d#120\v#20\12\ping_collision_summary.csv</t>
  </si>
  <si>
    <t>D:\CBP_2026.07.21\i#3\full\full#44, 101_43, 101_result\d#120\v#20\13\ping_collision_summary.csv</t>
  </si>
  <si>
    <t>D:\CBP_2026.07.21\i#3\full\full#44, 101_43, 101_result\d#120\v#20\14\ping_collision_summary.csv</t>
  </si>
  <si>
    <t>D:\CBP_2026.07.21\i#3\full\full#44, 101_43, 101_result\d#120\v#20\15\ping_collision_summary.csv</t>
  </si>
  <si>
    <t>D:\CBP_2026.07.21\i#3\full\full#44, 101_43, 101_result\d#120\v#20\16\ping_collision_summary.csv</t>
  </si>
  <si>
    <t>D:\CBP_2026.07.21\i#3\full\full#44, 101_43, 101_result\d#120\v#20\17\ping_collision_summary.csv</t>
  </si>
  <si>
    <t>D:\CBP_2026.07.21\i#3\full\full#44, 101_43, 101_result\d#120\v#20\18\ping_collision_summary.csv</t>
  </si>
  <si>
    <t>D:\CBP_2026.07.21\i#3\full\full#44, 101_43, 101_result\d#120\v#20\19\ping_collision_summary.csv</t>
  </si>
  <si>
    <t>D:\CBP_2026.07.21\i#3\full\full#44, 101_43, 101_result\d#120\v#20\1\ping_collision_summary.csv</t>
  </si>
  <si>
    <t>D:\CBP_2026.07.21\i#3\full\full#44, 101_43, 101_result\d#120\v#20\20\ping_collision_summary.csv</t>
  </si>
  <si>
    <t>D:\CBP_2026.07.21\i#3\full\full#44, 101_43, 101_result\d#120\v#20\21\ping_collision_summary.csv</t>
  </si>
  <si>
    <t>D:\CBP_2026.07.21\i#3\full\full#44, 101_43, 101_result\d#120\v#20\22\ping_collision_summary.csv</t>
  </si>
  <si>
    <t>D:\CBP_2026.07.21\i#3\full\full#44, 101_43, 101_result\d#120\v#20\23\ping_collision_summary.csv</t>
  </si>
  <si>
    <t>D:\CBP_2026.07.21\i#3\full\full#44, 101_43, 101_result\d#120\v#20\24\ping_collision_summary.csv</t>
  </si>
  <si>
    <t>D:\CBP_2026.07.21\i#3\full\full#44, 101_43, 101_result\d#120\v#20\25\ping_collision_summary.csv</t>
  </si>
  <si>
    <t>D:\CBP_2026.07.21\i#3\full\full#44, 101_43, 101_result\d#120\v#20\26\ping_collision_summary.csv</t>
  </si>
  <si>
    <t>D:\CBP_2026.07.21\i#3\full\full#44, 101_43, 101_result\d#120\v#20\27\ping_collision_summary.csv</t>
  </si>
  <si>
    <t>D:\CBP_2026.07.21\i#3\full\full#44, 101_43, 101_result\d#120\v#20\28\ping_collision_summary.csv</t>
  </si>
  <si>
    <t>D:\CBP_2026.07.21\i#3\full\full#44, 101_43, 101_result\d#120\v#20\29\ping_collision_summary.csv</t>
  </si>
  <si>
    <t>D:\CBP_2026.07.21\i#3\full\full#44, 101_43, 101_result\d#120\v#20\2\ping_collision_summary.csv</t>
  </si>
  <si>
    <t>D:\CBP_2026.07.21\i#3\full\full#44, 101_43, 101_result\d#120\v#20\30\ping_collision_summary.csv</t>
  </si>
  <si>
    <t>D:\CBP_2026.07.21\i#3\full\full#44, 101_43, 101_result\d#120\v#20\3\ping_collision_summary.csv</t>
  </si>
  <si>
    <t>D:\CBP_2026.07.21\i#3\full\full#44, 101_43, 101_result\d#120\v#20\4\ping_collision_summary.csv</t>
  </si>
  <si>
    <t>D:\CBP_2026.07.21\i#3\full\full#44, 101_43, 101_result\d#120\v#20\5\ping_collision_summary.csv</t>
  </si>
  <si>
    <t>D:\CBP_2026.07.21\i#3\full\full#44, 101_43, 101_result\d#120\v#20\6\ping_collision_summary.csv</t>
  </si>
  <si>
    <t>D:\CBP_2026.07.21\i#3\full\full#44, 101_43, 101_result\d#120\v#20\7\ping_collision_summary.csv</t>
  </si>
  <si>
    <t>D:\CBP_2026.07.21\i#3\full\full#44, 101_43, 101_result\d#120\v#20\8\ping_collision_summary.csv</t>
  </si>
  <si>
    <t>D:\CBP_2026.07.21\i#3\full\full#44, 101_43, 101_result\d#120\v#20\9\ping_collision_summary.csv</t>
  </si>
  <si>
    <t>D:\CBP_2026.07.21\i#3\full\full#44, 101_43, 101_result\d#120\v#30\0\ping_collision_summary.csv</t>
  </si>
  <si>
    <t>D:\CBP_2026.07.21\i#3\full\full#44, 101_43, 101_result\d#120\v#30\10\ping_collision_summary.csv</t>
  </si>
  <si>
    <t>D:\CBP_2026.07.21\i#3\full\full#44, 101_43, 101_result\d#120\v#30\11\ping_collision_summary.csv</t>
  </si>
  <si>
    <t>D:\CBP_2026.07.21\i#3\full\full#44, 101_43, 101_result\d#120\v#30\12\ping_collision_summary.csv</t>
  </si>
  <si>
    <t>D:\CBP_2026.07.21\i#3\full\full#44, 101_43, 101_result\d#120\v#30\13\ping_collision_summary.csv</t>
  </si>
  <si>
    <t>D:\CBP_2026.07.21\i#3\full\full#44, 101_43, 101_result\d#120\v#30\14\ping_collision_summary.csv</t>
  </si>
  <si>
    <t>D:\CBP_2026.07.21\i#3\full\full#44, 101_43, 101_result\d#120\v#30\15\ping_collision_summary.csv</t>
  </si>
  <si>
    <t>D:\CBP_2026.07.21\i#3\full\full#44, 101_43, 101_result\d#120\v#30\16\ping_collision_summary.csv</t>
  </si>
  <si>
    <t>D:\CBP_2026.07.21\i#3\full\full#44, 101_43, 101_result\d#120\v#30\17\ping_collision_summary.csv</t>
  </si>
  <si>
    <t>D:\CBP_2026.07.21\i#3\full\full#44, 101_43, 101_result\d#120\v#30\18\ping_collision_summary.csv</t>
  </si>
  <si>
    <t>D:\CBP_2026.07.21\i#3\full\full#44, 101_43, 101_result\d#120\v#30\19\ping_collision_summary.csv</t>
  </si>
  <si>
    <t>D:\CBP_2026.07.21\i#3\full\full#44, 101_43, 101_result\d#120\v#30\1\ping_collision_summary.csv</t>
  </si>
  <si>
    <t>D:\CBP_2026.07.21\i#3\full\full#44, 101_43, 101_result\d#120\v#30\20\ping_collision_summary.csv</t>
  </si>
  <si>
    <t>D:\CBP_2026.07.21\i#3\full\full#44, 101_43, 101_result\d#120\v#30\21\ping_collision_summary.csv</t>
  </si>
  <si>
    <t>D:\CBP_2026.07.21\i#3\full\full#44, 101_43, 101_result\d#120\v#30\22\ping_collision_summary.csv</t>
  </si>
  <si>
    <t>D:\CBP_2026.07.21\i#3\full\full#44, 101_43, 101_result\d#120\v#30\23\ping_collision_summary.csv</t>
  </si>
  <si>
    <t>D:\CBP_2026.07.21\i#3\full\full#44, 101_43, 101_result\d#120\v#30\24\ping_collision_summary.csv</t>
  </si>
  <si>
    <t>D:\CBP_2026.07.21\i#3\full\full#44, 101_43, 101_result\d#120\v#30\25\ping_collision_summary.csv</t>
  </si>
  <si>
    <t>D:\CBP_2026.07.21\i#3\full\full#44, 101_43, 101_result\d#120\v#30\26\ping_collision_summary.csv</t>
  </si>
  <si>
    <t>D:\CBP_2026.07.21\i#3\full\full#44, 101_43, 101_result\d#120\v#30\27\ping_collision_summary.csv</t>
  </si>
  <si>
    <t>D:\CBP_2026.07.21\i#3\full\full#44, 101_43, 101_result\d#120\v#30\28\ping_collision_summary.csv</t>
  </si>
  <si>
    <t>D:\CBP_2026.07.21\i#3\full\full#44, 101_43, 101_result\d#120\v#30\29\ping_collision_summary.csv</t>
  </si>
  <si>
    <t>D:\CBP_2026.07.21\i#3\full\full#44, 101_43, 101_result\d#120\v#30\2\ping_collision_summary.csv</t>
  </si>
  <si>
    <t>D:\CBP_2026.07.21\i#3\full\full#44, 101_43, 101_result\d#120\v#30\30\ping_collision_summary.csv</t>
  </si>
  <si>
    <t>D:\CBP_2026.07.21\i#3\full\full#44, 101_43, 101_result\d#120\v#30\3\ping_collision_summary.csv</t>
  </si>
  <si>
    <t>D:\CBP_2026.07.21\i#3\full\full#44, 101_43, 101_result\d#120\v#30\4\ping_collision_summary.csv</t>
  </si>
  <si>
    <t>D:\CBP_2026.07.21\i#3\full\full#44, 101_43, 101_result\d#120\v#30\5\ping_collision_summary.csv</t>
  </si>
  <si>
    <t>D:\CBP_2026.07.21\i#3\full\full#44, 101_43, 101_result\d#120\v#30\6\ping_collision_summary.csv</t>
  </si>
  <si>
    <t>D:\CBP_2026.07.21\i#3\full\full#44, 101_43, 101_result\d#120\v#30\7\ping_collision_summary.csv</t>
  </si>
  <si>
    <t>D:\CBP_2026.07.21\i#3\full\full#44, 101_43, 101_result\d#120\v#30\8\ping_collision_summary.csv</t>
  </si>
  <si>
    <t>D:\CBP_2026.07.21\i#3\full\full#44, 101_43, 101_result\d#120\v#30\9\ping_collision_summary.csv</t>
  </si>
  <si>
    <t>D:\CBP_2026.07.21\i#3\full\full#44, 101_43, 101_result\d#70\v#10\0\ping_collision_summary.csv</t>
  </si>
  <si>
    <t>D:\CBP_2026.07.21\i#3\full\full#44, 101_43, 101_result\d#70\v#10\10\ping_collision_summary.csv</t>
  </si>
  <si>
    <t>D:\CBP_2026.07.21\i#3\full\full#44, 101_43, 101_result\d#70\v#10\11\ping_collision_summary.csv</t>
  </si>
  <si>
    <t>D:\CBP_2026.07.21\i#3\full\full#44, 101_43, 101_result\d#70\v#10\12\ping_collision_summary.csv</t>
  </si>
  <si>
    <t>D:\CBP_2026.07.21\i#3\full\full#44, 101_43, 101_result\d#70\v#10\13\ping_collision_summary.csv</t>
  </si>
  <si>
    <t>D:\CBP_2026.07.21\i#3\full\full#44, 101_43, 101_result\d#70\v#10\14\ping_collision_summary.csv</t>
  </si>
  <si>
    <t>D:\CBP_2026.07.21\i#3\full\full#44, 101_43, 101_result\d#70\v#10\15\ping_collision_summary.csv</t>
  </si>
  <si>
    <t>D:\CBP_2026.07.21\i#3\full\full#44, 101_43, 101_result\d#70\v#10\16\ping_collision_summary.csv</t>
  </si>
  <si>
    <t>D:\CBP_2026.07.21\i#3\full\full#44, 101_43, 101_result\d#70\v#10\17\ping_collision_summary.csv</t>
  </si>
  <si>
    <t>D:\CBP_2026.07.21\i#3\full\full#44, 101_43, 101_result\d#70\v#10\18\ping_collision_summary.csv</t>
  </si>
  <si>
    <t>D:\CBP_2026.07.21\i#3\full\full#44, 101_43, 101_result\d#70\v#10\19\ping_collision_summary.csv</t>
  </si>
  <si>
    <t>D:\CBP_2026.07.21\i#3\full\full#44, 101_43, 101_result\d#70\v#10\1\ping_collision_summary.csv</t>
  </si>
  <si>
    <t>D:\CBP_2026.07.21\i#3\full\full#44, 101_43, 101_result\d#70\v#10\20\ping_collision_summary.csv</t>
  </si>
  <si>
    <t>D:\CBP_2026.07.21\i#3\full\full#44, 101_43, 101_result\d#70\v#10\21\ping_collision_summary.csv</t>
  </si>
  <si>
    <t>D:\CBP_2026.07.21\i#3\full\full#44, 101_43, 101_result\d#70\v#10\22\ping_collision_summary.csv</t>
  </si>
  <si>
    <t>D:\CBP_2026.07.21\i#3\full\full#44, 101_43, 101_result\d#70\v#10\23\ping_collision_summary.csv</t>
  </si>
  <si>
    <t>D:\CBP_2026.07.21\i#3\full\full#44, 101_43, 101_result\d#70\v#10\24\ping_collision_summary.csv</t>
  </si>
  <si>
    <t>D:\CBP_2026.07.21\i#3\full\full#44, 101_43, 101_result\d#70\v#10\25\ping_collision_summary.csv</t>
  </si>
  <si>
    <t>D:\CBP_2026.07.21\i#3\full\full#44, 101_43, 101_result\d#70\v#10\26\ping_collision_summary.csv</t>
  </si>
  <si>
    <t>D:\CBP_2026.07.21\i#3\full\full#44, 101_43, 101_result\d#70\v#10\27\ping_collision_summary.csv</t>
  </si>
  <si>
    <t>D:\CBP_2026.07.21\i#3\full\full#44, 101_43, 101_result\d#70\v#10\28\ping_collision_summary.csv</t>
  </si>
  <si>
    <t>D:\CBP_2026.07.21\i#3\full\full#44, 101_43, 101_result\d#70\v#10\29\ping_collision_summary.csv</t>
  </si>
  <si>
    <t>D:\CBP_2026.07.21\i#3\full\full#44, 101_43, 101_result\d#70\v#10\2\ping_collision_summary.csv</t>
  </si>
  <si>
    <t>D:\CBP_2026.07.21\i#3\full\full#44, 101_43, 101_result\d#70\v#10\30\ping_collision_summary.csv</t>
  </si>
  <si>
    <t>D:\CBP_2026.07.21\i#3\full\full#44, 101_43, 101_result\d#70\v#10\3\ping_collision_summary.csv</t>
  </si>
  <si>
    <t>D:\CBP_2026.07.21\i#3\full\full#44, 101_43, 101_result\d#70\v#10\4\ping_collision_summary.csv</t>
  </si>
  <si>
    <t>D:\CBP_2026.07.21\i#3\full\full#44, 101_43, 101_result\d#70\v#10\5\ping_collision_summary.csv</t>
  </si>
  <si>
    <t>D:\CBP_2026.07.21\i#3\full\full#44, 101_43, 101_result\d#70\v#10\6\ping_collision_summary.csv</t>
  </si>
  <si>
    <t>D:\CBP_2026.07.21\i#3\full\full#44, 101_43, 101_result\d#70\v#10\7\ping_collision_summary.csv</t>
  </si>
  <si>
    <t>D:\CBP_2026.07.21\i#3\full\full#44, 101_43, 101_result\d#70\v#10\8\ping_collision_summary.csv</t>
  </si>
  <si>
    <t>D:\CBP_2026.07.21\i#3\full\full#44, 101_43, 101_result\d#70\v#10\9\ping_collision_summary.csv</t>
  </si>
  <si>
    <t>D:\CBP_2026.07.21\i#3\full\full#44, 101_43, 101_result\d#70\v#20\0\ping_collision_summary.csv</t>
  </si>
  <si>
    <t>D:\CBP_2026.07.21\i#3\full\full#44, 101_43, 101_result\d#70\v#20\10\ping_collision_summary.csv</t>
  </si>
  <si>
    <t>D:\CBP_2026.07.21\i#3\full\full#44, 101_43, 101_result\d#70\v#20\11\ping_collision_summary.csv</t>
  </si>
  <si>
    <t>D:\CBP_2026.07.21\i#3\full\full#44, 101_43, 101_result\d#70\v#20\12\ping_collision_summary.csv</t>
  </si>
  <si>
    <t>D:\CBP_2026.07.21\i#3\full\full#44, 101_43, 101_result\d#70\v#20\13\ping_collision_summary.csv</t>
  </si>
  <si>
    <t>D:\CBP_2026.07.21\i#3\full\full#44, 101_43, 101_result\d#70\v#20\14\ping_collision_summary.csv</t>
  </si>
  <si>
    <t>D:\CBP_2026.07.21\i#3\full\full#44, 101_43, 101_result\d#70\v#20\15\ping_collision_summary.csv</t>
  </si>
  <si>
    <t>D:\CBP_2026.07.21\i#3\full\full#44, 101_43, 101_result\d#70\v#20\16\ping_collision_summary.csv</t>
  </si>
  <si>
    <t>D:\CBP_2026.07.21\i#3\full\full#44, 101_43, 101_result\d#70\v#20\17\ping_collision_summary.csv</t>
  </si>
  <si>
    <t>D:\CBP_2026.07.21\i#3\full\full#44, 101_43, 101_result\d#70\v#20\18\ping_collision_summary.csv</t>
  </si>
  <si>
    <t>D:\CBP_2026.07.21\i#3\full\full#44, 101_43, 101_result\d#70\v#20\19\ping_collision_summary.csv</t>
  </si>
  <si>
    <t>D:\CBP_2026.07.21\i#3\full\full#44, 101_43, 101_result\d#70\v#20\1\ping_collision_summary.csv</t>
  </si>
  <si>
    <t>D:\CBP_2026.07.21\i#3\full\full#44, 101_43, 101_result\d#70\v#20\20\ping_collision_summary.csv</t>
  </si>
  <si>
    <t>D:\CBP_2026.07.21\i#3\full\full#44, 101_43, 101_result\d#70\v#20\21\ping_collision_summary.csv</t>
  </si>
  <si>
    <t>D:\CBP_2026.07.21\i#3\full\full#44, 101_43, 101_result\d#70\v#20\22\ping_collision_summary.csv</t>
  </si>
  <si>
    <t>D:\CBP_2026.07.21\i#3\full\full#44, 101_43, 101_result\d#70\v#20\23\ping_collision_summary.csv</t>
  </si>
  <si>
    <t>D:\CBP_2026.07.21\i#3\full\full#44, 101_43, 101_result\d#70\v#20\24\ping_collision_summary.csv</t>
  </si>
  <si>
    <t>D:\CBP_2026.07.21\i#3\full\full#44, 101_43, 101_result\d#70\v#20\25\ping_collision_summary.csv</t>
  </si>
  <si>
    <t>D:\CBP_2026.07.21\i#3\full\full#44, 101_43, 101_result\d#70\v#20\26\ping_collision_summary.csv</t>
  </si>
  <si>
    <t>D:\CBP_2026.07.21\i#3\full\full#44, 101_43, 101_result\d#70\v#20\27\ping_collision_summary.csv</t>
  </si>
  <si>
    <t>D:\CBP_2026.07.21\i#3\full\full#44, 101_43, 101_result\d#70\v#20\28\ping_collision_summary.csv</t>
  </si>
  <si>
    <t>D:\CBP_2026.07.21\i#3\full\full#44, 101_43, 101_result\d#70\v#20\29\ping_collision_summary.csv</t>
  </si>
  <si>
    <t>D:\CBP_2026.07.21\i#3\full\full#44, 101_43, 101_result\d#70\v#20\2\ping_collision_summary.csv</t>
  </si>
  <si>
    <t>D:\CBP_2026.07.21\i#3\full\full#44, 101_43, 101_result\d#70\v#20\30\ping_collision_summary.csv</t>
  </si>
  <si>
    <t>D:\CBP_2026.07.21\i#3\full\full#44, 101_43, 101_result\d#70\v#20\3\ping_collision_summary.csv</t>
  </si>
  <si>
    <t>D:\CBP_2026.07.21\i#3\full\full#44, 101_43, 101_result\d#70\v#20\4\ping_collision_summary.csv</t>
  </si>
  <si>
    <t>D:\CBP_2026.07.21\i#3\full\full#44, 101_43, 101_result\d#70\v#20\5\ping_collision_summary.csv</t>
  </si>
  <si>
    <t>D:\CBP_2026.07.21\i#3\full\full#44, 101_43, 101_result\d#70\v#20\6\ping_collision_summary.csv</t>
  </si>
  <si>
    <t>D:\CBP_2026.07.21\i#3\full\full#44, 101_43, 101_result\d#70\v#20\7\ping_collision_summary.csv</t>
  </si>
  <si>
    <t>D:\CBP_2026.07.21\i#3\full\full#44, 101_43, 101_result\d#70\v#20\8\ping_collision_summary.csv</t>
  </si>
  <si>
    <t>D:\CBP_2026.07.21\i#3\full\full#44, 101_43, 101_result\d#70\v#20\9\ping_collision_summary.csv</t>
  </si>
  <si>
    <t>D:\CBP_2026.07.21\i#3\full\full#44, 101_43, 101_result\d#70\v#30\0\ping_collision_summary.csv</t>
  </si>
  <si>
    <t>D:\CBP_2026.07.21\i#3\full\full#44, 101_43, 101_result\d#70\v#30\10\ping_collision_summary.csv</t>
  </si>
  <si>
    <t>D:\CBP_2026.07.21\i#3\full\full#44, 101_43, 101_result\d#70\v#30\11\ping_collision_summary.csv</t>
  </si>
  <si>
    <t>D:\CBP_2026.07.21\i#3\full\full#44, 101_43, 101_result\d#70\v#30\12\ping_collision_summary.csv</t>
  </si>
  <si>
    <t>D:\CBP_2026.07.21\i#3\full\full#44, 101_43, 101_result\d#70\v#30\13\ping_collision_summary.csv</t>
  </si>
  <si>
    <t>D:\CBP_2026.07.21\i#3\full\full#44, 101_43, 101_result\d#70\v#30\14\ping_collision_summary.csv</t>
  </si>
  <si>
    <t>D:\CBP_2026.07.21\i#3\full\full#44, 101_43, 101_result\d#70\v#30\15\ping_collision_summary.csv</t>
  </si>
  <si>
    <t>D:\CBP_2026.07.21\i#3\full\full#44, 101_43, 101_result\d#70\v#30\16\ping_collision_summary.csv</t>
  </si>
  <si>
    <t>D:\CBP_2026.07.21\i#3\full\full#44, 101_43, 101_result\d#70\v#30\17\ping_collision_summary.csv</t>
  </si>
  <si>
    <t>D:\CBP_2026.07.21\i#3\full\full#44, 101_43, 101_result\d#70\v#30\18\ping_collision_summary.csv</t>
  </si>
  <si>
    <t>D:\CBP_2026.07.21\i#3\full\full#44, 101_43, 101_result\d#70\v#30\19\ping_collision_summary.csv</t>
  </si>
  <si>
    <t>D:\CBP_2026.07.21\i#3\full\full#44, 101_43, 101_result\d#70\v#30\1\ping_collision_summary.csv</t>
  </si>
  <si>
    <t>D:\CBP_2026.07.21\i#3\full\full#44, 101_43, 101_result\d#70\v#30\20\ping_collision_summary.csv</t>
  </si>
  <si>
    <t>D:\CBP_2026.07.21\i#3\full\full#44, 101_43, 101_result\d#70\v#30\21\ping_collision_summary.csv</t>
  </si>
  <si>
    <t>D:\CBP_2026.07.21\i#3\full\full#44, 101_43, 101_result\d#70\v#30\22\ping_collision_summary.csv</t>
  </si>
  <si>
    <t>D:\CBP_2026.07.21\i#3\full\full#44, 101_43, 101_result\d#70\v#30\23\ping_collision_summary.csv</t>
  </si>
  <si>
    <t>D:\CBP_2026.07.21\i#3\full\full#44, 101_43, 101_result\d#70\v#30\24\ping_collision_summary.csv</t>
  </si>
  <si>
    <t>D:\CBP_2026.07.21\i#3\full\full#44, 101_43, 101_result\d#70\v#30\25\ping_collision_summary.csv</t>
  </si>
  <si>
    <t>D:\CBP_2026.07.21\i#3\full\full#44, 101_43, 101_result\d#70\v#30\26\ping_collision_summary.csv</t>
  </si>
  <si>
    <t>D:\CBP_2026.07.21\i#3\full\full#44, 101_43, 101_result\d#70\v#30\27\ping_collision_summary.csv</t>
  </si>
  <si>
    <t>D:\CBP_2026.07.21\i#3\full\full#44, 101_43, 101_result\d#70\v#30\28\ping_collision_summary.csv</t>
  </si>
  <si>
    <t>D:\CBP_2026.07.21\i#3\full\full#44, 101_43, 101_result\d#70\v#30\29\ping_collision_summary.csv</t>
  </si>
  <si>
    <t>D:\CBP_2026.07.21\i#3\full\full#44, 101_43, 101_result\d#70\v#30\2\ping_collision_summary.csv</t>
  </si>
  <si>
    <t>D:\CBP_2026.07.21\i#3\full\full#44, 101_43, 101_result\d#70\v#30\30\ping_collision_summary.csv</t>
  </si>
  <si>
    <t>D:\CBP_2026.07.21\i#3\full\full#44, 101_43, 101_result\d#70\v#30\3\ping_collision_summary.csv</t>
  </si>
  <si>
    <t>D:\CBP_2026.07.21\i#3\full\full#44, 101_43, 101_result\d#70\v#30\4\ping_collision_summary.csv</t>
  </si>
  <si>
    <t>D:\CBP_2026.07.21\i#3\full\full#44, 101_43, 101_result\d#70\v#30\5\ping_collision_summary.csv</t>
  </si>
  <si>
    <t>D:\CBP_2026.07.21\i#3\full\full#44, 101_43, 101_result\d#70\v#30\6\ping_collision_summary.csv</t>
  </si>
  <si>
    <t>D:\CBP_2026.07.21\i#3\full\full#44, 101_43, 101_result\d#70\v#30\7\ping_collision_summary.csv</t>
  </si>
  <si>
    <t>D:\CBP_2026.07.21\i#3\full\full#44, 101_43, 101_result\d#70\v#30\8\ping_collision_summary.csv</t>
  </si>
  <si>
    <t>D:\CBP_2026.07.21\i#3\full\full#44, 101_43, 101_result\d#70\v#30\9\ping_collision_summary.csv</t>
  </si>
  <si>
    <t>D:\CBP_2026.07.21\i#3\r#legacy\d#100\v#10\0\ping_collision_summary.csv</t>
  </si>
  <si>
    <t>D:\CBP_2026.07.21\i#3\r#legacy\d#100\v#10\10\ping_collision_summary.csv</t>
  </si>
  <si>
    <t>D:\CBP_2026.07.21\i#3\r#legacy\d#100\v#10\11\ping_collision_summary.csv</t>
  </si>
  <si>
    <t>D:\CBP_2026.07.21\i#3\r#legacy\d#100\v#10\12\ping_collision_summary.csv</t>
  </si>
  <si>
    <t>D:\CBP_2026.07.21\i#3\r#legacy\d#100\v#10\13\ping_collision_summary.csv</t>
  </si>
  <si>
    <t>D:\CBP_2026.07.21\i#3\r#legacy\d#100\v#10\14\ping_collision_summary.csv</t>
  </si>
  <si>
    <t>D:\CBP_2026.07.21\i#3\r#legacy\d#100\v#10\15\ping_collision_summary.csv</t>
  </si>
  <si>
    <t>D:\CBP_2026.07.21\i#3\r#legacy\d#100\v#10\16\ping_collision_summary.csv</t>
  </si>
  <si>
    <t>D:\CBP_2026.07.21\i#3\r#legacy\d#100\v#10\17\ping_collision_summary.csv</t>
  </si>
  <si>
    <t>D:\CBP_2026.07.21\i#3\r#legacy\d#100\v#10\18\ping_collision_summary.csv</t>
  </si>
  <si>
    <t>D:\CBP_2026.07.21\i#3\r#legacy\d#100\v#10\19\ping_collision_summary.csv</t>
  </si>
  <si>
    <t>D:\CBP_2026.07.21\i#3\r#legacy\d#100\v#10\1\ping_collision_summary.csv</t>
  </si>
  <si>
    <t>D:\CBP_2026.07.21\i#3\r#legacy\d#100\v#10\20\ping_collision_summary.csv</t>
  </si>
  <si>
    <t>D:\CBP_2026.07.21\i#3\r#legacy\d#100\v#10\21\ping_collision_summary.csv</t>
  </si>
  <si>
    <t>D:\CBP_2026.07.21\i#3\r#legacy\d#100\v#10\22\ping_collision_summary.csv</t>
  </si>
  <si>
    <t>D:\CBP_2026.07.21\i#3\r#legacy\d#100\v#10\23\ping_collision_summary.csv</t>
  </si>
  <si>
    <t>D:\CBP_2026.07.21\i#3\r#legacy\d#100\v#10\24\ping_collision_summary.csv</t>
  </si>
  <si>
    <t>D:\CBP_2026.07.21\i#3\r#legacy\d#100\v#10\25\ping_collision_summary.csv</t>
  </si>
  <si>
    <t>D:\CBP_2026.07.21\i#3\r#legacy\d#100\v#10\26\ping_collision_summary.csv</t>
  </si>
  <si>
    <t>D:\CBP_2026.07.21\i#3\r#legacy\d#100\v#10\27\ping_collision_summary.csv</t>
  </si>
  <si>
    <t>D:\CBP_2026.07.21\i#3\r#legacy\d#100\v#10\28\ping_collision_summary.csv</t>
  </si>
  <si>
    <t>D:\CBP_2026.07.21\i#3\r#legacy\d#100\v#10\29\ping_collision_summary.csv</t>
  </si>
  <si>
    <t>D:\CBP_2026.07.21\i#3\r#legacy\d#100\v#10\2\ping_collision_summary.csv</t>
  </si>
  <si>
    <t>D:\CBP_2026.07.21\i#3\r#legacy\d#100\v#10\30\ping_collision_summary.csv</t>
  </si>
  <si>
    <t>D:\CBP_2026.07.21\i#3\r#legacy\d#100\v#10\3\ping_collision_summary.csv</t>
  </si>
  <si>
    <t>D:\CBP_2026.07.21\i#3\r#legacy\d#100\v#10\4\ping_collision_summary.csv</t>
  </si>
  <si>
    <t>D:\CBP_2026.07.21\i#3\r#legacy\d#100\v#10\5\ping_collision_summary.csv</t>
  </si>
  <si>
    <t>D:\CBP_2026.07.21\i#3\r#legacy\d#100\v#10\6\ping_collision_summary.csv</t>
  </si>
  <si>
    <t>D:\CBP_2026.07.21\i#3\r#legacy\d#100\v#10\7\ping_collision_summary.csv</t>
  </si>
  <si>
    <t>D:\CBP_2026.07.21\i#3\r#legacy\d#100\v#10\8\ping_collision_summary.csv</t>
  </si>
  <si>
    <t>D:\CBP_2026.07.21\i#3\r#legacy\d#100\v#10\9\ping_collision_summary.csv</t>
  </si>
  <si>
    <t>D:\CBP_2026.07.21\i#3\r#legacy\d#100\v#20\0\ping_collision_summary.csv</t>
  </si>
  <si>
    <t>D:\CBP_2026.07.21\i#3\r#legacy\d#100\v#20\10\ping_collision_summary.csv</t>
  </si>
  <si>
    <t>D:\CBP_2026.07.21\i#3\r#legacy\d#100\v#20\11\ping_collision_summary.csv</t>
  </si>
  <si>
    <t>D:\CBP_2026.07.21\i#3\r#legacy\d#100\v#20\12\ping_collision_summary.csv</t>
  </si>
  <si>
    <t>D:\CBP_2026.07.21\i#3\r#legacy\d#100\v#20\13\ping_collision_summary.csv</t>
  </si>
  <si>
    <t>D:\CBP_2026.07.21\i#3\r#legacy\d#100\v#20\14\ping_collision_summary.csv</t>
  </si>
  <si>
    <t>D:\CBP_2026.07.21\i#3\r#legacy\d#100\v#20\15\ping_collision_summary.csv</t>
  </si>
  <si>
    <t>D:\CBP_2026.07.21\i#3\r#legacy\d#100\v#20\16\ping_collision_summary.csv</t>
  </si>
  <si>
    <t>D:\CBP_2026.07.21\i#3\r#legacy\d#100\v#20\17\ping_collision_summary.csv</t>
  </si>
  <si>
    <t>D:\CBP_2026.07.21\i#3\r#legacy\d#100\v#20\18\ping_collision_summary.csv</t>
  </si>
  <si>
    <t>D:\CBP_2026.07.21\i#3\r#legacy\d#100\v#20\19\ping_collision_summary.csv</t>
  </si>
  <si>
    <t>D:\CBP_2026.07.21\i#3\r#legacy\d#100\v#20\1\ping_collision_summary.csv</t>
  </si>
  <si>
    <t>D:\CBP_2026.07.21\i#3\r#legacy\d#100\v#20\20\ping_collision_summary.csv</t>
  </si>
  <si>
    <t>D:\CBP_2026.07.21\i#3\r#legacy\d#100\v#20\21\ping_collision_summary.csv</t>
  </si>
  <si>
    <t>D:\CBP_2026.07.21\i#3\r#legacy\d#100\v#20\22\ping_collision_summary.csv</t>
  </si>
  <si>
    <t>D:\CBP_2026.07.21\i#3\r#legacy\d#100\v#20\23\ping_collision_summary.csv</t>
  </si>
  <si>
    <t>D:\CBP_2026.07.21\i#3\r#legacy\d#100\v#20\24\ping_collision_summary.csv</t>
  </si>
  <si>
    <t>D:\CBP_2026.07.21\i#3\r#legacy\d#100\v#20\25\ping_collision_summary.csv</t>
  </si>
  <si>
    <t>D:\CBP_2026.07.21\i#3\r#legacy\d#100\v#20\26\ping_collision_summary.csv</t>
  </si>
  <si>
    <t>D:\CBP_2026.07.21\i#3\r#legacy\d#100\v#20\27\ping_collision_summary.csv</t>
  </si>
  <si>
    <t>D:\CBP_2026.07.21\i#3\r#legacy\d#100\v#20\28\ping_collision_summary.csv</t>
  </si>
  <si>
    <t>D:\CBP_2026.07.21\i#3\r#legacy\d#100\v#20\29\ping_collision_summary.csv</t>
  </si>
  <si>
    <t>D:\CBP_2026.07.21\i#3\r#legacy\d#100\v#20\2\ping_collision_summary.csv</t>
  </si>
  <si>
    <t>D:\CBP_2026.07.21\i#3\r#legacy\d#100\v#20\30\ping_collision_summary.csv</t>
  </si>
  <si>
    <t>D:\CBP_2026.07.21\i#3\r#legacy\d#100\v#20\3\ping_collision_summary.csv</t>
  </si>
  <si>
    <t>D:\CBP_2026.07.21\i#3\r#legacy\d#100\v#20\4\ping_collision_summary.csv</t>
  </si>
  <si>
    <t>D:\CBP_2026.07.21\i#3\r#legacy\d#100\v#20\5\ping_collision_summary.csv</t>
  </si>
  <si>
    <t>D:\CBP_2026.07.21\i#3\r#legacy\d#100\v#20\6\ping_collision_summary.csv</t>
  </si>
  <si>
    <t>D:\CBP_2026.07.21\i#3\r#legacy\d#100\v#20\7\ping_collision_summary.csv</t>
  </si>
  <si>
    <t>D:\CBP_2026.07.21\i#3\r#legacy\d#100\v#20\8\ping_collision_summary.csv</t>
  </si>
  <si>
    <t>D:\CBP_2026.07.21\i#3\r#legacy\d#100\v#20\9\ping_collision_summary.csv</t>
  </si>
  <si>
    <t>D:\CBP_2026.07.21\i#3\r#legacy\d#100\v#30\0\ping_collision_summary.csv</t>
  </si>
  <si>
    <t>D:\CBP_2026.07.21\i#3\r#legacy\d#100\v#30\10\ping_collision_summary.csv</t>
  </si>
  <si>
    <t>D:\CBP_2026.07.21\i#3\r#legacy\d#100\v#30\11\ping_collision_summary.csv</t>
  </si>
  <si>
    <t>D:\CBP_2026.07.21\i#3\r#legacy\d#100\v#30\12\ping_collision_summary.csv</t>
  </si>
  <si>
    <t>D:\CBP_2026.07.21\i#3\r#legacy\d#100\v#30\13\ping_collision_summary.csv</t>
  </si>
  <si>
    <t>D:\CBP_2026.07.21\i#3\r#legacy\d#100\v#30\14\ping_collision_summary.csv</t>
  </si>
  <si>
    <t>D:\CBP_2026.07.21\i#3\r#legacy\d#100\v#30\15\ping_collision_summary.csv</t>
  </si>
  <si>
    <t>D:\CBP_2026.07.21\i#3\r#legacy\d#100\v#30\16\ping_collision_summary.csv</t>
  </si>
  <si>
    <t>D:\CBP_2026.07.21\i#3\r#legacy\d#100\v#30\17\ping_collision_summary.csv</t>
  </si>
  <si>
    <t>D:\CBP_2026.07.21\i#3\r#legacy\d#100\v#30\18\ping_collision_summary.csv</t>
  </si>
  <si>
    <t>D:\CBP_2026.07.21\i#3\r#legacy\d#100\v#30\19\ping_collision_summary.csv</t>
  </si>
  <si>
    <t>D:\CBP_2026.07.21\i#3\r#legacy\d#100\v#30\1\ping_collision_summary.csv</t>
  </si>
  <si>
    <t>D:\CBP_2026.07.21\i#3\r#legacy\d#100\v#30\20\ping_collision_summary.csv</t>
  </si>
  <si>
    <t>D:\CBP_2026.07.21\i#3\r#legacy\d#100\v#30\21\ping_collision_summary.csv</t>
  </si>
  <si>
    <t>D:\CBP_2026.07.21\i#3\r#legacy\d#100\v#30\22\ping_collision_summary.csv</t>
  </si>
  <si>
    <t>D:\CBP_2026.07.21\i#3\r#legacy\d#100\v#30\23\ping_collision_summary.csv</t>
  </si>
  <si>
    <t>D:\CBP_2026.07.21\i#3\r#legacy\d#100\v#30\24\ping_collision_summary.csv</t>
  </si>
  <si>
    <t>D:\CBP_2026.07.21\i#3\r#legacy\d#100\v#30\25\ping_collision_summary.csv</t>
  </si>
  <si>
    <t>D:\CBP_2026.07.21\i#3\r#legacy\d#100\v#30\26\ping_collision_summary.csv</t>
  </si>
  <si>
    <t>D:\CBP_2026.07.21\i#3\r#legacy\d#100\v#30\27\ping_collision_summary.csv</t>
  </si>
  <si>
    <t>D:\CBP_2026.07.21\i#3\r#legacy\d#100\v#30\28\ping_collision_summary.csv</t>
  </si>
  <si>
    <t>D:\CBP_2026.07.21\i#3\r#legacy\d#100\v#30\29\ping_collision_summary.csv</t>
  </si>
  <si>
    <t>D:\CBP_2026.07.21\i#3\r#legacy\d#100\v#30\2\ping_collision_summary.csv</t>
  </si>
  <si>
    <t>D:\CBP_2026.07.21\i#3\r#legacy\d#100\v#30\30\ping_collision_summary.csv</t>
  </si>
  <si>
    <t>D:\CBP_2026.07.21\i#3\r#legacy\d#100\v#30\3\ping_collision_summary.csv</t>
  </si>
  <si>
    <t>D:\CBP_2026.07.21\i#3\r#legacy\d#100\v#30\4\ping_collision_summary.csv</t>
  </si>
  <si>
    <t>D:\CBP_2026.07.21\i#3\r#legacy\d#100\v#30\5\ping_collision_summary.csv</t>
  </si>
  <si>
    <t>D:\CBP_2026.07.21\i#3\r#legacy\d#100\v#30\6\ping_collision_summary.csv</t>
  </si>
  <si>
    <t>D:\CBP_2026.07.21\i#3\r#legacy\d#100\v#30\7\ping_collision_summary.csv</t>
  </si>
  <si>
    <t>D:\CBP_2026.07.21\i#3\r#legacy\d#100\v#30\8\ping_collision_summary.csv</t>
  </si>
  <si>
    <t>D:\CBP_2026.07.21\i#3\r#legacy\d#100\v#30\9\ping_collision_summary.csv</t>
  </si>
  <si>
    <t>D:\CBP_2026.07.21\i#3\r#legacy\d#120\v#10\0\ping_collision_summary.csv</t>
  </si>
  <si>
    <t>D:\CBP_2026.07.21\i#3\r#legacy\d#120\v#10\10\ping_collision_summary.csv</t>
  </si>
  <si>
    <t>D:\CBP_2026.07.21\i#3\r#legacy\d#120\v#10\11\ping_collision_summary.csv</t>
  </si>
  <si>
    <t>D:\CBP_2026.07.21\i#3\r#legacy\d#120\v#10\12\ping_collision_summary.csv</t>
  </si>
  <si>
    <t>D:\CBP_2026.07.21\i#3\r#legacy\d#120\v#10\13\ping_collision_summary.csv</t>
  </si>
  <si>
    <t>D:\CBP_2026.07.21\i#3\r#legacy\d#120\v#10\14\ping_collision_summary.csv</t>
  </si>
  <si>
    <t>D:\CBP_2026.07.21\i#3\r#legacy\d#120\v#10\15\ping_collision_summary.csv</t>
  </si>
  <si>
    <t>D:\CBP_2026.07.21\i#3\r#legacy\d#120\v#10\16\ping_collision_summary.csv</t>
  </si>
  <si>
    <t>D:\CBP_2026.07.21\i#3\r#legacy\d#120\v#10\17\ping_collision_summary.csv</t>
  </si>
  <si>
    <t>D:\CBP_2026.07.21\i#3\r#legacy\d#120\v#10\18\ping_collision_summary.csv</t>
  </si>
  <si>
    <t>D:\CBP_2026.07.21\i#3\r#legacy\d#120\v#10\19\ping_collision_summary.csv</t>
  </si>
  <si>
    <t>D:\CBP_2026.07.21\i#3\r#legacy\d#120\v#10\1\ping_collision_summary.csv</t>
  </si>
  <si>
    <t>D:\CBP_2026.07.21\i#3\r#legacy\d#120\v#10\20\ping_collision_summary.csv</t>
  </si>
  <si>
    <t>D:\CBP_2026.07.21\i#3\r#legacy\d#120\v#10\21\ping_collision_summary.csv</t>
  </si>
  <si>
    <t>D:\CBP_2026.07.21\i#3\r#legacy\d#120\v#10\22\ping_collision_summary.csv</t>
  </si>
  <si>
    <t>D:\CBP_2026.07.21\i#3\r#legacy\d#120\v#10\23\ping_collision_summary.csv</t>
  </si>
  <si>
    <t>D:\CBP_2026.07.21\i#3\r#legacy\d#120\v#10\24\ping_collision_summary.csv</t>
  </si>
  <si>
    <t>D:\CBP_2026.07.21\i#3\r#legacy\d#120\v#10\25\ping_collision_summary.csv</t>
  </si>
  <si>
    <t>D:\CBP_2026.07.21\i#3\r#legacy\d#120\v#10\26\ping_collision_summary.csv</t>
  </si>
  <si>
    <t>D:\CBP_2026.07.21\i#3\r#legacy\d#120\v#10\27\ping_collision_summary.csv</t>
  </si>
  <si>
    <t>D:\CBP_2026.07.21\i#3\r#legacy\d#120\v#10\28\ping_collision_summary.csv</t>
  </si>
  <si>
    <t>D:\CBP_2026.07.21\i#3\r#legacy\d#120\v#10\29\ping_collision_summary.csv</t>
  </si>
  <si>
    <t>D:\CBP_2026.07.21\i#3\r#legacy\d#120\v#10\2\ping_collision_summary.csv</t>
  </si>
  <si>
    <t>D:\CBP_2026.07.21\i#3\r#legacy\d#120\v#10\30\ping_collision_summary.csv</t>
  </si>
  <si>
    <t>D:\CBP_2026.07.21\i#3\r#legacy\d#120\v#10\3\ping_collision_summary.csv</t>
  </si>
  <si>
    <t>D:\CBP_2026.07.21\i#3\r#legacy\d#120\v#10\4\ping_collision_summary.csv</t>
  </si>
  <si>
    <t>D:\CBP_2026.07.21\i#3\r#legacy\d#120\v#10\5\ping_collision_summary.csv</t>
  </si>
  <si>
    <t>D:\CBP_2026.07.21\i#3\r#legacy\d#120\v#10\6\ping_collision_summary.csv</t>
  </si>
  <si>
    <t>D:\CBP_2026.07.21\i#3\r#legacy\d#120\v#10\7\ping_collision_summary.csv</t>
  </si>
  <si>
    <t>D:\CBP_2026.07.21\i#3\r#legacy\d#120\v#10\8\ping_collision_summary.csv</t>
  </si>
  <si>
    <t>D:\CBP_2026.07.21\i#3\r#legacy\d#120\v#10\9\ping_collision_summary.csv</t>
  </si>
  <si>
    <t>D:\CBP_2026.07.21\i#3\r#legacy\d#120\v#20\0\ping_collision_summary.csv</t>
  </si>
  <si>
    <t>D:\CBP_2026.07.21\i#3\r#legacy\d#120\v#20\10\ping_collision_summary.csv</t>
  </si>
  <si>
    <t>D:\CBP_2026.07.21\i#3\r#legacy\d#120\v#20\11\ping_collision_summary.csv</t>
  </si>
  <si>
    <t>D:\CBP_2026.07.21\i#3\r#legacy\d#120\v#20\12\ping_collision_summary.csv</t>
  </si>
  <si>
    <t>D:\CBP_2026.07.21\i#3\r#legacy\d#120\v#20\13\ping_collision_summary.csv</t>
  </si>
  <si>
    <t>D:\CBP_2026.07.21\i#3\r#legacy\d#120\v#20\14\ping_collision_summary.csv</t>
  </si>
  <si>
    <t>D:\CBP_2026.07.21\i#3\r#legacy\d#120\v#20\15\ping_collision_summary.csv</t>
  </si>
  <si>
    <t>D:\CBP_2026.07.21\i#3\r#legacy\d#120\v#20\16\ping_collision_summary.csv</t>
  </si>
  <si>
    <t>D:\CBP_2026.07.21\i#3\r#legacy\d#120\v#20\18\ping_collision_summary.csv</t>
  </si>
  <si>
    <t>D:\CBP_2026.07.21\i#3\r#legacy\d#120\v#20\19\ping_collision_summary.csv</t>
  </si>
  <si>
    <t>D:\CBP_2026.07.21\i#3\r#legacy\d#120\v#20\1\ping_collision_summary.csv</t>
  </si>
  <si>
    <t>D:\CBP_2026.07.21\i#3\r#legacy\d#120\v#20\20\ping_collision_summary.csv</t>
  </si>
  <si>
    <t>D:\CBP_2026.07.21\i#3\r#legacy\d#120\v#20\21\ping_collision_summary.csv</t>
  </si>
  <si>
    <t>D:\CBP_2026.07.21\i#3\r#legacy\d#120\v#20\22\ping_collision_summary.csv</t>
  </si>
  <si>
    <t>D:\CBP_2026.07.21\i#3\r#legacy\d#120\v#20\23\ping_collision_summary.csv</t>
  </si>
  <si>
    <t>D:\CBP_2026.07.21\i#3\r#legacy\d#120\v#20\24\ping_collision_summary.csv</t>
  </si>
  <si>
    <t>D:\CBP_2026.07.21\i#3\r#legacy\d#120\v#20\25\ping_collision_summary.csv</t>
  </si>
  <si>
    <t>D:\CBP_2026.07.21\i#3\r#legacy\d#120\v#20\26\ping_collision_summary.csv</t>
  </si>
  <si>
    <t>D:\CBP_2026.07.21\i#3\r#legacy\d#120\v#20\27\ping_collision_summary.csv</t>
  </si>
  <si>
    <t>D:\CBP_2026.07.21\i#3\r#legacy\d#120\v#20\28\ping_collision_summary.csv</t>
  </si>
  <si>
    <t>D:\CBP_2026.07.21\i#3\r#legacy\d#120\v#20\29\ping_collision_summary.csv</t>
  </si>
  <si>
    <t>D:\CBP_2026.07.21\i#3\r#legacy\d#120\v#20\2\ping_collision_summary.csv</t>
  </si>
  <si>
    <t>D:\CBP_2026.07.21\i#3\r#legacy\d#120\v#20\30\ping_collision_summary.csv</t>
  </si>
  <si>
    <t>D:\CBP_2026.07.21\i#3\r#legacy\d#120\v#20\3\ping_collision_summary.csv</t>
  </si>
  <si>
    <t>D:\CBP_2026.07.21\i#3\r#legacy\d#120\v#20\4\ping_collision_summary.csv</t>
  </si>
  <si>
    <t>D:\CBP_2026.07.21\i#3\r#legacy\d#120\v#20\5\ping_collision_summary.csv</t>
  </si>
  <si>
    <t>D:\CBP_2026.07.21\i#3\r#legacy\d#120\v#20\6\ping_collision_summary.csv</t>
  </si>
  <si>
    <t>D:\CBP_2026.07.21\i#3\r#legacy\d#120\v#20\7\ping_collision_summary.csv</t>
  </si>
  <si>
    <t>D:\CBP_2026.07.21\i#3\r#legacy\d#120\v#20\8\ping_collision_summary.csv</t>
  </si>
  <si>
    <t>D:\CBP_2026.07.21\i#3\r#legacy\d#120\v#20\9\ping_collision_summary.csv</t>
  </si>
  <si>
    <t>D:\CBP_2026.07.21\i#3\r#legacy\d#120\v#30\0\ping_collision_summary.csv</t>
  </si>
  <si>
    <t>D:\CBP_2026.07.21\i#3\r#legacy\d#120\v#30\10\ping_collision_summary.csv</t>
  </si>
  <si>
    <t>D:\CBP_2026.07.21\i#3\r#legacy\d#120\v#30\11\ping_collision_summary.csv</t>
  </si>
  <si>
    <t>D:\CBP_2026.07.21\i#3\r#legacy\d#120\v#30\12\ping_collision_summary.csv</t>
  </si>
  <si>
    <t>D:\CBP_2026.07.21\i#3\r#legacy\d#120\v#30\13\ping_collision_summary.csv</t>
  </si>
  <si>
    <t>D:\CBP_2026.07.21\i#3\r#legacy\d#120\v#30\14\ping_collision_summary.csv</t>
  </si>
  <si>
    <t>D:\CBP_2026.07.21\i#3\r#legacy\d#120\v#30\15\ping_collision_summary.csv</t>
  </si>
  <si>
    <t>D:\CBP_2026.07.21\i#3\r#legacy\d#120\v#30\16\ping_collision_summary.csv</t>
  </si>
  <si>
    <t>D:\CBP_2026.07.21\i#3\r#legacy\d#120\v#30\17\ping_collision_summary.csv</t>
  </si>
  <si>
    <t>D:\CBP_2026.07.21\i#3\r#legacy\d#120\v#30\18\ping_collision_summary.csv</t>
  </si>
  <si>
    <t>D:\CBP_2026.07.21\i#3\r#legacy\d#120\v#30\19\ping_collision_summary.csv</t>
  </si>
  <si>
    <t>D:\CBP_2026.07.21\i#3\r#legacy\d#120\v#30\1\ping_collision_summary.csv</t>
  </si>
  <si>
    <t>D:\CBP_2026.07.21\i#3\r#legacy\d#120\v#30\20\ping_collision_summary.csv</t>
  </si>
  <si>
    <t>D:\CBP_2026.07.21\i#3\r#legacy\d#120\v#30\21\ping_collision_summary.csv</t>
  </si>
  <si>
    <t>D:\CBP_2026.07.21\i#3\r#legacy\d#120\v#30\22\ping_collision_summary.csv</t>
  </si>
  <si>
    <t>D:\CBP_2026.07.21\i#3\r#legacy\d#120\v#30\23\ping_collision_summary.csv</t>
  </si>
  <si>
    <t>D:\CBP_2026.07.21\i#3\r#legacy\d#120\v#30\24\ping_collision_summary.csv</t>
  </si>
  <si>
    <t>D:\CBP_2026.07.21\i#3\r#legacy\d#120\v#30\25\ping_collision_summary.csv</t>
  </si>
  <si>
    <t>D:\CBP_2026.07.21\i#3\r#legacy\d#120\v#30\26\ping_collision_summary.csv</t>
  </si>
  <si>
    <t>D:\CBP_2026.07.21\i#3\r#legacy\d#120\v#30\27\ping_collision_summary.csv</t>
  </si>
  <si>
    <t>D:\CBP_2026.07.21\i#3\r#legacy\d#120\v#30\28\ping_collision_summary.csv</t>
  </si>
  <si>
    <t>D:\CBP_2026.07.21\i#3\r#legacy\d#120\v#30\29\ping_collision_summary.csv</t>
  </si>
  <si>
    <t>D:\CBP_2026.07.21\i#3\r#legacy\d#120\v#30\2\ping_collision_summary.csv</t>
  </si>
  <si>
    <t>D:\CBP_2026.07.21\i#3\r#legacy\d#120\v#30\30\ping_collision_summary.csv</t>
  </si>
  <si>
    <t>D:\CBP_2026.07.21\i#3\r#legacy\d#120\v#30\3\ping_collision_summary.csv</t>
  </si>
  <si>
    <t>D:\CBP_2026.07.21\i#3\r#legacy\d#120\v#30\4\ping_collision_summary.csv</t>
  </si>
  <si>
    <t>D:\CBP_2026.07.21\i#3\r#legacy\d#120\v#30\5\ping_collision_summary.csv</t>
  </si>
  <si>
    <t>D:\CBP_2026.07.21\i#3\r#legacy\d#120\v#30\6\ping_collision_summary.csv</t>
  </si>
  <si>
    <t>D:\CBP_2026.07.21\i#3\r#legacy\d#120\v#30\7\ping_collision_summary.csv</t>
  </si>
  <si>
    <t>D:\CBP_2026.07.21\i#3\r#legacy\d#120\v#30\8\ping_collision_summary.csv</t>
  </si>
  <si>
    <t>D:\CBP_2026.07.21\i#3\r#legacy\d#120\v#30\9\ping_collision_summary.csv</t>
  </si>
  <si>
    <t>D:\CBP_2026.07.21\i#3\r#legacy\d#70\v#10\0\ping_collision_summary.csv</t>
  </si>
  <si>
    <t>D:\CBP_2026.07.21\i#3\r#legacy\d#70\v#10\10\ping_collision_summary.csv</t>
  </si>
  <si>
    <t>D:\CBP_2026.07.21\i#3\r#legacy\d#70\v#10\11\ping_collision_summary.csv</t>
  </si>
  <si>
    <t>D:\CBP_2026.07.21\i#3\r#legacy\d#70\v#10\12\ping_collision_summary.csv</t>
  </si>
  <si>
    <t>D:\CBP_2026.07.21\i#3\r#legacy\d#70\v#10\13\ping_collision_summary.csv</t>
  </si>
  <si>
    <t>D:\CBP_2026.07.21\i#3\r#legacy\d#70\v#10\14\ping_collision_summary.csv</t>
  </si>
  <si>
    <t>D:\CBP_2026.07.21\i#3\r#legacy\d#70\v#10\15\ping_collision_summary.csv</t>
  </si>
  <si>
    <t>D:\CBP_2026.07.21\i#3\r#legacy\d#70\v#10\16\ping_collision_summary.csv</t>
  </si>
  <si>
    <t>D:\CBP_2026.07.21\i#3\r#legacy\d#70\v#10\17\ping_collision_summary.csv</t>
  </si>
  <si>
    <t>D:\CBP_2026.07.21\i#3\r#legacy\d#70\v#10\18\ping_collision_summary.csv</t>
  </si>
  <si>
    <t>D:\CBP_2026.07.21\i#3\r#legacy\d#70\v#10\19\ping_collision_summary.csv</t>
  </si>
  <si>
    <t>D:\CBP_2026.07.21\i#3\r#legacy\d#70\v#10\1\ping_collision_summary.csv</t>
  </si>
  <si>
    <t>D:\CBP_2026.07.21\i#3\r#legacy\d#70\v#10\20\ping_collision_summary.csv</t>
  </si>
  <si>
    <t>D:\CBP_2026.07.21\i#3\r#legacy\d#70\v#10\21\ping_collision_summary.csv</t>
  </si>
  <si>
    <t>D:\CBP_2026.07.21\i#3\r#legacy\d#70\v#10\22\ping_collision_summary.csv</t>
  </si>
  <si>
    <t>D:\CBP_2026.07.21\i#3\r#legacy\d#70\v#10\23\ping_collision_summary.csv</t>
  </si>
  <si>
    <t>D:\CBP_2026.07.21\i#3\r#legacy\d#70\v#10\24\ping_collision_summary.csv</t>
  </si>
  <si>
    <t>D:\CBP_2026.07.21\i#3\r#legacy\d#70\v#10\25\ping_collision_summary.csv</t>
  </si>
  <si>
    <t>D:\CBP_2026.07.21\i#3\r#legacy\d#70\v#10\26\ping_collision_summary.csv</t>
  </si>
  <si>
    <t>D:\CBP_2026.07.21\i#3\r#legacy\d#70\v#10\27\ping_collision_summary.csv</t>
  </si>
  <si>
    <t>D:\CBP_2026.07.21\i#3\r#legacy\d#70\v#10\28\ping_collision_summary.csv</t>
  </si>
  <si>
    <t>D:\CBP_2026.07.21\i#3\r#legacy\d#70\v#10\29\ping_collision_summary.csv</t>
  </si>
  <si>
    <t>D:\CBP_2026.07.21\i#3\r#legacy\d#70\v#10\2\ping_collision_summary.csv</t>
  </si>
  <si>
    <t>D:\CBP_2026.07.21\i#3\r#legacy\d#70\v#10\30\ping_collision_summary.csv</t>
  </si>
  <si>
    <t>D:\CBP_2026.07.21\i#3\r#legacy\d#70\v#10\3\ping_collision_summary.csv</t>
  </si>
  <si>
    <t>D:\CBP_2026.07.21\i#3\r#legacy\d#70\v#10\4\ping_collision_summary.csv</t>
  </si>
  <si>
    <t>D:\CBP_2026.07.21\i#3\r#legacy\d#70\v#10\5\ping_collision_summary.csv</t>
  </si>
  <si>
    <t>D:\CBP_2026.07.21\i#3\r#legacy\d#70\v#10\6\ping_collision_summary.csv</t>
  </si>
  <si>
    <t>D:\CBP_2026.07.21\i#3\r#legacy\d#70\v#10\7\ping_collision_summary.csv</t>
  </si>
  <si>
    <t>D:\CBP_2026.07.21\i#3\r#legacy\d#70\v#10\8\ping_collision_summary.csv</t>
  </si>
  <si>
    <t>D:\CBP_2026.07.21\i#3\r#legacy\d#70\v#10\9\ping_collision_summary.csv</t>
  </si>
  <si>
    <t>D:\CBP_2026.07.21\i#3\r#legacy\d#70\v#20\0\ping_collision_summary.csv</t>
  </si>
  <si>
    <t>D:\CBP_2026.07.21\i#3\r#legacy\d#70\v#20\10\ping_collision_summary.csv</t>
  </si>
  <si>
    <t>D:\CBP_2026.07.21\i#3\r#legacy\d#70\v#20\11\ping_collision_summary.csv</t>
  </si>
  <si>
    <t>D:\CBP_2026.07.21\i#3\r#legacy\d#70\v#20\12\ping_collision_summary.csv</t>
  </si>
  <si>
    <t>D:\CBP_2026.07.21\i#3\r#legacy\d#70\v#20\13\ping_collision_summary.csv</t>
  </si>
  <si>
    <t>D:\CBP_2026.07.21\i#3\r#legacy\d#70\v#20\14\ping_collision_summary.csv</t>
  </si>
  <si>
    <t>D:\CBP_2026.07.21\i#3\r#legacy\d#70\v#20\15\ping_collision_summary.csv</t>
  </si>
  <si>
    <t>D:\CBP_2026.07.21\i#3\r#legacy\d#70\v#20\16\ping_collision_summary.csv</t>
  </si>
  <si>
    <t>D:\CBP_2026.07.21\i#3\r#legacy\d#70\v#20\17\ping_collision_summary.csv</t>
  </si>
  <si>
    <t>D:\CBP_2026.07.21\i#3\r#legacy\d#70\v#20\18\ping_collision_summary.csv</t>
  </si>
  <si>
    <t>D:\CBP_2026.07.21\i#3\r#legacy\d#70\v#20\19\ping_collision_summary.csv</t>
  </si>
  <si>
    <t>D:\CBP_2026.07.21\i#3\r#legacy\d#70\v#20\1\ping_collision_summary.csv</t>
  </si>
  <si>
    <t>D:\CBP_2026.07.21\i#3\r#legacy\d#70\v#20\20\ping_collision_summary.csv</t>
  </si>
  <si>
    <t>D:\CBP_2026.07.21\i#3\r#legacy\d#70\v#20\21\ping_collision_summary.csv</t>
  </si>
  <si>
    <t>D:\CBP_2026.07.21\i#3\r#legacy\d#70\v#20\22\ping_collision_summary.csv</t>
  </si>
  <si>
    <t>D:\CBP_2026.07.21\i#3\r#legacy\d#70\v#20\23\ping_collision_summary.csv</t>
  </si>
  <si>
    <t>D:\CBP_2026.07.21\i#3\r#legacy\d#70\v#20\24\ping_collision_summary.csv</t>
  </si>
  <si>
    <t>D:\CBP_2026.07.21\i#3\r#legacy\d#70\v#20\25\ping_collision_summary.csv</t>
  </si>
  <si>
    <t>D:\CBP_2026.07.21\i#3\r#legacy\d#70\v#20\26\ping_collision_summary.csv</t>
  </si>
  <si>
    <t>D:\CBP_2026.07.21\i#3\r#legacy\d#70\v#20\27\ping_collision_summary.csv</t>
  </si>
  <si>
    <t>D:\CBP_2026.07.21\i#3\r#legacy\d#70\v#20\28\ping_collision_summary.csv</t>
  </si>
  <si>
    <t>D:\CBP_2026.07.21\i#3\r#legacy\d#70\v#20\29\ping_collision_summary.csv</t>
  </si>
  <si>
    <t>D:\CBP_2026.07.21\i#3\r#legacy\d#70\v#20\2\ping_collision_summary.csv</t>
  </si>
  <si>
    <t>D:\CBP_2026.07.21\i#3\r#legacy\d#70\v#20\30\ping_collision_summary.csv</t>
  </si>
  <si>
    <t>D:\CBP_2026.07.21\i#3\r#legacy\d#70\v#20\3\ping_collision_summary.csv</t>
  </si>
  <si>
    <t>D:\CBP_2026.07.21\i#3\r#legacy\d#70\v#20\4\ping_collision_summary.csv</t>
  </si>
  <si>
    <t>D:\CBP_2026.07.21\i#3\r#legacy\d#70\v#20\5\ping_collision_summary.csv</t>
  </si>
  <si>
    <t>D:\CBP_2026.07.21\i#3\r#legacy\d#70\v#20\6\ping_collision_summary.csv</t>
  </si>
  <si>
    <t>D:\CBP_2026.07.21\i#3\r#legacy\d#70\v#20\7\ping_collision_summary.csv</t>
  </si>
  <si>
    <t>D:\CBP_2026.07.21\i#3\r#legacy\d#70\v#20\8\ping_collision_summary.csv</t>
  </si>
  <si>
    <t>D:\CBP_2026.07.21\i#3\r#legacy\d#70\v#20\9\ping_collision_summary.csv</t>
  </si>
  <si>
    <t>D:\CBP_2026.07.21\i#3\r#legacy\d#70\v#30\0\ping_collision_summary.csv</t>
  </si>
  <si>
    <t>D:\CBP_2026.07.21\i#3\r#legacy\d#70\v#30\10\ping_collision_summary.csv</t>
  </si>
  <si>
    <t>D:\CBP_2026.07.21\i#3\r#legacy\d#70\v#30\11\ping_collision_summary.csv</t>
  </si>
  <si>
    <t>D:\CBP_2026.07.21\i#3\r#legacy\d#70\v#30\12\ping_collision_summary.csv</t>
  </si>
  <si>
    <t>D:\CBP_2026.07.21\i#3\r#legacy\d#70\v#30\13\ping_collision_summary.csv</t>
  </si>
  <si>
    <t>D:\CBP_2026.07.21\i#3\r#legacy\d#70\v#30\14\ping_collision_summary.csv</t>
  </si>
  <si>
    <t>D:\CBP_2026.07.21\i#3\r#legacy\d#70\v#30\15\ping_collision_summary.csv</t>
  </si>
  <si>
    <t>D:\CBP_2026.07.21\i#3\r#legacy\d#70\v#30\16\ping_collision_summary.csv</t>
  </si>
  <si>
    <t>D:\CBP_2026.07.21\i#3\r#legacy\d#70\v#30\17\ping_collision_summary.csv</t>
  </si>
  <si>
    <t>D:\CBP_2026.07.21\i#3\r#legacy\d#70\v#30\18\ping_collision_summary.csv</t>
  </si>
  <si>
    <t>D:\CBP_2026.07.21\i#3\r#legacy\d#70\v#30\19\ping_collision_summary.csv</t>
  </si>
  <si>
    <t>D:\CBP_2026.07.21\i#3\r#legacy\d#70\v#30\1\ping_collision_summary.csv</t>
  </si>
  <si>
    <t>D:\CBP_2026.07.21\i#3\r#legacy\d#70\v#30\20\ping_collision_summary.csv</t>
  </si>
  <si>
    <t>D:\CBP_2026.07.21\i#3\r#legacy\d#70\v#30\21\ping_collision_summary.csv</t>
  </si>
  <si>
    <t>D:\CBP_2026.07.21\i#3\r#legacy\d#70\v#30\22\ping_collision_summary.csv</t>
  </si>
  <si>
    <t>D:\CBP_2026.07.21\i#3\r#legacy\d#70\v#30\23\ping_collision_summary.csv</t>
  </si>
  <si>
    <t>D:\CBP_2026.07.21\i#3\r#legacy\d#70\v#30\24\ping_collision_summary.csv</t>
  </si>
  <si>
    <t>D:\CBP_2026.07.21\i#3\r#legacy\d#70\v#30\25\ping_collision_summary.csv</t>
  </si>
  <si>
    <t>D:\CBP_2026.07.21\i#3\r#legacy\d#70\v#30\26\ping_collision_summary.csv</t>
  </si>
  <si>
    <t>D:\CBP_2026.07.21\i#3\r#legacy\d#70\v#30\27\ping_collision_summary.csv</t>
  </si>
  <si>
    <t>D:\CBP_2026.07.21\i#3\r#legacy\d#70\v#30\28\ping_collision_summary.csv</t>
  </si>
  <si>
    <t>D:\CBP_2026.07.21\i#3\r#legacy\d#70\v#30\29\ping_collision_summary.csv</t>
  </si>
  <si>
    <t>D:\CBP_2026.07.21\i#3\r#legacy\d#70\v#30\2\ping_collision_summary.csv</t>
  </si>
  <si>
    <t>D:\CBP_2026.07.21\i#3\r#legacy\d#70\v#30\30\ping_collision_summary.csv</t>
  </si>
  <si>
    <t>D:\CBP_2026.07.21\i#3\r#legacy\d#70\v#30\3\ping_collision_summary.csv</t>
  </si>
  <si>
    <t>D:\CBP_2026.07.21\i#3\r#legacy\d#70\v#30\4\ping_collision_summary.csv</t>
  </si>
  <si>
    <t>D:\CBP_2026.07.21\i#3\r#legacy\d#70\v#30\5\ping_collision_summary.csv</t>
  </si>
  <si>
    <t>D:\CBP_2026.07.21\i#3\r#legacy\d#70\v#30\6\ping_collision_summary.csv</t>
  </si>
  <si>
    <t>D:\CBP_2026.07.21\i#3\r#legacy\d#70\v#30\7\ping_collision_summary.csv</t>
  </si>
  <si>
    <t>D:\CBP_2026.07.21\i#3\r#legacy\d#70\v#30\8\ping_collision_summary.csv</t>
  </si>
  <si>
    <t>D:\CBP_2026.07.21\i#3\r#legacy\d#70\v#30\9\ping_collision_summary.csv</t>
  </si>
  <si>
    <t>D:\CBP_2026.07.21\i#3\rrep\rrep#0_21_result\d#100\v#10\0\ping_collision_summary.csv</t>
  </si>
  <si>
    <t>D:\CBP_2026.07.21\i#3\rrep\rrep#0_21_result\d#100\v#10\10\ping_collision_summary.csv</t>
  </si>
  <si>
    <t>D:\CBP_2026.07.21\i#3\rrep\rrep#0_21_result\d#100\v#10\11\ping_collision_summary.csv</t>
  </si>
  <si>
    <t>D:\CBP_2026.07.21\i#3\rrep\rrep#0_21_result\d#100\v#10\12\ping_collision_summary.csv</t>
  </si>
  <si>
    <t>D:\CBP_2026.07.21\i#3\rrep\rrep#0_21_result\d#100\v#10\13\ping_collision_summary.csv</t>
  </si>
  <si>
    <t>D:\CBP_2026.07.21\i#3\rrep\rrep#0_21_result\d#100\v#10\14\ping_collision_summary.csv</t>
  </si>
  <si>
    <t>D:\CBP_2026.07.21\i#3\rrep\rrep#0_21_result\d#100\v#10\15\ping_collision_summary.csv</t>
  </si>
  <si>
    <t>D:\CBP_2026.07.21\i#3\rrep\rrep#0_21_result\d#100\v#10\16\ping_collision_summary.csv</t>
  </si>
  <si>
    <t>D:\CBP_2026.07.21\i#3\rrep\rrep#0_21_result\d#100\v#10\17\ping_collision_summary.csv</t>
  </si>
  <si>
    <t>D:\CBP_2026.07.21\i#3\rrep\rrep#0_21_result\d#100\v#10\18\ping_collision_summary.csv</t>
  </si>
  <si>
    <t>D:\CBP_2026.07.21\i#3\rrep\rrep#0_21_result\d#100\v#10\19\ping_collision_summary.csv</t>
  </si>
  <si>
    <t>D:\CBP_2026.07.21\i#3\rrep\rrep#0_21_result\d#100\v#10\1\ping_collision_summary.csv</t>
  </si>
  <si>
    <t>D:\CBP_2026.07.21\i#3\rrep\rrep#0_21_result\d#100\v#10\20\ping_collision_summary.csv</t>
  </si>
  <si>
    <t>D:\CBP_2026.07.21\i#3\rrep\rrep#0_21_result\d#100\v#10\21\ping_collision_summary.csv</t>
  </si>
  <si>
    <t>D:\CBP_2026.07.21\i#3\rrep\rrep#0_21_result\d#100\v#10\22\ping_collision_summary.csv</t>
  </si>
  <si>
    <t>D:\CBP_2026.07.21\i#3\rrep\rrep#0_21_result\d#100\v#10\23\ping_collision_summary.csv</t>
  </si>
  <si>
    <t>D:\CBP_2026.07.21\i#3\rrep\rrep#0_21_result\d#100\v#10\24\ping_collision_summary.csv</t>
  </si>
  <si>
    <t>D:\CBP_2026.07.21\i#3\rrep\rrep#0_21_result\d#100\v#10\25\ping_collision_summary.csv</t>
  </si>
  <si>
    <t>D:\CBP_2026.07.21\i#3\rrep\rrep#0_21_result\d#100\v#10\26\ping_collision_summary.csv</t>
  </si>
  <si>
    <t>D:\CBP_2026.07.21\i#3\rrep\rrep#0_21_result\d#100\v#10\27\ping_collision_summary.csv</t>
  </si>
  <si>
    <t>D:\CBP_2026.07.21\i#3\rrep\rrep#0_21_result\d#100\v#10\28\ping_collision_summary.csv</t>
  </si>
  <si>
    <t>D:\CBP_2026.07.21\i#3\rrep\rrep#0_21_result\d#100\v#10\29\ping_collision_summary.csv</t>
  </si>
  <si>
    <t>D:\CBP_2026.07.21\i#3\rrep\rrep#0_21_result\d#100\v#10\2\ping_collision_summary.csv</t>
  </si>
  <si>
    <t>D:\CBP_2026.07.21\i#3\rrep\rrep#0_21_result\d#100\v#10\30\ping_collision_summary.csv</t>
  </si>
  <si>
    <t>D:\CBP_2026.07.21\i#3\rrep\rrep#0_21_result\d#100\v#10\3\ping_collision_summary.csv</t>
  </si>
  <si>
    <t>D:\CBP_2026.07.21\i#3\rrep\rrep#0_21_result\d#100\v#10\4\ping_collision_summary.csv</t>
  </si>
  <si>
    <t>D:\CBP_2026.07.21\i#3\rrep\rrep#0_21_result\d#100\v#10\5\ping_collision_summary.csv</t>
  </si>
  <si>
    <t>D:\CBP_2026.07.21\i#3\rrep\rrep#0_21_result\d#100\v#10\6\ping_collision_summary.csv</t>
  </si>
  <si>
    <t>D:\CBP_2026.07.21\i#3\rrep\rrep#0_21_result\d#100\v#10\7\ping_collision_summary.csv</t>
  </si>
  <si>
    <t>D:\CBP_2026.07.21\i#3\rrep\rrep#0_21_result\d#100\v#10\8\ping_collision_summary.csv</t>
  </si>
  <si>
    <t>D:\CBP_2026.07.21\i#3\rrep\rrep#0_21_result\d#100\v#10\9\ping_collision_summary.csv</t>
  </si>
  <si>
    <t>D:\CBP_2026.07.21\i#3\rrep\rrep#0_21_result\d#100\v#20\0\ping_collision_summary.csv</t>
  </si>
  <si>
    <t>D:\CBP_2026.07.21\i#3\rrep\rrep#0_21_result\d#100\v#20\10\ping_collision_summary.csv</t>
  </si>
  <si>
    <t>D:\CBP_2026.07.21\i#3\rrep\rrep#0_21_result\d#100\v#20\11\ping_collision_summary.csv</t>
  </si>
  <si>
    <t>D:\CBP_2026.07.21\i#3\rrep\rrep#0_21_result\d#100\v#20\12\ping_collision_summary.csv</t>
  </si>
  <si>
    <t>D:\CBP_2026.07.21\i#3\rrep\rrep#0_21_result\d#100\v#20\13\ping_collision_summary.csv</t>
  </si>
  <si>
    <t>D:\CBP_2026.07.21\i#3\rrep\rrep#0_21_result\d#100\v#20\14\ping_collision_summary.csv</t>
  </si>
  <si>
    <t>D:\CBP_2026.07.21\i#3\rrep\rrep#0_21_result\d#100\v#20\15\ping_collision_summary.csv</t>
  </si>
  <si>
    <t>D:\CBP_2026.07.21\i#3\rrep\rrep#0_21_result\d#100\v#20\16\ping_collision_summary.csv</t>
  </si>
  <si>
    <t>D:\CBP_2026.07.21\i#3\rrep\rrep#0_21_result\d#100\v#20\17\ping_collision_summary.csv</t>
  </si>
  <si>
    <t>D:\CBP_2026.07.21\i#3\rrep\rrep#0_21_result\d#100\v#20\18\ping_collision_summary.csv</t>
  </si>
  <si>
    <t>D:\CBP_2026.07.21\i#3\rrep\rrep#0_21_result\d#100\v#20\19\ping_collision_summary.csv</t>
  </si>
  <si>
    <t>D:\CBP_2026.07.21\i#3\rrep\rrep#0_21_result\d#100\v#20\1\ping_collision_summary.csv</t>
  </si>
  <si>
    <t>D:\CBP_2026.07.21\i#3\rrep\rrep#0_21_result\d#100\v#20\20\ping_collision_summary.csv</t>
  </si>
  <si>
    <t>D:\CBP_2026.07.21\i#3\rrep\rrep#0_21_result\d#100\v#20\21\ping_collision_summary.csv</t>
  </si>
  <si>
    <t>D:\CBP_2026.07.21\i#3\rrep\rrep#0_21_result\d#100\v#20\22\ping_collision_summary.csv</t>
  </si>
  <si>
    <t>D:\CBP_2026.07.21\i#3\rrep\rrep#0_21_result\d#100\v#20\23\ping_collision_summary.csv</t>
  </si>
  <si>
    <t>D:\CBP_2026.07.21\i#3\rrep\rrep#0_21_result\d#100\v#20\24\ping_collision_summary.csv</t>
  </si>
  <si>
    <t>D:\CBP_2026.07.21\i#3\rrep\rrep#0_21_result\d#100\v#20\25\ping_collision_summary.csv</t>
  </si>
  <si>
    <t>D:\CBP_2026.07.21\i#3\rrep\rrep#0_21_result\d#100\v#20\26\ping_collision_summary.csv</t>
  </si>
  <si>
    <t>D:\CBP_2026.07.21\i#3\rrep\rrep#0_21_result\d#100\v#20\27\ping_collision_summary.csv</t>
  </si>
  <si>
    <t>D:\CBP_2026.07.21\i#3\rrep\rrep#0_21_result\d#100\v#20\28\ping_collision_summary.csv</t>
  </si>
  <si>
    <t>D:\CBP_2026.07.21\i#3\rrep\rrep#0_21_result\d#100\v#20\29\ping_collision_summary.csv</t>
  </si>
  <si>
    <t>D:\CBP_2026.07.21\i#3\rrep\rrep#0_21_result\d#100\v#20\2\ping_collision_summary.csv</t>
  </si>
  <si>
    <t>D:\CBP_2026.07.21\i#3\rrep\rrep#0_21_result\d#100\v#20\30\ping_collision_summary.csv</t>
  </si>
  <si>
    <t>D:\CBP_2026.07.21\i#3\rrep\rrep#0_21_result\d#100\v#20\3\ping_collision_summary.csv</t>
  </si>
  <si>
    <t>D:\CBP_2026.07.21\i#3\rrep\rrep#0_21_result\d#100\v#20\4\ping_collision_summary.csv</t>
  </si>
  <si>
    <t>D:\CBP_2026.07.21\i#3\rrep\rrep#0_21_result\d#100\v#20\5\ping_collision_summary.csv</t>
  </si>
  <si>
    <t>D:\CBP_2026.07.21\i#3\rrep\rrep#0_21_result\d#100\v#20\6\ping_collision_summary.csv</t>
  </si>
  <si>
    <t>D:\CBP_2026.07.21\i#3\rrep\rrep#0_21_result\d#100\v#20\7\ping_collision_summary.csv</t>
  </si>
  <si>
    <t>D:\CBP_2026.07.21\i#3\rrep\rrep#0_21_result\d#100\v#20\8\ping_collision_summary.csv</t>
  </si>
  <si>
    <t>D:\CBP_2026.07.21\i#3\rrep\rrep#0_21_result\d#100\v#20\9\ping_collision_summary.csv</t>
  </si>
  <si>
    <t>D:\CBP_2026.07.21\i#3\rrep\rrep#0_21_result\d#100\v#30\0\ping_collision_summary.csv</t>
  </si>
  <si>
    <t>D:\CBP_2026.07.21\i#3\rrep\rrep#0_21_result\d#100\v#30\10\ping_collision_summary.csv</t>
  </si>
  <si>
    <t>D:\CBP_2026.07.21\i#3\rrep\rrep#0_21_result\d#100\v#30\11\ping_collision_summary.csv</t>
  </si>
  <si>
    <t>D:\CBP_2026.07.21\i#3\rrep\rrep#0_21_result\d#100\v#30\12\ping_collision_summary.csv</t>
  </si>
  <si>
    <t>D:\CBP_2026.07.21\i#3\rrep\rrep#0_21_result\d#100\v#30\13\ping_collision_summary.csv</t>
  </si>
  <si>
    <t>D:\CBP_2026.07.21\i#3\rrep\rrep#0_21_result\d#100\v#30\14\ping_collision_summary.csv</t>
  </si>
  <si>
    <t>D:\CBP_2026.07.21\i#3\rrep\rrep#0_21_result\d#100\v#30\15\ping_collision_summary.csv</t>
  </si>
  <si>
    <t>D:\CBP_2026.07.21\i#3\rrep\rrep#0_21_result\d#100\v#30\16\ping_collision_summary.csv</t>
  </si>
  <si>
    <t>D:\CBP_2026.07.21\i#3\rrep\rrep#0_21_result\d#100\v#30\17\ping_collision_summary.csv</t>
  </si>
  <si>
    <t>D:\CBP_2026.07.21\i#3\rrep\rrep#0_21_result\d#100\v#30\18\ping_collision_summary.csv</t>
  </si>
  <si>
    <t>D:\CBP_2026.07.21\i#3\rrep\rrep#0_21_result\d#100\v#30\19\ping_collision_summary.csv</t>
  </si>
  <si>
    <t>D:\CBP_2026.07.21\i#3\rrep\rrep#0_21_result\d#100\v#30\1\ping_collision_summary.csv</t>
  </si>
  <si>
    <t>D:\CBP_2026.07.21\i#3\rrep\rrep#0_21_result\d#100\v#30\20\ping_collision_summary.csv</t>
  </si>
  <si>
    <t>D:\CBP_2026.07.21\i#3\rrep\rrep#0_21_result\d#100\v#30\21\ping_collision_summary.csv</t>
  </si>
  <si>
    <t>D:\CBP_2026.07.21\i#3\rrep\rrep#0_21_result\d#100\v#30\22\ping_collision_summary.csv</t>
  </si>
  <si>
    <t>D:\CBP_2026.07.21\i#3\rrep\rrep#0_21_result\d#100\v#30\23\ping_collision_summary.csv</t>
  </si>
  <si>
    <t>D:\CBP_2026.07.21\i#3\rrep\rrep#0_21_result\d#100\v#30\24\ping_collision_summary.csv</t>
  </si>
  <si>
    <t>D:\CBP_2026.07.21\i#3\rrep\rrep#0_21_result\d#100\v#30\25\ping_collision_summary.csv</t>
  </si>
  <si>
    <t>D:\CBP_2026.07.21\i#3\rrep\rrep#0_21_result\d#100\v#30\26\ping_collision_summary.csv</t>
  </si>
  <si>
    <t>D:\CBP_2026.07.21\i#3\rrep\rrep#0_21_result\d#100\v#30\27\ping_collision_summary.csv</t>
  </si>
  <si>
    <t>D:\CBP_2026.07.21\i#3\rrep\rrep#0_21_result\d#100\v#30\28\ping_collision_summary.csv</t>
  </si>
  <si>
    <t>D:\CBP_2026.07.21\i#3\rrep\rrep#0_21_result\d#100\v#30\29\ping_collision_summary.csv</t>
  </si>
  <si>
    <t>D:\CBP_2026.07.21\i#3\rrep\rrep#0_21_result\d#100\v#30\2\ping_collision_summary.csv</t>
  </si>
  <si>
    <t>D:\CBP_2026.07.21\i#3\rrep\rrep#0_21_result\d#100\v#30\30\ping_collision_summary.csv</t>
  </si>
  <si>
    <t>D:\CBP_2026.07.21\i#3\rrep\rrep#0_21_result\d#100\v#30\3\ping_collision_summary.csv</t>
  </si>
  <si>
    <t>D:\CBP_2026.07.21\i#3\rrep\rrep#0_21_result\d#100\v#30\4\ping_collision_summary.csv</t>
  </si>
  <si>
    <t>D:\CBP_2026.07.21\i#3\rrep\rrep#0_21_result\d#100\v#30\5\ping_collision_summary.csv</t>
  </si>
  <si>
    <t>D:\CBP_2026.07.21\i#3\rrep\rrep#0_21_result\d#100\v#30\6\ping_collision_summary.csv</t>
  </si>
  <si>
    <t>D:\CBP_2026.07.21\i#3\rrep\rrep#0_21_result\d#100\v#30\7\ping_collision_summary.csv</t>
  </si>
  <si>
    <t>D:\CBP_2026.07.21\i#3\rrep\rrep#0_21_result\d#100\v#30\8\ping_collision_summary.csv</t>
  </si>
  <si>
    <t>D:\CBP_2026.07.21\i#3\rrep\rrep#0_21_result\d#100\v#30\9\ping_collision_summary.csv</t>
  </si>
  <si>
    <t>D:\CBP_2026.07.21\i#3\rrep\rrep#0_21_result\d#120\v#10\0\ping_collision_summary.csv</t>
  </si>
  <si>
    <t>D:\CBP_2026.07.21\i#3\rrep\rrep#0_21_result\d#120\v#10\10\ping_collision_summary.csv</t>
  </si>
  <si>
    <t>D:\CBP_2026.07.21\i#3\rrep\rrep#0_21_result\d#120\v#10\11\ping_collision_summary.csv</t>
  </si>
  <si>
    <t>D:\CBP_2026.07.21\i#3\rrep\rrep#0_21_result\d#120\v#10\12\ping_collision_summary.csv</t>
  </si>
  <si>
    <t>D:\CBP_2026.07.21\i#3\rrep\rrep#0_21_result\d#120\v#10\13\ping_collision_summary.csv</t>
  </si>
  <si>
    <t>D:\CBP_2026.07.21\i#3\rrep\rrep#0_21_result\d#120\v#10\14\ping_collision_summary.csv</t>
  </si>
  <si>
    <t>D:\CBP_2026.07.21\i#3\rrep\rrep#0_21_result\d#120\v#10\15\ping_collision_summary.csv</t>
  </si>
  <si>
    <t>D:\CBP_2026.07.21\i#3\rrep\rrep#0_21_result\d#120\v#10\16\ping_collision_summary.csv</t>
  </si>
  <si>
    <t>D:\CBP_2026.07.21\i#3\rrep\rrep#0_21_result\d#120\v#10\17\ping_collision_summary.csv</t>
  </si>
  <si>
    <t>D:\CBP_2026.07.21\i#3\rrep\rrep#0_21_result\d#120\v#10\18\ping_collision_summary.csv</t>
  </si>
  <si>
    <t>D:\CBP_2026.07.21\i#3\rrep\rrep#0_21_result\d#120\v#10\19\ping_collision_summary.csv</t>
  </si>
  <si>
    <t>D:\CBP_2026.07.21\i#3\rrep\rrep#0_21_result\d#120\v#10\1\ping_collision_summary.csv</t>
  </si>
  <si>
    <t>D:\CBP_2026.07.21\i#3\rrep\rrep#0_21_result\d#120\v#10\20\ping_collision_summary.csv</t>
  </si>
  <si>
    <t>D:\CBP_2026.07.21\i#3\rrep\rrep#0_21_result\d#120\v#10\21\ping_collision_summary.csv</t>
  </si>
  <si>
    <t>D:\CBP_2026.07.21\i#3\rrep\rrep#0_21_result\d#120\v#10\22\ping_collision_summary.csv</t>
  </si>
  <si>
    <t>D:\CBP_2026.07.21\i#3\rrep\rrep#0_21_result\d#120\v#10\23\ping_collision_summary.csv</t>
  </si>
  <si>
    <t>D:\CBP_2026.07.21\i#3\rrep\rrep#0_21_result\d#120\v#10\24\ping_collision_summary.csv</t>
  </si>
  <si>
    <t>D:\CBP_2026.07.21\i#3\rrep\rrep#0_21_result\d#120\v#10\25\ping_collision_summary.csv</t>
  </si>
  <si>
    <t>D:\CBP_2026.07.21\i#3\rrep\rrep#0_21_result\d#120\v#10\26\ping_collision_summary.csv</t>
  </si>
  <si>
    <t>D:\CBP_2026.07.21\i#3\rrep\rrep#0_21_result\d#120\v#10\27\ping_collision_summary.csv</t>
  </si>
  <si>
    <t>D:\CBP_2026.07.21\i#3\rrep\rrep#0_21_result\d#120\v#10\28\ping_collision_summary.csv</t>
  </si>
  <si>
    <t>D:\CBP_2026.07.21\i#3\rrep\rrep#0_21_result\d#120\v#10\29\ping_collision_summary.csv</t>
  </si>
  <si>
    <t>D:\CBP_2026.07.21\i#3\rrep\rrep#0_21_result\d#120\v#10\2\ping_collision_summary.csv</t>
  </si>
  <si>
    <t>D:\CBP_2026.07.21\i#3\rrep\rrep#0_21_result\d#120\v#10\30\ping_collision_summary.csv</t>
  </si>
  <si>
    <t>D:\CBP_2026.07.21\i#3\rrep\rrep#0_21_result\d#120\v#10\3\ping_collision_summary.csv</t>
  </si>
  <si>
    <t>D:\CBP_2026.07.21\i#3\rrep\rrep#0_21_result\d#120\v#10\4\ping_collision_summary.csv</t>
  </si>
  <si>
    <t>D:\CBP_2026.07.21\i#3\rrep\rrep#0_21_result\d#120\v#10\5\ping_collision_summary.csv</t>
  </si>
  <si>
    <t>D:\CBP_2026.07.21\i#3\rrep\rrep#0_21_result\d#120\v#10\6\ping_collision_summary.csv</t>
  </si>
  <si>
    <t>D:\CBP_2026.07.21\i#3\rrep\rrep#0_21_result\d#120\v#10\7\ping_collision_summary.csv</t>
  </si>
  <si>
    <t>D:\CBP_2026.07.21\i#3\rrep\rrep#0_21_result\d#120\v#10\8\ping_collision_summary.csv</t>
  </si>
  <si>
    <t>D:\CBP_2026.07.21\i#3\rrep\rrep#0_21_result\d#120\v#10\9\ping_collision_summary.csv</t>
  </si>
  <si>
    <t>D:\CBP_2026.07.21\i#3\rrep\rrep#0_21_result\d#120\v#20\0\ping_collision_summary.csv</t>
  </si>
  <si>
    <t>D:\CBP_2026.07.21\i#3\rrep\rrep#0_21_result\d#120\v#20\10\ping_collision_summary.csv</t>
  </si>
  <si>
    <t>D:\CBP_2026.07.21\i#3\rrep\rrep#0_21_result\d#120\v#20\11\ping_collision_summary.csv</t>
  </si>
  <si>
    <t>D:\CBP_2026.07.21\i#3\rrep\rrep#0_21_result\d#120\v#20\12\ping_collision_summary.csv</t>
  </si>
  <si>
    <t>D:\CBP_2026.07.21\i#3\rrep\rrep#0_21_result\d#120\v#20\13\ping_collision_summary.csv</t>
  </si>
  <si>
    <t>D:\CBP_2026.07.21\i#3\rrep\rrep#0_21_result\d#120\v#20\14\ping_collision_summary.csv</t>
  </si>
  <si>
    <t>D:\CBP_2026.07.21\i#3\rrep\rrep#0_21_result\d#120\v#20\15\ping_collision_summary.csv</t>
  </si>
  <si>
    <t>D:\CBP_2026.07.21\i#3\rrep\rrep#0_21_result\d#120\v#20\16\ping_collision_summary.csv</t>
  </si>
  <si>
    <t>D:\CBP_2026.07.21\i#3\rrep\rrep#0_21_result\d#120\v#20\17\ping_collision_summary.csv</t>
  </si>
  <si>
    <t>D:\CBP_2026.07.21\i#3\rrep\rrep#0_21_result\d#120\v#20\18\ping_collision_summary.csv</t>
  </si>
  <si>
    <t>D:\CBP_2026.07.21\i#3\rrep\rrep#0_21_result\d#120\v#20\19\ping_collision_summary.csv</t>
  </si>
  <si>
    <t>D:\CBP_2026.07.21\i#3\rrep\rrep#0_21_result\d#120\v#20\1\ping_collision_summary.csv</t>
  </si>
  <si>
    <t>D:\CBP_2026.07.21\i#3\rrep\rrep#0_21_result\d#120\v#20\20\ping_collision_summary.csv</t>
  </si>
  <si>
    <t>D:\CBP_2026.07.21\i#3\rrep\rrep#0_21_result\d#120\v#20\21\ping_collision_summary.csv</t>
  </si>
  <si>
    <t>D:\CBP_2026.07.21\i#3\rrep\rrep#0_21_result\d#120\v#20\22\ping_collision_summary.csv</t>
  </si>
  <si>
    <t>D:\CBP_2026.07.21\i#3\rrep\rrep#0_21_result\d#120\v#20\23\ping_collision_summary.csv</t>
  </si>
  <si>
    <t>D:\CBP_2026.07.21\i#3\rrep\rrep#0_21_result\d#120\v#20\24\ping_collision_summary.csv</t>
  </si>
  <si>
    <t>D:\CBP_2026.07.21\i#3\rrep\rrep#0_21_result\d#120\v#20\25\ping_collision_summary.csv</t>
  </si>
  <si>
    <t>D:\CBP_2026.07.21\i#3\rrep\rrep#0_21_result\d#120\v#20\26\ping_collision_summary.csv</t>
  </si>
  <si>
    <t>D:\CBP_2026.07.21\i#3\rrep\rrep#0_21_result\d#120\v#20\27\ping_collision_summary.csv</t>
  </si>
  <si>
    <t>D:\CBP_2026.07.21\i#3\rrep\rrep#0_21_result\d#120\v#20\28\ping_collision_summary.csv</t>
  </si>
  <si>
    <t>D:\CBP_2026.07.21\i#3\rrep\rrep#0_21_result\d#120\v#20\29\ping_collision_summary.csv</t>
  </si>
  <si>
    <t>D:\CBP_2026.07.21\i#3\rrep\rrep#0_21_result\d#120\v#20\2\ping_collision_summary.csv</t>
  </si>
  <si>
    <t>D:\CBP_2026.07.21\i#3\rrep\rrep#0_21_result\d#120\v#20\30\ping_collision_summary.csv</t>
  </si>
  <si>
    <t>D:\CBP_2026.07.21\i#3\rrep\rrep#0_21_result\d#120\v#20\3\ping_collision_summary.csv</t>
  </si>
  <si>
    <t>D:\CBP_2026.07.21\i#3\rrep\rrep#0_21_result\d#120\v#20\4\ping_collision_summary.csv</t>
  </si>
  <si>
    <t>D:\CBP_2026.07.21\i#3\rrep\rrep#0_21_result\d#120\v#20\5\ping_collision_summary.csv</t>
  </si>
  <si>
    <t>D:\CBP_2026.07.21\i#3\rrep\rrep#0_21_result\d#120\v#20\6\ping_collision_summary.csv</t>
  </si>
  <si>
    <t>D:\CBP_2026.07.21\i#3\rrep\rrep#0_21_result\d#120\v#20\7\ping_collision_summary.csv</t>
  </si>
  <si>
    <t>D:\CBP_2026.07.21\i#3\rrep\rrep#0_21_result\d#120\v#20\8\ping_collision_summary.csv</t>
  </si>
  <si>
    <t>D:\CBP_2026.07.21\i#3\rrep\rrep#0_21_result\d#120\v#20\9\ping_collision_summary.csv</t>
  </si>
  <si>
    <t>D:\CBP_2026.07.21\i#3\rrep\rrep#0_21_result\d#120\v#30\0\ping_collision_summary.csv</t>
  </si>
  <si>
    <t>D:\CBP_2026.07.21\i#3\rrep\rrep#0_21_result\d#120\v#30\10\ping_collision_summary.csv</t>
  </si>
  <si>
    <t>D:\CBP_2026.07.21\i#3\rrep\rrep#0_21_result\d#120\v#30\11\ping_collision_summary.csv</t>
  </si>
  <si>
    <t>D:\CBP_2026.07.21\i#3\rrep\rrep#0_21_result\d#120\v#30\12\ping_collision_summary.csv</t>
  </si>
  <si>
    <t>D:\CBP_2026.07.21\i#3\rrep\rrep#0_21_result\d#120\v#30\13\ping_collision_summary.csv</t>
  </si>
  <si>
    <t>D:\CBP_2026.07.21\i#3\rrep\rrep#0_21_result\d#120\v#30\14\ping_collision_summary.csv</t>
  </si>
  <si>
    <t>D:\CBP_2026.07.21\i#3\rrep\rrep#0_21_result\d#120\v#30\15\ping_collision_summary.csv</t>
  </si>
  <si>
    <t>D:\CBP_2026.07.21\i#3\rrep\rrep#0_21_result\d#120\v#30\16\ping_collision_summary.csv</t>
  </si>
  <si>
    <t>D:\CBP_2026.07.21\i#3\rrep\rrep#0_21_result\d#120\v#30\17\ping_collision_summary.csv</t>
  </si>
  <si>
    <t>D:\CBP_2026.07.21\i#3\rrep\rrep#0_21_result\d#120\v#30\18\ping_collision_summary.csv</t>
  </si>
  <si>
    <t>D:\CBP_2026.07.21\i#3\rrep\rrep#0_21_result\d#120\v#30\19\ping_collision_summary.csv</t>
  </si>
  <si>
    <t>D:\CBP_2026.07.21\i#3\rrep\rrep#0_21_result\d#120\v#30\1\ping_collision_summary.csv</t>
  </si>
  <si>
    <t>D:\CBP_2026.07.21\i#3\rrep\rrep#0_21_result\d#120\v#30\20\ping_collision_summary.csv</t>
  </si>
  <si>
    <t>D:\CBP_2026.07.21\i#3\rrep\rrep#0_21_result\d#120\v#30\21\ping_collision_summary.csv</t>
  </si>
  <si>
    <t>D:\CBP_2026.07.21\i#3\rrep\rrep#0_21_result\d#120\v#30\22\ping_collision_summary.csv</t>
  </si>
  <si>
    <t>D:\CBP_2026.07.21\i#3\rrep\rrep#0_21_result\d#120\v#30\23\ping_collision_summary.csv</t>
  </si>
  <si>
    <t>D:\CBP_2026.07.21\i#3\rrep\rrep#0_21_result\d#120\v#30\24\ping_collision_summary.csv</t>
  </si>
  <si>
    <t>D:\CBP_2026.07.21\i#3\rrep\rrep#0_21_result\d#120\v#30\25\ping_collision_summary.csv</t>
  </si>
  <si>
    <t>D:\CBP_2026.07.21\i#3\rrep\rrep#0_21_result\d#120\v#30\26\ping_collision_summary.csv</t>
  </si>
  <si>
    <t>D:\CBP_2026.07.21\i#3\rrep\rrep#0_21_result\d#120\v#30\27\ping_collision_summary.csv</t>
  </si>
  <si>
    <t>D:\CBP_2026.07.21\i#3\rrep\rrep#0_21_result\d#120\v#30\28\ping_collision_summary.csv</t>
  </si>
  <si>
    <t>D:\CBP_2026.07.21\i#3\rrep\rrep#0_21_result\d#120\v#30\29\ping_collision_summary.csv</t>
  </si>
  <si>
    <t>D:\CBP_2026.07.21\i#3\rrep\rrep#0_21_result\d#120\v#30\2\ping_collision_summary.csv</t>
  </si>
  <si>
    <t>D:\CBP_2026.07.21\i#3\rrep\rrep#0_21_result\d#120\v#30\30\ping_collision_summary.csv</t>
  </si>
  <si>
    <t>D:\CBP_2026.07.21\i#3\rrep\rrep#0_21_result\d#120\v#30\3\ping_collision_summary.csv</t>
  </si>
  <si>
    <t>D:\CBP_2026.07.21\i#3\rrep\rrep#0_21_result\d#120\v#30\4\ping_collision_summary.csv</t>
  </si>
  <si>
    <t>D:\CBP_2026.07.21\i#3\rrep\rrep#0_21_result\d#120\v#30\5\ping_collision_summary.csv</t>
  </si>
  <si>
    <t>D:\CBP_2026.07.21\i#3\rrep\rrep#0_21_result\d#120\v#30\6\ping_collision_summary.csv</t>
  </si>
  <si>
    <t>D:\CBP_2026.07.21\i#3\rrep\rrep#0_21_result\d#120\v#30\7\ping_collision_summary.csv</t>
  </si>
  <si>
    <t>D:\CBP_2026.07.21\i#3\rrep\rrep#0_21_result\d#120\v#30\8\ping_collision_summary.csv</t>
  </si>
  <si>
    <t>D:\CBP_2026.07.21\i#3\rrep\rrep#0_21_result\d#120\v#30\9\ping_collision_summary.csv</t>
  </si>
  <si>
    <t>D:\CBP_2026.07.21\i#3\rrep\rrep#0_21_result\d#70\v#10\0\ping_collision_summary.csv</t>
  </si>
  <si>
    <t>D:\CBP_2026.07.21\i#3\rrep\rrep#0_21_result\d#70\v#10\10\ping_collision_summary.csv</t>
  </si>
  <si>
    <t>D:\CBP_2026.07.21\i#3\rrep\rrep#0_21_result\d#70\v#10\11\ping_collision_summary.csv</t>
  </si>
  <si>
    <t>D:\CBP_2026.07.21\i#3\rrep\rrep#0_21_result\d#70\v#10\12\ping_collision_summary.csv</t>
  </si>
  <si>
    <t>D:\CBP_2026.07.21\i#3\rrep\rrep#0_21_result\d#70\v#10\13\ping_collision_summary.csv</t>
  </si>
  <si>
    <t>D:\CBP_2026.07.21\i#3\rrep\rrep#0_21_result\d#70\v#10\14\ping_collision_summary.csv</t>
  </si>
  <si>
    <t>D:\CBP_2026.07.21\i#3\rrep\rrep#0_21_result\d#70\v#10\15\ping_collision_summary.csv</t>
  </si>
  <si>
    <t>D:\CBP_2026.07.21\i#3\rrep\rrep#0_21_result\d#70\v#10\16\ping_collision_summary.csv</t>
  </si>
  <si>
    <t>D:\CBP_2026.07.21\i#3\rrep\rrep#0_21_result\d#70\v#10\17\ping_collision_summary.csv</t>
  </si>
  <si>
    <t>D:\CBP_2026.07.21\i#3\rrep\rrep#0_21_result\d#70\v#10\18\ping_collision_summary.csv</t>
  </si>
  <si>
    <t>D:\CBP_2026.07.21\i#3\rrep\rrep#0_21_result\d#70\v#10\19\ping_collision_summary.csv</t>
  </si>
  <si>
    <t>D:\CBP_2026.07.21\i#3\rrep\rrep#0_21_result\d#70\v#10\1\ping_collision_summary.csv</t>
  </si>
  <si>
    <t>D:\CBP_2026.07.21\i#3\rrep\rrep#0_21_result\d#70\v#10\20\ping_collision_summary.csv</t>
  </si>
  <si>
    <t>D:\CBP_2026.07.21\i#3\rrep\rrep#0_21_result\d#70\v#10\21\ping_collision_summary.csv</t>
  </si>
  <si>
    <t>D:\CBP_2026.07.21\i#3\rrep\rrep#0_21_result\d#70\v#10\22\ping_collision_summary.csv</t>
  </si>
  <si>
    <t>D:\CBP_2026.07.21\i#3\rrep\rrep#0_21_result\d#70\v#10\23\ping_collision_summary.csv</t>
  </si>
  <si>
    <t>D:\CBP_2026.07.21\i#3\rrep\rrep#0_21_result\d#70\v#10\24\ping_collision_summary.csv</t>
  </si>
  <si>
    <t>D:\CBP_2026.07.21\i#3\rrep\rrep#0_21_result\d#70\v#10\25\ping_collision_summary.csv</t>
  </si>
  <si>
    <t>D:\CBP_2026.07.21\i#3\rrep\rrep#0_21_result\d#70\v#10\26\ping_collision_summary.csv</t>
  </si>
  <si>
    <t>D:\CBP_2026.07.21\i#3\rrep\rrep#0_21_result\d#70\v#10\27\ping_collision_summary.csv</t>
  </si>
  <si>
    <t>D:\CBP_2026.07.21\i#3\rrep\rrep#0_21_result\d#70\v#10\28\ping_collision_summary.csv</t>
  </si>
  <si>
    <t>D:\CBP_2026.07.21\i#3\rrep\rrep#0_21_result\d#70\v#10\29\ping_collision_summary.csv</t>
  </si>
  <si>
    <t>D:\CBP_2026.07.21\i#3\rrep\rrep#0_21_result\d#70\v#10\2\ping_collision_summary.csv</t>
  </si>
  <si>
    <t>D:\CBP_2026.07.21\i#3\rrep\rrep#0_21_result\d#70\v#10\30\ping_collision_summary.csv</t>
  </si>
  <si>
    <t>D:\CBP_2026.07.21\i#3\rrep\rrep#0_21_result\d#70\v#10\3\ping_collision_summary.csv</t>
  </si>
  <si>
    <t>D:\CBP_2026.07.21\i#3\rrep\rrep#0_21_result\d#70\v#10\4\ping_collision_summary.csv</t>
  </si>
  <si>
    <t>D:\CBP_2026.07.21\i#3\rrep\rrep#0_21_result\d#70\v#10\5\ping_collision_summary.csv</t>
  </si>
  <si>
    <t>D:\CBP_2026.07.21\i#3\rrep\rrep#0_21_result\d#70\v#10\6\ping_collision_summary.csv</t>
  </si>
  <si>
    <t>D:\CBP_2026.07.21\i#3\rrep\rrep#0_21_result\d#70\v#10\7\ping_collision_summary.csv</t>
  </si>
  <si>
    <t>D:\CBP_2026.07.21\i#3\rrep\rrep#0_21_result\d#70\v#10\8\ping_collision_summary.csv</t>
  </si>
  <si>
    <t>D:\CBP_2026.07.21\i#3\rrep\rrep#0_21_result\d#70\v#10\9\ping_collision_summary.csv</t>
  </si>
  <si>
    <t>D:\CBP_2026.07.21\i#3\rrep\rrep#0_21_result\d#70\v#20\0\ping_collision_summary.csv</t>
  </si>
  <si>
    <t>D:\CBP_2026.07.21\i#3\rrep\rrep#0_21_result\d#70\v#20\10\ping_collision_summary.csv</t>
  </si>
  <si>
    <t>D:\CBP_2026.07.21\i#3\rrep\rrep#0_21_result\d#70\v#20\11\ping_collision_summary.csv</t>
  </si>
  <si>
    <t>D:\CBP_2026.07.21\i#3\rrep\rrep#0_21_result\d#70\v#20\12\ping_collision_summary.csv</t>
  </si>
  <si>
    <t>D:\CBP_2026.07.21\i#3\rrep\rrep#0_21_result\d#70\v#20\13\ping_collision_summary.csv</t>
  </si>
  <si>
    <t>D:\CBP_2026.07.21\i#3\rrep\rrep#0_21_result\d#70\v#20\14\ping_collision_summary.csv</t>
  </si>
  <si>
    <t>D:\CBP_2026.07.21\i#3\rrep\rrep#0_21_result\d#70\v#20\15\ping_collision_summary.csv</t>
  </si>
  <si>
    <t>D:\CBP_2026.07.21\i#3\rrep\rrep#0_21_result\d#70\v#20\16\ping_collision_summary.csv</t>
  </si>
  <si>
    <t>D:\CBP_2026.07.21\i#3\rrep\rrep#0_21_result\d#70\v#20\17\ping_collision_summary.csv</t>
  </si>
  <si>
    <t>D:\CBP_2026.07.21\i#3\rrep\rrep#0_21_result\d#70\v#20\18\ping_collision_summary.csv</t>
  </si>
  <si>
    <t>D:\CBP_2026.07.21\i#3\rrep\rrep#0_21_result\d#70\v#20\19\ping_collision_summary.csv</t>
  </si>
  <si>
    <t>D:\CBP_2026.07.21\i#3\rrep\rrep#0_21_result\d#70\v#20\1\ping_collision_summary.csv</t>
  </si>
  <si>
    <t>D:\CBP_2026.07.21\i#3\rrep\rrep#0_21_result\d#70\v#20\20\ping_collision_summary.csv</t>
  </si>
  <si>
    <t>D:\CBP_2026.07.21\i#3\rrep\rrep#0_21_result\d#70\v#20\21\ping_collision_summary.csv</t>
  </si>
  <si>
    <t>D:\CBP_2026.07.21\i#3\rrep\rrep#0_21_result\d#70\v#20\22\ping_collision_summary.csv</t>
  </si>
  <si>
    <t>D:\CBP_2026.07.21\i#3\rrep\rrep#0_21_result\d#70\v#20\23\ping_collision_summary.csv</t>
  </si>
  <si>
    <t>D:\CBP_2026.07.21\i#3\rrep\rrep#0_21_result\d#70\v#20\24\ping_collision_summary.csv</t>
  </si>
  <si>
    <t>D:\CBP_2026.07.21\i#3\rrep\rrep#0_21_result\d#70\v#20\25\ping_collision_summary.csv</t>
  </si>
  <si>
    <t>D:\CBP_2026.07.21\i#3\rrep\rrep#0_21_result\d#70\v#20\26\ping_collision_summary.csv</t>
  </si>
  <si>
    <t>D:\CBP_2026.07.21\i#3\rrep\rrep#0_21_result\d#70\v#20\27\ping_collision_summary.csv</t>
  </si>
  <si>
    <t>D:\CBP_2026.07.21\i#3\rrep\rrep#0_21_result\d#70\v#20\28\ping_collision_summary.csv</t>
  </si>
  <si>
    <t>D:\CBP_2026.07.21\i#3\rrep\rrep#0_21_result\d#70\v#20\29\ping_collision_summary.csv</t>
  </si>
  <si>
    <t>D:\CBP_2026.07.21\i#3\rrep\rrep#0_21_result\d#70\v#20\2\ping_collision_summary.csv</t>
  </si>
  <si>
    <t>D:\CBP_2026.07.21\i#3\rrep\rrep#0_21_result\d#70\v#20\30\ping_collision_summary.csv</t>
  </si>
  <si>
    <t>D:\CBP_2026.07.21\i#3\rrep\rrep#0_21_result\d#70\v#20\3\ping_collision_summary.csv</t>
  </si>
  <si>
    <t>D:\CBP_2026.07.21\i#3\rrep\rrep#0_21_result\d#70\v#20\4\ping_collision_summary.csv</t>
  </si>
  <si>
    <t>D:\CBP_2026.07.21\i#3\rrep\rrep#0_21_result\d#70\v#20\5\ping_collision_summary.csv</t>
  </si>
  <si>
    <t>D:\CBP_2026.07.21\i#3\rrep\rrep#0_21_result\d#70\v#20\6\ping_collision_summary.csv</t>
  </si>
  <si>
    <t>D:\CBP_2026.07.21\i#3\rrep\rrep#0_21_result\d#70\v#20\7\ping_collision_summary.csv</t>
  </si>
  <si>
    <t>D:\CBP_2026.07.21\i#3\rrep\rrep#0_21_result\d#70\v#20\8\ping_collision_summary.csv</t>
  </si>
  <si>
    <t>D:\CBP_2026.07.21\i#3\rrep\rrep#0_21_result\d#70\v#20\9\ping_collision_summary.csv</t>
  </si>
  <si>
    <t>D:\CBP_2026.07.21\i#3\rrep\rrep#0_21_result\d#70\v#30\0\ping_collision_summary.csv</t>
  </si>
  <si>
    <t>D:\CBP_2026.07.21\i#3\rrep\rrep#0_21_result\d#70\v#30\10\ping_collision_summary.csv</t>
  </si>
  <si>
    <t>D:\CBP_2026.07.21\i#3\rrep\rrep#0_21_result\d#70\v#30\11\ping_collision_summary.csv</t>
  </si>
  <si>
    <t>D:\CBP_2026.07.21\i#3\rrep\rrep#0_21_result\d#70\v#30\12\ping_collision_summary.csv</t>
  </si>
  <si>
    <t>D:\CBP_2026.07.21\i#3\rrep\rrep#0_21_result\d#70\v#30\13\ping_collision_summary.csv</t>
  </si>
  <si>
    <t>D:\CBP_2026.07.21\i#3\rrep\rrep#0_21_result\d#70\v#30\14\ping_collision_summary.csv</t>
  </si>
  <si>
    <t>D:\CBP_2026.07.21\i#3\rrep\rrep#0_21_result\d#70\v#30\15\ping_collision_summary.csv</t>
  </si>
  <si>
    <t>D:\CBP_2026.07.21\i#3\rrep\rrep#0_21_result\d#70\v#30\16\ping_collision_summary.csv</t>
  </si>
  <si>
    <t>D:\CBP_2026.07.21\i#3\rrep\rrep#0_21_result\d#70\v#30\17\ping_collision_summary.csv</t>
  </si>
  <si>
    <t>D:\CBP_2026.07.21\i#3\rrep\rrep#0_21_result\d#70\v#30\18\ping_collision_summary.csv</t>
  </si>
  <si>
    <t>D:\CBP_2026.07.21\i#3\rrep\rrep#0_21_result\d#70\v#30\19\ping_collision_summary.csv</t>
  </si>
  <si>
    <t>D:\CBP_2026.07.21\i#3\rrep\rrep#0_21_result\d#70\v#30\1\ping_collision_summary.csv</t>
  </si>
  <si>
    <t>D:\CBP_2026.07.21\i#3\rrep\rrep#0_21_result\d#70\v#30\20\ping_collision_summary.csv</t>
  </si>
  <si>
    <t>D:\CBP_2026.07.21\i#3\rrep\rrep#0_21_result\d#70\v#30\21\ping_collision_summary.csv</t>
  </si>
  <si>
    <t>D:\CBP_2026.07.21\i#3\rrep\rrep#0_21_result\d#70\v#30\22\ping_collision_summary.csv</t>
  </si>
  <si>
    <t>D:\CBP_2026.07.21\i#3\rrep\rrep#0_21_result\d#70\v#30\23\ping_collision_summary.csv</t>
  </si>
  <si>
    <t>D:\CBP_2026.07.21\i#3\rrep\rrep#0_21_result\d#70\v#30\24\ping_collision_summary.csv</t>
  </si>
  <si>
    <t>D:\CBP_2026.07.21\i#3\rrep\rrep#0_21_result\d#70\v#30\25\ping_collision_summary.csv</t>
  </si>
  <si>
    <t>D:\CBP_2026.07.21\i#3\rrep\rrep#0_21_result\d#70\v#30\26\ping_collision_summary.csv</t>
  </si>
  <si>
    <t>D:\CBP_2026.07.21\i#3\rrep\rrep#0_21_result\d#70\v#30\27\ping_collision_summary.csv</t>
  </si>
  <si>
    <t>D:\CBP_2026.07.21\i#3\rrep\rrep#0_21_result\d#70\v#30\28\ping_collision_summary.csv</t>
  </si>
  <si>
    <t>D:\CBP_2026.07.21\i#3\rrep\rrep#0_21_result\d#70\v#30\29\ping_collision_summary.csv</t>
  </si>
  <si>
    <t>D:\CBP_2026.07.21\i#3\rrep\rrep#0_21_result\d#70\v#30\2\ping_collision_summary.csv</t>
  </si>
  <si>
    <t>D:\CBP_2026.07.21\i#3\rrep\rrep#0_21_result\d#70\v#30\30\ping_collision_summary.csv</t>
  </si>
  <si>
    <t>D:\CBP_2026.07.21\i#3\rrep\rrep#0_21_result\d#70\v#30\3\ping_collision_summary.csv</t>
  </si>
  <si>
    <t>D:\CBP_2026.07.21\i#3\rrep\rrep#0_21_result\d#70\v#30\4\ping_collision_summary.csv</t>
  </si>
  <si>
    <t>D:\CBP_2026.07.21\i#3\rrep\rrep#0_21_result\d#70\v#30\5\ping_collision_summary.csv</t>
  </si>
  <si>
    <t>D:\CBP_2026.07.21\i#3\rrep\rrep#0_21_result\d#70\v#30\6\ping_collision_summary.csv</t>
  </si>
  <si>
    <t>D:\CBP_2026.07.21\i#3\rrep\rrep#0_21_result\d#70\v#30\7\ping_collision_summary.csv</t>
  </si>
  <si>
    <t>D:\CBP_2026.07.21\i#3\rrep\rrep#0_21_result\d#70\v#30\8\ping_collision_summary.csv</t>
  </si>
  <si>
    <t>D:\CBP_2026.07.21\i#3\rrep\rrep#0_21_result\d#70\v#30\9\ping_collision_summary.csv</t>
  </si>
  <si>
    <t>D:\CBP_2026.07.21\i#3\rrep\rrep#21_33_result\d#100\v#10\0\ping_collision_summary.csv</t>
  </si>
  <si>
    <t>D:\CBP_2026.07.21\i#3\rrep\rrep#21_33_result\d#100\v#10\10\ping_collision_summary.csv</t>
  </si>
  <si>
    <t>D:\CBP_2026.07.21\i#3\rrep\rrep#21_33_result\d#100\v#10\11\ping_collision_summary.csv</t>
  </si>
  <si>
    <t>D:\CBP_2026.07.21\i#3\rrep\rrep#21_33_result\d#100\v#10\12\ping_collision_summary.csv</t>
  </si>
  <si>
    <t>D:\CBP_2026.07.21\i#3\rrep\rrep#21_33_result\d#100\v#10\13\ping_collision_summary.csv</t>
  </si>
  <si>
    <t>D:\CBP_2026.07.21\i#3\rrep\rrep#21_33_result\d#100\v#10\14\ping_collision_summary.csv</t>
  </si>
  <si>
    <t>D:\CBP_2026.07.21\i#3\rrep\rrep#21_33_result\d#100\v#10\15\ping_collision_summary.csv</t>
  </si>
  <si>
    <t>D:\CBP_2026.07.21\i#3\rrep\rrep#21_33_result\d#100\v#10\16\ping_collision_summary.csv</t>
  </si>
  <si>
    <t>D:\CBP_2026.07.21\i#3\rrep\rrep#21_33_result\d#100\v#10\17\ping_collision_summary.csv</t>
  </si>
  <si>
    <t>D:\CBP_2026.07.21\i#3\rrep\rrep#21_33_result\d#100\v#10\18\ping_collision_summary.csv</t>
  </si>
  <si>
    <t>D:\CBP_2026.07.21\i#3\rrep\rrep#21_33_result\d#100\v#10\19\ping_collision_summary.csv</t>
  </si>
  <si>
    <t>D:\CBP_2026.07.21\i#3\rrep\rrep#21_33_result\d#100\v#10\1\ping_collision_summary.csv</t>
  </si>
  <si>
    <t>D:\CBP_2026.07.21\i#3\rrep\rrep#21_33_result\d#100\v#10\20\ping_collision_summary.csv</t>
  </si>
  <si>
    <t>D:\CBP_2026.07.21\i#3\rrep\rrep#21_33_result\d#100\v#10\21\ping_collision_summary.csv</t>
  </si>
  <si>
    <t>D:\CBP_2026.07.21\i#3\rrep\rrep#21_33_result\d#100\v#10\22\ping_collision_summary.csv</t>
  </si>
  <si>
    <t>D:\CBP_2026.07.21\i#3\rrep\rrep#21_33_result\d#100\v#10\23\ping_collision_summary.csv</t>
  </si>
  <si>
    <t>D:\CBP_2026.07.21\i#3\rrep\rrep#21_33_result\d#100\v#10\24\ping_collision_summary.csv</t>
  </si>
  <si>
    <t>D:\CBP_2026.07.21\i#3\rrep\rrep#21_33_result\d#100\v#10\25\ping_collision_summary.csv</t>
  </si>
  <si>
    <t>D:\CBP_2026.07.21\i#3\rrep\rrep#21_33_result\d#100\v#10\26\ping_collision_summary.csv</t>
  </si>
  <si>
    <t>D:\CBP_2026.07.21\i#3\rrep\rrep#21_33_result\d#100\v#10\27\ping_collision_summary.csv</t>
  </si>
  <si>
    <t>D:\CBP_2026.07.21\i#3\rrep\rrep#21_33_result\d#100\v#10\28\ping_collision_summary.csv</t>
  </si>
  <si>
    <t>D:\CBP_2026.07.21\i#3\rrep\rrep#21_33_result\d#100\v#10\29\ping_collision_summary.csv</t>
  </si>
  <si>
    <t>D:\CBP_2026.07.21\i#3\rrep\rrep#21_33_result\d#100\v#10\2\ping_collision_summary.csv</t>
  </si>
  <si>
    <t>D:\CBP_2026.07.21\i#3\rrep\rrep#21_33_result\d#100\v#10\30\ping_collision_summary.csv</t>
  </si>
  <si>
    <t>D:\CBP_2026.07.21\i#3\rrep\rrep#21_33_result\d#100\v#10\3\ping_collision_summary.csv</t>
  </si>
  <si>
    <t>D:\CBP_2026.07.21\i#3\rrep\rrep#21_33_result\d#100\v#10\4\ping_collision_summary.csv</t>
  </si>
  <si>
    <t>D:\CBP_2026.07.21\i#3\rrep\rrep#21_33_result\d#100\v#10\5\ping_collision_summary.csv</t>
  </si>
  <si>
    <t>D:\CBP_2026.07.21\i#3\rrep\rrep#21_33_result\d#100\v#10\6\ping_collision_summary.csv</t>
  </si>
  <si>
    <t>D:\CBP_2026.07.21\i#3\rrep\rrep#21_33_result\d#100\v#10\7\ping_collision_summary.csv</t>
  </si>
  <si>
    <t>D:\CBP_2026.07.21\i#3\rrep\rrep#21_33_result\d#100\v#10\8\ping_collision_summary.csv</t>
  </si>
  <si>
    <t>D:\CBP_2026.07.21\i#3\rrep\rrep#21_33_result\d#100\v#10\9\ping_collision_summary.csv</t>
  </si>
  <si>
    <t>D:\CBP_2026.07.21\i#3\rrep\rrep#21_33_result\d#100\v#20\0\ping_collision_summary.csv</t>
  </si>
  <si>
    <t>D:\CBP_2026.07.21\i#3\rrep\rrep#21_33_result\d#100\v#20\10\ping_collision_summary.csv</t>
  </si>
  <si>
    <t>D:\CBP_2026.07.21\i#3\rrep\rrep#21_33_result\d#100\v#20\11\ping_collision_summary.csv</t>
  </si>
  <si>
    <t>D:\CBP_2026.07.21\i#3\rrep\rrep#21_33_result\d#100\v#20\12\ping_collision_summary.csv</t>
  </si>
  <si>
    <t>D:\CBP_2026.07.21\i#3\rrep\rrep#21_33_result\d#100\v#20\13\ping_collision_summary.csv</t>
  </si>
  <si>
    <t>D:\CBP_2026.07.21\i#3\rrep\rrep#21_33_result\d#100\v#20\14\ping_collision_summary.csv</t>
  </si>
  <si>
    <t>D:\CBP_2026.07.21\i#3\rrep\rrep#21_33_result\d#100\v#20\15\ping_collision_summary.csv</t>
  </si>
  <si>
    <t>D:\CBP_2026.07.21\i#3\rrep\rrep#21_33_result\d#100\v#20\16\ping_collision_summary.csv</t>
  </si>
  <si>
    <t>D:\CBP_2026.07.21\i#3\rrep\rrep#21_33_result\d#100\v#20\17\ping_collision_summary.csv</t>
  </si>
  <si>
    <t>D:\CBP_2026.07.21\i#3\rrep\rrep#21_33_result\d#100\v#20\18\ping_collision_summary.csv</t>
  </si>
  <si>
    <t>D:\CBP_2026.07.21\i#3\rrep\rrep#21_33_result\d#100\v#20\19\ping_collision_summary.csv</t>
  </si>
  <si>
    <t>D:\CBP_2026.07.21\i#3\rrep\rrep#21_33_result\d#100\v#20\1\ping_collision_summary.csv</t>
  </si>
  <si>
    <t>D:\CBP_2026.07.21\i#3\rrep\rrep#21_33_result\d#100\v#20\20\ping_collision_summary.csv</t>
  </si>
  <si>
    <t>D:\CBP_2026.07.21\i#3\rrep\rrep#21_33_result\d#100\v#20\21\ping_collision_summary.csv</t>
  </si>
  <si>
    <t>D:\CBP_2026.07.21\i#3\rrep\rrep#21_33_result\d#100\v#20\22\ping_collision_summary.csv</t>
  </si>
  <si>
    <t>D:\CBP_2026.07.21\i#3\rrep\rrep#21_33_result\d#100\v#20\23\ping_collision_summary.csv</t>
  </si>
  <si>
    <t>D:\CBP_2026.07.21\i#3\rrep\rrep#21_33_result\d#100\v#20\24\ping_collision_summary.csv</t>
  </si>
  <si>
    <t>D:\CBP_2026.07.21\i#3\rrep\rrep#21_33_result\d#100\v#20\25\ping_collision_summary.csv</t>
  </si>
  <si>
    <t>D:\CBP_2026.07.21\i#3\rrep\rrep#21_33_result\d#100\v#20\26\ping_collision_summary.csv</t>
  </si>
  <si>
    <t>D:\CBP_2026.07.21\i#3\rrep\rrep#21_33_result\d#100\v#20\27\ping_collision_summary.csv</t>
  </si>
  <si>
    <t>D:\CBP_2026.07.21\i#3\rrep\rrep#21_33_result\d#100\v#20\28\ping_collision_summary.csv</t>
  </si>
  <si>
    <t>D:\CBP_2026.07.21\i#3\rrep\rrep#21_33_result\d#100\v#20\29\ping_collision_summary.csv</t>
  </si>
  <si>
    <t>D:\CBP_2026.07.21\i#3\rrep\rrep#21_33_result\d#100\v#20\2\ping_collision_summary.csv</t>
  </si>
  <si>
    <t>D:\CBP_2026.07.21\i#3\rrep\rrep#21_33_result\d#100\v#20\30\ping_collision_summary.csv</t>
  </si>
  <si>
    <t>D:\CBP_2026.07.21\i#3\rrep\rrep#21_33_result\d#100\v#20\3\ping_collision_summary.csv</t>
  </si>
  <si>
    <t>D:\CBP_2026.07.21\i#3\rrep\rrep#21_33_result\d#100\v#20\4\ping_collision_summary.csv</t>
  </si>
  <si>
    <t>D:\CBP_2026.07.21\i#3\rrep\rrep#21_33_result\d#100\v#20\5\ping_collision_summary.csv</t>
  </si>
  <si>
    <t>D:\CBP_2026.07.21\i#3\rrep\rrep#21_33_result\d#100\v#20\6\ping_collision_summary.csv</t>
  </si>
  <si>
    <t>D:\CBP_2026.07.21\i#3\rrep\rrep#21_33_result\d#100\v#20\7\ping_collision_summary.csv</t>
  </si>
  <si>
    <t>D:\CBP_2026.07.21\i#3\rrep\rrep#21_33_result\d#100\v#20\8\ping_collision_summary.csv</t>
  </si>
  <si>
    <t>D:\CBP_2026.07.21\i#3\rrep\rrep#21_33_result\d#100\v#20\9\ping_collision_summary.csv</t>
  </si>
  <si>
    <t>D:\CBP_2026.07.21\i#3\rrep\rrep#21_33_result\d#100\v#30\0\ping_collision_summary.csv</t>
  </si>
  <si>
    <t>D:\CBP_2026.07.21\i#3\rrep\rrep#21_33_result\d#100\v#30\10\ping_collision_summary.csv</t>
  </si>
  <si>
    <t>D:\CBP_2026.07.21\i#3\rrep\rrep#21_33_result\d#100\v#30\11\ping_collision_summary.csv</t>
  </si>
  <si>
    <t>D:\CBP_2026.07.21\i#3\rrep\rrep#21_33_result\d#100\v#30\12\ping_collision_summary.csv</t>
  </si>
  <si>
    <t>D:\CBP_2026.07.21\i#3\rrep\rrep#21_33_result\d#100\v#30\13\ping_collision_summary.csv</t>
  </si>
  <si>
    <t>D:\CBP_2026.07.21\i#3\rrep\rrep#21_33_result\d#100\v#30\14\ping_collision_summary.csv</t>
  </si>
  <si>
    <t>D:\CBP_2026.07.21\i#3\rrep\rrep#21_33_result\d#100\v#30\15\ping_collision_summary.csv</t>
  </si>
  <si>
    <t>D:\CBP_2026.07.21\i#3\rrep\rrep#21_33_result\d#100\v#30\16\ping_collision_summary.csv</t>
  </si>
  <si>
    <t>D:\CBP_2026.07.21\i#3\rrep\rrep#21_33_result\d#100\v#30\17\ping_collision_summary.csv</t>
  </si>
  <si>
    <t>D:\CBP_2026.07.21\i#3\rrep\rrep#21_33_result\d#100\v#30\18\ping_collision_summary.csv</t>
  </si>
  <si>
    <t>D:\CBP_2026.07.21\i#3\rrep\rrep#21_33_result\d#100\v#30\19\ping_collision_summary.csv</t>
  </si>
  <si>
    <t>D:\CBP_2026.07.21\i#3\rrep\rrep#21_33_result\d#100\v#30\1\ping_collision_summary.csv</t>
  </si>
  <si>
    <t>D:\CBP_2026.07.21\i#3\rrep\rrep#21_33_result\d#100\v#30\20\ping_collision_summary.csv</t>
  </si>
  <si>
    <t>D:\CBP_2026.07.21\i#3\rrep\rrep#21_33_result\d#100\v#30\21\ping_collision_summary.csv</t>
  </si>
  <si>
    <t>D:\CBP_2026.07.21\i#3\rrep\rrep#21_33_result\d#100\v#30\22\ping_collision_summary.csv</t>
  </si>
  <si>
    <t>D:\CBP_2026.07.21\i#3\rrep\rrep#21_33_result\d#100\v#30\23\ping_collision_summary.csv</t>
  </si>
  <si>
    <t>D:\CBP_2026.07.21\i#3\rrep\rrep#21_33_result\d#100\v#30\24\ping_collision_summary.csv</t>
  </si>
  <si>
    <t>D:\CBP_2026.07.21\i#3\rrep\rrep#21_33_result\d#100\v#30\25\ping_collision_summary.csv</t>
  </si>
  <si>
    <t>D:\CBP_2026.07.21\i#3\rrep\rrep#21_33_result\d#100\v#30\26\ping_collision_summary.csv</t>
  </si>
  <si>
    <t>D:\CBP_2026.07.21\i#3\rrep\rrep#21_33_result\d#100\v#30\27\ping_collision_summary.csv</t>
  </si>
  <si>
    <t>D:\CBP_2026.07.21\i#3\rrep\rrep#21_33_result\d#100\v#30\28\ping_collision_summary.csv</t>
  </si>
  <si>
    <t>D:\CBP_2026.07.21\i#3\rrep\rrep#21_33_result\d#100\v#30\29\ping_collision_summary.csv</t>
  </si>
  <si>
    <t>D:\CBP_2026.07.21\i#3\rrep\rrep#21_33_result\d#100\v#30\2\ping_collision_summary.csv</t>
  </si>
  <si>
    <t>D:\CBP_2026.07.21\i#3\rrep\rrep#21_33_result\d#100\v#30\30\ping_collision_summary.csv</t>
  </si>
  <si>
    <t>D:\CBP_2026.07.21\i#3\rrep\rrep#21_33_result\d#100\v#30\3\ping_collision_summary.csv</t>
  </si>
  <si>
    <t>D:\CBP_2026.07.21\i#3\rrep\rrep#21_33_result\d#100\v#30\4\ping_collision_summary.csv</t>
  </si>
  <si>
    <t>D:\CBP_2026.07.21\i#3\rrep\rrep#21_33_result\d#100\v#30\5\ping_collision_summary.csv</t>
  </si>
  <si>
    <t>D:\CBP_2026.07.21\i#3\rrep\rrep#21_33_result\d#100\v#30\6\ping_collision_summary.csv</t>
  </si>
  <si>
    <t>D:\CBP_2026.07.21\i#3\rrep\rrep#21_33_result\d#100\v#30\7\ping_collision_summary.csv</t>
  </si>
  <si>
    <t>D:\CBP_2026.07.21\i#3\rrep\rrep#21_33_result\d#100\v#30\8\ping_collision_summary.csv</t>
  </si>
  <si>
    <t>D:\CBP_2026.07.21\i#3\rrep\rrep#21_33_result\d#100\v#30\9\ping_collision_summary.csv</t>
  </si>
  <si>
    <t>D:\CBP_2026.07.21\i#3\rrep\rrep#21_33_result\d#120\v#10\0\ping_collision_summary.csv</t>
  </si>
  <si>
    <t>D:\CBP_2026.07.21\i#3\rrep\rrep#21_33_result\d#120\v#10\10\ping_collision_summary.csv</t>
  </si>
  <si>
    <t>D:\CBP_2026.07.21\i#3\rrep\rrep#21_33_result\d#120\v#10\11\ping_collision_summary.csv</t>
  </si>
  <si>
    <t>D:\CBP_2026.07.21\i#3\rrep\rrep#21_33_result\d#120\v#10\12\ping_collision_summary.csv</t>
  </si>
  <si>
    <t>D:\CBP_2026.07.21\i#3\rrep\rrep#21_33_result\d#120\v#10\13\ping_collision_summary.csv</t>
  </si>
  <si>
    <t>D:\CBP_2026.07.21\i#3\rrep\rrep#21_33_result\d#120\v#10\14\ping_collision_summary.csv</t>
  </si>
  <si>
    <t>D:\CBP_2026.07.21\i#3\rrep\rrep#21_33_result\d#120\v#10\15\ping_collision_summary.csv</t>
  </si>
  <si>
    <t>D:\CBP_2026.07.21\i#3\rrep\rrep#21_33_result\d#120\v#10\16\ping_collision_summary.csv</t>
  </si>
  <si>
    <t>D:\CBP_2026.07.21\i#3\rrep\rrep#21_33_result\d#120\v#10\17\ping_collision_summary.csv</t>
  </si>
  <si>
    <t>D:\CBP_2026.07.21\i#3\rrep\rrep#21_33_result\d#120\v#10\18\ping_collision_summary.csv</t>
  </si>
  <si>
    <t>D:\CBP_2026.07.21\i#3\rrep\rrep#21_33_result\d#120\v#10\19\ping_collision_summary.csv</t>
  </si>
  <si>
    <t>D:\CBP_2026.07.21\i#3\rrep\rrep#21_33_result\d#120\v#10\1\ping_collision_summary.csv</t>
  </si>
  <si>
    <t>D:\CBP_2026.07.21\i#3\rrep\rrep#21_33_result\d#120\v#10\20\ping_collision_summary.csv</t>
  </si>
  <si>
    <t>D:\CBP_2026.07.21\i#3\rrep\rrep#21_33_result\d#120\v#10\21\ping_collision_summary.csv</t>
  </si>
  <si>
    <t>D:\CBP_2026.07.21\i#3\rrep\rrep#21_33_result\d#120\v#10\22\ping_collision_summary.csv</t>
  </si>
  <si>
    <t>D:\CBP_2026.07.21\i#3\rrep\rrep#21_33_result\d#120\v#10\23\ping_collision_summary.csv</t>
  </si>
  <si>
    <t>D:\CBP_2026.07.21\i#3\rrep\rrep#21_33_result\d#120\v#10\24\ping_collision_summary.csv</t>
  </si>
  <si>
    <t>D:\CBP_2026.07.21\i#3\rrep\rrep#21_33_result\d#120\v#10\25\ping_collision_summary.csv</t>
  </si>
  <si>
    <t>D:\CBP_2026.07.21\i#3\rrep\rrep#21_33_result\d#120\v#10\26\ping_collision_summary.csv</t>
  </si>
  <si>
    <t>D:\CBP_2026.07.21\i#3\rrep\rrep#21_33_result\d#120\v#10\27\ping_collision_summary.csv</t>
  </si>
  <si>
    <t>D:\CBP_2026.07.21\i#3\rrep\rrep#21_33_result\d#120\v#10\28\ping_collision_summary.csv</t>
  </si>
  <si>
    <t>D:\CBP_2026.07.21\i#3\rrep\rrep#21_33_result\d#120\v#10\29\ping_collision_summary.csv</t>
  </si>
  <si>
    <t>D:\CBP_2026.07.21\i#3\rrep\rrep#21_33_result\d#120\v#10\2\ping_collision_summary.csv</t>
  </si>
  <si>
    <t>D:\CBP_2026.07.21\i#3\rrep\rrep#21_33_result\d#120\v#10\30\ping_collision_summary.csv</t>
  </si>
  <si>
    <t>D:\CBP_2026.07.21\i#3\rrep\rrep#21_33_result\d#120\v#10\3\ping_collision_summary.csv</t>
  </si>
  <si>
    <t>D:\CBP_2026.07.21\i#3\rrep\rrep#21_33_result\d#120\v#10\4\ping_collision_summary.csv</t>
  </si>
  <si>
    <t>D:\CBP_2026.07.21\i#3\rrep\rrep#21_33_result\d#120\v#10\5\ping_collision_summary.csv</t>
  </si>
  <si>
    <t>D:\CBP_2026.07.21\i#3\rrep\rrep#21_33_result\d#120\v#10\6\ping_collision_summary.csv</t>
  </si>
  <si>
    <t>D:\CBP_2026.07.21\i#3\rrep\rrep#21_33_result\d#120\v#10\7\ping_collision_summary.csv</t>
  </si>
  <si>
    <t>D:\CBP_2026.07.21\i#3\rrep\rrep#21_33_result\d#120\v#10\8\ping_collision_summary.csv</t>
  </si>
  <si>
    <t>D:\CBP_2026.07.21\i#3\rrep\rrep#21_33_result\d#120\v#10\9\ping_collision_summary.csv</t>
  </si>
  <si>
    <t>D:\CBP_2026.07.21\i#3\rrep\rrep#21_33_result\d#120\v#20\0\ping_collision_summary.csv</t>
  </si>
  <si>
    <t>D:\CBP_2026.07.21\i#3\rrep\rrep#21_33_result\d#120\v#20\10\ping_collision_summary.csv</t>
  </si>
  <si>
    <t>D:\CBP_2026.07.21\i#3\rrep\rrep#21_33_result\d#120\v#20\11\ping_collision_summary.csv</t>
  </si>
  <si>
    <t>D:\CBP_2026.07.21\i#3\rrep\rrep#21_33_result\d#120\v#20\12\ping_collision_summary.csv</t>
  </si>
  <si>
    <t>D:\CBP_2026.07.21\i#3\rrep\rrep#21_33_result\d#120\v#20\13\ping_collision_summary.csv</t>
  </si>
  <si>
    <t>D:\CBP_2026.07.21\i#3\rrep\rrep#21_33_result\d#120\v#20\14\ping_collision_summary.csv</t>
  </si>
  <si>
    <t>D:\CBP_2026.07.21\i#3\rrep\rrep#21_33_result\d#120\v#20\15\ping_collision_summary.csv</t>
  </si>
  <si>
    <t>D:\CBP_2026.07.21\i#3\rrep\rrep#21_33_result\d#120\v#20\16\ping_collision_summary.csv</t>
  </si>
  <si>
    <t>D:\CBP_2026.07.21\i#3\rrep\rrep#21_33_result\d#120\v#20\17\ping_collision_summary.csv</t>
  </si>
  <si>
    <t>D:\CBP_2026.07.21\i#3\rrep\rrep#21_33_result\d#120\v#20\18\ping_collision_summary.csv</t>
  </si>
  <si>
    <t>D:\CBP_2026.07.21\i#3\rrep\rrep#21_33_result\d#120\v#20\19\ping_collision_summary.csv</t>
  </si>
  <si>
    <t>D:\CBP_2026.07.21\i#3\rrep\rrep#21_33_result\d#120\v#20\1\ping_collision_summary.csv</t>
  </si>
  <si>
    <t>D:\CBP_2026.07.21\i#3\rrep\rrep#21_33_result\d#120\v#20\20\ping_collision_summary.csv</t>
  </si>
  <si>
    <t>D:\CBP_2026.07.21\i#3\rrep\rrep#21_33_result\d#120\v#20\21\ping_collision_summary.csv</t>
  </si>
  <si>
    <t>D:\CBP_2026.07.21\i#3\rrep\rrep#21_33_result\d#120\v#20\22\ping_collision_summary.csv</t>
  </si>
  <si>
    <t>D:\CBP_2026.07.21\i#3\rrep\rrep#21_33_result\d#120\v#20\23\ping_collision_summary.csv</t>
  </si>
  <si>
    <t>D:\CBP_2026.07.21\i#3\rrep\rrep#21_33_result\d#120\v#20\24\ping_collision_summary.csv</t>
  </si>
  <si>
    <t>D:\CBP_2026.07.21\i#3\rrep\rrep#21_33_result\d#120\v#20\25\ping_collision_summary.csv</t>
  </si>
  <si>
    <t>D:\CBP_2026.07.21\i#3\rrep\rrep#21_33_result\d#120\v#20\26\ping_collision_summary.csv</t>
  </si>
  <si>
    <t>D:\CBP_2026.07.21\i#3\rrep\rrep#21_33_result\d#120\v#20\27\ping_collision_summary.csv</t>
  </si>
  <si>
    <t>D:\CBP_2026.07.21\i#3\rrep\rrep#21_33_result\d#120\v#20\28\ping_collision_summary.csv</t>
  </si>
  <si>
    <t>D:\CBP_2026.07.21\i#3\rrep\rrep#21_33_result\d#120\v#20\29\ping_collision_summary.csv</t>
  </si>
  <si>
    <t>D:\CBP_2026.07.21\i#3\rrep\rrep#21_33_result\d#120\v#20\2\ping_collision_summary.csv</t>
  </si>
  <si>
    <t>D:\CBP_2026.07.21\i#3\rrep\rrep#21_33_result\d#120\v#20\30\ping_collision_summary.csv</t>
  </si>
  <si>
    <t>D:\CBP_2026.07.21\i#3\rrep\rrep#21_33_result\d#120\v#20\3\ping_collision_summary.csv</t>
  </si>
  <si>
    <t>D:\CBP_2026.07.21\i#3\rrep\rrep#21_33_result\d#120\v#20\4\ping_collision_summary.csv</t>
  </si>
  <si>
    <t>D:\CBP_2026.07.21\i#3\rrep\rrep#21_33_result\d#120\v#20\5\ping_collision_summary.csv</t>
  </si>
  <si>
    <t>D:\CBP_2026.07.21\i#3\rrep\rrep#21_33_result\d#120\v#20\6\ping_collision_summary.csv</t>
  </si>
  <si>
    <t>D:\CBP_2026.07.21\i#3\rrep\rrep#21_33_result\d#120\v#20\7\ping_collision_summary.csv</t>
  </si>
  <si>
    <t>D:\CBP_2026.07.21\i#3\rrep\rrep#21_33_result\d#120\v#20\8\ping_collision_summary.csv</t>
  </si>
  <si>
    <t>D:\CBP_2026.07.21\i#3\rrep\rrep#21_33_result\d#120\v#20\9\ping_collision_summary.csv</t>
  </si>
  <si>
    <t>D:\CBP_2026.07.21\i#3\rrep\rrep#21_33_result\d#120\v#30\0\ping_collision_summary.csv</t>
  </si>
  <si>
    <t>D:\CBP_2026.07.21\i#3\rrep\rrep#21_33_result\d#120\v#30\10\ping_collision_summary.csv</t>
  </si>
  <si>
    <t>D:\CBP_2026.07.21\i#3\rrep\rrep#21_33_result\d#120\v#30\11\ping_collision_summary.csv</t>
  </si>
  <si>
    <t>D:\CBP_2026.07.21\i#3\rrep\rrep#21_33_result\d#120\v#30\12\ping_collision_summary.csv</t>
  </si>
  <si>
    <t>D:\CBP_2026.07.21\i#3\rrep\rrep#21_33_result\d#120\v#30\13\ping_collision_summary.csv</t>
  </si>
  <si>
    <t>D:\CBP_2026.07.21\i#3\rrep\rrep#21_33_result\d#120\v#30\14\ping_collision_summary.csv</t>
  </si>
  <si>
    <t>D:\CBP_2026.07.21\i#3\rrep\rrep#21_33_result\d#120\v#30\15\ping_collision_summary.csv</t>
  </si>
  <si>
    <t>D:\CBP_2026.07.21\i#3\rrep\rrep#21_33_result\d#120\v#30\16\ping_collision_summary.csv</t>
  </si>
  <si>
    <t>D:\CBP_2026.07.21\i#3\rrep\rrep#21_33_result\d#120\v#30\17\ping_collision_summary.csv</t>
  </si>
  <si>
    <t>D:\CBP_2026.07.21\i#3\rrep\rrep#21_33_result\d#120\v#30\18\ping_collision_summary.csv</t>
  </si>
  <si>
    <t>D:\CBP_2026.07.21\i#3\rrep\rrep#21_33_result\d#120\v#30\19\ping_collision_summary.csv</t>
  </si>
  <si>
    <t>D:\CBP_2026.07.21\i#3\rrep\rrep#21_33_result\d#120\v#30\1\ping_collision_summary.csv</t>
  </si>
  <si>
    <t>D:\CBP_2026.07.21\i#3\rrep\rrep#21_33_result\d#120\v#30\20\ping_collision_summary.csv</t>
  </si>
  <si>
    <t>D:\CBP_2026.07.21\i#3\rrep\rrep#21_33_result\d#120\v#30\21\ping_collision_summary.csv</t>
  </si>
  <si>
    <t>D:\CBP_2026.07.21\i#3\rrep\rrep#21_33_result\d#120\v#30\22\ping_collision_summary.csv</t>
  </si>
  <si>
    <t>D:\CBP_2026.07.21\i#3\rrep\rrep#21_33_result\d#120\v#30\23\ping_collision_summary.csv</t>
  </si>
  <si>
    <t>D:\CBP_2026.07.21\i#3\rrep\rrep#21_33_result\d#120\v#30\24\ping_collision_summary.csv</t>
  </si>
  <si>
    <t>D:\CBP_2026.07.21\i#3\rrep\rrep#21_33_result\d#120\v#30\25\ping_collision_summary.csv</t>
  </si>
  <si>
    <t>D:\CBP_2026.07.21\i#3\rrep\rrep#21_33_result\d#120\v#30\26\ping_collision_summary.csv</t>
  </si>
  <si>
    <t>D:\CBP_2026.07.21\i#3\rrep\rrep#21_33_result\d#120\v#30\27\ping_collision_summary.csv</t>
  </si>
  <si>
    <t>D:\CBP_2026.07.21\i#3\rrep\rrep#21_33_result\d#120\v#30\28\ping_collision_summary.csv</t>
  </si>
  <si>
    <t>D:\CBP_2026.07.21\i#3\rrep\rrep#21_33_result\d#120\v#30\29\ping_collision_summary.csv</t>
  </si>
  <si>
    <t>D:\CBP_2026.07.21\i#3\rrep\rrep#21_33_result\d#120\v#30\2\ping_collision_summary.csv</t>
  </si>
  <si>
    <t>D:\CBP_2026.07.21\i#3\rrep\rrep#21_33_result\d#120\v#30\30\ping_collision_summary.csv</t>
  </si>
  <si>
    <t>D:\CBP_2026.07.21\i#3\rrep\rrep#21_33_result\d#120\v#30\3\ping_collision_summary.csv</t>
  </si>
  <si>
    <t>D:\CBP_2026.07.21\i#3\rrep\rrep#21_33_result\d#120\v#30\4\ping_collision_summary.csv</t>
  </si>
  <si>
    <t>D:\CBP_2026.07.21\i#3\rrep\rrep#21_33_result\d#120\v#30\5\ping_collision_summary.csv</t>
  </si>
  <si>
    <t>D:\CBP_2026.07.21\i#3\rrep\rrep#21_33_result\d#120\v#30\6\ping_collision_summary.csv</t>
  </si>
  <si>
    <t>D:\CBP_2026.07.21\i#3\rrep\rrep#21_33_result\d#120\v#30\7\ping_collision_summary.csv</t>
  </si>
  <si>
    <t>D:\CBP_2026.07.21\i#3\rrep\rrep#21_33_result\d#120\v#30\8\ping_collision_summary.csv</t>
  </si>
  <si>
    <t>D:\CBP_2026.07.21\i#3\rrep\rrep#21_33_result\d#120\v#30\9\ping_collision_summary.csv</t>
  </si>
  <si>
    <t>D:\CBP_2026.07.21\i#3\rrep\rrep#21_33_result\d#70\v#10\0\ping_collision_summary.csv</t>
  </si>
  <si>
    <t>D:\CBP_2026.07.21\i#3\rrep\rrep#21_33_result\d#70\v#10\10\ping_collision_summary.csv</t>
  </si>
  <si>
    <t>D:\CBP_2026.07.21\i#3\rrep\rrep#21_33_result\d#70\v#10\11\ping_collision_summary.csv</t>
  </si>
  <si>
    <t>D:\CBP_2026.07.21\i#3\rrep\rrep#21_33_result\d#70\v#10\12\ping_collision_summary.csv</t>
  </si>
  <si>
    <t>D:\CBP_2026.07.21\i#3\rrep\rrep#21_33_result\d#70\v#10\13\ping_collision_summary.csv</t>
  </si>
  <si>
    <t>D:\CBP_2026.07.21\i#3\rrep\rrep#21_33_result\d#70\v#10\14\ping_collision_summary.csv</t>
  </si>
  <si>
    <t>D:\CBP_2026.07.21\i#3\rrep\rrep#21_33_result\d#70\v#10\15\ping_collision_summary.csv</t>
  </si>
  <si>
    <t>D:\CBP_2026.07.21\i#3\rrep\rrep#21_33_result\d#70\v#10\16\ping_collision_summary.csv</t>
  </si>
  <si>
    <t>D:\CBP_2026.07.21\i#3\rrep\rrep#21_33_result\d#70\v#10\17\ping_collision_summary.csv</t>
  </si>
  <si>
    <t>D:\CBP_2026.07.21\i#3\rrep\rrep#21_33_result\d#70\v#10\18\ping_collision_summary.csv</t>
  </si>
  <si>
    <t>D:\CBP_2026.07.21\i#3\rrep\rrep#21_33_result\d#70\v#10\19\ping_collision_summary.csv</t>
  </si>
  <si>
    <t>D:\CBP_2026.07.21\i#3\rrep\rrep#21_33_result\d#70\v#10\1\ping_collision_summary.csv</t>
  </si>
  <si>
    <t>D:\CBP_2026.07.21\i#3\rrep\rrep#21_33_result\d#70\v#10\20\ping_collision_summary.csv</t>
  </si>
  <si>
    <t>D:\CBP_2026.07.21\i#3\rrep\rrep#21_33_result\d#70\v#10\21\ping_collision_summary.csv</t>
  </si>
  <si>
    <t>D:\CBP_2026.07.21\i#3\rrep\rrep#21_33_result\d#70\v#10\22\ping_collision_summary.csv</t>
  </si>
  <si>
    <t>D:\CBP_2026.07.21\i#3\rrep\rrep#21_33_result\d#70\v#10\23\ping_collision_summary.csv</t>
  </si>
  <si>
    <t>D:\CBP_2026.07.21\i#3\rrep\rrep#21_33_result\d#70\v#10\24\ping_collision_summary.csv</t>
  </si>
  <si>
    <t>D:\CBP_2026.07.21\i#3\rrep\rrep#21_33_result\d#70\v#10\25\ping_collision_summary.csv</t>
  </si>
  <si>
    <t>D:\CBP_2026.07.21\i#3\rrep\rrep#21_33_result\d#70\v#10\26\ping_collision_summary.csv</t>
  </si>
  <si>
    <t>D:\CBP_2026.07.21\i#3\rrep\rrep#21_33_result\d#70\v#10\27\ping_collision_summary.csv</t>
  </si>
  <si>
    <t>D:\CBP_2026.07.21\i#3\rrep\rrep#21_33_result\d#70\v#10\28\ping_collision_summary.csv</t>
  </si>
  <si>
    <t>D:\CBP_2026.07.21\i#3\rrep\rrep#21_33_result\d#70\v#10\29\ping_collision_summary.csv</t>
  </si>
  <si>
    <t>D:\CBP_2026.07.21\i#3\rrep\rrep#21_33_result\d#70\v#10\2\ping_collision_summary.csv</t>
  </si>
  <si>
    <t>D:\CBP_2026.07.21\i#3\rrep\rrep#21_33_result\d#70\v#10\30\ping_collision_summary.csv</t>
  </si>
  <si>
    <t>D:\CBP_2026.07.21\i#3\rrep\rrep#21_33_result\d#70\v#10\3\ping_collision_summary.csv</t>
  </si>
  <si>
    <t>D:\CBP_2026.07.21\i#3\rrep\rrep#21_33_result\d#70\v#10\4\ping_collision_summary.csv</t>
  </si>
  <si>
    <t>D:\CBP_2026.07.21\i#3\rrep\rrep#21_33_result\d#70\v#10\5\ping_collision_summary.csv</t>
  </si>
  <si>
    <t>D:\CBP_2026.07.21\i#3\rrep\rrep#21_33_result\d#70\v#10\6\ping_collision_summary.csv</t>
  </si>
  <si>
    <t>D:\CBP_2026.07.21\i#3\rrep\rrep#21_33_result\d#70\v#10\7\ping_collision_summary.csv</t>
  </si>
  <si>
    <t>D:\CBP_2026.07.21\i#3\rrep\rrep#21_33_result\d#70\v#10\8\ping_collision_summary.csv</t>
  </si>
  <si>
    <t>D:\CBP_2026.07.21\i#3\rrep\rrep#21_33_result\d#70\v#10\9\ping_collision_summary.csv</t>
  </si>
  <si>
    <t>D:\CBP_2026.07.21\i#3\rrep\rrep#21_33_result\d#70\v#20\0\ping_collision_summary.csv</t>
  </si>
  <si>
    <t>D:\CBP_2026.07.21\i#3\rrep\rrep#21_33_result\d#70\v#20\10\ping_collision_summary.csv</t>
  </si>
  <si>
    <t>D:\CBP_2026.07.21\i#3\rrep\rrep#21_33_result\d#70\v#20\11\ping_collision_summary.csv</t>
  </si>
  <si>
    <t>D:\CBP_2026.07.21\i#3\rrep\rrep#21_33_result\d#70\v#20\12\ping_collision_summary.csv</t>
  </si>
  <si>
    <t>D:\CBP_2026.07.21\i#3\rrep\rrep#21_33_result\d#70\v#20\13\ping_collision_summary.csv</t>
  </si>
  <si>
    <t>D:\CBP_2026.07.21\i#3\rrep\rrep#21_33_result\d#70\v#20\14\ping_collision_summary.csv</t>
  </si>
  <si>
    <t>D:\CBP_2026.07.21\i#3\rrep\rrep#21_33_result\d#70\v#20\15\ping_collision_summary.csv</t>
  </si>
  <si>
    <t>D:\CBP_2026.07.21\i#3\rrep\rrep#21_33_result\d#70\v#20\16\ping_collision_summary.csv</t>
  </si>
  <si>
    <t>D:\CBP_2026.07.21\i#3\rrep\rrep#21_33_result\d#70\v#20\17\ping_collision_summary.csv</t>
  </si>
  <si>
    <t>D:\CBP_2026.07.21\i#3\rrep\rrep#21_33_result\d#70\v#20\18\ping_collision_summary.csv</t>
  </si>
  <si>
    <t>D:\CBP_2026.07.21\i#3\rrep\rrep#21_33_result\d#70\v#20\19\ping_collision_summary.csv</t>
  </si>
  <si>
    <t>D:\CBP_2026.07.21\i#3\rrep\rrep#21_33_result\d#70\v#20\1\ping_collision_summary.csv</t>
  </si>
  <si>
    <t>D:\CBP_2026.07.21\i#3\rrep\rrep#21_33_result\d#70\v#20\20\ping_collision_summary.csv</t>
  </si>
  <si>
    <t>D:\CBP_2026.07.21\i#3\rrep\rrep#21_33_result\d#70\v#20\21\ping_collision_summary.csv</t>
  </si>
  <si>
    <t>D:\CBP_2026.07.21\i#3\rrep\rrep#21_33_result\d#70\v#20\22\ping_collision_summary.csv</t>
  </si>
  <si>
    <t>D:\CBP_2026.07.21\i#3\rrep\rrep#21_33_result\d#70\v#20\23\ping_collision_summary.csv</t>
  </si>
  <si>
    <t>D:\CBP_2026.07.21\i#3\rrep\rrep#21_33_result\d#70\v#20\24\ping_collision_summary.csv</t>
  </si>
  <si>
    <t>D:\CBP_2026.07.21\i#3\rrep\rrep#21_33_result\d#70\v#20\25\ping_collision_summary.csv</t>
  </si>
  <si>
    <t>D:\CBP_2026.07.21\i#3\rrep\rrep#21_33_result\d#70\v#20\26\ping_collision_summary.csv</t>
  </si>
  <si>
    <t>D:\CBP_2026.07.21\i#3\rrep\rrep#21_33_result\d#70\v#20\27\ping_collision_summary.csv</t>
  </si>
  <si>
    <t>D:\CBP_2026.07.21\i#3\rrep\rrep#21_33_result\d#70\v#20\28\ping_collision_summary.csv</t>
  </si>
  <si>
    <t>D:\CBP_2026.07.21\i#3\rrep\rrep#21_33_result\d#70\v#20\29\ping_collision_summary.csv</t>
  </si>
  <si>
    <t>D:\CBP_2026.07.21\i#3\rrep\rrep#21_33_result\d#70\v#20\2\ping_collision_summary.csv</t>
  </si>
  <si>
    <t>D:\CBP_2026.07.21\i#3\rrep\rrep#21_33_result\d#70\v#20\30\ping_collision_summary.csv</t>
  </si>
  <si>
    <t>D:\CBP_2026.07.21\i#3\rrep\rrep#21_33_result\d#70\v#20\3\ping_collision_summary.csv</t>
  </si>
  <si>
    <t>D:\CBP_2026.07.21\i#3\rrep\rrep#21_33_result\d#70\v#20\4\ping_collision_summary.csv</t>
  </si>
  <si>
    <t>D:\CBP_2026.07.21\i#3\rrep\rrep#21_33_result\d#70\v#20\5\ping_collision_summary.csv</t>
  </si>
  <si>
    <t>D:\CBP_2026.07.21\i#3\rrep\rrep#21_33_result\d#70\v#20\6\ping_collision_summary.csv</t>
  </si>
  <si>
    <t>D:\CBP_2026.07.21\i#3\rrep\rrep#21_33_result\d#70\v#20\7\ping_collision_summary.csv</t>
  </si>
  <si>
    <t>D:\CBP_2026.07.21\i#3\rrep\rrep#21_33_result\d#70\v#20\8\ping_collision_summary.csv</t>
  </si>
  <si>
    <t>D:\CBP_2026.07.21\i#3\rrep\rrep#21_33_result\d#70\v#20\9\ping_collision_summary.csv</t>
  </si>
  <si>
    <t>D:\CBP_2026.07.21\i#3\rrep\rrep#21_33_result\d#70\v#30\0\ping_collision_summary.csv</t>
  </si>
  <si>
    <t>D:\CBP_2026.07.21\i#3\rrep\rrep#21_33_result\d#70\v#30\10\ping_collision_summary.csv</t>
  </si>
  <si>
    <t>D:\CBP_2026.07.21\i#3\rrep\rrep#21_33_result\d#70\v#30\11\ping_collision_summary.csv</t>
  </si>
  <si>
    <t>D:\CBP_2026.07.21\i#3\rrep\rrep#21_33_result\d#70\v#30\12\ping_collision_summary.csv</t>
  </si>
  <si>
    <t>D:\CBP_2026.07.21\i#3\rrep\rrep#21_33_result\d#70\v#30\13\ping_collision_summary.csv</t>
  </si>
  <si>
    <t>D:\CBP_2026.07.21\i#3\rrep\rrep#21_33_result\d#70\v#30\14\ping_collision_summary.csv</t>
  </si>
  <si>
    <t>D:\CBP_2026.07.21\i#3\rrep\rrep#21_33_result\d#70\v#30\15\ping_collision_summary.csv</t>
  </si>
  <si>
    <t>D:\CBP_2026.07.21\i#3\rrep\rrep#21_33_result\d#70\v#30\16\ping_collision_summary.csv</t>
  </si>
  <si>
    <t>D:\CBP_2026.07.21\i#3\rrep\rrep#21_33_result\d#70\v#30\17\ping_collision_summary.csv</t>
  </si>
  <si>
    <t>D:\CBP_2026.07.21\i#3\rrep\rrep#21_33_result\d#70\v#30\18\ping_collision_summary.csv</t>
  </si>
  <si>
    <t>D:\CBP_2026.07.21\i#3\rrep\rrep#21_33_result\d#70\v#30\19\ping_collision_summary.csv</t>
  </si>
  <si>
    <t>D:\CBP_2026.07.21\i#3\rrep\rrep#21_33_result\d#70\v#30\1\ping_collision_summary.csv</t>
  </si>
  <si>
    <t>D:\CBP_2026.07.21\i#3\rrep\rrep#21_33_result\d#70\v#30\20\ping_collision_summary.csv</t>
  </si>
  <si>
    <t>D:\CBP_2026.07.21\i#3\rrep\rrep#21_33_result\d#70\v#30\21\ping_collision_summary.csv</t>
  </si>
  <si>
    <t>D:\CBP_2026.07.21\i#3\rrep\rrep#21_33_result\d#70\v#30\22\ping_collision_summary.csv</t>
  </si>
  <si>
    <t>D:\CBP_2026.07.21\i#3\rrep\rrep#21_33_result\d#70\v#30\23\ping_collision_summary.csv</t>
  </si>
  <si>
    <t>D:\CBP_2026.07.21\i#3\rrep\rrep#21_33_result\d#70\v#30\24\ping_collision_summary.csv</t>
  </si>
  <si>
    <t>D:\CBP_2026.07.21\i#3\rrep\rrep#21_33_result\d#70\v#30\25\ping_collision_summary.csv</t>
  </si>
  <si>
    <t>D:\CBP_2026.07.21\i#3\rrep\rrep#21_33_result\d#70\v#30\26\ping_collision_summary.csv</t>
  </si>
  <si>
    <t>D:\CBP_2026.07.21\i#3\rrep\rrep#21_33_result\d#70\v#30\27\ping_collision_summary.csv</t>
  </si>
  <si>
    <t>D:\CBP_2026.07.21\i#3\rrep\rrep#21_33_result\d#70\v#30\28\ping_collision_summary.csv</t>
  </si>
  <si>
    <t>D:\CBP_2026.07.21\i#3\rrep\rrep#21_33_result\d#70\v#30\29\ping_collision_summary.csv</t>
  </si>
  <si>
    <t>D:\CBP_2026.07.21\i#3\rrep\rrep#21_33_result\d#70\v#30\2\ping_collision_summary.csv</t>
  </si>
  <si>
    <t>D:\CBP_2026.07.21\i#3\rrep\rrep#21_33_result\d#70\v#30\30\ping_collision_summary.csv</t>
  </si>
  <si>
    <t>D:\CBP_2026.07.21\i#3\rrep\rrep#21_33_result\d#70\v#30\3\ping_collision_summary.csv</t>
  </si>
  <si>
    <t>D:\CBP_2026.07.21\i#3\rrep\rrep#21_33_result\d#70\v#30\4\ping_collision_summary.csv</t>
  </si>
  <si>
    <t>D:\CBP_2026.07.21\i#3\rrep\rrep#21_33_result\d#70\v#30\5\ping_collision_summary.csv</t>
  </si>
  <si>
    <t>D:\CBP_2026.07.21\i#3\rrep\rrep#21_33_result\d#70\v#30\6\ping_collision_summary.csv</t>
  </si>
  <si>
    <t>D:\CBP_2026.07.21\i#3\rrep\rrep#21_33_result\d#70\v#30\7\ping_collision_summary.csv</t>
  </si>
  <si>
    <t>D:\CBP_2026.07.21\i#3\rrep\rrep#21_33_result\d#70\v#30\8\ping_collision_summary.csv</t>
  </si>
  <si>
    <t>D:\CBP_2026.07.21\i#3\rrep\rrep#21_33_result\d#70\v#30\9\ping_collision_summary.csv</t>
  </si>
  <si>
    <t>D:\CBP_2026.07.21\i#3\rrep\rrep#33_44_result\d#100\v#10\0\ping_collision_summary.csv</t>
  </si>
  <si>
    <t>D:\CBP_2026.07.21\i#3\rrep\rrep#33_44_result\d#100\v#10\10\ping_collision_summary.csv</t>
  </si>
  <si>
    <t>D:\CBP_2026.07.21\i#3\rrep\rrep#33_44_result\d#100\v#10\11\ping_collision_summary.csv</t>
  </si>
  <si>
    <t>D:\CBP_2026.07.21\i#3\rrep\rrep#33_44_result\d#100\v#10\12\ping_collision_summary.csv</t>
  </si>
  <si>
    <t>D:\CBP_2026.07.21\i#3\rrep\rrep#33_44_result\d#100\v#10\13\ping_collision_summary.csv</t>
  </si>
  <si>
    <t>D:\CBP_2026.07.21\i#3\rrep\rrep#33_44_result\d#100\v#10\14\ping_collision_summary.csv</t>
  </si>
  <si>
    <t>D:\CBP_2026.07.21\i#3\rrep\rrep#33_44_result\d#100\v#10\15\ping_collision_summary.csv</t>
  </si>
  <si>
    <t>D:\CBP_2026.07.21\i#3\rrep\rrep#33_44_result\d#100\v#10\16\ping_collision_summary.csv</t>
  </si>
  <si>
    <t>D:\CBP_2026.07.21\i#3\rrep\rrep#33_44_result\d#100\v#10\17\ping_collision_summary.csv</t>
  </si>
  <si>
    <t>D:\CBP_2026.07.21\i#3\rrep\rrep#33_44_result\d#100\v#10\18\ping_collision_summary.csv</t>
  </si>
  <si>
    <t>D:\CBP_2026.07.21\i#3\rrep\rrep#33_44_result\d#100\v#10\19\ping_collision_summary.csv</t>
  </si>
  <si>
    <t>D:\CBP_2026.07.21\i#3\rrep\rrep#33_44_result\d#100\v#10\1\ping_collision_summary.csv</t>
  </si>
  <si>
    <t>D:\CBP_2026.07.21\i#3\rrep\rrep#33_44_result\d#100\v#10\20\ping_collision_summary.csv</t>
  </si>
  <si>
    <t>D:\CBP_2026.07.21\i#3\rrep\rrep#33_44_result\d#100\v#10\21\ping_collision_summary.csv</t>
  </si>
  <si>
    <t>D:\CBP_2026.07.21\i#3\rrep\rrep#33_44_result\d#100\v#10\22\ping_collision_summary.csv</t>
  </si>
  <si>
    <t>D:\CBP_2026.07.21\i#3\rrep\rrep#33_44_result\d#100\v#10\23\ping_collision_summary.csv</t>
  </si>
  <si>
    <t>D:\CBP_2026.07.21\i#3\rrep\rrep#33_44_result\d#100\v#10\24\ping_collision_summary.csv</t>
  </si>
  <si>
    <t>D:\CBP_2026.07.21\i#3\rrep\rrep#33_44_result\d#100\v#10\25\ping_collision_summary.csv</t>
  </si>
  <si>
    <t>D:\CBP_2026.07.21\i#3\rrep\rrep#33_44_result\d#100\v#10\26\ping_collision_summary.csv</t>
  </si>
  <si>
    <t>D:\CBP_2026.07.21\i#3\rrep\rrep#33_44_result\d#100\v#10\27\ping_collision_summary.csv</t>
  </si>
  <si>
    <t>D:\CBP_2026.07.21\i#3\rrep\rrep#33_44_result\d#100\v#10\28\ping_collision_summary.csv</t>
  </si>
  <si>
    <t>D:\CBP_2026.07.21\i#3\rrep\rrep#33_44_result\d#100\v#10\29\ping_collision_summary.csv</t>
  </si>
  <si>
    <t>D:\CBP_2026.07.21\i#3\rrep\rrep#33_44_result\d#100\v#10\2\ping_collision_summary.csv</t>
  </si>
  <si>
    <t>D:\CBP_2026.07.21\i#3\rrep\rrep#33_44_result\d#100\v#10\30\ping_collision_summary.csv</t>
  </si>
  <si>
    <t>D:\CBP_2026.07.21\i#3\rrep\rrep#33_44_result\d#100\v#10\3\ping_collision_summary.csv</t>
  </si>
  <si>
    <t>D:\CBP_2026.07.21\i#3\rrep\rrep#33_44_result\d#100\v#10\4\ping_collision_summary.csv</t>
  </si>
  <si>
    <t>D:\CBP_2026.07.21\i#3\rrep\rrep#33_44_result\d#100\v#10\5\ping_collision_summary.csv</t>
  </si>
  <si>
    <t>D:\CBP_2026.07.21\i#3\rrep\rrep#33_44_result\d#100\v#10\6\ping_collision_summary.csv</t>
  </si>
  <si>
    <t>D:\CBP_2026.07.21\i#3\rrep\rrep#33_44_result\d#100\v#10\7\ping_collision_summary.csv</t>
  </si>
  <si>
    <t>D:\CBP_2026.07.21\i#3\rrep\rrep#33_44_result\d#100\v#10\8\ping_collision_summary.csv</t>
  </si>
  <si>
    <t>D:\CBP_2026.07.21\i#3\rrep\rrep#33_44_result\d#100\v#10\9\ping_collision_summary.csv</t>
  </si>
  <si>
    <t>D:\CBP_2026.07.21\i#3\rrep\rrep#33_44_result\d#100\v#20\0\ping_collision_summary.csv</t>
  </si>
  <si>
    <t>D:\CBP_2026.07.21\i#3\rrep\rrep#33_44_result\d#100\v#20\10\ping_collision_summary.csv</t>
  </si>
  <si>
    <t>D:\CBP_2026.07.21\i#3\rrep\rrep#33_44_result\d#100\v#20\11\ping_collision_summary.csv</t>
  </si>
  <si>
    <t>D:\CBP_2026.07.21\i#3\rrep\rrep#33_44_result\d#100\v#20\12\ping_collision_summary.csv</t>
  </si>
  <si>
    <t>D:\CBP_2026.07.21\i#3\rrep\rrep#33_44_result\d#100\v#20\13\ping_collision_summary.csv</t>
  </si>
  <si>
    <t>D:\CBP_2026.07.21\i#3\rrep\rrep#33_44_result\d#100\v#20\14\ping_collision_summary.csv</t>
  </si>
  <si>
    <t>D:\CBP_2026.07.21\i#3\rrep\rrep#33_44_result\d#100\v#20\15\ping_collision_summary.csv</t>
  </si>
  <si>
    <t>D:\CBP_2026.07.21\i#3\rrep\rrep#33_44_result\d#100\v#20\16\ping_collision_summary.csv</t>
  </si>
  <si>
    <t>D:\CBP_2026.07.21\i#3\rrep\rrep#33_44_result\d#100\v#20\17\ping_collision_summary.csv</t>
  </si>
  <si>
    <t>D:\CBP_2026.07.21\i#3\rrep\rrep#33_44_result\d#100\v#20\18\ping_collision_summary.csv</t>
  </si>
  <si>
    <t>D:\CBP_2026.07.21\i#3\rrep\rrep#33_44_result\d#100\v#20\19\ping_collision_summary.csv</t>
  </si>
  <si>
    <t>D:\CBP_2026.07.21\i#3\rrep\rrep#33_44_result\d#100\v#20\1\ping_collision_summary.csv</t>
  </si>
  <si>
    <t>D:\CBP_2026.07.21\i#3\rrep\rrep#33_44_result\d#100\v#20\20\ping_collision_summary.csv</t>
  </si>
  <si>
    <t>D:\CBP_2026.07.21\i#3\rrep\rrep#33_44_result\d#100\v#20\21\ping_collision_summary.csv</t>
  </si>
  <si>
    <t>D:\CBP_2026.07.21\i#3\rrep\rrep#33_44_result\d#100\v#20\22\ping_collision_summary.csv</t>
  </si>
  <si>
    <t>D:\CBP_2026.07.21\i#3\rrep\rrep#33_44_result\d#100\v#20\23\ping_collision_summary.csv</t>
  </si>
  <si>
    <t>D:\CBP_2026.07.21\i#3\rrep\rrep#33_44_result\d#100\v#20\24\ping_collision_summary.csv</t>
  </si>
  <si>
    <t>D:\CBP_2026.07.21\i#3\rrep\rrep#33_44_result\d#100\v#20\25\ping_collision_summary.csv</t>
  </si>
  <si>
    <t>D:\CBP_2026.07.21\i#3\rrep\rrep#33_44_result\d#100\v#20\26\ping_collision_summary.csv</t>
  </si>
  <si>
    <t>D:\CBP_2026.07.21\i#3\rrep\rrep#33_44_result\d#100\v#20\27\ping_collision_summary.csv</t>
  </si>
  <si>
    <t>D:\CBP_2026.07.21\i#3\rrep\rrep#33_44_result\d#100\v#20\28\ping_collision_summary.csv</t>
  </si>
  <si>
    <t>D:\CBP_2026.07.21\i#3\rrep\rrep#33_44_result\d#100\v#20\29\ping_collision_summary.csv</t>
  </si>
  <si>
    <t>D:\CBP_2026.07.21\i#3\rrep\rrep#33_44_result\d#100\v#20\2\ping_collision_summary.csv</t>
  </si>
  <si>
    <t>D:\CBP_2026.07.21\i#3\rrep\rrep#33_44_result\d#100\v#20\30\ping_collision_summary.csv</t>
  </si>
  <si>
    <t>D:\CBP_2026.07.21\i#3\rrep\rrep#33_44_result\d#100\v#20\3\ping_collision_summary.csv</t>
  </si>
  <si>
    <t>D:\CBP_2026.07.21\i#3\rrep\rrep#33_44_result\d#100\v#20\4\ping_collision_summary.csv</t>
  </si>
  <si>
    <t>D:\CBP_2026.07.21\i#3\rrep\rrep#33_44_result\d#100\v#20\5\ping_collision_summary.csv</t>
  </si>
  <si>
    <t>D:\CBP_2026.07.21\i#3\rrep\rrep#33_44_result\d#100\v#20\6\ping_collision_summary.csv</t>
  </si>
  <si>
    <t>D:\CBP_2026.07.21\i#3\rrep\rrep#33_44_result\d#100\v#20\7\ping_collision_summary.csv</t>
  </si>
  <si>
    <t>D:\CBP_2026.07.21\i#3\rrep\rrep#33_44_result\d#100\v#20\8\ping_collision_summary.csv</t>
  </si>
  <si>
    <t>D:\CBP_2026.07.21\i#3\rrep\rrep#33_44_result\d#100\v#20\9\ping_collision_summary.csv</t>
  </si>
  <si>
    <t>D:\CBP_2026.07.21\i#3\rrep\rrep#33_44_result\d#100\v#30\0\ping_collision_summary.csv</t>
  </si>
  <si>
    <t>D:\CBP_2026.07.21\i#3\rrep\rrep#33_44_result\d#100\v#30\10\ping_collision_summary.csv</t>
  </si>
  <si>
    <t>D:\CBP_2026.07.21\i#3\rrep\rrep#33_44_result\d#100\v#30\11\ping_collision_summary.csv</t>
  </si>
  <si>
    <t>D:\CBP_2026.07.21\i#3\rrep\rrep#33_44_result\d#100\v#30\12\ping_collision_summary.csv</t>
  </si>
  <si>
    <t>D:\CBP_2026.07.21\i#3\rrep\rrep#33_44_result\d#100\v#30\13\ping_collision_summary.csv</t>
  </si>
  <si>
    <t>D:\CBP_2026.07.21\i#3\rrep\rrep#33_44_result\d#100\v#30\14\ping_collision_summary.csv</t>
  </si>
  <si>
    <t>D:\CBP_2026.07.21\i#3\rrep\rrep#33_44_result\d#100\v#30\15\ping_collision_summary.csv</t>
  </si>
  <si>
    <t>D:\CBP_2026.07.21\i#3\rrep\rrep#33_44_result\d#100\v#30\16\ping_collision_summary.csv</t>
  </si>
  <si>
    <t>D:\CBP_2026.07.21\i#3\rrep\rrep#33_44_result\d#100\v#30\17\ping_collision_summary.csv</t>
  </si>
  <si>
    <t>D:\CBP_2026.07.21\i#3\rrep\rrep#33_44_result\d#100\v#30\18\ping_collision_summary.csv</t>
  </si>
  <si>
    <t>D:\CBP_2026.07.21\i#3\rrep\rrep#33_44_result\d#100\v#30\19\ping_collision_summary.csv</t>
  </si>
  <si>
    <t>D:\CBP_2026.07.21\i#3\rrep\rrep#33_44_result\d#100\v#30\1\ping_collision_summary.csv</t>
  </si>
  <si>
    <t>D:\CBP_2026.07.21\i#3\rrep\rrep#33_44_result\d#100\v#30\20\ping_collision_summary.csv</t>
  </si>
  <si>
    <t>D:\CBP_2026.07.21\i#3\rrep\rrep#33_44_result\d#100\v#30\21\ping_collision_summary.csv</t>
  </si>
  <si>
    <t>D:\CBP_2026.07.21\i#3\rrep\rrep#33_44_result\d#100\v#30\22\ping_collision_summary.csv</t>
  </si>
  <si>
    <t>D:\CBP_2026.07.21\i#3\rrep\rrep#33_44_result\d#100\v#30\23\ping_collision_summary.csv</t>
  </si>
  <si>
    <t>D:\CBP_2026.07.21\i#3\rrep\rrep#33_44_result\d#100\v#30\24\ping_collision_summary.csv</t>
  </si>
  <si>
    <t>D:\CBP_2026.07.21\i#3\rrep\rrep#33_44_result\d#100\v#30\25\ping_collision_summary.csv</t>
  </si>
  <si>
    <t>D:\CBP_2026.07.21\i#3\rrep\rrep#33_44_result\d#100\v#30\26\ping_collision_summary.csv</t>
  </si>
  <si>
    <t>D:\CBP_2026.07.21\i#3\rrep\rrep#33_44_result\d#100\v#30\27\ping_collision_summary.csv</t>
  </si>
  <si>
    <t>D:\CBP_2026.07.21\i#3\rrep\rrep#33_44_result\d#100\v#30\28\ping_collision_summary.csv</t>
  </si>
  <si>
    <t>D:\CBP_2026.07.21\i#3\rrep\rrep#33_44_result\d#100\v#30\29\ping_collision_summary.csv</t>
  </si>
  <si>
    <t>D:\CBP_2026.07.21\i#3\rrep\rrep#33_44_result\d#100\v#30\2\ping_collision_summary.csv</t>
  </si>
  <si>
    <t>D:\CBP_2026.07.21\i#3\rrep\rrep#33_44_result\d#100\v#30\30\ping_collision_summary.csv</t>
  </si>
  <si>
    <t>D:\CBP_2026.07.21\i#3\rrep\rrep#33_44_result\d#100\v#30\3\ping_collision_summary.csv</t>
  </si>
  <si>
    <t>D:\CBP_2026.07.21\i#3\rrep\rrep#33_44_result\d#100\v#30\4\ping_collision_summary.csv</t>
  </si>
  <si>
    <t>D:\CBP_2026.07.21\i#3\rrep\rrep#33_44_result\d#100\v#30\5\ping_collision_summary.csv</t>
  </si>
  <si>
    <t>D:\CBP_2026.07.21\i#3\rrep\rrep#33_44_result\d#100\v#30\6\ping_collision_summary.csv</t>
  </si>
  <si>
    <t>D:\CBP_2026.07.21\i#3\rrep\rrep#33_44_result\d#100\v#30\7\ping_collision_summary.csv</t>
  </si>
  <si>
    <t>D:\CBP_2026.07.21\i#3\rrep\rrep#33_44_result\d#100\v#30\8\ping_collision_summary.csv</t>
  </si>
  <si>
    <t>D:\CBP_2026.07.21\i#3\rrep\rrep#33_44_result\d#100\v#30\9\ping_collision_summary.csv</t>
  </si>
  <si>
    <t>D:\CBP_2026.07.21\i#3\rrep\rrep#33_44_result\d#120\v#10\0\ping_collision_summary.csv</t>
  </si>
  <si>
    <t>D:\CBP_2026.07.21\i#3\rrep\rrep#33_44_result\d#120\v#10\10\ping_collision_summary.csv</t>
  </si>
  <si>
    <t>D:\CBP_2026.07.21\i#3\rrep\rrep#33_44_result\d#120\v#10\11\ping_collision_summary.csv</t>
  </si>
  <si>
    <t>D:\CBP_2026.07.21\i#3\rrep\rrep#33_44_result\d#120\v#10\12\ping_collision_summary.csv</t>
  </si>
  <si>
    <t>D:\CBP_2026.07.21\i#3\rrep\rrep#33_44_result\d#120\v#10\13\ping_collision_summary.csv</t>
  </si>
  <si>
    <t>D:\CBP_2026.07.21\i#3\rrep\rrep#33_44_result\d#120\v#10\14\ping_collision_summary.csv</t>
  </si>
  <si>
    <t>D:\CBP_2026.07.21\i#3\rrep\rrep#33_44_result\d#120\v#10\15\ping_collision_summary.csv</t>
  </si>
  <si>
    <t>D:\CBP_2026.07.21\i#3\rrep\rrep#33_44_result\d#120\v#10\16\ping_collision_summary.csv</t>
  </si>
  <si>
    <t>D:\CBP_2026.07.21\i#3\rrep\rrep#33_44_result\d#120\v#10\17\ping_collision_summary.csv</t>
  </si>
  <si>
    <t>D:\CBP_2026.07.21\i#3\rrep\rrep#33_44_result\d#120\v#10\18\ping_collision_summary.csv</t>
  </si>
  <si>
    <t>D:\CBP_2026.07.21\i#3\rrep\rrep#33_44_result\d#120\v#10\19\ping_collision_summary.csv</t>
  </si>
  <si>
    <t>D:\CBP_2026.07.21\i#3\rrep\rrep#33_44_result\d#120\v#10\1\ping_collision_summary.csv</t>
  </si>
  <si>
    <t>D:\CBP_2026.07.21\i#3\rrep\rrep#33_44_result\d#120\v#10\20\ping_collision_summary.csv</t>
  </si>
  <si>
    <t>D:\CBP_2026.07.21\i#3\rrep\rrep#33_44_result\d#120\v#10\21\ping_collision_summary.csv</t>
  </si>
  <si>
    <t>D:\CBP_2026.07.21\i#3\rrep\rrep#33_44_result\d#120\v#10\22\ping_collision_summary.csv</t>
  </si>
  <si>
    <t>D:\CBP_2026.07.21\i#3\rrep\rrep#33_44_result\d#120\v#10\23\ping_collision_summary.csv</t>
  </si>
  <si>
    <t>D:\CBP_2026.07.21\i#3\rrep\rrep#33_44_result\d#120\v#10\24\ping_collision_summary.csv</t>
  </si>
  <si>
    <t>D:\CBP_2026.07.21\i#3\rrep\rrep#33_44_result\d#120\v#10\25\ping_collision_summary.csv</t>
  </si>
  <si>
    <t>D:\CBP_2026.07.21\i#3\rrep\rrep#33_44_result\d#120\v#10\26\ping_collision_summary.csv</t>
  </si>
  <si>
    <t>D:\CBP_2026.07.21\i#3\rrep\rrep#33_44_result\d#120\v#10\27\ping_collision_summary.csv</t>
  </si>
  <si>
    <t>D:\CBP_2026.07.21\i#3\rrep\rrep#33_44_result\d#120\v#10\28\ping_collision_summary.csv</t>
  </si>
  <si>
    <t>D:\CBP_2026.07.21\i#3\rrep\rrep#33_44_result\d#120\v#10\29\ping_collision_summary.csv</t>
  </si>
  <si>
    <t>D:\CBP_2026.07.21\i#3\rrep\rrep#33_44_result\d#120\v#10\2\ping_collision_summary.csv</t>
  </si>
  <si>
    <t>D:\CBP_2026.07.21\i#3\rrep\rrep#33_44_result\d#120\v#10\30\ping_collision_summary.csv</t>
  </si>
  <si>
    <t>D:\CBP_2026.07.21\i#3\rrep\rrep#33_44_result\d#120\v#10\3\ping_collision_summary.csv</t>
  </si>
  <si>
    <t>D:\CBP_2026.07.21\i#3\rrep\rrep#33_44_result\d#120\v#10\4\ping_collision_summary.csv</t>
  </si>
  <si>
    <t>D:\CBP_2026.07.21\i#3\rrep\rrep#33_44_result\d#120\v#10\5\ping_collision_summary.csv</t>
  </si>
  <si>
    <t>D:\CBP_2026.07.21\i#3\rrep\rrep#33_44_result\d#120\v#10\6\ping_collision_summary.csv</t>
  </si>
  <si>
    <t>D:\CBP_2026.07.21\i#3\rrep\rrep#33_44_result\d#120\v#10\7\ping_collision_summary.csv</t>
  </si>
  <si>
    <t>D:\CBP_2026.07.21\i#3\rrep\rrep#33_44_result\d#120\v#10\8\ping_collision_summary.csv</t>
  </si>
  <si>
    <t>D:\CBP_2026.07.21\i#3\rrep\rrep#33_44_result\d#120\v#10\9\ping_collision_summary.csv</t>
  </si>
  <si>
    <t>D:\CBP_2026.07.21\i#3\rrep\rrep#33_44_result\d#120\v#20\0\ping_collision_summary.csv</t>
  </si>
  <si>
    <t>D:\CBP_2026.07.21\i#3\rrep\rrep#33_44_result\d#120\v#20\10\ping_collision_summary.csv</t>
  </si>
  <si>
    <t>D:\CBP_2026.07.21\i#3\rrep\rrep#33_44_result\d#120\v#20\11\ping_collision_summary.csv</t>
  </si>
  <si>
    <t>D:\CBP_2026.07.21\i#3\rrep\rrep#33_44_result\d#120\v#20\12\ping_collision_summary.csv</t>
  </si>
  <si>
    <t>D:\CBP_2026.07.21\i#3\rrep\rrep#33_44_result\d#120\v#20\13\ping_collision_summary.csv</t>
  </si>
  <si>
    <t>D:\CBP_2026.07.21\i#3\rrep\rrep#33_44_result\d#120\v#20\14\ping_collision_summary.csv</t>
  </si>
  <si>
    <t>D:\CBP_2026.07.21\i#3\rrep\rrep#33_44_result\d#120\v#20\15\ping_collision_summary.csv</t>
  </si>
  <si>
    <t>D:\CBP_2026.07.21\i#3\rrep\rrep#33_44_result\d#120\v#20\16\ping_collision_summary.csv</t>
  </si>
  <si>
    <t>D:\CBP_2026.07.21\i#3\rrep\rrep#33_44_result\d#120\v#20\17\ping_collision_summary.csv</t>
  </si>
  <si>
    <t>D:\CBP_2026.07.21\i#3\rrep\rrep#33_44_result\d#120\v#20\18\ping_collision_summary.csv</t>
  </si>
  <si>
    <t>D:\CBP_2026.07.21\i#3\rrep\rrep#33_44_result\d#120\v#20\19\ping_collision_summary.csv</t>
  </si>
  <si>
    <t>D:\CBP_2026.07.21\i#3\rrep\rrep#33_44_result\d#120\v#20\1\ping_collision_summary.csv</t>
  </si>
  <si>
    <t>D:\CBP_2026.07.21\i#3\rrep\rrep#33_44_result\d#120\v#20\20\ping_collision_summary.csv</t>
  </si>
  <si>
    <t>D:\CBP_2026.07.21\i#3\rrep\rrep#33_44_result\d#120\v#20\21\ping_collision_summary.csv</t>
  </si>
  <si>
    <t>D:\CBP_2026.07.21\i#3\rrep\rrep#33_44_result\d#120\v#20\22\ping_collision_summary.csv</t>
  </si>
  <si>
    <t>D:\CBP_2026.07.21\i#3\rrep\rrep#33_44_result\d#120\v#20\23\ping_collision_summary.csv</t>
  </si>
  <si>
    <t>D:\CBP_2026.07.21\i#3\rrep\rrep#33_44_result\d#120\v#20\24\ping_collision_summary.csv</t>
  </si>
  <si>
    <t>D:\CBP_2026.07.21\i#3\rrep\rrep#33_44_result\d#120\v#20\25\ping_collision_summary.csv</t>
  </si>
  <si>
    <t>D:\CBP_2026.07.21\i#3\rrep\rrep#33_44_result\d#120\v#20\26\ping_collision_summary.csv</t>
  </si>
  <si>
    <t>D:\CBP_2026.07.21\i#3\rrep\rrep#33_44_result\d#120\v#20\27\ping_collision_summary.csv</t>
  </si>
  <si>
    <t>D:\CBP_2026.07.21\i#3\rrep\rrep#33_44_result\d#120\v#20\28\ping_collision_summary.csv</t>
  </si>
  <si>
    <t>D:\CBP_2026.07.21\i#3\rrep\rrep#33_44_result\d#120\v#20\29\ping_collision_summary.csv</t>
  </si>
  <si>
    <t>D:\CBP_2026.07.21\i#3\rrep\rrep#33_44_result\d#120\v#20\2\ping_collision_summary.csv</t>
  </si>
  <si>
    <t>D:\CBP_2026.07.21\i#3\rrep\rrep#33_44_result\d#120\v#20\30\ping_collision_summary.csv</t>
  </si>
  <si>
    <t>D:\CBP_2026.07.21\i#3\rrep\rrep#33_44_result\d#120\v#20\3\ping_collision_summary.csv</t>
  </si>
  <si>
    <t>D:\CBP_2026.07.21\i#3\rrep\rrep#33_44_result\d#120\v#20\4\ping_collision_summary.csv</t>
  </si>
  <si>
    <t>D:\CBP_2026.07.21\i#3\rrep\rrep#33_44_result\d#120\v#20\5\ping_collision_summary.csv</t>
  </si>
  <si>
    <t>D:\CBP_2026.07.21\i#3\rrep\rrep#33_44_result\d#120\v#20\6\ping_collision_summary.csv</t>
  </si>
  <si>
    <t>D:\CBP_2026.07.21\i#3\rrep\rrep#33_44_result\d#120\v#20\7\ping_collision_summary.csv</t>
  </si>
  <si>
    <t>D:\CBP_2026.07.21\i#3\rrep\rrep#33_44_result\d#120\v#20\8\ping_collision_summary.csv</t>
  </si>
  <si>
    <t>D:\CBP_2026.07.21\i#3\rrep\rrep#33_44_result\d#120\v#20\9\ping_collision_summary.csv</t>
  </si>
  <si>
    <t>D:\CBP_2026.07.21\i#3\rrep\rrep#33_44_result\d#120\v#30\0\ping_collision_summary.csv</t>
  </si>
  <si>
    <t>D:\CBP_2026.07.21\i#3\rrep\rrep#33_44_result\d#120\v#30\10\ping_collision_summary.csv</t>
  </si>
  <si>
    <t>D:\CBP_2026.07.21\i#3\rrep\rrep#33_44_result\d#120\v#30\11\ping_collision_summary.csv</t>
  </si>
  <si>
    <t>D:\CBP_2026.07.21\i#3\rrep\rrep#33_44_result\d#120\v#30\12\ping_collision_summary.csv</t>
  </si>
  <si>
    <t>D:\CBP_2026.07.21\i#3\rrep\rrep#33_44_result\d#120\v#30\13\ping_collision_summary.csv</t>
  </si>
  <si>
    <t>D:\CBP_2026.07.21\i#3\rrep\rrep#33_44_result\d#120\v#30\14\ping_collision_summary.csv</t>
  </si>
  <si>
    <t>D:\CBP_2026.07.21\i#3\rrep\rrep#33_44_result\d#120\v#30\15\ping_collision_summary.csv</t>
  </si>
  <si>
    <t>D:\CBP_2026.07.21\i#3\rrep\rrep#33_44_result\d#120\v#30\16\ping_collision_summary.csv</t>
  </si>
  <si>
    <t>D:\CBP_2026.07.21\i#3\rrep\rrep#33_44_result\d#120\v#30\17\ping_collision_summary.csv</t>
  </si>
  <si>
    <t>D:\CBP_2026.07.21\i#3\rrep\rrep#33_44_result\d#120\v#30\18\ping_collision_summary.csv</t>
  </si>
  <si>
    <t>D:\CBP_2026.07.21\i#3\rrep\rrep#33_44_result\d#120\v#30\19\ping_collision_summary.csv</t>
  </si>
  <si>
    <t>D:\CBP_2026.07.21\i#3\rrep\rrep#33_44_result\d#120\v#30\1\ping_collision_summary.csv</t>
  </si>
  <si>
    <t>D:\CBP_2026.07.21\i#3\rrep\rrep#33_44_result\d#120\v#30\20\ping_collision_summary.csv</t>
  </si>
  <si>
    <t>D:\CBP_2026.07.21\i#3\rrep\rrep#33_44_result\d#120\v#30\21\ping_collision_summary.csv</t>
  </si>
  <si>
    <t>D:\CBP_2026.07.21\i#3\rrep\rrep#33_44_result\d#120\v#30\22\ping_collision_summary.csv</t>
  </si>
  <si>
    <t>D:\CBP_2026.07.21\i#3\rrep\rrep#33_44_result\d#120\v#30\23\ping_collision_summary.csv</t>
  </si>
  <si>
    <t>D:\CBP_2026.07.21\i#3\rrep\rrep#33_44_result\d#120\v#30\24\ping_collision_summary.csv</t>
  </si>
  <si>
    <t>D:\CBP_2026.07.21\i#3\rrep\rrep#33_44_result\d#120\v#30\25\ping_collision_summary.csv</t>
  </si>
  <si>
    <t>D:\CBP_2026.07.21\i#3\rrep\rrep#33_44_result\d#120\v#30\26\ping_collision_summary.csv</t>
  </si>
  <si>
    <t>D:\CBP_2026.07.21\i#3\rrep\rrep#33_44_result\d#120\v#30\27\ping_collision_summary.csv</t>
  </si>
  <si>
    <t>D:\CBP_2026.07.21\i#3\rrep\rrep#33_44_result\d#120\v#30\28\ping_collision_summary.csv</t>
  </si>
  <si>
    <t>D:\CBP_2026.07.21\i#3\rrep\rrep#33_44_result\d#120\v#30\29\ping_collision_summary.csv</t>
  </si>
  <si>
    <t>D:\CBP_2026.07.21\i#3\rrep\rrep#33_44_result\d#120\v#30\2\ping_collision_summary.csv</t>
  </si>
  <si>
    <t>D:\CBP_2026.07.21\i#3\rrep\rrep#33_44_result\d#120\v#30\30\ping_collision_summary.csv</t>
  </si>
  <si>
    <t>D:\CBP_2026.07.21\i#3\rrep\rrep#33_44_result\d#120\v#30\3\ping_collision_summary.csv</t>
  </si>
  <si>
    <t>D:\CBP_2026.07.21\i#3\rrep\rrep#33_44_result\d#120\v#30\4\ping_collision_summary.csv</t>
  </si>
  <si>
    <t>D:\CBP_2026.07.21\i#3\rrep\rrep#33_44_result\d#120\v#30\5\ping_collision_summary.csv</t>
  </si>
  <si>
    <t>D:\CBP_2026.07.21\i#3\rrep\rrep#33_44_result\d#120\v#30\6\ping_collision_summary.csv</t>
  </si>
  <si>
    <t>D:\CBP_2026.07.21\i#3\rrep\rrep#33_44_result\d#120\v#30\7\ping_collision_summary.csv</t>
  </si>
  <si>
    <t>D:\CBP_2026.07.21\i#3\rrep\rrep#33_44_result\d#120\v#30\8\ping_collision_summary.csv</t>
  </si>
  <si>
    <t>D:\CBP_2026.07.21\i#3\rrep\rrep#33_44_result\d#120\v#30\9\ping_collision_summary.csv</t>
  </si>
  <si>
    <t>D:\CBP_2026.07.21\i#3\rrep\rrep#33_44_result\d#70\v#10\0\ping_collision_summary.csv</t>
  </si>
  <si>
    <t>D:\CBP_2026.07.21\i#3\rrep\rrep#33_44_result\d#70\v#10\10\ping_collision_summary.csv</t>
  </si>
  <si>
    <t>D:\CBP_2026.07.21\i#3\rrep\rrep#33_44_result\d#70\v#10\11\ping_collision_summary.csv</t>
  </si>
  <si>
    <t>D:\CBP_2026.07.21\i#3\rrep\rrep#33_44_result\d#70\v#10\12\ping_collision_summary.csv</t>
  </si>
  <si>
    <t>D:\CBP_2026.07.21\i#3\rrep\rrep#33_44_result\d#70\v#10\13\ping_collision_summary.csv</t>
  </si>
  <si>
    <t>D:\CBP_2026.07.21\i#3\rrep\rrep#33_44_result\d#70\v#10\14\ping_collision_summary.csv</t>
  </si>
  <si>
    <t>D:\CBP_2026.07.21\i#3\rrep\rrep#33_44_result\d#70\v#10\15\ping_collision_summary.csv</t>
  </si>
  <si>
    <t>D:\CBP_2026.07.21\i#3\rrep\rrep#33_44_result\d#70\v#10\16\ping_collision_summary.csv</t>
  </si>
  <si>
    <t>D:\CBP_2026.07.21\i#3\rrep\rrep#33_44_result\d#70\v#10\17\ping_collision_summary.csv</t>
  </si>
  <si>
    <t>D:\CBP_2026.07.21\i#3\rrep\rrep#33_44_result\d#70\v#10\18\ping_collision_summary.csv</t>
  </si>
  <si>
    <t>D:\CBP_2026.07.21\i#3\rrep\rrep#33_44_result\d#70\v#10\19\ping_collision_summary.csv</t>
  </si>
  <si>
    <t>D:\CBP_2026.07.21\i#3\rrep\rrep#33_44_result\d#70\v#10\1\ping_collision_summary.csv</t>
  </si>
  <si>
    <t>D:\CBP_2026.07.21\i#3\rrep\rrep#33_44_result\d#70\v#10\20\ping_collision_summary.csv</t>
  </si>
  <si>
    <t>D:\CBP_2026.07.21\i#3\rrep\rrep#33_44_result\d#70\v#10\21\ping_collision_summary.csv</t>
  </si>
  <si>
    <t>D:\CBP_2026.07.21\i#3\rrep\rrep#33_44_result\d#70\v#10\22\ping_collision_summary.csv</t>
  </si>
  <si>
    <t>D:\CBP_2026.07.21\i#3\rrep\rrep#33_44_result\d#70\v#10\23\ping_collision_summary.csv</t>
  </si>
  <si>
    <t>D:\CBP_2026.07.21\i#3\rrep\rrep#33_44_result\d#70\v#10\24\ping_collision_summary.csv</t>
  </si>
  <si>
    <t>D:\CBP_2026.07.21\i#3\rrep\rrep#33_44_result\d#70\v#10\25\ping_collision_summary.csv</t>
  </si>
  <si>
    <t>D:\CBP_2026.07.21\i#3\rrep\rrep#33_44_result\d#70\v#10\26\ping_collision_summary.csv</t>
  </si>
  <si>
    <t>D:\CBP_2026.07.21\i#3\rrep\rrep#33_44_result\d#70\v#10\27\ping_collision_summary.csv</t>
  </si>
  <si>
    <t>D:\CBP_2026.07.21\i#3\rrep\rrep#33_44_result\d#70\v#10\28\ping_collision_summary.csv</t>
  </si>
  <si>
    <t>D:\CBP_2026.07.21\i#3\rrep\rrep#33_44_result\d#70\v#10\29\ping_collision_summary.csv</t>
  </si>
  <si>
    <t>D:\CBP_2026.07.21\i#3\rrep\rrep#33_44_result\d#70\v#10\2\ping_collision_summary.csv</t>
  </si>
  <si>
    <t>D:\CBP_2026.07.21\i#3\rrep\rrep#33_44_result\d#70\v#10\30\ping_collision_summary.csv</t>
  </si>
  <si>
    <t>D:\CBP_2026.07.21\i#3\rrep\rrep#33_44_result\d#70\v#10\3\ping_collision_summary.csv</t>
  </si>
  <si>
    <t>D:\CBP_2026.07.21\i#3\rrep\rrep#33_44_result\d#70\v#10\4\ping_collision_summary.csv</t>
  </si>
  <si>
    <t>D:\CBP_2026.07.21\i#3\rrep\rrep#33_44_result\d#70\v#10\5\ping_collision_summary.csv</t>
  </si>
  <si>
    <t>D:\CBP_2026.07.21\i#3\rrep\rrep#33_44_result\d#70\v#10\6\ping_collision_summary.csv</t>
  </si>
  <si>
    <t>D:\CBP_2026.07.21\i#3\rrep\rrep#33_44_result\d#70\v#10\7\ping_collision_summary.csv</t>
  </si>
  <si>
    <t>D:\CBP_2026.07.21\i#3\rrep\rrep#33_44_result\d#70\v#10\8\ping_collision_summary.csv</t>
  </si>
  <si>
    <t>D:\CBP_2026.07.21\i#3\rrep\rrep#33_44_result\d#70\v#10\9\ping_collision_summary.csv</t>
  </si>
  <si>
    <t>D:\CBP_2026.07.21\i#3\rrep\rrep#33_44_result\d#70\v#20\0\ping_collision_summary.csv</t>
  </si>
  <si>
    <t>D:\CBP_2026.07.21\i#3\rrep\rrep#33_44_result\d#70\v#20\10\ping_collision_summary.csv</t>
  </si>
  <si>
    <t>D:\CBP_2026.07.21\i#3\rrep\rrep#33_44_result\d#70\v#20\11\ping_collision_summary.csv</t>
  </si>
  <si>
    <t>D:\CBP_2026.07.21\i#3\rrep\rrep#33_44_result\d#70\v#20\12\ping_collision_summary.csv</t>
  </si>
  <si>
    <t>D:\CBP_2026.07.21\i#3\rrep\rrep#33_44_result\d#70\v#20\13\ping_collision_summary.csv</t>
  </si>
  <si>
    <t>D:\CBP_2026.07.21\i#3\rrep\rrep#33_44_result\d#70\v#20\14\ping_collision_summary.csv</t>
  </si>
  <si>
    <t>D:\CBP_2026.07.21\i#3\rrep\rrep#33_44_result\d#70\v#20\15\ping_collision_summary.csv</t>
  </si>
  <si>
    <t>D:\CBP_2026.07.21\i#3\rrep\rrep#33_44_result\d#70\v#20\16\ping_collision_summary.csv</t>
  </si>
  <si>
    <t>D:\CBP_2026.07.21\i#3\rrep\rrep#33_44_result\d#70\v#20\17\ping_collision_summary.csv</t>
  </si>
  <si>
    <t>D:\CBP_2026.07.21\i#3\rrep\rrep#33_44_result\d#70\v#20\18\ping_collision_summary.csv</t>
  </si>
  <si>
    <t>D:\CBP_2026.07.21\i#3\rrep\rrep#33_44_result\d#70\v#20\19\ping_collision_summary.csv</t>
  </si>
  <si>
    <t>D:\CBP_2026.07.21\i#3\rrep\rrep#33_44_result\d#70\v#20\1\ping_collision_summary.csv</t>
  </si>
  <si>
    <t>D:\CBP_2026.07.21\i#3\rrep\rrep#33_44_result\d#70\v#20\20\ping_collision_summary.csv</t>
  </si>
  <si>
    <t>D:\CBP_2026.07.21\i#3\rrep\rrep#33_44_result\d#70\v#20\21\ping_collision_summary.csv</t>
  </si>
  <si>
    <t>D:\CBP_2026.07.21\i#3\rrep\rrep#33_44_result\d#70\v#20\22\ping_collision_summary.csv</t>
  </si>
  <si>
    <t>D:\CBP_2026.07.21\i#3\rrep\rrep#33_44_result\d#70\v#20\23\ping_collision_summary.csv</t>
  </si>
  <si>
    <t>D:\CBP_2026.07.21\i#3\rrep\rrep#33_44_result\d#70\v#20\24\ping_collision_summary.csv</t>
  </si>
  <si>
    <t>D:\CBP_2026.07.21\i#3\rrep\rrep#33_44_result\d#70\v#20\25\ping_collision_summary.csv</t>
  </si>
  <si>
    <t>D:\CBP_2026.07.21\i#3\rrep\rrep#33_44_result\d#70\v#20\26\ping_collision_summary.csv</t>
  </si>
  <si>
    <t>D:\CBP_2026.07.21\i#3\rrep\rrep#33_44_result\d#70\v#20\27\ping_collision_summary.csv</t>
  </si>
  <si>
    <t>D:\CBP_2026.07.21\i#3\rrep\rrep#33_44_result\d#70\v#20\28\ping_collision_summary.csv</t>
  </si>
  <si>
    <t>D:\CBP_2026.07.21\i#3\rrep\rrep#33_44_result\d#70\v#20\29\ping_collision_summary.csv</t>
  </si>
  <si>
    <t>D:\CBP_2026.07.21\i#3\rrep\rrep#33_44_result\d#70\v#20\2\ping_collision_summary.csv</t>
  </si>
  <si>
    <t>D:\CBP_2026.07.21\i#3\rrep\rrep#33_44_result\d#70\v#20\30\ping_collision_summary.csv</t>
  </si>
  <si>
    <t>D:\CBP_2026.07.21\i#3\rrep\rrep#33_44_result\d#70\v#20\3\ping_collision_summary.csv</t>
  </si>
  <si>
    <t>D:\CBP_2026.07.21\i#3\rrep\rrep#33_44_result\d#70\v#20\4\ping_collision_summary.csv</t>
  </si>
  <si>
    <t>D:\CBP_2026.07.21\i#3\rrep\rrep#33_44_result\d#70\v#20\5\ping_collision_summary.csv</t>
  </si>
  <si>
    <t>D:\CBP_2026.07.21\i#3\rrep\rrep#33_44_result\d#70\v#20\6\ping_collision_summary.csv</t>
  </si>
  <si>
    <t>D:\CBP_2026.07.21\i#3\rrep\rrep#33_44_result\d#70\v#20\7\ping_collision_summary.csv</t>
  </si>
  <si>
    <t>D:\CBP_2026.07.21\i#3\rrep\rrep#33_44_result\d#70\v#20\8\ping_collision_summary.csv</t>
  </si>
  <si>
    <t>D:\CBP_2026.07.21\i#3\rrep\rrep#33_44_result\d#70\v#20\9\ping_collision_summary.csv</t>
  </si>
  <si>
    <t>D:\CBP_2026.07.21\i#3\rrep\rrep#33_44_result\d#70\v#30\0\ping_collision_summary.csv</t>
  </si>
  <si>
    <t>D:\CBP_2026.07.21\i#3\rrep\rrep#33_44_result\d#70\v#30\10\ping_collision_summary.csv</t>
  </si>
  <si>
    <t>D:\CBP_2026.07.21\i#3\rrep\rrep#33_44_result\d#70\v#30\11\ping_collision_summary.csv</t>
  </si>
  <si>
    <t>D:\CBP_2026.07.21\i#3\rrep\rrep#33_44_result\d#70\v#30\12\ping_collision_summary.csv</t>
  </si>
  <si>
    <t>D:\CBP_2026.07.21\i#3\rrep\rrep#33_44_result\d#70\v#30\13\ping_collision_summary.csv</t>
  </si>
  <si>
    <t>D:\CBP_2026.07.21\i#3\rrep\rrep#33_44_result\d#70\v#30\14\ping_collision_summary.csv</t>
  </si>
  <si>
    <t>D:\CBP_2026.07.21\i#3\rrep\rrep#33_44_result\d#70\v#30\15\ping_collision_summary.csv</t>
  </si>
  <si>
    <t>D:\CBP_2026.07.21\i#3\rrep\rrep#33_44_result\d#70\v#30\16\ping_collision_summary.csv</t>
  </si>
  <si>
    <t>D:\CBP_2026.07.21\i#3\rrep\rrep#33_44_result\d#70\v#30\17\ping_collision_summary.csv</t>
  </si>
  <si>
    <t>D:\CBP_2026.07.21\i#3\rrep\rrep#33_44_result\d#70\v#30\18\ping_collision_summary.csv</t>
  </si>
  <si>
    <t>D:\CBP_2026.07.21\i#3\rrep\rrep#33_44_result\d#70\v#30\19\ping_collision_summary.csv</t>
  </si>
  <si>
    <t>D:\CBP_2026.07.21\i#3\rrep\rrep#33_44_result\d#70\v#30\1\ping_collision_summary.csv</t>
  </si>
  <si>
    <t>D:\CBP_2026.07.21\i#3\rrep\rrep#33_44_result\d#70\v#30\20\ping_collision_summary.csv</t>
  </si>
  <si>
    <t>D:\CBP_2026.07.21\i#3\rrep\rrep#33_44_result\d#70\v#30\21\ping_collision_summary.csv</t>
  </si>
  <si>
    <t>D:\CBP_2026.07.21\i#3\rrep\rrep#33_44_result\d#70\v#30\22\ping_collision_summary.csv</t>
  </si>
  <si>
    <t>D:\CBP_2026.07.21\i#3\rrep\rrep#33_44_result\d#70\v#30\23\ping_collision_summary.csv</t>
  </si>
  <si>
    <t>D:\CBP_2026.07.21\i#3\rrep\rrep#33_44_result\d#70\v#30\24\ping_collision_summary.csv</t>
  </si>
  <si>
    <t>D:\CBP_2026.07.21\i#3\rrep\rrep#33_44_result\d#70\v#30\25\ping_collision_summary.csv</t>
  </si>
  <si>
    <t>D:\CBP_2026.07.21\i#3\rrep\rrep#33_44_result\d#70\v#30\26\ping_collision_summary.csv</t>
  </si>
  <si>
    <t>D:\CBP_2026.07.21\i#3\rrep\rrep#33_44_result\d#70\v#30\27\ping_collision_summary.csv</t>
  </si>
  <si>
    <t>D:\CBP_2026.07.21\i#3\rrep\rrep#33_44_result\d#70\v#30\28\ping_collision_summary.csv</t>
  </si>
  <si>
    <t>D:\CBP_2026.07.21\i#3\rrep\rrep#33_44_result\d#70\v#30\29\ping_collision_summary.csv</t>
  </si>
  <si>
    <t>D:\CBP_2026.07.21\i#3\rrep\rrep#33_44_result\d#70\v#30\2\ping_collision_summary.csv</t>
  </si>
  <si>
    <t>D:\CBP_2026.07.21\i#3\rrep\rrep#33_44_result\d#70\v#30\30\ping_collision_summary.csv</t>
  </si>
  <si>
    <t>D:\CBP_2026.07.21\i#3\rrep\rrep#33_44_result\d#70\v#30\3\ping_collision_summary.csv</t>
  </si>
  <si>
    <t>D:\CBP_2026.07.21\i#3\rrep\rrep#33_44_result\d#70\v#30\4\ping_collision_summary.csv</t>
  </si>
  <si>
    <t>D:\CBP_2026.07.21\i#3\rrep\rrep#33_44_result\d#70\v#30\5\ping_collision_summary.csv</t>
  </si>
  <si>
    <t>D:\CBP_2026.07.21\i#3\rrep\rrep#33_44_result\d#70\v#30\6\ping_collision_summary.csv</t>
  </si>
  <si>
    <t>D:\CBP_2026.07.21\i#3\rrep\rrep#33_44_result\d#70\v#30\7\ping_collision_summary.csv</t>
  </si>
  <si>
    <t>D:\CBP_2026.07.21\i#3\rrep\rrep#33_44_result\d#70\v#30\8\ping_collision_summary.csv</t>
  </si>
  <si>
    <t>D:\CBP_2026.07.21\i#3\rrep\rrep#33_44_result\d#70\v#30\9\ping_collision_summary.csv</t>
  </si>
  <si>
    <t>D:\CBP_2026.07.21\i#3\rrep\rrep#44_101_result\d#100\v#10\0\ping_collision_summary.csv</t>
  </si>
  <si>
    <t>D:\CBP_2026.07.21\i#3\rrep\rrep#44_101_result\d#100\v#10\10\ping_collision_summary.csv</t>
  </si>
  <si>
    <t>D:\CBP_2026.07.21\i#3\rrep\rrep#44_101_result\d#100\v#10\11\ping_collision_summary.csv</t>
  </si>
  <si>
    <t>D:\CBP_2026.07.21\i#3\rrep\rrep#44_101_result\d#100\v#10\12\ping_collision_summary.csv</t>
  </si>
  <si>
    <t>D:\CBP_2026.07.21\i#3\rrep\rrep#44_101_result\d#100\v#10\13\ping_collision_summary.csv</t>
  </si>
  <si>
    <t>D:\CBP_2026.07.21\i#3\rrep\rrep#44_101_result\d#100\v#10\14\ping_collision_summary.csv</t>
  </si>
  <si>
    <t>D:\CBP_2026.07.21\i#3\rrep\rrep#44_101_result\d#100\v#10\15\ping_collision_summary.csv</t>
  </si>
  <si>
    <t>D:\CBP_2026.07.21\i#3\rrep\rrep#44_101_result\d#100\v#10\16\ping_collision_summary.csv</t>
  </si>
  <si>
    <t>D:\CBP_2026.07.21\i#3\rrep\rrep#44_101_result\d#100\v#10\17\ping_collision_summary.csv</t>
  </si>
  <si>
    <t>D:\CBP_2026.07.21\i#3\rrep\rrep#44_101_result\d#100\v#10\18\ping_collision_summary.csv</t>
  </si>
  <si>
    <t>D:\CBP_2026.07.21\i#3\rrep\rrep#44_101_result\d#100\v#10\19\ping_collision_summary.csv</t>
  </si>
  <si>
    <t>D:\CBP_2026.07.21\i#3\rrep\rrep#44_101_result\d#100\v#10\1\ping_collision_summary.csv</t>
  </si>
  <si>
    <t>D:\CBP_2026.07.21\i#3\rrep\rrep#44_101_result\d#100\v#10\20\ping_collision_summary.csv</t>
  </si>
  <si>
    <t>D:\CBP_2026.07.21\i#3\rrep\rrep#44_101_result\d#100\v#10\21\ping_collision_summary.csv</t>
  </si>
  <si>
    <t>D:\CBP_2026.07.21\i#3\rrep\rrep#44_101_result\d#100\v#10\22\ping_collision_summary.csv</t>
  </si>
  <si>
    <t>D:\CBP_2026.07.21\i#3\rrep\rrep#44_101_result\d#100\v#10\23\ping_collision_summary.csv</t>
  </si>
  <si>
    <t>D:\CBP_2026.07.21\i#3\rrep\rrep#44_101_result\d#100\v#10\24\ping_collision_summary.csv</t>
  </si>
  <si>
    <t>D:\CBP_2026.07.21\i#3\rrep\rrep#44_101_result\d#100\v#10\25\ping_collision_summary.csv</t>
  </si>
  <si>
    <t>D:\CBP_2026.07.21\i#3\rrep\rrep#44_101_result\d#100\v#10\26\ping_collision_summary.csv</t>
  </si>
  <si>
    <t>D:\CBP_2026.07.21\i#3\rrep\rrep#44_101_result\d#100\v#10\27\ping_collision_summary.csv</t>
  </si>
  <si>
    <t>D:\CBP_2026.07.21\i#3\rrep\rrep#44_101_result\d#100\v#10\28\ping_collision_summary.csv</t>
  </si>
  <si>
    <t>D:\CBP_2026.07.21\i#3\rrep\rrep#44_101_result\d#100\v#10\29\ping_collision_summary.csv</t>
  </si>
  <si>
    <t>D:\CBP_2026.07.21\i#3\rrep\rrep#44_101_result\d#100\v#10\2\ping_collision_summary.csv</t>
  </si>
  <si>
    <t>D:\CBP_2026.07.21\i#3\rrep\rrep#44_101_result\d#100\v#10\30\ping_collision_summary.csv</t>
  </si>
  <si>
    <t>D:\CBP_2026.07.21\i#3\rrep\rrep#44_101_result\d#100\v#10\3\ping_collision_summary.csv</t>
  </si>
  <si>
    <t>D:\CBP_2026.07.21\i#3\rrep\rrep#44_101_result\d#100\v#10\4\ping_collision_summary.csv</t>
  </si>
  <si>
    <t>D:\CBP_2026.07.21\i#3\rrep\rrep#44_101_result\d#100\v#10\5\ping_collision_summary.csv</t>
  </si>
  <si>
    <t>D:\CBP_2026.07.21\i#3\rrep\rrep#44_101_result\d#100\v#10\6\ping_collision_summary.csv</t>
  </si>
  <si>
    <t>D:\CBP_2026.07.21\i#3\rrep\rrep#44_101_result\d#100\v#10\7\ping_collision_summary.csv</t>
  </si>
  <si>
    <t>D:\CBP_2026.07.21\i#3\rrep\rrep#44_101_result\d#100\v#10\8\ping_collision_summary.csv</t>
  </si>
  <si>
    <t>D:\CBP_2026.07.21\i#3\rrep\rrep#44_101_result\d#100\v#10\9\ping_collision_summary.csv</t>
  </si>
  <si>
    <t>D:\CBP_2026.07.21\i#3\rrep\rrep#44_101_result\d#100\v#20\0\ping_collision_summary.csv</t>
  </si>
  <si>
    <t>D:\CBP_2026.07.21\i#3\rrep\rrep#44_101_result\d#100\v#20\10\ping_collision_summary.csv</t>
  </si>
  <si>
    <t>D:\CBP_2026.07.21\i#3\rrep\rrep#44_101_result\d#100\v#20\11\ping_collision_summary.csv</t>
  </si>
  <si>
    <t>D:\CBP_2026.07.21\i#3\rrep\rrep#44_101_result\d#100\v#20\12\ping_collision_summary.csv</t>
  </si>
  <si>
    <t>D:\CBP_2026.07.21\i#3\rrep\rrep#44_101_result\d#100\v#20\13\ping_collision_summary.csv</t>
  </si>
  <si>
    <t>D:\CBP_2026.07.21\i#3\rrep\rrep#44_101_result\d#100\v#20\14\ping_collision_summary.csv</t>
  </si>
  <si>
    <t>D:\CBP_2026.07.21\i#3\rrep\rrep#44_101_result\d#100\v#20\15\ping_collision_summary.csv</t>
  </si>
  <si>
    <t>D:\CBP_2026.07.21\i#3\rrep\rrep#44_101_result\d#100\v#20\16\ping_collision_summary.csv</t>
  </si>
  <si>
    <t>D:\CBP_2026.07.21\i#3\rrep\rrep#44_101_result\d#100\v#20\17\ping_collision_summary.csv</t>
  </si>
  <si>
    <t>D:\CBP_2026.07.21\i#3\rrep\rrep#44_101_result\d#100\v#20\18\ping_collision_summary.csv</t>
  </si>
  <si>
    <t>D:\CBP_2026.07.21\i#3\rrep\rrep#44_101_result\d#100\v#20\19\ping_collision_summary.csv</t>
  </si>
  <si>
    <t>D:\CBP_2026.07.21\i#3\rrep\rrep#44_101_result\d#100\v#20\1\ping_collision_summary.csv</t>
  </si>
  <si>
    <t>D:\CBP_2026.07.21\i#3\rrep\rrep#44_101_result\d#100\v#20\20\ping_collision_summary.csv</t>
  </si>
  <si>
    <t>D:\CBP_2026.07.21\i#3\rrep\rrep#44_101_result\d#100\v#20\21\ping_collision_summary.csv</t>
  </si>
  <si>
    <t>D:\CBP_2026.07.21\i#3\rrep\rrep#44_101_result\d#100\v#20\22\ping_collision_summary.csv</t>
  </si>
  <si>
    <t>D:\CBP_2026.07.21\i#3\rrep\rrep#44_101_result\d#100\v#20\23\ping_collision_summary.csv</t>
  </si>
  <si>
    <t>D:\CBP_2026.07.21\i#3\rrep\rrep#44_101_result\d#100\v#20\24\ping_collision_summary.csv</t>
  </si>
  <si>
    <t>D:\CBP_2026.07.21\i#3\rrep\rrep#44_101_result\d#100\v#20\25\ping_collision_summary.csv</t>
  </si>
  <si>
    <t>D:\CBP_2026.07.21\i#3\rrep\rrep#44_101_result\d#100\v#20\26\ping_collision_summary.csv</t>
  </si>
  <si>
    <t>D:\CBP_2026.07.21\i#3\rrep\rrep#44_101_result\d#100\v#20\27\ping_collision_summary.csv</t>
  </si>
  <si>
    <t>D:\CBP_2026.07.21\i#3\rrep\rrep#44_101_result\d#100\v#20\28\ping_collision_summary.csv</t>
  </si>
  <si>
    <t>D:\CBP_2026.07.21\i#3\rrep\rrep#44_101_result\d#100\v#20\29\ping_collision_summary.csv</t>
  </si>
  <si>
    <t>D:\CBP_2026.07.21\i#3\rrep\rrep#44_101_result\d#100\v#20\2\ping_collision_summary.csv</t>
  </si>
  <si>
    <t>D:\CBP_2026.07.21\i#3\rrep\rrep#44_101_result\d#100\v#20\30\ping_collision_summary.csv</t>
  </si>
  <si>
    <t>D:\CBP_2026.07.21\i#3\rrep\rrep#44_101_result\d#100\v#20\3\ping_collision_summary.csv</t>
  </si>
  <si>
    <t>D:\CBP_2026.07.21\i#3\rrep\rrep#44_101_result\d#100\v#20\4\ping_collision_summary.csv</t>
  </si>
  <si>
    <t>D:\CBP_2026.07.21\i#3\rrep\rrep#44_101_result\d#100\v#20\5\ping_collision_summary.csv</t>
  </si>
  <si>
    <t>D:\CBP_2026.07.21\i#3\rrep\rrep#44_101_result\d#100\v#20\6\ping_collision_summary.csv</t>
  </si>
  <si>
    <t>D:\CBP_2026.07.21\i#3\rrep\rrep#44_101_result\d#100\v#20\7\ping_collision_summary.csv</t>
  </si>
  <si>
    <t>D:\CBP_2026.07.21\i#3\rrep\rrep#44_101_result\d#100\v#20\8\ping_collision_summary.csv</t>
  </si>
  <si>
    <t>D:\CBP_2026.07.21\i#3\rrep\rrep#44_101_result\d#100\v#20\9\ping_collision_summary.csv</t>
  </si>
  <si>
    <t>D:\CBP_2026.07.21\i#3\rrep\rrep#44_101_result\d#100\v#30\0\ping_collision_summary.csv</t>
  </si>
  <si>
    <t>D:\CBP_2026.07.21\i#3\rrep\rrep#44_101_result\d#100\v#30\10\ping_collision_summary.csv</t>
  </si>
  <si>
    <t>D:\CBP_2026.07.21\i#3\rrep\rrep#44_101_result\d#100\v#30\11\ping_collision_summary.csv</t>
  </si>
  <si>
    <t>D:\CBP_2026.07.21\i#3\rrep\rrep#44_101_result\d#100\v#30\12\ping_collision_summary.csv</t>
  </si>
  <si>
    <t>D:\CBP_2026.07.21\i#3\rrep\rrep#44_101_result\d#100\v#30\13\ping_collision_summary.csv</t>
  </si>
  <si>
    <t>D:\CBP_2026.07.21\i#3\rrep\rrep#44_101_result\d#100\v#30\14\ping_collision_summary.csv</t>
  </si>
  <si>
    <t>D:\CBP_2026.07.21\i#3\rrep\rrep#44_101_result\d#100\v#30\15\ping_collision_summary.csv</t>
  </si>
  <si>
    <t>D:\CBP_2026.07.21\i#3\rrep\rrep#44_101_result\d#100\v#30\16\ping_collision_summary.csv</t>
  </si>
  <si>
    <t>D:\CBP_2026.07.21\i#3\rrep\rrep#44_101_result\d#100\v#30\17\ping_collision_summary.csv</t>
  </si>
  <si>
    <t>D:\CBP_2026.07.21\i#3\rrep\rrep#44_101_result\d#100\v#30\18\ping_collision_summary.csv</t>
  </si>
  <si>
    <t>D:\CBP_2026.07.21\i#3\rrep\rrep#44_101_result\d#100\v#30\19\ping_collision_summary.csv</t>
  </si>
  <si>
    <t>D:\CBP_2026.07.21\i#3\rrep\rrep#44_101_result\d#100\v#30\1\ping_collision_summary.csv</t>
  </si>
  <si>
    <t>D:\CBP_2026.07.21\i#3\rrep\rrep#44_101_result\d#100\v#30\20\ping_collision_summary.csv</t>
  </si>
  <si>
    <t>D:\CBP_2026.07.21\i#3\rrep\rrep#44_101_result\d#100\v#30\21\ping_collision_summary.csv</t>
  </si>
  <si>
    <t>D:\CBP_2026.07.21\i#3\rrep\rrep#44_101_result\d#100\v#30\22\ping_collision_summary.csv</t>
  </si>
  <si>
    <t>D:\CBP_2026.07.21\i#3\rrep\rrep#44_101_result\d#100\v#30\23\ping_collision_summary.csv</t>
  </si>
  <si>
    <t>D:\CBP_2026.07.21\i#3\rrep\rrep#44_101_result\d#100\v#30\24\ping_collision_summary.csv</t>
  </si>
  <si>
    <t>D:\CBP_2026.07.21\i#3\rrep\rrep#44_101_result\d#100\v#30\25\ping_collision_summary.csv</t>
  </si>
  <si>
    <t>D:\CBP_2026.07.21\i#3\rrep\rrep#44_101_result\d#100\v#30\26\ping_collision_summary.csv</t>
  </si>
  <si>
    <t>D:\CBP_2026.07.21\i#3\rrep\rrep#44_101_result\d#100\v#30\27\ping_collision_summary.csv</t>
  </si>
  <si>
    <t>D:\CBP_2026.07.21\i#3\rrep\rrep#44_101_result\d#100\v#30\28\ping_collision_summary.csv</t>
  </si>
  <si>
    <t>D:\CBP_2026.07.21\i#3\rrep\rrep#44_101_result\d#100\v#30\29\ping_collision_summary.csv</t>
  </si>
  <si>
    <t>D:\CBP_2026.07.21\i#3\rrep\rrep#44_101_result\d#100\v#30\2\ping_collision_summary.csv</t>
  </si>
  <si>
    <t>D:\CBP_2026.07.21\i#3\rrep\rrep#44_101_result\d#100\v#30\30\ping_collision_summary.csv</t>
  </si>
  <si>
    <t>D:\CBP_2026.07.21\i#3\rrep\rrep#44_101_result\d#100\v#30\3\ping_collision_summary.csv</t>
  </si>
  <si>
    <t>D:\CBP_2026.07.21\i#3\rrep\rrep#44_101_result\d#100\v#30\4\ping_collision_summary.csv</t>
  </si>
  <si>
    <t>D:\CBP_2026.07.21\i#3\rrep\rrep#44_101_result\d#100\v#30\5\ping_collision_summary.csv</t>
  </si>
  <si>
    <t>D:\CBP_2026.07.21\i#3\rrep\rrep#44_101_result\d#100\v#30\6\ping_collision_summary.csv</t>
  </si>
  <si>
    <t>D:\CBP_2026.07.21\i#3\rrep\rrep#44_101_result\d#100\v#30\7\ping_collision_summary.csv</t>
  </si>
  <si>
    <t>D:\CBP_2026.07.21\i#3\rrep\rrep#44_101_result\d#100\v#30\8\ping_collision_summary.csv</t>
  </si>
  <si>
    <t>D:\CBP_2026.07.21\i#3\rrep\rrep#44_101_result\d#100\v#30\9\ping_collision_summary.csv</t>
  </si>
  <si>
    <t>D:\CBP_2026.07.21\i#3\rrep\rrep#44_101_result\d#120\v#10\0\ping_collision_summary.csv</t>
  </si>
  <si>
    <t>D:\CBP_2026.07.21\i#3\rrep\rrep#44_101_result\d#120\v#10\10\ping_collision_summary.csv</t>
  </si>
  <si>
    <t>D:\CBP_2026.07.21\i#3\rrep\rrep#44_101_result\d#120\v#10\11\ping_collision_summary.csv</t>
  </si>
  <si>
    <t>D:\CBP_2026.07.21\i#3\rrep\rrep#44_101_result\d#120\v#10\12\ping_collision_summary.csv</t>
  </si>
  <si>
    <t>D:\CBP_2026.07.21\i#3\rrep\rrep#44_101_result\d#120\v#10\13\ping_collision_summary.csv</t>
  </si>
  <si>
    <t>D:\CBP_2026.07.21\i#3\rrep\rrep#44_101_result\d#120\v#10\14\ping_collision_summary.csv</t>
  </si>
  <si>
    <t>D:\CBP_2026.07.21\i#3\rrep\rrep#44_101_result\d#120\v#10\15\ping_collision_summary.csv</t>
  </si>
  <si>
    <t>D:\CBP_2026.07.21\i#3\rrep\rrep#44_101_result\d#120\v#10\16\ping_collision_summary.csv</t>
  </si>
  <si>
    <t>D:\CBP_2026.07.21\i#3\rrep\rrep#44_101_result\d#120\v#10\17\ping_collision_summary.csv</t>
  </si>
  <si>
    <t>D:\CBP_2026.07.21\i#3\rrep\rrep#44_101_result\d#120\v#10\18\ping_collision_summary.csv</t>
  </si>
  <si>
    <t>D:\CBP_2026.07.21\i#3\rrep\rrep#44_101_result\d#120\v#10\19\ping_collision_summary.csv</t>
  </si>
  <si>
    <t>D:\CBP_2026.07.21\i#3\rrep\rrep#44_101_result\d#120\v#10\1\ping_collision_summary.csv</t>
  </si>
  <si>
    <t>D:\CBP_2026.07.21\i#3\rrep\rrep#44_101_result\d#120\v#10\20\ping_collision_summary.csv</t>
  </si>
  <si>
    <t>D:\CBP_2026.07.21\i#3\rrep\rrep#44_101_result\d#120\v#10\21\ping_collision_summary.csv</t>
  </si>
  <si>
    <t>D:\CBP_2026.07.21\i#3\rrep\rrep#44_101_result\d#120\v#10\22\ping_collision_summary.csv</t>
  </si>
  <si>
    <t>D:\CBP_2026.07.21\i#3\rrep\rrep#44_101_result\d#120\v#10\23\ping_collision_summary.csv</t>
  </si>
  <si>
    <t>D:\CBP_2026.07.21\i#3\rrep\rrep#44_101_result\d#120\v#10\24\ping_collision_summary.csv</t>
  </si>
  <si>
    <t>D:\CBP_2026.07.21\i#3\rrep\rrep#44_101_result\d#120\v#10\25\ping_collision_summary.csv</t>
  </si>
  <si>
    <t>D:\CBP_2026.07.21\i#3\rrep\rrep#44_101_result\d#120\v#10\26\ping_collision_summary.csv</t>
  </si>
  <si>
    <t>D:\CBP_2026.07.21\i#3\rrep\rrep#44_101_result\d#120\v#10\27\ping_collision_summary.csv</t>
  </si>
  <si>
    <t>D:\CBP_2026.07.21\i#3\rrep\rrep#44_101_result\d#120\v#10\28\ping_collision_summary.csv</t>
  </si>
  <si>
    <t>D:\CBP_2026.07.21\i#3\rrep\rrep#44_101_result\d#120\v#10\29\ping_collision_summary.csv</t>
  </si>
  <si>
    <t>D:\CBP_2026.07.21\i#3\rrep\rrep#44_101_result\d#120\v#10\2\ping_collision_summary.csv</t>
  </si>
  <si>
    <t>D:\CBP_2026.07.21\i#3\rrep\rrep#44_101_result\d#120\v#10\30\ping_collision_summary.csv</t>
  </si>
  <si>
    <t>D:\CBP_2026.07.21\i#3\rrep\rrep#44_101_result\d#120\v#10\3\ping_collision_summary.csv</t>
  </si>
  <si>
    <t>D:\CBP_2026.07.21\i#3\rrep\rrep#44_101_result\d#120\v#10\4\ping_collision_summary.csv</t>
  </si>
  <si>
    <t>D:\CBP_2026.07.21\i#3\rrep\rrep#44_101_result\d#120\v#10\5\ping_collision_summary.csv</t>
  </si>
  <si>
    <t>D:\CBP_2026.07.21\i#3\rrep\rrep#44_101_result\d#120\v#10\6\ping_collision_summary.csv</t>
  </si>
  <si>
    <t>D:\CBP_2026.07.21\i#3\rrep\rrep#44_101_result\d#120\v#10\7\ping_collision_summary.csv</t>
  </si>
  <si>
    <t>D:\CBP_2026.07.21\i#3\rrep\rrep#44_101_result\d#120\v#10\8\ping_collision_summary.csv</t>
  </si>
  <si>
    <t>D:\CBP_2026.07.21\i#3\rrep\rrep#44_101_result\d#120\v#10\9\ping_collision_summary.csv</t>
  </si>
  <si>
    <t>D:\CBP_2026.07.21\i#3\rrep\rrep#44_101_result\d#120\v#20\0\ping_collision_summary.csv</t>
  </si>
  <si>
    <t>D:\CBP_2026.07.21\i#3\rrep\rrep#44_101_result\d#120\v#20\10\ping_collision_summary.csv</t>
  </si>
  <si>
    <t>D:\CBP_2026.07.21\i#3\rrep\rrep#44_101_result\d#120\v#20\11\ping_collision_summary.csv</t>
  </si>
  <si>
    <t>D:\CBP_2026.07.21\i#3\rrep\rrep#44_101_result\d#120\v#20\12\ping_collision_summary.csv</t>
  </si>
  <si>
    <t>D:\CBP_2026.07.21\i#3\rrep\rrep#44_101_result\d#120\v#20\13\ping_collision_summary.csv</t>
  </si>
  <si>
    <t>D:\CBP_2026.07.21\i#3\rrep\rrep#44_101_result\d#120\v#20\14\ping_collision_summary.csv</t>
  </si>
  <si>
    <t>D:\CBP_2026.07.21\i#3\rrep\rrep#44_101_result\d#120\v#20\15\ping_collision_summary.csv</t>
  </si>
  <si>
    <t>D:\CBP_2026.07.21\i#3\rrep\rrep#44_101_result\d#120\v#20\16\ping_collision_summary.csv</t>
  </si>
  <si>
    <t>D:\CBP_2026.07.21\i#3\rrep\rrep#44_101_result\d#120\v#20\17\ping_collision_summary.csv</t>
  </si>
  <si>
    <t>D:\CBP_2026.07.21\i#3\rrep\rrep#44_101_result\d#120\v#20\18\ping_collision_summary.csv</t>
  </si>
  <si>
    <t>D:\CBP_2026.07.21\i#3\rrep\rrep#44_101_result\d#120\v#20\19\ping_collision_summary.csv</t>
  </si>
  <si>
    <t>D:\CBP_2026.07.21\i#3\rrep\rrep#44_101_result\d#120\v#20\1\ping_collision_summary.csv</t>
  </si>
  <si>
    <t>D:\CBP_2026.07.21\i#3\rrep\rrep#44_101_result\d#120\v#20\20\ping_collision_summary.csv</t>
  </si>
  <si>
    <t>D:\CBP_2026.07.21\i#3\rrep\rrep#44_101_result\d#120\v#20\21\ping_collision_summary.csv</t>
  </si>
  <si>
    <t>D:\CBP_2026.07.21\i#3\rrep\rrep#44_101_result\d#120\v#20\22\ping_collision_summary.csv</t>
  </si>
  <si>
    <t>D:\CBP_2026.07.21\i#3\rrep\rrep#44_101_result\d#120\v#20\23\ping_collision_summary.csv</t>
  </si>
  <si>
    <t>D:\CBP_2026.07.21\i#3\rrep\rrep#44_101_result\d#120\v#20\24\ping_collision_summary.csv</t>
  </si>
  <si>
    <t>D:\CBP_2026.07.21\i#3\rrep\rrep#44_101_result\d#120\v#20\25\ping_collision_summary.csv</t>
  </si>
  <si>
    <t>D:\CBP_2026.07.21\i#3\rrep\rrep#44_101_result\d#120\v#20\26\ping_collision_summary.csv</t>
  </si>
  <si>
    <t>D:\CBP_2026.07.21\i#3\rrep\rrep#44_101_result\d#120\v#20\27\ping_collision_summary.csv</t>
  </si>
  <si>
    <t>D:\CBP_2026.07.21\i#3\rrep\rrep#44_101_result\d#120\v#20\28\ping_collision_summary.csv</t>
  </si>
  <si>
    <t>D:\CBP_2026.07.21\i#3\rrep\rrep#44_101_result\d#120\v#20\29\ping_collision_summary.csv</t>
  </si>
  <si>
    <t>D:\CBP_2026.07.21\i#3\rrep\rrep#44_101_result\d#120\v#20\2\ping_collision_summary.csv</t>
  </si>
  <si>
    <t>D:\CBP_2026.07.21\i#3\rrep\rrep#44_101_result\d#120\v#20\30\ping_collision_summary.csv</t>
  </si>
  <si>
    <t>D:\CBP_2026.07.21\i#3\rrep\rrep#44_101_result\d#120\v#20\3\ping_collision_summary.csv</t>
  </si>
  <si>
    <t>D:\CBP_2026.07.21\i#3\rrep\rrep#44_101_result\d#120\v#20\4\ping_collision_summary.csv</t>
  </si>
  <si>
    <t>D:\CBP_2026.07.21\i#3\rrep\rrep#44_101_result\d#120\v#20\5\ping_collision_summary.csv</t>
  </si>
  <si>
    <t>D:\CBP_2026.07.21\i#3\rrep\rrep#44_101_result\d#120\v#20\6\ping_collision_summary.csv</t>
  </si>
  <si>
    <t>D:\CBP_2026.07.21\i#3\rrep\rrep#44_101_result\d#120\v#20\7\ping_collision_summary.csv</t>
  </si>
  <si>
    <t>D:\CBP_2026.07.21\i#3\rrep\rrep#44_101_result\d#120\v#20\8\ping_collision_summary.csv</t>
  </si>
  <si>
    <t>D:\CBP_2026.07.21\i#3\rrep\rrep#44_101_result\d#120\v#20\9\ping_collision_summary.csv</t>
  </si>
  <si>
    <t>D:\CBP_2026.07.21\i#3\rrep\rrep#44_101_result\d#120\v#30\0\ping_collision_summary.csv</t>
  </si>
  <si>
    <t>D:\CBP_2026.07.21\i#3\rrep\rrep#44_101_result\d#120\v#30\10\ping_collision_summary.csv</t>
  </si>
  <si>
    <t>D:\CBP_2026.07.21\i#3\rrep\rrep#44_101_result\d#120\v#30\11\ping_collision_summary.csv</t>
  </si>
  <si>
    <t>D:\CBP_2026.07.21\i#3\rrep\rrep#44_101_result\d#120\v#30\12\ping_collision_summary.csv</t>
  </si>
  <si>
    <t>D:\CBP_2026.07.21\i#3\rrep\rrep#44_101_result\d#120\v#30\13\ping_collision_summary.csv</t>
  </si>
  <si>
    <t>D:\CBP_2026.07.21\i#3\rrep\rrep#44_101_result\d#120\v#30\14\ping_collision_summary.csv</t>
  </si>
  <si>
    <t>D:\CBP_2026.07.21\i#3\rrep\rrep#44_101_result\d#120\v#30\15\ping_collision_summary.csv</t>
  </si>
  <si>
    <t>D:\CBP_2026.07.21\i#3\rrep\rrep#44_101_result\d#120\v#30\16\ping_collision_summary.csv</t>
  </si>
  <si>
    <t>D:\CBP_2026.07.21\i#3\rrep\rrep#44_101_result\d#120\v#30\17\ping_collision_summary.csv</t>
  </si>
  <si>
    <t>D:\CBP_2026.07.21\i#3\rrep\rrep#44_101_result\d#120\v#30\18\ping_collision_summary.csv</t>
  </si>
  <si>
    <t>D:\CBP_2026.07.21\i#3\rrep\rrep#44_101_result\d#120\v#30\19\ping_collision_summary.csv</t>
  </si>
  <si>
    <t>D:\CBP_2026.07.21\i#3\rrep\rrep#44_101_result\d#120\v#30\1\ping_collision_summary.csv</t>
  </si>
  <si>
    <t>D:\CBP_2026.07.21\i#3\rrep\rrep#44_101_result\d#120\v#30\20\ping_collision_summary.csv</t>
  </si>
  <si>
    <t>D:\CBP_2026.07.21\i#3\rrep\rrep#44_101_result\d#120\v#30\21\ping_collision_summary.csv</t>
  </si>
  <si>
    <t>D:\CBP_2026.07.21\i#3\rrep\rrep#44_101_result\d#120\v#30\22\ping_collision_summary.csv</t>
  </si>
  <si>
    <t>D:\CBP_2026.07.21\i#3\rrep\rrep#44_101_result\d#120\v#30\23\ping_collision_summary.csv</t>
  </si>
  <si>
    <t>D:\CBP_2026.07.21\i#3\rrep\rrep#44_101_result\d#120\v#30\24\ping_collision_summary.csv</t>
  </si>
  <si>
    <t>D:\CBP_2026.07.21\i#3\rrep\rrep#44_101_result\d#120\v#30\25\ping_collision_summary.csv</t>
  </si>
  <si>
    <t>D:\CBP_2026.07.21\i#3\rrep\rrep#44_101_result\d#120\v#30\26\ping_collision_summary.csv</t>
  </si>
  <si>
    <t>D:\CBP_2026.07.21\i#3\rrep\rrep#44_101_result\d#120\v#30\27\ping_collision_summary.csv</t>
  </si>
  <si>
    <t>D:\CBP_2026.07.21\i#3\rrep\rrep#44_101_result\d#120\v#30\28\ping_collision_summary.csv</t>
  </si>
  <si>
    <t>D:\CBP_2026.07.21\i#3\rrep\rrep#44_101_result\d#120\v#30\29\ping_collision_summary.csv</t>
  </si>
  <si>
    <t>D:\CBP_2026.07.21\i#3\rrep\rrep#44_101_result\d#120\v#30\2\ping_collision_summary.csv</t>
  </si>
  <si>
    <t>D:\CBP_2026.07.21\i#3\rrep\rrep#44_101_result\d#120\v#30\30\ping_collision_summary.csv</t>
  </si>
  <si>
    <t>D:\CBP_2026.07.21\i#3\rrep\rrep#44_101_result\d#120\v#30\3\ping_collision_summary.csv</t>
  </si>
  <si>
    <t>D:\CBP_2026.07.21\i#3\rrep\rrep#44_101_result\d#120\v#30\4\ping_collision_summary.csv</t>
  </si>
  <si>
    <t>D:\CBP_2026.07.21\i#3\rrep\rrep#44_101_result\d#120\v#30\5\ping_collision_summary.csv</t>
  </si>
  <si>
    <t>D:\CBP_2026.07.21\i#3\rrep\rrep#44_101_result\d#120\v#30\6\ping_collision_summary.csv</t>
  </si>
  <si>
    <t>D:\CBP_2026.07.21\i#3\rrep\rrep#44_101_result\d#120\v#30\7\ping_collision_summary.csv</t>
  </si>
  <si>
    <t>D:\CBP_2026.07.21\i#3\rrep\rrep#44_101_result\d#120\v#30\8\ping_collision_summary.csv</t>
  </si>
  <si>
    <t>D:\CBP_2026.07.21\i#3\rrep\rrep#44_101_result\d#120\v#30\9\ping_collision_summary.csv</t>
  </si>
  <si>
    <t>D:\CBP_2026.07.21\i#3\rrep\rrep#44_101_result\d#70\v#10\0\ping_collision_summary.csv</t>
  </si>
  <si>
    <t>D:\CBP_2026.07.21\i#3\rrep\rrep#44_101_result\d#70\v#10\10\ping_collision_summary.csv</t>
  </si>
  <si>
    <t>D:\CBP_2026.07.21\i#3\rrep\rrep#44_101_result\d#70\v#10\11\ping_collision_summary.csv</t>
  </si>
  <si>
    <t>D:\CBP_2026.07.21\i#3\rrep\rrep#44_101_result\d#70\v#10\12\ping_collision_summary.csv</t>
  </si>
  <si>
    <t>D:\CBP_2026.07.21\i#3\rrep\rrep#44_101_result\d#70\v#10\13\ping_collision_summary.csv</t>
  </si>
  <si>
    <t>D:\CBP_2026.07.21\i#3\rrep\rrep#44_101_result\d#70\v#10\14\ping_collision_summary.csv</t>
  </si>
  <si>
    <t>D:\CBP_2026.07.21\i#3\rrep\rrep#44_101_result\d#70\v#10\15\ping_collision_summary.csv</t>
  </si>
  <si>
    <t>D:\CBP_2026.07.21\i#3\rrep\rrep#44_101_result\d#70\v#10\16\ping_collision_summary.csv</t>
  </si>
  <si>
    <t>D:\CBP_2026.07.21\i#3\rrep\rrep#44_101_result\d#70\v#10\17\ping_collision_summary.csv</t>
  </si>
  <si>
    <t>D:\CBP_2026.07.21\i#3\rrep\rrep#44_101_result\d#70\v#10\18\ping_collision_summary.csv</t>
  </si>
  <si>
    <t>D:\CBP_2026.07.21\i#3\rrep\rrep#44_101_result\d#70\v#10\19\ping_collision_summary.csv</t>
  </si>
  <si>
    <t>D:\CBP_2026.07.21\i#3\rrep\rrep#44_101_result\d#70\v#10\1\ping_collision_summary.csv</t>
  </si>
  <si>
    <t>D:\CBP_2026.07.21\i#3\rrep\rrep#44_101_result\d#70\v#10\20\ping_collision_summary.csv</t>
  </si>
  <si>
    <t>D:\CBP_2026.07.21\i#3\rrep\rrep#44_101_result\d#70\v#10\21\ping_collision_summary.csv</t>
  </si>
  <si>
    <t>D:\CBP_2026.07.21\i#3\rrep\rrep#44_101_result\d#70\v#10\22\ping_collision_summary.csv</t>
  </si>
  <si>
    <t>D:\CBP_2026.07.21\i#3\rrep\rrep#44_101_result\d#70\v#10\23\ping_collision_summary.csv</t>
  </si>
  <si>
    <t>D:\CBP_2026.07.21\i#3\rrep\rrep#44_101_result\d#70\v#10\24\ping_collision_summary.csv</t>
  </si>
  <si>
    <t>D:\CBP_2026.07.21\i#3\rrep\rrep#44_101_result\d#70\v#10\25\ping_collision_summary.csv</t>
  </si>
  <si>
    <t>D:\CBP_2026.07.21\i#3\rrep\rrep#44_101_result\d#70\v#10\26\ping_collision_summary.csv</t>
  </si>
  <si>
    <t>D:\CBP_2026.07.21\i#3\rrep\rrep#44_101_result\d#70\v#10\27\ping_collision_summary.csv</t>
  </si>
  <si>
    <t>D:\CBP_2026.07.21\i#3\rrep\rrep#44_101_result\d#70\v#10\28\ping_collision_summary.csv</t>
  </si>
  <si>
    <t>D:\CBP_2026.07.21\i#3\rrep\rrep#44_101_result\d#70\v#10\29\ping_collision_summary.csv</t>
  </si>
  <si>
    <t>D:\CBP_2026.07.21\i#3\rrep\rrep#44_101_result\d#70\v#10\2\ping_collision_summary.csv</t>
  </si>
  <si>
    <t>D:\CBP_2026.07.21\i#3\rrep\rrep#44_101_result\d#70\v#10\30\ping_collision_summary.csv</t>
  </si>
  <si>
    <t>D:\CBP_2026.07.21\i#3\rrep\rrep#44_101_result\d#70\v#10\3\ping_collision_summary.csv</t>
  </si>
  <si>
    <t>D:\CBP_2026.07.21\i#3\rrep\rrep#44_101_result\d#70\v#10\4\ping_collision_summary.csv</t>
  </si>
  <si>
    <t>D:\CBP_2026.07.21\i#3\rrep\rrep#44_101_result\d#70\v#10\5\ping_collision_summary.csv</t>
  </si>
  <si>
    <t>D:\CBP_2026.07.21\i#3\rrep\rrep#44_101_result\d#70\v#10\6\ping_collision_summary.csv</t>
  </si>
  <si>
    <t>D:\CBP_2026.07.21\i#3\rrep\rrep#44_101_result\d#70\v#10\7\ping_collision_summary.csv</t>
  </si>
  <si>
    <t>D:\CBP_2026.07.21\i#3\rrep\rrep#44_101_result\d#70\v#10\8\ping_collision_summary.csv</t>
  </si>
  <si>
    <t>D:\CBP_2026.07.21\i#3\rrep\rrep#44_101_result\d#70\v#10\9\ping_collision_summary.csv</t>
  </si>
  <si>
    <t>D:\CBP_2026.07.21\i#3\rrep\rrep#44_101_result\d#70\v#20\0\ping_collision_summary.csv</t>
  </si>
  <si>
    <t>D:\CBP_2026.07.21\i#3\rrep\rrep#44_101_result\d#70\v#20\10\ping_collision_summary.csv</t>
  </si>
  <si>
    <t>D:\CBP_2026.07.21\i#3\rrep\rrep#44_101_result\d#70\v#20\11\ping_collision_summary.csv</t>
  </si>
  <si>
    <t>D:\CBP_2026.07.21\i#3\rrep\rrep#44_101_result\d#70\v#20\12\ping_collision_summary.csv</t>
  </si>
  <si>
    <t>D:\CBP_2026.07.21\i#3\rrep\rrep#44_101_result\d#70\v#20\13\ping_collision_summary.csv</t>
  </si>
  <si>
    <t>D:\CBP_2026.07.21\i#3\rrep\rrep#44_101_result\d#70\v#20\14\ping_collision_summary.csv</t>
  </si>
  <si>
    <t>D:\CBP_2026.07.21\i#3\rrep\rrep#44_101_result\d#70\v#20\15\ping_collision_summary.csv</t>
  </si>
  <si>
    <t>D:\CBP_2026.07.21\i#3\rrep\rrep#44_101_result\d#70\v#20\16\ping_collision_summary.csv</t>
  </si>
  <si>
    <t>D:\CBP_2026.07.21\i#3\rrep\rrep#44_101_result\d#70\v#20\17\ping_collision_summary.csv</t>
  </si>
  <si>
    <t>D:\CBP_2026.07.21\i#3\rrep\rrep#44_101_result\d#70\v#20\18\ping_collision_summary.csv</t>
  </si>
  <si>
    <t>D:\CBP_2026.07.21\i#3\rrep\rrep#44_101_result\d#70\v#20\19\ping_collision_summary.csv</t>
  </si>
  <si>
    <t>D:\CBP_2026.07.21\i#3\rrep\rrep#44_101_result\d#70\v#20\1\ping_collision_summary.csv</t>
  </si>
  <si>
    <t>D:\CBP_2026.07.21\i#3\rrep\rrep#44_101_result\d#70\v#20\20\ping_collision_summary.csv</t>
  </si>
  <si>
    <t>D:\CBP_2026.07.21\i#3\rrep\rrep#44_101_result\d#70\v#20\21\ping_collision_summary.csv</t>
  </si>
  <si>
    <t>D:\CBP_2026.07.21\i#3\rrep\rrep#44_101_result\d#70\v#20\22\ping_collision_summary.csv</t>
  </si>
  <si>
    <t>D:\CBP_2026.07.21\i#3\rrep\rrep#44_101_result\d#70\v#20\23\ping_collision_summary.csv</t>
  </si>
  <si>
    <t>D:\CBP_2026.07.21\i#3\rrep\rrep#44_101_result\d#70\v#20\24\ping_collision_summary.csv</t>
  </si>
  <si>
    <t>D:\CBP_2026.07.21\i#3\rrep\rrep#44_101_result\d#70\v#20\25\ping_collision_summary.csv</t>
  </si>
  <si>
    <t>D:\CBP_2026.07.21\i#3\rrep\rrep#44_101_result\d#70\v#20\26\ping_collision_summary.csv</t>
  </si>
  <si>
    <t>D:\CBP_2026.07.21\i#3\rrep\rrep#44_101_result\d#70\v#20\27\ping_collision_summary.csv</t>
  </si>
  <si>
    <t>D:\CBP_2026.07.21\i#3\rrep\rrep#44_101_result\d#70\v#20\28\ping_collision_summary.csv</t>
  </si>
  <si>
    <t>D:\CBP_2026.07.21\i#3\rrep\rrep#44_101_result\d#70\v#20\29\ping_collision_summary.csv</t>
  </si>
  <si>
    <t>D:\CBP_2026.07.21\i#3\rrep\rrep#44_101_result\d#70\v#20\2\ping_collision_summary.csv</t>
  </si>
  <si>
    <t>D:\CBP_2026.07.21\i#3\rrep\rrep#44_101_result\d#70\v#20\30\ping_collision_summary.csv</t>
  </si>
  <si>
    <t>D:\CBP_2026.07.21\i#3\rrep\rrep#44_101_result\d#70\v#20\3\ping_collision_summary.csv</t>
  </si>
  <si>
    <t>D:\CBP_2026.07.21\i#3\rrep\rrep#44_101_result\d#70\v#20\4\ping_collision_summary.csv</t>
  </si>
  <si>
    <t>D:\CBP_2026.07.21\i#3\rrep\rrep#44_101_result\d#70\v#20\5\ping_collision_summary.csv</t>
  </si>
  <si>
    <t>D:\CBP_2026.07.21\i#3\rrep\rrep#44_101_result\d#70\v#20\6\ping_collision_summary.csv</t>
  </si>
  <si>
    <t>D:\CBP_2026.07.21\i#3\rrep\rrep#44_101_result\d#70\v#20\7\ping_collision_summary.csv</t>
  </si>
  <si>
    <t>D:\CBP_2026.07.21\i#3\rrep\rrep#44_101_result\d#70\v#20\8\ping_collision_summary.csv</t>
  </si>
  <si>
    <t>D:\CBP_2026.07.21\i#3\rrep\rrep#44_101_result\d#70\v#20\9\ping_collision_summary.csv</t>
  </si>
  <si>
    <t>D:\CBP_2026.07.21\i#3\rrep\rrep#44_101_result\d#70\v#30\0\ping_collision_summary.csv</t>
  </si>
  <si>
    <t>D:\CBP_2026.07.21\i#3\rrep\rrep#44_101_result\d#70\v#30\10\ping_collision_summary.csv</t>
  </si>
  <si>
    <t>D:\CBP_2026.07.21\i#3\rrep\rrep#44_101_result\d#70\v#30\11\ping_collision_summary.csv</t>
  </si>
  <si>
    <t>D:\CBP_2026.07.21\i#3\rrep\rrep#44_101_result\d#70\v#30\12\ping_collision_summary.csv</t>
  </si>
  <si>
    <t>D:\CBP_2026.07.21\i#3\rrep\rrep#44_101_result\d#70\v#30\13\ping_collision_summary.csv</t>
  </si>
  <si>
    <t>D:\CBP_2026.07.21\i#3\rrep\rrep#44_101_result\d#70\v#30\14\ping_collision_summary.csv</t>
  </si>
  <si>
    <t>D:\CBP_2026.07.21\i#3\rrep\rrep#44_101_result\d#70\v#30\15\ping_collision_summary.csv</t>
  </si>
  <si>
    <t>D:\CBP_2026.07.21\i#3\rrep\rrep#44_101_result\d#70\v#30\16\ping_collision_summary.csv</t>
  </si>
  <si>
    <t>D:\CBP_2026.07.21\i#3\rrep\rrep#44_101_result\d#70\v#30\17\ping_collision_summary.csv</t>
  </si>
  <si>
    <t>D:\CBP_2026.07.21\i#3\rrep\rrep#44_101_result\d#70\v#30\18\ping_collision_summary.csv</t>
  </si>
  <si>
    <t>D:\CBP_2026.07.21\i#3\rrep\rrep#44_101_result\d#70\v#30\19\ping_collision_summary.csv</t>
  </si>
  <si>
    <t>D:\CBP_2026.07.21\i#3\rrep\rrep#44_101_result\d#70\v#30\1\ping_collision_summary.csv</t>
  </si>
  <si>
    <t>D:\CBP_2026.07.21\i#3\rrep\rrep#44_101_result\d#70\v#30\20\ping_collision_summary.csv</t>
  </si>
  <si>
    <t>D:\CBP_2026.07.21\i#3\rrep\rrep#44_101_result\d#70\v#30\21\ping_collision_summary.csv</t>
  </si>
  <si>
    <t>D:\CBP_2026.07.21\i#3\rrep\rrep#44_101_result\d#70\v#30\22\ping_collision_summary.csv</t>
  </si>
  <si>
    <t>D:\CBP_2026.07.21\i#3\rrep\rrep#44_101_result\d#70\v#30\23\ping_collision_summary.csv</t>
  </si>
  <si>
    <t>D:\CBP_2026.07.21\i#3\rrep\rrep#44_101_result\d#70\v#30\24\ping_collision_summary.csv</t>
  </si>
  <si>
    <t>D:\CBP_2026.07.21\i#3\rrep\rrep#44_101_result\d#70\v#30\25\ping_collision_summary.csv</t>
  </si>
  <si>
    <t>D:\CBP_2026.07.21\i#3\rrep\rrep#44_101_result\d#70\v#30\26\ping_collision_summary.csv</t>
  </si>
  <si>
    <t>D:\CBP_2026.07.21\i#3\rrep\rrep#44_101_result\d#70\v#30\27\ping_collision_summary.csv</t>
  </si>
  <si>
    <t>D:\CBP_2026.07.21\i#3\rrep\rrep#44_101_result\d#70\v#30\28\ping_collision_summary.csv</t>
  </si>
  <si>
    <t>D:\CBP_2026.07.21\i#3\rrep\rrep#44_101_result\d#70\v#30\29\ping_collision_summary.csv</t>
  </si>
  <si>
    <t>D:\CBP_2026.07.21\i#3\rrep\rrep#44_101_result\d#70\v#30\2\ping_collision_summary.csv</t>
  </si>
  <si>
    <t>D:\CBP_2026.07.21\i#3\rrep\rrep#44_101_result\d#70\v#30\30\ping_collision_summary.csv</t>
  </si>
  <si>
    <t>D:\CBP_2026.07.21\i#3\rrep\rrep#44_101_result\d#70\v#30\3\ping_collision_summary.csv</t>
  </si>
  <si>
    <t>D:\CBP_2026.07.21\i#3\rrep\rrep#44_101_result\d#70\v#30\4\ping_collision_summary.csv</t>
  </si>
  <si>
    <t>D:\CBP_2026.07.21\i#3\rrep\rrep#44_101_result\d#70\v#30\5\ping_collision_summary.csv</t>
  </si>
  <si>
    <t>D:\CBP_2026.07.21\i#3\rrep\rrep#44_101_result\d#70\v#30\6\ping_collision_summary.csv</t>
  </si>
  <si>
    <t>D:\CBP_2026.07.21\i#3\rrep\rrep#44_101_result\d#70\v#30\7\ping_collision_summary.csv</t>
  </si>
  <si>
    <t>D:\CBP_2026.07.21\i#3\rrep\rrep#44_101_result\d#70\v#30\8\ping_collision_summary.csv</t>
  </si>
  <si>
    <t>D:\CBP_2026.07.21\i#3\rrep\rrep#44_101_result\d#70\v#30\9\ping_collision_summary.csv</t>
  </si>
  <si>
    <t>D:\CBP_2026.07.21\i#3\rreq\rreq#0_19_result\d#100\v#10\0\ping_collision_summary.csv</t>
  </si>
  <si>
    <t>D:\CBP_2026.07.21\i#3\rreq\rreq#0_19_result\d#100\v#10\10\ping_collision_summary.csv</t>
  </si>
  <si>
    <t>D:\CBP_2026.07.21\i#3\rreq\rreq#0_19_result\d#100\v#10\11\ping_collision_summary.csv</t>
  </si>
  <si>
    <t>D:\CBP_2026.07.21\i#3\rreq\rreq#0_19_result\d#100\v#10\12\ping_collision_summary.csv</t>
  </si>
  <si>
    <t>D:\CBP_2026.07.21\i#3\rreq\rreq#0_19_result\d#100\v#10\13\ping_collision_summary.csv</t>
  </si>
  <si>
    <t>D:\CBP_2026.07.21\i#3\rreq\rreq#0_19_result\d#100\v#10\14\ping_collision_summary.csv</t>
  </si>
  <si>
    <t>D:\CBP_2026.07.21\i#3\rreq\rreq#0_19_result\d#100\v#10\15\ping_collision_summary.csv</t>
  </si>
  <si>
    <t>D:\CBP_2026.07.21\i#3\rreq\rreq#0_19_result\d#100\v#10\16\ping_collision_summary.csv</t>
  </si>
  <si>
    <t>D:\CBP_2026.07.21\i#3\rreq\rreq#0_19_result\d#100\v#10\17\ping_collision_summary.csv</t>
  </si>
  <si>
    <t>D:\CBP_2026.07.21\i#3\rreq\rreq#0_19_result\d#100\v#10\18\ping_collision_summary.csv</t>
  </si>
  <si>
    <t>D:\CBP_2026.07.21\i#3\rreq\rreq#0_19_result\d#100\v#10\19\ping_collision_summary.csv</t>
  </si>
  <si>
    <t>D:\CBP_2026.07.21\i#3\rreq\rreq#0_19_result\d#100\v#10\1\ping_collision_summary.csv</t>
  </si>
  <si>
    <t>D:\CBP_2026.07.21\i#3\rreq\rreq#0_19_result\d#100\v#10\20\ping_collision_summary.csv</t>
  </si>
  <si>
    <t>D:\CBP_2026.07.21\i#3\rreq\rreq#0_19_result\d#100\v#10\21\ping_collision_summary.csv</t>
  </si>
  <si>
    <t>D:\CBP_2026.07.21\i#3\rreq\rreq#0_19_result\d#100\v#10\22\ping_collision_summary.csv</t>
  </si>
  <si>
    <t>D:\CBP_2026.07.21\i#3\rreq\rreq#0_19_result\d#100\v#10\23\ping_collision_summary.csv</t>
  </si>
  <si>
    <t>D:\CBP_2026.07.21\i#3\rreq\rreq#0_19_result\d#100\v#10\24\ping_collision_summary.csv</t>
  </si>
  <si>
    <t>D:\CBP_2026.07.21\i#3\rreq\rreq#0_19_result\d#100\v#10\25\ping_collision_summary.csv</t>
  </si>
  <si>
    <t>D:\CBP_2026.07.21\i#3\rreq\rreq#0_19_result\d#100\v#10\26\ping_collision_summary.csv</t>
  </si>
  <si>
    <t>D:\CBP_2026.07.21\i#3\rreq\rreq#0_19_result\d#100\v#10\27\ping_collision_summary.csv</t>
  </si>
  <si>
    <t>D:\CBP_2026.07.21\i#3\rreq\rreq#0_19_result\d#100\v#10\28\ping_collision_summary.csv</t>
  </si>
  <si>
    <t>D:\CBP_2026.07.21\i#3\rreq\rreq#0_19_result\d#100\v#10\29\ping_collision_summary.csv</t>
  </si>
  <si>
    <t>D:\CBP_2026.07.21\i#3\rreq\rreq#0_19_result\d#100\v#10\2\ping_collision_summary.csv</t>
  </si>
  <si>
    <t>D:\CBP_2026.07.21\i#3\rreq\rreq#0_19_result\d#100\v#10\30\ping_collision_summary.csv</t>
  </si>
  <si>
    <t>D:\CBP_2026.07.21\i#3\rreq\rreq#0_19_result\d#100\v#10\3\ping_collision_summary.csv</t>
  </si>
  <si>
    <t>D:\CBP_2026.07.21\i#3\rreq\rreq#0_19_result\d#100\v#10\4\ping_collision_summary.csv</t>
  </si>
  <si>
    <t>D:\CBP_2026.07.21\i#3\rreq\rreq#0_19_result\d#100\v#10\5\ping_collision_summary.csv</t>
  </si>
  <si>
    <t>D:\CBP_2026.07.21\i#3\rreq\rreq#0_19_result\d#100\v#10\6\ping_collision_summary.csv</t>
  </si>
  <si>
    <t>D:\CBP_2026.07.21\i#3\rreq\rreq#0_19_result\d#100\v#10\7\ping_collision_summary.csv</t>
  </si>
  <si>
    <t>D:\CBP_2026.07.21\i#3\rreq\rreq#0_19_result\d#100\v#10\8\ping_collision_summary.csv</t>
  </si>
  <si>
    <t>D:\CBP_2026.07.21\i#3\rreq\rreq#0_19_result\d#100\v#10\9\ping_collision_summary.csv</t>
  </si>
  <si>
    <t>D:\CBP_2026.07.21\i#3\rreq\rreq#0_19_result\d#100\v#20\0\ping_collision_summary.csv</t>
  </si>
  <si>
    <t>D:\CBP_2026.07.21\i#3\rreq\rreq#0_19_result\d#100\v#20\10\ping_collision_summary.csv</t>
  </si>
  <si>
    <t>D:\CBP_2026.07.21\i#3\rreq\rreq#0_19_result\d#100\v#20\11\ping_collision_summary.csv</t>
  </si>
  <si>
    <t>D:\CBP_2026.07.21\i#3\rreq\rreq#0_19_result\d#100\v#20\12\ping_collision_summary.csv</t>
  </si>
  <si>
    <t>D:\CBP_2026.07.21\i#3\rreq\rreq#0_19_result\d#100\v#20\13\ping_collision_summary.csv</t>
  </si>
  <si>
    <t>D:\CBP_2026.07.21\i#3\rreq\rreq#0_19_result\d#100\v#20\14\ping_collision_summary.csv</t>
  </si>
  <si>
    <t>D:\CBP_2026.07.21\i#3\rreq\rreq#0_19_result\d#100\v#20\15\ping_collision_summary.csv</t>
  </si>
  <si>
    <t>D:\CBP_2026.07.21\i#3\rreq\rreq#0_19_result\d#100\v#20\16\ping_collision_summary.csv</t>
  </si>
  <si>
    <t>D:\CBP_2026.07.21\i#3\rreq\rreq#0_19_result\d#100\v#20\17\ping_collision_summary.csv</t>
  </si>
  <si>
    <t>D:\CBP_2026.07.21\i#3\rreq\rreq#0_19_result\d#100\v#20\18\ping_collision_summary.csv</t>
  </si>
  <si>
    <t>D:\CBP_2026.07.21\i#3\rreq\rreq#0_19_result\d#100\v#20\19\ping_collision_summary.csv</t>
  </si>
  <si>
    <t>D:\CBP_2026.07.21\i#3\rreq\rreq#0_19_result\d#100\v#20\1\ping_collision_summary.csv</t>
  </si>
  <si>
    <t>D:\CBP_2026.07.21\i#3\rreq\rreq#0_19_result\d#100\v#20\20\ping_collision_summary.csv</t>
  </si>
  <si>
    <t>D:\CBP_2026.07.21\i#3\rreq\rreq#0_19_result\d#100\v#20\21\ping_collision_summary.csv</t>
  </si>
  <si>
    <t>D:\CBP_2026.07.21\i#3\rreq\rreq#0_19_result\d#100\v#20\22\ping_collision_summary.csv</t>
  </si>
  <si>
    <t>D:\CBP_2026.07.21\i#3\rreq\rreq#0_19_result\d#100\v#20\23\ping_collision_summary.csv</t>
  </si>
  <si>
    <t>D:\CBP_2026.07.21\i#3\rreq\rreq#0_19_result\d#100\v#20\24\ping_collision_summary.csv</t>
  </si>
  <si>
    <t>D:\CBP_2026.07.21\i#3\rreq\rreq#0_19_result\d#100\v#20\25\ping_collision_summary.csv</t>
  </si>
  <si>
    <t>D:\CBP_2026.07.21\i#3\rreq\rreq#0_19_result\d#100\v#20\26\ping_collision_summary.csv</t>
  </si>
  <si>
    <t>D:\CBP_2026.07.21\i#3\rreq\rreq#0_19_result\d#100\v#20\27\ping_collision_summary.csv</t>
  </si>
  <si>
    <t>D:\CBP_2026.07.21\i#3\rreq\rreq#0_19_result\d#100\v#20\28\ping_collision_summary.csv</t>
  </si>
  <si>
    <t>D:\CBP_2026.07.21\i#3\rreq\rreq#0_19_result\d#100\v#20\29\ping_collision_summary.csv</t>
  </si>
  <si>
    <t>D:\CBP_2026.07.21\i#3\rreq\rreq#0_19_result\d#100\v#20\2\ping_collision_summary.csv</t>
  </si>
  <si>
    <t>D:\CBP_2026.07.21\i#3\rreq\rreq#0_19_result\d#100\v#20\30\ping_collision_summary.csv</t>
  </si>
  <si>
    <t>D:\CBP_2026.07.21\i#3\rreq\rreq#0_19_result\d#100\v#20\3\ping_collision_summary.csv</t>
  </si>
  <si>
    <t>D:\CBP_2026.07.21\i#3\rreq\rreq#0_19_result\d#100\v#20\4\ping_collision_summary.csv</t>
  </si>
  <si>
    <t>D:\CBP_2026.07.21\i#3\rreq\rreq#0_19_result\d#100\v#20\5\ping_collision_summary.csv</t>
  </si>
  <si>
    <t>D:\CBP_2026.07.21\i#3\rreq\rreq#0_19_result\d#100\v#20\6\ping_collision_summary.csv</t>
  </si>
  <si>
    <t>D:\CBP_2026.07.21\i#3\rreq\rreq#0_19_result\d#100\v#20\7\ping_collision_summary.csv</t>
  </si>
  <si>
    <t>D:\CBP_2026.07.21\i#3\rreq\rreq#0_19_result\d#100\v#20\8\ping_collision_summary.csv</t>
  </si>
  <si>
    <t>D:\CBP_2026.07.21\i#3\rreq\rreq#0_19_result\d#100\v#20\9\ping_collision_summary.csv</t>
  </si>
  <si>
    <t>D:\CBP_2026.07.21\i#3\rreq\rreq#0_19_result\d#100\v#30\0\ping_collision_summary.csv</t>
  </si>
  <si>
    <t>D:\CBP_2026.07.21\i#3\rreq\rreq#0_19_result\d#100\v#30\10\ping_collision_summary.csv</t>
  </si>
  <si>
    <t>D:\CBP_2026.07.21\i#3\rreq\rreq#0_19_result\d#100\v#30\11\ping_collision_summary.csv</t>
  </si>
  <si>
    <t>D:\CBP_2026.07.21\i#3\rreq\rreq#0_19_result\d#100\v#30\12\ping_collision_summary.csv</t>
  </si>
  <si>
    <t>D:\CBP_2026.07.21\i#3\rreq\rreq#0_19_result\d#100\v#30\13\ping_collision_summary.csv</t>
  </si>
  <si>
    <t>D:\CBP_2026.07.21\i#3\rreq\rreq#0_19_result\d#100\v#30\14\ping_collision_summary.csv</t>
  </si>
  <si>
    <t>D:\CBP_2026.07.21\i#3\rreq\rreq#0_19_result\d#100\v#30\15\ping_collision_summary.csv</t>
  </si>
  <si>
    <t>D:\CBP_2026.07.21\i#3\rreq\rreq#0_19_result\d#100\v#30\16\ping_collision_summary.csv</t>
  </si>
  <si>
    <t>D:\CBP_2026.07.21\i#3\rreq\rreq#0_19_result\d#100\v#30\17\ping_collision_summary.csv</t>
  </si>
  <si>
    <t>D:\CBP_2026.07.21\i#3\rreq\rreq#0_19_result\d#100\v#30\18\ping_collision_summary.csv</t>
  </si>
  <si>
    <t>D:\CBP_2026.07.21\i#3\rreq\rreq#0_19_result\d#100\v#30\19\ping_collision_summary.csv</t>
  </si>
  <si>
    <t>D:\CBP_2026.07.21\i#3\rreq\rreq#0_19_result\d#100\v#30\1\ping_collision_summary.csv</t>
  </si>
  <si>
    <t>D:\CBP_2026.07.21\i#3\rreq\rreq#0_19_result\d#100\v#30\20\ping_collision_summary.csv</t>
  </si>
  <si>
    <t>D:\CBP_2026.07.21\i#3\rreq\rreq#0_19_result\d#100\v#30\21\ping_collision_summary.csv</t>
  </si>
  <si>
    <t>D:\CBP_2026.07.21\i#3\rreq\rreq#0_19_result\d#100\v#30\22\ping_collision_summary.csv</t>
  </si>
  <si>
    <t>D:\CBP_2026.07.21\i#3\rreq\rreq#0_19_result\d#100\v#30\23\ping_collision_summary.csv</t>
  </si>
  <si>
    <t>D:\CBP_2026.07.21\i#3\rreq\rreq#0_19_result\d#100\v#30\24\ping_collision_summary.csv</t>
  </si>
  <si>
    <t>D:\CBP_2026.07.21\i#3\rreq\rreq#0_19_result\d#100\v#30\25\ping_collision_summary.csv</t>
  </si>
  <si>
    <t>D:\CBP_2026.07.21\i#3\rreq\rreq#0_19_result\d#100\v#30\26\ping_collision_summary.csv</t>
  </si>
  <si>
    <t>D:\CBP_2026.07.21\i#3\rreq\rreq#0_19_result\d#100\v#30\27\ping_collision_summary.csv</t>
  </si>
  <si>
    <t>D:\CBP_2026.07.21\i#3\rreq\rreq#0_19_result\d#100\v#30\28\ping_collision_summary.csv</t>
  </si>
  <si>
    <t>D:\CBP_2026.07.21\i#3\rreq\rreq#0_19_result\d#100\v#30\29\ping_collision_summary.csv</t>
  </si>
  <si>
    <t>D:\CBP_2026.07.21\i#3\rreq\rreq#0_19_result\d#100\v#30\2\ping_collision_summary.csv</t>
  </si>
  <si>
    <t>D:\CBP_2026.07.21\i#3\rreq\rreq#0_19_result\d#100\v#30\30\ping_collision_summary.csv</t>
  </si>
  <si>
    <t>D:\CBP_2026.07.21\i#3\rreq\rreq#0_19_result\d#100\v#30\3\ping_collision_summary.csv</t>
  </si>
  <si>
    <t>D:\CBP_2026.07.21\i#3\rreq\rreq#0_19_result\d#100\v#30\4\ping_collision_summary.csv</t>
  </si>
  <si>
    <t>D:\CBP_2026.07.21\i#3\rreq\rreq#0_19_result\d#100\v#30\5\ping_collision_summary.csv</t>
  </si>
  <si>
    <t>D:\CBP_2026.07.21\i#3\rreq\rreq#0_19_result\d#100\v#30\6\ping_collision_summary.csv</t>
  </si>
  <si>
    <t>D:\CBP_2026.07.21\i#3\rreq\rreq#0_19_result\d#100\v#30\7\ping_collision_summary.csv</t>
  </si>
  <si>
    <t>D:\CBP_2026.07.21\i#3\rreq\rreq#0_19_result\d#100\v#30\8\ping_collision_summary.csv</t>
  </si>
  <si>
    <t>D:\CBP_2026.07.21\i#3\rreq\rreq#0_19_result\d#100\v#30\9\ping_collision_summary.csv</t>
  </si>
  <si>
    <t>D:\CBP_2026.07.21\i#3\rreq\rreq#0_19_result\d#120\v#10\0\ping_collision_summary.csv</t>
  </si>
  <si>
    <t>D:\CBP_2026.07.21\i#3\rreq\rreq#0_19_result\d#120\v#10\10\ping_collision_summary.csv</t>
  </si>
  <si>
    <t>D:\CBP_2026.07.21\i#3\rreq\rreq#0_19_result\d#120\v#10\11\ping_collision_summary.csv</t>
  </si>
  <si>
    <t>D:\CBP_2026.07.21\i#3\rreq\rreq#0_19_result\d#120\v#10\12\ping_collision_summary.csv</t>
  </si>
  <si>
    <t>D:\CBP_2026.07.21\i#3\rreq\rreq#0_19_result\d#120\v#10\13\ping_collision_summary.csv</t>
  </si>
  <si>
    <t>D:\CBP_2026.07.21\i#3\rreq\rreq#0_19_result\d#120\v#10\14\ping_collision_summary.csv</t>
  </si>
  <si>
    <t>D:\CBP_2026.07.21\i#3\rreq\rreq#0_19_result\d#120\v#10\15\ping_collision_summary.csv</t>
  </si>
  <si>
    <t>D:\CBP_2026.07.21\i#3\rreq\rreq#0_19_result\d#120\v#10\16\ping_collision_summary.csv</t>
  </si>
  <si>
    <t>D:\CBP_2026.07.21\i#3\rreq\rreq#0_19_result\d#120\v#10\17\ping_collision_summary.csv</t>
  </si>
  <si>
    <t>D:\CBP_2026.07.21\i#3\rreq\rreq#0_19_result\d#120\v#10\18\ping_collision_summary.csv</t>
  </si>
  <si>
    <t>D:\CBP_2026.07.21\i#3\rreq\rreq#0_19_result\d#120\v#10\19\ping_collision_summary.csv</t>
  </si>
  <si>
    <t>D:\CBP_2026.07.21\i#3\rreq\rreq#0_19_result\d#120\v#10\1\ping_collision_summary.csv</t>
  </si>
  <si>
    <t>D:\CBP_2026.07.21\i#3\rreq\rreq#0_19_result\d#120\v#10\20\ping_collision_summary.csv</t>
  </si>
  <si>
    <t>D:\CBP_2026.07.21\i#3\rreq\rreq#0_19_result\d#120\v#10\21\ping_collision_summary.csv</t>
  </si>
  <si>
    <t>D:\CBP_2026.07.21\i#3\rreq\rreq#0_19_result\d#120\v#10\22\ping_collision_summary.csv</t>
  </si>
  <si>
    <t>D:\CBP_2026.07.21\i#3\rreq\rreq#0_19_result\d#120\v#10\23\ping_collision_summary.csv</t>
  </si>
  <si>
    <t>D:\CBP_2026.07.21\i#3\rreq\rreq#0_19_result\d#120\v#10\24\ping_collision_summary.csv</t>
  </si>
  <si>
    <t>D:\CBP_2026.07.21\i#3\rreq\rreq#0_19_result\d#120\v#10\25\ping_collision_summary.csv</t>
  </si>
  <si>
    <t>D:\CBP_2026.07.21\i#3\rreq\rreq#0_19_result\d#120\v#10\26\ping_collision_summary.csv</t>
  </si>
  <si>
    <t>D:\CBP_2026.07.21\i#3\rreq\rreq#0_19_result\d#120\v#10\27\ping_collision_summary.csv</t>
  </si>
  <si>
    <t>D:\CBP_2026.07.21\i#3\rreq\rreq#0_19_result\d#120\v#10\28\ping_collision_summary.csv</t>
  </si>
  <si>
    <t>D:\CBP_2026.07.21\i#3\rreq\rreq#0_19_result\d#120\v#10\29\ping_collision_summary.csv</t>
  </si>
  <si>
    <t>D:\CBP_2026.07.21\i#3\rreq\rreq#0_19_result\d#120\v#10\2\ping_collision_summary.csv</t>
  </si>
  <si>
    <t>D:\CBP_2026.07.21\i#3\rreq\rreq#0_19_result\d#120\v#10\30\ping_collision_summary.csv</t>
  </si>
  <si>
    <t>D:\CBP_2026.07.21\i#3\rreq\rreq#0_19_result\d#120\v#10\3\ping_collision_summary.csv</t>
  </si>
  <si>
    <t>D:\CBP_2026.07.21\i#3\rreq\rreq#0_19_result\d#120\v#10\4\ping_collision_summary.csv</t>
  </si>
  <si>
    <t>D:\CBP_2026.07.21\i#3\rreq\rreq#0_19_result\d#120\v#10\5\ping_collision_summary.csv</t>
  </si>
  <si>
    <t>D:\CBP_2026.07.21\i#3\rreq\rreq#0_19_result\d#120\v#10\6\ping_collision_summary.csv</t>
  </si>
  <si>
    <t>D:\CBP_2026.07.21\i#3\rreq\rreq#0_19_result\d#120\v#10\7\ping_collision_summary.csv</t>
  </si>
  <si>
    <t>D:\CBP_2026.07.21\i#3\rreq\rreq#0_19_result\d#120\v#10\8\ping_collision_summary.csv</t>
  </si>
  <si>
    <t>D:\CBP_2026.07.21\i#3\rreq\rreq#0_19_result\d#120\v#10\9\ping_collision_summary.csv</t>
  </si>
  <si>
    <t>D:\CBP_2026.07.21\i#3\rreq\rreq#0_19_result\d#120\v#20\0\ping_collision_summary.csv</t>
  </si>
  <si>
    <t>D:\CBP_2026.07.21\i#3\rreq\rreq#0_19_result\d#120\v#20\10\ping_collision_summary.csv</t>
  </si>
  <si>
    <t>D:\CBP_2026.07.21\i#3\rreq\rreq#0_19_result\d#120\v#20\11\ping_collision_summary.csv</t>
  </si>
  <si>
    <t>D:\CBP_2026.07.21\i#3\rreq\rreq#0_19_result\d#120\v#20\12\ping_collision_summary.csv</t>
  </si>
  <si>
    <t>D:\CBP_2026.07.21\i#3\rreq\rreq#0_19_result\d#120\v#20\13\ping_collision_summary.csv</t>
  </si>
  <si>
    <t>D:\CBP_2026.07.21\i#3\rreq\rreq#0_19_result\d#120\v#20\14\ping_collision_summary.csv</t>
  </si>
  <si>
    <t>D:\CBP_2026.07.21\i#3\rreq\rreq#0_19_result\d#120\v#20\15\ping_collision_summary.csv</t>
  </si>
  <si>
    <t>D:\CBP_2026.07.21\i#3\rreq\rreq#0_19_result\d#120\v#20\16\ping_collision_summary.csv</t>
  </si>
  <si>
    <t>D:\CBP_2026.07.21\i#3\rreq\rreq#0_19_result\d#120\v#20\17\ping_collision_summary.csv</t>
  </si>
  <si>
    <t>D:\CBP_2026.07.21\i#3\rreq\rreq#0_19_result\d#120\v#20\18\ping_collision_summary.csv</t>
  </si>
  <si>
    <t>D:\CBP_2026.07.21\i#3\rreq\rreq#0_19_result\d#120\v#20\19\ping_collision_summary.csv</t>
  </si>
  <si>
    <t>D:\CBP_2026.07.21\i#3\rreq\rreq#0_19_result\d#120\v#20\1\ping_collision_summary.csv</t>
  </si>
  <si>
    <t>D:\CBP_2026.07.21\i#3\rreq\rreq#0_19_result\d#120\v#20\20\ping_collision_summary.csv</t>
  </si>
  <si>
    <t>D:\CBP_2026.07.21\i#3\rreq\rreq#0_19_result\d#120\v#20\21\ping_collision_summary.csv</t>
  </si>
  <si>
    <t>D:\CBP_2026.07.21\i#3\rreq\rreq#0_19_result\d#120\v#20\22\ping_collision_summary.csv</t>
  </si>
  <si>
    <t>D:\CBP_2026.07.21\i#3\rreq\rreq#0_19_result\d#120\v#20\23\ping_collision_summary.csv</t>
  </si>
  <si>
    <t>D:\CBP_2026.07.21\i#3\rreq\rreq#0_19_result\d#120\v#20\24\ping_collision_summary.csv</t>
  </si>
  <si>
    <t>D:\CBP_2026.07.21\i#3\rreq\rreq#0_19_result\d#120\v#20\25\ping_collision_summary.csv</t>
  </si>
  <si>
    <t>D:\CBP_2026.07.21\i#3\rreq\rreq#0_19_result\d#120\v#20\26\ping_collision_summary.csv</t>
  </si>
  <si>
    <t>D:\CBP_2026.07.21\i#3\rreq\rreq#0_19_result\d#120\v#20\27\ping_collision_summary.csv</t>
  </si>
  <si>
    <t>D:\CBP_2026.07.21\i#3\rreq\rreq#0_19_result\d#120\v#20\28\ping_collision_summary.csv</t>
  </si>
  <si>
    <t>D:\CBP_2026.07.21\i#3\rreq\rreq#0_19_result\d#120\v#20\29\ping_collision_summary.csv</t>
  </si>
  <si>
    <t>D:\CBP_2026.07.21\i#3\rreq\rreq#0_19_result\d#120\v#20\2\ping_collision_summary.csv</t>
  </si>
  <si>
    <t>D:\CBP_2026.07.21\i#3\rreq\rreq#0_19_result\d#120\v#20\30\ping_collision_summary.csv</t>
  </si>
  <si>
    <t>D:\CBP_2026.07.21\i#3\rreq\rreq#0_19_result\d#120\v#20\3\ping_collision_summary.csv</t>
  </si>
  <si>
    <t>D:\CBP_2026.07.21\i#3\rreq\rreq#0_19_result\d#120\v#20\4\ping_collision_summary.csv</t>
  </si>
  <si>
    <t>D:\CBP_2026.07.21\i#3\rreq\rreq#0_19_result\d#120\v#20\5\ping_collision_summary.csv</t>
  </si>
  <si>
    <t>D:\CBP_2026.07.21\i#3\rreq\rreq#0_19_result\d#120\v#20\6\ping_collision_summary.csv</t>
  </si>
  <si>
    <t>D:\CBP_2026.07.21\i#3\rreq\rreq#0_19_result\d#120\v#20\7\ping_collision_summary.csv</t>
  </si>
  <si>
    <t>D:\CBP_2026.07.21\i#3\rreq\rreq#0_19_result\d#120\v#20\8\ping_collision_summary.csv</t>
  </si>
  <si>
    <t>D:\CBP_2026.07.21\i#3\rreq\rreq#0_19_result\d#120\v#20\9\ping_collision_summary.csv</t>
  </si>
  <si>
    <t>D:\CBP_2026.07.21\i#3\rreq\rreq#0_19_result\d#120\v#30\0\ping_collision_summary.csv</t>
  </si>
  <si>
    <t>D:\CBP_2026.07.21\i#3\rreq\rreq#0_19_result\d#120\v#30\10\ping_collision_summary.csv</t>
  </si>
  <si>
    <t>D:\CBP_2026.07.21\i#3\rreq\rreq#0_19_result\d#120\v#30\11\ping_collision_summary.csv</t>
  </si>
  <si>
    <t>D:\CBP_2026.07.21\i#3\rreq\rreq#0_19_result\d#120\v#30\12\ping_collision_summary.csv</t>
  </si>
  <si>
    <t>D:\CBP_2026.07.21\i#3\rreq\rreq#0_19_result\d#120\v#30\13\ping_collision_summary.csv</t>
  </si>
  <si>
    <t>D:\CBP_2026.07.21\i#3\rreq\rreq#0_19_result\d#120\v#30\14\ping_collision_summary.csv</t>
  </si>
  <si>
    <t>D:\CBP_2026.07.21\i#3\rreq\rreq#0_19_result\d#120\v#30\15\ping_collision_summary.csv</t>
  </si>
  <si>
    <t>D:\CBP_2026.07.21\i#3\rreq\rreq#0_19_result\d#120\v#30\16\ping_collision_summary.csv</t>
  </si>
  <si>
    <t>D:\CBP_2026.07.21\i#3\rreq\rreq#0_19_result\d#120\v#30\17\ping_collision_summary.csv</t>
  </si>
  <si>
    <t>D:\CBP_2026.07.21\i#3\rreq\rreq#0_19_result\d#120\v#30\18\ping_collision_summary.csv</t>
  </si>
  <si>
    <t>D:\CBP_2026.07.21\i#3\rreq\rreq#0_19_result\d#120\v#30\19\ping_collision_summary.csv</t>
  </si>
  <si>
    <t>D:\CBP_2026.07.21\i#3\rreq\rreq#0_19_result\d#120\v#30\1\ping_collision_summary.csv</t>
  </si>
  <si>
    <t>D:\CBP_2026.07.21\i#3\rreq\rreq#0_19_result\d#120\v#30\20\ping_collision_summary.csv</t>
  </si>
  <si>
    <t>D:\CBP_2026.07.21\i#3\rreq\rreq#0_19_result\d#120\v#30\21\ping_collision_summary.csv</t>
  </si>
  <si>
    <t>D:\CBP_2026.07.21\i#3\rreq\rreq#0_19_result\d#120\v#30\22\ping_collision_summary.csv</t>
  </si>
  <si>
    <t>D:\CBP_2026.07.21\i#3\rreq\rreq#0_19_result\d#120\v#30\23\ping_collision_summary.csv</t>
  </si>
  <si>
    <t>D:\CBP_2026.07.21\i#3\rreq\rreq#0_19_result\d#120\v#30\24\ping_collision_summary.csv</t>
  </si>
  <si>
    <t>D:\CBP_2026.07.21\i#3\rreq\rreq#0_19_result\d#120\v#30\25\ping_collision_summary.csv</t>
  </si>
  <si>
    <t>D:\CBP_2026.07.21\i#3\rreq\rreq#0_19_result\d#120\v#30\26\ping_collision_summary.csv</t>
  </si>
  <si>
    <t>D:\CBP_2026.07.21\i#3\rreq\rreq#0_19_result\d#120\v#30\27\ping_collision_summary.csv</t>
  </si>
  <si>
    <t>D:\CBP_2026.07.21\i#3\rreq\rreq#0_19_result\d#120\v#30\28\ping_collision_summary.csv</t>
  </si>
  <si>
    <t>D:\CBP_2026.07.21\i#3\rreq\rreq#0_19_result\d#120\v#30\29\ping_collision_summary.csv</t>
  </si>
  <si>
    <t>D:\CBP_2026.07.21\i#3\rreq\rreq#0_19_result\d#120\v#30\2\ping_collision_summary.csv</t>
  </si>
  <si>
    <t>D:\CBP_2026.07.21\i#3\rreq\rreq#0_19_result\d#120\v#30\30\ping_collision_summary.csv</t>
  </si>
  <si>
    <t>D:\CBP_2026.07.21\i#3\rreq\rreq#0_19_result\d#120\v#30\3\ping_collision_summary.csv</t>
  </si>
  <si>
    <t>D:\CBP_2026.07.21\i#3\rreq\rreq#0_19_result\d#120\v#30\4\ping_collision_summary.csv</t>
  </si>
  <si>
    <t>D:\CBP_2026.07.21\i#3\rreq\rreq#0_19_result\d#120\v#30\5\ping_collision_summary.csv</t>
  </si>
  <si>
    <t>D:\CBP_2026.07.21\i#3\rreq\rreq#0_19_result\d#120\v#30\6\ping_collision_summary.csv</t>
  </si>
  <si>
    <t>D:\CBP_2026.07.21\i#3\rreq\rreq#0_19_result\d#120\v#30\7\ping_collision_summary.csv</t>
  </si>
  <si>
    <t>D:\CBP_2026.07.21\i#3\rreq\rreq#0_19_result\d#120\v#30\8\ping_collision_summary.csv</t>
  </si>
  <si>
    <t>D:\CBP_2026.07.21\i#3\rreq\rreq#0_19_result\d#120\v#30\9\ping_collision_summary.csv</t>
  </si>
  <si>
    <t>D:\CBP_2026.07.21\i#3\rreq\rreq#0_19_result\d#70\v#10\0\ping_collision_summary.csv</t>
  </si>
  <si>
    <t>D:\CBP_2026.07.21\i#3\rreq\rreq#0_19_result\d#70\v#10\10\ping_collision_summary.csv</t>
  </si>
  <si>
    <t>D:\CBP_2026.07.21\i#3\rreq\rreq#0_19_result\d#70\v#10\11\ping_collision_summary.csv</t>
  </si>
  <si>
    <t>D:\CBP_2026.07.21\i#3\rreq\rreq#0_19_result\d#70\v#10\12\ping_collision_summary.csv</t>
  </si>
  <si>
    <t>D:\CBP_2026.07.21\i#3\rreq\rreq#0_19_result\d#70\v#10\13\ping_collision_summary.csv</t>
  </si>
  <si>
    <t>D:\CBP_2026.07.21\i#3\rreq\rreq#0_19_result\d#70\v#10\14\ping_collision_summary.csv</t>
  </si>
  <si>
    <t>D:\CBP_2026.07.21\i#3\rreq\rreq#0_19_result\d#70\v#10\15\ping_collision_summary.csv</t>
  </si>
  <si>
    <t>D:\CBP_2026.07.21\i#3\rreq\rreq#0_19_result\d#70\v#10\16\ping_collision_summary.csv</t>
  </si>
  <si>
    <t>D:\CBP_2026.07.21\i#3\rreq\rreq#0_19_result\d#70\v#10\17\ping_collision_summary.csv</t>
  </si>
  <si>
    <t>D:\CBP_2026.07.21\i#3\rreq\rreq#0_19_result\d#70\v#10\18\ping_collision_summary.csv</t>
  </si>
  <si>
    <t>D:\CBP_2026.07.21\i#3\rreq\rreq#0_19_result\d#70\v#10\19\ping_collision_summary.csv</t>
  </si>
  <si>
    <t>D:\CBP_2026.07.21\i#3\rreq\rreq#0_19_result\d#70\v#10\1\ping_collision_summary.csv</t>
  </si>
  <si>
    <t>D:\CBP_2026.07.21\i#3\rreq\rreq#0_19_result\d#70\v#10\20\ping_collision_summary.csv</t>
  </si>
  <si>
    <t>D:\CBP_2026.07.21\i#3\rreq\rreq#0_19_result\d#70\v#10\21\ping_collision_summary.csv</t>
  </si>
  <si>
    <t>D:\CBP_2026.07.21\i#3\rreq\rreq#0_19_result\d#70\v#10\22\ping_collision_summary.csv</t>
  </si>
  <si>
    <t>D:\CBP_2026.07.21\i#3\rreq\rreq#0_19_result\d#70\v#10\23\ping_collision_summary.csv</t>
  </si>
  <si>
    <t>D:\CBP_2026.07.21\i#3\rreq\rreq#0_19_result\d#70\v#10\24\ping_collision_summary.csv</t>
  </si>
  <si>
    <t>D:\CBP_2026.07.21\i#3\rreq\rreq#0_19_result\d#70\v#10\25\ping_collision_summary.csv</t>
  </si>
  <si>
    <t>D:\CBP_2026.07.21\i#3\rreq\rreq#0_19_result\d#70\v#10\26\ping_collision_summary.csv</t>
  </si>
  <si>
    <t>D:\CBP_2026.07.21\i#3\rreq\rreq#0_19_result\d#70\v#10\27\ping_collision_summary.csv</t>
  </si>
  <si>
    <t>D:\CBP_2026.07.21\i#3\rreq\rreq#0_19_result\d#70\v#10\28\ping_collision_summary.csv</t>
  </si>
  <si>
    <t>D:\CBP_2026.07.21\i#3\rreq\rreq#0_19_result\d#70\v#10\29\ping_collision_summary.csv</t>
  </si>
  <si>
    <t>D:\CBP_2026.07.21\i#3\rreq\rreq#0_19_result\d#70\v#10\2\ping_collision_summary.csv</t>
  </si>
  <si>
    <t>D:\CBP_2026.07.21\i#3\rreq\rreq#0_19_result\d#70\v#10\30\ping_collision_summary.csv</t>
  </si>
  <si>
    <t>D:\CBP_2026.07.21\i#3\rreq\rreq#0_19_result\d#70\v#10\3\ping_collision_summary.csv</t>
  </si>
  <si>
    <t>D:\CBP_2026.07.21\i#3\rreq\rreq#0_19_result\d#70\v#10\4\ping_collision_summary.csv</t>
  </si>
  <si>
    <t>D:\CBP_2026.07.21\i#3\rreq\rreq#0_19_result\d#70\v#10\5\ping_collision_summary.csv</t>
  </si>
  <si>
    <t>D:\CBP_2026.07.21\i#3\rreq\rreq#0_19_result\d#70\v#10\6\ping_collision_summary.csv</t>
  </si>
  <si>
    <t>D:\CBP_2026.07.21\i#3\rreq\rreq#0_19_result\d#70\v#10\7\ping_collision_summary.csv</t>
  </si>
  <si>
    <t>D:\CBP_2026.07.21\i#3\rreq\rreq#0_19_result\d#70\v#10\8\ping_collision_summary.csv</t>
  </si>
  <si>
    <t>D:\CBP_2026.07.21\i#3\rreq\rreq#0_19_result\d#70\v#10\9\ping_collision_summary.csv</t>
  </si>
  <si>
    <t>D:\CBP_2026.07.21\i#3\rreq\rreq#0_19_result\d#70\v#20\0\ping_collision_summary.csv</t>
  </si>
  <si>
    <t>D:\CBP_2026.07.21\i#3\rreq\rreq#0_19_result\d#70\v#20\10\ping_collision_summary.csv</t>
  </si>
  <si>
    <t>D:\CBP_2026.07.21\i#3\rreq\rreq#0_19_result\d#70\v#20\11\ping_collision_summary.csv</t>
  </si>
  <si>
    <t>D:\CBP_2026.07.21\i#3\rreq\rreq#0_19_result\d#70\v#20\12\ping_collision_summary.csv</t>
  </si>
  <si>
    <t>D:\CBP_2026.07.21\i#3\rreq\rreq#0_19_result\d#70\v#20\13\ping_collision_summary.csv</t>
  </si>
  <si>
    <t>D:\CBP_2026.07.21\i#3\rreq\rreq#0_19_result\d#70\v#20\14\ping_collision_summary.csv</t>
  </si>
  <si>
    <t>D:\CBP_2026.07.21\i#3\rreq\rreq#0_19_result\d#70\v#20\15\ping_collision_summary.csv</t>
  </si>
  <si>
    <t>D:\CBP_2026.07.21\i#3\rreq\rreq#0_19_result\d#70\v#20\16\ping_collision_summary.csv</t>
  </si>
  <si>
    <t>D:\CBP_2026.07.21\i#3\rreq\rreq#0_19_result\d#70\v#20\17\ping_collision_summary.csv</t>
  </si>
  <si>
    <t>D:\CBP_2026.07.21\i#3\rreq\rreq#0_19_result\d#70\v#20\18\ping_collision_summary.csv</t>
  </si>
  <si>
    <t>D:\CBP_2026.07.21\i#3\rreq\rreq#0_19_result\d#70\v#20\19\ping_collision_summary.csv</t>
  </si>
  <si>
    <t>D:\CBP_2026.07.21\i#3\rreq\rreq#0_19_result\d#70\v#20\1\ping_collision_summary.csv</t>
  </si>
  <si>
    <t>D:\CBP_2026.07.21\i#3\rreq\rreq#0_19_result\d#70\v#20\20\ping_collision_summary.csv</t>
  </si>
  <si>
    <t>D:\CBP_2026.07.21\i#3\rreq\rreq#0_19_result\d#70\v#20\21\ping_collision_summary.csv</t>
  </si>
  <si>
    <t>D:\CBP_2026.07.21\i#3\rreq\rreq#0_19_result\d#70\v#20\22\ping_collision_summary.csv</t>
  </si>
  <si>
    <t>D:\CBP_2026.07.21\i#3\rreq\rreq#0_19_result\d#70\v#20\23\ping_collision_summary.csv</t>
  </si>
  <si>
    <t>D:\CBP_2026.07.21\i#3\rreq\rreq#0_19_result\d#70\v#20\24\ping_collision_summary.csv</t>
  </si>
  <si>
    <t>D:\CBP_2026.07.21\i#3\rreq\rreq#0_19_result\d#70\v#20\25\ping_collision_summary.csv</t>
  </si>
  <si>
    <t>D:\CBP_2026.07.21\i#3\rreq\rreq#0_19_result\d#70\v#20\26\ping_collision_summary.csv</t>
  </si>
  <si>
    <t>D:\CBP_2026.07.21\i#3\rreq\rreq#0_19_result\d#70\v#20\27\ping_collision_summary.csv</t>
  </si>
  <si>
    <t>D:\CBP_2026.07.21\i#3\rreq\rreq#0_19_result\d#70\v#20\28\ping_collision_summary.csv</t>
  </si>
  <si>
    <t>D:\CBP_2026.07.21\i#3\rreq\rreq#0_19_result\d#70\v#20\29\ping_collision_summary.csv</t>
  </si>
  <si>
    <t>D:\CBP_2026.07.21\i#3\rreq\rreq#0_19_result\d#70\v#20\2\ping_collision_summary.csv</t>
  </si>
  <si>
    <t>D:\CBP_2026.07.21\i#3\rreq\rreq#0_19_result\d#70\v#20\30\ping_collision_summary.csv</t>
  </si>
  <si>
    <t>D:\CBP_2026.07.21\i#3\rreq\rreq#0_19_result\d#70\v#20\3\ping_collision_summary.csv</t>
  </si>
  <si>
    <t>D:\CBP_2026.07.21\i#3\rreq\rreq#0_19_result\d#70\v#20\4\ping_collision_summary.csv</t>
  </si>
  <si>
    <t>D:\CBP_2026.07.21\i#3\rreq\rreq#0_19_result\d#70\v#20\5\ping_collision_summary.csv</t>
  </si>
  <si>
    <t>D:\CBP_2026.07.21\i#3\rreq\rreq#0_19_result\d#70\v#20\6\ping_collision_summary.csv</t>
  </si>
  <si>
    <t>D:\CBP_2026.07.21\i#3\rreq\rreq#0_19_result\d#70\v#20\7\ping_collision_summary.csv</t>
  </si>
  <si>
    <t>D:\CBP_2026.07.21\i#3\rreq\rreq#0_19_result\d#70\v#20\8\ping_collision_summary.csv</t>
  </si>
  <si>
    <t>D:\CBP_2026.07.21\i#3\rreq\rreq#0_19_result\d#70\v#20\9\ping_collision_summary.csv</t>
  </si>
  <si>
    <t>D:\CBP_2026.07.21\i#3\rreq\rreq#0_19_result\d#70\v#30\0\ping_collision_summary.csv</t>
  </si>
  <si>
    <t>D:\CBP_2026.07.21\i#3\rreq\rreq#0_19_result\d#70\v#30\10\ping_collision_summary.csv</t>
  </si>
  <si>
    <t>D:\CBP_2026.07.21\i#3\rreq\rreq#0_19_result\d#70\v#30\11\ping_collision_summary.csv</t>
  </si>
  <si>
    <t>D:\CBP_2026.07.21\i#3\rreq\rreq#0_19_result\d#70\v#30\12\ping_collision_summary.csv</t>
  </si>
  <si>
    <t>D:\CBP_2026.07.21\i#3\rreq\rreq#0_19_result\d#70\v#30\13\ping_collision_summary.csv</t>
  </si>
  <si>
    <t>D:\CBP_2026.07.21\i#3\rreq\rreq#0_19_result\d#70\v#30\14\ping_collision_summary.csv</t>
  </si>
  <si>
    <t>D:\CBP_2026.07.21\i#3\rreq\rreq#0_19_result\d#70\v#30\15\ping_collision_summary.csv</t>
  </si>
  <si>
    <t>D:\CBP_2026.07.21\i#3\rreq\rreq#0_19_result\d#70\v#30\16\ping_collision_summary.csv</t>
  </si>
  <si>
    <t>D:\CBP_2026.07.21\i#3\rreq\rreq#0_19_result\d#70\v#30\17\ping_collision_summary.csv</t>
  </si>
  <si>
    <t>D:\CBP_2026.07.21\i#3\rreq\rreq#0_19_result\d#70\v#30\18\ping_collision_summary.csv</t>
  </si>
  <si>
    <t>D:\CBP_2026.07.21\i#3\rreq\rreq#0_19_result\d#70\v#30\19\ping_collision_summary.csv</t>
  </si>
  <si>
    <t>D:\CBP_2026.07.21\i#3\rreq\rreq#0_19_result\d#70\v#30\1\ping_collision_summary.csv</t>
  </si>
  <si>
    <t>D:\CBP_2026.07.21\i#3\rreq\rreq#0_19_result\d#70\v#30\20\ping_collision_summary.csv</t>
  </si>
  <si>
    <t>D:\CBP_2026.07.21\i#3\rreq\rreq#0_19_result\d#70\v#30\21\ping_collision_summary.csv</t>
  </si>
  <si>
    <t>D:\CBP_2026.07.21\i#3\rreq\rreq#0_19_result\d#70\v#30\22\ping_collision_summary.csv</t>
  </si>
  <si>
    <t>D:\CBP_2026.07.21\i#3\rreq\rreq#0_19_result\d#70\v#30\23\ping_collision_summary.csv</t>
  </si>
  <si>
    <t>D:\CBP_2026.07.21\i#3\rreq\rreq#0_19_result\d#70\v#30\24\ping_collision_summary.csv</t>
  </si>
  <si>
    <t>D:\CBP_2026.07.21\i#3\rreq\rreq#0_19_result\d#70\v#30\25\ping_collision_summary.csv</t>
  </si>
  <si>
    <t>D:\CBP_2026.07.21\i#3\rreq\rreq#0_19_result\d#70\v#30\26\ping_collision_summary.csv</t>
  </si>
  <si>
    <t>D:\CBP_2026.07.21\i#3\rreq\rreq#0_19_result\d#70\v#30\27\ping_collision_summary.csv</t>
  </si>
  <si>
    <t>D:\CBP_2026.07.21\i#3\rreq\rreq#0_19_result\d#70\v#30\28\ping_collision_summary.csv</t>
  </si>
  <si>
    <t>D:\CBP_2026.07.21\i#3\rreq\rreq#0_19_result\d#70\v#30\29\ping_collision_summary.csv</t>
  </si>
  <si>
    <t>D:\CBP_2026.07.21\i#3\rreq\rreq#0_19_result\d#70\v#30\2\ping_collision_summary.csv</t>
  </si>
  <si>
    <t>D:\CBP_2026.07.21\i#3\rreq\rreq#0_19_result\d#70\v#30\30\ping_collision_summary.csv</t>
  </si>
  <si>
    <t>D:\CBP_2026.07.21\i#3\rreq\rreq#0_19_result\d#70\v#30\3\ping_collision_summary.csv</t>
  </si>
  <si>
    <t>D:\CBP_2026.07.21\i#3\rreq\rreq#0_19_result\d#70\v#30\4\ping_collision_summary.csv</t>
  </si>
  <si>
    <t>D:\CBP_2026.07.21\i#3\rreq\rreq#0_19_result\d#70\v#30\5\ping_collision_summary.csv</t>
  </si>
  <si>
    <t>D:\CBP_2026.07.21\i#3\rreq\rreq#0_19_result\d#70\v#30\6\ping_collision_summary.csv</t>
  </si>
  <si>
    <t>D:\CBP_2026.07.21\i#3\rreq\rreq#0_19_result\d#70\v#30\7\ping_collision_summary.csv</t>
  </si>
  <si>
    <t>D:\CBP_2026.07.21\i#3\rreq\rreq#0_19_result\d#70\v#30\8\ping_collision_summary.csv</t>
  </si>
  <si>
    <t>D:\CBP_2026.07.21\i#3\rreq\rreq#0_19_result\d#70\v#30\9\ping_collision_summary.csv</t>
  </si>
  <si>
    <t>D:\CBP_2026.07.21\i#3\rreq\rreq#19_32_result\d#100\v#10\0\ping_collision_summary.csv</t>
  </si>
  <si>
    <t>D:\CBP_2026.07.21\i#3\rreq\rreq#19_32_result\d#100\v#10\10\ping_collision_summary.csv</t>
  </si>
  <si>
    <t>D:\CBP_2026.07.21\i#3\rreq\rreq#19_32_result\d#100\v#10\11\ping_collision_summary.csv</t>
  </si>
  <si>
    <t>D:\CBP_2026.07.21\i#3\rreq\rreq#19_32_result\d#100\v#10\12\ping_collision_summary.csv</t>
  </si>
  <si>
    <t>D:\CBP_2026.07.21\i#3\rreq\rreq#19_32_result\d#100\v#10\13\ping_collision_summary.csv</t>
  </si>
  <si>
    <t>D:\CBP_2026.07.21\i#3\rreq\rreq#19_32_result\d#100\v#10\14\ping_collision_summary.csv</t>
  </si>
  <si>
    <t>D:\CBP_2026.07.21\i#3\rreq\rreq#19_32_result\d#100\v#10\15\ping_collision_summary.csv</t>
  </si>
  <si>
    <t>D:\CBP_2026.07.21\i#3\rreq\rreq#19_32_result\d#100\v#10\16\ping_collision_summary.csv</t>
  </si>
  <si>
    <t>D:\CBP_2026.07.21\i#3\rreq\rreq#19_32_result\d#100\v#10\17\ping_collision_summary.csv</t>
  </si>
  <si>
    <t>D:\CBP_2026.07.21\i#3\rreq\rreq#19_32_result\d#100\v#10\18\ping_collision_summary.csv</t>
  </si>
  <si>
    <t>D:\CBP_2026.07.21\i#3\rreq\rreq#19_32_result\d#100\v#10\19\ping_collision_summary.csv</t>
  </si>
  <si>
    <t>D:\CBP_2026.07.21\i#3\rreq\rreq#19_32_result\d#100\v#10\1\ping_collision_summary.csv</t>
  </si>
  <si>
    <t>D:\CBP_2026.07.21\i#3\rreq\rreq#19_32_result\d#100\v#10\20\ping_collision_summary.csv</t>
  </si>
  <si>
    <t>D:\CBP_2026.07.21\i#3\rreq\rreq#19_32_result\d#100\v#10\21\ping_collision_summary.csv</t>
  </si>
  <si>
    <t>D:\CBP_2026.07.21\i#3\rreq\rreq#19_32_result\d#100\v#10\22\ping_collision_summary.csv</t>
  </si>
  <si>
    <t>D:\CBP_2026.07.21\i#3\rreq\rreq#19_32_result\d#100\v#10\23\ping_collision_summary.csv</t>
  </si>
  <si>
    <t>D:\CBP_2026.07.21\i#3\rreq\rreq#19_32_result\d#100\v#10\24\ping_collision_summary.csv</t>
  </si>
  <si>
    <t>D:\CBP_2026.07.21\i#3\rreq\rreq#19_32_result\d#100\v#10\25\ping_collision_summary.csv</t>
  </si>
  <si>
    <t>D:\CBP_2026.07.21\i#3\rreq\rreq#19_32_result\d#100\v#10\26\ping_collision_summary.csv</t>
  </si>
  <si>
    <t>D:\CBP_2026.07.21\i#3\rreq\rreq#19_32_result\d#100\v#10\27\ping_collision_summary.csv</t>
  </si>
  <si>
    <t>D:\CBP_2026.07.21\i#3\rreq\rreq#19_32_result\d#100\v#10\28\ping_collision_summary.csv</t>
  </si>
  <si>
    <t>D:\CBP_2026.07.21\i#3\rreq\rreq#19_32_result\d#100\v#10\29\ping_collision_summary.csv</t>
  </si>
  <si>
    <t>D:\CBP_2026.07.21\i#3\rreq\rreq#19_32_result\d#100\v#10\2\ping_collision_summary.csv</t>
  </si>
  <si>
    <t>D:\CBP_2026.07.21\i#3\rreq\rreq#19_32_result\d#100\v#10\30\ping_collision_summary.csv</t>
  </si>
  <si>
    <t>D:\CBP_2026.07.21\i#3\rreq\rreq#19_32_result\d#100\v#10\3\ping_collision_summary.csv</t>
  </si>
  <si>
    <t>D:\CBP_2026.07.21\i#3\rreq\rreq#19_32_result\d#100\v#10\4\ping_collision_summary.csv</t>
  </si>
  <si>
    <t>D:\CBP_2026.07.21\i#3\rreq\rreq#19_32_result\d#100\v#10\5\ping_collision_summary.csv</t>
  </si>
  <si>
    <t>D:\CBP_2026.07.21\i#3\rreq\rreq#19_32_result\d#100\v#10\6\ping_collision_summary.csv</t>
  </si>
  <si>
    <t>D:\CBP_2026.07.21\i#3\rreq\rreq#19_32_result\d#100\v#10\7\ping_collision_summary.csv</t>
  </si>
  <si>
    <t>D:\CBP_2026.07.21\i#3\rreq\rreq#19_32_result\d#100\v#10\8\ping_collision_summary.csv</t>
  </si>
  <si>
    <t>D:\CBP_2026.07.21\i#3\rreq\rreq#19_32_result\d#100\v#10\9\ping_collision_summary.csv</t>
  </si>
  <si>
    <t>D:\CBP_2026.07.21\i#3\rreq\rreq#19_32_result\d#100\v#20\0\ping_collision_summary.csv</t>
  </si>
  <si>
    <t>D:\CBP_2026.07.21\i#3\rreq\rreq#19_32_result\d#100\v#20\10\ping_collision_summary.csv</t>
  </si>
  <si>
    <t>D:\CBP_2026.07.21\i#3\rreq\rreq#19_32_result\d#100\v#20\11\ping_collision_summary.csv</t>
  </si>
  <si>
    <t>D:\CBP_2026.07.21\i#3\rreq\rreq#19_32_result\d#100\v#20\12\ping_collision_summary.csv</t>
  </si>
  <si>
    <t>D:\CBP_2026.07.21\i#3\rreq\rreq#19_32_result\d#100\v#20\13\ping_collision_summary.csv</t>
  </si>
  <si>
    <t>D:\CBP_2026.07.21\i#3\rreq\rreq#19_32_result\d#100\v#20\14\ping_collision_summary.csv</t>
  </si>
  <si>
    <t>D:\CBP_2026.07.21\i#3\rreq\rreq#19_32_result\d#100\v#20\15\ping_collision_summary.csv</t>
  </si>
  <si>
    <t>D:\CBP_2026.07.21\i#3\rreq\rreq#19_32_result\d#100\v#20\16\ping_collision_summary.csv</t>
  </si>
  <si>
    <t>D:\CBP_2026.07.21\i#3\rreq\rreq#19_32_result\d#100\v#20\17\ping_collision_summary.csv</t>
  </si>
  <si>
    <t>D:\CBP_2026.07.21\i#3\rreq\rreq#19_32_result\d#100\v#20\18\ping_collision_summary.csv</t>
  </si>
  <si>
    <t>D:\CBP_2026.07.21\i#3\rreq\rreq#19_32_result\d#100\v#20\19\ping_collision_summary.csv</t>
  </si>
  <si>
    <t>D:\CBP_2026.07.21\i#3\rreq\rreq#19_32_result\d#100\v#20\1\ping_collision_summary.csv</t>
  </si>
  <si>
    <t>D:\CBP_2026.07.21\i#3\rreq\rreq#19_32_result\d#100\v#20\20\ping_collision_summary.csv</t>
  </si>
  <si>
    <t>D:\CBP_2026.07.21\i#3\rreq\rreq#19_32_result\d#100\v#20\21\ping_collision_summary.csv</t>
  </si>
  <si>
    <t>D:\CBP_2026.07.21\i#3\rreq\rreq#19_32_result\d#100\v#20\22\ping_collision_summary.csv</t>
  </si>
  <si>
    <t>D:\CBP_2026.07.21\i#3\rreq\rreq#19_32_result\d#100\v#20\23\ping_collision_summary.csv</t>
  </si>
  <si>
    <t>D:\CBP_2026.07.21\i#3\rreq\rreq#19_32_result\d#100\v#20\24\ping_collision_summary.csv</t>
  </si>
  <si>
    <t>D:\CBP_2026.07.21\i#3\rreq\rreq#19_32_result\d#100\v#20\25\ping_collision_summary.csv</t>
  </si>
  <si>
    <t>D:\CBP_2026.07.21\i#3\rreq\rreq#19_32_result\d#100\v#20\26\ping_collision_summary.csv</t>
  </si>
  <si>
    <t>D:\CBP_2026.07.21\i#3\rreq\rreq#19_32_result\d#100\v#20\27\ping_collision_summary.csv</t>
  </si>
  <si>
    <t>D:\CBP_2026.07.21\i#3\rreq\rreq#19_32_result\d#100\v#20\28\ping_collision_summary.csv</t>
  </si>
  <si>
    <t>D:\CBP_2026.07.21\i#3\rreq\rreq#19_32_result\d#100\v#20\29\ping_collision_summary.csv</t>
  </si>
  <si>
    <t>D:\CBP_2026.07.21\i#3\rreq\rreq#19_32_result\d#100\v#20\2\ping_collision_summary.csv</t>
  </si>
  <si>
    <t>D:\CBP_2026.07.21\i#3\rreq\rreq#19_32_result\d#100\v#20\30\ping_collision_summary.csv</t>
  </si>
  <si>
    <t>D:\CBP_2026.07.21\i#3\rreq\rreq#19_32_result\d#100\v#20\3\ping_collision_summary.csv</t>
  </si>
  <si>
    <t>D:\CBP_2026.07.21\i#3\rreq\rreq#19_32_result\d#100\v#20\4\ping_collision_summary.csv</t>
  </si>
  <si>
    <t>D:\CBP_2026.07.21\i#3\rreq\rreq#19_32_result\d#100\v#20\5\ping_collision_summary.csv</t>
  </si>
  <si>
    <t>D:\CBP_2026.07.21\i#3\rreq\rreq#19_32_result\d#100\v#20\6\ping_collision_summary.csv</t>
  </si>
  <si>
    <t>D:\CBP_2026.07.21\i#3\rreq\rreq#19_32_result\d#100\v#20\7\ping_collision_summary.csv</t>
  </si>
  <si>
    <t>D:\CBP_2026.07.21\i#3\rreq\rreq#19_32_result\d#100\v#20\8\ping_collision_summary.csv</t>
  </si>
  <si>
    <t>D:\CBP_2026.07.21\i#3\rreq\rreq#19_32_result\d#100\v#20\9\ping_collision_summary.csv</t>
  </si>
  <si>
    <t>D:\CBP_2026.07.21\i#3\rreq\rreq#19_32_result\d#100\v#30\0\ping_collision_summary.csv</t>
  </si>
  <si>
    <t>D:\CBP_2026.07.21\i#3\rreq\rreq#19_32_result\d#100\v#30\10\ping_collision_summary.csv</t>
  </si>
  <si>
    <t>D:\CBP_2026.07.21\i#3\rreq\rreq#19_32_result\d#100\v#30\11\ping_collision_summary.csv</t>
  </si>
  <si>
    <t>D:\CBP_2026.07.21\i#3\rreq\rreq#19_32_result\d#100\v#30\12\ping_collision_summary.csv</t>
  </si>
  <si>
    <t>D:\CBP_2026.07.21\i#3\rreq\rreq#19_32_result\d#100\v#30\13\ping_collision_summary.csv</t>
  </si>
  <si>
    <t>D:\CBP_2026.07.21\i#3\rreq\rreq#19_32_result\d#100\v#30\14\ping_collision_summary.csv</t>
  </si>
  <si>
    <t>D:\CBP_2026.07.21\i#3\rreq\rreq#19_32_result\d#100\v#30\15\ping_collision_summary.csv</t>
  </si>
  <si>
    <t>D:\CBP_2026.07.21\i#3\rreq\rreq#19_32_result\d#100\v#30\16\ping_collision_summary.csv</t>
  </si>
  <si>
    <t>D:\CBP_2026.07.21\i#3\rreq\rreq#19_32_result\d#100\v#30\17\ping_collision_summary.csv</t>
  </si>
  <si>
    <t>D:\CBP_2026.07.21\i#3\rreq\rreq#19_32_result\d#100\v#30\18\ping_collision_summary.csv</t>
  </si>
  <si>
    <t>D:\CBP_2026.07.21\i#3\rreq\rreq#19_32_result\d#100\v#30\19\ping_collision_summary.csv</t>
  </si>
  <si>
    <t>D:\CBP_2026.07.21\i#3\rreq\rreq#19_32_result\d#100\v#30\1\ping_collision_summary.csv</t>
  </si>
  <si>
    <t>D:\CBP_2026.07.21\i#3\rreq\rreq#19_32_result\d#100\v#30\20\ping_collision_summary.csv</t>
  </si>
  <si>
    <t>D:\CBP_2026.07.21\i#3\rreq\rreq#19_32_result\d#100\v#30\21\ping_collision_summary.csv</t>
  </si>
  <si>
    <t>D:\CBP_2026.07.21\i#3\rreq\rreq#19_32_result\d#100\v#30\22\ping_collision_summary.csv</t>
  </si>
  <si>
    <t>D:\CBP_2026.07.21\i#3\rreq\rreq#19_32_result\d#100\v#30\23\ping_collision_summary.csv</t>
  </si>
  <si>
    <t>D:\CBP_2026.07.21\i#3\rreq\rreq#19_32_result\d#100\v#30\24\ping_collision_summary.csv</t>
  </si>
  <si>
    <t>D:\CBP_2026.07.21\i#3\rreq\rreq#19_32_result\d#100\v#30\25\ping_collision_summary.csv</t>
  </si>
  <si>
    <t>D:\CBP_2026.07.21\i#3\rreq\rreq#19_32_result\d#100\v#30\26\ping_collision_summary.csv</t>
  </si>
  <si>
    <t>D:\CBP_2026.07.21\i#3\rreq\rreq#19_32_result\d#100\v#30\27\ping_collision_summary.csv</t>
  </si>
  <si>
    <t>D:\CBP_2026.07.21\i#3\rreq\rreq#19_32_result\d#100\v#30\28\ping_collision_summary.csv</t>
  </si>
  <si>
    <t>D:\CBP_2026.07.21\i#3\rreq\rreq#19_32_result\d#100\v#30\29\ping_collision_summary.csv</t>
  </si>
  <si>
    <t>D:\CBP_2026.07.21\i#3\rreq\rreq#19_32_result\d#100\v#30\2\ping_collision_summary.csv</t>
  </si>
  <si>
    <t>D:\CBP_2026.07.21\i#3\rreq\rreq#19_32_result\d#100\v#30\30\ping_collision_summary.csv</t>
  </si>
  <si>
    <t>D:\CBP_2026.07.21\i#3\rreq\rreq#19_32_result\d#100\v#30\3\ping_collision_summary.csv</t>
  </si>
  <si>
    <t>D:\CBP_2026.07.21\i#3\rreq\rreq#19_32_result\d#100\v#30\4\ping_collision_summary.csv</t>
  </si>
  <si>
    <t>D:\CBP_2026.07.21\i#3\rreq\rreq#19_32_result\d#100\v#30\5\ping_collision_summary.csv</t>
  </si>
  <si>
    <t>D:\CBP_2026.07.21\i#3\rreq\rreq#19_32_result\d#100\v#30\6\ping_collision_summary.csv</t>
  </si>
  <si>
    <t>D:\CBP_2026.07.21\i#3\rreq\rreq#19_32_result\d#100\v#30\7\ping_collision_summary.csv</t>
  </si>
  <si>
    <t>D:\CBP_2026.07.21\i#3\rreq\rreq#19_32_result\d#100\v#30\8\ping_collision_summary.csv</t>
  </si>
  <si>
    <t>D:\CBP_2026.07.21\i#3\rreq\rreq#19_32_result\d#100\v#30\9\ping_collision_summary.csv</t>
  </si>
  <si>
    <t>D:\CBP_2026.07.21\i#3\rreq\rreq#19_32_result\d#120\v#10\0\ping_collision_summary.csv</t>
  </si>
  <si>
    <t>D:\CBP_2026.07.21\i#3\rreq\rreq#19_32_result\d#120\v#10\10\ping_collision_summary.csv</t>
  </si>
  <si>
    <t>D:\CBP_2026.07.21\i#3\rreq\rreq#19_32_result\d#120\v#10\11\ping_collision_summary.csv</t>
  </si>
  <si>
    <t>D:\CBP_2026.07.21\i#3\rreq\rreq#19_32_result\d#120\v#10\12\ping_collision_summary.csv</t>
  </si>
  <si>
    <t>D:\CBP_2026.07.21\i#3\rreq\rreq#19_32_result\d#120\v#10\13\ping_collision_summary.csv</t>
  </si>
  <si>
    <t>D:\CBP_2026.07.21\i#3\rreq\rreq#19_32_result\d#120\v#10\14\ping_collision_summary.csv</t>
  </si>
  <si>
    <t>D:\CBP_2026.07.21\i#3\rreq\rreq#19_32_result\d#120\v#10\15\ping_collision_summary.csv</t>
  </si>
  <si>
    <t>D:\CBP_2026.07.21\i#3\rreq\rreq#19_32_result\d#120\v#10\16\ping_collision_summary.csv</t>
  </si>
  <si>
    <t>D:\CBP_2026.07.21\i#3\rreq\rreq#19_32_result\d#120\v#10\17\ping_collision_summary.csv</t>
  </si>
  <si>
    <t>D:\CBP_2026.07.21\i#3\rreq\rreq#19_32_result\d#120\v#10\18\ping_collision_summary.csv</t>
  </si>
  <si>
    <t>D:\CBP_2026.07.21\i#3\rreq\rreq#19_32_result\d#120\v#10\19\ping_collision_summary.csv</t>
  </si>
  <si>
    <t>D:\CBP_2026.07.21\i#3\rreq\rreq#19_32_result\d#120\v#10\1\ping_collision_summary.csv</t>
  </si>
  <si>
    <t>D:\CBP_2026.07.21\i#3\rreq\rreq#19_32_result\d#120\v#10\20\ping_collision_summary.csv</t>
  </si>
  <si>
    <t>D:\CBP_2026.07.21\i#3\rreq\rreq#19_32_result\d#120\v#10\21\ping_collision_summary.csv</t>
  </si>
  <si>
    <t>D:\CBP_2026.07.21\i#3\rreq\rreq#19_32_result\d#120\v#10\22\ping_collision_summary.csv</t>
  </si>
  <si>
    <t>D:\CBP_2026.07.21\i#3\rreq\rreq#19_32_result\d#120\v#10\23\ping_collision_summary.csv</t>
  </si>
  <si>
    <t>D:\CBP_2026.07.21\i#3\rreq\rreq#19_32_result\d#120\v#10\24\ping_collision_summary.csv</t>
  </si>
  <si>
    <t>D:\CBP_2026.07.21\i#3\rreq\rreq#19_32_result\d#120\v#10\25\ping_collision_summary.csv</t>
  </si>
  <si>
    <t>D:\CBP_2026.07.21\i#3\rreq\rreq#19_32_result\d#120\v#10\26\ping_collision_summary.csv</t>
  </si>
  <si>
    <t>D:\CBP_2026.07.21\i#3\rreq\rreq#19_32_result\d#120\v#10\27\ping_collision_summary.csv</t>
  </si>
  <si>
    <t>D:\CBP_2026.07.21\i#3\rreq\rreq#19_32_result\d#120\v#10\28\ping_collision_summary.csv</t>
  </si>
  <si>
    <t>D:\CBP_2026.07.21\i#3\rreq\rreq#19_32_result\d#120\v#10\29\ping_collision_summary.csv</t>
  </si>
  <si>
    <t>D:\CBP_2026.07.21\i#3\rreq\rreq#19_32_result\d#120\v#10\2\ping_collision_summary.csv</t>
  </si>
  <si>
    <t>D:\CBP_2026.07.21\i#3\rreq\rreq#19_32_result\d#120\v#10\30\ping_collision_summary.csv</t>
  </si>
  <si>
    <t>D:\CBP_2026.07.21\i#3\rreq\rreq#19_32_result\d#120\v#10\3\ping_collision_summary.csv</t>
  </si>
  <si>
    <t>D:\CBP_2026.07.21\i#3\rreq\rreq#19_32_result\d#120\v#10\4\ping_collision_summary.csv</t>
  </si>
  <si>
    <t>D:\CBP_2026.07.21\i#3\rreq\rreq#19_32_result\d#120\v#10\5\ping_collision_summary.csv</t>
  </si>
  <si>
    <t>D:\CBP_2026.07.21\i#3\rreq\rreq#19_32_result\d#120\v#10\6\ping_collision_summary.csv</t>
  </si>
  <si>
    <t>D:\CBP_2026.07.21\i#3\rreq\rreq#19_32_result\d#120\v#10\7\ping_collision_summary.csv</t>
  </si>
  <si>
    <t>D:\CBP_2026.07.21\i#3\rreq\rreq#19_32_result\d#120\v#10\8\ping_collision_summary.csv</t>
  </si>
  <si>
    <t>D:\CBP_2026.07.21\i#3\rreq\rreq#19_32_result\d#120\v#10\9\ping_collision_summary.csv</t>
  </si>
  <si>
    <t>D:\CBP_2026.07.21\i#3\rreq\rreq#19_32_result\d#120\v#20\0\ping_collision_summary.csv</t>
  </si>
  <si>
    <t>D:\CBP_2026.07.21\i#3\rreq\rreq#19_32_result\d#120\v#20\10\ping_collision_summary.csv</t>
  </si>
  <si>
    <t>D:\CBP_2026.07.21\i#3\rreq\rreq#19_32_result\d#120\v#20\11\ping_collision_summary.csv</t>
  </si>
  <si>
    <t>D:\CBP_2026.07.21\i#3\rreq\rreq#19_32_result\d#120\v#20\12\ping_collision_summary.csv</t>
  </si>
  <si>
    <t>D:\CBP_2026.07.21\i#3\rreq\rreq#19_32_result\d#120\v#20\13\ping_collision_summary.csv</t>
  </si>
  <si>
    <t>D:\CBP_2026.07.21\i#3\rreq\rreq#19_32_result\d#120\v#20\14\ping_collision_summary.csv</t>
  </si>
  <si>
    <t>D:\CBP_2026.07.21\i#3\rreq\rreq#19_32_result\d#120\v#20\15\ping_collision_summary.csv</t>
  </si>
  <si>
    <t>D:\CBP_2026.07.21\i#3\rreq\rreq#19_32_result\d#120\v#20\16\ping_collision_summary.csv</t>
  </si>
  <si>
    <t>D:\CBP_2026.07.21\i#3\rreq\rreq#19_32_result\d#120\v#20\17\ping_collision_summary.csv</t>
  </si>
  <si>
    <t>D:\CBP_2026.07.21\i#3\rreq\rreq#19_32_result\d#120\v#20\18\ping_collision_summary.csv</t>
  </si>
  <si>
    <t>D:\CBP_2026.07.21\i#3\rreq\rreq#19_32_result\d#120\v#20\19\ping_collision_summary.csv</t>
  </si>
  <si>
    <t>D:\CBP_2026.07.21\i#3\rreq\rreq#19_32_result\d#120\v#20\1\ping_collision_summary.csv</t>
  </si>
  <si>
    <t>D:\CBP_2026.07.21\i#3\rreq\rreq#19_32_result\d#120\v#20\20\ping_collision_summary.csv</t>
  </si>
  <si>
    <t>D:\CBP_2026.07.21\i#3\rreq\rreq#19_32_result\d#120\v#20\21\ping_collision_summary.csv</t>
  </si>
  <si>
    <t>D:\CBP_2026.07.21\i#3\rreq\rreq#19_32_result\d#120\v#20\22\ping_collision_summary.csv</t>
  </si>
  <si>
    <t>D:\CBP_2026.07.21\i#3\rreq\rreq#19_32_result\d#120\v#20\23\ping_collision_summary.csv</t>
  </si>
  <si>
    <t>D:\CBP_2026.07.21\i#3\rreq\rreq#19_32_result\d#120\v#20\24\ping_collision_summary.csv</t>
  </si>
  <si>
    <t>D:\CBP_2026.07.21\i#3\rreq\rreq#19_32_result\d#120\v#20\25\ping_collision_summary.csv</t>
  </si>
  <si>
    <t>D:\CBP_2026.07.21\i#3\rreq\rreq#19_32_result\d#120\v#20\26\ping_collision_summary.csv</t>
  </si>
  <si>
    <t>D:\CBP_2026.07.21\i#3\rreq\rreq#19_32_result\d#120\v#20\27\ping_collision_summary.csv</t>
  </si>
  <si>
    <t>D:\CBP_2026.07.21\i#3\rreq\rreq#19_32_result\d#120\v#20\28\ping_collision_summary.csv</t>
  </si>
  <si>
    <t>D:\CBP_2026.07.21\i#3\rreq\rreq#19_32_result\d#120\v#20\29\ping_collision_summary.csv</t>
  </si>
  <si>
    <t>D:\CBP_2026.07.21\i#3\rreq\rreq#19_32_result\d#120\v#20\2\ping_collision_summary.csv</t>
  </si>
  <si>
    <t>D:\CBP_2026.07.21\i#3\rreq\rreq#19_32_result\d#120\v#20\30\ping_collision_summary.csv</t>
  </si>
  <si>
    <t>D:\CBP_2026.07.21\i#3\rreq\rreq#19_32_result\d#120\v#20\3\ping_collision_summary.csv</t>
  </si>
  <si>
    <t>D:\CBP_2026.07.21\i#3\rreq\rreq#19_32_result\d#120\v#20\4\ping_collision_summary.csv</t>
  </si>
  <si>
    <t>D:\CBP_2026.07.21\i#3\rreq\rreq#19_32_result\d#120\v#20\5\ping_collision_summary.csv</t>
  </si>
  <si>
    <t>D:\CBP_2026.07.21\i#3\rreq\rreq#19_32_result\d#120\v#20\6\ping_collision_summary.csv</t>
  </si>
  <si>
    <t>D:\CBP_2026.07.21\i#3\rreq\rreq#19_32_result\d#120\v#20\7\ping_collision_summary.csv</t>
  </si>
  <si>
    <t>D:\CBP_2026.07.21\i#3\rreq\rreq#19_32_result\d#120\v#20\8\ping_collision_summary.csv</t>
  </si>
  <si>
    <t>D:\CBP_2026.07.21\i#3\rreq\rreq#19_32_result\d#120\v#20\9\ping_collision_summary.csv</t>
  </si>
  <si>
    <t>D:\CBP_2026.07.21\i#3\rreq\rreq#19_32_result\d#120\v#30\0\ping_collision_summary.csv</t>
  </si>
  <si>
    <t>D:\CBP_2026.07.21\i#3\rreq\rreq#19_32_result\d#120\v#30\10\ping_collision_summary.csv</t>
  </si>
  <si>
    <t>D:\CBP_2026.07.21\i#3\rreq\rreq#19_32_result\d#120\v#30\11\ping_collision_summary.csv</t>
  </si>
  <si>
    <t>D:\CBP_2026.07.21\i#3\rreq\rreq#19_32_result\d#120\v#30\12\ping_collision_summary.csv</t>
  </si>
  <si>
    <t>D:\CBP_2026.07.21\i#3\rreq\rreq#19_32_result\d#120\v#30\13\ping_collision_summary.csv</t>
  </si>
  <si>
    <t>D:\CBP_2026.07.21\i#3\rreq\rreq#19_32_result\d#120\v#30\14\ping_collision_summary.csv</t>
  </si>
  <si>
    <t>D:\CBP_2026.07.21\i#3\rreq\rreq#19_32_result\d#120\v#30\15\ping_collision_summary.csv</t>
  </si>
  <si>
    <t>D:\CBP_2026.07.21\i#3\rreq\rreq#19_32_result\d#120\v#30\16\ping_collision_summary.csv</t>
  </si>
  <si>
    <t>D:\CBP_2026.07.21\i#3\rreq\rreq#19_32_result\d#120\v#30\17\ping_collision_summary.csv</t>
  </si>
  <si>
    <t>D:\CBP_2026.07.21\i#3\rreq\rreq#19_32_result\d#120\v#30\18\ping_collision_summary.csv</t>
  </si>
  <si>
    <t>D:\CBP_2026.07.21\i#3\rreq\rreq#19_32_result\d#120\v#30\19\ping_collision_summary.csv</t>
  </si>
  <si>
    <t>D:\CBP_2026.07.21\i#3\rreq\rreq#19_32_result\d#120\v#30\1\ping_collision_summary.csv</t>
  </si>
  <si>
    <t>D:\CBP_2026.07.21\i#3\rreq\rreq#19_32_result\d#120\v#30\20\ping_collision_summary.csv</t>
  </si>
  <si>
    <t>D:\CBP_2026.07.21\i#3\rreq\rreq#19_32_result\d#120\v#30\21\ping_collision_summary.csv</t>
  </si>
  <si>
    <t>D:\CBP_2026.07.21\i#3\rreq\rreq#19_32_result\d#120\v#30\22\ping_collision_summary.csv</t>
  </si>
  <si>
    <t>D:\CBP_2026.07.21\i#3\rreq\rreq#19_32_result\d#120\v#30\23\ping_collision_summary.csv</t>
  </si>
  <si>
    <t>D:\CBP_2026.07.21\i#3\rreq\rreq#19_32_result\d#120\v#30\24\ping_collision_summary.csv</t>
  </si>
  <si>
    <t>D:\CBP_2026.07.21\i#3\rreq\rreq#19_32_result\d#120\v#30\25\ping_collision_summary.csv</t>
  </si>
  <si>
    <t>D:\CBP_2026.07.21\i#3\rreq\rreq#19_32_result\d#120\v#30\26\ping_collision_summary.csv</t>
  </si>
  <si>
    <t>D:\CBP_2026.07.21\i#3\rreq\rreq#19_32_result\d#120\v#30\27\ping_collision_summary.csv</t>
  </si>
  <si>
    <t>D:\CBP_2026.07.21\i#3\rreq\rreq#19_32_result\d#120\v#30\28\ping_collision_summary.csv</t>
  </si>
  <si>
    <t>D:\CBP_2026.07.21\i#3\rreq\rreq#19_32_result\d#120\v#30\29\ping_collision_summary.csv</t>
  </si>
  <si>
    <t>D:\CBP_2026.07.21\i#3\rreq\rreq#19_32_result\d#120\v#30\2\ping_collision_summary.csv</t>
  </si>
  <si>
    <t>D:\CBP_2026.07.21\i#3\rreq\rreq#19_32_result\d#120\v#30\30\ping_collision_summary.csv</t>
  </si>
  <si>
    <t>D:\CBP_2026.07.21\i#3\rreq\rreq#19_32_result\d#120\v#30\3\ping_collision_summary.csv</t>
  </si>
  <si>
    <t>D:\CBP_2026.07.21\i#3\rreq\rreq#19_32_result\d#120\v#30\4\ping_collision_summary.csv</t>
  </si>
  <si>
    <t>D:\CBP_2026.07.21\i#3\rreq\rreq#19_32_result\d#120\v#30\5\ping_collision_summary.csv</t>
  </si>
  <si>
    <t>D:\CBP_2026.07.21\i#3\rreq\rreq#19_32_result\d#120\v#30\6\ping_collision_summary.csv</t>
  </si>
  <si>
    <t>D:\CBP_2026.07.21\i#3\rreq\rreq#19_32_result\d#120\v#30\7\ping_collision_summary.csv</t>
  </si>
  <si>
    <t>D:\CBP_2026.07.21\i#3\rreq\rreq#19_32_result\d#120\v#30\8\ping_collision_summary.csv</t>
  </si>
  <si>
    <t>D:\CBP_2026.07.21\i#3\rreq\rreq#19_32_result\d#120\v#30\9\ping_collision_summary.csv</t>
  </si>
  <si>
    <t>D:\CBP_2026.07.21\i#3\rreq\rreq#19_32_result\d#70\v#10\0\ping_collision_summary.csv</t>
  </si>
  <si>
    <t>D:\CBP_2026.07.21\i#3\rreq\rreq#19_32_result\d#70\v#10\10\ping_collision_summary.csv</t>
  </si>
  <si>
    <t>D:\CBP_2026.07.21\i#3\rreq\rreq#19_32_result\d#70\v#10\11\ping_collision_summary.csv</t>
  </si>
  <si>
    <t>D:\CBP_2026.07.21\i#3\rreq\rreq#19_32_result\d#70\v#10\12\ping_collision_summary.csv</t>
  </si>
  <si>
    <t>D:\CBP_2026.07.21\i#3\rreq\rreq#19_32_result\d#70\v#10\13\ping_collision_summary.csv</t>
  </si>
  <si>
    <t>D:\CBP_2026.07.21\i#3\rreq\rreq#19_32_result\d#70\v#10\14\ping_collision_summary.csv</t>
  </si>
  <si>
    <t>D:\CBP_2026.07.21\i#3\rreq\rreq#19_32_result\d#70\v#10\15\ping_collision_summary.csv</t>
  </si>
  <si>
    <t>D:\CBP_2026.07.21\i#3\rreq\rreq#19_32_result\d#70\v#10\16\ping_collision_summary.csv</t>
  </si>
  <si>
    <t>D:\CBP_2026.07.21\i#3\rreq\rreq#19_32_result\d#70\v#10\17\ping_collision_summary.csv</t>
  </si>
  <si>
    <t>D:\CBP_2026.07.21\i#3\rreq\rreq#19_32_result\d#70\v#10\18\ping_collision_summary.csv</t>
  </si>
  <si>
    <t>D:\CBP_2026.07.21\i#3\rreq\rreq#19_32_result\d#70\v#10\19\ping_collision_summary.csv</t>
  </si>
  <si>
    <t>D:\CBP_2026.07.21\i#3\rreq\rreq#19_32_result\d#70\v#10\1\ping_collision_summary.csv</t>
  </si>
  <si>
    <t>D:\CBP_2026.07.21\i#3\rreq\rreq#19_32_result\d#70\v#10\20\ping_collision_summary.csv</t>
  </si>
  <si>
    <t>D:\CBP_2026.07.21\i#3\rreq\rreq#19_32_result\d#70\v#10\21\ping_collision_summary.csv</t>
  </si>
  <si>
    <t>D:\CBP_2026.07.21\i#3\rreq\rreq#19_32_result\d#70\v#10\22\ping_collision_summary.csv</t>
  </si>
  <si>
    <t>D:\CBP_2026.07.21\i#3\rreq\rreq#19_32_result\d#70\v#10\23\ping_collision_summary.csv</t>
  </si>
  <si>
    <t>D:\CBP_2026.07.21\i#3\rreq\rreq#19_32_result\d#70\v#10\24\ping_collision_summary.csv</t>
  </si>
  <si>
    <t>D:\CBP_2026.07.21\i#3\rreq\rreq#19_32_result\d#70\v#10\25\ping_collision_summary.csv</t>
  </si>
  <si>
    <t>D:\CBP_2026.07.21\i#3\rreq\rreq#19_32_result\d#70\v#10\26\ping_collision_summary.csv</t>
  </si>
  <si>
    <t>D:\CBP_2026.07.21\i#3\rreq\rreq#19_32_result\d#70\v#10\27\ping_collision_summary.csv</t>
  </si>
  <si>
    <t>D:\CBP_2026.07.21\i#3\rreq\rreq#19_32_result\d#70\v#10\28\ping_collision_summary.csv</t>
  </si>
  <si>
    <t>D:\CBP_2026.07.21\i#3\rreq\rreq#19_32_result\d#70\v#10\29\ping_collision_summary.csv</t>
  </si>
  <si>
    <t>D:\CBP_2026.07.21\i#3\rreq\rreq#19_32_result\d#70\v#10\2\ping_collision_summary.csv</t>
  </si>
  <si>
    <t>D:\CBP_2026.07.21\i#3\rreq\rreq#19_32_result\d#70\v#10\30\ping_collision_summary.csv</t>
  </si>
  <si>
    <t>D:\CBP_2026.07.21\i#3\rreq\rreq#19_32_result\d#70\v#10\3\ping_collision_summary.csv</t>
  </si>
  <si>
    <t>D:\CBP_2026.07.21\i#3\rreq\rreq#19_32_result\d#70\v#10\4\ping_collision_summary.csv</t>
  </si>
  <si>
    <t>D:\CBP_2026.07.21\i#3\rreq\rreq#19_32_result\d#70\v#10\5\ping_collision_summary.csv</t>
  </si>
  <si>
    <t>D:\CBP_2026.07.21\i#3\rreq\rreq#19_32_result\d#70\v#10\6\ping_collision_summary.csv</t>
  </si>
  <si>
    <t>D:\CBP_2026.07.21\i#3\rreq\rreq#19_32_result\d#70\v#10\7\ping_collision_summary.csv</t>
  </si>
  <si>
    <t>D:\CBP_2026.07.21\i#3\rreq\rreq#19_32_result\d#70\v#10\8\ping_collision_summary.csv</t>
  </si>
  <si>
    <t>D:\CBP_2026.07.21\i#3\rreq\rreq#19_32_result\d#70\v#10\9\ping_collision_summary.csv</t>
  </si>
  <si>
    <t>D:\CBP_2026.07.21\i#3\rreq\rreq#19_32_result\d#70\v#20\0\ping_collision_summary.csv</t>
  </si>
  <si>
    <t>D:\CBP_2026.07.21\i#3\rreq\rreq#19_32_result\d#70\v#20\10\ping_collision_summary.csv</t>
  </si>
  <si>
    <t>D:\CBP_2026.07.21\i#3\rreq\rreq#19_32_result\d#70\v#20\11\ping_collision_summary.csv</t>
  </si>
  <si>
    <t>D:\CBP_2026.07.21\i#3\rreq\rreq#19_32_result\d#70\v#20\12\ping_collision_summary.csv</t>
  </si>
  <si>
    <t>D:\CBP_2026.07.21\i#3\rreq\rreq#19_32_result\d#70\v#20\13\ping_collision_summary.csv</t>
  </si>
  <si>
    <t>D:\CBP_2026.07.21\i#3\rreq\rreq#19_32_result\d#70\v#20\14\ping_collision_summary.csv</t>
  </si>
  <si>
    <t>D:\CBP_2026.07.21\i#3\rreq\rreq#19_32_result\d#70\v#20\15\ping_collision_summary.csv</t>
  </si>
  <si>
    <t>D:\CBP_2026.07.21\i#3\rreq\rreq#19_32_result\d#70\v#20\16\ping_collision_summary.csv</t>
  </si>
  <si>
    <t>D:\CBP_2026.07.21\i#3\rreq\rreq#19_32_result\d#70\v#20\17\ping_collision_summary.csv</t>
  </si>
  <si>
    <t>D:\CBP_2026.07.21\i#3\rreq\rreq#19_32_result\d#70\v#20\18\ping_collision_summary.csv</t>
  </si>
  <si>
    <t>D:\CBP_2026.07.21\i#3\rreq\rreq#19_32_result\d#70\v#20\19\ping_collision_summary.csv</t>
  </si>
  <si>
    <t>D:\CBP_2026.07.21\i#3\rreq\rreq#19_32_result\d#70\v#20\1\ping_collision_summary.csv</t>
  </si>
  <si>
    <t>D:\CBP_2026.07.21\i#3\rreq\rreq#19_32_result\d#70\v#20\20\ping_collision_summary.csv</t>
  </si>
  <si>
    <t>D:\CBP_2026.07.21\i#3\rreq\rreq#19_32_result\d#70\v#20\21\ping_collision_summary.csv</t>
  </si>
  <si>
    <t>D:\CBP_2026.07.21\i#3\rreq\rreq#19_32_result\d#70\v#20\22\ping_collision_summary.csv</t>
  </si>
  <si>
    <t>D:\CBP_2026.07.21\i#3\rreq\rreq#19_32_result\d#70\v#20\23\ping_collision_summary.csv</t>
  </si>
  <si>
    <t>D:\CBP_2026.07.21\i#3\rreq\rreq#19_32_result\d#70\v#20\24\ping_collision_summary.csv</t>
  </si>
  <si>
    <t>D:\CBP_2026.07.21\i#3\rreq\rreq#19_32_result\d#70\v#20\25\ping_collision_summary.csv</t>
  </si>
  <si>
    <t>D:\CBP_2026.07.21\i#3\rreq\rreq#19_32_result\d#70\v#20\26\ping_collision_summary.csv</t>
  </si>
  <si>
    <t>D:\CBP_2026.07.21\i#3\rreq\rreq#19_32_result\d#70\v#20\27\ping_collision_summary.csv</t>
  </si>
  <si>
    <t>D:\CBP_2026.07.21\i#3\rreq\rreq#19_32_result\d#70\v#20\28\ping_collision_summary.csv</t>
  </si>
  <si>
    <t>D:\CBP_2026.07.21\i#3\rreq\rreq#19_32_result\d#70\v#20\29\ping_collision_summary.csv</t>
  </si>
  <si>
    <t>D:\CBP_2026.07.21\i#3\rreq\rreq#19_32_result\d#70\v#20\2\ping_collision_summary.csv</t>
  </si>
  <si>
    <t>D:\CBP_2026.07.21\i#3\rreq\rreq#19_32_result\d#70\v#20\30\ping_collision_summary.csv</t>
  </si>
  <si>
    <t>D:\CBP_2026.07.21\i#3\rreq\rreq#19_32_result\d#70\v#20\3\ping_collision_summary.csv</t>
  </si>
  <si>
    <t>D:\CBP_2026.07.21\i#3\rreq\rreq#19_32_result\d#70\v#20\4\ping_collision_summary.csv</t>
  </si>
  <si>
    <t>D:\CBP_2026.07.21\i#3\rreq\rreq#19_32_result\d#70\v#20\5\ping_collision_summary.csv</t>
  </si>
  <si>
    <t>D:\CBP_2026.07.21\i#3\rreq\rreq#19_32_result\d#70\v#20\6\ping_collision_summary.csv</t>
  </si>
  <si>
    <t>D:\CBP_2026.07.21\i#3\rreq\rreq#19_32_result\d#70\v#20\7\ping_collision_summary.csv</t>
  </si>
  <si>
    <t>D:\CBP_2026.07.21\i#3\rreq\rreq#19_32_result\d#70\v#20\8\ping_collision_summary.csv</t>
  </si>
  <si>
    <t>D:\CBP_2026.07.21\i#3\rreq\rreq#19_32_result\d#70\v#20\9\ping_collision_summary.csv</t>
  </si>
  <si>
    <t>D:\CBP_2026.07.21\i#3\rreq\rreq#19_32_result\d#70\v#30\0\ping_collision_summary.csv</t>
  </si>
  <si>
    <t>D:\CBP_2026.07.21\i#3\rreq\rreq#19_32_result\d#70\v#30\10\ping_collision_summary.csv</t>
  </si>
  <si>
    <t>D:\CBP_2026.07.21\i#3\rreq\rreq#19_32_result\d#70\v#30\11\ping_collision_summary.csv</t>
  </si>
  <si>
    <t>D:\CBP_2026.07.21\i#3\rreq\rreq#19_32_result\d#70\v#30\12\ping_collision_summary.csv</t>
  </si>
  <si>
    <t>D:\CBP_2026.07.21\i#3\rreq\rreq#19_32_result\d#70\v#30\13\ping_collision_summary.csv</t>
  </si>
  <si>
    <t>D:\CBP_2026.07.21\i#3\rreq\rreq#19_32_result\d#70\v#30\14\ping_collision_summary.csv</t>
  </si>
  <si>
    <t>D:\CBP_2026.07.21\i#3\rreq\rreq#19_32_result\d#70\v#30\15\ping_collision_summary.csv</t>
  </si>
  <si>
    <t>D:\CBP_2026.07.21\i#3\rreq\rreq#19_32_result\d#70\v#30\16\ping_collision_summary.csv</t>
  </si>
  <si>
    <t>D:\CBP_2026.07.21\i#3\rreq\rreq#19_32_result\d#70\v#30\17\ping_collision_summary.csv</t>
  </si>
  <si>
    <t>D:\CBP_2026.07.21\i#3\rreq\rreq#19_32_result\d#70\v#30\18\ping_collision_summary.csv</t>
  </si>
  <si>
    <t>D:\CBP_2026.07.21\i#3\rreq\rreq#19_32_result\d#70\v#30\19\ping_collision_summary.csv</t>
  </si>
  <si>
    <t>D:\CBP_2026.07.21\i#3\rreq\rreq#19_32_result\d#70\v#30\1\ping_collision_summary.csv</t>
  </si>
  <si>
    <t>D:\CBP_2026.07.21\i#3\rreq\rreq#19_32_result\d#70\v#30\20\ping_collision_summary.csv</t>
  </si>
  <si>
    <t>D:\CBP_2026.07.21\i#3\rreq\rreq#19_32_result\d#70\v#30\21\ping_collision_summary.csv</t>
  </si>
  <si>
    <t>D:\CBP_2026.07.21\i#3\rreq\rreq#19_32_result\d#70\v#30\22\ping_collision_summary.csv</t>
  </si>
  <si>
    <t>D:\CBP_2026.07.21\i#3\rreq\rreq#19_32_result\d#70\v#30\23\ping_collision_summary.csv</t>
  </si>
  <si>
    <t>D:\CBP_2026.07.21\i#3\rreq\rreq#19_32_result\d#70\v#30\24\ping_collision_summary.csv</t>
  </si>
  <si>
    <t>D:\CBP_2026.07.21\i#3\rreq\rreq#19_32_result\d#70\v#30\25\ping_collision_summary.csv</t>
  </si>
  <si>
    <t>D:\CBP_2026.07.21\i#3\rreq\rreq#19_32_result\d#70\v#30\26\ping_collision_summary.csv</t>
  </si>
  <si>
    <t>D:\CBP_2026.07.21\i#3\rreq\rreq#19_32_result\d#70\v#30\27\ping_collision_summary.csv</t>
  </si>
  <si>
    <t>D:\CBP_2026.07.21\i#3\rreq\rreq#19_32_result\d#70\v#30\28\ping_collision_summary.csv</t>
  </si>
  <si>
    <t>D:\CBP_2026.07.21\i#3\rreq\rreq#19_32_result\d#70\v#30\29\ping_collision_summary.csv</t>
  </si>
  <si>
    <t>D:\CBP_2026.07.21\i#3\rreq\rreq#19_32_result\d#70\v#30\2\ping_collision_summary.csv</t>
  </si>
  <si>
    <t>D:\CBP_2026.07.21\i#3\rreq\rreq#19_32_result\d#70\v#30\30\ping_collision_summary.csv</t>
  </si>
  <si>
    <t>D:\CBP_2026.07.21\i#3\rreq\rreq#19_32_result\d#70\v#30\3\ping_collision_summary.csv</t>
  </si>
  <si>
    <t>D:\CBP_2026.07.21\i#3\rreq\rreq#19_32_result\d#70\v#30\4\ping_collision_summary.csv</t>
  </si>
  <si>
    <t>D:\CBP_2026.07.21\i#3\rreq\rreq#19_32_result\d#70\v#30\5\ping_collision_summary.csv</t>
  </si>
  <si>
    <t>D:\CBP_2026.07.21\i#3\rreq\rreq#19_32_result\d#70\v#30\6\ping_collision_summary.csv</t>
  </si>
  <si>
    <t>D:\CBP_2026.07.21\i#3\rreq\rreq#19_32_result\d#70\v#30\7\ping_collision_summary.csv</t>
  </si>
  <si>
    <t>D:\CBP_2026.07.21\i#3\rreq\rreq#19_32_result\d#70\v#30\8\ping_collision_summary.csv</t>
  </si>
  <si>
    <t>D:\CBP_2026.07.21\i#3\rreq\rreq#19_32_result\d#70\v#30\9\ping_collision_summary.csv</t>
  </si>
  <si>
    <t>D:\CBP_2026.07.21\i#3\rreq\rreq#32_43_result\d#100\v#10\0\ping_collision_summary.csv</t>
  </si>
  <si>
    <t>D:\CBP_2026.07.21\i#3\rreq\rreq#32_43_result\d#100\v#10\10\ping_collision_summary.csv</t>
  </si>
  <si>
    <t>D:\CBP_2026.07.21\i#3\rreq\rreq#32_43_result\d#100\v#10\11\ping_collision_summary.csv</t>
  </si>
  <si>
    <t>D:\CBP_2026.07.21\i#3\rreq\rreq#32_43_result\d#100\v#10\12\ping_collision_summary.csv</t>
  </si>
  <si>
    <t>D:\CBP_2026.07.21\i#3\rreq\rreq#32_43_result\d#100\v#10\13\ping_collision_summary.csv</t>
  </si>
  <si>
    <t>D:\CBP_2026.07.21\i#3\rreq\rreq#32_43_result\d#100\v#10\14\ping_collision_summary.csv</t>
  </si>
  <si>
    <t>D:\CBP_2026.07.21\i#3\rreq\rreq#32_43_result\d#100\v#10\15\ping_collision_summary.csv</t>
  </si>
  <si>
    <t>D:\CBP_2026.07.21\i#3\rreq\rreq#32_43_result\d#100\v#10\16\ping_collision_summary.csv</t>
  </si>
  <si>
    <t>D:\CBP_2026.07.21\i#3\rreq\rreq#32_43_result\d#100\v#10\17\ping_collision_summary.csv</t>
  </si>
  <si>
    <t>D:\CBP_2026.07.21\i#3\rreq\rreq#32_43_result\d#100\v#10\18\ping_collision_summary.csv</t>
  </si>
  <si>
    <t>D:\CBP_2026.07.21\i#3\rreq\rreq#32_43_result\d#100\v#10\19\ping_collision_summary.csv</t>
  </si>
  <si>
    <t>D:\CBP_2026.07.21\i#3\rreq\rreq#32_43_result\d#100\v#10\1\ping_collision_summary.csv</t>
  </si>
  <si>
    <t>D:\CBP_2026.07.21\i#3\rreq\rreq#32_43_result\d#100\v#10\20\ping_collision_summary.csv</t>
  </si>
  <si>
    <t>D:\CBP_2026.07.21\i#3\rreq\rreq#32_43_result\d#100\v#10\21\ping_collision_summary.csv</t>
  </si>
  <si>
    <t>D:\CBP_2026.07.21\i#3\rreq\rreq#32_43_result\d#100\v#10\22\ping_collision_summary.csv</t>
  </si>
  <si>
    <t>D:\CBP_2026.07.21\i#3\rreq\rreq#32_43_result\d#100\v#10\23\ping_collision_summary.csv</t>
  </si>
  <si>
    <t>D:\CBP_2026.07.21\i#3\rreq\rreq#32_43_result\d#100\v#10\24\ping_collision_summary.csv</t>
  </si>
  <si>
    <t>D:\CBP_2026.07.21\i#3\rreq\rreq#32_43_result\d#100\v#10\25\ping_collision_summary.csv</t>
  </si>
  <si>
    <t>D:\CBP_2026.07.21\i#3\rreq\rreq#32_43_result\d#100\v#10\26\ping_collision_summary.csv</t>
  </si>
  <si>
    <t>D:\CBP_2026.07.21\i#3\rreq\rreq#32_43_result\d#100\v#10\27\ping_collision_summary.csv</t>
  </si>
  <si>
    <t>D:\CBP_2026.07.21\i#3\rreq\rreq#32_43_result\d#100\v#10\28\ping_collision_summary.csv</t>
  </si>
  <si>
    <t>D:\CBP_2026.07.21\i#3\rreq\rreq#32_43_result\d#100\v#10\29\ping_collision_summary.csv</t>
  </si>
  <si>
    <t>D:\CBP_2026.07.21\i#3\rreq\rreq#32_43_result\d#100\v#10\2\ping_collision_summary.csv</t>
  </si>
  <si>
    <t>D:\CBP_2026.07.21\i#3\rreq\rreq#32_43_result\d#100\v#10\30\ping_collision_summary.csv</t>
  </si>
  <si>
    <t>D:\CBP_2026.07.21\i#3\rreq\rreq#32_43_result\d#100\v#10\3\ping_collision_summary.csv</t>
  </si>
  <si>
    <t>D:\CBP_2026.07.21\i#3\rreq\rreq#32_43_result\d#100\v#10\4\ping_collision_summary.csv</t>
  </si>
  <si>
    <t>D:\CBP_2026.07.21\i#3\rreq\rreq#32_43_result\d#100\v#10\5\ping_collision_summary.csv</t>
  </si>
  <si>
    <t>D:\CBP_2026.07.21\i#3\rreq\rreq#32_43_result\d#100\v#10\6\ping_collision_summary.csv</t>
  </si>
  <si>
    <t>D:\CBP_2026.07.21\i#3\rreq\rreq#32_43_result\d#100\v#10\7\ping_collision_summary.csv</t>
  </si>
  <si>
    <t>D:\CBP_2026.07.21\i#3\rreq\rreq#32_43_result\d#100\v#10\8\ping_collision_summary.csv</t>
  </si>
  <si>
    <t>D:\CBP_2026.07.21\i#3\rreq\rreq#32_43_result\d#100\v#10\9\ping_collision_summary.csv</t>
  </si>
  <si>
    <t>D:\CBP_2026.07.21\i#3\rreq\rreq#32_43_result\d#100\v#20\0\ping_collision_summary.csv</t>
  </si>
  <si>
    <t>D:\CBP_2026.07.21\i#3\rreq\rreq#32_43_result\d#100\v#20\10\ping_collision_summary.csv</t>
  </si>
  <si>
    <t>D:\CBP_2026.07.21\i#3\rreq\rreq#32_43_result\d#100\v#20\11\ping_collision_summary.csv</t>
  </si>
  <si>
    <t>D:\CBP_2026.07.21\i#3\rreq\rreq#32_43_result\d#100\v#20\12\ping_collision_summary.csv</t>
  </si>
  <si>
    <t>D:\CBP_2026.07.21\i#3\rreq\rreq#32_43_result\d#100\v#20\13\ping_collision_summary.csv</t>
  </si>
  <si>
    <t>D:\CBP_2026.07.21\i#3\rreq\rreq#32_43_result\d#100\v#20\14\ping_collision_summary.csv</t>
  </si>
  <si>
    <t>D:\CBP_2026.07.21\i#3\rreq\rreq#32_43_result\d#100\v#20\15\ping_collision_summary.csv</t>
  </si>
  <si>
    <t>D:\CBP_2026.07.21\i#3\rreq\rreq#32_43_result\d#100\v#20\16\ping_collision_summary.csv</t>
  </si>
  <si>
    <t>D:\CBP_2026.07.21\i#3\rreq\rreq#32_43_result\d#100\v#20\17\ping_collision_summary.csv</t>
  </si>
  <si>
    <t>D:\CBP_2026.07.21\i#3\rreq\rreq#32_43_result\d#100\v#20\18\ping_collision_summary.csv</t>
  </si>
  <si>
    <t>D:\CBP_2026.07.21\i#3\rreq\rreq#32_43_result\d#100\v#20\19\ping_collision_summary.csv</t>
  </si>
  <si>
    <t>D:\CBP_2026.07.21\i#3\rreq\rreq#32_43_result\d#100\v#20\1\ping_collision_summary.csv</t>
  </si>
  <si>
    <t>D:\CBP_2026.07.21\i#3\rreq\rreq#32_43_result\d#100\v#20\20\ping_collision_summary.csv</t>
  </si>
  <si>
    <t>D:\CBP_2026.07.21\i#3\rreq\rreq#32_43_result\d#100\v#20\21\ping_collision_summary.csv</t>
  </si>
  <si>
    <t>D:\CBP_2026.07.21\i#3\rreq\rreq#32_43_result\d#100\v#20\22\ping_collision_summary.csv</t>
  </si>
  <si>
    <t>D:\CBP_2026.07.21\i#3\rreq\rreq#32_43_result\d#100\v#20\23\ping_collision_summary.csv</t>
  </si>
  <si>
    <t>D:\CBP_2026.07.21\i#3\rreq\rreq#32_43_result\d#100\v#20\24\ping_collision_summary.csv</t>
  </si>
  <si>
    <t>D:\CBP_2026.07.21\i#3\rreq\rreq#32_43_result\d#100\v#20\25\ping_collision_summary.csv</t>
  </si>
  <si>
    <t>D:\CBP_2026.07.21\i#3\rreq\rreq#32_43_result\d#100\v#20\26\ping_collision_summary.csv</t>
  </si>
  <si>
    <t>D:\CBP_2026.07.21\i#3\rreq\rreq#32_43_result\d#100\v#20\27\ping_collision_summary.csv</t>
  </si>
  <si>
    <t>D:\CBP_2026.07.21\i#3\rreq\rreq#32_43_result\d#100\v#20\28\ping_collision_summary.csv</t>
  </si>
  <si>
    <t>D:\CBP_2026.07.21\i#3\rreq\rreq#32_43_result\d#100\v#20\29\ping_collision_summary.csv</t>
  </si>
  <si>
    <t>D:\CBP_2026.07.21\i#3\rreq\rreq#32_43_result\d#100\v#20\2\ping_collision_summary.csv</t>
  </si>
  <si>
    <t>D:\CBP_2026.07.21\i#3\rreq\rreq#32_43_result\d#100\v#20\30\ping_collision_summary.csv</t>
  </si>
  <si>
    <t>D:\CBP_2026.07.21\i#3\rreq\rreq#32_43_result\d#100\v#20\3\ping_collision_summary.csv</t>
  </si>
  <si>
    <t>D:\CBP_2026.07.21\i#3\rreq\rreq#32_43_result\d#100\v#20\4\ping_collision_summary.csv</t>
  </si>
  <si>
    <t>D:\CBP_2026.07.21\i#3\rreq\rreq#32_43_result\d#100\v#20\5\ping_collision_summary.csv</t>
  </si>
  <si>
    <t>D:\CBP_2026.07.21\i#3\rreq\rreq#32_43_result\d#100\v#20\6\ping_collision_summary.csv</t>
  </si>
  <si>
    <t>D:\CBP_2026.07.21\i#3\rreq\rreq#32_43_result\d#100\v#20\7\ping_collision_summary.csv</t>
  </si>
  <si>
    <t>D:\CBP_2026.07.21\i#3\rreq\rreq#32_43_result\d#100\v#20\8\ping_collision_summary.csv</t>
  </si>
  <si>
    <t>D:\CBP_2026.07.21\i#3\rreq\rreq#32_43_result\d#100\v#20\9\ping_collision_summary.csv</t>
  </si>
  <si>
    <t>D:\CBP_2026.07.21\i#3\rreq\rreq#32_43_result\d#100\v#30\0\ping_collision_summary.csv</t>
  </si>
  <si>
    <t>D:\CBP_2026.07.21\i#3\rreq\rreq#32_43_result\d#100\v#30\10\ping_collision_summary.csv</t>
  </si>
  <si>
    <t>D:\CBP_2026.07.21\i#3\rreq\rreq#32_43_result\d#100\v#30\11\ping_collision_summary.csv</t>
  </si>
  <si>
    <t>D:\CBP_2026.07.21\i#3\rreq\rreq#32_43_result\d#100\v#30\12\ping_collision_summary.csv</t>
  </si>
  <si>
    <t>D:\CBP_2026.07.21\i#3\rreq\rreq#32_43_result\d#100\v#30\13\ping_collision_summary.csv</t>
  </si>
  <si>
    <t>D:\CBP_2026.07.21\i#3\rreq\rreq#32_43_result\d#100\v#30\14\ping_collision_summary.csv</t>
  </si>
  <si>
    <t>D:\CBP_2026.07.21\i#3\rreq\rreq#32_43_result\d#100\v#30\15\ping_collision_summary.csv</t>
  </si>
  <si>
    <t>D:\CBP_2026.07.21\i#3\rreq\rreq#32_43_result\d#100\v#30\16\ping_collision_summary.csv</t>
  </si>
  <si>
    <t>D:\CBP_2026.07.21\i#3\rreq\rreq#32_43_result\d#100\v#30\17\ping_collision_summary.csv</t>
  </si>
  <si>
    <t>D:\CBP_2026.07.21\i#3\rreq\rreq#32_43_result\d#100\v#30\18\ping_collision_summary.csv</t>
  </si>
  <si>
    <t>D:\CBP_2026.07.21\i#3\rreq\rreq#32_43_result\d#100\v#30\19\ping_collision_summary.csv</t>
  </si>
  <si>
    <t>D:\CBP_2026.07.21\i#3\rreq\rreq#32_43_result\d#100\v#30\1\ping_collision_summary.csv</t>
  </si>
  <si>
    <t>D:\CBP_2026.07.21\i#3\rreq\rreq#32_43_result\d#100\v#30\20\ping_collision_summary.csv</t>
  </si>
  <si>
    <t>D:\CBP_2026.07.21\i#3\rreq\rreq#32_43_result\d#100\v#30\21\ping_collision_summary.csv</t>
  </si>
  <si>
    <t>D:\CBP_2026.07.21\i#3\rreq\rreq#32_43_result\d#100\v#30\22\ping_collision_summary.csv</t>
  </si>
  <si>
    <t>D:\CBP_2026.07.21\i#3\rreq\rreq#32_43_result\d#100\v#30\23\ping_collision_summary.csv</t>
  </si>
  <si>
    <t>D:\CBP_2026.07.21\i#3\rreq\rreq#32_43_result\d#100\v#30\24\ping_collision_summary.csv</t>
  </si>
  <si>
    <t>D:\CBP_2026.07.21\i#3\rreq\rreq#32_43_result\d#100\v#30\25\ping_collision_summary.csv</t>
  </si>
  <si>
    <t>D:\CBP_2026.07.21\i#3\rreq\rreq#32_43_result\d#100\v#30\26\ping_collision_summary.csv</t>
  </si>
  <si>
    <t>D:\CBP_2026.07.21\i#3\rreq\rreq#32_43_result\d#100\v#30\27\ping_collision_summary.csv</t>
  </si>
  <si>
    <t>D:\CBP_2026.07.21\i#3\rreq\rreq#32_43_result\d#100\v#30\28\ping_collision_summary.csv</t>
  </si>
  <si>
    <t>D:\CBP_2026.07.21\i#3\rreq\rreq#32_43_result\d#100\v#30\29\ping_collision_summary.csv</t>
  </si>
  <si>
    <t>D:\CBP_2026.07.21\i#3\rreq\rreq#32_43_result\d#100\v#30\2\ping_collision_summary.csv</t>
  </si>
  <si>
    <t>D:\CBP_2026.07.21\i#3\rreq\rreq#32_43_result\d#100\v#30\30\ping_collision_summary.csv</t>
  </si>
  <si>
    <t>D:\CBP_2026.07.21\i#3\rreq\rreq#32_43_result\d#100\v#30\3\ping_collision_summary.csv</t>
  </si>
  <si>
    <t>D:\CBP_2026.07.21\i#3\rreq\rreq#32_43_result\d#100\v#30\4\ping_collision_summary.csv</t>
  </si>
  <si>
    <t>D:\CBP_2026.07.21\i#3\rreq\rreq#32_43_result\d#100\v#30\5\ping_collision_summary.csv</t>
  </si>
  <si>
    <t>D:\CBP_2026.07.21\i#3\rreq\rreq#32_43_result\d#100\v#30\6\ping_collision_summary.csv</t>
  </si>
  <si>
    <t>D:\CBP_2026.07.21\i#3\rreq\rreq#32_43_result\d#100\v#30\7\ping_collision_summary.csv</t>
  </si>
  <si>
    <t>D:\CBP_2026.07.21\i#3\rreq\rreq#32_43_result\d#100\v#30\8\ping_collision_summary.csv</t>
  </si>
  <si>
    <t>D:\CBP_2026.07.21\i#3\rreq\rreq#32_43_result\d#100\v#30\9\ping_collision_summary.csv</t>
  </si>
  <si>
    <t>D:\CBP_2026.07.21\i#3\rreq\rreq#32_43_result\d#120\v#10\0\ping_collision_summary.csv</t>
  </si>
  <si>
    <t>D:\CBP_2026.07.21\i#3\rreq\rreq#32_43_result\d#120\v#10\10\ping_collision_summary.csv</t>
  </si>
  <si>
    <t>D:\CBP_2026.07.21\i#3\rreq\rreq#32_43_result\d#120\v#10\11\ping_collision_summary.csv</t>
  </si>
  <si>
    <t>D:\CBP_2026.07.21\i#3\rreq\rreq#32_43_result\d#120\v#10\12\ping_collision_summary.csv</t>
  </si>
  <si>
    <t>D:\CBP_2026.07.21\i#3\rreq\rreq#32_43_result\d#120\v#10\13\ping_collision_summary.csv</t>
  </si>
  <si>
    <t>D:\CBP_2026.07.21\i#3\rreq\rreq#32_43_result\d#120\v#10\14\ping_collision_summary.csv</t>
  </si>
  <si>
    <t>D:\CBP_2026.07.21\i#3\rreq\rreq#32_43_result\d#120\v#10\15\ping_collision_summary.csv</t>
  </si>
  <si>
    <t>D:\CBP_2026.07.21\i#3\rreq\rreq#32_43_result\d#120\v#10\16\ping_collision_summary.csv</t>
  </si>
  <si>
    <t>D:\CBP_2026.07.21\i#3\rreq\rreq#32_43_result\d#120\v#10\17\ping_collision_summary.csv</t>
  </si>
  <si>
    <t>D:\CBP_2026.07.21\i#3\rreq\rreq#32_43_result\d#120\v#10\18\ping_collision_summary.csv</t>
  </si>
  <si>
    <t>D:\CBP_2026.07.21\i#3\rreq\rreq#32_43_result\d#120\v#10\19\ping_collision_summary.csv</t>
  </si>
  <si>
    <t>D:\CBP_2026.07.21\i#3\rreq\rreq#32_43_result\d#120\v#10\1\ping_collision_summary.csv</t>
  </si>
  <si>
    <t>D:\CBP_2026.07.21\i#3\rreq\rreq#32_43_result\d#120\v#10\20\ping_collision_summary.csv</t>
  </si>
  <si>
    <t>D:\CBP_2026.07.21\i#3\rreq\rreq#32_43_result\d#120\v#10\21\ping_collision_summary.csv</t>
  </si>
  <si>
    <t>D:\CBP_2026.07.21\i#3\rreq\rreq#32_43_result\d#120\v#10\22\ping_collision_summary.csv</t>
  </si>
  <si>
    <t>D:\CBP_2026.07.21\i#3\rreq\rreq#32_43_result\d#120\v#10\23\ping_collision_summary.csv</t>
  </si>
  <si>
    <t>D:\CBP_2026.07.21\i#3\rreq\rreq#32_43_result\d#120\v#10\24\ping_collision_summary.csv</t>
  </si>
  <si>
    <t>D:\CBP_2026.07.21\i#3\rreq\rreq#32_43_result\d#120\v#10\25\ping_collision_summary.csv</t>
  </si>
  <si>
    <t>D:\CBP_2026.07.21\i#3\rreq\rreq#32_43_result\d#120\v#10\26\ping_collision_summary.csv</t>
  </si>
  <si>
    <t>D:\CBP_2026.07.21\i#3\rreq\rreq#32_43_result\d#120\v#10\27\ping_collision_summary.csv</t>
  </si>
  <si>
    <t>D:\CBP_2026.07.21\i#3\rreq\rreq#32_43_result\d#120\v#10\28\ping_collision_summary.csv</t>
  </si>
  <si>
    <t>D:\CBP_2026.07.21\i#3\rreq\rreq#32_43_result\d#120\v#10\29\ping_collision_summary.csv</t>
  </si>
  <si>
    <t>D:\CBP_2026.07.21\i#3\rreq\rreq#32_43_result\d#120\v#10\2\ping_collision_summary.csv</t>
  </si>
  <si>
    <t>D:\CBP_2026.07.21\i#3\rreq\rreq#32_43_result\d#120\v#10\30\ping_collision_summary.csv</t>
  </si>
  <si>
    <t>D:\CBP_2026.07.21\i#3\rreq\rreq#32_43_result\d#120\v#10\3\ping_collision_summary.csv</t>
  </si>
  <si>
    <t>D:\CBP_2026.07.21\i#3\rreq\rreq#32_43_result\d#120\v#10\4\ping_collision_summary.csv</t>
  </si>
  <si>
    <t>D:\CBP_2026.07.21\i#3\rreq\rreq#32_43_result\d#120\v#10\5\ping_collision_summary.csv</t>
  </si>
  <si>
    <t>D:\CBP_2026.07.21\i#3\rreq\rreq#32_43_result\d#120\v#10\6\ping_collision_summary.csv</t>
  </si>
  <si>
    <t>D:\CBP_2026.07.21\i#3\rreq\rreq#32_43_result\d#120\v#10\7\ping_collision_summary.csv</t>
  </si>
  <si>
    <t>D:\CBP_2026.07.21\i#3\rreq\rreq#32_43_result\d#120\v#10\8\ping_collision_summary.csv</t>
  </si>
  <si>
    <t>D:\CBP_2026.07.21\i#3\rreq\rreq#32_43_result\d#120\v#10\9\ping_collision_summary.csv</t>
  </si>
  <si>
    <t>D:\CBP_2026.07.21\i#3\rreq\rreq#32_43_result\d#120\v#20\0\ping_collision_summary.csv</t>
  </si>
  <si>
    <t>D:\CBP_2026.07.21\i#3\rreq\rreq#32_43_result\d#120\v#20\10\ping_collision_summary.csv</t>
  </si>
  <si>
    <t>D:\CBP_2026.07.21\i#3\rreq\rreq#32_43_result\d#120\v#20\11\ping_collision_summary.csv</t>
  </si>
  <si>
    <t>D:\CBP_2026.07.21\i#3\rreq\rreq#32_43_result\d#120\v#20\12\ping_collision_summary.csv</t>
  </si>
  <si>
    <t>D:\CBP_2026.07.21\i#3\rreq\rreq#32_43_result\d#120\v#20\13\ping_collision_summary.csv</t>
  </si>
  <si>
    <t>D:\CBP_2026.07.21\i#3\rreq\rreq#32_43_result\d#120\v#20\14\ping_collision_summary.csv</t>
  </si>
  <si>
    <t>D:\CBP_2026.07.21\i#3\rreq\rreq#32_43_result\d#120\v#20\15\ping_collision_summary.csv</t>
  </si>
  <si>
    <t>D:\CBP_2026.07.21\i#3\rreq\rreq#32_43_result\d#120\v#20\16\ping_collision_summary.csv</t>
  </si>
  <si>
    <t>D:\CBP_2026.07.21\i#3\rreq\rreq#32_43_result\d#120\v#20\17\ping_collision_summary.csv</t>
  </si>
  <si>
    <t>D:\CBP_2026.07.21\i#3\rreq\rreq#32_43_result\d#120\v#20\18\ping_collision_summary.csv</t>
  </si>
  <si>
    <t>D:\CBP_2026.07.21\i#3\rreq\rreq#32_43_result\d#120\v#20\19\ping_collision_summary.csv</t>
  </si>
  <si>
    <t>D:\CBP_2026.07.21\i#3\rreq\rreq#32_43_result\d#120\v#20\1\ping_collision_summary.csv</t>
  </si>
  <si>
    <t>D:\CBP_2026.07.21\i#3\rreq\rreq#32_43_result\d#120\v#20\20\ping_collision_summary.csv</t>
  </si>
  <si>
    <t>D:\CBP_2026.07.21\i#3\rreq\rreq#32_43_result\d#120\v#20\21\ping_collision_summary.csv</t>
  </si>
  <si>
    <t>D:\CBP_2026.07.21\i#3\rreq\rreq#32_43_result\d#120\v#20\22\ping_collision_summary.csv</t>
  </si>
  <si>
    <t>D:\CBP_2026.07.21\i#3\rreq\rreq#32_43_result\d#120\v#20\23\ping_collision_summary.csv</t>
  </si>
  <si>
    <t>D:\CBP_2026.07.21\i#3\rreq\rreq#32_43_result\d#120\v#20\24\ping_collision_summary.csv</t>
  </si>
  <si>
    <t>D:\CBP_2026.07.21\i#3\rreq\rreq#32_43_result\d#120\v#20\25\ping_collision_summary.csv</t>
  </si>
  <si>
    <t>D:\CBP_2026.07.21\i#3\rreq\rreq#32_43_result\d#120\v#20\26\ping_collision_summary.csv</t>
  </si>
  <si>
    <t>D:\CBP_2026.07.21\i#3\rreq\rreq#32_43_result\d#120\v#20\27\ping_collision_summary.csv</t>
  </si>
  <si>
    <t>D:\CBP_2026.07.21\i#3\rreq\rreq#32_43_result\d#120\v#20\28\ping_collision_summary.csv</t>
  </si>
  <si>
    <t>D:\CBP_2026.07.21\i#3\rreq\rreq#32_43_result\d#120\v#20\29\ping_collision_summary.csv</t>
  </si>
  <si>
    <t>D:\CBP_2026.07.21\i#3\rreq\rreq#32_43_result\d#120\v#20\2\ping_collision_summary.csv</t>
  </si>
  <si>
    <t>D:\CBP_2026.07.21\i#3\rreq\rreq#32_43_result\d#120\v#20\30\ping_collision_summary.csv</t>
  </si>
  <si>
    <t>D:\CBP_2026.07.21\i#3\rreq\rreq#32_43_result\d#120\v#20\3\ping_collision_summary.csv</t>
  </si>
  <si>
    <t>D:\CBP_2026.07.21\i#3\rreq\rreq#32_43_result\d#120\v#20\4\ping_collision_summary.csv</t>
  </si>
  <si>
    <t>D:\CBP_2026.07.21\i#3\rreq\rreq#32_43_result\d#120\v#20\5\ping_collision_summary.csv</t>
  </si>
  <si>
    <t>D:\CBP_2026.07.21\i#3\rreq\rreq#32_43_result\d#120\v#20\6\ping_collision_summary.csv</t>
  </si>
  <si>
    <t>D:\CBP_2026.07.21\i#3\rreq\rreq#32_43_result\d#120\v#20\7\ping_collision_summary.csv</t>
  </si>
  <si>
    <t>D:\CBP_2026.07.21\i#3\rreq\rreq#32_43_result\d#120\v#20\8\ping_collision_summary.csv</t>
  </si>
  <si>
    <t>D:\CBP_2026.07.21\i#3\rreq\rreq#32_43_result\d#120\v#20\9\ping_collision_summary.csv</t>
  </si>
  <si>
    <t>D:\CBP_2026.07.21\i#3\rreq\rreq#32_43_result\d#120\v#30\0\ping_collision_summary.csv</t>
  </si>
  <si>
    <t>D:\CBP_2026.07.21\i#3\rreq\rreq#32_43_result\d#120\v#30\10\ping_collision_summary.csv</t>
  </si>
  <si>
    <t>D:\CBP_2026.07.21\i#3\rreq\rreq#32_43_result\d#120\v#30\11\ping_collision_summary.csv</t>
  </si>
  <si>
    <t>D:\CBP_2026.07.21\i#3\rreq\rreq#32_43_result\d#120\v#30\12\ping_collision_summary.csv</t>
  </si>
  <si>
    <t>D:\CBP_2026.07.21\i#3\rreq\rreq#32_43_result\d#120\v#30\13\ping_collision_summary.csv</t>
  </si>
  <si>
    <t>D:\CBP_2026.07.21\i#3\rreq\rreq#32_43_result\d#120\v#30\14\ping_collision_summary.csv</t>
  </si>
  <si>
    <t>D:\CBP_2026.07.21\i#3\rreq\rreq#32_43_result\d#120\v#30\15\ping_collision_summary.csv</t>
  </si>
  <si>
    <t>D:\CBP_2026.07.21\i#3\rreq\rreq#32_43_result\d#120\v#30\16\ping_collision_summary.csv</t>
  </si>
  <si>
    <t>D:\CBP_2026.07.21\i#3\rreq\rreq#32_43_result\d#120\v#30\17\ping_collision_summary.csv</t>
  </si>
  <si>
    <t>D:\CBP_2026.07.21\i#3\rreq\rreq#32_43_result\d#120\v#30\18\ping_collision_summary.csv</t>
  </si>
  <si>
    <t>D:\CBP_2026.07.21\i#3\rreq\rreq#32_43_result\d#120\v#30\19\ping_collision_summary.csv</t>
  </si>
  <si>
    <t>D:\CBP_2026.07.21\i#3\rreq\rreq#32_43_result\d#120\v#30\1\ping_collision_summary.csv</t>
  </si>
  <si>
    <t>D:\CBP_2026.07.21\i#3\rreq\rreq#32_43_result\d#120\v#30\20\ping_collision_summary.csv</t>
  </si>
  <si>
    <t>D:\CBP_2026.07.21\i#3\rreq\rreq#32_43_result\d#120\v#30\21\ping_collision_summary.csv</t>
  </si>
  <si>
    <t>D:\CBP_2026.07.21\i#3\rreq\rreq#32_43_result\d#120\v#30\22\ping_collision_summary.csv</t>
  </si>
  <si>
    <t>D:\CBP_2026.07.21\i#3\rreq\rreq#32_43_result\d#120\v#30\23\ping_collision_summary.csv</t>
  </si>
  <si>
    <t>D:\CBP_2026.07.21\i#3\rreq\rreq#32_43_result\d#120\v#30\24\ping_collision_summary.csv</t>
  </si>
  <si>
    <t>D:\CBP_2026.07.21\i#3\rreq\rreq#32_43_result\d#120\v#30\25\ping_collision_summary.csv</t>
  </si>
  <si>
    <t>D:\CBP_2026.07.21\i#3\rreq\rreq#32_43_result\d#120\v#30\26\ping_collision_summary.csv</t>
  </si>
  <si>
    <t>D:\CBP_2026.07.21\i#3\rreq\rreq#32_43_result\d#120\v#30\27\ping_collision_summary.csv</t>
  </si>
  <si>
    <t>D:\CBP_2026.07.21\i#3\rreq\rreq#32_43_result\d#120\v#30\28\ping_collision_summary.csv</t>
  </si>
  <si>
    <t>D:\CBP_2026.07.21\i#3\rreq\rreq#32_43_result\d#120\v#30\29\ping_collision_summary.csv</t>
  </si>
  <si>
    <t>D:\CBP_2026.07.21\i#3\rreq\rreq#32_43_result\d#120\v#30\2\ping_collision_summary.csv</t>
  </si>
  <si>
    <t>D:\CBP_2026.07.21\i#3\rreq\rreq#32_43_result\d#120\v#30\30\ping_collision_summary.csv</t>
  </si>
  <si>
    <t>D:\CBP_2026.07.21\i#3\rreq\rreq#32_43_result\d#120\v#30\3\ping_collision_summary.csv</t>
  </si>
  <si>
    <t>D:\CBP_2026.07.21\i#3\rreq\rreq#32_43_result\d#120\v#30\4\ping_collision_summary.csv</t>
  </si>
  <si>
    <t>D:\CBP_2026.07.21\i#3\rreq\rreq#32_43_result\d#120\v#30\5\ping_collision_summary.csv</t>
  </si>
  <si>
    <t>D:\CBP_2026.07.21\i#3\rreq\rreq#32_43_result\d#120\v#30\6\ping_collision_summary.csv</t>
  </si>
  <si>
    <t>D:\CBP_2026.07.21\i#3\rreq\rreq#32_43_result\d#120\v#30\7\ping_collision_summary.csv</t>
  </si>
  <si>
    <t>D:\CBP_2026.07.21\i#3\rreq\rreq#32_43_result\d#120\v#30\8\ping_collision_summary.csv</t>
  </si>
  <si>
    <t>D:\CBP_2026.07.21\i#3\rreq\rreq#32_43_result\d#120\v#30\9\ping_collision_summary.csv</t>
  </si>
  <si>
    <t>D:\CBP_2026.07.21\i#3\rreq\rreq#32_43_result\d#70\v#10\0\ping_collision_summary.csv</t>
  </si>
  <si>
    <t>D:\CBP_2026.07.21\i#3\rreq\rreq#32_43_result\d#70\v#10\10\ping_collision_summary.csv</t>
  </si>
  <si>
    <t>D:\CBP_2026.07.21\i#3\rreq\rreq#32_43_result\d#70\v#10\11\ping_collision_summary.csv</t>
  </si>
  <si>
    <t>D:\CBP_2026.07.21\i#3\rreq\rreq#32_43_result\d#70\v#10\12\ping_collision_summary.csv</t>
  </si>
  <si>
    <t>D:\CBP_2026.07.21\i#3\rreq\rreq#32_43_result\d#70\v#10\13\ping_collision_summary.csv</t>
  </si>
  <si>
    <t>D:\CBP_2026.07.21\i#3\rreq\rreq#32_43_result\d#70\v#10\14\ping_collision_summary.csv</t>
  </si>
  <si>
    <t>D:\CBP_2026.07.21\i#3\rreq\rreq#32_43_result\d#70\v#10\15\ping_collision_summary.csv</t>
  </si>
  <si>
    <t>D:\CBP_2026.07.21\i#3\rreq\rreq#32_43_result\d#70\v#10\16\ping_collision_summary.csv</t>
  </si>
  <si>
    <t>D:\CBP_2026.07.21\i#3\rreq\rreq#32_43_result\d#70\v#10\17\ping_collision_summary.csv</t>
  </si>
  <si>
    <t>D:\CBP_2026.07.21\i#3\rreq\rreq#32_43_result\d#70\v#10\18\ping_collision_summary.csv</t>
  </si>
  <si>
    <t>D:\CBP_2026.07.21\i#3\rreq\rreq#32_43_result\d#70\v#10\19\ping_collision_summary.csv</t>
  </si>
  <si>
    <t>D:\CBP_2026.07.21\i#3\rreq\rreq#32_43_result\d#70\v#10\1\ping_collision_summary.csv</t>
  </si>
  <si>
    <t>D:\CBP_2026.07.21\i#3\rreq\rreq#32_43_result\d#70\v#10\20\ping_collision_summary.csv</t>
  </si>
  <si>
    <t>D:\CBP_2026.07.21\i#3\rreq\rreq#32_43_result\d#70\v#10\21\ping_collision_summary.csv</t>
  </si>
  <si>
    <t>D:\CBP_2026.07.21\i#3\rreq\rreq#32_43_result\d#70\v#10\22\ping_collision_summary.csv</t>
  </si>
  <si>
    <t>D:\CBP_2026.07.21\i#3\rreq\rreq#32_43_result\d#70\v#10\23\ping_collision_summary.csv</t>
  </si>
  <si>
    <t>D:\CBP_2026.07.21\i#3\rreq\rreq#32_43_result\d#70\v#10\24\ping_collision_summary.csv</t>
  </si>
  <si>
    <t>D:\CBP_2026.07.21\i#3\rreq\rreq#32_43_result\d#70\v#10\25\ping_collision_summary.csv</t>
  </si>
  <si>
    <t>D:\CBP_2026.07.21\i#3\rreq\rreq#32_43_result\d#70\v#10\26\ping_collision_summary.csv</t>
  </si>
  <si>
    <t>D:\CBP_2026.07.21\i#3\rreq\rreq#32_43_result\d#70\v#10\27\ping_collision_summary.csv</t>
  </si>
  <si>
    <t>D:\CBP_2026.07.21\i#3\rreq\rreq#32_43_result\d#70\v#10\28\ping_collision_summary.csv</t>
  </si>
  <si>
    <t>D:\CBP_2026.07.21\i#3\rreq\rreq#32_43_result\d#70\v#10\29\ping_collision_summary.csv</t>
  </si>
  <si>
    <t>D:\CBP_2026.07.21\i#3\rreq\rreq#32_43_result\d#70\v#10\2\ping_collision_summary.csv</t>
  </si>
  <si>
    <t>D:\CBP_2026.07.21\i#3\rreq\rreq#32_43_result\d#70\v#10\30\ping_collision_summary.csv</t>
  </si>
  <si>
    <t>D:\CBP_2026.07.21\i#3\rreq\rreq#32_43_result\d#70\v#10\3\ping_collision_summary.csv</t>
  </si>
  <si>
    <t>D:\CBP_2026.07.21\i#3\rreq\rreq#32_43_result\d#70\v#10\4\ping_collision_summary.csv</t>
  </si>
  <si>
    <t>D:\CBP_2026.07.21\i#3\rreq\rreq#32_43_result\d#70\v#10\5\ping_collision_summary.csv</t>
  </si>
  <si>
    <t>D:\CBP_2026.07.21\i#3\rreq\rreq#32_43_result\d#70\v#10\6\ping_collision_summary.csv</t>
  </si>
  <si>
    <t>D:\CBP_2026.07.21\i#3\rreq\rreq#32_43_result\d#70\v#10\7\ping_collision_summary.csv</t>
  </si>
  <si>
    <t>D:\CBP_2026.07.21\i#3\rreq\rreq#32_43_result\d#70\v#10\8\ping_collision_summary.csv</t>
  </si>
  <si>
    <t>D:\CBP_2026.07.21\i#3\rreq\rreq#32_43_result\d#70\v#10\9\ping_collision_summary.csv</t>
  </si>
  <si>
    <t>D:\CBP_2026.07.21\i#3\rreq\rreq#32_43_result\d#70\v#20\0\ping_collision_summary.csv</t>
  </si>
  <si>
    <t>D:\CBP_2026.07.21\i#3\rreq\rreq#32_43_result\d#70\v#20\10\ping_collision_summary.csv</t>
  </si>
  <si>
    <t>D:\CBP_2026.07.21\i#3\rreq\rreq#32_43_result\d#70\v#20\11\ping_collision_summary.csv</t>
  </si>
  <si>
    <t>D:\CBP_2026.07.21\i#3\rreq\rreq#32_43_result\d#70\v#20\12\ping_collision_summary.csv</t>
  </si>
  <si>
    <t>D:\CBP_2026.07.21\i#3\rreq\rreq#32_43_result\d#70\v#20\13\ping_collision_summary.csv</t>
  </si>
  <si>
    <t>D:\CBP_2026.07.21\i#3\rreq\rreq#32_43_result\d#70\v#20\14\ping_collision_summary.csv</t>
  </si>
  <si>
    <t>D:\CBP_2026.07.21\i#3\rreq\rreq#32_43_result\d#70\v#20\15\ping_collision_summary.csv</t>
  </si>
  <si>
    <t>D:\CBP_2026.07.21\i#3\rreq\rreq#32_43_result\d#70\v#20\16\ping_collision_summary.csv</t>
  </si>
  <si>
    <t>D:\CBP_2026.07.21\i#3\rreq\rreq#32_43_result\d#70\v#20\17\ping_collision_summary.csv</t>
  </si>
  <si>
    <t>D:\CBP_2026.07.21\i#3\rreq\rreq#32_43_result\d#70\v#20\18\ping_collision_summary.csv</t>
  </si>
  <si>
    <t>D:\CBP_2026.07.21\i#3\rreq\rreq#32_43_result\d#70\v#20\19\ping_collision_summary.csv</t>
  </si>
  <si>
    <t>D:\CBP_2026.07.21\i#3\rreq\rreq#32_43_result\d#70\v#20\1\ping_collision_summary.csv</t>
  </si>
  <si>
    <t>D:\CBP_2026.07.21\i#3\rreq\rreq#32_43_result\d#70\v#20\20\ping_collision_summary.csv</t>
  </si>
  <si>
    <t>D:\CBP_2026.07.21\i#3\rreq\rreq#32_43_result\d#70\v#20\21\ping_collision_summary.csv</t>
  </si>
  <si>
    <t>D:\CBP_2026.07.21\i#3\rreq\rreq#32_43_result\d#70\v#20\22\ping_collision_summary.csv</t>
  </si>
  <si>
    <t>D:\CBP_2026.07.21\i#3\rreq\rreq#32_43_result\d#70\v#20\23\ping_collision_summary.csv</t>
  </si>
  <si>
    <t>D:\CBP_2026.07.21\i#3\rreq\rreq#32_43_result\d#70\v#20\24\ping_collision_summary.csv</t>
  </si>
  <si>
    <t>D:\CBP_2026.07.21\i#3\rreq\rreq#32_43_result\d#70\v#20\25\ping_collision_summary.csv</t>
  </si>
  <si>
    <t>D:\CBP_2026.07.21\i#3\rreq\rreq#32_43_result\d#70\v#20\26\ping_collision_summary.csv</t>
  </si>
  <si>
    <t>D:\CBP_2026.07.21\i#3\rreq\rreq#32_43_result\d#70\v#20\27\ping_collision_summary.csv</t>
  </si>
  <si>
    <t>D:\CBP_2026.07.21\i#3\rreq\rreq#32_43_result\d#70\v#20\28\ping_collision_summary.csv</t>
  </si>
  <si>
    <t>D:\CBP_2026.07.21\i#3\rreq\rreq#32_43_result\d#70\v#20\29\ping_collision_summary.csv</t>
  </si>
  <si>
    <t>D:\CBP_2026.07.21\i#3\rreq\rreq#32_43_result\d#70\v#20\2\ping_collision_summary.csv</t>
  </si>
  <si>
    <t>D:\CBP_2026.07.21\i#3\rreq\rreq#32_43_result\d#70\v#20\30\ping_collision_summary.csv</t>
  </si>
  <si>
    <t>D:\CBP_2026.07.21\i#3\rreq\rreq#32_43_result\d#70\v#20\3\ping_collision_summary.csv</t>
  </si>
  <si>
    <t>D:\CBP_2026.07.21\i#3\rreq\rreq#32_43_result\d#70\v#20\4\ping_collision_summary.csv</t>
  </si>
  <si>
    <t>D:\CBP_2026.07.21\i#3\rreq\rreq#32_43_result\d#70\v#20\5\ping_collision_summary.csv</t>
  </si>
  <si>
    <t>D:\CBP_2026.07.21\i#3\rreq\rreq#32_43_result\d#70\v#20\6\ping_collision_summary.csv</t>
  </si>
  <si>
    <t>D:\CBP_2026.07.21\i#3\rreq\rreq#32_43_result\d#70\v#20\7\ping_collision_summary.csv</t>
  </si>
  <si>
    <t>D:\CBP_2026.07.21\i#3\rreq\rreq#32_43_result\d#70\v#20\8\ping_collision_summary.csv</t>
  </si>
  <si>
    <t>D:\CBP_2026.07.21\i#3\rreq\rreq#32_43_result\d#70\v#20\9\ping_collision_summary.csv</t>
  </si>
  <si>
    <t>D:\CBP_2026.07.21\i#3\rreq\rreq#32_43_result\d#70\v#30\0\ping_collision_summary.csv</t>
  </si>
  <si>
    <t>D:\CBP_2026.07.21\i#3\rreq\rreq#32_43_result\d#70\v#30\10\ping_collision_summary.csv</t>
  </si>
  <si>
    <t>D:\CBP_2026.07.21\i#3\rreq\rreq#32_43_result\d#70\v#30\11\ping_collision_summary.csv</t>
  </si>
  <si>
    <t>D:\CBP_2026.07.21\i#3\rreq\rreq#32_43_result\d#70\v#30\12\ping_collision_summary.csv</t>
  </si>
  <si>
    <t>D:\CBP_2026.07.21\i#3\rreq\rreq#32_43_result\d#70\v#30\13\ping_collision_summary.csv</t>
  </si>
  <si>
    <t>D:\CBP_2026.07.21\i#3\rreq\rreq#32_43_result\d#70\v#30\14\ping_collision_summary.csv</t>
  </si>
  <si>
    <t>D:\CBP_2026.07.21\i#3\rreq\rreq#32_43_result\d#70\v#30\15\ping_collision_summary.csv</t>
  </si>
  <si>
    <t>D:\CBP_2026.07.21\i#3\rreq\rreq#32_43_result\d#70\v#30\16\ping_collision_summary.csv</t>
  </si>
  <si>
    <t>D:\CBP_2026.07.21\i#3\rreq\rreq#32_43_result\d#70\v#30\17\ping_collision_summary.csv</t>
  </si>
  <si>
    <t>D:\CBP_2026.07.21\i#3\rreq\rreq#32_43_result\d#70\v#30\18\ping_collision_summary.csv</t>
  </si>
  <si>
    <t>D:\CBP_2026.07.21\i#3\rreq\rreq#32_43_result\d#70\v#30\19\ping_collision_summary.csv</t>
  </si>
  <si>
    <t>D:\CBP_2026.07.21\i#3\rreq\rreq#32_43_result\d#70\v#30\1\ping_collision_summary.csv</t>
  </si>
  <si>
    <t>D:\CBP_2026.07.21\i#3\rreq\rreq#32_43_result\d#70\v#30\20\ping_collision_summary.csv</t>
  </si>
  <si>
    <t>D:\CBP_2026.07.21\i#3\rreq\rreq#32_43_result\d#70\v#30\21\ping_collision_summary.csv</t>
  </si>
  <si>
    <t>D:\CBP_2026.07.21\i#3\rreq\rreq#32_43_result\d#70\v#30\22\ping_collision_summary.csv</t>
  </si>
  <si>
    <t>D:\CBP_2026.07.21\i#3\rreq\rreq#32_43_result\d#70\v#30\23\ping_collision_summary.csv</t>
  </si>
  <si>
    <t>D:\CBP_2026.07.21\i#3\rreq\rreq#32_43_result\d#70\v#30\24\ping_collision_summary.csv</t>
  </si>
  <si>
    <t>D:\CBP_2026.07.21\i#3\rreq\rreq#32_43_result\d#70\v#30\25\ping_collision_summary.csv</t>
  </si>
  <si>
    <t>D:\CBP_2026.07.21\i#3\rreq\rreq#32_43_result\d#70\v#30\26\ping_collision_summary.csv</t>
  </si>
  <si>
    <t>D:\CBP_2026.07.21\i#3\rreq\rreq#32_43_result\d#70\v#30\27\ping_collision_summary.csv</t>
  </si>
  <si>
    <t>D:\CBP_2026.07.21\i#3\rreq\rreq#32_43_result\d#70\v#30\28\ping_collision_summary.csv</t>
  </si>
  <si>
    <t>D:\CBP_2026.07.21\i#3\rreq\rreq#32_43_result\d#70\v#30\29\ping_collision_summary.csv</t>
  </si>
  <si>
    <t>D:\CBP_2026.07.21\i#3\rreq\rreq#32_43_result\d#70\v#30\2\ping_collision_summary.csv</t>
  </si>
  <si>
    <t>D:\CBP_2026.07.21\i#3\rreq\rreq#32_43_result\d#70\v#30\30\ping_collision_summary.csv</t>
  </si>
  <si>
    <t>D:\CBP_2026.07.21\i#3\rreq\rreq#32_43_result\d#70\v#30\3\ping_collision_summary.csv</t>
  </si>
  <si>
    <t>D:\CBP_2026.07.21\i#3\rreq\rreq#32_43_result\d#70\v#30\4\ping_collision_summary.csv</t>
  </si>
  <si>
    <t>D:\CBP_2026.07.21\i#3\rreq\rreq#32_43_result\d#70\v#30\5\ping_collision_summary.csv</t>
  </si>
  <si>
    <t>D:\CBP_2026.07.21\i#3\rreq\rreq#32_43_result\d#70\v#30\6\ping_collision_summary.csv</t>
  </si>
  <si>
    <t>D:\CBP_2026.07.21\i#3\rreq\rreq#32_43_result\d#70\v#30\7\ping_collision_summary.csv</t>
  </si>
  <si>
    <t>D:\CBP_2026.07.21\i#3\rreq\rreq#32_43_result\d#70\v#30\8\ping_collision_summary.csv</t>
  </si>
  <si>
    <t>D:\CBP_2026.07.21\i#3\rreq\rreq#32_43_result\d#70\v#30\9\ping_collision_summary.csv</t>
  </si>
  <si>
    <t>D:\CBP_2026.07.21\i#3\rreq\rreq#43_101_result\d#100\v#10\0\ping_collision_summary.csv</t>
  </si>
  <si>
    <t>D:\CBP_2026.07.21\i#3\rreq\rreq#43_101_result\d#100\v#10\10\ping_collision_summary.csv</t>
  </si>
  <si>
    <t>D:\CBP_2026.07.21\i#3\rreq\rreq#43_101_result\d#100\v#10\11\ping_collision_summary.csv</t>
  </si>
  <si>
    <t>D:\CBP_2026.07.21\i#3\rreq\rreq#43_101_result\d#100\v#10\12\ping_collision_summary.csv</t>
  </si>
  <si>
    <t>D:\CBP_2026.07.21\i#3\rreq\rreq#43_101_result\d#100\v#10\13\ping_collision_summary.csv</t>
  </si>
  <si>
    <t>D:\CBP_2026.07.21\i#3\rreq\rreq#43_101_result\d#100\v#10\14\ping_collision_summary.csv</t>
  </si>
  <si>
    <t>D:\CBP_2026.07.21\i#3\rreq\rreq#43_101_result\d#100\v#10\15\ping_collision_summary.csv</t>
  </si>
  <si>
    <t>D:\CBP_2026.07.21\i#3\rreq\rreq#43_101_result\d#100\v#10\16\ping_collision_summary.csv</t>
  </si>
  <si>
    <t>D:\CBP_2026.07.21\i#3\rreq\rreq#43_101_result\d#100\v#10\17\ping_collision_summary.csv</t>
  </si>
  <si>
    <t>D:\CBP_2026.07.21\i#3\rreq\rreq#43_101_result\d#100\v#10\18\ping_collision_summary.csv</t>
  </si>
  <si>
    <t>D:\CBP_2026.07.21\i#3\rreq\rreq#43_101_result\d#100\v#10\19\ping_collision_summary.csv</t>
  </si>
  <si>
    <t>D:\CBP_2026.07.21\i#3\rreq\rreq#43_101_result\d#100\v#10\1\ping_collision_summary.csv</t>
  </si>
  <si>
    <t>D:\CBP_2026.07.21\i#3\rreq\rreq#43_101_result\d#100\v#10\20\ping_collision_summary.csv</t>
  </si>
  <si>
    <t>D:\CBP_2026.07.21\i#3\rreq\rreq#43_101_result\d#100\v#10\21\ping_collision_summary.csv</t>
  </si>
  <si>
    <t>D:\CBP_2026.07.21\i#3\rreq\rreq#43_101_result\d#100\v#10\22\ping_collision_summary.csv</t>
  </si>
  <si>
    <t>D:\CBP_2026.07.21\i#3\rreq\rreq#43_101_result\d#100\v#10\23\ping_collision_summary.csv</t>
  </si>
  <si>
    <t>D:\CBP_2026.07.21\i#3\rreq\rreq#43_101_result\d#100\v#10\24\ping_collision_summary.csv</t>
  </si>
  <si>
    <t>D:\CBP_2026.07.21\i#3\rreq\rreq#43_101_result\d#100\v#10\25\ping_collision_summary.csv</t>
  </si>
  <si>
    <t>D:\CBP_2026.07.21\i#3\rreq\rreq#43_101_result\d#100\v#10\26\ping_collision_summary.csv</t>
  </si>
  <si>
    <t>D:\CBP_2026.07.21\i#3\rreq\rreq#43_101_result\d#100\v#10\27\ping_collision_summary.csv</t>
  </si>
  <si>
    <t>D:\CBP_2026.07.21\i#3\rreq\rreq#43_101_result\d#100\v#10\28\ping_collision_summary.csv</t>
  </si>
  <si>
    <t>D:\CBP_2026.07.21\i#3\rreq\rreq#43_101_result\d#100\v#10\29\ping_collision_summary.csv</t>
  </si>
  <si>
    <t>D:\CBP_2026.07.21\i#3\rreq\rreq#43_101_result\d#100\v#10\2\ping_collision_summary.csv</t>
  </si>
  <si>
    <t>D:\CBP_2026.07.21\i#3\rreq\rreq#43_101_result\d#100\v#10\30\ping_collision_summary.csv</t>
  </si>
  <si>
    <t>D:\CBP_2026.07.21\i#3\rreq\rreq#43_101_result\d#100\v#10\3\ping_collision_summary.csv</t>
  </si>
  <si>
    <t>D:\CBP_2026.07.21\i#3\rreq\rreq#43_101_result\d#100\v#10\4\ping_collision_summary.csv</t>
  </si>
  <si>
    <t>D:\CBP_2026.07.21\i#3\rreq\rreq#43_101_result\d#100\v#10\5\ping_collision_summary.csv</t>
  </si>
  <si>
    <t>D:\CBP_2026.07.21\i#3\rreq\rreq#43_101_result\d#100\v#10\6\ping_collision_summary.csv</t>
  </si>
  <si>
    <t>D:\CBP_2026.07.21\i#3\rreq\rreq#43_101_result\d#100\v#10\7\ping_collision_summary.csv</t>
  </si>
  <si>
    <t>D:\CBP_2026.07.21\i#3\rreq\rreq#43_101_result\d#100\v#10\8\ping_collision_summary.csv</t>
  </si>
  <si>
    <t>D:\CBP_2026.07.21\i#3\rreq\rreq#43_101_result\d#100\v#10\9\ping_collision_summary.csv</t>
  </si>
  <si>
    <t>D:\CBP_2026.07.21\i#3\rreq\rreq#43_101_result\d#100\v#20\0\ping_collision_summary.csv</t>
  </si>
  <si>
    <t>D:\CBP_2026.07.21\i#3\rreq\rreq#43_101_result\d#100\v#20\10\ping_collision_summary.csv</t>
  </si>
  <si>
    <t>D:\CBP_2026.07.21\i#3\rreq\rreq#43_101_result\d#100\v#20\11\ping_collision_summary.csv</t>
  </si>
  <si>
    <t>D:\CBP_2026.07.21\i#3\rreq\rreq#43_101_result\d#100\v#20\12\ping_collision_summary.csv</t>
  </si>
  <si>
    <t>D:\CBP_2026.07.21\i#3\rreq\rreq#43_101_result\d#100\v#20\13\ping_collision_summary.csv</t>
  </si>
  <si>
    <t>D:\CBP_2026.07.21\i#3\rreq\rreq#43_101_result\d#100\v#20\14\ping_collision_summary.csv</t>
  </si>
  <si>
    <t>D:\CBP_2026.07.21\i#3\rreq\rreq#43_101_result\d#100\v#20\15\ping_collision_summary.csv</t>
  </si>
  <si>
    <t>D:\CBP_2026.07.21\i#3\rreq\rreq#43_101_result\d#100\v#20\16\ping_collision_summary.csv</t>
  </si>
  <si>
    <t>D:\CBP_2026.07.21\i#3\rreq\rreq#43_101_result\d#100\v#20\17\ping_collision_summary.csv</t>
  </si>
  <si>
    <t>D:\CBP_2026.07.21\i#3\rreq\rreq#43_101_result\d#100\v#20\18\ping_collision_summary.csv</t>
  </si>
  <si>
    <t>D:\CBP_2026.07.21\i#3\rreq\rreq#43_101_result\d#100\v#20\19\ping_collision_summary.csv</t>
  </si>
  <si>
    <t>D:\CBP_2026.07.21\i#3\rreq\rreq#43_101_result\d#100\v#20\1\ping_collision_summary.csv</t>
  </si>
  <si>
    <t>D:\CBP_2026.07.21\i#3\rreq\rreq#43_101_result\d#100\v#20\20\ping_collision_summary.csv</t>
  </si>
  <si>
    <t>D:\CBP_2026.07.21\i#3\rreq\rreq#43_101_result\d#100\v#20\21\ping_collision_summary.csv</t>
  </si>
  <si>
    <t>D:\CBP_2026.07.21\i#3\rreq\rreq#43_101_result\d#100\v#20\22\ping_collision_summary.csv</t>
  </si>
  <si>
    <t>D:\CBP_2026.07.21\i#3\rreq\rreq#43_101_result\d#100\v#20\23\ping_collision_summary.csv</t>
  </si>
  <si>
    <t>D:\CBP_2026.07.21\i#3\rreq\rreq#43_101_result\d#100\v#20\24\ping_collision_summary.csv</t>
  </si>
  <si>
    <t>D:\CBP_2026.07.21\i#3\rreq\rreq#43_101_result\d#100\v#20\25\ping_collision_summary.csv</t>
  </si>
  <si>
    <t>D:\CBP_2026.07.21\i#3\rreq\rreq#43_101_result\d#100\v#20\26\ping_collision_summary.csv</t>
  </si>
  <si>
    <t>D:\CBP_2026.07.21\i#3\rreq\rreq#43_101_result\d#100\v#20\27\ping_collision_summary.csv</t>
  </si>
  <si>
    <t>D:\CBP_2026.07.21\i#3\rreq\rreq#43_101_result\d#100\v#20\28\ping_collision_summary.csv</t>
  </si>
  <si>
    <t>D:\CBP_2026.07.21\i#3\rreq\rreq#43_101_result\d#100\v#20\29\ping_collision_summary.csv</t>
  </si>
  <si>
    <t>D:\CBP_2026.07.21\i#3\rreq\rreq#43_101_result\d#100\v#20\2\ping_collision_summary.csv</t>
  </si>
  <si>
    <t>D:\CBP_2026.07.21\i#3\rreq\rreq#43_101_result\d#100\v#20\30\ping_collision_summary.csv</t>
  </si>
  <si>
    <t>D:\CBP_2026.07.21\i#3\rreq\rreq#43_101_result\d#100\v#20\3\ping_collision_summary.csv</t>
  </si>
  <si>
    <t>D:\CBP_2026.07.21\i#3\rreq\rreq#43_101_result\d#100\v#20\4\ping_collision_summary.csv</t>
  </si>
  <si>
    <t>D:\CBP_2026.07.21\i#3\rreq\rreq#43_101_result\d#100\v#20\5\ping_collision_summary.csv</t>
  </si>
  <si>
    <t>D:\CBP_2026.07.21\i#3\rreq\rreq#43_101_result\d#100\v#20\6\ping_collision_summary.csv</t>
  </si>
  <si>
    <t>D:\CBP_2026.07.21\i#3\rreq\rreq#43_101_result\d#100\v#20\7\ping_collision_summary.csv</t>
  </si>
  <si>
    <t>D:\CBP_2026.07.21\i#3\rreq\rreq#43_101_result\d#100\v#20\8\ping_collision_summary.csv</t>
  </si>
  <si>
    <t>D:\CBP_2026.07.21\i#3\rreq\rreq#43_101_result\d#100\v#20\9\ping_collision_summary.csv</t>
  </si>
  <si>
    <t>D:\CBP_2026.07.21\i#3\rreq\rreq#43_101_result\d#100\v#30\0\ping_collision_summary.csv</t>
  </si>
  <si>
    <t>D:\CBP_2026.07.21\i#3\rreq\rreq#43_101_result\d#100\v#30\10\ping_collision_summary.csv</t>
  </si>
  <si>
    <t>D:\CBP_2026.07.21\i#3\rreq\rreq#43_101_result\d#100\v#30\11\ping_collision_summary.csv</t>
  </si>
  <si>
    <t>D:\CBP_2026.07.21\i#3\rreq\rreq#43_101_result\d#100\v#30\12\ping_collision_summary.csv</t>
  </si>
  <si>
    <t>D:\CBP_2026.07.21\i#3\rreq\rreq#43_101_result\d#100\v#30\13\ping_collision_summary.csv</t>
  </si>
  <si>
    <t>D:\CBP_2026.07.21\i#3\rreq\rreq#43_101_result\d#100\v#30\14\ping_collision_summary.csv</t>
  </si>
  <si>
    <t>D:\CBP_2026.07.21\i#3\rreq\rreq#43_101_result\d#100\v#30\15\ping_collision_summary.csv</t>
  </si>
  <si>
    <t>D:\CBP_2026.07.21\i#3\rreq\rreq#43_101_result\d#100\v#30\16\ping_collision_summary.csv</t>
  </si>
  <si>
    <t>D:\CBP_2026.07.21\i#3\rreq\rreq#43_101_result\d#100\v#30\17\ping_collision_summary.csv</t>
  </si>
  <si>
    <t>D:\CBP_2026.07.21\i#3\rreq\rreq#43_101_result\d#100\v#30\18\ping_collision_summary.csv</t>
  </si>
  <si>
    <t>D:\CBP_2026.07.21\i#3\rreq\rreq#43_101_result\d#100\v#30\19\ping_collision_summary.csv</t>
  </si>
  <si>
    <t>D:\CBP_2026.07.21\i#3\rreq\rreq#43_101_result\d#100\v#30\1\ping_collision_summary.csv</t>
  </si>
  <si>
    <t>D:\CBP_2026.07.21\i#3\rreq\rreq#43_101_result\d#100\v#30\20\ping_collision_summary.csv</t>
  </si>
  <si>
    <t>D:\CBP_2026.07.21\i#3\rreq\rreq#43_101_result\d#100\v#30\21\ping_collision_summary.csv</t>
  </si>
  <si>
    <t>D:\CBP_2026.07.21\i#3\rreq\rreq#43_101_result\d#100\v#30\22\ping_collision_summary.csv</t>
  </si>
  <si>
    <t>D:\CBP_2026.07.21\i#3\rreq\rreq#43_101_result\d#100\v#30\23\ping_collision_summary.csv</t>
  </si>
  <si>
    <t>D:\CBP_2026.07.21\i#3\rreq\rreq#43_101_result\d#100\v#30\24\ping_collision_summary.csv</t>
  </si>
  <si>
    <t>D:\CBP_2026.07.21\i#3\rreq\rreq#43_101_result\d#100\v#30\25\ping_collision_summary.csv</t>
  </si>
  <si>
    <t>D:\CBP_2026.07.21\i#3\rreq\rreq#43_101_result\d#100\v#30\26\ping_collision_summary.csv</t>
  </si>
  <si>
    <t>D:\CBP_2026.07.21\i#3\rreq\rreq#43_101_result\d#100\v#30\27\ping_collision_summary.csv</t>
  </si>
  <si>
    <t>D:\CBP_2026.07.21\i#3\rreq\rreq#43_101_result\d#100\v#30\28\ping_collision_summary.csv</t>
  </si>
  <si>
    <t>D:\CBP_2026.07.21\i#3\rreq\rreq#43_101_result\d#100\v#30\29\ping_collision_summary.csv</t>
  </si>
  <si>
    <t>D:\CBP_2026.07.21\i#3\rreq\rreq#43_101_result\d#100\v#30\2\ping_collision_summary.csv</t>
  </si>
  <si>
    <t>D:\CBP_2026.07.21\i#3\rreq\rreq#43_101_result\d#100\v#30\30\ping_collision_summary.csv</t>
  </si>
  <si>
    <t>D:\CBP_2026.07.21\i#3\rreq\rreq#43_101_result\d#100\v#30\3\ping_collision_summary.csv</t>
  </si>
  <si>
    <t>D:\CBP_2026.07.21\i#3\rreq\rreq#43_101_result\d#100\v#30\4\ping_collision_summary.csv</t>
  </si>
  <si>
    <t>D:\CBP_2026.07.21\i#3\rreq\rreq#43_101_result\d#100\v#30\5\ping_collision_summary.csv</t>
  </si>
  <si>
    <t>D:\CBP_2026.07.21\i#3\rreq\rreq#43_101_result\d#100\v#30\6\ping_collision_summary.csv</t>
  </si>
  <si>
    <t>D:\CBP_2026.07.21\i#3\rreq\rreq#43_101_result\d#100\v#30\7\ping_collision_summary.csv</t>
  </si>
  <si>
    <t>D:\CBP_2026.07.21\i#3\rreq\rreq#43_101_result\d#100\v#30\8\ping_collision_summary.csv</t>
  </si>
  <si>
    <t>D:\CBP_2026.07.21\i#3\rreq\rreq#43_101_result\d#100\v#30\9\ping_collision_summary.csv</t>
  </si>
  <si>
    <t>D:\CBP_2026.07.21\i#3\rreq\rreq#43_101_result\d#120\v#10\0\ping_collision_summary.csv</t>
  </si>
  <si>
    <t>D:\CBP_2026.07.21\i#3\rreq\rreq#43_101_result\d#120\v#10\10\ping_collision_summary.csv</t>
  </si>
  <si>
    <t>D:\CBP_2026.07.21\i#3\rreq\rreq#43_101_result\d#120\v#10\11\ping_collision_summary.csv</t>
  </si>
  <si>
    <t>D:\CBP_2026.07.21\i#3\rreq\rreq#43_101_result\d#120\v#10\12\ping_collision_summary.csv</t>
  </si>
  <si>
    <t>D:\CBP_2026.07.21\i#3\rreq\rreq#43_101_result\d#120\v#10\13\ping_collision_summary.csv</t>
  </si>
  <si>
    <t>D:\CBP_2026.07.21\i#3\rreq\rreq#43_101_result\d#120\v#10\14\ping_collision_summary.csv</t>
  </si>
  <si>
    <t>D:\CBP_2026.07.21\i#3\rreq\rreq#43_101_result\d#120\v#10\15\ping_collision_summary.csv</t>
  </si>
  <si>
    <t>D:\CBP_2026.07.21\i#3\rreq\rreq#43_101_result\d#120\v#10\16\ping_collision_summary.csv</t>
  </si>
  <si>
    <t>D:\CBP_2026.07.21\i#3\rreq\rreq#43_101_result\d#120\v#10\17\ping_collision_summary.csv</t>
  </si>
  <si>
    <t>D:\CBP_2026.07.21\i#3\rreq\rreq#43_101_result\d#120\v#10\18\ping_collision_summary.csv</t>
  </si>
  <si>
    <t>D:\CBP_2026.07.21\i#3\rreq\rreq#43_101_result\d#120\v#10\19\ping_collision_summary.csv</t>
  </si>
  <si>
    <t>D:\CBP_2026.07.21\i#3\rreq\rreq#43_101_result\d#120\v#10\1\ping_collision_summary.csv</t>
  </si>
  <si>
    <t>D:\CBP_2026.07.21\i#3\rreq\rreq#43_101_result\d#120\v#10\20\ping_collision_summary.csv</t>
  </si>
  <si>
    <t>D:\CBP_2026.07.21\i#3\rreq\rreq#43_101_result\d#120\v#10\21\ping_collision_summary.csv</t>
  </si>
  <si>
    <t>D:\CBP_2026.07.21\i#3\rreq\rreq#43_101_result\d#120\v#10\22\ping_collision_summary.csv</t>
  </si>
  <si>
    <t>D:\CBP_2026.07.21\i#3\rreq\rreq#43_101_result\d#120\v#10\23\ping_collision_summary.csv</t>
  </si>
  <si>
    <t>D:\CBP_2026.07.21\i#3\rreq\rreq#43_101_result\d#120\v#10\24\ping_collision_summary.csv</t>
  </si>
  <si>
    <t>D:\CBP_2026.07.21\i#3\rreq\rreq#43_101_result\d#120\v#10\25\ping_collision_summary.csv</t>
  </si>
  <si>
    <t>D:\CBP_2026.07.21\i#3\rreq\rreq#43_101_result\d#120\v#10\26\ping_collision_summary.csv</t>
  </si>
  <si>
    <t>D:\CBP_2026.07.21\i#3\rreq\rreq#43_101_result\d#120\v#10\27\ping_collision_summary.csv</t>
  </si>
  <si>
    <t>D:\CBP_2026.07.21\i#3\rreq\rreq#43_101_result\d#120\v#10\28\ping_collision_summary.csv</t>
  </si>
  <si>
    <t>D:\CBP_2026.07.21\i#3\rreq\rreq#43_101_result\d#120\v#10\29\ping_collision_summary.csv</t>
  </si>
  <si>
    <t>D:\CBP_2026.07.21\i#3\rreq\rreq#43_101_result\d#120\v#10\2\ping_collision_summary.csv</t>
  </si>
  <si>
    <t>D:\CBP_2026.07.21\i#3\rreq\rreq#43_101_result\d#120\v#10\30\ping_collision_summary.csv</t>
  </si>
  <si>
    <t>D:\CBP_2026.07.21\i#3\rreq\rreq#43_101_result\d#120\v#10\3\ping_collision_summary.csv</t>
  </si>
  <si>
    <t>D:\CBP_2026.07.21\i#3\rreq\rreq#43_101_result\d#120\v#10\4\ping_collision_summary.csv</t>
  </si>
  <si>
    <t>D:\CBP_2026.07.21\i#3\rreq\rreq#43_101_result\d#120\v#10\5\ping_collision_summary.csv</t>
  </si>
  <si>
    <t>D:\CBP_2026.07.21\i#3\rreq\rreq#43_101_result\d#120\v#10\6\ping_collision_summary.csv</t>
  </si>
  <si>
    <t>D:\CBP_2026.07.21\i#3\rreq\rreq#43_101_result\d#120\v#10\7\ping_collision_summary.csv</t>
  </si>
  <si>
    <t>D:\CBP_2026.07.21\i#3\rreq\rreq#43_101_result\d#120\v#10\8\ping_collision_summary.csv</t>
  </si>
  <si>
    <t>D:\CBP_2026.07.21\i#3\rreq\rreq#43_101_result\d#120\v#10\9\ping_collision_summary.csv</t>
  </si>
  <si>
    <t>D:\CBP_2026.07.21\i#3\rreq\rreq#43_101_result\d#120\v#20\0\ping_collision_summary.csv</t>
  </si>
  <si>
    <t>D:\CBP_2026.07.21\i#3\rreq\rreq#43_101_result\d#120\v#20\10\ping_collision_summary.csv</t>
  </si>
  <si>
    <t>D:\CBP_2026.07.21\i#3\rreq\rreq#43_101_result\d#120\v#20\11\ping_collision_summary.csv</t>
  </si>
  <si>
    <t>D:\CBP_2026.07.21\i#3\rreq\rreq#43_101_result\d#120\v#20\12\ping_collision_summary.csv</t>
  </si>
  <si>
    <t>D:\CBP_2026.07.21\i#3\rreq\rreq#43_101_result\d#120\v#20\13\ping_collision_summary.csv</t>
  </si>
  <si>
    <t>D:\CBP_2026.07.21\i#3\rreq\rreq#43_101_result\d#120\v#20\14\ping_collision_summary.csv</t>
  </si>
  <si>
    <t>D:\CBP_2026.07.21\i#3\rreq\rreq#43_101_result\d#120\v#20\15\ping_collision_summary.csv</t>
  </si>
  <si>
    <t>D:\CBP_2026.07.21\i#3\rreq\rreq#43_101_result\d#120\v#20\16\ping_collision_summary.csv</t>
  </si>
  <si>
    <t>D:\CBP_2026.07.21\i#3\rreq\rreq#43_101_result\d#120\v#20\17\ping_collision_summary.csv</t>
  </si>
  <si>
    <t>D:\CBP_2026.07.21\i#3\rreq\rreq#43_101_result\d#120\v#20\18\ping_collision_summary.csv</t>
  </si>
  <si>
    <t>D:\CBP_2026.07.21\i#3\rreq\rreq#43_101_result\d#120\v#20\19\ping_collision_summary.csv</t>
  </si>
  <si>
    <t>D:\CBP_2026.07.21\i#3\rreq\rreq#43_101_result\d#120\v#20\1\ping_collision_summary.csv</t>
  </si>
  <si>
    <t>D:\CBP_2026.07.21\i#3\rreq\rreq#43_101_result\d#120\v#20\20\ping_collision_summary.csv</t>
  </si>
  <si>
    <t>D:\CBP_2026.07.21\i#3\rreq\rreq#43_101_result\d#120\v#20\21\ping_collision_summary.csv</t>
  </si>
  <si>
    <t>D:\CBP_2026.07.21\i#3\rreq\rreq#43_101_result\d#120\v#20\22\ping_collision_summary.csv</t>
  </si>
  <si>
    <t>D:\CBP_2026.07.21\i#3\rreq\rreq#43_101_result\d#120\v#20\23\ping_collision_summary.csv</t>
  </si>
  <si>
    <t>D:\CBP_2026.07.21\i#3\rreq\rreq#43_101_result\d#120\v#20\24\ping_collision_summary.csv</t>
  </si>
  <si>
    <t>D:\CBP_2026.07.21\i#3\rreq\rreq#43_101_result\d#120\v#20\25\ping_collision_summary.csv</t>
  </si>
  <si>
    <t>D:\CBP_2026.07.21\i#3\rreq\rreq#43_101_result\d#120\v#20\26\ping_collision_summary.csv</t>
  </si>
  <si>
    <t>D:\CBP_2026.07.21\i#3\rreq\rreq#43_101_result\d#120\v#20\27\ping_collision_summary.csv</t>
  </si>
  <si>
    <t>D:\CBP_2026.07.21\i#3\rreq\rreq#43_101_result\d#120\v#20\28\ping_collision_summary.csv</t>
  </si>
  <si>
    <t>D:\CBP_2026.07.21\i#3\rreq\rreq#43_101_result\d#120\v#20\29\ping_collision_summary.csv</t>
  </si>
  <si>
    <t>D:\CBP_2026.07.21\i#3\rreq\rreq#43_101_result\d#120\v#20\2\ping_collision_summary.csv</t>
  </si>
  <si>
    <t>D:\CBP_2026.07.21\i#3\rreq\rreq#43_101_result\d#120\v#20\30\ping_collision_summary.csv</t>
  </si>
  <si>
    <t>D:\CBP_2026.07.21\i#3\rreq\rreq#43_101_result\d#120\v#20\3\ping_collision_summary.csv</t>
  </si>
  <si>
    <t>D:\CBP_2026.07.21\i#3\rreq\rreq#43_101_result\d#120\v#20\4\ping_collision_summary.csv</t>
  </si>
  <si>
    <t>D:\CBP_2026.07.21\i#3\rreq\rreq#43_101_result\d#120\v#20\5\ping_collision_summary.csv</t>
  </si>
  <si>
    <t>D:\CBP_2026.07.21\i#3\rreq\rreq#43_101_result\d#120\v#20\6\ping_collision_summary.csv</t>
  </si>
  <si>
    <t>D:\CBP_2026.07.21\i#3\rreq\rreq#43_101_result\d#120\v#20\7\ping_collision_summary.csv</t>
  </si>
  <si>
    <t>D:\CBP_2026.07.21\i#3\rreq\rreq#43_101_result\d#120\v#20\8\ping_collision_summary.csv</t>
  </si>
  <si>
    <t>D:\CBP_2026.07.21\i#3\rreq\rreq#43_101_result\d#120\v#20\9\ping_collision_summary.csv</t>
  </si>
  <si>
    <t>D:\CBP_2026.07.21\i#3\rreq\rreq#43_101_result\d#120\v#30\0\ping_collision_summary.csv</t>
  </si>
  <si>
    <t>D:\CBP_2026.07.21\i#3\rreq\rreq#43_101_result\d#120\v#30\10\ping_collision_summary.csv</t>
  </si>
  <si>
    <t>D:\CBP_2026.07.21\i#3\rreq\rreq#43_101_result\d#120\v#30\11\ping_collision_summary.csv</t>
  </si>
  <si>
    <t>D:\CBP_2026.07.21\i#3\rreq\rreq#43_101_result\d#120\v#30\12\ping_collision_summary.csv</t>
  </si>
  <si>
    <t>D:\CBP_2026.07.21\i#3\rreq\rreq#43_101_result\d#120\v#30\13\ping_collision_summary.csv</t>
  </si>
  <si>
    <t>D:\CBP_2026.07.21\i#3\rreq\rreq#43_101_result\d#120\v#30\14\ping_collision_summary.csv</t>
  </si>
  <si>
    <t>D:\CBP_2026.07.21\i#3\rreq\rreq#43_101_result\d#120\v#30\15\ping_collision_summary.csv</t>
  </si>
  <si>
    <t>D:\CBP_2026.07.21\i#3\rreq\rreq#43_101_result\d#120\v#30\16\ping_collision_summary.csv</t>
  </si>
  <si>
    <t>D:\CBP_2026.07.21\i#3\rreq\rreq#43_101_result\d#120\v#30\17\ping_collision_summary.csv</t>
  </si>
  <si>
    <t>D:\CBP_2026.07.21\i#3\rreq\rreq#43_101_result\d#120\v#30\18\ping_collision_summary.csv</t>
  </si>
  <si>
    <t>D:\CBP_2026.07.21\i#3\rreq\rreq#43_101_result\d#120\v#30\19\ping_collision_summary.csv</t>
  </si>
  <si>
    <t>D:\CBP_2026.07.21\i#3\rreq\rreq#43_101_result\d#120\v#30\1\ping_collision_summary.csv</t>
  </si>
  <si>
    <t>D:\CBP_2026.07.21\i#3\rreq\rreq#43_101_result\d#120\v#30\20\ping_collision_summary.csv</t>
  </si>
  <si>
    <t>D:\CBP_2026.07.21\i#3\rreq\rreq#43_101_result\d#120\v#30\21\ping_collision_summary.csv</t>
  </si>
  <si>
    <t>D:\CBP_2026.07.21\i#3\rreq\rreq#43_101_result\d#120\v#30\22\ping_collision_summary.csv</t>
  </si>
  <si>
    <t>D:\CBP_2026.07.21\i#3\rreq\rreq#43_101_result\d#120\v#30\23\ping_collision_summary.csv</t>
  </si>
  <si>
    <t>D:\CBP_2026.07.21\i#3\rreq\rreq#43_101_result\d#120\v#30\24\ping_collision_summary.csv</t>
  </si>
  <si>
    <t>D:\CBP_2026.07.21\i#3\rreq\rreq#43_101_result\d#120\v#30\25\ping_collision_summary.csv</t>
  </si>
  <si>
    <t>D:\CBP_2026.07.21\i#3\rreq\rreq#43_101_result\d#120\v#30\26\ping_collision_summary.csv</t>
  </si>
  <si>
    <t>D:\CBP_2026.07.21\i#3\rreq\rreq#43_101_result\d#120\v#30\27\ping_collision_summary.csv</t>
  </si>
  <si>
    <t>D:\CBP_2026.07.21\i#3\rreq\rreq#43_101_result\d#120\v#30\28\ping_collision_summary.csv</t>
  </si>
  <si>
    <t>D:\CBP_2026.07.21\i#3\rreq\rreq#43_101_result\d#120\v#30\29\ping_collision_summary.csv</t>
  </si>
  <si>
    <t>D:\CBP_2026.07.21\i#3\rreq\rreq#43_101_result\d#120\v#30\2\ping_collision_summary.csv</t>
  </si>
  <si>
    <t>D:\CBP_2026.07.21\i#3\rreq\rreq#43_101_result\d#120\v#30\30\ping_collision_summary.csv</t>
  </si>
  <si>
    <t>D:\CBP_2026.07.21\i#3\rreq\rreq#43_101_result\d#120\v#30\3\ping_collision_summary.csv</t>
  </si>
  <si>
    <t>D:\CBP_2026.07.21\i#3\rreq\rreq#43_101_result\d#120\v#30\4\ping_collision_summary.csv</t>
  </si>
  <si>
    <t>D:\CBP_2026.07.21\i#3\rreq\rreq#43_101_result\d#120\v#30\5\ping_collision_summary.csv</t>
  </si>
  <si>
    <t>D:\CBP_2026.07.21\i#3\rreq\rreq#43_101_result\d#120\v#30\6\ping_collision_summary.csv</t>
  </si>
  <si>
    <t>D:\CBP_2026.07.21\i#3\rreq\rreq#43_101_result\d#120\v#30\7\ping_collision_summary.csv</t>
  </si>
  <si>
    <t>D:\CBP_2026.07.21\i#3\rreq\rreq#43_101_result\d#120\v#30\8\ping_collision_summary.csv</t>
  </si>
  <si>
    <t>D:\CBP_2026.07.21\i#3\rreq\rreq#43_101_result\d#120\v#30\9\ping_collision_summary.csv</t>
  </si>
  <si>
    <t>D:\CBP_2026.07.21\i#3\rreq\rreq#43_101_result\d#70\v#10\0\ping_collision_summary.csv</t>
  </si>
  <si>
    <t>D:\CBP_2026.07.21\i#3\rreq\rreq#43_101_result\d#70\v#10\10\ping_collision_summary.csv</t>
  </si>
  <si>
    <t>D:\CBP_2026.07.21\i#3\rreq\rreq#43_101_result\d#70\v#10\11\ping_collision_summary.csv</t>
  </si>
  <si>
    <t>D:\CBP_2026.07.21\i#3\rreq\rreq#43_101_result\d#70\v#10\12\ping_collision_summary.csv</t>
  </si>
  <si>
    <t>D:\CBP_2026.07.21\i#3\rreq\rreq#43_101_result\d#70\v#10\13\ping_collision_summary.csv</t>
  </si>
  <si>
    <t>D:\CBP_2026.07.21\i#3\rreq\rreq#43_101_result\d#70\v#10\14\ping_collision_summary.csv</t>
  </si>
  <si>
    <t>D:\CBP_2026.07.21\i#3\rreq\rreq#43_101_result\d#70\v#10\15\ping_collision_summary.csv</t>
  </si>
  <si>
    <t>D:\CBP_2026.07.21\i#3\rreq\rreq#43_101_result\d#70\v#10\16\ping_collision_summary.csv</t>
  </si>
  <si>
    <t>D:\CBP_2026.07.21\i#3\rreq\rreq#43_101_result\d#70\v#10\17\ping_collision_summary.csv</t>
  </si>
  <si>
    <t>D:\CBP_2026.07.21\i#3\rreq\rreq#43_101_result\d#70\v#10\18\ping_collision_summary.csv</t>
  </si>
  <si>
    <t>D:\CBP_2026.07.21\i#3\rreq\rreq#43_101_result\d#70\v#10\19\ping_collision_summary.csv</t>
  </si>
  <si>
    <t>D:\CBP_2026.07.21\i#3\rreq\rreq#43_101_result\d#70\v#10\1\ping_collision_summary.csv</t>
  </si>
  <si>
    <t>D:\CBP_2026.07.21\i#3\rreq\rreq#43_101_result\d#70\v#10\20\ping_collision_summary.csv</t>
  </si>
  <si>
    <t>D:\CBP_2026.07.21\i#3\rreq\rreq#43_101_result\d#70\v#10\21\ping_collision_summary.csv</t>
  </si>
  <si>
    <t>D:\CBP_2026.07.21\i#3\rreq\rreq#43_101_result\d#70\v#10\22\ping_collision_summary.csv</t>
  </si>
  <si>
    <t>D:\CBP_2026.07.21\i#3\rreq\rreq#43_101_result\d#70\v#10\23\ping_collision_summary.csv</t>
  </si>
  <si>
    <t>D:\CBP_2026.07.21\i#3\rreq\rreq#43_101_result\d#70\v#10\24\ping_collision_summary.csv</t>
  </si>
  <si>
    <t>D:\CBP_2026.07.21\i#3\rreq\rreq#43_101_result\d#70\v#10\25\ping_collision_summary.csv</t>
  </si>
  <si>
    <t>D:\CBP_2026.07.21\i#3\rreq\rreq#43_101_result\d#70\v#10\26\ping_collision_summary.csv</t>
  </si>
  <si>
    <t>D:\CBP_2026.07.21\i#3\rreq\rreq#43_101_result\d#70\v#10\27\ping_collision_summary.csv</t>
  </si>
  <si>
    <t>D:\CBP_2026.07.21\i#3\rreq\rreq#43_101_result\d#70\v#10\28\ping_collision_summary.csv</t>
  </si>
  <si>
    <t>D:\CBP_2026.07.21\i#3\rreq\rreq#43_101_result\d#70\v#10\29\ping_collision_summary.csv</t>
  </si>
  <si>
    <t>D:\CBP_2026.07.21\i#3\rreq\rreq#43_101_result\d#70\v#10\2\ping_collision_summary.csv</t>
  </si>
  <si>
    <t>D:\CBP_2026.07.21\i#3\rreq\rreq#43_101_result\d#70\v#10\30\ping_collision_summary.csv</t>
  </si>
  <si>
    <t>D:\CBP_2026.07.21\i#3\rreq\rreq#43_101_result\d#70\v#10\3\ping_collision_summary.csv</t>
  </si>
  <si>
    <t>D:\CBP_2026.07.21\i#3\rreq\rreq#43_101_result\d#70\v#10\4\ping_collision_summary.csv</t>
  </si>
  <si>
    <t>D:\CBP_2026.07.21\i#3\rreq\rreq#43_101_result\d#70\v#10\5\ping_collision_summary.csv</t>
  </si>
  <si>
    <t>D:\CBP_2026.07.21\i#3\rreq\rreq#43_101_result\d#70\v#10\6\ping_collision_summary.csv</t>
  </si>
  <si>
    <t>D:\CBP_2026.07.21\i#3\rreq\rreq#43_101_result\d#70\v#10\7\ping_collision_summary.csv</t>
  </si>
  <si>
    <t>D:\CBP_2026.07.21\i#3\rreq\rreq#43_101_result\d#70\v#10\8\ping_collision_summary.csv</t>
  </si>
  <si>
    <t>D:\CBP_2026.07.21\i#3\rreq\rreq#43_101_result\d#70\v#10\9\ping_collision_summary.csv</t>
  </si>
  <si>
    <t>D:\CBP_2026.07.21\i#3\rreq\rreq#43_101_result\d#70\v#20\0\ping_collision_summary.csv</t>
  </si>
  <si>
    <t>D:\CBP_2026.07.21\i#3\rreq\rreq#43_101_result\d#70\v#20\10\ping_collision_summary.csv</t>
  </si>
  <si>
    <t>D:\CBP_2026.07.21\i#3\rreq\rreq#43_101_result\d#70\v#20\11\ping_collision_summary.csv</t>
  </si>
  <si>
    <t>D:\CBP_2026.07.21\i#3\rreq\rreq#43_101_result\d#70\v#20\12\ping_collision_summary.csv</t>
  </si>
  <si>
    <t>D:\CBP_2026.07.21\i#3\rreq\rreq#43_101_result\d#70\v#20\13\ping_collision_summary.csv</t>
  </si>
  <si>
    <t>D:\CBP_2026.07.21\i#3\rreq\rreq#43_101_result\d#70\v#20\14\ping_collision_summary.csv</t>
  </si>
  <si>
    <t>D:\CBP_2026.07.21\i#3\rreq\rreq#43_101_result\d#70\v#20\15\ping_collision_summary.csv</t>
  </si>
  <si>
    <t>D:\CBP_2026.07.21\i#3\rreq\rreq#43_101_result\d#70\v#20\16\ping_collision_summary.csv</t>
  </si>
  <si>
    <t>D:\CBP_2026.07.21\i#3\rreq\rreq#43_101_result\d#70\v#20\17\ping_collision_summary.csv</t>
  </si>
  <si>
    <t>D:\CBP_2026.07.21\i#3\rreq\rreq#43_101_result\d#70\v#20\18\ping_collision_summary.csv</t>
  </si>
  <si>
    <t>D:\CBP_2026.07.21\i#3\rreq\rreq#43_101_result\d#70\v#20\19\ping_collision_summary.csv</t>
  </si>
  <si>
    <t>D:\CBP_2026.07.21\i#3\rreq\rreq#43_101_result\d#70\v#20\1\ping_collision_summary.csv</t>
  </si>
  <si>
    <t>D:\CBP_2026.07.21\i#3\rreq\rreq#43_101_result\d#70\v#20\20\ping_collision_summary.csv</t>
  </si>
  <si>
    <t>D:\CBP_2026.07.21\i#3\rreq\rreq#43_101_result\d#70\v#20\21\ping_collision_summary.csv</t>
  </si>
  <si>
    <t>D:\CBP_2026.07.21\i#3\rreq\rreq#43_101_result\d#70\v#20\22\ping_collision_summary.csv</t>
  </si>
  <si>
    <t>D:\CBP_2026.07.21\i#3\rreq\rreq#43_101_result\d#70\v#20\23\ping_collision_summary.csv</t>
  </si>
  <si>
    <t>D:\CBP_2026.07.21\i#3\rreq\rreq#43_101_result\d#70\v#20\24\ping_collision_summary.csv</t>
  </si>
  <si>
    <t>D:\CBP_2026.07.21\i#3\rreq\rreq#43_101_result\d#70\v#20\25\ping_collision_summary.csv</t>
  </si>
  <si>
    <t>D:\CBP_2026.07.21\i#3\rreq\rreq#43_101_result\d#70\v#20\26\ping_collision_summary.csv</t>
  </si>
  <si>
    <t>D:\CBP_2026.07.21\i#3\rreq\rreq#43_101_result\d#70\v#20\27\ping_collision_summary.csv</t>
  </si>
  <si>
    <t>D:\CBP_2026.07.21\i#3\rreq\rreq#43_101_result\d#70\v#20\28\ping_collision_summary.csv</t>
  </si>
  <si>
    <t>D:\CBP_2026.07.21\i#3\rreq\rreq#43_101_result\d#70\v#20\29\ping_collision_summary.csv</t>
  </si>
  <si>
    <t>D:\CBP_2026.07.21\i#3\rreq\rreq#43_101_result\d#70\v#20\2\ping_collision_summary.csv</t>
  </si>
  <si>
    <t>D:\CBP_2026.07.21\i#3\rreq\rreq#43_101_result\d#70\v#20\30\ping_collision_summary.csv</t>
  </si>
  <si>
    <t>D:\CBP_2026.07.21\i#3\rreq\rreq#43_101_result\d#70\v#20\3\ping_collision_summary.csv</t>
  </si>
  <si>
    <t>D:\CBP_2026.07.21\i#3\rreq\rreq#43_101_result\d#70\v#20\4\ping_collision_summary.csv</t>
  </si>
  <si>
    <t>D:\CBP_2026.07.21\i#3\rreq\rreq#43_101_result\d#70\v#20\5\ping_collision_summary.csv</t>
  </si>
  <si>
    <t>D:\CBP_2026.07.21\i#3\rreq\rreq#43_101_result\d#70\v#20\6\ping_collision_summary.csv</t>
  </si>
  <si>
    <t>D:\CBP_2026.07.21\i#3\rreq\rreq#43_101_result\d#70\v#20\7\ping_collision_summary.csv</t>
  </si>
  <si>
    <t>D:\CBP_2026.07.21\i#3\rreq\rreq#43_101_result\d#70\v#20\8\ping_collision_summary.csv</t>
  </si>
  <si>
    <t>D:\CBP_2026.07.21\i#3\rreq\rreq#43_101_result\d#70\v#20\9\ping_collision_summary.csv</t>
  </si>
  <si>
    <t>D:\CBP_2026.07.21\i#3\rreq\rreq#43_101_result\d#70\v#30\0\ping_collision_summary.csv</t>
  </si>
  <si>
    <t>D:\CBP_2026.07.21\i#3\rreq\rreq#43_101_result\d#70\v#30\10\ping_collision_summary.csv</t>
  </si>
  <si>
    <t>D:\CBP_2026.07.21\i#3\rreq\rreq#43_101_result\d#70\v#30\11\ping_collision_summary.csv</t>
  </si>
  <si>
    <t>D:\CBP_2026.07.21\i#3\rreq\rreq#43_101_result\d#70\v#30\12\ping_collision_summary.csv</t>
  </si>
  <si>
    <t>D:\CBP_2026.07.21\i#3\rreq\rreq#43_101_result\d#70\v#30\13\ping_collision_summary.csv</t>
  </si>
  <si>
    <t>D:\CBP_2026.07.21\i#3\rreq\rreq#43_101_result\d#70\v#30\14\ping_collision_summary.csv</t>
  </si>
  <si>
    <t>D:\CBP_2026.07.21\i#3\rreq\rreq#43_101_result\d#70\v#30\15\ping_collision_summary.csv</t>
  </si>
  <si>
    <t>D:\CBP_2026.07.21\i#3\rreq\rreq#43_101_result\d#70\v#30\16\ping_collision_summary.csv</t>
  </si>
  <si>
    <t>D:\CBP_2026.07.21\i#3\rreq\rreq#43_101_result\d#70\v#30\17\ping_collision_summary.csv</t>
  </si>
  <si>
    <t>D:\CBP_2026.07.21\i#3\rreq\rreq#43_101_result\d#70\v#30\18\ping_collision_summary.csv</t>
  </si>
  <si>
    <t>D:\CBP_2026.07.21\i#3\rreq\rreq#43_101_result\d#70\v#30\19\ping_collision_summary.csv</t>
  </si>
  <si>
    <t>D:\CBP_2026.07.21\i#3\rreq\rreq#43_101_result\d#70\v#30\1\ping_collision_summary.csv</t>
  </si>
  <si>
    <t>D:\CBP_2026.07.21\i#3\rreq\rreq#43_101_result\d#70\v#30\20\ping_collision_summary.csv</t>
  </si>
  <si>
    <t>D:\CBP_2026.07.21\i#3\rreq\rreq#43_101_result\d#70\v#30\21\ping_collision_summary.csv</t>
  </si>
  <si>
    <t>D:\CBP_2026.07.21\i#3\rreq\rreq#43_101_result\d#70\v#30\22\ping_collision_summary.csv</t>
  </si>
  <si>
    <t>D:\CBP_2026.07.21\i#3\rreq\rreq#43_101_result\d#70\v#30\23\ping_collision_summary.csv</t>
  </si>
  <si>
    <t>D:\CBP_2026.07.21\i#3\rreq\rreq#43_101_result\d#70\v#30\24\ping_collision_summary.csv</t>
  </si>
  <si>
    <t>D:\CBP_2026.07.21\i#3\rreq\rreq#43_101_result\d#70\v#30\25\ping_collision_summary.csv</t>
  </si>
  <si>
    <t>D:\CBP_2026.07.21\i#3\rreq\rreq#43_101_result\d#70\v#30\26\ping_collision_summary.csv</t>
  </si>
  <si>
    <t>D:\CBP_2026.07.21\i#3\rreq\rreq#43_101_result\d#70\v#30\27\ping_collision_summary.csv</t>
  </si>
  <si>
    <t>D:\CBP_2026.07.21\i#3\rreq\rreq#43_101_result\d#70\v#30\28\ping_collision_summary.csv</t>
  </si>
  <si>
    <t>D:\CBP_2026.07.21\i#3\rreq\rreq#43_101_result\d#70\v#30\29\ping_collision_summary.csv</t>
  </si>
  <si>
    <t>D:\CBP_2026.07.21\i#3\rreq\rreq#43_101_result\d#70\v#30\2\ping_collision_summary.csv</t>
  </si>
  <si>
    <t>D:\CBP_2026.07.21\i#3\rreq\rreq#43_101_result\d#70\v#30\30\ping_collision_summary.csv</t>
  </si>
  <si>
    <t>D:\CBP_2026.07.21\i#3\rreq\rreq#43_101_result\d#70\v#30\3\ping_collision_summary.csv</t>
  </si>
  <si>
    <t>D:\CBP_2026.07.21\i#3\rreq\rreq#43_101_result\d#70\v#30\4\ping_collision_summary.csv</t>
  </si>
  <si>
    <t>D:\CBP_2026.07.21\i#3\rreq\rreq#43_101_result\d#70\v#30\5\ping_collision_summary.csv</t>
  </si>
  <si>
    <t>D:\CBP_2026.07.21\i#3\rreq\rreq#43_101_result\d#70\v#30\6\ping_collision_summary.csv</t>
  </si>
  <si>
    <t>D:\CBP_2026.07.21\i#3\rreq\rreq#43_101_result\d#70\v#30\7\ping_collision_summary.csv</t>
  </si>
  <si>
    <t>D:\CBP_2026.07.21\i#3\rreq\rreq#43_101_result\d#70\v#30\8\ping_collision_summary.csv</t>
  </si>
  <si>
    <t>D:\CBP_2026.07.21\i#3\rreq\rreq#43_101_result\d#70\v#30\9\ping_collision_summary.csv</t>
  </si>
  <si>
    <t>Fs Excel 내보내기: 기존 목적지별 비율 및 평균 집계 유지 (합산 방식 아님)</t>
  </si>
  <si>
    <t>원자료: D:\CBP_2026.07.21\i#3; Ping request</t>
  </si>
  <si>
    <t>각 목적지 폴더의 모든 수신 노드에 대해 실패·시도 횟수를 각각 합산하여 비율 계산.</t>
  </si>
  <si>
    <t>Legacy와 Proposed는 각자 숫자가 있는 행으로 평균. Delta는 두 값이 모두 존재하는 행으로 평균.</t>
  </si>
  <si>
    <t>AVG: 평균, N: 해당 평균에 포함한 값의 개수. 숫자는 백분율 단위이고 Delta는 %p.</t>
  </si>
  <si>
    <t>노란 빈칸은 수신 시도 0회 또는 원자료 없음. 셀 메모에 사유·원자료 경로 기록.</t>
  </si>
  <si>
    <t>0/0을 0%로 채우지 않음. 존재하는 실제 실패 0회/양수 시도는 0%로 포함.</t>
  </si>
  <si>
    <t>수식에는 원자료 건수를 사용하며 계산된 캐시도 저장. Raw Counts에서 원자료 건수 확인 가능.</t>
  </si>
  <si>
    <t>차량대수 70/100/120, 최고 속력 10/20/30, nodeId 0~30은 기존 내보내기 설정.</t>
  </si>
</sst>
</file>

<file path=xl/styles.xml><?xml version="1.0" encoding="utf-8"?>
<styleSheet xmlns="http://schemas.openxmlformats.org/spreadsheetml/2006/main">
  <numFmts count="1">
    <numFmt numFmtId="164" formatCode="0.00000"/>
  </numFmts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Relationship Id="rId2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IF(647729&gt;0,100*111643/647729,"")</f>
        <v>17.23606631785824</v>
      </c>
      <c r="E3" s="1">
        <f>IF(COUNT(C3:D3)=2,D3-C3,"")</f>
        <v>-11.193341967294508</v>
      </c>
      <c r="H3" s="1">
        <v>1</v>
      </c>
      <c r="I3" s="1">
        <v>0</v>
      </c>
      <c r="J3" s="1">
        <f>IF(1145550&gt;0,100*291815/1145550,"")</f>
        <v>25.47378988258915</v>
      </c>
      <c r="K3" s="1">
        <f>IF(1120642&gt;0,100*264585/1120642,"")</f>
        <v>23.61012705217188</v>
      </c>
      <c r="L3" s="1">
        <f>IF(COUNT(J3:K3)=2,K3-J3,"")</f>
        <v>-1.8636628304172689</v>
      </c>
      <c r="O3" s="1">
        <v>1</v>
      </c>
      <c r="P3" s="1">
        <v>0</v>
      </c>
      <c r="Q3" s="1">
        <f>IF(1052174&gt;0,100*332764/1052174,"")</f>
        <v>31.626327964766283</v>
      </c>
      <c r="R3" s="1">
        <f>IF(804725&gt;0,100*151347/804725,"")</f>
        <v>18.807294417347542</v>
      </c>
      <c r="S3" s="1">
        <f>IF(COUNT(Q3:R3)=2,R3-Q3,"")</f>
        <v>-12.81903354741874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IF(1227375&gt;0,100*357572/1227375,"")</f>
        <v>29.13306854058458</v>
      </c>
      <c r="E4" s="1">
        <f>IF(COUNT(C4:D4)=2,D4-C4,"")</f>
        <v>-6.042680999781858</v>
      </c>
      <c r="H4" s="1">
        <v>2</v>
      </c>
      <c r="I4" s="1">
        <v>1</v>
      </c>
      <c r="J4" s="1">
        <f>IF(783729&gt;0,100*130334/783729,"")</f>
        <v>16.629983068126865</v>
      </c>
      <c r="K4" s="1">
        <f>IF(935638&gt;0,100*209544/935638,"")</f>
        <v>22.395841126589556</v>
      </c>
      <c r="L4" s="1">
        <f>IF(COUNT(J4:K4)=2,K4-J4,"")</f>
        <v>5.76585805846269</v>
      </c>
      <c r="O4" s="1">
        <v>2</v>
      </c>
      <c r="P4" s="1">
        <v>1</v>
      </c>
      <c r="Q4" s="1">
        <f>IF(1118920&gt;0,100*356409/1118920,"")</f>
        <v>31.852947485074893</v>
      </c>
      <c r="R4" s="1">
        <f>IF(1452315&gt;0,100*378608/1452315,"")</f>
        <v>26.06927560481025</v>
      </c>
      <c r="S4" s="1">
        <f>IF(COUNT(Q4:R4)=2,R4-Q4,"")</f>
        <v>-5.783671880264642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IF(1224692&gt;0,100*327784/1224692,"")</f>
        <v>26.764606937907654</v>
      </c>
      <c r="E5" s="1">
        <f>IF(COUNT(C5:D5)=2,D5-C5,"")</f>
        <v>-10.71918419903528</v>
      </c>
      <c r="H5" s="1">
        <v>3</v>
      </c>
      <c r="I5" s="1">
        <v>2</v>
      </c>
      <c r="J5" s="1">
        <f>IF(1441835&gt;0,100*147851/1441835,"")</f>
        <v>10.25436336335295</v>
      </c>
      <c r="K5" s="1">
        <f>IF(698868&gt;0,100*87447/698868,"")</f>
        <v>12.512663335565515</v>
      </c>
      <c r="L5" s="1">
        <f>IF(COUNT(J5:K5)=2,K5-J5,"")</f>
        <v>2.2582999722125656</v>
      </c>
      <c r="O5" s="1">
        <v>3</v>
      </c>
      <c r="P5" s="1">
        <v>2</v>
      </c>
      <c r="Q5" s="1">
        <f>IF(1270809&gt;0,100*397332/1270809,"")</f>
        <v>31.266067520768267</v>
      </c>
      <c r="R5" s="1">
        <f>IF(854436&gt;0,100*142711/854436,"")</f>
        <v>16.702362728162203</v>
      </c>
      <c r="S5" s="1">
        <f>IF(COUNT(Q5:R5)=2,R5-Q5,"")</f>
        <v>-14.563704792606064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IF(1157402&gt;0,100*287843/1157402,"")</f>
        <v>24.869751391478502</v>
      </c>
      <c r="E6" s="1">
        <f>IF(COUNT(C6:D6)=2,D6-C6,"")</f>
        <v>-12.296891746300886</v>
      </c>
      <c r="H6" s="1">
        <v>4</v>
      </c>
      <c r="I6" s="1">
        <v>3</v>
      </c>
      <c r="J6" s="1">
        <f>IF(784417&gt;0,100*123870/784417,"")</f>
        <v>15.791345674558302</v>
      </c>
      <c r="K6" s="1">
        <f>IF(511172&gt;0,100*34016/511172,"")</f>
        <v>6.654511592966751</v>
      </c>
      <c r="L6" s="1">
        <f>IF(COUNT(J6:K6)=2,K6-J6,"")</f>
        <v>-9.136834081591552</v>
      </c>
      <c r="O6" s="1">
        <v>4</v>
      </c>
      <c r="P6" s="1">
        <v>3</v>
      </c>
      <c r="Q6" s="1">
        <f>IF(519550&gt;0,100*16403/519550,"")</f>
        <v>3.1571552304879225</v>
      </c>
      <c r="R6" s="1">
        <f>IF(639512&gt;0,100*42361/639512,"")</f>
        <v>6.623957017225634</v>
      </c>
      <c r="S6" s="1">
        <f>IF(COUNT(Q6:R6)=2,R6-Q6,"")</f>
        <v>3.4668017867377117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IF(789280&gt;0,100*138629/789280,"")</f>
        <v>17.563982363673222</v>
      </c>
      <c r="E7" s="1">
        <f>IF(COUNT(C7:D7)=2,D7-C7,"")</f>
        <v>-18.066740520175227</v>
      </c>
      <c r="H7" s="1">
        <v>5</v>
      </c>
      <c r="I7" s="1">
        <v>4</v>
      </c>
      <c r="J7" s="1">
        <f>IF(1148710&gt;0,100*342477/1148710,"")</f>
        <v>29.814052284736793</v>
      </c>
      <c r="K7" s="1">
        <f>IF(886609&gt;0,100*176429/886609,"")</f>
        <v>19.89930172150294</v>
      </c>
      <c r="L7" s="1">
        <f>IF(COUNT(J7:K7)=2,K7-J7,"")</f>
        <v>-9.914750563233852</v>
      </c>
      <c r="O7" s="1">
        <v>5</v>
      </c>
      <c r="P7" s="1">
        <v>4</v>
      </c>
      <c r="Q7" s="1">
        <f>IF(1286267&gt;0,100*497044/1286267,"")</f>
        <v>38.64236585405674</v>
      </c>
      <c r="R7" s="1">
        <f>IF(1367380&gt;0,100*328338/1367380,"")</f>
        <v>24.012198511021076</v>
      </c>
      <c r="S7" s="1">
        <f>IF(COUNT(Q7:R7)=2,R7-Q7,"")</f>
        <v>-14.630167343035666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IF(760595&gt;0,100*154027/760595,"")</f>
        <v>20.250856237550863</v>
      </c>
      <c r="E8" s="1">
        <f>IF(COUNT(C8:D8)=2,D8-C8,"")</f>
        <v>-6.880528414649675</v>
      </c>
      <c r="H8" s="1">
        <v>6</v>
      </c>
      <c r="I8" s="1">
        <v>5</v>
      </c>
      <c r="J8" s="1">
        <f>IF(1039225&gt;0,100*246415/1039225,"")</f>
        <v>23.71141956746614</v>
      </c>
      <c r="K8" s="1">
        <f>IF(1147566&gt;0,100*256363/1147566,"")</f>
        <v>22.339717279877583</v>
      </c>
      <c r="L8" s="1">
        <f>IF(COUNT(J8:K8)=2,K8-J8,"")</f>
        <v>-1.3717022875885583</v>
      </c>
      <c r="O8" s="1">
        <v>6</v>
      </c>
      <c r="P8" s="1">
        <v>5</v>
      </c>
      <c r="Q8" s="1">
        <f>IF(1125005&gt;0,100*295084/1125005,"")</f>
        <v>26.229572313011943</v>
      </c>
      <c r="R8" s="1">
        <f>IF(1051975&gt;0,100*215689/1051975,"")</f>
        <v>20.503243898381616</v>
      </c>
      <c r="S8" s="1">
        <f>IF(COUNT(Q8:R8)=2,R8-Q8,"")</f>
        <v>-5.726328414630327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IF(973838&gt;0,100*180298/973838,"")</f>
        <v>18.514167654168354</v>
      </c>
      <c r="E9" s="1">
        <f>IF(COUNT(C9:D9)=2,D9-C9,"")</f>
        <v>-18.4297176211822</v>
      </c>
      <c r="H9" s="1">
        <v>7</v>
      </c>
      <c r="I9" s="1">
        <v>6</v>
      </c>
      <c r="J9" s="1">
        <f>IF(356727&gt;0,100*3261/356727,"")</f>
        <v>0.9141444297740289</v>
      </c>
      <c r="K9" s="1">
        <f>IF(346678&gt;0,100*2707/346678,"")</f>
        <v>0.780839857158516</v>
      </c>
      <c r="L9" s="1">
        <f>IF(COUNT(J9:K9)=2,K9-J9,"")</f>
        <v>-0.13330457261551287</v>
      </c>
      <c r="O9" s="1">
        <v>7</v>
      </c>
      <c r="P9" s="1">
        <v>6</v>
      </c>
      <c r="Q9" s="1">
        <f>IF(851852&gt;0,100*240424/851852,"")</f>
        <v>28.223682048055295</v>
      </c>
      <c r="R9" s="1">
        <f>IF(392530&gt;0,100*26300/392530,"")</f>
        <v>6.700124831223091</v>
      </c>
      <c r="S9" s="1">
        <f>IF(COUNT(Q9:R9)=2,R9-Q9,"")</f>
        <v>-21.523557216832202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IF(1148719&gt;0,100*298827/1148719,"")</f>
        <v>26.01393378189096</v>
      </c>
      <c r="E10" s="1">
        <f>IF(COUNT(C10:D10)=2,D10-C10,"")</f>
        <v>-15.42208257557962</v>
      </c>
      <c r="H10" s="1">
        <v>8</v>
      </c>
      <c r="I10" s="1">
        <v>7</v>
      </c>
      <c r="J10" s="1">
        <f>IF(278589&gt;0,100*275/278589,"")</f>
        <v>0.09871172228623527</v>
      </c>
      <c r="K10" s="1">
        <f>IF(278589&gt;0,100*275/278589,"")</f>
        <v>0.09871172228623527</v>
      </c>
      <c r="L10" s="1">
        <f>IF(COUNT(J10:K10)=2,K10-J10,"")</f>
        <v>0.0</v>
      </c>
      <c r="O10" s="1">
        <v>8</v>
      </c>
      <c r="P10" s="1">
        <v>7</v>
      </c>
      <c r="Q10" s="1">
        <f>IF(313581&gt;0,100*3447/313581,"")</f>
        <v>1.09923751757919</v>
      </c>
      <c r="R10" s="1">
        <f>IF(313581&gt;0,100*3447/313581,"")</f>
        <v>1.09923751757919</v>
      </c>
      <c r="S10" s="1">
        <f>IF(COUNT(Q10:R10)=2,R10-Q10,"")</f>
        <v>0.0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IF(1237367&gt;0,100*345994/1237367,"")</f>
        <v>27.962116332502806</v>
      </c>
      <c r="E11" s="1">
        <f>IF(COUNT(C11:D11)=2,D11-C11,"")</f>
        <v>-8.281824576256366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IF(1221751&gt;0,100*293745/1221751,"")</f>
        <v>24.042951468834485</v>
      </c>
      <c r="L11" s="1">
        <f>IF(COUNT(J11:K11)=2,K11-J11,"")</f>
        <v>-5.660828389624655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IF(713448&gt;0,100*105769/713448,"")</f>
        <v>14.82504681490452</v>
      </c>
      <c r="S11" s="1">
        <f>IF(COUNT(Q11:R11)=2,R11-Q11,"")</f>
        <v>-15.174898449159878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IF(433272&gt;0,100*7602/433272,"")</f>
        <v>1.7545560294687863</v>
      </c>
      <c r="E12" s="1">
        <f>IF(COUNT(C12:D12)=2,D12-C12,"")</f>
        <v>-29.717637778852193</v>
      </c>
      <c r="H12" s="1">
        <v>10</v>
      </c>
      <c r="I12" s="1">
        <v>9</v>
      </c>
      <c r="J12" s="1">
        <f>IF(747366&gt;0,100*179400/747366,"")</f>
        <v>24.00430311253121</v>
      </c>
      <c r="K12" s="1">
        <f>IF(595756&gt;0,100*63868/595756,"")</f>
        <v>10.720496310570098</v>
      </c>
      <c r="L12" s="1">
        <f>IF(COUNT(J12:K12)=2,K12-J12,"")</f>
        <v>-13.283806801961113</v>
      </c>
      <c r="O12" s="1">
        <v>10</v>
      </c>
      <c r="P12" s="1">
        <v>9</v>
      </c>
      <c r="Q12" s="1">
        <f>IF(738636&gt;0,100*147882/738636,"")</f>
        <v>20.0209575487791</v>
      </c>
      <c r="R12" s="1">
        <f>IF(447885&gt;0,100*37841/447885,"")</f>
        <v>8.448820567779675</v>
      </c>
      <c r="S12" s="1">
        <f>IF(COUNT(Q12:R12)=2,R12-Q12,"")</f>
        <v>-11.572136980999426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IF(1107499&gt;0,100*279120/1107499,"")</f>
        <v>25.202731560028496</v>
      </c>
      <c r="E13" s="1">
        <f>IF(COUNT(C13:D13)=2,D13-C13,"")</f>
        <v>-3.5466002404123316</v>
      </c>
      <c r="H13" s="1">
        <v>11</v>
      </c>
      <c r="I13" s="1">
        <v>10</v>
      </c>
      <c r="J13" s="1">
        <f>IF(602395&gt;0,100*29717/602395,"")</f>
        <v>4.933141875347571</v>
      </c>
      <c r="K13" s="1">
        <f>IF(609318&gt;0,100*19523/609318,"")</f>
        <v>3.2040740631328797</v>
      </c>
      <c r="L13" s="1">
        <f>IF(COUNT(J13:K13)=2,K13-J13,"")</f>
        <v>-1.7290678122146916</v>
      </c>
      <c r="O13" s="1">
        <v>11</v>
      </c>
      <c r="P13" s="1">
        <v>10</v>
      </c>
      <c r="Q13" s="1">
        <f>IF(540292&gt;0,100*4137/540292,"")</f>
        <v>0.7656970675116419</v>
      </c>
      <c r="R13" s="1">
        <f>IF(543354&gt;0,100*4419/543354,"")</f>
        <v>0.8132819487847701</v>
      </c>
      <c r="S13" s="1">
        <f>IF(COUNT(Q13:R13)=2,R13-Q13,"")</f>
        <v>0.04758488127312821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IF(1161678&gt;0,100*305664/1161678,"")</f>
        <v>26.312282749608755</v>
      </c>
      <c r="E14" s="1">
        <f>IF(COUNT(C14:D14)=2,D14-C14,"")</f>
        <v>-8.191143524153347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IF(510105&gt;0,100*26639/510105,"")</f>
        <v>5.222258162535164</v>
      </c>
      <c r="L14" s="1">
        <f>IF(COUNT(J14:K14)=2,K14-J14,"")</f>
        <v>1.8994498523318066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IF(928111&gt;0,100*164229/928111,"")</f>
        <v>17.694973984792767</v>
      </c>
      <c r="S14" s="1">
        <f>IF(COUNT(Q14:R14)=2,R14-Q14,"")</f>
        <v>-18.66823321192834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IF(714354&gt;0,100*47402/714354,"")</f>
        <v>6.635645632277554</v>
      </c>
      <c r="E15" s="1">
        <f>IF(COUNT(C15:D15)=2,D15-C15,"")</f>
        <v>-25.6075397028016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IF(1179729&gt;0,100*266165/1179729,"")</f>
        <v>22.561537437835298</v>
      </c>
      <c r="L15" s="1">
        <f>IF(COUNT(J15:K15)=2,K15-J15,"")</f>
        <v>-14.664810844179215</v>
      </c>
      <c r="O15" s="1">
        <v>13</v>
      </c>
      <c r="P15" s="1">
        <v>12</v>
      </c>
      <c r="Q15" s="1">
        <f>IF(521892&gt;0,100*47266/521892,"")</f>
        <v>9.0566630643888</v>
      </c>
      <c r="R15" s="1">
        <f>IF(463914&gt;0,100*21437/463914,"")</f>
        <v>4.620899563281125</v>
      </c>
      <c r="S15" s="1">
        <f>IF(COUNT(Q15:R15)=2,R15-Q15,"")</f>
        <v>-4.435763501107675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IF(358905&gt;0,100*12946/358905,"")</f>
        <v>3.607082654184255</v>
      </c>
      <c r="E16" s="1">
        <f>IF(COUNT(C16:D16)=2,D16-C16,"")</f>
        <v>-19.081982808538484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IF(1054475&gt;0,100*220894/1054475,"")</f>
        <v>20.948244387017237</v>
      </c>
      <c r="L16" s="1">
        <f>IF(COUNT(J16:K16)=2,K16-J16,"")</f>
        <v>-1.2218773936944487</v>
      </c>
      <c r="O16" s="1">
        <v>14</v>
      </c>
      <c r="P16" s="1">
        <v>13</v>
      </c>
      <c r="Q16" s="1">
        <f>IF(385878&gt;0,100*7402/385878,"")</f>
        <v>1.9182228580017517</v>
      </c>
      <c r="R16" s="1">
        <f>IF(368545&gt;0,100*6843/368545,"")</f>
        <v>1.8567610468192486</v>
      </c>
      <c r="S16" s="1">
        <f>IF(COUNT(Q16:R16)=2,R16-Q16,"")</f>
        <v>-0.06146181118250316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IF(853247&gt;0,100*159474/853247,"")</f>
        <v>18.69025030266734</v>
      </c>
      <c r="E17" s="1">
        <f>IF(COUNT(C17:D17)=2,D17-C17,"")</f>
        <v>-14.329906076662123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IF(1270804&gt;0,100*297298/1270804,"")</f>
        <v>23.394480974249372</v>
      </c>
      <c r="L17" s="1">
        <f>IF(COUNT(J17:K17)=2,K17-J17,"")</f>
        <v>-15.384869030295473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IF(910222&gt;0,100*177039/910222,"")</f>
        <v>19.45009019777593</v>
      </c>
      <c r="S17" s="1">
        <f>IF(COUNT(Q17:R17)=2,R17-Q17,"")</f>
        <v>-13.22731261045599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IF(1226385&gt;0,100*300828/1226385,"")</f>
        <v>24.529654227669123</v>
      </c>
      <c r="E18" s="1">
        <f>IF(COUNT(C18:D18)=2,D18-C18,"")</f>
        <v>-9.90361904068482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IF(716244&gt;0,100*104690/716244,"")</f>
        <v>14.616527328675703</v>
      </c>
      <c r="L18" s="1">
        <f>IF(COUNT(J18:K18)=2,K18-J18,"")</f>
        <v>-15.466718515551515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IF(750854&gt;0,100*98373/750854,"")</f>
        <v>13.101481779413842</v>
      </c>
      <c r="S18" s="1">
        <f>IF(COUNT(Q18:R18)=2,R18-Q18,"")</f>
        <v>-20.166541296690898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IF(313832&gt;0,100*2608/313832,"")</f>
        <v>0.8310178694333273</v>
      </c>
      <c r="E19" s="1">
        <f>IF(COUNT(C19:D19)=2,D19-C19,"")</f>
        <v>-8.269036421116922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IF(837142&gt;0,100*137930/837142,"")</f>
        <v>16.476296733409626</v>
      </c>
      <c r="L19" s="1">
        <f>IF(COUNT(J19:K19)=2,K19-J19,"")</f>
        <v>-20.898467740886083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IF(1145823&gt;0,100*186824/1145823,"")</f>
        <v>16.30478703953403</v>
      </c>
      <c r="S19" s="1">
        <f>IF(COUNT(Q19:R19)=2,R19-Q19,"")</f>
        <v>-4.946560725507773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IF(318434&gt;0,100*2176/318434,"")</f>
        <v>0.6833441152640736</v>
      </c>
      <c r="E20" s="1">
        <f>IF(COUNT(C20:D20)=2,D20-C20,"")</f>
        <v>0.0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IF(696099&gt;0,100*87403/696099,"")</f>
        <v>12.556116299549346</v>
      </c>
      <c r="L20" s="1">
        <f>IF(COUNT(J20:K20)=2,K20-J20,"")</f>
        <v>-12.708734830550446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IF(486597&gt;0,100*15771/486597,"")</f>
        <v>3.241080401235519</v>
      </c>
      <c r="S20" s="1">
        <f>IF(COUNT(Q20:R20)=2,R20-Q20,"")</f>
        <v>-26.221553693817956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IF(1066125&gt;0,100*275375/1066125,"")</f>
        <v>25.829522804549185</v>
      </c>
      <c r="E21" s="1">
        <f>IF(COUNT(C21:D21)=2,D21-C21,"")</f>
        <v>-9.63288105211278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IF(696085&gt;0,100*102444/696085,"")</f>
        <v>14.717168161934246</v>
      </c>
      <c r="L21" s="1">
        <f>IF(COUNT(J21:K21)=2,K21-J21,"")</f>
        <v>-0.7474029053269398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IF(465650&gt;0,100*38815/465650,"")</f>
        <v>8.33565983034468</v>
      </c>
      <c r="S21" s="1">
        <f>IF(COUNT(Q21:R21)=2,R21-Q21,"")</f>
        <v>-10.962300198956315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IF(334310&gt;0,100*12653/334310,"")</f>
        <v>3.7848105052197063</v>
      </c>
      <c r="E22" s="1">
        <f>IF(COUNT(C22:D22)=2,D22-C22,"")</f>
        <v>-29.0107558495119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IF(548285&gt;0,100*51446/548285,"")</f>
        <v>9.383076319797185</v>
      </c>
      <c r="L22" s="1">
        <f>IF(COUNT(J22:K22)=2,K22-J22,"")</f>
        <v>-1.8559133103863488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IF(758266&gt;0,100*136247/758266,"")</f>
        <v>17.968232783746075</v>
      </c>
      <c r="S22" s="1">
        <f>IF(COUNT(Q22:R22)=2,R22-Q22,"")</f>
        <v>-11.09994740161207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IF(790702&gt;0,100*139974/790702,"")</f>
        <v>17.702497274573734</v>
      </c>
      <c r="E23" s="1">
        <f>IF(COUNT(C23:D23)=2,D23-C23,"")</f>
        <v>-6.745507434959844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IF(794297&gt;0,100*138839/794297,"")</f>
        <v>17.479481856282977</v>
      </c>
      <c r="L23" s="1">
        <f>IF(COUNT(J23:K23)=2,K23-J23,"")</f>
        <v>-20.919589693182377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IF(572797&gt;0,100*67386/572797,"")</f>
        <v>11.764377257562453</v>
      </c>
      <c r="S23" s="1">
        <f>IF(COUNT(Q23:R23)=2,R23-Q23,"")</f>
        <v>-11.656893883201166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IF(1229248&gt;0,100*301235/1229248,"")</f>
        <v>24.50563271203207</v>
      </c>
      <c r="E24" s="1">
        <f>IF(COUNT(C24:D24)=2,D24-C24,"")</f>
        <v>-9.851332099909204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IF(1300188&gt;0,100*338337/1300188,"")</f>
        <v>26.022159872264627</v>
      </c>
      <c r="L24" s="1">
        <f>IF(COUNT(J24:K24)=2,K24-J24,"")</f>
        <v>-4.854954683243882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IF(1388331&gt;0,100*336219/1388331,"")</f>
        <v>24.217495683666215</v>
      </c>
      <c r="S24" s="1">
        <f>IF(COUNT(Q24:R24)=2,R24-Q24,"")</f>
        <v>1.0796901200744138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IF(261920&gt;0,100*592/261920,"")</f>
        <v>0.22602321319486865</v>
      </c>
      <c r="E25" s="1">
        <f>IF(COUNT(C25:D25)=2,D25-C25,"")</f>
        <v>0.0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IF(702027&gt;0,100*79548/702027,"")</f>
        <v>11.331188116696365</v>
      </c>
      <c r="L25" s="1">
        <f>IF(COUNT(J25:K25)=2,K25-J25,"")</f>
        <v>-7.1835908352788795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IF(1038360&gt;0,100*240079/1038360,"")</f>
        <v>23.12097923648831</v>
      </c>
      <c r="S25" s="1">
        <f>IF(COUNT(Q25:R25)=2,R25-Q25,"")</f>
        <v>-9.148793817189997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IF(617427&gt;0,100*50171/617427,"")</f>
        <v>8.125818922722848</v>
      </c>
      <c r="E26" s="1">
        <f>IF(COUNT(C26:D26)=2,D26-C26,"")</f>
        <v>-13.107722889687748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IF(811649&gt;0,100*93410/811649,"")</f>
        <v>11.508669387875793</v>
      </c>
      <c r="L26" s="1">
        <f>IF(COUNT(J26:K26)=2,K26-J26,"")</f>
        <v>-21.14479777393086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IF(606587&gt;0,100*72292/606587,"")</f>
        <v>11.917828769821972</v>
      </c>
      <c r="S26" s="1">
        <f>IF(COUNT(Q26:R26)=2,R26-Q26,"")</f>
        <v>-14.347295545842753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IF(972463&gt;0,100*235564/972463,"")</f>
        <v>24.223440891838557</v>
      </c>
      <c r="E27" s="1">
        <f>IF(COUNT(C27:D27)=2,D27-C27,"")</f>
        <v>-12.844400659557316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IF(177680&gt;0,100*2889/177680,"")</f>
        <v>1.625956776226925</v>
      </c>
      <c r="L27" s="1">
        <f>IF(COUNT(J27:K27)=2,K27-J27,"")</f>
        <v>-18.913518230397166</v>
      </c>
      <c r="O27" s="1">
        <v>25</v>
      </c>
      <c r="P27" s="1">
        <v>24</v>
      </c>
      <c r="Q27" s="1">
        <f>IF(682080&gt;0,100*56444/682080,"")</f>
        <v>8.275275627492377</v>
      </c>
      <c r="R27" s="1">
        <f>IF(582129&gt;0,100*72039/582129,"")</f>
        <v>12.375092118757182</v>
      </c>
      <c r="S27" s="1">
        <f>IF(COUNT(Q27:R27)=2,R27-Q27,"")</f>
        <v>4.099816491264805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IF(1246432&gt;0,100*328758/1246432,"")</f>
        <v>26.37592744730559</v>
      </c>
      <c r="E28" s="1">
        <f>IF(COUNT(C28:D28)=2,D28-C28,"")</f>
        <v>-13.615878821203598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IF(1085934&gt;0,100*221336/1085934,"")</f>
        <v>20.382085835787443</v>
      </c>
      <c r="L28" s="1">
        <f>IF(COUNT(J28:K28)=2,K28-J28,"")</f>
        <v>-11.582774362999455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IF(1047477&gt;0,100*243453/1047477,"")</f>
        <v>23.241846837687127</v>
      </c>
      <c r="S28" s="1">
        <f>IF(COUNT(Q28:R28)=2,R28-Q28,"")</f>
        <v>-8.158453012387834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IF(1011881&gt;0,100*202885/1011881,"")</f>
        <v>20.05028259251829</v>
      </c>
      <c r="E29" s="1">
        <f>IF(COUNT(C29:D29)=2,D29-C29,"")</f>
        <v>-9.829242179648432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IF(750596&gt;0,100*74088/750596,"")</f>
        <v>9.870556198007982</v>
      </c>
      <c r="L29" s="1">
        <f>IF(COUNT(J29:K29)=2,K29-J29,"")</f>
        <v>-6.792282206144137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IF(916066&gt;0,100*176963/916066,"")</f>
        <v>19.317712915881607</v>
      </c>
      <c r="S29" s="1">
        <f>IF(COUNT(Q29:R29)=2,R29-Q29,"")</f>
        <v>-20.38594807846024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IF(261142&gt;0,100*191/261142,"")</f>
        <v>0.07314028383025327</v>
      </c>
      <c r="E30" s="1">
        <f>IF(COUNT(C30:D30)=2,D30-C30,"")</f>
        <v>0.0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IF(1096834&gt;0,100*244336/1096834,"")</f>
        <v>22.2764793943295</v>
      </c>
      <c r="L30" s="1">
        <f>IF(COUNT(J30:K30)=2,K30-J30,"")</f>
        <v>-11.394808457861068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IF(982118&gt;0,100*217006/982118,"")</f>
        <v>22.095715586110835</v>
      </c>
      <c r="S30" s="1">
        <f>IF(COUNT(Q30:R30)=2,R30-Q30,"")</f>
        <v>-5.8078754675504065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IF(1311261&gt;0,100*357098/1311261,"")</f>
        <v>27.233174783662445</v>
      </c>
      <c r="E31" s="1">
        <f>IF(COUNT(C31:D31)=2,D31-C31,"")</f>
        <v>-8.916817984532887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IF(987743&gt;0,100*214419/987743,"")</f>
        <v>21.707974645226543</v>
      </c>
      <c r="L31" s="1">
        <f>IF(COUNT(J31:K31)=2,K31-J31,"")</f>
        <v>-14.68789194668463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IF(1068782&gt;0,100*194775/1068782,"")</f>
        <v>18.224015748768224</v>
      </c>
      <c r="S31" s="1">
        <f>IF(COUNT(Q31:R31)=2,R31-Q31,"")</f>
        <v>-18.660669068927355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IF(1052079&gt;0,100*282382/1052079,"")</f>
        <v>26.840379857406145</v>
      </c>
      <c r="E32" s="1">
        <f>IF(COUNT(C32:D32)=2,D32-C32,"")</f>
        <v>-10.665472424157695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IF(783847&gt;0,100*136154/783847,"")</f>
        <v>17.36997143575213</v>
      </c>
      <c r="L32" s="1">
        <f>IF(COUNT(J32:K32)=2,K32-J32,"")</f>
        <v>-12.413593162774045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IF(900451&gt;0,100*169002/900451,"")</f>
        <v>18.768594848581433</v>
      </c>
      <c r="S32" s="1">
        <f>IF(COUNT(Q32:R32)=2,R32-Q32,"")</f>
        <v>-7.066135409126655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IF(510143&gt;0,100*5007/510143,"")</f>
        <v>0.9814895039234097</v>
      </c>
      <c r="E33" s="1">
        <f>IF(COUNT(C33:D33)=2,D33-C33,"")</f>
        <v>-0.6549674996382302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IF(1109773&gt;0,100*297604/1109773,"")</f>
        <v>26.816655297975352</v>
      </c>
      <c r="L33" s="1">
        <f>IF(COUNT(J33:K33)=2,K33-J33,"")</f>
        <v>-2.5661960724847326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IF(1153012&gt;0,100*253502/1153012,"")</f>
        <v>21.986067794610985</v>
      </c>
      <c r="S33" s="1">
        <f>IF(COUNT(Q33:R33)=2,R33-Q33,"")</f>
        <v>-14.9599924361065</v>
      </c>
    </row>
    <row r="34" spans="1:19">
      <c r="A34" s="2" t="s">
        <v>6</v>
      </c>
      <c r="B34" s="1"/>
      <c r="C34" s="1">
        <f>IF(COUNT(C3:C33)&gt;0,AVERAGE(C3:C33),"")</f>
        <v>28.172990083851328</v>
      </c>
      <c r="D34" s="1">
        <f>IF(COUNT(D3:D33)&gt;0,AVERAGE(D3:D33),"")</f>
        <v>16.855072757773993</v>
      </c>
      <c r="E34" s="1">
        <f>IF(COUNT(E3:E33)&gt;0,AVERAGE(E3:E33),"")</f>
        <v>-11.317917326077326</v>
      </c>
      <c r="H34" s="2" t="s">
        <v>6</v>
      </c>
      <c r="I34" s="1"/>
      <c r="J34" s="1">
        <f>IF(COUNT(J3:J33)&gt;0,AVERAGE(J3:J33),"")</f>
        <v>23.261266503360552</v>
      </c>
      <c r="K34" s="1">
        <f>IF(COUNT(K3:K33)&gt;0,AVERAGE(K3:K33),"")</f>
        <v>15.242778069422103</v>
      </c>
      <c r="L34" s="1">
        <f>IF(COUNT(L3:L33)&gt;0,AVERAGE(L3:L33),"")</f>
        <v>-8.018488433938447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14.651888299422554</v>
      </c>
      <c r="S34" s="1">
        <f>IF(COUNT(S3:S33)&gt;0,AVERAGE(S3:S33),"")</f>
        <v>-10.09939795211772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IF(589756&gt;0,100*42847/589756,"")</f>
        <v>7.2652079843189385</v>
      </c>
      <c r="E39" s="1">
        <f>IF(COUNT(C39:D39)=2,D39-C39,"")</f>
        <v>-5.79204364670666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IF(963095&gt;0,100*80174/963095,"")</f>
        <v>8.324620104974068</v>
      </c>
      <c r="L39" s="1">
        <f>IF(COUNT(J39:K39)=2,K39-J39,"")</f>
        <v>-22.942886925003165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IF(945987&gt;0,100*146986/945987,"")</f>
        <v>15.537845657498465</v>
      </c>
      <c r="S39" s="1">
        <f>IF(COUNT(Q39:R39)=2,R39-Q39,"")</f>
        <v>-2.8348054916437384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IF(902754&gt;0,100*214361/902754,"")</f>
        <v>23.745228489710374</v>
      </c>
      <c r="E40" s="1">
        <f>IF(COUNT(C40:D40)=2,D40-C40,"")</f>
        <v>-5.4882138138294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IF(1727217&gt;0,100*396781/1727217,"")</f>
        <v>22.972272737009884</v>
      </c>
      <c r="L40" s="1">
        <f>IF(COUNT(J40:K40)=2,K40-J40,"")</f>
        <v>-15.12328152017395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IF(1462824&gt;0,100*295276/1462824,"")</f>
        <v>20.18534013661247</v>
      </c>
      <c r="S40" s="1">
        <f>IF(COUNT(Q40:R40)=2,R40-Q40,"")</f>
        <v>-21.304103831056185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IF(903124&gt;0,100*179893/903124,"")</f>
        <v>19.918970152492903</v>
      </c>
      <c r="E41" s="1">
        <f>IF(COUNT(C41:D41)=2,D41-C41,"")</f>
        <v>-19.353848384705742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IF(1043359&gt;0,100*59538/1043359,"")</f>
        <v>5.706377191359829</v>
      </c>
      <c r="L41" s="1">
        <f>IF(COUNT(J41:K41)=2,K41-J41,"")</f>
        <v>-32.286703653719364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IF(1558759&gt;0,100*416893/1558759,"")</f>
        <v>26.745186395074544</v>
      </c>
      <c r="S41" s="1">
        <f>IF(COUNT(Q41:R41)=2,R41-Q41,"")</f>
        <v>-13.780684684519631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IF(1547926&gt;0,100*473145/1547926,"")</f>
        <v>30.566383664335376</v>
      </c>
      <c r="E42" s="1">
        <f>IF(COUNT(C42:D42)=2,D42-C42,"")</f>
        <v>-11.427696201941927</v>
      </c>
      <c r="H42" s="1">
        <v>4</v>
      </c>
      <c r="I42" s="1">
        <v>3</v>
      </c>
      <c r="J42" s="1">
        <f>IF(778520&gt;0,100*44764/778520,"")</f>
        <v>5.749884396033499</v>
      </c>
      <c r="K42" s="1">
        <f>IF(820811&gt;0,100*19179/820811,"")</f>
        <v>2.3365914930477296</v>
      </c>
      <c r="L42" s="1">
        <f>IF(COUNT(J42:K42)=2,K42-J42,"")</f>
        <v>-3.4132929029857695</v>
      </c>
      <c r="O42" s="1">
        <v>4</v>
      </c>
      <c r="P42" s="1">
        <v>3</v>
      </c>
      <c r="Q42" s="1">
        <f>IF(760183&gt;0,100*45060/760183,"")</f>
        <v>5.927520083979778</v>
      </c>
      <c r="R42" s="1">
        <f>IF(543883&gt;0,100*9190/543883,"")</f>
        <v>1.6897016453906446</v>
      </c>
      <c r="S42" s="1">
        <f>IF(COUNT(Q42:R42)=2,R42-Q42,"")</f>
        <v>-4.237818438589134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IF(597070&gt;0,100*7003/597070,"")</f>
        <v>1.1728943005007788</v>
      </c>
      <c r="E43" s="1">
        <f>IF(COUNT(C43:D43)=2,D43-C43,"")</f>
        <v>-16.56038791346884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IF(1481568&gt;0,100*314238/1481568,"")</f>
        <v>21.209826346141384</v>
      </c>
      <c r="L43" s="1">
        <f>IF(COUNT(J43:K43)=2,K43-J43,"")</f>
        <v>-20.915764171421806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IF(1717686&gt;0,100*494787/1717686,"")</f>
        <v>28.80543941092842</v>
      </c>
      <c r="S43" s="1">
        <f>IF(COUNT(Q43:R43)=2,R43-Q43,"")</f>
        <v>-18.410230701449166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IF(800628&gt;0,100*82297/800628,"")</f>
        <v>10.279055941086247</v>
      </c>
      <c r="E44" s="1">
        <f>IF(COUNT(C44:D44)=2,D44-C44,"")</f>
        <v>-33.57430269026485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IF(1643648&gt;0,100*382257/1643648,"")</f>
        <v>23.256621855774473</v>
      </c>
      <c r="L44" s="1">
        <f>IF(COUNT(J44:K44)=2,K44-J44,"")</f>
        <v>-18.35172705395566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IF(1082634&gt;0,100*94555/1082634,"")</f>
        <v>8.733791844704674</v>
      </c>
      <c r="S44" s="1">
        <f>IF(COUNT(Q44:R44)=2,R44-Q44,"")</f>
        <v>-9.363082392390366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IF(1213940&gt;0,100*293918/1213940,"")</f>
        <v>24.21190503649274</v>
      </c>
      <c r="E45" s="1">
        <f>IF(COUNT(C45:D45)=2,D45-C45,"")</f>
        <v>-20.802528118909816</v>
      </c>
      <c r="H45" s="1">
        <v>7</v>
      </c>
      <c r="I45" s="1">
        <v>6</v>
      </c>
      <c r="J45" s="1">
        <f>IF(545527&gt;0,100*1624/545527,"")</f>
        <v>0.2976937896749382</v>
      </c>
      <c r="K45" s="1">
        <f>IF(545527&gt;0,100*1624/545527,"")</f>
        <v>0.2976937896749382</v>
      </c>
      <c r="L45" s="1">
        <f>IF(COUNT(J45:K45)=2,K45-J45,"")</f>
        <v>0.0</v>
      </c>
      <c r="O45" s="1">
        <v>7</v>
      </c>
      <c r="P45" s="1">
        <v>6</v>
      </c>
      <c r="Q45" s="1">
        <f>IF(700580&gt;0,100*18395/700580,"")</f>
        <v>2.6256815781209855</v>
      </c>
      <c r="R45" s="1">
        <f>IF(721423&gt;0,100*78697/721423,"")</f>
        <v>10.908579293978706</v>
      </c>
      <c r="S45" s="1">
        <f>IF(COUNT(Q45:R45)=2,R45-Q45,"")</f>
        <v>8.28289771585772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IF(1281547&gt;0,100*357299/1281547,"")</f>
        <v>27.8802884326521</v>
      </c>
      <c r="E46" s="1">
        <f>IF(COUNT(C46:D46)=2,D46-C46,"")</f>
        <v>-13.406910554299081</v>
      </c>
      <c r="H46" s="1">
        <v>8</v>
      </c>
      <c r="I46" s="1">
        <v>7</v>
      </c>
      <c r="J46" s="1">
        <f>IF(453926&gt;0,100*2064/453926,"")</f>
        <v>0.45469966470305734</v>
      </c>
      <c r="K46" s="1">
        <f>IF(453926&gt;0,100*2064/453926,"")</f>
        <v>0.45469966470305734</v>
      </c>
      <c r="L46" s="1">
        <f>IF(COUNT(J46:K46)=2,K46-J46,"")</f>
        <v>0.0</v>
      </c>
      <c r="O46" s="1">
        <v>8</v>
      </c>
      <c r="P46" s="1">
        <v>7</v>
      </c>
      <c r="Q46" s="1">
        <f>IF(505497&gt;0,100*20606/505497,"")</f>
        <v>4.076384231756074</v>
      </c>
      <c r="R46" s="1">
        <f>IF(502346&gt;0,100*11400/502346,"")</f>
        <v>2.2693521994800396</v>
      </c>
      <c r="S46" s="1">
        <f>IF(COUNT(Q46:R46)=2,R46-Q46,"")</f>
        <v>-1.8070320322760343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IF(1366076&gt;0,100*371171/1366076,"")</f>
        <v>27.170596657872622</v>
      </c>
      <c r="E47" s="1">
        <f>IF(COUNT(C47:D47)=2,D47-C47,"")</f>
        <v>-20.073694387531944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IF(1962297&gt;0,100*518675/1962297,"")</f>
        <v>26.432033479131853</v>
      </c>
      <c r="L47" s="1">
        <f>IF(COUNT(J47:K47)=2,K47-J47,"")</f>
        <v>-16.2062673738235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IF(1684700&gt;0,100*439636/1684700,"")</f>
        <v>26.095803407134802</v>
      </c>
      <c r="S47" s="1">
        <f>IF(COUNT(Q47:R47)=2,R47-Q47,"")</f>
        <v>-18.917743156999165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IF(527300&gt;0,100*8129/527300,"")</f>
        <v>1.541627157216006</v>
      </c>
      <c r="E48" s="1">
        <f>IF(COUNT(C48:D48)=2,D48-C48,"")</f>
        <v>-27.735247611901098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IF(1291278&gt;0,100*234946/1291278,"")</f>
        <v>18.194842628775522</v>
      </c>
      <c r="L48" s="1">
        <f>IF(COUNT(J48:K48)=2,K48-J48,"")</f>
        <v>-25.661430910466468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IF(1071234&gt;0,100*130426/1071234,"")</f>
        <v>12.175304368606673</v>
      </c>
      <c r="S48" s="1">
        <f>IF(COUNT(Q48:R48)=2,R48-Q48,"")</f>
        <v>-17.222858680532788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IF(1257093&gt;0,100*339975/1257093,"")</f>
        <v>27.044538470900722</v>
      </c>
      <c r="E49" s="1">
        <f>IF(COUNT(C49:D49)=2,D49-C49,"")</f>
        <v>-15.622212991653623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IF(859244&gt;0,100*22023/859244,"")</f>
        <v>2.5630670682600054</v>
      </c>
      <c r="L49" s="1">
        <f>IF(COUNT(J49:K49)=2,K49-J49,"")</f>
        <v>-31.662941942495337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IF(1056702&gt;0,100*90500/1056702,"")</f>
        <v>8.564382389737126</v>
      </c>
      <c r="S49" s="1">
        <f>IF(COUNT(Q49:R49)=2,R49-Q49,"")</f>
        <v>-33.33455367932806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IF(1525131&gt;0,100*413218/1525131,"")</f>
        <v>27.093934881659347</v>
      </c>
      <c r="E50" s="1">
        <f>IF(COUNT(C50:D50)=2,D50-C50,"")</f>
        <v>-11.935304658499486</v>
      </c>
      <c r="H50" s="1">
        <v>12</v>
      </c>
      <c r="I50" s="1">
        <v>11</v>
      </c>
      <c r="J50" s="1">
        <f>IF(16409&gt;0,100*2109/16409,"")</f>
        <v>12.85270278505698</v>
      </c>
      <c r="K50" s="1">
        <f>IF(1062840&gt;0,100*86171/1062840,"")</f>
        <v>8.10761732716119</v>
      </c>
      <c r="L50" s="1">
        <f>IF(COUNT(J50:K50)=2,K50-J50,"")</f>
        <v>-4.74508545789579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IF(1065810&gt;0,100*74409/1065810,"")</f>
        <v>6.981450727615616</v>
      </c>
      <c r="S50" s="1">
        <f>IF(COUNT(Q50:R50)=2,R50-Q50,"")</f>
        <v>-32.1225538683844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IF(890252&gt;0,100*137941/890252,"")</f>
        <v>15.49460152855596</v>
      </c>
      <c r="E51" s="1">
        <f>IF(COUNT(C51:D51)=2,D51-C51,"")</f>
        <v>-28.641456529433185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IF(743162&gt;0,100*67742/743162,"")</f>
        <v>9.115374575126285</v>
      </c>
      <c r="L51" s="1">
        <f>IF(COUNT(J51:K51)=2,K51-J51,"")</f>
        <v>-1.5955360515863166</v>
      </c>
      <c r="O51" s="1">
        <v>13</v>
      </c>
      <c r="P51" s="1">
        <v>12</v>
      </c>
      <c r="Q51" s="1">
        <f>IF(609443&gt;0,100*13444/609443,"")</f>
        <v>2.20594871054389</v>
      </c>
      <c r="R51" s="1">
        <f>IF(920444&gt;0,100*21104/920444,"")</f>
        <v>2.2928065151166175</v>
      </c>
      <c r="S51" s="1">
        <f>IF(COUNT(Q51:R51)=2,R51-Q51,"")</f>
        <v>0.08685780457272729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IF(402681&gt;0,100*1624/402681,"")</f>
        <v>0.40329690251092054</v>
      </c>
      <c r="E52" s="1">
        <f>IF(COUNT(C52:D52)=2,D52-C52,"")</f>
        <v>0.0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IF(1082028&gt;0,100*205002/1082028,"")</f>
        <v>18.946090119664188</v>
      </c>
      <c r="L52" s="1">
        <f>IF(COUNT(J52:K52)=2,K52-J52,"")</f>
        <v>-13.865367283631958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IF(858003&gt;0,100*98255/858003,"")</f>
        <v>11.451591661101418</v>
      </c>
      <c r="S52" s="1">
        <f>IF(COUNT(Q52:R52)=2,R52-Q52,"")</f>
        <v>-10.250287219634007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IF(1594470&gt;0,100*502298/1594470,"")</f>
        <v>31.502505534754494</v>
      </c>
      <c r="E53" s="1">
        <f>IF(COUNT(C53:D53)=2,D53-C53,"")</f>
        <v>0.27398808123035323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IF(1489348&gt;0,100*327474/1489348,"")</f>
        <v>21.987742287229043</v>
      </c>
      <c r="L53" s="1">
        <f>IF(COUNT(J53:K53)=2,K53-J53,"")</f>
        <v>-8.804809719254212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IF(1516049&gt;0,100*307386/1516049,"")</f>
        <v>20.275466030451522</v>
      </c>
      <c r="S53" s="1">
        <f>IF(COUNT(Q53:R53)=2,R53-Q53,"")</f>
        <v>-27.834188191316965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IF(2070034&gt;0,100*673647/2070034,"")</f>
        <v>32.54279881393253</v>
      </c>
      <c r="E54" s="1">
        <f>IF(COUNT(C54:D54)=2,D54-C54,"")</f>
        <v>-9.685507468328012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IF(1459562&gt;0,100*309696/1459562,"")</f>
        <v>21.218420320616733</v>
      </c>
      <c r="L54" s="1">
        <f>IF(COUNT(J54:K54)=2,K54-J54,"")</f>
        <v>-21.975230139788156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IF(1016693&gt;0,100*84107/1016693,"")</f>
        <v>8.27260539808969</v>
      </c>
      <c r="S54" s="1">
        <f>IF(COUNT(Q54:R54)=2,R54-Q54,"")</f>
        <v>-37.06901553065713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IF(404630&gt;0,100*3749/404630,"")</f>
        <v>0.9265254677112423</v>
      </c>
      <c r="E55" s="1">
        <f>IF(COUNT(C55:D55)=2,D55-C55,"")</f>
        <v>-0.6943261916250231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IF(1171905&gt;0,100*213601/1171905,"")</f>
        <v>18.226818726773928</v>
      </c>
      <c r="L55" s="1">
        <f>IF(COUNT(J55:K55)=2,K55-J55,"")</f>
        <v>-18.155311463974805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IF(1074961&gt;0,100*167600/1074961,"")</f>
        <v>15.591263310948024</v>
      </c>
      <c r="S55" s="1">
        <f>IF(COUNT(Q55:R55)=2,R55-Q55,"")</f>
        <v>-19.57837787126828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IF(493031&gt;0,100*16609/493031,"")</f>
        <v>3.368753688916113</v>
      </c>
      <c r="E56" s="1">
        <f>IF(COUNT(C56:D56)=2,D56-C56,"")</f>
        <v>-10.935059932200993</v>
      </c>
      <c r="H56" s="1">
        <v>18</v>
      </c>
      <c r="I56" s="1">
        <v>17</v>
      </c>
      <c r="J56" s="1">
        <f>IF(2215&gt;0,100*355/2215,"")</f>
        <v>16.02708803611738</v>
      </c>
      <c r="K56" s="1">
        <f>IF(1120739&gt;0,100*183337/1120739,"")</f>
        <v>16.358581257545243</v>
      </c>
      <c r="L56" s="1">
        <f>IF(COUNT(J56:K56)=2,K56-J56,"")</f>
        <v>0.33149322142786275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IF(985672&gt;0,100*158592/985672,"")</f>
        <v>16.089733704518338</v>
      </c>
      <c r="S56" s="1">
        <f>IF(COUNT(Q56:R56)=2,R56-Q56,"")</f>
        <v>-30.938716850743425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IF(678686&gt;0,100*167747/678686,"")</f>
        <v>24.71643735099884</v>
      </c>
      <c r="E57" s="1">
        <f>IF(COUNT(C57:D57)=2,D57-C57,"")</f>
        <v>-14.82329287036585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IF(1281023&gt;0,100*246540/1281023,"")</f>
        <v>19.24555609071812</v>
      </c>
      <c r="L57" s="1">
        <f>IF(COUNT(J57:K57)=2,K57-J57,"")</f>
        <v>-14.60696247805991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IF(742263&gt;0,100*55763/742263,"")</f>
        <v>7.512566300623903</v>
      </c>
      <c r="S57" s="1">
        <f>IF(COUNT(Q57:R57)=2,R57-Q57,"")</f>
        <v>-24.781788845728293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IF(1151624&gt;0,100*271316/1151624,"")</f>
        <v>23.559425645870526</v>
      </c>
      <c r="E58" s="1">
        <f>IF(COUNT(C58:D58)=2,D58-C58,"")</f>
        <v>-19.382793794427094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IF(1151773&gt;0,100*227964/1151773,"")</f>
        <v>19.792441739821996</v>
      </c>
      <c r="L58" s="1">
        <f>IF(COUNT(J58:K58)=2,K58-J58,"")</f>
        <v>-24.125998650820428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IF(1023034&gt;0,100*98314/1023034,"")</f>
        <v>9.61004228598463</v>
      </c>
      <c r="S58" s="1">
        <f>IF(COUNT(Q58:R58)=2,R58-Q58,"")</f>
        <v>-32.64085855529767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IF(1440907&gt;0,100*438509/1440907,"")</f>
        <v>30.43284542305645</v>
      </c>
      <c r="E59" s="1">
        <f>IF(COUNT(C59:D59)=2,D59-C59,"")</f>
        <v>-1.9658575412593322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IF(1192392&gt;0,100*161658/1192392,"")</f>
        <v>13.557454260008454</v>
      </c>
      <c r="L59" s="1">
        <f>IF(COUNT(J59:K59)=2,K59-J59,"")</f>
        <v>-23.99394859039394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IF(344497&gt;0,100*35856/344497,"")</f>
        <v>10.408218358940717</v>
      </c>
      <c r="S59" s="1">
        <f>IF(COUNT(Q59:R59)=2,R59-Q59,"")</f>
        <v>-31.578012203365446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IF(1417939&gt;0,100*407652/1417939,"")</f>
        <v>28.749614757757563</v>
      </c>
      <c r="E60" s="1">
        <f>IF(COUNT(C60:D60)=2,D60-C60,"")</f>
        <v>-16.16046116701763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IF(1602429&gt;0,100*416933/1602429,"")</f>
        <v>26.018812689985015</v>
      </c>
      <c r="L60" s="1">
        <f>IF(COUNT(J60:K60)=2,K60-J60,"")</f>
        <v>-18.761621214813854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IF(1558617&gt;0,100*423055/1558617,"")</f>
        <v>27.14297354641968</v>
      </c>
      <c r="S60" s="1">
        <f>IF(COUNT(Q60:R60)=2,R60-Q60,"")</f>
        <v>-7.081096728827131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IF(356205&gt;0,100*844/356205,"")</f>
        <v>0.236942210244101</v>
      </c>
      <c r="E61" s="1">
        <f>IF(COUNT(C61:D61)=2,D61-C61,"")</f>
        <v>0.0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IF(932719&gt;0,100*201211/932719,"")</f>
        <v>21.57252076992106</v>
      </c>
      <c r="L61" s="1">
        <f>IF(COUNT(J61:K61)=2,K61-J61,"")</f>
        <v>-26.833093442713082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IF(1416598&gt;0,100*313550/1416598,"")</f>
        <v>22.134014025150396</v>
      </c>
      <c r="S61" s="1">
        <f>IF(COUNT(Q61:R61)=2,R61-Q61,"")</f>
        <v>-12.918566236484299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IF(645751&gt;0,100*26838/645751,"")</f>
        <v>4.156091124907278</v>
      </c>
      <c r="E62" s="1">
        <f>IF(COUNT(C62:D62)=2,D62-C62,"")</f>
        <v>-16.787156655214634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IF(1003113&gt;0,100*120424/1003113,"")</f>
        <v>12.005028346756546</v>
      </c>
      <c r="L62" s="1">
        <f>IF(COUNT(J62:K62)=2,K62-J62,"")</f>
        <v>-32.6192772995274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IF(1040063&gt;0,100*173258/1040063,"")</f>
        <v>16.65841396146195</v>
      </c>
      <c r="S62" s="1">
        <f>IF(COUNT(Q62:R62)=2,R62-Q62,"")</f>
        <v>-12.236229694326308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IF(1467711&gt;0,100*408671/1467711,"")</f>
        <v>27.844105549389493</v>
      </c>
      <c r="E63" s="1">
        <f>IF(COUNT(C63:D63)=2,D63-C63,"")</f>
        <v>-1.395917950065229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IF(723555&gt;0,100*21635/723555,"")</f>
        <v>2.990097504681745</v>
      </c>
      <c r="L63" s="1">
        <f>IF(COUNT(J63:K63)=2,K63-J63,"")</f>
        <v>-41.580882506321835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IF(1924443&gt;0,100*496418/1924443,"")</f>
        <v>25.795411971152173</v>
      </c>
      <c r="S63" s="1">
        <f>IF(COUNT(Q63:R63)=2,R63-Q63,"")</f>
        <v>-17.879276210497576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IF(1347668&gt;0,100*249382/1347668,"")</f>
        <v>18.504705906796037</v>
      </c>
      <c r="E64" s="1">
        <f>IF(COUNT(C64:D64)=2,D64-C64,"")</f>
        <v>-27.886474414855922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IF(1386796&gt;0,100*289968/1386796,"")</f>
        <v>20.909203660812405</v>
      </c>
      <c r="L64" s="1">
        <f>IF(COUNT(J64:K64)=2,K64-J64,"")</f>
        <v>-11.09946390203746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IF(1689643&gt;0,100*428209/1689643,"")</f>
        <v>25.34316420687684</v>
      </c>
      <c r="S64" s="1">
        <f>IF(COUNT(Q64:R64)=2,R64-Q64,"")</f>
        <v>-19.061689296463452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IF(1215961&gt;0,100*265032/1215961,"")</f>
        <v>21.796093789192252</v>
      </c>
      <c r="E65" s="1">
        <f>IF(COUNT(C65:D65)=2,D65-C65,"")</f>
        <v>-15.548473712535955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IF(1003741&gt;0,100*151273/1003741,"")</f>
        <v>15.070919689441798</v>
      </c>
      <c r="L65" s="1">
        <f>IF(COUNT(J65:K65)=2,K65-J65,"")</f>
        <v>-19.83115244139898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IF(1276983&gt;0,100*178129/1276983,"")</f>
        <v>13.949206841437983</v>
      </c>
      <c r="S65" s="1">
        <f>IF(COUNT(Q65:R65)=2,R65-Q65,"")</f>
        <v>-20.417077633306363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IF(342230&gt;0,100*341/342230,"")</f>
        <v>0.09964059258393478</v>
      </c>
      <c r="E66" s="1">
        <f>IF(COUNT(C66:D66)=2,D66-C66,"")</f>
        <v>0.0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IF(1876750&gt;0,100*548392/1876750,"")</f>
        <v>29.22030105235114</v>
      </c>
      <c r="L66" s="1">
        <f>IF(COUNT(J66:K66)=2,K66-J66,"")</f>
        <v>-9.997083649341377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IF(1251026&gt;0,100*289874/1251026,"")</f>
        <v>23.170901324193103</v>
      </c>
      <c r="S66" s="1">
        <f>IF(COUNT(Q66:R66)=2,R66-Q66,"")</f>
        <v>-7.6931916080756615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IF(1688036&gt;0,100*497941/1688036,"")</f>
        <v>29.49824529808606</v>
      </c>
      <c r="E67" s="1">
        <f>IF(COUNT(C67:D67)=2,D67-C67,"")</f>
        <v>-5.352512783413722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IF(1584655&gt;0,100*344574/1584655,"")</f>
        <v>21.74441755460968</v>
      </c>
      <c r="L67" s="1">
        <f>IF(COUNT(J67:K67)=2,K67-J67,"")</f>
        <v>-24.000533142144082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IF(1523228&gt;0,100*334026/1523228,"")</f>
        <v>21.928824837778716</v>
      </c>
      <c r="S67" s="1">
        <f>IF(COUNT(Q67:R67)=2,R67-Q67,"")</f>
        <v>-19.003105442156016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IF(760120&gt;0,100*126803/760120,"")</f>
        <v>16.681971267694575</v>
      </c>
      <c r="E68" s="1">
        <f>IF(COUNT(C68:D68)=2,D68-C68,"")</f>
        <v>-26.128128758792737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IF(1468737&gt;0,100*348440/1468737,"")</f>
        <v>23.723784448815547</v>
      </c>
      <c r="L68" s="1">
        <f>IF(COUNT(J68:K68)=2,K68-J68,"")</f>
        <v>-13.089743182114976</v>
      </c>
      <c r="O68" s="1">
        <v>30</v>
      </c>
      <c r="P68" s="1">
        <v>29</v>
      </c>
      <c r="Q68" s="1">
        <f>IF(653286&gt;0,100*39372/653286,"")</f>
        <v>6.026763163453679</v>
      </c>
      <c r="R68" s="1">
        <f>IF(803654&gt;0,100*50014/803654,"")</f>
        <v>6.223324963230445</v>
      </c>
      <c r="S68" s="1">
        <f>IF(COUNT(Q68:R68)=2,R68-Q68,"")</f>
        <v>0.1965617997767657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IF(646412&gt;0,100*1911/646412,"")</f>
        <v>0.2956318880218808</v>
      </c>
      <c r="E69" s="1">
        <f>IF(COUNT(C69:D69)=2,D69-C69,"")</f>
        <v>0.0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IF(1670002&gt;0,100*406729/1670002,"")</f>
        <v>24.355000772454165</v>
      </c>
      <c r="L69" s="1">
        <f>IF(COUNT(J69:K69)=2,K69-J69,"")</f>
        <v>-11.021851542560537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IF(1383609&gt;0,100*353139/1383609,"")</f>
        <v>25.52303432544888</v>
      </c>
      <c r="S69" s="1">
        <f>IF(COUNT(Q69:R69)=2,R69-Q69,"")</f>
        <v>-7.097299137688314</v>
      </c>
    </row>
    <row r="70" spans="1:19">
      <c r="A70" s="2" t="s">
        <v>6</v>
      </c>
      <c r="B70" s="1"/>
      <c r="C70" s="1">
        <f>IF(COUNT(C39:C69)&gt;0,AVERAGE(C39:C69),"")</f>
        <v>30.180215695878584</v>
      </c>
      <c r="D70" s="1">
        <f>IF(COUNT(D39:D69)&gt;0,AVERAGE(D39:D69),"")</f>
        <v>17.37744722291027</v>
      </c>
      <c r="E70" s="1">
        <f>IF(COUNT(E39:E69)&gt;0,AVERAGE(E39:E69),"")</f>
        <v>-12.802768472968301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15.997252566237</v>
      </c>
      <c r="L70" s="1">
        <f>IF(COUNT(L39:L69)&gt;0,AVERAGE(L39:L69),"")</f>
        <v>-16.99792759325794</v>
      </c>
      <c r="O70" s="2" t="s">
        <v>6</v>
      </c>
      <c r="P70" s="1"/>
      <c r="Q70" s="1">
        <f>IF(COUNT(Q39:Q69)&gt;0,AVERAGE(Q39:Q69),"")</f>
        <v>31.641731223822106</v>
      </c>
      <c r="R70" s="1">
        <f>IF(COUNT(R39:R69)&gt;0,AVERAGE(R39:R69),"")</f>
        <v>15.421475517602811</v>
      </c>
      <c r="S70" s="1">
        <f>IF(COUNT(S39:S69)&gt;0,AVERAGE(S39:S69),"")</f>
        <v>-16.22025570621928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IF(675341&gt;0,100*7439/675341,"")</f>
        <v>1.1015176036994645</v>
      </c>
      <c r="E75" s="1">
        <f>IF(COUNT(C75:D75)=2,D75-C75,"")</f>
        <v>-1.6136464086301627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IF(810126&gt;0,100*57350/810126,"")</f>
        <v>7.079145713135981</v>
      </c>
      <c r="L75" s="1">
        <f>IF(COUNT(J75:K75)=2,K75-J75,"")</f>
        <v>-46.2219045427827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IF(1342175&gt;0,100*230679/1342175,"")</f>
        <v>17.186954011213142</v>
      </c>
      <c r="S75" s="1">
        <f>IF(COUNT(Q75:R75)=2,R75-Q75,"")</f>
        <v>-26.894407215419296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IF(659487&gt;0,100*153208/659487,"")</f>
        <v>23.23139045955417</v>
      </c>
      <c r="E76" s="1">
        <f>IF(COUNT(C76:D76)=2,D76-C76,"")</f>
        <v>-13.79954042325182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IF(2202295&gt;0,100*529760/2202295,"")</f>
        <v>24.054906359048175</v>
      </c>
      <c r="L76" s="1">
        <f>IF(COUNT(J76:K76)=2,K76-J76,"")</f>
        <v>-19.449351590187334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IF(2002389&gt;0,100*527314/2002389,"")</f>
        <v>26.334243745845587</v>
      </c>
      <c r="S76" s="1">
        <f>IF(COUNT(Q76:R76)=2,R76-Q76,"")</f>
        <v>-14.526927034200337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IF(1493041&gt;0,100*426488/1493041,"")</f>
        <v>28.56505615050089</v>
      </c>
      <c r="E77" s="1">
        <f>IF(COUNT(C77:D77)=2,D77-C77,"")</f>
        <v>-10.674154045665066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IF(2255345&gt;0,100*599611/2255345,"")</f>
        <v>26.586220733413292</v>
      </c>
      <c r="L77" s="1">
        <f>IF(COUNT(J77:K77)=2,K77-J77,"")</f>
        <v>-15.877457311875496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IF(1036132&gt;0,100*20016/1036132,"")</f>
        <v>1.9318001953419062</v>
      </c>
      <c r="S77" s="1">
        <f>IF(COUNT(Q77:R77)=2,R77-Q77,"")</f>
        <v>-2.017380885325475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IF(1477714&gt;0,100*406375/1477714,"")</f>
        <v>27.50024700314134</v>
      </c>
      <c r="E78" s="1">
        <f>IF(COUNT(C78:D78)=2,D78-C78,"")</f>
        <v>-17.77558362568272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IF(1122838&gt;0,100*198702/1122838,"")</f>
        <v>17.696408564726166</v>
      </c>
      <c r="L78" s="1">
        <f>IF(COUNT(J78:K78)=2,K78-J78,"")</f>
        <v>-29.81747306673159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IF(1151961&gt;0,100*200042/1151961,"")</f>
        <v>17.36534483372267</v>
      </c>
      <c r="S78" s="1">
        <f>IF(COUNT(Q78:R78)=2,R78-Q78,"")</f>
        <v>-35.41233351494441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IF(842366&gt;0,100*43376/842366,"")</f>
        <v>5.149305646239283</v>
      </c>
      <c r="E79" s="1">
        <f>IF(COUNT(C79:D79)=2,D79-C79,"")</f>
        <v>-43.60008903257612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IF(2565795&gt;0,100*720989/2565795,"")</f>
        <v>28.100023579436392</v>
      </c>
      <c r="L79" s="1">
        <f>IF(COUNT(J79:K79)=2,K79-J79,"")</f>
        <v>-18.72131711269392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IF(2516555&gt;0,100*773802/2516555,"")</f>
        <v>30.748463673553726</v>
      </c>
      <c r="S79" s="1">
        <f>IF(COUNT(Q79:R79)=2,R79-Q79,"")</f>
        <v>-18.183779872692508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IF(794128&gt;0,100*179636/794128,"")</f>
        <v>22.620534724880624</v>
      </c>
      <c r="E80" s="1">
        <f>IF(COUNT(C80:D80)=2,D80-C80,"")</f>
        <v>-16.087555322591133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IF(1803397&gt;0,100*413281/1803397,"")</f>
        <v>22.91680644916233</v>
      </c>
      <c r="L80" s="1">
        <f>IF(COUNT(J80:K80)=2,K80-J80,"")</f>
        <v>-16.383526749355617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IF(1070978&gt;0,100*110687/1070978,"")</f>
        <v>10.335132934570085</v>
      </c>
      <c r="S80" s="1">
        <f>IF(COUNT(Q80:R80)=2,R80-Q80,"")</f>
        <v>-32.483565954674646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IF(1528787&gt;0,100*418817/1528787,"")</f>
        <v>27.395379474053613</v>
      </c>
      <c r="E81" s="1">
        <f>IF(COUNT(C81:D81)=2,D81-C81,"")</f>
        <v>-14.729105123378332</v>
      </c>
      <c r="H81" s="1">
        <v>7</v>
      </c>
      <c r="I81" s="1">
        <v>6</v>
      </c>
      <c r="J81" s="1">
        <f>IF(710153&gt;0,100*3904/710153,"")</f>
        <v>0.5497406896823642</v>
      </c>
      <c r="K81" s="1">
        <f>IF(519142&gt;0,100*4112/519142,"")</f>
        <v>0.7920761564273359</v>
      </c>
      <c r="L81" s="1">
        <f>IF(COUNT(J81:K81)=2,K81-J81,"")</f>
        <v>0.24233546674497164</v>
      </c>
      <c r="O81" s="1">
        <v>7</v>
      </c>
      <c r="P81" s="1">
        <v>6</v>
      </c>
      <c r="Q81" s="1">
        <f>IF(528040&gt;0,100*6901/528040,"")</f>
        <v>1.3069085675327627</v>
      </c>
      <c r="R81" s="1">
        <f>IF(788416&gt;0,100*56156/788416,"")</f>
        <v>7.122635765890088</v>
      </c>
      <c r="S81" s="1">
        <f>IF(COUNT(Q81:R81)=2,R81-Q81,"")</f>
        <v>5.815727198357325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IF(2007471&gt;0,100*660938/2007471,"")</f>
        <v>32.923912724019424</v>
      </c>
      <c r="E82" s="1">
        <f>IF(COUNT(C82:D82)=2,D82-C82,"")</f>
        <v>-13.715522150794229</v>
      </c>
      <c r="H82" s="1">
        <v>8</v>
      </c>
      <c r="I82" s="1">
        <v>7</v>
      </c>
      <c r="J82" s="1">
        <f>IF(619510&gt;0,100*7411/619510,"")</f>
        <v>1.1962680182725056</v>
      </c>
      <c r="K82" s="1">
        <f>IF(539902&gt;0,100*4036/539902,"")</f>
        <v>0.7475430726316998</v>
      </c>
      <c r="L82" s="1">
        <f>IF(COUNT(J82:K82)=2,K82-J82,"")</f>
        <v>-0.4487249456408058</v>
      </c>
      <c r="O82" s="1">
        <v>8</v>
      </c>
      <c r="P82" s="1">
        <v>7</v>
      </c>
      <c r="Q82" s="1">
        <f>IF(665002&gt;0,100*8971/665002,"")</f>
        <v>1.3490184991924836</v>
      </c>
      <c r="R82" s="1">
        <f>IF(760882&gt;0,100*26876/760882,"")</f>
        <v>3.532216559203661</v>
      </c>
      <c r="S82" s="1">
        <f>IF(COUNT(Q82:R82)=2,R82-Q82,"")</f>
        <v>2.1831980600111773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IF(1914651&gt;0,100*555412/1914651,"")</f>
        <v>29.00852426891376</v>
      </c>
      <c r="E83" s="1">
        <f>IF(COUNT(C83:D83)=2,D83-C83,"")</f>
        <v>-3.194892937099233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IF(2224252&gt;0,100*652652/2224252,"")</f>
        <v>29.34253852531098</v>
      </c>
      <c r="L83" s="1">
        <f>IF(COUNT(J83:K83)=2,K83-J83,"")</f>
        <v>-15.542799425273866</v>
      </c>
      <c r="O83" s="1">
        <v>9</v>
      </c>
      <c r="P83" s="1">
        <v>8</v>
      </c>
      <c r="Q83" s="1">
        <f>IF(1967808&gt;0,100*766923/1967808,"")</f>
        <v>38.9734669236023</v>
      </c>
      <c r="R83" s="1">
        <f>IF(2175275&gt;0,100*613578/2175275,"")</f>
        <v>28.206916366896138</v>
      </c>
      <c r="S83" s="1">
        <f>IF(COUNT(Q83:R83)=2,R83-Q83,"")</f>
        <v>-10.766550556706164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IF(624813&gt;0,100*10580/624813,"")</f>
        <v>1.6933066373458938</v>
      </c>
      <c r="E84" s="1">
        <f>IF(COUNT(C84:D84)=2,D84-C84,"")</f>
        <v>0.0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IF(1247480&gt;0,100*218443/1247480,"")</f>
        <v>17.510741655176837</v>
      </c>
      <c r="L84" s="1">
        <f>IF(COUNT(J84:K84)=2,K84-J84,"")</f>
        <v>-32.67626817774332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IF(1209830&gt;0,100*119234/1209830,"")</f>
        <v>9.85543423456188</v>
      </c>
      <c r="S84" s="1">
        <f>IF(COUNT(Q84:R84)=2,R84-Q84,"")</f>
        <v>-6.157049996558744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IF(1519579&gt;0,100*476825/1519579,"")</f>
        <v>31.37875687937251</v>
      </c>
      <c r="E85" s="1">
        <f>IF(COUNT(C85:D85)=2,D85-C85,"")</f>
        <v>-16.43448248354369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IF(1093926&gt;0,100*109934/1093926,"")</f>
        <v>10.049491464687739</v>
      </c>
      <c r="L85" s="1">
        <f>IF(COUNT(J85:K85)=2,K85-J85,"")</f>
        <v>-45.394745651878445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IF(989856&gt;0,100*94731/989856,"")</f>
        <v>9.570179904955872</v>
      </c>
      <c r="S85" s="1">
        <f>IF(COUNT(Q85:R85)=2,R85-Q85,"")</f>
        <v>-39.0301906473595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IF(1393607&gt;0,100*369149/1393607,"")</f>
        <v>26.488744674789952</v>
      </c>
      <c r="E86" s="1">
        <f>IF(COUNT(C86:D86)=2,D86-C86,"")</f>
        <v>-16.73941557359481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IF(1359057&gt;0,100*199938/1359057,"")</f>
        <v>14.711524240705137</v>
      </c>
      <c r="L86" s="1">
        <f>IF(COUNT(J86:K86)=2,K86-J86,"")</f>
        <v>-32.95193460324072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IF(1068563&gt;0,100*94202/1068563,"")</f>
        <v>8.815764723277898</v>
      </c>
      <c r="S86" s="1">
        <f>IF(COUNT(Q86:R86)=2,R86-Q86,"")</f>
        <v>-39.824404519261165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IF(752334&gt;0,100*38579/752334,"")</f>
        <v>5.127908615056611</v>
      </c>
      <c r="E87" s="1">
        <f>IF(COUNT(C87:D87)=2,D87-C87,"")</f>
        <v>-23.05674108846134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IF(1370502&gt;0,100*142107/1370502,"")</f>
        <v>10.3689742882535</v>
      </c>
      <c r="L87" s="1">
        <f>IF(COUNT(J87:K87)=2,K87-J87,"")</f>
        <v>-34.22443947339521</v>
      </c>
      <c r="O87" s="1">
        <v>13</v>
      </c>
      <c r="P87" s="1">
        <v>12</v>
      </c>
      <c r="Q87" s="1">
        <f>IF(818878&gt;0,100*7212/818878,"")</f>
        <v>0.8807172741238621</v>
      </c>
      <c r="R87" s="1">
        <f>IF(818878&gt;0,100*7212/818878,"")</f>
        <v>0.8807172741238621</v>
      </c>
      <c r="S87" s="1">
        <f>IF(COUNT(Q87:R87)=2,R87-Q87,"")</f>
        <v>0.0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IF(586774&gt;0,100*64620/586774,"")</f>
        <v>11.012757893158184</v>
      </c>
      <c r="E88" s="1">
        <f>IF(COUNT(C88:D88)=2,D88-C88,"")</f>
        <v>-9.482110113333281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IF(1440285&gt;0,100*298104/1440285,"")</f>
        <v>20.697570272550223</v>
      </c>
      <c r="L88" s="1">
        <f>IF(COUNT(J88:K88)=2,K88-J88,"")</f>
        <v>-12.314750992354718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IF(901404&gt;0,100*132859/901404,"")</f>
        <v>14.739118086895553</v>
      </c>
      <c r="S88" s="1">
        <f>IF(COUNT(Q88:R88)=2,R88-Q88,"")</f>
        <v>2.7772097360538623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IF(2132630&gt;0,100*746168/2132630,"")</f>
        <v>34.98816015905244</v>
      </c>
      <c r="E89" s="1">
        <f>IF(COUNT(C89:D89)=2,D89-C89,"")</f>
        <v>-7.281374785507154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IF(1657059&gt;0,100*338833/1657059,"")</f>
        <v>20.447853697424172</v>
      </c>
      <c r="L89" s="1">
        <f>IF(COUNT(J89:K89)=2,K89-J89,"")</f>
        <v>1.2747347196585181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IF(1401029&gt;0,100*181990/1401029,"")</f>
        <v>12.989738256667064</v>
      </c>
      <c r="S89" s="1">
        <f>IF(COUNT(Q89:R89)=2,R89-Q89,"")</f>
        <v>-13.311124677565868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IF(1707164&gt;0,100*521451/1707164,"")</f>
        <v>30.544868565644542</v>
      </c>
      <c r="E90" s="1">
        <f>IF(COUNT(C90:D90)=2,D90-C90,"")</f>
        <v>-10.41245962632052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IF(1295506&gt;0,100*141827/1295506,"")</f>
        <v>10.947614291249906</v>
      </c>
      <c r="L90" s="1">
        <f>IF(COUNT(J90:K90)=2,K90-J90,"")</f>
        <v>-32.42195098739906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IF(1873408&gt;0,100*505410/1873408,"")</f>
        <v>26.97810621071331</v>
      </c>
      <c r="S90" s="1">
        <f>IF(COUNT(Q90:R90)=2,R90-Q90,"")</f>
        <v>-24.010094663506745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IF(471239&gt;0,100*26313/471239,"")</f>
        <v>5.583790815276325</v>
      </c>
      <c r="E91" s="1">
        <f>IF(COUNT(C91:D91)=2,D91-C91,"")</f>
        <v>1.89293115396165</v>
      </c>
      <c r="H91" s="1">
        <v>17</v>
      </c>
      <c r="I91" s="1">
        <v>16</v>
      </c>
      <c r="J91" s="1">
        <f>IF(88900&gt;0,100*3265/88900,"")</f>
        <v>3.6726659167604048</v>
      </c>
      <c r="K91" s="1">
        <f>IF(88900&gt;0,100*3265/88900,"")</f>
        <v>3.6726659167604048</v>
      </c>
      <c r="L91" s="1">
        <f>IF(COUNT(J91:K91)=2,K91-J91,"")</f>
        <v>0.0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IF(1816865&gt;0,100*487813/1816865,"")</f>
        <v>26.84916050449538</v>
      </c>
      <c r="S91" s="1">
        <f>IF(COUNT(Q91:R91)=2,R91-Q91,"")</f>
        <v>-15.072247461372115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IF(537609&gt;0,100*13658/537609,"")</f>
        <v>2.540508064411124</v>
      </c>
      <c r="E92" s="1">
        <f>IF(COUNT(C92:D92)=2,D92-C92,"")</f>
        <v>-19.566937810472485</v>
      </c>
      <c r="H92" s="1">
        <v>18</v>
      </c>
      <c r="I92" s="1">
        <v>17</v>
      </c>
      <c r="J92" s="4"/>
      <c r="K92" s="1">
        <f>IF(1164558&gt;0,100*117999/1164558,"")</f>
        <v>10.132513794933356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IF(1189370&gt;0,100*90502/1189370,"")</f>
        <v>7.609238504418306</v>
      </c>
      <c r="S92" s="1">
        <f>IF(COUNT(Q92:R92)=2,R92-Q92,"")</f>
        <v>-37.49245145148766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IF(1911838&gt;0,100*692776/1911838,"")</f>
        <v>36.236124608884225</v>
      </c>
      <c r="E93" s="1">
        <f>IF(COUNT(C93:D93)=2,D93-C93,"")</f>
        <v>-10.100036985917917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IF(1173195&gt;0,100*222546/1173195,"")</f>
        <v>18.96922506488691</v>
      </c>
      <c r="L93" s="1">
        <f>IF(COUNT(J93:K93)=2,K93-J93,"")</f>
        <v>-17.954048427972193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IF(791467&gt;0,100*93409/791467,"")</f>
        <v>11.802008169639416</v>
      </c>
      <c r="S93" s="1">
        <f>IF(COUNT(Q93:R93)=2,R93-Q93,"")</f>
        <v>-26.025845025623347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IF(1928046&gt;0,100*489318/1928046,"")</f>
        <v>25.3789588007755</v>
      </c>
      <c r="E94" s="1">
        <f>IF(COUNT(C94:D94)=2,D94-C94,"")</f>
        <v>-16.30041887919777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IF(1880757&gt;0,100*459608/1880757,"")</f>
        <v>24.43739409184706</v>
      </c>
      <c r="L94" s="1">
        <f>IF(COUNT(J94:K94)=2,K94-J94,"")</f>
        <v>-17.358448052083602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IF(1572654&gt;0,100*356780/1572654,"")</f>
        <v>22.68649048042354</v>
      </c>
      <c r="S94" s="1">
        <f>IF(COUNT(Q94:R94)=2,R94-Q94,"")</f>
        <v>-23.4972011120831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IF(769157&gt;0,100*55973/769157,"")</f>
        <v>7.277187882317914</v>
      </c>
      <c r="E95" s="1">
        <f>IF(COUNT(C95:D95)=2,D95-C95,"")</f>
        <v>-42.53988630292736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IF(1038588&gt;0,100*178800/1038588,"")</f>
        <v>17.215681290367307</v>
      </c>
      <c r="L95" s="1">
        <f>IF(COUNT(J95:K95)=2,K95-J95,"")</f>
        <v>-32.5072072147809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IF(1578823&gt;0,100*317756/1578823,"")</f>
        <v>20.12613193499208</v>
      </c>
      <c r="S95" s="1">
        <f>IF(COUNT(Q95:R95)=2,R95-Q95,"")</f>
        <v>-26.633130779407054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IF(1963326&gt;0,100*538045/1963326,"")</f>
        <v>27.404771291166114</v>
      </c>
      <c r="E96" s="1">
        <f>IF(COUNT(C96:D96)=2,D96-C96,"")</f>
        <v>0.7900778082517697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IF(2065091&gt;0,100*551950/2065091,"")</f>
        <v>26.727635731306755</v>
      </c>
      <c r="L96" s="1">
        <f>IF(COUNT(J96:K96)=2,K96-J96,"")</f>
        <v>-18.910776896265077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IF(2196986&gt;0,100*575223/2196986,"")</f>
        <v>26.182369846689966</v>
      </c>
      <c r="S96" s="1">
        <f>IF(COUNT(Q96:R96)=2,R96-Q96,"")</f>
        <v>-6.977501798293993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IF(406810&gt;0,100*491/406810,"")</f>
        <v>0.12069516481895726</v>
      </c>
      <c r="E97" s="1">
        <f>IF(COUNT(C97:D97)=2,D97-C97,"")</f>
        <v>0.0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IF(1700068&gt;0,100*322624/1700068,"")</f>
        <v>18.977123268010455</v>
      </c>
      <c r="L97" s="1">
        <f>IF(COUNT(J97:K97)=2,K97-J97,"")</f>
        <v>-30.365960462126328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IF(1865966&gt;0,100*524131/1865966,"")</f>
        <v>28.08898983154034</v>
      </c>
      <c r="S97" s="1">
        <f>IF(COUNT(Q97:R97)=2,R97-Q97,"")</f>
        <v>-14.49832750765195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IF(799394&gt;0,100*4032/799394,"")</f>
        <v>0.5043820694175838</v>
      </c>
      <c r="E98" s="1">
        <f>IF(COUNT(C98:D98)=2,D98-C98,"")</f>
        <v>-39.16922658174577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IF(1309085&gt;0,100*171572/1309085,"")</f>
        <v>13.106253604616965</v>
      </c>
      <c r="L98" s="1">
        <f>IF(COUNT(J98:K98)=2,K98-J98,"")</f>
        <v>-30.132000722366847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IF(1615346&gt;0,100*370551/1615346,"")</f>
        <v>22.93941978993974</v>
      </c>
      <c r="S98" s="1">
        <f>IF(COUNT(Q98:R98)=2,R98-Q98,"")</f>
        <v>-17.847320318079113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IF(1824223&gt;0,100*495729/1824223,"")</f>
        <v>27.174802642001552</v>
      </c>
      <c r="E99" s="1">
        <f>IF(COUNT(C99:D99)=2,D99-C99,"")</f>
        <v>-14.268666639112347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IF(1242222&gt;0,100*109096/1242222,"")</f>
        <v>8.78232715247355</v>
      </c>
      <c r="L99" s="1">
        <f>IF(COUNT(J99:K99)=2,K99-J99,"")</f>
        <v>-41.48131733338768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IF(1110905&gt;0,100*191595/1110905,"")</f>
        <v>17.246749271989955</v>
      </c>
      <c r="S99" s="1">
        <f>IF(COUNT(Q99:R99)=2,R99-Q99,"")</f>
        <v>-20.138622150465743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IF(1948751&gt;0,100*667050/1948751,"")</f>
        <v>34.22961681610426</v>
      </c>
      <c r="E100" s="1">
        <f>IF(COUNT(C100:D100)=2,D100-C100,"")</f>
        <v>-11.884918610190383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IF(1006192&gt;0,100*176676/1006192,"")</f>
        <v>17.558875443255364</v>
      </c>
      <c r="L100" s="1">
        <f>IF(COUNT(J100:K100)=2,K100-J100,"")</f>
        <v>11.722326977222986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IF(1757675&gt;0,100*297646/1757675,"")</f>
        <v>16.934074843187734</v>
      </c>
      <c r="S100" s="1">
        <f>IF(COUNT(Q100:R100)=2,R100-Q100,"")</f>
        <v>-36.871912283285965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IF(1882161&gt;0,100*663990/1882161,"")</f>
        <v>35.278066010293486</v>
      </c>
      <c r="E101" s="1">
        <f>IF(COUNT(C101:D101)=2,D101-C101,"")</f>
        <v>-15.692261208120911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IF(1585533&gt;0,100*250949/1585533,"")</f>
        <v>15.827422071946783</v>
      </c>
      <c r="L101" s="1">
        <f>IF(COUNT(J101:K101)=2,K101-J101,"")</f>
        <v>-9.537560268349958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IF(1701918&gt;0,100*301109/1701918,"")</f>
        <v>17.69233300311766</v>
      </c>
      <c r="S101" s="1">
        <f>IF(COUNT(Q101:R101)=2,R101-Q101,"")</f>
        <v>-4.852319516730308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IF(408366&gt;0,100*1300/408366,"")</f>
        <v>0.3183418795884084</v>
      </c>
      <c r="E102" s="1">
        <f>IF(COUNT(C102:D102)=2,D102-C102,"")</f>
        <v>0.0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IF(1988813&gt;0,100*507810/1988813,"")</f>
        <v>25.533320628937965</v>
      </c>
      <c r="L102" s="1">
        <f>IF(COUNT(J102:K102)=2,K102-J102,"")</f>
        <v>-4.8117291393167285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IF(1769689&gt;0,100*413204/1769689,"")</f>
        <v>23.348961314671673</v>
      </c>
      <c r="S102" s="1">
        <f>IF(COUNT(Q102:R102)=2,R102-Q102,"")</f>
        <v>-16.846116796137135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IF(2087796&gt;0,100*698525/2087796,"")</f>
        <v>33.45753129137138</v>
      </c>
      <c r="E103" s="1">
        <f>IF(COUNT(C103:D103)=2,D103-C103,"")</f>
        <v>-13.485103274760071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IF(1622091&gt;0,100*343460/1622091,"")</f>
        <v>21.173904546662303</v>
      </c>
      <c r="L103" s="1">
        <f>IF(COUNT(J103:K103)=2,K103-J103,"")</f>
        <v>-27.687771981708014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IF(1843863&gt;0,100*430185/1843863,"")</f>
        <v>23.330637905310752</v>
      </c>
      <c r="S103" s="1">
        <f>IF(COUNT(Q103:R103)=2,R103-Q103,"")</f>
        <v>-20.43459987998896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IF(1559392&gt;0,100*396775/1559392,"")</f>
        <v>25.444211590158215</v>
      </c>
      <c r="E104" s="1">
        <f>IF(COUNT(C104:D104)=2,D104-C104,"")</f>
        <v>-21.637415096380348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IF(1533717&gt;0,100*310375/1533717,"")</f>
        <v>20.236784230728354</v>
      </c>
      <c r="L104" s="1">
        <f>IF(COUNT(J104:K104)=2,K104-J104,"")</f>
        <v>-11.739523897701112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IF(539376&gt;0,100*6109/539376,"")</f>
        <v>1.132605084393818</v>
      </c>
      <c r="S104" s="1">
        <f>IF(COUNT(Q104:R104)=2,R104-Q104,"")</f>
        <v>-0.22691432069644124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IF(817293&gt;0,100*38711/817293,"")</f>
        <v>4.7364898512528555</v>
      </c>
      <c r="E105" s="1">
        <f>IF(COUNT(C105:D105)=2,D105-C105,"")</f>
        <v>-22.416167450301195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IF(1708543&gt;0,100*395525/1708543,"")</f>
        <v>23.14984170723242</v>
      </c>
      <c r="L105" s="1">
        <f>IF(COUNT(J105:K105)=2,K105-J105,"")</f>
        <v>-1.6356353196844289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IF(1734067&gt;0,100*390227/1734067,"")</f>
        <v>22.503571084623605</v>
      </c>
      <c r="S105" s="1">
        <f>IF(COUNT(Q105:R105)=2,R105-Q105,"")</f>
        <v>-22.68391725238494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19.4972854921697</v>
      </c>
      <c r="E106" s="1">
        <f>IF(COUNT(E75:E105)&gt;0,AVERAGE(E75:E105),"")</f>
        <v>-14.28950653604331</v>
      </c>
      <c r="H106" s="2" t="s">
        <v>6</v>
      </c>
      <c r="I106" s="1"/>
      <c r="J106" s="1">
        <f>IF(COUNT(J75:J105)&gt;0,AVERAGE(J75:J105),"")</f>
        <v>36.69157069983473</v>
      </c>
      <c r="K106" s="1">
        <f>IF(COUNT(K75:K105)&gt;0,AVERAGE(K75:K105),"")</f>
        <v>17.01775508410664</v>
      </c>
      <c r="L106" s="1">
        <f>IF(COUNT(L75:L105)&gt;0,AVERAGE(L75:L105),"")</f>
        <v>-19.444307572755637</v>
      </c>
      <c r="O106" s="2" t="s">
        <v>6</v>
      </c>
      <c r="P106" s="1"/>
      <c r="Q106" s="1">
        <f>IF(COUNT(Q75:Q105)&gt;0,AVERAGE(Q75:Q105),"")</f>
        <v>34.096955178849896</v>
      </c>
      <c r="R106" s="1">
        <f>IF(COUNT(R75:R105)&gt;0,AVERAGE(R75:R105),"")</f>
        <v>16.615016398286013</v>
      </c>
      <c r="S106" s="1">
        <f>IF(COUNT(S75:S105)&gt;0,AVERAGE(S75:S105),"")</f>
        <v>-17.481938780563876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IF(657887&gt;0,100*105765/657887,"")</f>
        <v>16.076469059276135</v>
      </c>
      <c r="E3" s="1">
        <f>IF(COUNT(C3:D3)=2,D3-C3,"")</f>
        <v>-12.35293922587661</v>
      </c>
      <c r="H3" s="1">
        <v>1</v>
      </c>
      <c r="I3" s="1">
        <v>0</v>
      </c>
      <c r="J3" s="1">
        <f>IF(1145550&gt;0,100*291815/1145550,"")</f>
        <v>25.47378988258915</v>
      </c>
      <c r="K3" s="1">
        <f>IF(539998&gt;0,100*51505/539998,"")</f>
        <v>9.537998288882552</v>
      </c>
      <c r="L3" s="1">
        <f>IF(COUNT(J3:K3)=2,K3-J3,"")</f>
        <v>-15.935791593706597</v>
      </c>
      <c r="O3" s="1">
        <v>1</v>
      </c>
      <c r="P3" s="1">
        <v>0</v>
      </c>
      <c r="Q3" s="1">
        <f>IF(1052174&gt;0,100*332764/1052174,"")</f>
        <v>31.626327964766283</v>
      </c>
      <c r="R3" s="1">
        <f>IF(639158&gt;0,100*101462/639158,"")</f>
        <v>15.874322155085284</v>
      </c>
      <c r="S3" s="1">
        <f>IF(COUNT(Q3:R3)=2,R3-Q3,"")</f>
        <v>-15.752005809680998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IF(526892&gt;0,100*130523/526892,"")</f>
        <v>24.772249341421013</v>
      </c>
      <c r="E4" s="1">
        <f>IF(COUNT(C4:D4)=2,D4-C4,"")</f>
        <v>-10.403500198945427</v>
      </c>
      <c r="H4" s="1">
        <v>2</v>
      </c>
      <c r="I4" s="1">
        <v>1</v>
      </c>
      <c r="J4" s="1">
        <f>IF(783729&gt;0,100*130334/783729,"")</f>
        <v>16.629983068126865</v>
      </c>
      <c r="K4" s="1">
        <f>IF(763994&gt;0,100*110275/763994,"")</f>
        <v>14.434013879690154</v>
      </c>
      <c r="L4" s="1">
        <f>IF(COUNT(J4:K4)=2,K4-J4,"")</f>
        <v>-2.1959691884367114</v>
      </c>
      <c r="O4" s="1">
        <v>2</v>
      </c>
      <c r="P4" s="1">
        <v>1</v>
      </c>
      <c r="Q4" s="1">
        <f>IF(1118920&gt;0,100*356409/1118920,"")</f>
        <v>31.852947485074893</v>
      </c>
      <c r="R4" s="1">
        <f>IF(1169269&gt;0,100*261079/1169269,"")</f>
        <v>22.328394920245042</v>
      </c>
      <c r="S4" s="1">
        <f>IF(COUNT(Q4:R4)=2,R4-Q4,"")</f>
        <v>-9.52455256482985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IF(1010857&gt;0,100*227326/1010857,"")</f>
        <v>22.4884429746245</v>
      </c>
      <c r="E5" s="1">
        <f>IF(COUNT(C5:D5)=2,D5-C5,"")</f>
        <v>-14.995348162318432</v>
      </c>
      <c r="H5" s="1">
        <v>3</v>
      </c>
      <c r="I5" s="1">
        <v>2</v>
      </c>
      <c r="J5" s="1">
        <f>IF(1441835&gt;0,100*147851/1441835,"")</f>
        <v>10.25436336335295</v>
      </c>
      <c r="K5" s="1">
        <f>IF(658287&gt;0,100*55855/658287,"")</f>
        <v>8.484900962650029</v>
      </c>
      <c r="L5" s="1">
        <f>IF(COUNT(J5:K5)=2,K5-J5,"")</f>
        <v>-1.7694624007029205</v>
      </c>
      <c r="O5" s="1">
        <v>3</v>
      </c>
      <c r="P5" s="1">
        <v>2</v>
      </c>
      <c r="Q5" s="1">
        <f>IF(1270809&gt;0,100*397332/1270809,"")</f>
        <v>31.266067520768267</v>
      </c>
      <c r="R5" s="1">
        <f>IF(763390&gt;0,100*83888/763390,"")</f>
        <v>10.988878554867107</v>
      </c>
      <c r="S5" s="1">
        <f>IF(COUNT(Q5:R5)=2,R5-Q5,"")</f>
        <v>-20.27718896590116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IF(849240&gt;0,100*170426/849240,"")</f>
        <v>20.068060854411</v>
      </c>
      <c r="E6" s="1">
        <f>IF(COUNT(C6:D6)=2,D6-C6,"")</f>
        <v>-17.098582283368387</v>
      </c>
      <c r="H6" s="1">
        <v>4</v>
      </c>
      <c r="I6" s="1">
        <v>3</v>
      </c>
      <c r="J6" s="1">
        <f>IF(784417&gt;0,100*123870/784417,"")</f>
        <v>15.791345674558302</v>
      </c>
      <c r="K6" s="1">
        <f>IF(535666&gt;0,100*29848/535666,"")</f>
        <v>5.572128901218297</v>
      </c>
      <c r="L6" s="1">
        <f>IF(COUNT(J6:K6)=2,K6-J6,"")</f>
        <v>-10.219216773340005</v>
      </c>
      <c r="O6" s="1">
        <v>4</v>
      </c>
      <c r="P6" s="1">
        <v>3</v>
      </c>
      <c r="Q6" s="1">
        <f>IF(519550&gt;0,100*16403/519550,"")</f>
        <v>3.1571552304879225</v>
      </c>
      <c r="R6" s="1">
        <f>IF(561199&gt;0,100*19813/561199,"")</f>
        <v>3.53047671146955</v>
      </c>
      <c r="S6" s="1">
        <f>IF(COUNT(Q6:R6)=2,R6-Q6,"")</f>
        <v>0.37332148098162765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IF(614268&gt;0,100*101393/614268,"")</f>
        <v>16.506313205311038</v>
      </c>
      <c r="E7" s="1">
        <f>IF(COUNT(C7:D7)=2,D7-C7,"")</f>
        <v>-19.12440967853741</v>
      </c>
      <c r="H7" s="1">
        <v>5</v>
      </c>
      <c r="I7" s="1">
        <v>4</v>
      </c>
      <c r="J7" s="1">
        <f>IF(1148710&gt;0,100*342477/1148710,"")</f>
        <v>29.814052284736793</v>
      </c>
      <c r="K7" s="1">
        <f>IF(938346&gt;0,100*157275/938346,"")</f>
        <v>16.76087498641226</v>
      </c>
      <c r="L7" s="1">
        <f>IF(COUNT(J7:K7)=2,K7-J7,"")</f>
        <v>-13.053177298324531</v>
      </c>
      <c r="O7" s="1">
        <v>5</v>
      </c>
      <c r="P7" s="1">
        <v>4</v>
      </c>
      <c r="Q7" s="1">
        <f>IF(1286267&gt;0,100*497044/1286267,"")</f>
        <v>38.64236585405674</v>
      </c>
      <c r="R7" s="1">
        <f>IF(1224573&gt;0,100*288899/1224573,"")</f>
        <v>23.59181526948577</v>
      </c>
      <c r="S7" s="1">
        <f>IF(COUNT(Q7:R7)=2,R7-Q7,"")</f>
        <v>-15.05055058457097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IF(610696&gt;0,100*83421/610696,"")</f>
        <v>13.659987948177163</v>
      </c>
      <c r="E8" s="1">
        <f>IF(COUNT(C8:D8)=2,D8-C8,"")</f>
        <v>-13.471396704023375</v>
      </c>
      <c r="H8" s="1">
        <v>6</v>
      </c>
      <c r="I8" s="1">
        <v>5</v>
      </c>
      <c r="J8" s="1">
        <f>IF(1039225&gt;0,100*246415/1039225,"")</f>
        <v>23.71141956746614</v>
      </c>
      <c r="K8" s="1">
        <f>IF(917214&gt;0,100*183659/917214,"")</f>
        <v>20.02357138028857</v>
      </c>
      <c r="L8" s="1">
        <f>IF(COUNT(J8:K8)=2,K8-J8,"")</f>
        <v>-3.687848187177572</v>
      </c>
      <c r="O8" s="1">
        <v>6</v>
      </c>
      <c r="P8" s="1">
        <v>5</v>
      </c>
      <c r="Q8" s="1">
        <f>IF(1125005&gt;0,100*295084/1125005,"")</f>
        <v>26.229572313011943</v>
      </c>
      <c r="R8" s="1">
        <f>IF(878297&gt;0,100*134591/878297,"")</f>
        <v>15.324087410067436</v>
      </c>
      <c r="S8" s="1">
        <f>IF(COUNT(Q8:R8)=2,R8-Q8,"")</f>
        <v>-10.905484902944506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IF(941086&gt;0,100*163954/941086,"")</f>
        <v>17.421787169291648</v>
      </c>
      <c r="E9" s="1">
        <f>IF(COUNT(C9:D9)=2,D9-C9,"")</f>
        <v>-19.522098106058905</v>
      </c>
      <c r="H9" s="1">
        <v>7</v>
      </c>
      <c r="I9" s="1">
        <v>6</v>
      </c>
      <c r="J9" s="1">
        <f>IF(356727&gt;0,100*3261/356727,"")</f>
        <v>0.9141444297740289</v>
      </c>
      <c r="K9" s="1">
        <f>IF(430364&gt;0,100*21789/430364,"")</f>
        <v>5.062923478729633</v>
      </c>
      <c r="L9" s="1">
        <f>IF(COUNT(J9:K9)=2,K9-J9,"")</f>
        <v>4.148779048955604</v>
      </c>
      <c r="O9" s="1">
        <v>7</v>
      </c>
      <c r="P9" s="1">
        <v>6</v>
      </c>
      <c r="Q9" s="1">
        <f>IF(851852&gt;0,100*240424/851852,"")</f>
        <v>28.223682048055295</v>
      </c>
      <c r="R9" s="1">
        <f>IF(492898&gt;0,100*31293/492898,"")</f>
        <v>6.348778043327423</v>
      </c>
      <c r="S9" s="1">
        <f>IF(COUNT(Q9:R9)=2,R9-Q9,"")</f>
        <v>-21.874904004727874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IF(876105&gt;0,100*179827/876105,"")</f>
        <v>20.525736070448175</v>
      </c>
      <c r="E10" s="1">
        <f>IF(COUNT(C10:D10)=2,D10-C10,"")</f>
        <v>-20.910280287022402</v>
      </c>
      <c r="H10" s="1">
        <v>8</v>
      </c>
      <c r="I10" s="1">
        <v>7</v>
      </c>
      <c r="J10" s="1">
        <f>IF(278589&gt;0,100*275/278589,"")</f>
        <v>0.09871172228623527</v>
      </c>
      <c r="K10" s="1">
        <f>IF(627353&gt;0,100*71211/627353,"")</f>
        <v>11.3510256586005</v>
      </c>
      <c r="L10" s="1">
        <f>IF(COUNT(J10:K10)=2,K10-J10,"")</f>
        <v>11.252313936314264</v>
      </c>
      <c r="O10" s="1">
        <v>8</v>
      </c>
      <c r="P10" s="1">
        <v>7</v>
      </c>
      <c r="Q10" s="1">
        <f>IF(313581&gt;0,100*3447/313581,"")</f>
        <v>1.09923751757919</v>
      </c>
      <c r="R10" s="1">
        <f>IF(363764&gt;0,100*16755/363764,"")</f>
        <v>4.606008291089828</v>
      </c>
      <c r="S10" s="1">
        <f>IF(COUNT(Q10:R10)=2,R10-Q10,"")</f>
        <v>3.506770773510638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IF(1042449&gt;0,100*221976/1042449,"")</f>
        <v>21.29370357686563</v>
      </c>
      <c r="E11" s="1">
        <f>IF(COUNT(C11:D11)=2,D11-C11,"")</f>
        <v>-14.95023733189354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IF(1266839&gt;0,100*298529/1266839,"")</f>
        <v>23.564872884399676</v>
      </c>
      <c r="L11" s="1">
        <f>IF(COUNT(J11:K11)=2,K11-J11,"")</f>
        <v>-6.138906974059463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IF(1215755&gt;0,100*259274/1215755,"")</f>
        <v>21.32617180270696</v>
      </c>
      <c r="S11" s="1">
        <f>IF(COUNT(Q11:R11)=2,R11-Q11,"")</f>
        <v>-8.673773461357438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IF(431237&gt;0,100*5573/431237,"")</f>
        <v>1.2923288122308614</v>
      </c>
      <c r="E12" s="1">
        <f>IF(COUNT(C12:D12)=2,D12-C12,"")</f>
        <v>-30.17986499609012</v>
      </c>
      <c r="H12" s="1">
        <v>10</v>
      </c>
      <c r="I12" s="1">
        <v>9</v>
      </c>
      <c r="J12" s="1">
        <f>IF(747366&gt;0,100*179400/747366,"")</f>
        <v>24.00430311253121</v>
      </c>
      <c r="K12" s="1">
        <f>IF(702078&gt;0,100*75271/702078,"")</f>
        <v>10.721173430872353</v>
      </c>
      <c r="L12" s="1">
        <f>IF(COUNT(J12:K12)=2,K12-J12,"")</f>
        <v>-13.283129681658858</v>
      </c>
      <c r="O12" s="1">
        <v>10</v>
      </c>
      <c r="P12" s="1">
        <v>9</v>
      </c>
      <c r="Q12" s="1">
        <f>IF(738636&gt;0,100*147882/738636,"")</f>
        <v>20.0209575487791</v>
      </c>
      <c r="R12" s="1">
        <f>IF(490141&gt;0,100*11763/490141,"")</f>
        <v>2.399921655197178</v>
      </c>
      <c r="S12" s="1">
        <f>IF(COUNT(Q12:R12)=2,R12-Q12,"")</f>
        <v>-17.621035893581922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IF(934847&gt;0,100*213439/934847,"")</f>
        <v>22.831436588019216</v>
      </c>
      <c r="E13" s="1">
        <f>IF(COUNT(C13:D13)=2,D13-C13,"")</f>
        <v>-5.917895212421612</v>
      </c>
      <c r="H13" s="1">
        <v>11</v>
      </c>
      <c r="I13" s="1">
        <v>10</v>
      </c>
      <c r="J13" s="1">
        <f>IF(602395&gt;0,100*29717/602395,"")</f>
        <v>4.933141875347571</v>
      </c>
      <c r="K13" s="1">
        <f>IF(702063&gt;0,100*41538/702063,"")</f>
        <v>5.9165630434875505</v>
      </c>
      <c r="L13" s="1">
        <f>IF(COUNT(J13:K13)=2,K13-J13,"")</f>
        <v>0.9834211681399792</v>
      </c>
      <c r="O13" s="1">
        <v>11</v>
      </c>
      <c r="P13" s="1">
        <v>10</v>
      </c>
      <c r="Q13" s="1">
        <f>IF(540292&gt;0,100*4137/540292,"")</f>
        <v>0.7656970675116419</v>
      </c>
      <c r="R13" s="1">
        <f>IF(586138&gt;0,100*16960/586138,"")</f>
        <v>2.8935165438855694</v>
      </c>
      <c r="S13" s="1">
        <f>IF(COUNT(Q13:R13)=2,R13-Q13,"")</f>
        <v>2.1278194763739275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IF(1038658&gt;0,100*262587/1038658,"")</f>
        <v>25.281372694380632</v>
      </c>
      <c r="E14" s="1">
        <f>IF(COUNT(C14:D14)=2,D14-C14,"")</f>
        <v>-9.22205357938147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IF(748351&gt;0,100*90939/748351,"")</f>
        <v>12.15191801708022</v>
      </c>
      <c r="L14" s="1">
        <f>IF(COUNT(J14:K14)=2,K14-J14,"")</f>
        <v>8.829109706876864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IF(599598&gt;0,100*33932/599598,"")</f>
        <v>5.6591249470478555</v>
      </c>
      <c r="S14" s="1">
        <f>IF(COUNT(Q14:R14)=2,R14-Q14,"")</f>
        <v>-30.70408224967325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IF(620838&gt;0,100*62051/620838,"")</f>
        <v>9.994716818235997</v>
      </c>
      <c r="E15" s="1">
        <f>IF(COUNT(C15:D15)=2,D15-C15,"")</f>
        <v>-22.248468516843158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IF(554082&gt;0,100*41966/554082,"")</f>
        <v>7.5739691958951925</v>
      </c>
      <c r="L15" s="1">
        <f>IF(COUNT(J15:K15)=2,K15-J15,"")</f>
        <v>-29.65237908611932</v>
      </c>
      <c r="O15" s="1">
        <v>13</v>
      </c>
      <c r="P15" s="1">
        <v>12</v>
      </c>
      <c r="Q15" s="1">
        <f>IF(521892&gt;0,100*47266/521892,"")</f>
        <v>9.0566630643888</v>
      </c>
      <c r="R15" s="1">
        <f>IF(529472&gt;0,100*49997/529472,"")</f>
        <v>9.442803396591321</v>
      </c>
      <c r="S15" s="1">
        <f>IF(COUNT(Q15:R15)=2,R15-Q15,"")</f>
        <v>0.38614033220252075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IF(516444&gt;0,100*17586/516444,"")</f>
        <v>3.405209470920371</v>
      </c>
      <c r="E16" s="1">
        <f>IF(COUNT(C16:D16)=2,D16-C16,"")</f>
        <v>-19.283855991802366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IF(811300&gt;0,100*169481/811300,"")</f>
        <v>20.89005300135585</v>
      </c>
      <c r="L16" s="1">
        <f>IF(COUNT(J16:K16)=2,K16-J16,"")</f>
        <v>-1.2800687793558367</v>
      </c>
      <c r="O16" s="1">
        <v>14</v>
      </c>
      <c r="P16" s="1">
        <v>13</v>
      </c>
      <c r="Q16" s="1">
        <f>IF(385878&gt;0,100*7402/385878,"")</f>
        <v>1.9182228580017517</v>
      </c>
      <c r="R16" s="1">
        <f>IF(553479&gt;0,100*51951/553479,"")</f>
        <v>9.386263977495082</v>
      </c>
      <c r="S16" s="1">
        <f>IF(COUNT(Q16:R16)=2,R16-Q16,"")</f>
        <v>7.46804111949333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IF(1018447&gt;0,100*204343/1018447,"")</f>
        <v>20.064176142695693</v>
      </c>
      <c r="E17" s="1">
        <f>IF(COUNT(C17:D17)=2,D17-C17,"")</f>
        <v>-12.95598023663377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IF(946000&gt;0,100*164825/946000,"")</f>
        <v>17.423361522198732</v>
      </c>
      <c r="L17" s="1">
        <f>IF(COUNT(J17:K17)=2,K17-J17,"")</f>
        <v>-21.355988482346113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IF(895419&gt;0,100*157333/895419,"")</f>
        <v>17.570880224788617</v>
      </c>
      <c r="S17" s="1">
        <f>IF(COUNT(Q17:R17)=2,R17-Q17,"")</f>
        <v>-15.1065225834433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IF(1137961&gt;0,100*304428/1137961,"")</f>
        <v>26.75205916547228</v>
      </c>
      <c r="E18" s="1">
        <f>IF(COUNT(C18:D18)=2,D18-C18,"")</f>
        <v>-7.681214102881665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IF(551434&gt;0,100*44498/551434,"")</f>
        <v>8.06950605149483</v>
      </c>
      <c r="L18" s="1">
        <f>IF(COUNT(J18:K18)=2,K18-J18,"")</f>
        <v>-22.013739792732387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IF(577114&gt;0,100*32624/577114,"")</f>
        <v>5.652955915122488</v>
      </c>
      <c r="S18" s="1">
        <f>IF(COUNT(Q18:R18)=2,R18-Q18,"")</f>
        <v>-27.61506716098225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IF(310840&gt;0,100*2512/310840,"")</f>
        <v>0.808132801441256</v>
      </c>
      <c r="E19" s="1">
        <f>IF(COUNT(C19:D19)=2,D19-C19,"")</f>
        <v>-8.291921489108995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IF(1034136&gt;0,100*197509/1034136,"")</f>
        <v>19.09893863089574</v>
      </c>
      <c r="L19" s="1">
        <f>IF(COUNT(J19:K19)=2,K19-J19,"")</f>
        <v>-18.275825843399968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IF(779284&gt;0,100*174344/779284,"")</f>
        <v>22.37233152483562</v>
      </c>
      <c r="S19" s="1">
        <f>IF(COUNT(Q19:R19)=2,R19-Q19,"")</f>
        <v>1.1209837597938161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IF(335996&gt;0,100*2726/335996,"")</f>
        <v>0.8113191823712187</v>
      </c>
      <c r="E20" s="1">
        <f>IF(COUNT(C20:D20)=2,D20-C20,"")</f>
        <v>0.12797506710714512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IF(553614&gt;0,100*27830/553614,"")</f>
        <v>5.026968248635331</v>
      </c>
      <c r="L20" s="1">
        <f>IF(COUNT(J20:K20)=2,K20-J20,"")</f>
        <v>-20.23788288146446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IF(737585&gt;0,100*105072/737585,"")</f>
        <v>14.245409003708048</v>
      </c>
      <c r="S20" s="1">
        <f>IF(COUNT(Q20:R20)=2,R20-Q20,"")</f>
        <v>-15.217225091345426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IF(1238600&gt;0,100*343379/1238600,"")</f>
        <v>27.723155175197803</v>
      </c>
      <c r="E21" s="1">
        <f>IF(COUNT(C21:D21)=2,D21-C21,"")</f>
        <v>-7.7392486814641615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IF(636164&gt;0,100*74265/636164,"")</f>
        <v>11.673876547556919</v>
      </c>
      <c r="L21" s="1">
        <f>IF(COUNT(J21:K21)=2,K21-J21,"")</f>
        <v>-3.7906945197042674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IF(671463&gt;0,100*93137/671463,"")</f>
        <v>13.870756839915229</v>
      </c>
      <c r="S21" s="1">
        <f>IF(COUNT(Q21:R21)=2,R21-Q21,"")</f>
        <v>-5.427203189385766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IF(590863&gt;0,100*23017/590863,"")</f>
        <v>3.8954884634847673</v>
      </c>
      <c r="E22" s="1">
        <f>IF(COUNT(C22:D22)=2,D22-C22,"")</f>
        <v>-28.900077891246838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IF(651638&gt;0,100*75649/651638,"")</f>
        <v>11.60905287905248</v>
      </c>
      <c r="L22" s="1">
        <f>IF(COUNT(J22:K22)=2,K22-J22,"")</f>
        <v>0.3700632488689468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IF(738748&gt;0,100*132249/738748,"")</f>
        <v>17.901774353365422</v>
      </c>
      <c r="S22" s="1">
        <f>IF(COUNT(Q22:R22)=2,R22-Q22,"")</f>
        <v>-11.166405831992723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IF(878746&gt;0,100*183388/878746,"")</f>
        <v>20.86928418450838</v>
      </c>
      <c r="E23" s="1">
        <f>IF(COUNT(C23:D23)=2,D23-C23,"")</f>
        <v>-3.578720525025197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IF(711792&gt;0,100*73652/711792,"")</f>
        <v>10.347404859846696</v>
      </c>
      <c r="L23" s="1">
        <f>IF(COUNT(J23:K23)=2,K23-J23,"")</f>
        <v>-28.051666689618656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IF(1049335&gt;0,100*170668/1049335,"")</f>
        <v>16.264396022242657</v>
      </c>
      <c r="S23" s="1">
        <f>IF(COUNT(Q23:R23)=2,R23-Q23,"")</f>
        <v>-7.156875118520961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IF(1097191&gt;0,100*218915/1097191,"")</f>
        <v>19.952314592445617</v>
      </c>
      <c r="E24" s="1">
        <f>IF(COUNT(C24:D24)=2,D24-C24,"")</f>
        <v>-14.404650219495657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IF(1045305&gt;0,100*169764/1045305,"")</f>
        <v>16.24061876677142</v>
      </c>
      <c r="L24" s="1">
        <f>IF(COUNT(J24:K24)=2,K24-J24,"")</f>
        <v>-14.63649578873709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IF(996136&gt;0,100*213323/996136,"")</f>
        <v>21.41504774448469</v>
      </c>
      <c r="S24" s="1">
        <f>IF(COUNT(Q24:R24)=2,R24-Q24,"")</f>
        <v>-1.7227578191071125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IF(272812&gt;0,100*4141/272812,"")</f>
        <v>1.5178951072533466</v>
      </c>
      <c r="E25" s="1">
        <f>IF(COUNT(C25:D25)=2,D25-C25,"")</f>
        <v>1.291871894058478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IF(824868&gt;0,100*126757/824868,"")</f>
        <v>15.366943559454361</v>
      </c>
      <c r="L25" s="1">
        <f>IF(COUNT(J25:K25)=2,K25-J25,"")</f>
        <v>-3.147835392520884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IF(630244&gt;0,100*55292/630244,"")</f>
        <v>8.77311009704178</v>
      </c>
      <c r="S25" s="1">
        <f>IF(COUNT(Q25:R25)=2,R25-Q25,"")</f>
        <v>-23.496662956636527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IF(355697&gt;0,100*35552/355697,"")</f>
        <v>9.995023854572853</v>
      </c>
      <c r="E26" s="1">
        <f>IF(COUNT(C26:D26)=2,D26-C26,"")</f>
        <v>-11.238517957837743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IF(489459&gt;0,100*19033/489459,"")</f>
        <v>3.888579022962087</v>
      </c>
      <c r="L26" s="1">
        <f>IF(COUNT(J26:K26)=2,K26-J26,"")</f>
        <v>-28.764888138844565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IF(498997&gt;0,100*10399/498997,"")</f>
        <v>2.083980464812414</v>
      </c>
      <c r="S26" s="1">
        <f>IF(COUNT(Q26:R26)=2,R26-Q26,"")</f>
        <v>-24.18114385085231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IF(1168503&gt;0,100*299728/1168503,"")</f>
        <v>25.65059738828227</v>
      </c>
      <c r="E27" s="1">
        <f>IF(COUNT(C27:D27)=2,D27-C27,"")</f>
        <v>-11.417244163113601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IF(381414&gt;0,100*4534/381414,"")</f>
        <v>1.1887345509079372</v>
      </c>
      <c r="L27" s="1">
        <f>IF(COUNT(J27:K27)=2,K27-J27,"")</f>
        <v>-19.350740455716153</v>
      </c>
      <c r="O27" s="1">
        <v>25</v>
      </c>
      <c r="P27" s="1">
        <v>24</v>
      </c>
      <c r="Q27" s="1">
        <f>IF(682080&gt;0,100*56444/682080,"")</f>
        <v>8.275275627492377</v>
      </c>
      <c r="R27" s="1">
        <f>IF(690864&gt;0,100*62956/690864,"")</f>
        <v>9.112647351721902</v>
      </c>
      <c r="S27" s="1">
        <f>IF(COUNT(Q27:R27)=2,R27-Q27,"")</f>
        <v>0.8373717242295253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IF(927386&gt;0,100*181465/927386,"")</f>
        <v>19.56736461408734</v>
      </c>
      <c r="E28" s="1">
        <f>IF(COUNT(C28:D28)=2,D28-C28,"")</f>
        <v>-20.424441654421848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IF(877380&gt;0,100*139492/877380,"")</f>
        <v>15.898698397501652</v>
      </c>
      <c r="L28" s="1">
        <f>IF(COUNT(J28:K28)=2,K28-J28,"")</f>
        <v>-16.066161801285247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IF(928416&gt;0,100*149016/928416,"")</f>
        <v>16.050563540481853</v>
      </c>
      <c r="S28" s="1">
        <f>IF(COUNT(Q28:R28)=2,R28-Q28,"")</f>
        <v>-15.349736309593109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IF(1073242&gt;0,100*246451/1073242,"")</f>
        <v>22.963227305677563</v>
      </c>
      <c r="E29" s="1">
        <f>IF(COUNT(C29:D29)=2,D29-C29,"")</f>
        <v>-6.9162974664891586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IF(973291&gt;0,100*214632/973291,"")</f>
        <v>22.052191996021744</v>
      </c>
      <c r="L29" s="1">
        <f>IF(COUNT(J29:K29)=2,K29-J29,"")</f>
        <v>5.389353591869625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IF(748445&gt;0,100*77016/748445,"")</f>
        <v>10.290134879650475</v>
      </c>
      <c r="S29" s="1">
        <f>IF(COUNT(Q29:R29)=2,R29-Q29,"")</f>
        <v>-29.413526114691372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IF(259814&gt;0,100*218/259814,"")</f>
        <v>0.08390617903577174</v>
      </c>
      <c r="E30" s="1">
        <f>IF(COUNT(C30:D30)=2,D30-C30,"")</f>
        <v>0.010765895205518475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IF(1020157&gt;0,100*196412/1020157,"")</f>
        <v>19.253114961716676</v>
      </c>
      <c r="L30" s="1">
        <f>IF(COUNT(J30:K30)=2,K30-J30,"")</f>
        <v>-14.41817289047389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IF(1084323&gt;0,100*186746/1084323,"")</f>
        <v>17.222359020328813</v>
      </c>
      <c r="S30" s="1">
        <f>IF(COUNT(Q30:R30)=2,R30-Q30,"")</f>
        <v>-10.681232033332428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IF(1281203&gt;0,100*327967/1281203,"")</f>
        <v>25.598363413135935</v>
      </c>
      <c r="E31" s="1">
        <f>IF(COUNT(C31:D31)=2,D31-C31,"")</f>
        <v>-10.551629355059397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IF(1078175&gt;0,100*211152/1078175,"")</f>
        <v>19.58420479050247</v>
      </c>
      <c r="L31" s="1">
        <f>IF(COUNT(J31:K31)=2,K31-J31,"")</f>
        <v>-16.811661801408704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IF(1001162&gt;0,100*187102/1001162,"")</f>
        <v>18.688483981613366</v>
      </c>
      <c r="S31" s="1">
        <f>IF(COUNT(Q31:R31)=2,R31-Q31,"")</f>
        <v>-18.196200836082213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IF(812710&gt;0,100*150723/812710,"")</f>
        <v>18.54572971908799</v>
      </c>
      <c r="E32" s="1">
        <f>IF(COUNT(C32:D32)=2,D32-C32,"")</f>
        <v>-18.96012256247585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IF(824339&gt;0,100*125423/824339,"")</f>
        <v>15.214978303828886</v>
      </c>
      <c r="L32" s="1">
        <f>IF(COUNT(J32:K32)=2,K32-J32,"")</f>
        <v>-14.56858629469729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IF(498965&gt;0,100*18799/498965,"")</f>
        <v>3.767598929784654</v>
      </c>
      <c r="S32" s="1">
        <f>IF(COUNT(Q32:R32)=2,R32-Q32,"")</f>
        <v>-22.067131327923434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IF(384866&gt;0,100*21944/384866,"")</f>
        <v>5.701724756148893</v>
      </c>
      <c r="E33" s="1">
        <f>IF(COUNT(C33:D33)=2,D33-C33,"")</f>
        <v>4.065267752587253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IF(864706&gt;0,100*185359/864706,"")</f>
        <v>21.436071913459603</v>
      </c>
      <c r="L33" s="1">
        <f>IF(COUNT(J33:K33)=2,K33-J33,"")</f>
        <v>-7.946779457000481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IF(882985&gt;0,100*181075/882985,"")</f>
        <v>20.507143382956674</v>
      </c>
      <c r="S33" s="1">
        <f>IF(COUNT(Q33:R33)=2,R33-Q33,"")</f>
        <v>-16.43891684776081</v>
      </c>
    </row>
    <row r="34" spans="1:19">
      <c r="A34" s="2" t="s">
        <v>6</v>
      </c>
      <c r="B34" s="1"/>
      <c r="C34" s="1">
        <f>IF(COUNT(C3:C33)&gt;0,AVERAGE(C3:C33),"")</f>
        <v>28.172990083851328</v>
      </c>
      <c r="D34" s="1">
        <f>IF(COUNT(D3:D33)&gt;0,AVERAGE(D3:D33),"")</f>
        <v>15.681212149306853</v>
      </c>
      <c r="E34" s="1">
        <f>IF(COUNT(E3:E33)&gt;0,AVERAGE(E3:E33),"")</f>
        <v>-12.491777934544473</v>
      </c>
      <c r="H34" s="2" t="s">
        <v>6</v>
      </c>
      <c r="I34" s="1"/>
      <c r="J34" s="1">
        <f>IF(COUNT(J3:J33)&gt;0,AVERAGE(J3:J33),"")</f>
        <v>23.261266503360552</v>
      </c>
      <c r="K34" s="1">
        <f>IF(COUNT(K3:K33)&gt;0,AVERAGE(K3:K33),"")</f>
        <v>13.078039745560337</v>
      </c>
      <c r="L34" s="1">
        <f>IF(COUNT(L3:L33)&gt;0,AVERAGE(L3:L33),"")</f>
        <v>-10.183226757800217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12.564197966303745</v>
      </c>
      <c r="S34" s="1">
        <f>IF(COUNT(S3:S33)&gt;0,AVERAGE(S3:S33),"")</f>
        <v>-12.187088285236527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IF(541622&gt;0,100*9141/541622,"")</f>
        <v>1.6877084018005177</v>
      </c>
      <c r="E39" s="1">
        <f>IF(COUNT(C39:D39)=2,D39-C39,"")</f>
        <v>-11.369543229225082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IF(781566&gt;0,100*206544/781566,"")</f>
        <v>26.426942830164055</v>
      </c>
      <c r="L39" s="1">
        <f>IF(COUNT(J39:K39)=2,K39-J39,"")</f>
        <v>-4.84056419981318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IF(888575&gt;0,100*75078/888575,"")</f>
        <v>8.449258644458824</v>
      </c>
      <c r="S39" s="1">
        <f>IF(COUNT(Q39:R39)=2,R39-Q39,"")</f>
        <v>-9.92339250468338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IF(929496&gt;0,100*179403/929496,"")</f>
        <v>19.30110511503008</v>
      </c>
      <c r="E40" s="1">
        <f>IF(COUNT(C40:D40)=2,D40-C40,"")</f>
        <v>-9.932337188509695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IF(1201151&gt;0,100*139034/1201151,"")</f>
        <v>11.575064250872705</v>
      </c>
      <c r="L40" s="1">
        <f>IF(COUNT(J40:K40)=2,K40-J40,"")</f>
        <v>-26.520490006311128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IF(1707246&gt;0,100*424083/1707246,"")</f>
        <v>24.840181204114696</v>
      </c>
      <c r="S40" s="1">
        <f>IF(COUNT(Q40:R40)=2,R40-Q40,"")</f>
        <v>-16.64926276355396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IF(512594&gt;0,100*95813/512594,"")</f>
        <v>18.69179116415721</v>
      </c>
      <c r="E41" s="1">
        <f>IF(COUNT(C41:D41)=2,D41-C41,"")</f>
        <v>-20.581027373041437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IF(357994&gt;0,100*12311/357994,"")</f>
        <v>3.438884450577384</v>
      </c>
      <c r="L41" s="1">
        <f>IF(COUNT(J41:K41)=2,K41-J41,"")</f>
        <v>-34.55419639450181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IF(1621537&gt;0,100*351058/1621537,"")</f>
        <v>21.649706420513375</v>
      </c>
      <c r="S41" s="1">
        <f>IF(COUNT(Q41:R41)=2,R41-Q41,"")</f>
        <v>-18.8761646590808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IF(2054&gt;0,100*624/2054,"")</f>
        <v>30.379746835443036</v>
      </c>
      <c r="E42" s="1">
        <f>IF(COUNT(C42:D42)=2,D42-C42,"")</f>
        <v>-11.614333030834267</v>
      </c>
      <c r="H42" s="1">
        <v>4</v>
      </c>
      <c r="I42" s="1">
        <v>3</v>
      </c>
      <c r="J42" s="1">
        <f>IF(778520&gt;0,100*44764/778520,"")</f>
        <v>5.749884396033499</v>
      </c>
      <c r="K42" s="1">
        <f>IF(704486&gt;0,100*47087/704486,"")</f>
        <v>6.683880162274339</v>
      </c>
      <c r="L42" s="1">
        <f>IF(COUNT(J42:K42)=2,K42-J42,"")</f>
        <v>0.93399576624084</v>
      </c>
      <c r="O42" s="1">
        <v>4</v>
      </c>
      <c r="P42" s="1">
        <v>3</v>
      </c>
      <c r="Q42" s="1">
        <f>IF(760183&gt;0,100*45060/760183,"")</f>
        <v>5.927520083979778</v>
      </c>
      <c r="R42" s="1">
        <f>IF(1801780&gt;0,100*184505/1801780,"")</f>
        <v>10.24015140583201</v>
      </c>
      <c r="S42" s="1">
        <f>IF(COUNT(Q42:R42)=2,R42-Q42,"")</f>
        <v>4.3126313218522325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IF(746178&gt;0,100*82342/746178,"")</f>
        <v>11.03516855227573</v>
      </c>
      <c r="E43" s="1">
        <f>IF(COUNT(C43:D43)=2,D43-C43,"")</f>
        <v>-6.69811366169389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IF(1714474&gt;0,100*434227/1714474,"")</f>
        <v>25.32712657059833</v>
      </c>
      <c r="L43" s="1">
        <f>IF(COUNT(J43:K43)=2,K43-J43,"")</f>
        <v>-16.79846394696486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IF(2030794&gt;0,100*552897/2030794,"")</f>
        <v>27.225656565855523</v>
      </c>
      <c r="S43" s="1">
        <f>IF(COUNT(Q43:R43)=2,R43-Q43,"")</f>
        <v>-19.990013546522064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IF(1056961&gt;0,100*173945/1056961,"")</f>
        <v>16.457087820648066</v>
      </c>
      <c r="E44" s="1">
        <f>IF(COUNT(C44:D44)=2,D44-C44,"")</f>
        <v>-27.396270810703033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IF(1899869&gt;0,100*501896/1899869,"")</f>
        <v>26.417400357603604</v>
      </c>
      <c r="L44" s="1">
        <f>IF(COUNT(J44:K44)=2,K44-J44,"")</f>
        <v>-15.190948552126528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IF(1477123&gt;0,100*326375/1477123,"")</f>
        <v>22.095316368372842</v>
      </c>
      <c r="S44" s="1">
        <f>IF(COUNT(Q44:R44)=2,R44-Q44,"")</f>
        <v>3.998442131277802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IF(1312102&gt;0,100*305987/1312102,"")</f>
        <v>23.32036686172264</v>
      </c>
      <c r="E45" s="1">
        <f>IF(COUNT(C45:D45)=2,D45-C45,"")</f>
        <v>-21.694066293679917</v>
      </c>
      <c r="H45" s="1">
        <v>7</v>
      </c>
      <c r="I45" s="1">
        <v>6</v>
      </c>
      <c r="J45" s="1">
        <f>IF(545527&gt;0,100*1624/545527,"")</f>
        <v>0.2976937896749382</v>
      </c>
      <c r="K45" s="1">
        <f>IF(494998&gt;0,100*18179/494998,"")</f>
        <v>3.672540091071075</v>
      </c>
      <c r="L45" s="1">
        <f>IF(COUNT(J45:K45)=2,K45-J45,"")</f>
        <v>3.3748463013961367</v>
      </c>
      <c r="O45" s="1">
        <v>7</v>
      </c>
      <c r="P45" s="1">
        <v>6</v>
      </c>
      <c r="Q45" s="1">
        <f>IF(700580&gt;0,100*18395/700580,"")</f>
        <v>2.6256815781209855</v>
      </c>
      <c r="R45" s="1">
        <f>IF(506140&gt;0,100*13208/506140,"")</f>
        <v>2.6095546686687476</v>
      </c>
      <c r="S45" s="1">
        <f>IF(COUNT(Q45:R45)=2,R45-Q45,"")</f>
        <v>-0.016126909452237825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IF(1303644&gt;0,100*307826/1303644,"")</f>
        <v>23.612734765012533</v>
      </c>
      <c r="E46" s="1">
        <f>IF(COUNT(C46:D46)=2,D46-C46,"")</f>
        <v>-17.67446422193865</v>
      </c>
      <c r="H46" s="1">
        <v>8</v>
      </c>
      <c r="I46" s="1">
        <v>7</v>
      </c>
      <c r="J46" s="1">
        <f>IF(453926&gt;0,100*2064/453926,"")</f>
        <v>0.45469966470305734</v>
      </c>
      <c r="K46" s="1">
        <f>IF(403463&gt;0,100*81/403463,"")</f>
        <v>0.020076190381769828</v>
      </c>
      <c r="L46" s="1">
        <f>IF(COUNT(J46:K46)=2,K46-J46,"")</f>
        <v>-0.4346234743212875</v>
      </c>
      <c r="O46" s="1">
        <v>8</v>
      </c>
      <c r="P46" s="1">
        <v>7</v>
      </c>
      <c r="Q46" s="1">
        <f>IF(505497&gt;0,100*20606/505497,"")</f>
        <v>4.076384231756074</v>
      </c>
      <c r="R46" s="1">
        <f>IF(656700&gt;0,100*10914/656700,"")</f>
        <v>1.6619460941068982</v>
      </c>
      <c r="S46" s="1">
        <f>IF(COUNT(Q46:R46)=2,R46-Q46,"")</f>
        <v>-2.4144381376491757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IF(1498306&gt;0,100*488457/1498306,"")</f>
        <v>32.600616963424024</v>
      </c>
      <c r="E47" s="1">
        <f>IF(COUNT(C47:D47)=2,D47-C47,"")</f>
        <v>-14.643674081980542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IF(1409673&gt;0,100*329484/1409673,"")</f>
        <v>23.373080139862225</v>
      </c>
      <c r="L47" s="1">
        <f>IF(COUNT(J47:K47)=2,K47-J47,"")</f>
        <v>-19.26522071309313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IF(1741454&gt;0,100*374826/1741454,"")</f>
        <v>21.52373820956511</v>
      </c>
      <c r="S47" s="1">
        <f>IF(COUNT(Q47:R47)=2,R47-Q47,"")</f>
        <v>-23.489808354568858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IF(506222&gt;0,100*2283/506222,"")</f>
        <v>0.4509879064916183</v>
      </c>
      <c r="E48" s="1">
        <f>IF(COUNT(C48:D48)=2,D48-C48,"")</f>
        <v>-28.825886862625484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IF(1291855&gt;0,100*239028/1291855,"")</f>
        <v>18.502695735976562</v>
      </c>
      <c r="L48" s="1">
        <f>IF(COUNT(J48:K48)=2,K48-J48,"")</f>
        <v>-25.353577803265427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IF(769153&gt;0,100*10756/769153,"")</f>
        <v>1.3984213804015586</v>
      </c>
      <c r="S48" s="1">
        <f>IF(COUNT(Q48:R48)=2,R48-Q48,"")</f>
        <v>-27.9997416687379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IF(1664453&gt;0,100*484097/1664453,"")</f>
        <v>29.084449966445433</v>
      </c>
      <c r="E49" s="1">
        <f>IF(COUNT(C49:D49)=2,D49-C49,"")</f>
        <v>-13.582301496108911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IF(893127&gt;0,100*27767/893127,"")</f>
        <v>3.108964346615879</v>
      </c>
      <c r="L49" s="1">
        <f>IF(COUNT(J49:K49)=2,K49-J49,"")</f>
        <v>-31.117044664139463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IF(1213211&gt;0,100*161306/1213211,"")</f>
        <v>13.295791086628789</v>
      </c>
      <c r="S49" s="1">
        <f>IF(COUNT(Q49:R49)=2,R49-Q49,"")</f>
        <v>-28.603144982436397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IF(1263133&gt;0,100*336864/1263133,"")</f>
        <v>26.66892560007537</v>
      </c>
      <c r="E50" s="1">
        <f>IF(COUNT(C50:D50)=2,D50-C50,"")</f>
        <v>-12.360313940083465</v>
      </c>
      <c r="H50" s="1">
        <v>12</v>
      </c>
      <c r="I50" s="1">
        <v>11</v>
      </c>
      <c r="J50" s="1">
        <f>IF(16409&gt;0,100*2109/16409,"")</f>
        <v>12.85270278505698</v>
      </c>
      <c r="K50" s="1">
        <f>IF(913213&gt;0,100*15813/913213,"")</f>
        <v>1.7315785035911666</v>
      </c>
      <c r="L50" s="1">
        <f>IF(COUNT(J50:K50)=2,K50-J50,"")</f>
        <v>-11.121124281465814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IF(905956&gt;0,100*61418/905956,"")</f>
        <v>6.779357937913099</v>
      </c>
      <c r="S50" s="1">
        <f>IF(COUNT(Q50:R50)=2,R50-Q50,"")</f>
        <v>-32.32464665808692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IF(953606&gt;0,100*161750/953606,"")</f>
        <v>16.96193186703943</v>
      </c>
      <c r="E51" s="1">
        <f>IF(COUNT(C51:D51)=2,D51-C51,"")</f>
        <v>-27.174126190949718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IF(728693&gt;0,100*42282/728693,"")</f>
        <v>5.802443553046345</v>
      </c>
      <c r="L51" s="1">
        <f>IF(COUNT(J51:K51)=2,K51-J51,"")</f>
        <v>-4.908467073666257</v>
      </c>
      <c r="O51" s="1">
        <v>13</v>
      </c>
      <c r="P51" s="1">
        <v>12</v>
      </c>
      <c r="Q51" s="1">
        <f>IF(609443&gt;0,100*13444/609443,"")</f>
        <v>2.20594871054389</v>
      </c>
      <c r="R51" s="1">
        <f>IF(613451&gt;0,100*14066/613451,"")</f>
        <v>2.292929671644516</v>
      </c>
      <c r="S51" s="1">
        <f>IF(COUNT(Q51:R51)=2,R51-Q51,"")</f>
        <v>0.08698096110062581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IF(376760&gt;0,100*8014/376760,"")</f>
        <v>2.1270835545174647</v>
      </c>
      <c r="E52" s="1">
        <f>IF(COUNT(C52:D52)=2,D52-C52,"")</f>
        <v>1.7237866520065441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IF(1228425&gt;0,100*249552/1228425,"")</f>
        <v>20.314793332926307</v>
      </c>
      <c r="L52" s="1">
        <f>IF(COUNT(J52:K52)=2,K52-J52,"")</f>
        <v>-12.496664070369839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IF(445650&gt;0,100*1823/445650,"")</f>
        <v>0.4090654100751711</v>
      </c>
      <c r="S52" s="1">
        <f>IF(COUNT(Q52:R52)=2,R52-Q52,"")</f>
        <v>-21.292813470660253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IF(1214497&gt;0,100*325266/1214497,"")</f>
        <v>26.781951705109194</v>
      </c>
      <c r="E53" s="1">
        <f>IF(COUNT(C53:D53)=2,D53-C53,"")</f>
        <v>-4.4465657484149474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IF(1040090&gt;0,100*72065/1040090,"")</f>
        <v>6.928727321674086</v>
      </c>
      <c r="L53" s="1">
        <f>IF(COUNT(J53:K53)=2,K53-J53,"")</f>
        <v>-23.86382468480917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IF(1632737&gt;0,100*372677/1632737,"")</f>
        <v>22.825292744636766</v>
      </c>
      <c r="S53" s="1">
        <f>IF(COUNT(Q53:R53)=2,R53-Q53,"")</f>
        <v>-25.28436147713172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IF(1487773&gt;0,100*368506/1487773,"")</f>
        <v>24.76896677114049</v>
      </c>
      <c r="E54" s="1">
        <f>IF(COUNT(C54:D54)=2,D54-C54,"")</f>
        <v>-17.45933951112005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IF(1002095&gt;0,100*128912/1002095,"")</f>
        <v>12.864249397512213</v>
      </c>
      <c r="L54" s="1">
        <f>IF(COUNT(J54:K54)=2,K54-J54,"")</f>
        <v>-30.32940106289268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IF(916976&gt;0,100*69787/916976,"")</f>
        <v>7.610559054980719</v>
      </c>
      <c r="S54" s="1">
        <f>IF(COUNT(Q54:R54)=2,R54-Q54,"")</f>
        <v>-37.7310618737661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IF(429726&gt;0,100*9233/429726,"")</f>
        <v>2.148578396466586</v>
      </c>
      <c r="E55" s="1">
        <f>IF(COUNT(C55:D55)=2,D55-C55,"")</f>
        <v>0.5277267371303205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IF(1695040&gt;0,100*381050/1695040,"")</f>
        <v>22.48029545025486</v>
      </c>
      <c r="L55" s="1">
        <f>IF(COUNT(J55:K55)=2,K55-J55,"")</f>
        <v>-13.901834740493872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IF(1208003&gt;0,100*238909/1208003,"")</f>
        <v>19.77718598380964</v>
      </c>
      <c r="S55" s="1">
        <f>IF(COUNT(Q55:R55)=2,R55-Q55,"")</f>
        <v>-15.392455198406662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IF(433698&gt;0,100*4727/433698,"")</f>
        <v>1.0899289367255556</v>
      </c>
      <c r="E56" s="1">
        <f>IF(COUNT(C56:D56)=2,D56-C56,"")</f>
        <v>-13.21388468439155</v>
      </c>
      <c r="H56" s="1">
        <v>18</v>
      </c>
      <c r="I56" s="1">
        <v>17</v>
      </c>
      <c r="J56" s="1">
        <f>IF(2215&gt;0,100*355/2215,"")</f>
        <v>16.02708803611738</v>
      </c>
      <c r="K56" s="1">
        <f>IF(802027&gt;0,100*45850/802027,"")</f>
        <v>5.716765146310536</v>
      </c>
      <c r="L56" s="1">
        <f>IF(COUNT(J56:K56)=2,K56-J56,"")</f>
        <v>-10.310322889806844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IF(874630&gt;0,100*46378/874630,"")</f>
        <v>5.302585093125093</v>
      </c>
      <c r="S56" s="1">
        <f>IF(COUNT(Q56:R56)=2,R56-Q56,"")</f>
        <v>-41.72586546213667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IF(1084219&gt;0,100*235423/1084219,"")</f>
        <v>21.71360214126482</v>
      </c>
      <c r="E57" s="1">
        <f>IF(COUNT(C57:D57)=2,D57-C57,"")</f>
        <v>-17.826128080099874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IF(1167967&gt;0,100*225738/1167967,"")</f>
        <v>19.327429627720647</v>
      </c>
      <c r="L57" s="1">
        <f>IF(COUNT(J57:K57)=2,K57-J57,"")</f>
        <v>-14.525088941057383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IF(943203&gt;0,100*86623/943203,"")</f>
        <v>9.183919050299883</v>
      </c>
      <c r="S57" s="1">
        <f>IF(COUNT(Q57:R57)=2,R57-Q57,"")</f>
        <v>-23.11043609605231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IF(696410&gt;0,100*69047/696410,"")</f>
        <v>9.9147054177855</v>
      </c>
      <c r="E58" s="1">
        <f>IF(COUNT(C58:D58)=2,D58-C58,"")</f>
        <v>-33.02751402251212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IF(962257&gt;0,100*110334/962257,"")</f>
        <v>11.466167562304042</v>
      </c>
      <c r="L58" s="1">
        <f>IF(COUNT(J58:K58)=2,K58-J58,"")</f>
        <v>-32.45227282833838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IF(1136117&gt;0,100*164352/1136117,"")</f>
        <v>14.466115725757119</v>
      </c>
      <c r="S58" s="1">
        <f>IF(COUNT(Q58:R58)=2,R58-Q58,"")</f>
        <v>-27.784785115525175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IF(611194&gt;0,100*74430/611194,"")</f>
        <v>12.17780279256668</v>
      </c>
      <c r="E59" s="1">
        <f>IF(COUNT(C59:D59)=2,D59-C59,"")</f>
        <v>-20.2209001717491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IF(1315814&gt;0,100*174494/1315814,"")</f>
        <v>13.261296809427472</v>
      </c>
      <c r="L59" s="1">
        <f>IF(COUNT(J59:K59)=2,K59-J59,"")</f>
        <v>-24.290106040974926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IF(1237291&gt;0,100*190767/1237291,"")</f>
        <v>15.418119100518794</v>
      </c>
      <c r="S59" s="1">
        <f>IF(COUNT(Q59:R59)=2,R59-Q59,"")</f>
        <v>-26.568111461787367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IF(974304&gt;0,100*226939/974304,"")</f>
        <v>23.292422077708807</v>
      </c>
      <c r="E60" s="1">
        <f>IF(COUNT(C60:D60)=2,D60-C60,"")</f>
        <v>-21.617653847066386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IF(1418890&gt;0,100*328308/1418890,"")</f>
        <v>23.1383687248483</v>
      </c>
      <c r="L60" s="1">
        <f>IF(COUNT(J60:K60)=2,K60-J60,"")</f>
        <v>-21.64206517995057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IF(1914&gt;0,100*550/1914,"")</f>
        <v>28.735632183908045</v>
      </c>
      <c r="S60" s="1">
        <f>IF(COUNT(Q60:R60)=2,R60-Q60,"")</f>
        <v>-5.4884380913387645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IF(360722&gt;0,100*1642/360722,"")</f>
        <v>0.45519818586057964</v>
      </c>
      <c r="E61" s="1">
        <f>IF(COUNT(C61:D61)=2,D61-C61,"")</f>
        <v>0.21825597561647864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IF(1178961&gt;0,100*97770/1178961,"")</f>
        <v>8.292895184827996</v>
      </c>
      <c r="L61" s="1">
        <f>IF(COUNT(J61:K61)=2,K61-J61,"")</f>
        <v>-40.11271902780614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IF(1496149&gt;0,100*339956/1496149,"")</f>
        <v>22.72206845708549</v>
      </c>
      <c r="S61" s="1">
        <f>IF(COUNT(Q61:R61)=2,R61-Q61,"")</f>
        <v>-12.330511804549204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IF(790283&gt;0,100*62806/790283,"")</f>
        <v>7.947279645392853</v>
      </c>
      <c r="E62" s="1">
        <f>IF(COUNT(C62:D62)=2,D62-C62,"")</f>
        <v>-12.995968134729058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IF(151392&gt;0,100*4453/151392,"")</f>
        <v>2.9413707461424647</v>
      </c>
      <c r="L62" s="1">
        <f>IF(COUNT(J62:K62)=2,K62-J62,"")</f>
        <v>-41.682934900141476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IF(947234&gt;0,100*73789/947234,"")</f>
        <v>7.789944195415282</v>
      </c>
      <c r="S62" s="1">
        <f>IF(COUNT(Q62:R62)=2,R62-Q62,"")</f>
        <v>-21.104699460372977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IF(1590193&gt;0,100*478009/1590193,"")</f>
        <v>30.059810350064428</v>
      </c>
      <c r="E63" s="1">
        <f>IF(COUNT(C63:D63)=2,D63-C63,"")</f>
        <v>0.8197868506097059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IF(1007740&gt;0,100*66217/1007740,"")</f>
        <v>6.57084168535535</v>
      </c>
      <c r="L63" s="1">
        <f>IF(COUNT(J63:K63)=2,K63-J63,"")</f>
        <v>-38.00013832564823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IF(772686&gt;0,100*57765/772686,"")</f>
        <v>7.475869887638704</v>
      </c>
      <c r="S63" s="1">
        <f>IF(COUNT(Q63:R63)=2,R63-Q63,"")</f>
        <v>-36.19881829401105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IF(1575056&gt;0,100*481845/1575056,"")</f>
        <v>30.592245609045012</v>
      </c>
      <c r="E64" s="1">
        <f>IF(COUNT(C64:D64)=2,D64-C64,"")</f>
        <v>-15.798934712606947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IF(1223537&gt;0,100*165653/1223537,"")</f>
        <v>13.53886314839682</v>
      </c>
      <c r="L64" s="1">
        <f>IF(COUNT(J64:K64)=2,K64-J64,"")</f>
        <v>-18.469804414453044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IF(1442140&gt;0,100*334693/1442140,"")</f>
        <v>23.208079659395064</v>
      </c>
      <c r="S64" s="1">
        <f>IF(COUNT(Q64:R64)=2,R64-Q64,"")</f>
        <v>-21.196773843945227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IF(1509371&gt;0,100*393412/1509371,"")</f>
        <v>26.064632220971518</v>
      </c>
      <c r="E65" s="1">
        <f>IF(COUNT(C65:D65)=2,D65-C65,"")</f>
        <v>-11.279935280756689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IF(1667641&gt;0,100*338365/1667641,"")</f>
        <v>20.290038443525916</v>
      </c>
      <c r="L65" s="1">
        <f>IF(COUNT(J65:K65)=2,K65-J65,"")</f>
        <v>-14.612033687314863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IF(1151175&gt;0,100*156266/1151175,"")</f>
        <v>13.574478250483201</v>
      </c>
      <c r="S65" s="1">
        <f>IF(COUNT(Q65:R65)=2,R65-Q65,"")</f>
        <v>-20.791806224261144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IF(342335&gt;0,100*651/342335,"")</f>
        <v>0.19016460484613026</v>
      </c>
      <c r="E66" s="1">
        <f>IF(COUNT(C66:D66)=2,D66-C66,"")</f>
        <v>0.09052401226219549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IF(1060171&gt;0,100*161846/1060171,"")</f>
        <v>15.266027838905233</v>
      </c>
      <c r="L66" s="1">
        <f>IF(COUNT(J66:K66)=2,K66-J66,"")</f>
        <v>-23.951356862787286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IF(1354513&gt;0,100*194177/1354513,"")</f>
        <v>14.335558241227659</v>
      </c>
      <c r="S66" s="1">
        <f>IF(COUNT(Q66:R66)=2,R66-Q66,"")</f>
        <v>-16.528534691041106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IF(1890631&gt;0,100*591001/1890631,"")</f>
        <v>31.259457821224764</v>
      </c>
      <c r="E67" s="1">
        <f>IF(COUNT(C67:D67)=2,D67-C67,"")</f>
        <v>-3.5913002602750197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IF(1494275&gt;0,100*294353/1494275,"")</f>
        <v>19.698716769001688</v>
      </c>
      <c r="L67" s="1">
        <f>IF(COUNT(J67:K67)=2,K67-J67,"")</f>
        <v>-26.046233927752073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IF(1366431&gt;0,100*251046/1366431,"")</f>
        <v>18.37238762879355</v>
      </c>
      <c r="S67" s="1">
        <f>IF(COUNT(Q67:R67)=2,R67-Q67,"")</f>
        <v>-22.559542651141182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IF(1307110&gt;0,100*298982/1307110,"")</f>
        <v>22.87351485337883</v>
      </c>
      <c r="E68" s="1">
        <f>IF(COUNT(C68:D68)=2,D68-C68,"")</f>
        <v>-19.936585173108483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IF(762318&gt;0,100*79783/762318,"")</f>
        <v>10.465842338761513</v>
      </c>
      <c r="L68" s="1">
        <f>IF(COUNT(J68:K68)=2,K68-J68,"")</f>
        <v>-26.34768529216901</v>
      </c>
      <c r="O68" s="1">
        <v>30</v>
      </c>
      <c r="P68" s="1">
        <v>29</v>
      </c>
      <c r="Q68" s="1">
        <f>IF(653286&gt;0,100*39372/653286,"")</f>
        <v>6.026763163453679</v>
      </c>
      <c r="R68" s="1">
        <f>IF(1013088&gt;0,100*238312/1013088,"")</f>
        <v>23.523326700148456</v>
      </c>
      <c r="S68" s="1">
        <f>IF(COUNT(Q68:R68)=2,R68-Q68,"")</f>
        <v>17.496563536694776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IF(582134&gt;0,100*14302/582134,"")</f>
        <v>2.456822655952066</v>
      </c>
      <c r="E69" s="1">
        <f>IF(COUNT(C69:D69)=2,D69-C69,"")</f>
        <v>2.161190767930185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IF(1245118&gt;0,100*216198/1245118,"")</f>
        <v>17.36365549289304</v>
      </c>
      <c r="L69" s="1">
        <f>IF(COUNT(J69:K69)=2,K69-J69,"")</f>
        <v>-18.01319682212166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IF(1343113&gt;0,100*244210/1343113,"")</f>
        <v>18.182386738867095</v>
      </c>
      <c r="S69" s="1">
        <f>IF(COUNT(Q69:R69)=2,R69-Q69,"")</f>
        <v>-14.437946724270098</v>
      </c>
    </row>
    <row r="70" spans="1:19">
      <c r="A70" s="2" t="s">
        <v>6</v>
      </c>
      <c r="B70" s="1"/>
      <c r="C70" s="1">
        <f>IF(COUNT(C39:C69)&gt;0,AVERAGE(C39:C69),"")</f>
        <v>30.180215695878584</v>
      </c>
      <c r="D70" s="1">
        <f>IF(COUNT(D39:D69)&gt;0,AVERAGE(D39:D69),"")</f>
        <v>16.97312224385764</v>
      </c>
      <c r="E70" s="1">
        <f>IF(COUNT(E39:E69)&gt;0,AVERAGE(E39:E69),"")</f>
        <v>-13.207093452020933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13.097000716239483</v>
      </c>
      <c r="L70" s="1">
        <f>IF(COUNT(L39:L69)&gt;0,AVERAGE(L39:L69),"")</f>
        <v>-19.898179443255465</v>
      </c>
      <c r="O70" s="2" t="s">
        <v>6</v>
      </c>
      <c r="P70" s="1"/>
      <c r="Q70" s="1">
        <f>IF(COUNT(Q39:Q69)&gt;0,AVERAGE(Q39:Q69),"")</f>
        <v>31.641731223822106</v>
      </c>
      <c r="R70" s="1">
        <f>IF(COUNT(R39:R69)&gt;0,AVERAGE(R39:R69),"")</f>
        <v>14.095954314975536</v>
      </c>
      <c r="S70" s="1">
        <f>IF(COUNT(S39:S69)&gt;0,AVERAGE(S39:S69),"")</f>
        <v>-17.545776908846552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IF(957641&gt;0,100*169380/957641,"")</f>
        <v>17.687212640227393</v>
      </c>
      <c r="E75" s="1">
        <f>IF(COUNT(C75:D75)=2,D75-C75,"")</f>
        <v>14.972048627897767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IF(1325840&gt;0,100*225291/1325840,"")</f>
        <v>16.9923218487902</v>
      </c>
      <c r="L75" s="1">
        <f>IF(COUNT(J75:K75)=2,K75-J75,"")</f>
        <v>-36.308728407128484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IF(1060150&gt;0,100*225352/1060150,"")</f>
        <v>21.25661463000519</v>
      </c>
      <c r="S75" s="1">
        <f>IF(COUNT(Q75:R75)=2,R75-Q75,"")</f>
        <v>-22.82474659662725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IF(1437718&gt;0,100*299115/1437718,"")</f>
        <v>20.804844900042983</v>
      </c>
      <c r="E76" s="1">
        <f>IF(COUNT(C76:D76)=2,D76-C76,"")</f>
        <v>-16.226085982763006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IF(2596297&gt;0,100*813316/2596297,"")</f>
        <v>31.326000068559182</v>
      </c>
      <c r="L76" s="1">
        <f>IF(COUNT(J76:K76)=2,K76-J76,"")</f>
        <v>-12.178257880676327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IF(1672032&gt;0,100*379848/1672032,"")</f>
        <v>22.717747028765</v>
      </c>
      <c r="S76" s="1">
        <f>IF(COUNT(Q76:R76)=2,R76-Q76,"")</f>
        <v>-18.143423751280924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IF(1347467&gt;0,100*275033/1347467,"")</f>
        <v>20.41111210886797</v>
      </c>
      <c r="E77" s="1">
        <f>IF(COUNT(C77:D77)=2,D77-C77,"")</f>
        <v>-18.828098087297985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IF(2133309&gt;0,100*580014/2133309,"")</f>
        <v>27.188466368444516</v>
      </c>
      <c r="L77" s="1">
        <f>IF(COUNT(J77:K77)=2,K77-J77,"")</f>
        <v>-15.275211676844272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IF(1764829&gt;0,100*391644/1764829,"")</f>
        <v>22.19161176521918</v>
      </c>
      <c r="S77" s="1">
        <f>IF(COUNT(Q77:R77)=2,R77-Q77,"")</f>
        <v>18.2424306845518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IF(1727782&gt;0,100*421134/1727782,"")</f>
        <v>24.37425554844303</v>
      </c>
      <c r="E78" s="1">
        <f>IF(COUNT(C78:D78)=2,D78-C78,"")</f>
        <v>-20.90157508038103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IF(1278072&gt;0,100*188957/1278072,"")</f>
        <v>14.784534830588575</v>
      </c>
      <c r="L78" s="1">
        <f>IF(COUNT(J78:K78)=2,K78-J78,"")</f>
        <v>-32.72934680086918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IF(1190611&gt;0,100*149460/1190611,"")</f>
        <v>12.553218473540056</v>
      </c>
      <c r="S78" s="1">
        <f>IF(COUNT(Q78:R78)=2,R78-Q78,"")</f>
        <v>-40.224459875127025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IF(604364&gt;0,100*61752/604364,"")</f>
        <v>10.217683382861983</v>
      </c>
      <c r="E79" s="1">
        <f>IF(COUNT(C79:D79)=2,D79-C79,"")</f>
        <v>-38.53171129595342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IF(1416700&gt;0,100*197804/1416700,"")</f>
        <v>13.962306769252487</v>
      </c>
      <c r="L79" s="1">
        <f>IF(COUNT(J79:K79)=2,K79-J79,"")</f>
        <v>-32.85903392287783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IF(1776954&gt;0,100*362469/1776954,"")</f>
        <v>20.398333327705725</v>
      </c>
      <c r="S79" s="1">
        <f>IF(COUNT(Q79:R79)=2,R79-Q79,"")</f>
        <v>-28.53391021854051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IF(1169022&gt;0,100*175544/1169022,"")</f>
        <v>15.016312781111049</v>
      </c>
      <c r="E80" s="1">
        <f>IF(COUNT(C80:D80)=2,D80-C80,"")</f>
        <v>-23.69177726636071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IF(1607269&gt;0,100*298452/1607269,"")</f>
        <v>18.568889215184267</v>
      </c>
      <c r="L80" s="1">
        <f>IF(COUNT(J80:K80)=2,K80-J80,"")</f>
        <v>-20.73144398333368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IF(1664057&gt;0,100*313106/1664057,"")</f>
        <v>18.815821813796042</v>
      </c>
      <c r="S80" s="1">
        <f>IF(COUNT(Q80:R80)=2,R80-Q80,"")</f>
        <v>-24.002877075448687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IF(1620541&gt;0,100*403791/1620541,"")</f>
        <v>24.917049306373613</v>
      </c>
      <c r="E81" s="1">
        <f>IF(COUNT(C81:D81)=2,D81-C81,"")</f>
        <v>-17.20743529105833</v>
      </c>
      <c r="H81" s="1">
        <v>7</v>
      </c>
      <c r="I81" s="1">
        <v>6</v>
      </c>
      <c r="J81" s="1">
        <f>IF(710153&gt;0,100*3904/710153,"")</f>
        <v>0.5497406896823642</v>
      </c>
      <c r="K81" s="1">
        <f>IF(1042077&gt;0,100*19289/1042077,"")</f>
        <v>1.851014848230985</v>
      </c>
      <c r="L81" s="1">
        <f>IF(COUNT(J81:K81)=2,K81-J81,"")</f>
        <v>1.3012741585486207</v>
      </c>
      <c r="O81" s="1">
        <v>7</v>
      </c>
      <c r="P81" s="1">
        <v>6</v>
      </c>
      <c r="Q81" s="1">
        <f>IF(528040&gt;0,100*6901/528040,"")</f>
        <v>1.3069085675327627</v>
      </c>
      <c r="R81" s="1">
        <f>IF(176209&gt;0,100*31489/176209,"")</f>
        <v>17.870256343319582</v>
      </c>
      <c r="S81" s="1">
        <f>IF(COUNT(Q81:R81)=2,R81-Q81,"")</f>
        <v>16.56334777578682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IF(1706571&gt;0,100*476571/1706571,"")</f>
        <v>27.925647394687946</v>
      </c>
      <c r="E82" s="1">
        <f>IF(COUNT(C82:D82)=2,D82-C82,"")</f>
        <v>-18.713787480125706</v>
      </c>
      <c r="H82" s="1">
        <v>8</v>
      </c>
      <c r="I82" s="1">
        <v>7</v>
      </c>
      <c r="J82" s="1">
        <f>IF(619510&gt;0,100*7411/619510,"")</f>
        <v>1.1962680182725056</v>
      </c>
      <c r="K82" s="1">
        <f>IF(504756&gt;0,100*1289/504756,"")</f>
        <v>0.25537091188613903</v>
      </c>
      <c r="L82" s="1">
        <f>IF(COUNT(J82:K82)=2,K82-J82,"")</f>
        <v>-0.9408971063863666</v>
      </c>
      <c r="O82" s="1">
        <v>8</v>
      </c>
      <c r="P82" s="1">
        <v>7</v>
      </c>
      <c r="Q82" s="1">
        <f>IF(665002&gt;0,100*8971/665002,"")</f>
        <v>1.3490184991924836</v>
      </c>
      <c r="R82" s="1">
        <f>IF(531706&gt;0,100*2397/531706,"")</f>
        <v>0.45081304329836414</v>
      </c>
      <c r="S82" s="1">
        <f>IF(COUNT(Q82:R82)=2,R82-Q82,"")</f>
        <v>-0.8982054558941195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IF(903136&gt;0,100*198910/903136,"")</f>
        <v>22.02436842291748</v>
      </c>
      <c r="E83" s="1">
        <f>IF(COUNT(C83:D83)=2,D83-C83,"")</f>
        <v>-10.179048783095514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IF(2218274&gt;0,100*473676/2218274,"")</f>
        <v>21.353358512068393</v>
      </c>
      <c r="L83" s="1">
        <f>IF(COUNT(J83:K83)=2,K83-J83,"")</f>
        <v>-23.531979438516455</v>
      </c>
      <c r="O83" s="1">
        <v>9</v>
      </c>
      <c r="P83" s="1">
        <v>8</v>
      </c>
      <c r="Q83" s="1">
        <f>IF(1967808&gt;0,100*766923/1967808,"")</f>
        <v>38.9734669236023</v>
      </c>
      <c r="R83" s="1">
        <f>IF(2097458&gt;0,100*487221/2097458,"")</f>
        <v>23.229118294621394</v>
      </c>
      <c r="S83" s="1">
        <f>IF(COUNT(Q83:R83)=2,R83-Q83,"")</f>
        <v>-15.744348628980909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IF(124327&gt;0,100*9713/124327,"")</f>
        <v>7.8124622970070865</v>
      </c>
      <c r="E84" s="1">
        <f>IF(COUNT(C84:D84)=2,D84-C84,"")</f>
        <v>6.1191556596611925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IF(732761&gt;0,100*48268/732761,"")</f>
        <v>6.587140964106987</v>
      </c>
      <c r="L84" s="1">
        <f>IF(COUNT(J84:K84)=2,K84-J84,"")</f>
        <v>-43.59986886881317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IF(998501&gt;0,100*67767/998501,"")</f>
        <v>6.786873523411594</v>
      </c>
      <c r="S84" s="1">
        <f>IF(COUNT(Q84:R84)=2,R84-Q84,"")</f>
        <v>-9.22561070770903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IF(42768&gt;0,100*10450/42768,"")</f>
        <v>24.43415637860082</v>
      </c>
      <c r="E85" s="1">
        <f>IF(COUNT(C85:D85)=2,D85-C85,"")</f>
        <v>-23.379082984315378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IF(1091477&gt;0,100*45288/1091477,"")</f>
        <v>4.149239974823106</v>
      </c>
      <c r="L85" s="1">
        <f>IF(COUNT(J85:K85)=2,K85-J85,"")</f>
        <v>-51.29499714174308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IF(1511673&gt;0,100*257578/1511673,"")</f>
        <v>17.039267090170956</v>
      </c>
      <c r="S85" s="1">
        <f>IF(COUNT(Q85:R85)=2,R85-Q85,"")</f>
        <v>-31.561103462144413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IF(1616207&gt;0,100*350249/1616207,"")</f>
        <v>21.671048324874228</v>
      </c>
      <c r="E86" s="1">
        <f>IF(COUNT(C86:D86)=2,D86-C86,"")</f>
        <v>-21.557111923510533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IF(1019137&gt;0,100*32386/1019137,"")</f>
        <v>3.1777866959986736</v>
      </c>
      <c r="L86" s="1">
        <f>IF(COUNT(J86:K86)=2,K86-J86,"")</f>
        <v>-44.485672147947184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IF(962414&gt;0,100*79339/962414,"")</f>
        <v>8.243749571390275</v>
      </c>
      <c r="S86" s="1">
        <f>IF(COUNT(Q86:R86)=2,R86-Q86,"")</f>
        <v>-40.39641967114879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IF(1060922&gt;0,100*117250/1060922,"")</f>
        <v>11.0517078541118</v>
      </c>
      <c r="E87" s="1">
        <f>IF(COUNT(C87:D87)=2,D87-C87,"")</f>
        <v>-17.13294184940615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IF(1612232&gt;0,100*366354/1612232,"")</f>
        <v>22.723404572046704</v>
      </c>
      <c r="L87" s="1">
        <f>IF(COUNT(J87:K87)=2,K87-J87,"")</f>
        <v>-21.870009189602</v>
      </c>
      <c r="O87" s="1">
        <v>13</v>
      </c>
      <c r="P87" s="1">
        <v>12</v>
      </c>
      <c r="Q87" s="1">
        <f>IF(818878&gt;0,100*7212/818878,"")</f>
        <v>0.8807172741238621</v>
      </c>
      <c r="R87" s="1">
        <f>IF(917193&gt;0,100*80362/917193,"")</f>
        <v>8.76173280868912</v>
      </c>
      <c r="S87" s="1">
        <f>IF(COUNT(Q87:R87)=2,R87-Q87,"")</f>
        <v>7.8810155345652575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IF(498640&gt;0,100*3310/498640,"")</f>
        <v>0.6638055510989892</v>
      </c>
      <c r="E88" s="1">
        <f>IF(COUNT(C88:D88)=2,D88-C88,"")</f>
        <v>-19.831062455392477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IF(519607&gt;0,100*486/519607,"")</f>
        <v>0.0935322272409725</v>
      </c>
      <c r="L88" s="1">
        <f>IF(COUNT(J88:K88)=2,K88-J88,"")</f>
        <v>-32.91878903766397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IF(577532&gt;0,100*12679/577532,"")</f>
        <v>2.195376186947217</v>
      </c>
      <c r="S88" s="1">
        <f>IF(COUNT(Q88:R88)=2,R88-Q88,"")</f>
        <v>-9.766532163894475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IF(1753893&gt;0,100*474827/1753893,"")</f>
        <v>27.072746170946573</v>
      </c>
      <c r="E89" s="1">
        <f>IF(COUNT(C89:D89)=2,D89-C89,"")</f>
        <v>-15.196788773613022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IF(1517317&gt;0,100*247511/1517317,"")</f>
        <v>16.312411974557723</v>
      </c>
      <c r="L89" s="1">
        <f>IF(COUNT(J89:K89)=2,K89-J89,"")</f>
        <v>-2.8607070032079314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IF(2066506&gt;0,100*438484/2066506,"")</f>
        <v>21.218617318314102</v>
      </c>
      <c r="S89" s="1">
        <f>IF(COUNT(Q89:R89)=2,R89-Q89,"")</f>
        <v>-5.082245615918829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IF(1713458&gt;0,100*508197/1713458,"")</f>
        <v>29.659145424048912</v>
      </c>
      <c r="E90" s="1">
        <f>IF(COUNT(C90:D90)=2,D90-C90,"")</f>
        <v>-11.298182767916149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IF(1179792&gt;0,100*76680/1179792,"")</f>
        <v>6.499450750640791</v>
      </c>
      <c r="L90" s="1">
        <f>IF(COUNT(J90:K90)=2,K90-J90,"")</f>
        <v>-36.87011452800817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IF(1368106&gt;0,100*232259/1368106,"")</f>
        <v>16.976681631394058</v>
      </c>
      <c r="S90" s="1">
        <f>IF(COUNT(Q90:R90)=2,R90-Q90,"")</f>
        <v>-34.011519242826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IF(511004&gt;0,100*20867/511004,"")</f>
        <v>4.083529678828346</v>
      </c>
      <c r="E91" s="1">
        <f>IF(COUNT(C91:D91)=2,D91-C91,"")</f>
        <v>0.3926700175136708</v>
      </c>
      <c r="H91" s="1">
        <v>17</v>
      </c>
      <c r="I91" s="1">
        <v>16</v>
      </c>
      <c r="J91" s="1">
        <f>IF(88900&gt;0,100*3265/88900,"")</f>
        <v>3.6726659167604048</v>
      </c>
      <c r="K91" s="1">
        <f>IF(2223953&gt;0,100*482031/2223953,"")</f>
        <v>21.674513804923034</v>
      </c>
      <c r="L91" s="1">
        <f>IF(COUNT(J91:K91)=2,K91-J91,"")</f>
        <v>18.00184788816263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IF(1082818&gt;0,100*147277/1082818,"")</f>
        <v>13.601270019523133</v>
      </c>
      <c r="S91" s="1">
        <f>IF(COUNT(Q91:R91)=2,R91-Q91,"")</f>
        <v>-28.32013794634436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IF(878364&gt;0,100*81595/878364,"")</f>
        <v>9.289428983883674</v>
      </c>
      <c r="E92" s="1">
        <f>IF(COUNT(C92:D92)=2,D92-C92,"")</f>
        <v>-12.818016890999935</v>
      </c>
      <c r="H92" s="1">
        <v>18</v>
      </c>
      <c r="I92" s="1">
        <v>17</v>
      </c>
      <c r="J92" s="4"/>
      <c r="K92" s="1">
        <f>IF(1362552&gt;0,100*205622/1362552,"")</f>
        <v>15.090946987711295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IF(1059357&gt;0,100*97478/1059357,"")</f>
        <v>9.201619472944436</v>
      </c>
      <c r="S92" s="1">
        <f>IF(COUNT(Q92:R92)=2,R92-Q92,"")</f>
        <v>-35.90007048296153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IF(1253238&gt;0,100*267402/1253238,"")</f>
        <v>21.336888922934033</v>
      </c>
      <c r="E93" s="1">
        <f>IF(COUNT(C93:D93)=2,D93-C93,"")</f>
        <v>-24.99927267186811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IF(1071884&gt;0,100*48839/1071884,"")</f>
        <v>4.556369905698751</v>
      </c>
      <c r="L93" s="1">
        <f>IF(COUNT(J93:K93)=2,K93-J93,"")</f>
        <v>-32.36690358716035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IF(1542610&gt;0,100*220891/1542610,"")</f>
        <v>14.31930299946195</v>
      </c>
      <c r="S93" s="1">
        <f>IF(COUNT(Q93:R93)=2,R93-Q93,"")</f>
        <v>-23.50855019580081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IF(1529524&gt;0,100*406427/1529524,"")</f>
        <v>26.572123091890028</v>
      </c>
      <c r="E94" s="1">
        <f>IF(COUNT(C94:D94)=2,D94-C94,"")</f>
        <v>-15.107254588083244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IF(1365665&gt;0,100*287860/1365665,"")</f>
        <v>21.078375736362872</v>
      </c>
      <c r="L94" s="1">
        <f>IF(COUNT(J94:K94)=2,K94-J94,"")</f>
        <v>-20.71746640756779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IF(1235925&gt;0,100*163864/1235925,"")</f>
        <v>13.258409693144811</v>
      </c>
      <c r="S94" s="1">
        <f>IF(COUNT(Q94:R94)=2,R94-Q94,"")</f>
        <v>-32.92528189936183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IF(1515037&gt;0,100*400420/1515037,"")</f>
        <v>26.42971755805304</v>
      </c>
      <c r="E95" s="1">
        <f>IF(COUNT(C95:D95)=2,D95-C95,"")</f>
        <v>-23.387356627192236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IF(1651278&gt;0,100*336906/1651278,"")</f>
        <v>20.40274260300204</v>
      </c>
      <c r="L95" s="1">
        <f>IF(COUNT(J95:K95)=2,K95-J95,"")</f>
        <v>-29.320145902146166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IF(409649&gt;0,100*57835/409649,"")</f>
        <v>14.118184103952409</v>
      </c>
      <c r="S95" s="1">
        <f>IF(COUNT(Q95:R95)=2,R95-Q95,"")</f>
        <v>-32.641078610446726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IF(1518310&gt;0,100*341252/1518310,"")</f>
        <v>22.47577899111512</v>
      </c>
      <c r="E96" s="1">
        <f>IF(COUNT(C96:D96)=2,D96-C96,"")</f>
        <v>-4.138914491799223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IF(1369344&gt;0,100*221082/1369344,"")</f>
        <v>16.145103056646104</v>
      </c>
      <c r="L96" s="1">
        <f>IF(COUNT(J96:K96)=2,K96-J96,"")</f>
        <v>-29.493309570925728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IF(949548&gt;0,100*132084/949548,"")</f>
        <v>13.910197272807693</v>
      </c>
      <c r="S96" s="1">
        <f>IF(COUNT(Q96:R96)=2,R96-Q96,"")</f>
        <v>-19.249674372176266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IF(722476&gt;0,100*2933/722476,"")</f>
        <v>0.40596504243739584</v>
      </c>
      <c r="E97" s="1">
        <f>IF(COUNT(C97:D97)=2,D97-C97,"")</f>
        <v>0.2852698776184386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IF(1962911&gt;0,100*458510/1962911,"")</f>
        <v>23.35867494756512</v>
      </c>
      <c r="L97" s="1">
        <f>IF(COUNT(J97:K97)=2,K97-J97,"")</f>
        <v>-25.984408782571663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IF(1802824&gt;0,100*462500/1802824,"")</f>
        <v>25.654195861603796</v>
      </c>
      <c r="S97" s="1">
        <f>IF(COUNT(Q97:R97)=2,R97-Q97,"")</f>
        <v>-16.933121477588493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IF(1108768&gt;0,100*184167/1108768,"")</f>
        <v>16.610057288810644</v>
      </c>
      <c r="E98" s="1">
        <f>IF(COUNT(C98:D98)=2,D98-C98,"")</f>
        <v>-23.063551362352705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IF(804857&gt;0,100*9183/804857,"")</f>
        <v>1.1409480193375967</v>
      </c>
      <c r="L98" s="1">
        <f>IF(COUNT(J98:K98)=2,K98-J98,"")</f>
        <v>-42.097306307646214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IF(1350066&gt;0,100*263529/1350066,"")</f>
        <v>19.519712369617487</v>
      </c>
      <c r="S98" s="1">
        <f>IF(COUNT(Q98:R98)=2,R98-Q98,"")</f>
        <v>-21.267027738401367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IF(1485165&gt;0,100*391605/1485165,"")</f>
        <v>26.367777317671774</v>
      </c>
      <c r="E99" s="1">
        <f>IF(COUNT(C99:D99)=2,D99-C99,"")</f>
        <v>-15.075691963442125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IF(1401836&gt;0,100*237052/1401836,"")</f>
        <v>16.910109313785636</v>
      </c>
      <c r="L99" s="1">
        <f>IF(COUNT(J99:K99)=2,K99-J99,"")</f>
        <v>-33.353535172075595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IF(1151245&gt;0,100*178209/1151245,"")</f>
        <v>15.479676350385887</v>
      </c>
      <c r="S99" s="1">
        <f>IF(COUNT(Q99:R99)=2,R99-Q99,"")</f>
        <v>-21.90569507206981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IF(1223942&gt;0,100*312050/1223942,"")</f>
        <v>25.495489165336267</v>
      </c>
      <c r="E100" s="1">
        <f>IF(COUNT(C100:D100)=2,D100-C100,"")</f>
        <v>-20.619046260958378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IF(166434&gt;0,100*6866/166434,"")</f>
        <v>4.125359001165627</v>
      </c>
      <c r="L100" s="1">
        <f>IF(COUNT(J100:K100)=2,K100-J100,"")</f>
        <v>-1.7111894648667505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IF(1618032&gt;0,100*277222/1618032,"")</f>
        <v>17.133282901697864</v>
      </c>
      <c r="S100" s="1">
        <f>IF(COUNT(Q100:R100)=2,R100-Q100,"")</f>
        <v>-36.67270422477583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IF(1567479&gt;0,100*375295/1567479,"")</f>
        <v>23.94258551470227</v>
      </c>
      <c r="E101" s="1">
        <f>IF(COUNT(C101:D101)=2,D101-C101,"")</f>
        <v>-27.027741703712127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IF(1158305&gt;0,100*201677/1158305,"")</f>
        <v>17.4113899188901</v>
      </c>
      <c r="L101" s="1">
        <f>IF(COUNT(J101:K101)=2,K101-J101,"")</f>
        <v>-7.95359242140664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IF(1077314&gt;0,100*67122/1077314,"")</f>
        <v>6.230495473000444</v>
      </c>
      <c r="S101" s="1">
        <f>IF(COUNT(Q101:R101)=2,R101-Q101,"")</f>
        <v>-16.314157046847527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IF(401896&gt;0,100*420/401896,"")</f>
        <v>0.1045046479686287</v>
      </c>
      <c r="E102" s="1">
        <f>IF(COUNT(C102:D102)=2,D102-C102,"")</f>
        <v>-0.21383723161977974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IF(2071405&gt;0,100*522355/2071405,"")</f>
        <v>25.217424887938378</v>
      </c>
      <c r="L102" s="1">
        <f>IF(COUNT(J102:K102)=2,K102-J102,"")</f>
        <v>-5.127624880316315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IF(1618356&gt;0,100*318829/1618356,"")</f>
        <v>19.700795127895223</v>
      </c>
      <c r="S102" s="1">
        <f>IF(COUNT(Q102:R102)=2,R102-Q102,"")</f>
        <v>-20.494282982913585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IF(1903471&gt;0,100*567225/1903471,"")</f>
        <v>29.799508371811285</v>
      </c>
      <c r="E103" s="1">
        <f>IF(COUNT(C103:D103)=2,D103-C103,"")</f>
        <v>-17.143126194320168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IF(2216548&gt;0,100*553815/2216548,"")</f>
        <v>24.985472906519508</v>
      </c>
      <c r="L103" s="1">
        <f>IF(COUNT(J103:K103)=2,K103-J103,"")</f>
        <v>-23.87620362185081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IF(1615106&gt;0,100*349579/1615106,"")</f>
        <v>21.644337894850246</v>
      </c>
      <c r="S103" s="1">
        <f>IF(COUNT(Q103:R103)=2,R103-Q103,"")</f>
        <v>-22.120899890449465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IF(1310968&gt;0,100*251876/1310968,"")</f>
        <v>19.212978501382185</v>
      </c>
      <c r="E104" s="1">
        <f>IF(COUNT(C104:D104)=2,D104-C104,"")</f>
        <v>-27.868648185156378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IF(885968&gt;0,100*27631/885968,"")</f>
        <v>3.118735665396493</v>
      </c>
      <c r="L104" s="1">
        <f>IF(COUNT(J104:K104)=2,K104-J104,"")</f>
        <v>-28.857572463032973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IF(528756&gt;0,100*3880/528756,"")</f>
        <v>0.7337978197883334</v>
      </c>
      <c r="S104" s="1">
        <f>IF(COUNT(Q104:R104)=2,R104-Q104,"")</f>
        <v>-0.6257215853019259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IF(814788&gt;0,100*13588/814788,"")</f>
        <v>1.6676730634226327</v>
      </c>
      <c r="E105" s="1">
        <f>IF(COUNT(C105:D105)=2,D105-C105,"")</f>
        <v>-25.484984238131418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IF(1855582&gt;0,100*418087/1855582,"")</f>
        <v>22.531313625590247</v>
      </c>
      <c r="L105" s="1">
        <f>IF(COUNT(J105:K105)=2,K105-J105,"")</f>
        <v>-2.2541634013266005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IF(1118364&gt;0,100*161168/1118364,"")</f>
        <v>14.411050427231206</v>
      </c>
      <c r="S105" s="1">
        <f>IF(COUNT(Q105:R105)=2,R105-Q105,"")</f>
        <v>-30.77643790977734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18.049598858918362</v>
      </c>
      <c r="E106" s="1">
        <f>IF(COUNT(E75:E105)&gt;0,AVERAGE(E75:E105),"")</f>
        <v>-15.737193169294649</v>
      </c>
      <c r="H106" s="2" t="s">
        <v>6</v>
      </c>
      <c r="I106" s="1"/>
      <c r="J106" s="1">
        <f>IF(COUNT(J75:J105)&gt;0,AVERAGE(J75:J105),"")</f>
        <v>36.69157069983473</v>
      </c>
      <c r="K106" s="1">
        <f>IF(COUNT(K75:K105)&gt;0,AVERAGE(K75:K105),"")</f>
        <v>14.30879712622428</v>
      </c>
      <c r="L106" s="1">
        <f>IF(COUNT(L75:L105)&gt;0,AVERAGE(L75:L105),"")</f>
        <v>-22.408845235660014</v>
      </c>
      <c r="O106" s="2" t="s">
        <v>6</v>
      </c>
      <c r="P106" s="1"/>
      <c r="Q106" s="1">
        <f>IF(COUNT(Q75:Q105)&gt;0,AVERAGE(Q75:Q105),"")</f>
        <v>34.096955178849896</v>
      </c>
      <c r="R106" s="1">
        <f>IF(COUNT(R75:R105)&gt;0,AVERAGE(R75:R105),"")</f>
        <v>14.826521310919121</v>
      </c>
      <c r="S106" s="1">
        <f>IF(COUNT(S75:S105)&gt;0,AVERAGE(S75:S105),"")</f>
        <v>-19.27043386793077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IF(512415&gt;0,100*52092/512415,"")</f>
        <v>10.165978747694739</v>
      </c>
      <c r="E3" s="1">
        <f>IF(COUNT(C3:D3)=2,D3-C3,"")</f>
        <v>-18.26342953745801</v>
      </c>
      <c r="H3" s="1">
        <v>1</v>
      </c>
      <c r="I3" s="1">
        <v>0</v>
      </c>
      <c r="J3" s="1">
        <f>IF(1145550&gt;0,100*291815/1145550,"")</f>
        <v>25.47378988258915</v>
      </c>
      <c r="K3" s="1">
        <f>IF(926717&gt;0,100*116068/926717,"")</f>
        <v>12.524643445625795</v>
      </c>
      <c r="L3" s="1">
        <f>IF(COUNT(J3:K3)=2,K3-J3,"")</f>
        <v>-12.949146436963353</v>
      </c>
      <c r="O3" s="1">
        <v>1</v>
      </c>
      <c r="P3" s="1">
        <v>0</v>
      </c>
      <c r="Q3" s="1">
        <f>IF(1052174&gt;0,100*332764/1052174,"")</f>
        <v>31.626327964766283</v>
      </c>
      <c r="R3" s="1">
        <f>IF(845762&gt;0,100*154396/845762,"")</f>
        <v>18.25525384209742</v>
      </c>
      <c r="S3" s="1">
        <f>IF(COUNT(Q3:R3)=2,R3-Q3,"")</f>
        <v>-13.371074122668862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IF(920971&gt;0,100*192859/920971,"")</f>
        <v>20.94083309897923</v>
      </c>
      <c r="E4" s="1">
        <f>IF(COUNT(C4:D4)=2,D4-C4,"")</f>
        <v>-14.23491644138721</v>
      </c>
      <c r="H4" s="1">
        <v>2</v>
      </c>
      <c r="I4" s="1">
        <v>1</v>
      </c>
      <c r="J4" s="1">
        <f>IF(783729&gt;0,100*130334/783729,"")</f>
        <v>16.629983068126865</v>
      </c>
      <c r="K4" s="1">
        <f>IF(871447&gt;0,100*126874/871447,"")</f>
        <v>14.559003588284773</v>
      </c>
      <c r="L4" s="1">
        <f>IF(COUNT(J4:K4)=2,K4-J4,"")</f>
        <v>-2.0709794798420926</v>
      </c>
      <c r="O4" s="1">
        <v>2</v>
      </c>
      <c r="P4" s="1">
        <v>1</v>
      </c>
      <c r="Q4" s="1">
        <f>IF(1118920&gt;0,100*356409/1118920,"")</f>
        <v>31.852947485074893</v>
      </c>
      <c r="R4" s="1">
        <f>IF(1023840&gt;0,100*178269/1023840,"")</f>
        <v>17.41180262541022</v>
      </c>
      <c r="S4" s="1">
        <f>IF(COUNT(Q4:R4)=2,R4-Q4,"")</f>
        <v>-14.441144859664671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IF(627568&gt;0,100*74899/627568,"")</f>
        <v>11.934802284373964</v>
      </c>
      <c r="E5" s="1">
        <f>IF(COUNT(C5:D5)=2,D5-C5,"")</f>
        <v>-25.548988852568968</v>
      </c>
      <c r="H5" s="1">
        <v>3</v>
      </c>
      <c r="I5" s="1">
        <v>2</v>
      </c>
      <c r="J5" s="1">
        <f>IF(1441835&gt;0,100*147851/1441835,"")</f>
        <v>10.25436336335295</v>
      </c>
      <c r="K5" s="1">
        <f>IF(724846&gt;0,100*85058/724846,"")</f>
        <v>11.73463052841569</v>
      </c>
      <c r="L5" s="1">
        <f>IF(COUNT(J5:K5)=2,K5-J5,"")</f>
        <v>1.4802671650627417</v>
      </c>
      <c r="O5" s="1">
        <v>3</v>
      </c>
      <c r="P5" s="1">
        <v>2</v>
      </c>
      <c r="Q5" s="1">
        <f>IF(1270809&gt;0,100*397332/1270809,"")</f>
        <v>31.266067520768267</v>
      </c>
      <c r="R5" s="1">
        <f>IF(689023&gt;0,100*80981/689023,"")</f>
        <v>11.75301840432032</v>
      </c>
      <c r="S5" s="1">
        <f>IF(COUNT(Q5:R5)=2,R5-Q5,"")</f>
        <v>-19.513049116447945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IF(768195&gt;0,100*113194/768195,"")</f>
        <v>14.735060759312415</v>
      </c>
      <c r="E6" s="1">
        <f>IF(COUNT(C6:D6)=2,D6-C6,"")</f>
        <v>-22.431582378466974</v>
      </c>
      <c r="H6" s="1">
        <v>4</v>
      </c>
      <c r="I6" s="1">
        <v>3</v>
      </c>
      <c r="J6" s="1">
        <f>IF(784417&gt;0,100*123870/784417,"")</f>
        <v>15.791345674558302</v>
      </c>
      <c r="K6" s="1">
        <f>IF(565569&gt;0,100*44885/565569,"")</f>
        <v>7.936255346385675</v>
      </c>
      <c r="L6" s="1">
        <f>IF(COUNT(J6:K6)=2,K6-J6,"")</f>
        <v>-7.855090328172627</v>
      </c>
      <c r="O6" s="1">
        <v>4</v>
      </c>
      <c r="P6" s="1">
        <v>3</v>
      </c>
      <c r="Q6" s="1">
        <f>IF(519550&gt;0,100*16403/519550,"")</f>
        <v>3.1571552304879225</v>
      </c>
      <c r="R6" s="1">
        <f>IF(547933&gt;0,100*42516/547933,"")</f>
        <v>7.7593428393617465</v>
      </c>
      <c r="S6" s="1">
        <f>IF(COUNT(Q6:R6)=2,R6-Q6,"")</f>
        <v>4.602187608873824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IF(434971&gt;0,100*7044/434971,"")</f>
        <v>1.6194183060479894</v>
      </c>
      <c r="E7" s="1">
        <f>IF(COUNT(C7:D7)=2,D7-C7,"")</f>
        <v>-34.01130457780046</v>
      </c>
      <c r="H7" s="1">
        <v>5</v>
      </c>
      <c r="I7" s="1">
        <v>4</v>
      </c>
      <c r="J7" s="1">
        <f>IF(1148710&gt;0,100*342477/1148710,"")</f>
        <v>29.814052284736793</v>
      </c>
      <c r="K7" s="1">
        <f>IF(891704&gt;0,100*137137/891704,"")</f>
        <v>15.379206552847133</v>
      </c>
      <c r="L7" s="1">
        <f>IF(COUNT(J7:K7)=2,K7-J7,"")</f>
        <v>-14.43484573188966</v>
      </c>
      <c r="O7" s="1">
        <v>5</v>
      </c>
      <c r="P7" s="1">
        <v>4</v>
      </c>
      <c r="Q7" s="1">
        <f>IF(1286267&gt;0,100*497044/1286267,"")</f>
        <v>38.64236585405674</v>
      </c>
      <c r="R7" s="1">
        <f>IF(1016564&gt;0,100*155031/1016564,"")</f>
        <v>15.250490869241878</v>
      </c>
      <c r="S7" s="1">
        <f>IF(COUNT(Q7:R7)=2,R7-Q7,"")</f>
        <v>-23.391874984814862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IF(640774&gt;0,100*80019/640774,"")</f>
        <v>12.487866236769907</v>
      </c>
      <c r="E8" s="1">
        <f>IF(COUNT(C8:D8)=2,D8-C8,"")</f>
        <v>-14.64351841543063</v>
      </c>
      <c r="H8" s="1">
        <v>6</v>
      </c>
      <c r="I8" s="1">
        <v>5</v>
      </c>
      <c r="J8" s="1">
        <f>IF(1039225&gt;0,100*246415/1039225,"")</f>
        <v>23.71141956746614</v>
      </c>
      <c r="K8" s="1">
        <f>IF(608793&gt;0,100*66624/608793,"")</f>
        <v>10.943621230861721</v>
      </c>
      <c r="L8" s="1">
        <f>IF(COUNT(J8:K8)=2,K8-J8,"")</f>
        <v>-12.76779833660442</v>
      </c>
      <c r="O8" s="1">
        <v>6</v>
      </c>
      <c r="P8" s="1">
        <v>5</v>
      </c>
      <c r="Q8" s="1">
        <f>IF(1125005&gt;0,100*295084/1125005,"")</f>
        <v>26.229572313011943</v>
      </c>
      <c r="R8" s="1">
        <f>IF(856675&gt;0,100*81460/856675,"")</f>
        <v>9.508856917734263</v>
      </c>
      <c r="S8" s="1">
        <f>IF(COUNT(Q8:R8)=2,R8-Q8,"")</f>
        <v>-16.72071539527768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IF(731004&gt;0,100*111944/731004,"")</f>
        <v>15.31373289339046</v>
      </c>
      <c r="E9" s="1">
        <f>IF(COUNT(C9:D9)=2,D9-C9,"")</f>
        <v>-21.630152381960094</v>
      </c>
      <c r="H9" s="1">
        <v>7</v>
      </c>
      <c r="I9" s="1">
        <v>6</v>
      </c>
      <c r="J9" s="1">
        <f>IF(356727&gt;0,100*3261/356727,"")</f>
        <v>0.9141444297740289</v>
      </c>
      <c r="K9" s="1">
        <f>IF(321485&gt;0,100*3837/321485,"")</f>
        <v>1.1935238035989237</v>
      </c>
      <c r="L9" s="1">
        <f>IF(COUNT(J9:K9)=2,K9-J9,"")</f>
        <v>0.27937937382489486</v>
      </c>
      <c r="O9" s="1">
        <v>7</v>
      </c>
      <c r="P9" s="1">
        <v>6</v>
      </c>
      <c r="Q9" s="1">
        <f>IF(851852&gt;0,100*240424/851852,"")</f>
        <v>28.223682048055295</v>
      </c>
      <c r="R9" s="1">
        <f>IF(441021&gt;0,100*8499/441021,"")</f>
        <v>1.927119116776752</v>
      </c>
      <c r="S9" s="1">
        <f>IF(COUNT(Q9:R9)=2,R9-Q9,"")</f>
        <v>-26.296562931278544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IF(927739&gt;0,100*165123/927739,"")</f>
        <v>17.79843253328792</v>
      </c>
      <c r="E10" s="1">
        <f>IF(COUNT(C10:D10)=2,D10-C10,"")</f>
        <v>-23.63758382418266</v>
      </c>
      <c r="H10" s="1">
        <v>8</v>
      </c>
      <c r="I10" s="1">
        <v>7</v>
      </c>
      <c r="J10" s="1">
        <f>IF(278589&gt;0,100*275/278589,"")</f>
        <v>0.09871172228623527</v>
      </c>
      <c r="K10" s="1">
        <f>IF(594954&gt;0,100*12828/594954,"")</f>
        <v>2.1561330791960387</v>
      </c>
      <c r="L10" s="1">
        <f>IF(COUNT(J10:K10)=2,K10-J10,"")</f>
        <v>2.057421356909803</v>
      </c>
      <c r="O10" s="1">
        <v>8</v>
      </c>
      <c r="P10" s="1">
        <v>7</v>
      </c>
      <c r="Q10" s="1">
        <f>IF(313581&gt;0,100*3447/313581,"")</f>
        <v>1.09923751757919</v>
      </c>
      <c r="R10" s="1">
        <f>IF(322749&gt;0,100*2355/322749,"")</f>
        <v>0.7296691856520082</v>
      </c>
      <c r="S10" s="1">
        <f>IF(COUNT(Q10:R10)=2,R10-Q10,"")</f>
        <v>-0.36956833192718175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IF(1087741&gt;0,100*249420/1087741,"")</f>
        <v>22.930090894799406</v>
      </c>
      <c r="E11" s="1">
        <f>IF(COUNT(C11:D11)=2,D11-C11,"")</f>
        <v>-13.313850013959765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IF(1396958&gt;0,100*336400/1396958,"")</f>
        <v>24.080895774962453</v>
      </c>
      <c r="L11" s="1">
        <f>IF(COUNT(J11:K11)=2,K11-J11,"")</f>
        <v>-5.622884083496686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IF(1169758&gt;0,100*231218/1169758,"")</f>
        <v>19.766310638610722</v>
      </c>
      <c r="S11" s="1">
        <f>IF(COUNT(Q11:R11)=2,R11-Q11,"")</f>
        <v>-10.233634625453675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IF(557077&gt;0,100*17254/557077,"")</f>
        <v>3.0972379042753517</v>
      </c>
      <c r="E12" s="1">
        <f>IF(COUNT(C12:D12)=2,D12-C12,"")</f>
        <v>-28.374955904045628</v>
      </c>
      <c r="H12" s="1">
        <v>10</v>
      </c>
      <c r="I12" s="1">
        <v>9</v>
      </c>
      <c r="J12" s="1">
        <f>IF(747366&gt;0,100*179400/747366,"")</f>
        <v>24.00430311253121</v>
      </c>
      <c r="K12" s="1">
        <f>IF(471839&gt;0,100*37375/471839,"")</f>
        <v>7.921134115662334</v>
      </c>
      <c r="L12" s="1">
        <f>IF(COUNT(J12:K12)=2,K12-J12,"")</f>
        <v>-16.083168996868878</v>
      </c>
      <c r="O12" s="1">
        <v>10</v>
      </c>
      <c r="P12" s="1">
        <v>9</v>
      </c>
      <c r="Q12" s="1">
        <f>IF(738636&gt;0,100*147882/738636,"")</f>
        <v>20.0209575487791</v>
      </c>
      <c r="R12" s="1">
        <f>IF(583524&gt;0,100*42677/583524,"")</f>
        <v>7.31366661868235</v>
      </c>
      <c r="S12" s="1">
        <f>IF(COUNT(Q12:R12)=2,R12-Q12,"")</f>
        <v>-12.70729093009675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IF(707781&gt;0,100*84111/707781,"")</f>
        <v>11.88376065477881</v>
      </c>
      <c r="E13" s="1">
        <f>IF(COUNT(C13:D13)=2,D13-C13,"")</f>
        <v>-16.865571145662017</v>
      </c>
      <c r="H13" s="1">
        <v>11</v>
      </c>
      <c r="I13" s="1">
        <v>10</v>
      </c>
      <c r="J13" s="1">
        <f>IF(602395&gt;0,100*29717/602395,"")</f>
        <v>4.933141875347571</v>
      </c>
      <c r="K13" s="1">
        <f>IF(743464&gt;0,100*64488/743464,"")</f>
        <v>8.673990939709253</v>
      </c>
      <c r="L13" s="1">
        <f>IF(COUNT(J13:K13)=2,K13-J13,"")</f>
        <v>3.740849064361681</v>
      </c>
      <c r="O13" s="1">
        <v>11</v>
      </c>
      <c r="P13" s="1">
        <v>10</v>
      </c>
      <c r="Q13" s="1">
        <f>IF(540292&gt;0,100*4137/540292,"")</f>
        <v>0.7656970675116419</v>
      </c>
      <c r="R13" s="1">
        <f>IF(843588&gt;0,100*104799/843588,"")</f>
        <v>12.423007439650636</v>
      </c>
      <c r="S13" s="1">
        <f>IF(COUNT(Q13:R13)=2,R13-Q13,"")</f>
        <v>11.657310372138994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IF(1108273&gt;0,100*226740/1108273,"")</f>
        <v>20.458858061145584</v>
      </c>
      <c r="E14" s="1">
        <f>IF(COUNT(C14:D14)=2,D14-C14,"")</f>
        <v>-14.044568212616518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IF(587428&gt;0,100*10249/587428,"")</f>
        <v>1.7447244598486964</v>
      </c>
      <c r="L14" s="1">
        <f>IF(COUNT(J14:K14)=2,K14-J14,"")</f>
        <v>-1.578083850354661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IF(670022&gt;0,100*54913/670022,"")</f>
        <v>8.195701036682378</v>
      </c>
      <c r="S14" s="1">
        <f>IF(COUNT(Q14:R14)=2,R14-Q14,"")</f>
        <v>-28.167506160038727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IF(575835&gt;0,100*33430/575835,"")</f>
        <v>5.8054824732779355</v>
      </c>
      <c r="E15" s="1">
        <f>IF(COUNT(C15:D15)=2,D15-C15,"")</f>
        <v>-26.43770286180122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IF(723571&gt;0,100*102822/723571,"")</f>
        <v>14.21035392518495</v>
      </c>
      <c r="L15" s="1">
        <f>IF(COUNT(J15:K15)=2,K15-J15,"")</f>
        <v>-23.015994356829562</v>
      </c>
      <c r="O15" s="1">
        <v>13</v>
      </c>
      <c r="P15" s="1">
        <v>12</v>
      </c>
      <c r="Q15" s="1">
        <f>IF(521892&gt;0,100*47266/521892,"")</f>
        <v>9.0566630643888</v>
      </c>
      <c r="R15" s="1">
        <f>IF(528819&gt;0,100*41691/528819,"")</f>
        <v>7.883793887889808</v>
      </c>
      <c r="S15" s="1">
        <f>IF(COUNT(Q15:R15)=2,R15-Q15,"")</f>
        <v>-1.1728691764989927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IF(460101&gt;0,100*943/460101,"")</f>
        <v>0.20495499901108669</v>
      </c>
      <c r="E16" s="1">
        <f>IF(COUNT(C16:D16)=2,D16-C16,"")</f>
        <v>-22.48411046371165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IF(115812&gt;0,100*404/115812,"")</f>
        <v>0.3488412254343246</v>
      </c>
      <c r="L16" s="1">
        <f>IF(COUNT(J16:K16)=2,K16-J16,"")</f>
        <v>-21.82128055527736</v>
      </c>
      <c r="O16" s="1">
        <v>14</v>
      </c>
      <c r="P16" s="1">
        <v>13</v>
      </c>
      <c r="Q16" s="1">
        <f>IF(385878&gt;0,100*7402/385878,"")</f>
        <v>1.9182228580017517</v>
      </c>
      <c r="R16" s="1">
        <f>IF(413854&gt;0,100*31468/413854,"")</f>
        <v>7.603647663185568</v>
      </c>
      <c r="S16" s="1">
        <f>IF(COUNT(Q16:R16)=2,R16-Q16,"")</f>
        <v>5.685424805183817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IF(1063869&gt;0,100*221020/1063869,"")</f>
        <v>20.775114229289507</v>
      </c>
      <c r="E17" s="1">
        <f>IF(COUNT(C17:D17)=2,D17-C17,"")</f>
        <v>-12.245042150039957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IF(735997&gt;0,100*82472/735997,"")</f>
        <v>11.205480457121428</v>
      </c>
      <c r="L17" s="1">
        <f>IF(COUNT(J17:K17)=2,K17-J17,"")</f>
        <v>-27.573869547423417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IF(977109&gt;0,100*175796/977109,"")</f>
        <v>17.99144210113713</v>
      </c>
      <c r="S17" s="1">
        <f>IF(COUNT(Q17:R17)=2,R17-Q17,"")</f>
        <v>-14.685960707094786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IF(1052760&gt;0,100*233176/1052760,"")</f>
        <v>22.149017819825982</v>
      </c>
      <c r="E18" s="1">
        <f>IF(COUNT(C18:D18)=2,D18-C18,"")</f>
        <v>-12.284255448527961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IF(719309&gt;0,100*40133/719309,"")</f>
        <v>5.579382435087007</v>
      </c>
      <c r="L18" s="1">
        <f>IF(COUNT(J18:K18)=2,K18-J18,"")</f>
        <v>-24.50386340914021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IF(622831&gt;0,100*84771/622831,"")</f>
        <v>13.610594206132964</v>
      </c>
      <c r="S18" s="1">
        <f>IF(COUNT(Q18:R18)=2,R18-Q18,"")</f>
        <v>-19.657428869971774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IF(333576&gt;0,100*15018/333576,"")</f>
        <v>4.502122454852867</v>
      </c>
      <c r="E19" s="1">
        <f>IF(COUNT(C19:D19)=2,D19-C19,"")</f>
        <v>-4.597931835697383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IF(983568&gt;0,100*188761/983568,"")</f>
        <v>19.191453971662355</v>
      </c>
      <c r="L19" s="1">
        <f>IF(COUNT(J19:K19)=2,K19-J19,"")</f>
        <v>-18.183310502633354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IF(763662&gt;0,100*111605/763662,"")</f>
        <v>14.614449848231285</v>
      </c>
      <c r="S19" s="1">
        <f>IF(COUNT(Q19:R19)=2,R19-Q19,"")</f>
        <v>-6.636897916810518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IF(328773&gt;0,100*5369/328773,"")</f>
        <v>1.6330416427139698</v>
      </c>
      <c r="E20" s="1">
        <f>IF(COUNT(C20:D20)=2,D20-C20,"")</f>
        <v>0.9496975274498962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IF(554567&gt;0,100*31817/554567,"")</f>
        <v>5.73726889627403</v>
      </c>
      <c r="L20" s="1">
        <f>IF(COUNT(J20:K20)=2,K20-J20,"")</f>
        <v>-19.52758223382576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IF(516586&gt;0,100*25171/516586,"")</f>
        <v>4.872567200814578</v>
      </c>
      <c r="S20" s="1">
        <f>IF(COUNT(Q20:R20)=2,R20-Q20,"")</f>
        <v>-24.590066894238895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IF(857545&gt;0,100*137599/857545,"")</f>
        <v>16.04568856444851</v>
      </c>
      <c r="E21" s="1">
        <f>IF(COUNT(C21:D21)=2,D21-C21,"")</f>
        <v>-19.416715292213453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IF(670176&gt;0,100*75250/670176,"")</f>
        <v>11.228393735376976</v>
      </c>
      <c r="L21" s="1">
        <f>IF(COUNT(J21:K21)=2,K21-J21,"")</f>
        <v>-4.23617733188421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IF(572845&gt;0,100*56980/572845,"")</f>
        <v>9.946844259791042</v>
      </c>
      <c r="S21" s="1">
        <f>IF(COUNT(Q21:R21)=2,R21-Q21,"")</f>
        <v>-9.351115769509953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IF(883536&gt;0,100*175821/883536,"")</f>
        <v>19.89969848427229</v>
      </c>
      <c r="E22" s="1">
        <f>IF(COUNT(C22:D22)=2,D22-C22,"")</f>
        <v>-12.895867870459316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IF(614769&gt;0,100*71495/614769,"")</f>
        <v>11.629571432521809</v>
      </c>
      <c r="L22" s="1">
        <f>IF(COUNT(J22:K22)=2,K22-J22,"")</f>
        <v>0.390581802338275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IF(466496&gt;0,100*16920/466496,"")</f>
        <v>3.627040746330086</v>
      </c>
      <c r="S22" s="1">
        <f>IF(COUNT(Q22:R22)=2,R22-Q22,"")</f>
        <v>-25.44113943902806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IF(589268&gt;0,100*60905/589268,"")</f>
        <v>10.33570463693939</v>
      </c>
      <c r="E23" s="1">
        <f>IF(COUNT(C23:D23)=2,D23-C23,"")</f>
        <v>-14.112300072594188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IF(627480&gt;0,100*69260/627480,"")</f>
        <v>11.037802001657424</v>
      </c>
      <c r="L23" s="1">
        <f>IF(COUNT(J23:K23)=2,K23-J23,"")</f>
        <v>-27.36126954780793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IF(1169180&gt;0,100*244656/1169180,"")</f>
        <v>20.925434920200484</v>
      </c>
      <c r="S23" s="1">
        <f>IF(COUNT(Q23:R23)=2,R23-Q23,"")</f>
        <v>-2.4958362205631346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IF(845531&gt;0,100*175772/845531,"")</f>
        <v>20.78835666581119</v>
      </c>
      <c r="E24" s="1">
        <f>IF(COUNT(C24:D24)=2,D24-C24,"")</f>
        <v>-13.568608146130085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IF(939726&gt;0,100*145555/939726,"")</f>
        <v>15.489089372859748</v>
      </c>
      <c r="L24" s="1">
        <f>IF(COUNT(J24:K24)=2,K24-J24,"")</f>
        <v>-15.38802518264876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IF(796407&gt;0,100*151712/796407,"")</f>
        <v>19.0495563198214</v>
      </c>
      <c r="S24" s="1">
        <f>IF(COUNT(Q24:R24)=2,R24-Q24,"")</f>
        <v>-4.088249243770402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IF(267571&gt;0,100*558/267571,"")</f>
        <v>0.2085427792996999</v>
      </c>
      <c r="E25" s="1">
        <f>IF(COUNT(C25:D25)=2,D25-C25,"")</f>
        <v>-0.017480433895168762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IF(508393&gt;0,100*27158/508393,"")</f>
        <v>5.341930357026945</v>
      </c>
      <c r="L25" s="1">
        <f>IF(COUNT(J25:K25)=2,K25-J25,"")</f>
        <v>-13.172848594948299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IF(819353&gt;0,100*100951/819353,"")</f>
        <v>12.320818987664657</v>
      </c>
      <c r="S25" s="1">
        <f>IF(COUNT(Q25:R25)=2,R25-Q25,"")</f>
        <v>-19.94895406601365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IF(411324&gt;0,100*16525/411324,"")</f>
        <v>4.0175141737413815</v>
      </c>
      <c r="E26" s="1">
        <f>IF(COUNT(C26:D26)=2,D26-C26,"")</f>
        <v>-17.216027638669214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IF(730894&gt;0,100*79505/730894,"")</f>
        <v>10.877774342107063</v>
      </c>
      <c r="L26" s="1">
        <f>IF(COUNT(J26:K26)=2,K26-J26,"")</f>
        <v>-21.77569281969959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IF(632678&gt;0,100*43825/632678,"")</f>
        <v>6.926904365253731</v>
      </c>
      <c r="S26" s="1">
        <f>IF(COUNT(Q26:R26)=2,R26-Q26,"")</f>
        <v>-19.338219950410995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IF(729255&gt;0,100*117149/729255,"")</f>
        <v>16.064202508039028</v>
      </c>
      <c r="E27" s="1">
        <f>IF(COUNT(C27:D27)=2,D27-C27,"")</f>
        <v>-21.003639043356845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IF(780787&gt;0,100*121433/780787,"")</f>
        <v>15.552641117231715</v>
      </c>
      <c r="L27" s="1">
        <f>IF(COUNT(J27:K27)=2,K27-J27,"")</f>
        <v>-4.986833889392376</v>
      </c>
      <c r="O27" s="1">
        <v>25</v>
      </c>
      <c r="P27" s="1">
        <v>24</v>
      </c>
      <c r="Q27" s="1">
        <f>IF(682080&gt;0,100*56444/682080,"")</f>
        <v>8.275275627492377</v>
      </c>
      <c r="R27" s="1">
        <f>IF(626569&gt;0,100*62975/626569,"")</f>
        <v>10.050768550630497</v>
      </c>
      <c r="S27" s="1">
        <f>IF(COUNT(Q27:R27)=2,R27-Q27,"")</f>
        <v>1.7754929231381205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IF(1006025&gt;0,100*178869/1006025,"")</f>
        <v>17.779776844511815</v>
      </c>
      <c r="E28" s="1">
        <f>IF(COUNT(C28:D28)=2,D28-C28,"")</f>
        <v>-22.21202942399737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IF(649540&gt;0,100*63922/649540,"")</f>
        <v>9.841118329895002</v>
      </c>
      <c r="L28" s="1">
        <f>IF(COUNT(J28:K28)=2,K28-J28,"")</f>
        <v>-22.123741868891898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IF(649464&gt;0,100*74256/649464,"")</f>
        <v>11.433428180776763</v>
      </c>
      <c r="S28" s="1">
        <f>IF(COUNT(Q28:R28)=2,R28-Q28,"")</f>
        <v>-19.9668716692982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IF(993197&gt;0,100*193851/993197,"")</f>
        <v>19.51788013858278</v>
      </c>
      <c r="E29" s="1">
        <f>IF(COUNT(C29:D29)=2,D29-C29,"")</f>
        <v>-10.361644633583943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IF(767944&gt;0,100*99868/767944,"")</f>
        <v>13.004594084985364</v>
      </c>
      <c r="L29" s="1">
        <f>IF(COUNT(J29:K29)=2,K29-J29,"")</f>
        <v>-3.658244319166755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IF(780336&gt;0,100*109591/780336,"")</f>
        <v>14.044078448258187</v>
      </c>
      <c r="S29" s="1">
        <f>IF(COUNT(Q29:R29)=2,R29-Q29,"")</f>
        <v>-25.65958254608366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IF(259948&gt;0,100*342/259948,"")</f>
        <v>0.1315647744933602</v>
      </c>
      <c r="E30" s="1">
        <f>IF(COUNT(C30:D30)=2,D30-C30,"")</f>
        <v>0.05842449066310694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IF(870924&gt;0,100*103345/870924,"")</f>
        <v>11.866132980604508</v>
      </c>
      <c r="L30" s="1">
        <f>IF(COUNT(J30:K30)=2,K30-J30,"")</f>
        <v>-21.80515487158606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IF(700374&gt;0,100*111637/700374,"")</f>
        <v>15.939626542390208</v>
      </c>
      <c r="S30" s="1">
        <f>IF(COUNT(Q30:R30)=2,R30-Q30,"")</f>
        <v>-11.963964511271033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IF(1038366&gt;0,100*207557/1038366,"")</f>
        <v>19.988809340829725</v>
      </c>
      <c r="E31" s="1">
        <f>IF(COUNT(C31:D31)=2,D31-C31,"")</f>
        <v>-16.161183427365607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IF(921400&gt;0,100*142496/921400,"")</f>
        <v>15.465161710440634</v>
      </c>
      <c r="L31" s="1">
        <f>IF(COUNT(J31:K31)=2,K31-J31,"")</f>
        <v>-20.93070488147054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IF(881015&gt;0,100*93501/881015,"")</f>
        <v>10.612872652565507</v>
      </c>
      <c r="S31" s="1">
        <f>IF(COUNT(Q31:R31)=2,R31-Q31,"")</f>
        <v>-26.271812165130072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IF(846175&gt;0,100*156205/846175,"")</f>
        <v>18.460129405855763</v>
      </c>
      <c r="E32" s="1">
        <f>IF(COUNT(C32:D32)=2,D32-C32,"")</f>
        <v>-19.045722875708076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IF(820427&gt;0,100*101536/820427,"")</f>
        <v>12.37599445166968</v>
      </c>
      <c r="L32" s="1">
        <f>IF(COUNT(J32:K32)=2,K32-J32,"")</f>
        <v>-17.407570146856497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IF(435231&gt;0,100*44034/435231,"")</f>
        <v>10.1173859398802</v>
      </c>
      <c r="S32" s="1">
        <f>IF(COUNT(Q32:R32)=2,R32-Q32,"")</f>
        <v>-15.717344317827887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IF(361264&gt;0,100*3032/361264,"")</f>
        <v>0.8392754329243988</v>
      </c>
      <c r="E33" s="1">
        <f>IF(COUNT(C33:D33)=2,D33-C33,"")</f>
        <v>-0.7971815706372412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IF(943803&gt;0,100*157064/943803,"")</f>
        <v>16.641608471259364</v>
      </c>
      <c r="L33" s="1">
        <f>IF(COUNT(J33:K33)=2,K33-J33,"")</f>
        <v>-12.74124289920072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IF(1246075&gt;0,100*172573/1246075,"")</f>
        <v>13.84932688642337</v>
      </c>
      <c r="S33" s="1">
        <f>IF(COUNT(Q33:R33)=2,R33-Q33,"")</f>
        <v>-23.096733344294115</v>
      </c>
    </row>
    <row r="34" spans="1:19">
      <c r="A34" s="2" t="s">
        <v>6</v>
      </c>
      <c r="B34" s="1"/>
      <c r="C34" s="1">
        <f>IF(COUNT(C3:C33)&gt;0,AVERAGE(C3:C33),"")</f>
        <v>28.172990083851328</v>
      </c>
      <c r="D34" s="1">
        <f>IF(COUNT(D3:D33)&gt;0,AVERAGE(D3:D33),"")</f>
        <v>12.339127411083112</v>
      </c>
      <c r="E34" s="1">
        <f>IF(COUNT(E3:E33)&gt;0,AVERAGE(E3:E33),"")</f>
        <v>-15.833862672768213</v>
      </c>
      <c r="H34" s="2" t="s">
        <v>6</v>
      </c>
      <c r="I34" s="1"/>
      <c r="J34" s="1">
        <f>IF(COUNT(J3:J33)&gt;0,AVERAGE(J3:J33),"")</f>
        <v>23.261266503360552</v>
      </c>
      <c r="K34" s="1">
        <f>IF(COUNT(K3:K33)&gt;0,AVERAGE(K3:K33),"")</f>
        <v>10.821688908509637</v>
      </c>
      <c r="L34" s="1">
        <f>IF(COUNT(L3:L33)&gt;0,AVERAGE(L3:L33),"")</f>
        <v>-12.439577594850913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11.474671652954777</v>
      </c>
      <c r="S34" s="1">
        <f>IF(COUNT(S3:S33)&gt;0,AVERAGE(S3:S33),"")</f>
        <v>-13.276614598585493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IF(540655&gt;0,100*14585/540655,"")</f>
        <v>2.6976537718138185</v>
      </c>
      <c r="E39" s="1">
        <f>IF(COUNT(C39:D39)=2,D39-C39,"")</f>
        <v>-10.35959785921178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IF(790997&gt;0,100*87940/790997,"")</f>
        <v>11.117614858210587</v>
      </c>
      <c r="L39" s="1">
        <f>IF(COUNT(J39:K39)=2,K39-J39,"")</f>
        <v>-20.14989217176665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IF(19692&gt;0,100*3944/19692,"")</f>
        <v>20.02843794434288</v>
      </c>
      <c r="S39" s="1">
        <f>IF(COUNT(Q39:R39)=2,R39-Q39,"")</f>
        <v>1.655786795200676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IF(959710&gt;0,100*210121/959710,"")</f>
        <v>21.89421804503444</v>
      </c>
      <c r="E40" s="1">
        <f>IF(COUNT(C40:D40)=2,D40-C40,"")</f>
        <v>-7.339224258505336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IF(1330994&gt;0,100*190411/1330994,"")</f>
        <v>14.305924744965042</v>
      </c>
      <c r="L40" s="1">
        <f>IF(COUNT(J40:K40)=2,K40-J40,"")</f>
        <v>-23.789629512218795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IF(23866&gt;0,100*5939/23866,"")</f>
        <v>24.88477331769044</v>
      </c>
      <c r="S40" s="1">
        <f>IF(COUNT(Q40:R40)=2,R40-Q40,"")</f>
        <v>-16.604670649978218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IF(1095935&gt;0,100*201617/1095935,"")</f>
        <v>18.39680273008892</v>
      </c>
      <c r="E41" s="1">
        <f>IF(COUNT(C41:D41)=2,D41-C41,"")</f>
        <v>-20.876015807109727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IF(1396682&gt;0,100*234074/1396682,"")</f>
        <v>16.75929094811847</v>
      </c>
      <c r="L41" s="1">
        <f>IF(COUNT(J41:K41)=2,K41-J41,"")</f>
        <v>-21.233789896960722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IF(964486&gt;0,100*79296/964486,"")</f>
        <v>8.221581236015867</v>
      </c>
      <c r="S41" s="1">
        <f>IF(COUNT(Q41:R41)=2,R41-Q41,"")</f>
        <v>-32.30428984357831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IF(1213311&gt;0,100*232567/1213311,"")</f>
        <v>19.16796270700587</v>
      </c>
      <c r="E42" s="1">
        <f>IF(COUNT(C42:D42)=2,D42-C42,"")</f>
        <v>-22.826117159271433</v>
      </c>
      <c r="H42" s="1">
        <v>4</v>
      </c>
      <c r="I42" s="1">
        <v>3</v>
      </c>
      <c r="J42" s="1">
        <f>IF(778520&gt;0,100*44764/778520,"")</f>
        <v>5.749884396033499</v>
      </c>
      <c r="K42" s="1">
        <f>IF(924417&gt;0,100*131475/924417,"")</f>
        <v>14.222477518262862</v>
      </c>
      <c r="L42" s="1">
        <f>IF(COUNT(J42:K42)=2,K42-J42,"")</f>
        <v>8.472593122229362</v>
      </c>
      <c r="O42" s="1">
        <v>4</v>
      </c>
      <c r="P42" s="1">
        <v>3</v>
      </c>
      <c r="Q42" s="1">
        <f>IF(760183&gt;0,100*45060/760183,"")</f>
        <v>5.927520083979778</v>
      </c>
      <c r="R42" s="1">
        <f>IF(707163&gt;0,100*8936/707163,"")</f>
        <v>1.2636407730608077</v>
      </c>
      <c r="S42" s="1">
        <f>IF(COUNT(Q42:R42)=2,R42-Q42,"")</f>
        <v>-4.66387931091897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IF(749437&gt;0,100*31306/749437,"")</f>
        <v>4.177269069981866</v>
      </c>
      <c r="E43" s="1">
        <f>IF(COUNT(C43:D43)=2,D43-C43,"")</f>
        <v>-13.556013143987753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IF(1399557&gt;0,100*269586/1399557,"")</f>
        <v>19.262237979589255</v>
      </c>
      <c r="L43" s="1">
        <f>IF(COUNT(J43:K43)=2,K43-J43,"")</f>
        <v>-22.863352537973935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IF(1658099&gt;0,100*337489/1658099,"")</f>
        <v>20.35397162654341</v>
      </c>
      <c r="S43" s="1">
        <f>IF(COUNT(Q43:R43)=2,R43-Q43,"")</f>
        <v>-26.86169848583418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IF(196920&gt;0,100*40677/196920,"")</f>
        <v>20.65661182205972</v>
      </c>
      <c r="E44" s="1">
        <f>IF(COUNT(C44:D44)=2,D44-C44,"")</f>
        <v>-23.19674680929138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IF(1764312&gt;0,100*387341/1764312,"")</f>
        <v>21.95422351602211</v>
      </c>
      <c r="L44" s="1">
        <f>IF(COUNT(J44:K44)=2,K44-J44,"")</f>
        <v>-19.65412539370802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IF(1093194&gt;0,100*114799/1093194,"")</f>
        <v>10.501246805233105</v>
      </c>
      <c r="S44" s="1">
        <f>IF(COUNT(Q44:R44)=2,R44-Q44,"")</f>
        <v>-7.595627431861935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IF(993671&gt;0,100*165284/993671,"")</f>
        <v>16.63367452607553</v>
      </c>
      <c r="E45" s="1">
        <f>IF(COUNT(C45:D45)=2,D45-C45,"")</f>
        <v>-28.380758629327026</v>
      </c>
      <c r="H45" s="1">
        <v>7</v>
      </c>
      <c r="I45" s="1">
        <v>6</v>
      </c>
      <c r="J45" s="1">
        <f>IF(545527&gt;0,100*1624/545527,"")</f>
        <v>0.2976937896749382</v>
      </c>
      <c r="K45" s="1">
        <f>IF(497246&gt;0,100*23131/497246,"")</f>
        <v>4.651822236880739</v>
      </c>
      <c r="L45" s="1">
        <f>IF(COUNT(J45:K45)=2,K45-J45,"")</f>
        <v>4.354128447205801</v>
      </c>
      <c r="O45" s="1">
        <v>7</v>
      </c>
      <c r="P45" s="1">
        <v>6</v>
      </c>
      <c r="Q45" s="1">
        <f>IF(700580&gt;0,100*18395/700580,"")</f>
        <v>2.6256815781209855</v>
      </c>
      <c r="R45" s="1">
        <f>IF(691445&gt;0,100*22378/691445,"")</f>
        <v>3.2364107051175437</v>
      </c>
      <c r="S45" s="1">
        <f>IF(COUNT(Q45:R45)=2,R45-Q45,"")</f>
        <v>0.6107291269965582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IF(986695&gt;0,100*149731/986695,"")</f>
        <v>15.175003420509883</v>
      </c>
      <c r="E46" s="1">
        <f>IF(COUNT(C46:D46)=2,D46-C46,"")</f>
        <v>-26.1121955664413</v>
      </c>
      <c r="H46" s="1">
        <v>8</v>
      </c>
      <c r="I46" s="1">
        <v>7</v>
      </c>
      <c r="J46" s="1">
        <f>IF(453926&gt;0,100*2064/453926,"")</f>
        <v>0.45469966470305734</v>
      </c>
      <c r="K46" s="1">
        <f>IF(409686&gt;0,100*964/409686,"")</f>
        <v>0.23530215823826053</v>
      </c>
      <c r="L46" s="1">
        <f>IF(COUNT(J46:K46)=2,K46-J46,"")</f>
        <v>-0.2193975064647968</v>
      </c>
      <c r="O46" s="1">
        <v>8</v>
      </c>
      <c r="P46" s="1">
        <v>7</v>
      </c>
      <c r="Q46" s="1">
        <f>IF(505497&gt;0,100*20606/505497,"")</f>
        <v>4.076384231756074</v>
      </c>
      <c r="R46" s="1">
        <f>IF(904785&gt;0,100*34551/904785,"")</f>
        <v>3.818697259569953</v>
      </c>
      <c r="S46" s="1">
        <f>IF(COUNT(Q46:R46)=2,R46-Q46,"")</f>
        <v>-0.257686972186121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IF(1285712&gt;0,100*276032/1285712,"")</f>
        <v>21.469193723011063</v>
      </c>
      <c r="E47" s="1">
        <f>IF(COUNT(C47:D47)=2,D47-C47,"")</f>
        <v>-25.775097322393503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IF(1181531&gt;0,100*244726/1181531,"")</f>
        <v>20.71261778150552</v>
      </c>
      <c r="L47" s="1">
        <f>IF(COUNT(J47:K47)=2,K47-J47,"")</f>
        <v>-21.925683071449832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IF(1585613&gt;0,100*304962/1585613,"")</f>
        <v>19.2330663282907</v>
      </c>
      <c r="S47" s="1">
        <f>IF(COUNT(Q47:R47)=2,R47-Q47,"")</f>
        <v>-25.780480235843267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IF(503951&gt;0,100*8211/503951,"")</f>
        <v>1.6293250732710125</v>
      </c>
      <c r="E48" s="1">
        <f>IF(COUNT(C48:D48)=2,D48-C48,"")</f>
        <v>-27.64754969584609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IF(763333&gt;0,100*55242/763333,"")</f>
        <v>7.236946391679647</v>
      </c>
      <c r="L48" s="1">
        <f>IF(COUNT(J48:K48)=2,K48-J48,"")</f>
        <v>-36.619327147562345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IF(801484&gt;0,100*18119/801484,"")</f>
        <v>2.260681435936338</v>
      </c>
      <c r="S48" s="1">
        <f>IF(COUNT(Q48:R48)=2,R48-Q48,"")</f>
        <v>-27.13748161320312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IF(1424833&gt;0,100*382211/1424833,"")</f>
        <v>26.824968259438123</v>
      </c>
      <c r="E49" s="1">
        <f>IF(COUNT(C49:D49)=2,D49-C49,"")</f>
        <v>-15.841783203116222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IF(737078&gt;0,100*26799/737078,"")</f>
        <v>3.6358431536418125</v>
      </c>
      <c r="L49" s="1">
        <f>IF(COUNT(J49:K49)=2,K49-J49,"")</f>
        <v>-30.59016585711353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IF(1060661&gt;0,100*154454/1060661,"")</f>
        <v>14.562051400023194</v>
      </c>
      <c r="S49" s="1">
        <f>IF(COUNT(Q49:R49)=2,R49-Q49,"")</f>
        <v>-27.336884669041993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IF(1301887&gt;0,100*284658/1301887,"")</f>
        <v>21.865031296879067</v>
      </c>
      <c r="E50" s="1">
        <f>IF(COUNT(C50:D50)=2,D50-C50,"")</f>
        <v>-17.164208243279766</v>
      </c>
      <c r="H50" s="1">
        <v>12</v>
      </c>
      <c r="I50" s="1">
        <v>11</v>
      </c>
      <c r="J50" s="1">
        <f>IF(16409&gt;0,100*2109/16409,"")</f>
        <v>12.85270278505698</v>
      </c>
      <c r="K50" s="1">
        <f>IF(22477&gt;0,100*3190/22477,"")</f>
        <v>14.192285447346176</v>
      </c>
      <c r="L50" s="1">
        <f>IF(COUNT(J50:K50)=2,K50-J50,"")</f>
        <v>1.339582662289196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IF(854769&gt;0,100*39518/854769,"")</f>
        <v>4.623237389282952</v>
      </c>
      <c r="S50" s="1">
        <f>IF(COUNT(Q50:R50)=2,R50-Q50,"")</f>
        <v>-34.48076720671706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IF(738264&gt;0,100*16868/738264,"")</f>
        <v>2.284819522555617</v>
      </c>
      <c r="E51" s="1">
        <f>IF(COUNT(C51:D51)=2,D51-C51,"")</f>
        <v>-41.85123853543353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IF(922627&gt;0,100*57887/922627,"")</f>
        <v>6.2741497918443745</v>
      </c>
      <c r="L51" s="1">
        <f>IF(COUNT(J51:K51)=2,K51-J51,"")</f>
        <v>-4.4367608348682275</v>
      </c>
      <c r="O51" s="1">
        <v>13</v>
      </c>
      <c r="P51" s="1">
        <v>12</v>
      </c>
      <c r="Q51" s="1">
        <f>IF(609443&gt;0,100*13444/609443,"")</f>
        <v>2.20594871054389</v>
      </c>
      <c r="R51" s="1">
        <f>IF(725602&gt;0,100*14798/725602,"")</f>
        <v>2.0394100347022195</v>
      </c>
      <c r="S51" s="1">
        <f>IF(COUNT(Q51:R51)=2,R51-Q51,"")</f>
        <v>-0.1665386758416707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IF(439897&gt;0,100*3195/439897,"")</f>
        <v>0.7263063853583908</v>
      </c>
      <c r="E52" s="1">
        <f>IF(COUNT(C52:D52)=2,D52-C52,"")</f>
        <v>0.3230094828474702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IF(1291199&gt;0,100*225764/1291199,"")</f>
        <v>17.484833863718915</v>
      </c>
      <c r="L52" s="1">
        <f>IF(COUNT(J52:K52)=2,K52-J52,"")</f>
        <v>-15.32662353957723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IF(464474&gt;0,100*2730/464474,"")</f>
        <v>0.5877616400487433</v>
      </c>
      <c r="S52" s="1">
        <f>IF(COUNT(Q52:R52)=2,R52-Q52,"")</f>
        <v>-21.11411724068668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IF(1016769&gt;0,100*177323/1016769,"")</f>
        <v>17.439851136295463</v>
      </c>
      <c r="E53" s="1">
        <f>IF(COUNT(C53:D53)=2,D53-C53,"")</f>
        <v>-13.788666317228678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IF(1267075&gt;0,100*182430/1267075,"")</f>
        <v>14.397727048517254</v>
      </c>
      <c r="L53" s="1">
        <f>IF(COUNT(J53:K53)=2,K53-J53,"")</f>
        <v>-16.394824957966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IF(1040132&gt;0,100*120527/1040132,"")</f>
        <v>11.587663873431449</v>
      </c>
      <c r="S53" s="1">
        <f>IF(COUNT(Q53:R53)=2,R53-Q53,"")</f>
        <v>-36.52199034833704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IF(1552578&gt;0,100*385446/1552578,"")</f>
        <v>24.826192307246398</v>
      </c>
      <c r="E54" s="1">
        <f>IF(COUNT(C54:D54)=2,D54-C54,"")</f>
        <v>-17.402113975014142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IF(773330&gt;0,100*29773/773330,"")</f>
        <v>3.8499734912650485</v>
      </c>
      <c r="L54" s="1">
        <f>IF(COUNT(J54:K54)=2,K54-J54,"")</f>
        <v>-39.34367696913984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IF(1035504&gt;0,100*121781/1035504,"")</f>
        <v>11.760553315100665</v>
      </c>
      <c r="S54" s="1">
        <f>IF(COUNT(Q54:R54)=2,R54-Q54,"")</f>
        <v>-33.581067613646155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IF(437491&gt;0,100*15193/437491,"")</f>
        <v>3.472757153861451</v>
      </c>
      <c r="E55" s="1">
        <f>IF(COUNT(C55:D55)=2,D55-C55,"")</f>
        <v>1.8519054945251854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IF(904174&gt;0,100*105323/904174,"")</f>
        <v>11.648532251535656</v>
      </c>
      <c r="L55" s="1">
        <f>IF(COUNT(J55:K55)=2,K55-J55,"")</f>
        <v>-24.733597939213077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IF(1683651&gt;0,100*323125/1683651,"")</f>
        <v>19.19192279159992</v>
      </c>
      <c r="S55" s="1">
        <f>IF(COUNT(Q55:R55)=2,R55-Q55,"")</f>
        <v>-15.977718390616381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IF(428609&gt;0,100*7448/428609,"")</f>
        <v>1.7377143270439959</v>
      </c>
      <c r="E56" s="1">
        <f>IF(COUNT(C56:D56)=2,D56-C56,"")</f>
        <v>-12.56609929407311</v>
      </c>
      <c r="H56" s="1">
        <v>18</v>
      </c>
      <c r="I56" s="1">
        <v>17</v>
      </c>
      <c r="J56" s="1">
        <f>IF(2215&gt;0,100*355/2215,"")</f>
        <v>16.02708803611738</v>
      </c>
      <c r="K56" s="1">
        <f>IF(803803&gt;0,100*9506/803803,"")</f>
        <v>1.1826280817563508</v>
      </c>
      <c r="L56" s="1">
        <f>IF(COUNT(J56:K56)=2,K56-J56,"")</f>
        <v>-14.84445995436103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IF(759542&gt;0,100*44879/759542,"")</f>
        <v>5.908692343543873</v>
      </c>
      <c r="S56" s="1">
        <f>IF(COUNT(Q56:R56)=2,R56-Q56,"")</f>
        <v>-41.119758211717894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IF(667282&gt;0,100*140939/667282,"")</f>
        <v>21.121354989344834</v>
      </c>
      <c r="E57" s="1">
        <f>IF(COUNT(C57:D57)=2,D57-C57,"")</f>
        <v>-18.41837523201986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IF(110299&gt;0,100*11775/110299,"")</f>
        <v>10.675527429985767</v>
      </c>
      <c r="L57" s="1">
        <f>IF(COUNT(J57:K57)=2,K57-J57,"")</f>
        <v>-23.176991138792264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IF(763766&gt;0,100*92618/763766,"")</f>
        <v>12.126489003176365</v>
      </c>
      <c r="S57" s="1">
        <f>IF(COUNT(Q57:R57)=2,R57-Q57,"")</f>
        <v>-20.16786614317583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IF(1432298&gt;0,100*384787/1432298,"")</f>
        <v>26.865009935083343</v>
      </c>
      <c r="E58" s="1">
        <f>IF(COUNT(C58:D58)=2,D58-C58,"")</f>
        <v>-16.077209505214277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IF(999206&gt;0,100*153203/999206,"")</f>
        <v>15.332473984343569</v>
      </c>
      <c r="L58" s="1">
        <f>IF(COUNT(J58:K58)=2,K58-J58,"")</f>
        <v>-28.585966406298855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IF(1046550&gt;0,100*97170/1046550,"")</f>
        <v>9.284792890927333</v>
      </c>
      <c r="S58" s="1">
        <f>IF(COUNT(Q58:R58)=2,R58-Q58,"")</f>
        <v>-32.96610795035496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IF(898401&gt;0,100*137428/898401,"")</f>
        <v>15.296955368482449</v>
      </c>
      <c r="E59" s="1">
        <f>IF(COUNT(C59:D59)=2,D59-C59,"")</f>
        <v>-17.10174759583333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IF(764698&gt;0,100*32307/764698,"")</f>
        <v>4.22480508645243</v>
      </c>
      <c r="L59" s="1">
        <f>IF(COUNT(J59:K59)=2,K59-J59,"")</f>
        <v>-33.32659776394997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IF(1004744&gt;0,100*155737/1004744,"")</f>
        <v>15.500167206771078</v>
      </c>
      <c r="S59" s="1">
        <f>IF(COUNT(Q59:R59)=2,R59-Q59,"")</f>
        <v>-26.486063355535084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IF(993937&gt;0,100*191183/993937,"")</f>
        <v>19.234921328011737</v>
      </c>
      <c r="E60" s="1">
        <f>IF(COUNT(C60:D60)=2,D60-C60,"")</f>
        <v>-25.675154596763456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IF(1702045&gt;0,100*440065/1702045,"")</f>
        <v>25.855074337047494</v>
      </c>
      <c r="L60" s="1">
        <f>IF(COUNT(J60:K60)=2,K60-J60,"")</f>
        <v>-18.925359567751375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IF(1309926&gt;0,100*276164/1309926,"")</f>
        <v>21.08241228893846</v>
      </c>
      <c r="S60" s="1">
        <f>IF(COUNT(Q60:R60)=2,R60-Q60,"")</f>
        <v>-13.14165798630835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IF(348816&gt;0,100*656/348816,"")</f>
        <v>0.18806476767120775</v>
      </c>
      <c r="E61" s="1">
        <f>IF(COUNT(C61:D61)=2,D61-C61,"")</f>
        <v>-0.048877442572893254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IF(804743&gt;0,100*82675/804743,"")</f>
        <v>10.273466187341798</v>
      </c>
      <c r="L61" s="1">
        <f>IF(COUNT(J61:K61)=2,K61-J61,"")</f>
        <v>-38.132148025292345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IF(1207382&gt;0,100*158601/1207382,"")</f>
        <v>13.135942063075316</v>
      </c>
      <c r="S61" s="1">
        <f>IF(COUNT(Q61:R61)=2,R61-Q61,"")</f>
        <v>-21.91663819855938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IF(702602&gt;0,100*32215/702602,"")</f>
        <v>4.585099387704561</v>
      </c>
      <c r="E62" s="1">
        <f>IF(COUNT(C62:D62)=2,D62-C62,"")</f>
        <v>-16.35814839241735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IF(1015472&gt;0,100*106525/1015472,"")</f>
        <v>10.490195692249516</v>
      </c>
      <c r="L62" s="1">
        <f>IF(COUNT(J62:K62)=2,K62-J62,"")</f>
        <v>-34.13410995403443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IF(623454&gt;0,100*13475/623454,"")</f>
        <v>2.1613463062230736</v>
      </c>
      <c r="S62" s="1">
        <f>IF(COUNT(Q62:R62)=2,R62-Q62,"")</f>
        <v>-26.733297349565184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IF(1215810&gt;0,100*276862/1215810,"")</f>
        <v>22.771814674990335</v>
      </c>
      <c r="E63" s="1">
        <f>IF(COUNT(C63:D63)=2,D63-C63,"")</f>
        <v>-6.468208824464387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IF(846548&gt;0,100*97888/846548,"")</f>
        <v>11.56319547149128</v>
      </c>
      <c r="L63" s="1">
        <f>IF(COUNT(J63:K63)=2,K63-J63,"")</f>
        <v>-33.0077845395123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IF(946713&gt;0,100*70739/946713,"")</f>
        <v>7.472063867296636</v>
      </c>
      <c r="S63" s="1">
        <f>IF(COUNT(Q63:R63)=2,R63-Q63,"")</f>
        <v>-36.202624314353116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IF(16749&gt;0,100*4841/16749,"")</f>
        <v>28.903218102573287</v>
      </c>
      <c r="E64" s="1">
        <f>IF(COUNT(C64:D64)=2,D64-C64,"")</f>
        <v>-17.48796221907867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IF(1521146&gt;0,100*277005/1521146,"")</f>
        <v>18.21028356252457</v>
      </c>
      <c r="L64" s="1">
        <f>IF(COUNT(J64:K64)=2,K64-J64,"")</f>
        <v>-13.798384000325296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IF(806443&gt;0,100*69455/806443,"")</f>
        <v>8.612511981627964</v>
      </c>
      <c r="S64" s="1">
        <f>IF(COUNT(Q64:R64)=2,R64-Q64,"")</f>
        <v>-35.79234152171233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IF(1593556&gt;0,100*445656/1593556,"")</f>
        <v>27.96613360308643</v>
      </c>
      <c r="E65" s="1">
        <f>IF(COUNT(C65:D65)=2,D65-C65,"")</f>
        <v>-9.378433898641777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IF(1689615&gt;0,100*370239/1689615,"")</f>
        <v>21.912625065473495</v>
      </c>
      <c r="L65" s="1">
        <f>IF(COUNT(J65:K65)=2,K65-J65,"")</f>
        <v>-12.989447065367283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IF(1323140&gt;0,100*185120/1323140,"")</f>
        <v>13.990960896050305</v>
      </c>
      <c r="S65" s="1">
        <f>IF(COUNT(Q65:R65)=2,R65-Q65,"")</f>
        <v>-20.375323578694044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IF(349009&gt;0,100*3891/349009,"")</f>
        <v>1.114870963212983</v>
      </c>
      <c r="E66" s="1">
        <f>IF(COUNT(C66:D66)=2,D66-C66,"")</f>
        <v>1.0152303706290482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IF(1280574&gt;0,100*220506/1280574,"")</f>
        <v>17.21930946591138</v>
      </c>
      <c r="L66" s="1">
        <f>IF(COUNT(J66:K66)=2,K66-J66,"")</f>
        <v>-21.998075235781137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IF(1438516&gt;0,100*264653/1438516,"")</f>
        <v>18.397640346023262</v>
      </c>
      <c r="S66" s="1">
        <f>IF(COUNT(Q66:R66)=2,R66-Q66,"")</f>
        <v>-12.466452586245502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IF(1667967&gt;0,100*322232/1667967,"")</f>
        <v>19.31884743523103</v>
      </c>
      <c r="E67" s="1">
        <f>IF(COUNT(C67:D67)=2,D67-C67,"")</f>
        <v>-15.531910646268752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IF(1433024&gt;0,100*257660/1433024,"")</f>
        <v>17.980159439060337</v>
      </c>
      <c r="L67" s="1">
        <f>IF(COUNT(J67:K67)=2,K67-J67,"")</f>
        <v>-27.764791257693425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IF(1192855&gt;0,100*141720/1192855,"")</f>
        <v>11.88073990552079</v>
      </c>
      <c r="S67" s="1">
        <f>IF(COUNT(Q67:R67)=2,R67-Q67,"")</f>
        <v>-29.05119037441394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IF(943996&gt;0,100*171975/943996,"")</f>
        <v>18.217767871897763</v>
      </c>
      <c r="E68" s="1">
        <f>IF(COUNT(C68:D68)=2,D68-C68,"")</f>
        <v>-24.59233215458955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IF(1019984&gt;0,100*127956/1019984,"")</f>
        <v>12.544902665139846</v>
      </c>
      <c r="L68" s="1">
        <f>IF(COUNT(J68:K68)=2,K68-J68,"")</f>
        <v>-24.26862496579068</v>
      </c>
      <c r="O68" s="1">
        <v>30</v>
      </c>
      <c r="P68" s="1">
        <v>29</v>
      </c>
      <c r="Q68" s="1">
        <f>IF(653286&gt;0,100*39372/653286,"")</f>
        <v>6.026763163453679</v>
      </c>
      <c r="R68" s="1">
        <f>IF(505514&gt;0,100*13507/505514,"")</f>
        <v>2.6719339128095365</v>
      </c>
      <c r="S68" s="1">
        <f>IF(COUNT(Q68:R68)=2,R68-Q68,"")</f>
        <v>-3.3548292506441424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IF(2790057&gt;0,100*55171/2790057,"")</f>
        <v>1.9774147983356611</v>
      </c>
      <c r="E69" s="1">
        <f>IF(COUNT(C69:D69)=2,D69-C69,"")</f>
        <v>1.6817829103137805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IF(1176942&gt;0,100*163138/1176942,"")</f>
        <v>13.861175826846182</v>
      </c>
      <c r="L69" s="1">
        <f>IF(COUNT(J69:K69)=2,K69-J69,"")</f>
        <v>-21.51567648816852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IF(1135415&gt;0,100*179616/1135415,"")</f>
        <v>15.819414046846306</v>
      </c>
      <c r="S69" s="1">
        <f>IF(COUNT(Q69:R69)=2,R69-Q69,"")</f>
        <v>-16.80091941629089</v>
      </c>
    </row>
    <row r="70" spans="1:19">
      <c r="A70" s="2" t="s">
        <v>6</v>
      </c>
      <c r="B70" s="1"/>
      <c r="C70" s="1">
        <f>IF(COUNT(C39:C69)&gt;0,AVERAGE(C39:C69),"")</f>
        <v>30.180215695878584</v>
      </c>
      <c r="D70" s="1">
        <f>IF(COUNT(D39:D69)&gt;0,AVERAGE(D39:D69),"")</f>
        <v>14.472155758166327</v>
      </c>
      <c r="E70" s="1">
        <f>IF(COUNT(E39:E69)&gt;0,AVERAGE(E39:E69),"")</f>
        <v>-15.708059937712244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12.686052434740828</v>
      </c>
      <c r="L70" s="1">
        <f>IF(COUNT(L39:L69)&gt;0,AVERAGE(L39:L69),"")</f>
        <v>-20.309127724754116</v>
      </c>
      <c r="O70" s="2" t="s">
        <v>6</v>
      </c>
      <c r="P70" s="1"/>
      <c r="Q70" s="1">
        <f>IF(COUNT(Q39:Q69)&gt;0,AVERAGE(Q39:Q69),"")</f>
        <v>31.641731223822106</v>
      </c>
      <c r="R70" s="1">
        <f>IF(COUNT(R39:R69)&gt;0,AVERAGE(R39:R69),"")</f>
        <v>10.845168223703885</v>
      </c>
      <c r="S70" s="1">
        <f>IF(COUNT(S39:S69)&gt;0,AVERAGE(S39:S69),"")</f>
        <v>-20.796563000118216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IF(864503&gt;0,100*110169/864503,"")</f>
        <v>12.743622636358694</v>
      </c>
      <c r="E75" s="1">
        <f>IF(COUNT(C75:D75)=2,D75-C75,"")</f>
        <v>10.028458624029067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IF(903116&gt;0,100*64095/903116,"")</f>
        <v>7.097094946828536</v>
      </c>
      <c r="L75" s="1">
        <f>IF(COUNT(J75:K75)=2,K75-J75,"")</f>
        <v>-46.20395530909015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IF(951399&gt;0,100*54612/951399,"")</f>
        <v>5.740178410950611</v>
      </c>
      <c r="S75" s="1">
        <f>IF(COUNT(Q75:R75)=2,R75-Q75,"")</f>
        <v>-38.341182815681826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IF(978218&gt;0,100*171294/978218,"")</f>
        <v>17.510820696409183</v>
      </c>
      <c r="E76" s="1">
        <f>IF(COUNT(C76:D76)=2,D76-C76,"")</f>
        <v>-19.520110186396806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IF(1691384&gt;0,100*300487/1691384,"")</f>
        <v>17.765746867653945</v>
      </c>
      <c r="L76" s="1">
        <f>IF(COUNT(J76:K76)=2,K76-J76,"")</f>
        <v>-25.738511081581564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IF(600146&gt;0,100*39673/600146,"")</f>
        <v>6.610558097529601</v>
      </c>
      <c r="S76" s="1">
        <f>IF(COUNT(Q76:R76)=2,R76-Q76,"")</f>
        <v>-34.25061268251632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IF(1479487&gt;0,100*327362/1479487,"")</f>
        <v>22.126723654888487</v>
      </c>
      <c r="E77" s="1">
        <f>IF(COUNT(C77:D77)=2,D77-C77,"")</f>
        <v>-17.11248654127747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IF(1432966&gt;0,100*190805/1432966,"")</f>
        <v>13.315389199743748</v>
      </c>
      <c r="L77" s="1">
        <f>IF(COUNT(J77:K77)=2,K77-J77,"")</f>
        <v>-29.14828884554504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IF(1859690&gt;0,100*449270/1859690,"")</f>
        <v>24.158327463179347</v>
      </c>
      <c r="S77" s="1">
        <f>IF(COUNT(Q77:R77)=2,R77-Q77,"")</f>
        <v>20.209146382511967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IF(1779315&gt;0,100*455606/1779315,"")</f>
        <v>25.60569657424346</v>
      </c>
      <c r="E78" s="1">
        <f>IF(COUNT(C78:D78)=2,D78-C78,"")</f>
        <v>-19.6701340545806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IF(913015&gt;0,100*55486/913015,"")</f>
        <v>6.077227646862319</v>
      </c>
      <c r="L78" s="1">
        <f>IF(COUNT(J78:K78)=2,K78-J78,"")</f>
        <v>-41.43665398459544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IF(1106636&gt;0,100*126874/1106636,"")</f>
        <v>11.464835772557553</v>
      </c>
      <c r="S78" s="1">
        <f>IF(COUNT(Q78:R78)=2,R78-Q78,"")</f>
        <v>-41.31284257610953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IF(903488&gt;0,100*107835/903488,"")</f>
        <v>11.935410320889707</v>
      </c>
      <c r="E79" s="1">
        <f>IF(COUNT(C79:D79)=2,D79-C79,"")</f>
        <v>-36.8139843579257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IF(1912690&gt;0,100*412970/1912690,"")</f>
        <v>21.59105762041941</v>
      </c>
      <c r="L79" s="1">
        <f>IF(COUNT(J79:K79)=2,K79-J79,"")</f>
        <v>-25.230283071710904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IF(1956994&gt;0,100*461050/1956994,"")</f>
        <v>23.559091136712734</v>
      </c>
      <c r="S79" s="1">
        <f>IF(COUNT(Q79:R79)=2,R79-Q79,"")</f>
        <v>-25.3731524095335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IF(1050486&gt;0,100*208988/1050486,"")</f>
        <v>19.894410777487753</v>
      </c>
      <c r="E80" s="1">
        <f>IF(COUNT(C80:D80)=2,D80-C80,"")</f>
        <v>-18.813679269984004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IF(1997676&gt;0,100*500545/1997676,"")</f>
        <v>25.056365496707173</v>
      </c>
      <c r="L80" s="1">
        <f>IF(COUNT(J80:K80)=2,K80-J80,"")</f>
        <v>-14.243967701810774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IF(1652130&gt;0,100*286208/1652130,"")</f>
        <v>17.323576231894585</v>
      </c>
      <c r="S80" s="1">
        <f>IF(COUNT(Q80:R80)=2,R80-Q80,"")</f>
        <v>-25.495122657350144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IF(1609537&gt;0,100*369666/1609537,"")</f>
        <v>22.967225978651005</v>
      </c>
      <c r="E81" s="1">
        <f>IF(COUNT(C81:D81)=2,D81-C81,"")</f>
        <v>-19.15725861878094</v>
      </c>
      <c r="H81" s="1">
        <v>7</v>
      </c>
      <c r="I81" s="1">
        <v>6</v>
      </c>
      <c r="J81" s="1">
        <f>IF(710153&gt;0,100*3904/710153,"")</f>
        <v>0.5497406896823642</v>
      </c>
      <c r="K81" s="1">
        <f>IF(706947&gt;0,100*28621/706947,"")</f>
        <v>4.048535463054515</v>
      </c>
      <c r="L81" s="1">
        <f>IF(COUNT(J81:K81)=2,K81-J81,"")</f>
        <v>3.4987947733721505</v>
      </c>
      <c r="O81" s="1">
        <v>7</v>
      </c>
      <c r="P81" s="1">
        <v>6</v>
      </c>
      <c r="Q81" s="1">
        <f>IF(528040&gt;0,100*6901/528040,"")</f>
        <v>1.3069085675327627</v>
      </c>
      <c r="R81" s="1">
        <f>IF(711078&gt;0,100*58351/711078,"")</f>
        <v>8.205991466477657</v>
      </c>
      <c r="S81" s="1">
        <f>IF(COUNT(Q81:R81)=2,R81-Q81,"")</f>
        <v>6.8990828989448945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IF(3461739&gt;0,100*294206/3461739,"")</f>
        <v>8.49879208108988</v>
      </c>
      <c r="E82" s="1">
        <f>IF(COUNT(C82:D82)=2,D82-C82,"")</f>
        <v>-38.14064279372377</v>
      </c>
      <c r="H82" s="1">
        <v>8</v>
      </c>
      <c r="I82" s="1">
        <v>7</v>
      </c>
      <c r="J82" s="1">
        <f>IF(619510&gt;0,100*7411/619510,"")</f>
        <v>1.1962680182725056</v>
      </c>
      <c r="K82" s="1">
        <f>IF(501878&gt;0,100*431/501878,"")</f>
        <v>0.08587744431913732</v>
      </c>
      <c r="L82" s="1">
        <f>IF(COUNT(J82:K82)=2,K82-J82,"")</f>
        <v>-1.1103905739533684</v>
      </c>
      <c r="O82" s="1">
        <v>8</v>
      </c>
      <c r="P82" s="1">
        <v>7</v>
      </c>
      <c r="Q82" s="1">
        <f>IF(665002&gt;0,100*8971/665002,"")</f>
        <v>1.3490184991924836</v>
      </c>
      <c r="R82" s="1">
        <f>IF(524391&gt;0,100*14016/524391,"")</f>
        <v>2.672814750825243</v>
      </c>
      <c r="S82" s="1">
        <f>IF(COUNT(Q82:R82)=2,R82-Q82,"")</f>
        <v>1.3237962516327595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IF(418812&gt;0,100*43130/418812,"")</f>
        <v>10.298176747562152</v>
      </c>
      <c r="E83" s="1">
        <f>IF(COUNT(C83:D83)=2,D83-C83,"")</f>
        <v>-21.90524045845084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IF(1101549&gt;0,100*180047/1101549,"")</f>
        <v>16.344892510455733</v>
      </c>
      <c r="L83" s="1">
        <f>IF(COUNT(J83:K83)=2,K83-J83,"")</f>
        <v>-28.540445440129115</v>
      </c>
      <c r="O83" s="1">
        <v>9</v>
      </c>
      <c r="P83" s="1">
        <v>8</v>
      </c>
      <c r="Q83" s="1">
        <f>IF(1967808&gt;0,100*766923/1967808,"")</f>
        <v>38.9734669236023</v>
      </c>
      <c r="R83" s="1">
        <f>IF(1607477&gt;0,100*327509/1607477,"")</f>
        <v>20.374101775639712</v>
      </c>
      <c r="S83" s="1">
        <f>IF(COUNT(Q83:R83)=2,R83-Q83,"")</f>
        <v>-18.59936514796259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IF(618875&gt;0,100*7869/618875,"")</f>
        <v>1.2715007069278934</v>
      </c>
      <c r="E84" s="1">
        <f>IF(COUNT(C84:D84)=2,D84-C84,"")</f>
        <v>-0.4218059304180004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IF(1084288&gt;0,100*65973/1084288,"")</f>
        <v>6.084453576909456</v>
      </c>
      <c r="L84" s="1">
        <f>IF(COUNT(J84:K84)=2,K84-J84,"")</f>
        <v>-44.1025562560107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IF(1443379&gt;0,100*201665/1443379,"")</f>
        <v>13.971728839064445</v>
      </c>
      <c r="S84" s="1">
        <f>IF(COUNT(Q84:R84)=2,R84-Q84,"")</f>
        <v>-2.0407553920561785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IF(1279044&gt;0,100*275951/1279044,"")</f>
        <v>21.57478554295239</v>
      </c>
      <c r="E85" s="1">
        <f>IF(COUNT(C85:D85)=2,D85-C85,"")</f>
        <v>-26.23845381996381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IF(939384&gt;0,100*53975/939384,"")</f>
        <v>5.745786600580806</v>
      </c>
      <c r="L85" s="1">
        <f>IF(COUNT(J85:K85)=2,K85-J85,"")</f>
        <v>-49.69845051598538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IF(863124&gt;0,100*35219/863124,"")</f>
        <v>4.080410230743207</v>
      </c>
      <c r="S85" s="1">
        <f>IF(COUNT(Q85:R85)=2,R85-Q85,"")</f>
        <v>-44.519960321572164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IF(1066549&gt;0,100*131269/1066549,"")</f>
        <v>12.30782645710605</v>
      </c>
      <c r="E86" s="1">
        <f>IF(COUNT(C86:D86)=2,D86-C86,"")</f>
        <v>-30.92033379127871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IF(800274&gt;0,100*21015/800274,"")</f>
        <v>2.6259756033558506</v>
      </c>
      <c r="L86" s="1">
        <f>IF(COUNT(J86:K86)=2,K86-J86,"")</f>
        <v>-45.037483240590014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IF(1305198&gt;0,100*154006/1305198,"")</f>
        <v>11.799435794415867</v>
      </c>
      <c r="S86" s="1">
        <f>IF(COUNT(Q86:R86)=2,R86-Q86,"")</f>
        <v>-36.8407334481232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IF(1002237&gt;0,100*70504/1002237,"")</f>
        <v>7.034663457844801</v>
      </c>
      <c r="E87" s="1">
        <f>IF(COUNT(C87:D87)=2,D87-C87,"")</f>
        <v>-21.14998624567315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IF(862146&gt;0,100*15437/862146,"")</f>
        <v>1.7905319980606533</v>
      </c>
      <c r="L87" s="1">
        <f>IF(COUNT(J87:K87)=2,K87-J87,"")</f>
        <v>-42.802881763588054</v>
      </c>
      <c r="O87" s="1">
        <v>13</v>
      </c>
      <c r="P87" s="1">
        <v>12</v>
      </c>
      <c r="Q87" s="1">
        <f>IF(818878&gt;0,100*7212/818878,"")</f>
        <v>0.8807172741238621</v>
      </c>
      <c r="R87" s="1">
        <f>IF(771768&gt;0,100*11259/771768,"")</f>
        <v>1.4588581024349285</v>
      </c>
      <c r="S87" s="1">
        <f>IF(COUNT(Q87:R87)=2,R87-Q87,"")</f>
        <v>0.5781408283110664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IF(687763&gt;0,100*16285/687763,"")</f>
        <v>2.367821473385454</v>
      </c>
      <c r="E88" s="1">
        <f>IF(COUNT(C88:D88)=2,D88-C88,"")</f>
        <v>-18.12704653310601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IF(1373902&gt;0,100*287123/1373902,"")</f>
        <v>20.898361018471476</v>
      </c>
      <c r="L88" s="1">
        <f>IF(COUNT(J88:K88)=2,K88-J88,"")</f>
        <v>-12.113960246433464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IF(1127290&gt;0,100*146132/1127290,"")</f>
        <v>12.96312395213299</v>
      </c>
      <c r="S88" s="1">
        <f>IF(COUNT(Q88:R88)=2,R88-Q88,"")</f>
        <v>1.0012156012912996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IF(644892&gt;0,100*130215/644892,"")</f>
        <v>20.191753037717945</v>
      </c>
      <c r="E89" s="1">
        <f>IF(COUNT(C89:D89)=2,D89-C89,"")</f>
        <v>-22.07778190684165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IF(1515089&gt;0,100*203773/1515089,"")</f>
        <v>13.449572929379066</v>
      </c>
      <c r="L89" s="1">
        <f>IF(COUNT(J89:K89)=2,K89-J89,"")</f>
        <v>-5.723546048386588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IF(1307964&gt;0,100*186218/1307964,"")</f>
        <v>14.237242003602546</v>
      </c>
      <c r="S89" s="1">
        <f>IF(COUNT(Q89:R89)=2,R89-Q89,"")</f>
        <v>-12.063620930630385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IF(935392&gt;0,100*51541/935392,"")</f>
        <v>5.510096301871301</v>
      </c>
      <c r="E90" s="1">
        <f>IF(COUNT(C90:D90)=2,D90-C90,"")</f>
        <v>-35.44723189009376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IF(1202451&gt;0,100*113991/1202451,"")</f>
        <v>9.479887330128212</v>
      </c>
      <c r="L90" s="1">
        <f>IF(COUNT(J90:K90)=2,K90-J90,"")</f>
        <v>-33.88967794852075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IF(1068046&gt;0,100*41490/1068046,"")</f>
        <v>3.884664143679205</v>
      </c>
      <c r="S90" s="1">
        <f>IF(COUNT(Q90:R90)=2,R90-Q90,"")</f>
        <v>-47.10353673054085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IF(459948&gt;0,100*3031/459948,"")</f>
        <v>0.6589875377216555</v>
      </c>
      <c r="E91" s="1">
        <f>IF(COUNT(C91:D91)=2,D91-C91,"")</f>
        <v>-3.0318721235930197</v>
      </c>
      <c r="H91" s="1">
        <v>17</v>
      </c>
      <c r="I91" s="1">
        <v>16</v>
      </c>
      <c r="J91" s="1">
        <f>IF(88900&gt;0,100*3265/88900,"")</f>
        <v>3.6726659167604048</v>
      </c>
      <c r="K91" s="1">
        <f>IF(1750121&gt;0,100*364971/1750121,"")</f>
        <v>20.854043806113978</v>
      </c>
      <c r="L91" s="1">
        <f>IF(COUNT(J91:K91)=2,K91-J91,"")</f>
        <v>17.181377889353573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IF(1526387&gt;0,100*283545/1526387,"")</f>
        <v>18.576219530171574</v>
      </c>
      <c r="S91" s="1">
        <f>IF(COUNT(Q91:R91)=2,R91-Q91,"")</f>
        <v>-23.34518843569592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IF(542967&gt;0,100*7669/542967,"")</f>
        <v>1.4124246961601719</v>
      </c>
      <c r="E92" s="1">
        <f>IF(COUNT(C92:D92)=2,D92-C92,"")</f>
        <v>-20.695021178723437</v>
      </c>
      <c r="H92" s="1">
        <v>18</v>
      </c>
      <c r="I92" s="1">
        <v>17</v>
      </c>
      <c r="J92" s="4"/>
      <c r="K92" s="1">
        <f>IF(956489&gt;0,100*58339/956489,"")</f>
        <v>6.099286034653822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IF(1155388&gt;0,100*76736/1155388,"")</f>
        <v>6.64157841348534</v>
      </c>
      <c r="S92" s="1">
        <f>IF(COUNT(Q92:R92)=2,R92-Q92,"")</f>
        <v>-38.46011154242063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IF(1348765&gt;0,100*259564/1348765,"")</f>
        <v>19.24456817903786</v>
      </c>
      <c r="E93" s="1">
        <f>IF(COUNT(C93:D93)=2,D93-C93,"")</f>
        <v>-27.091593415764283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IF(951984&gt;0,100*33709/951984,"")</f>
        <v>3.5409208558127028</v>
      </c>
      <c r="L93" s="1">
        <f>IF(COUNT(J93:K93)=2,K93-J93,"")</f>
        <v>-33.3823526370464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IF(805267&gt;0,100*27326/805267,"")</f>
        <v>3.3934086458280297</v>
      </c>
      <c r="S93" s="1">
        <f>IF(COUNT(Q93:R93)=2,R93-Q93,"")</f>
        <v>-34.43444454943473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IF(1074758&gt;0,100*154317/1074758,"")</f>
        <v>14.358302054974237</v>
      </c>
      <c r="E94" s="1">
        <f>IF(COUNT(C94:D94)=2,D94-C94,"")</f>
        <v>-27.321075624999033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IF(1368117&gt;0,100*189025/1368117,"")</f>
        <v>13.816435290256608</v>
      </c>
      <c r="L94" s="1">
        <f>IF(COUNT(J94:K94)=2,K94-J94,"")</f>
        <v>-27.979406853674057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IF(1476225&gt;0,100*186050/1476225,"")</f>
        <v>12.603092347033819</v>
      </c>
      <c r="S94" s="1">
        <f>IF(COUNT(Q94:R94)=2,R94-Q94,"")</f>
        <v>-33.580599245472825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IF(715745&gt;0,100*14732/715745,"")</f>
        <v>2.0582749442888177</v>
      </c>
      <c r="E95" s="1">
        <f>IF(COUNT(C95:D95)=2,D95-C95,"")</f>
        <v>-47.758799240956456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IF(846942&gt;0,100*72073/846942,"")</f>
        <v>8.509791697660525</v>
      </c>
      <c r="L95" s="1">
        <f>IF(COUNT(J95:K95)=2,K95-J95,"")</f>
        <v>-41.21309680748768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IF(2317432&gt;0,100*521231/2317432,"")</f>
        <v>22.491749488226624</v>
      </c>
      <c r="S95" s="1">
        <f>IF(COUNT(Q95:R95)=2,R95-Q95,"")</f>
        <v>-24.26751322617251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IF(1488428&gt;0,100*316040/1488428,"")</f>
        <v>21.233139930181373</v>
      </c>
      <c r="E96" s="1">
        <f>IF(COUNT(C96:D96)=2,D96-C96,"")</f>
        <v>-5.381553552732971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IF(1567828&gt;0,100*335266/1567828,"")</f>
        <v>21.384105909576817</v>
      </c>
      <c r="L96" s="1">
        <f>IF(COUNT(J96:K96)=2,K96-J96,"")</f>
        <v>-24.254306717995014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IF(2133525&gt;0,100*439677/2133525,"")</f>
        <v>20.608007874292543</v>
      </c>
      <c r="S96" s="1">
        <f>IF(COUNT(Q96:R96)=2,R96-Q96,"")</f>
        <v>-12.551863770691416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IF(418167&gt;0,100*3518/418167,"")</f>
        <v>0.8412906805175923</v>
      </c>
      <c r="E97" s="1">
        <f>IF(COUNT(C97:D97)=2,D97-C97,"")</f>
        <v>0.720595515698635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IF(1091562&gt;0,100*127601/1091562,"")</f>
        <v>11.689762010769888</v>
      </c>
      <c r="L97" s="1">
        <f>IF(COUNT(J97:K97)=2,K97-J97,"")</f>
        <v>-37.65332171936689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IF(1450131&gt;0,100*296275/1450131,"")</f>
        <v>20.43091279339591</v>
      </c>
      <c r="S97" s="1">
        <f>IF(COUNT(Q97:R97)=2,R97-Q97,"")</f>
        <v>-22.15640454579638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IF(881726&gt;0,100*51389/881726,"")</f>
        <v>5.828227816804767</v>
      </c>
      <c r="E98" s="1">
        <f>IF(COUNT(C98:D98)=2,D98-C98,"")</f>
        <v>-33.84538083435858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IF(603539&gt;0,100*44060/603539,"")</f>
        <v>7.3002738845377015</v>
      </c>
      <c r="L98" s="1">
        <f>IF(COUNT(J98:K98)=2,K98-J98,"")</f>
        <v>-35.93798044244611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IF(1019377&gt;0,100*65116/1019377,"")</f>
        <v>6.387823150806816</v>
      </c>
      <c r="S98" s="1">
        <f>IF(COUNT(Q98:R98)=2,R98-Q98,"")</f>
        <v>-34.39891695721204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IF(1879049&gt;0,100*544046/1879049,"")</f>
        <v>28.95326306019694</v>
      </c>
      <c r="E99" s="1">
        <f>IF(COUNT(C99:D99)=2,D99-C99,"")</f>
        <v>-12.49020622091696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IF(971395&gt;0,100*39907/971395,"")</f>
        <v>4.108215504506406</v>
      </c>
      <c r="L99" s="1">
        <f>IF(COUNT(J99:K99)=2,K99-J99,"")</f>
        <v>-46.155428981354824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IF(987403&gt;0,100*46885/987403,"")</f>
        <v>4.748314517983032</v>
      </c>
      <c r="S99" s="1">
        <f>IF(COUNT(Q99:R99)=2,R99-Q99,"")</f>
        <v>-32.637056904472665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IF(1565641&gt;0,100*418499/1565641,"")</f>
        <v>26.73020187897481</v>
      </c>
      <c r="E100" s="1">
        <f>IF(COUNT(C100:D100)=2,D100-C100,"")</f>
        <v>-19.384333547319834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IF(978088&gt;0,100*81164/978088,"")</f>
        <v>8.298230834035383</v>
      </c>
      <c r="L100" s="1">
        <f>IF(COUNT(J100:K100)=2,K100-J100,"")</f>
        <v>2.4616823680030055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IF(1593933&gt;0,100*291538/1593933,"")</f>
        <v>18.29048021466398</v>
      </c>
      <c r="S100" s="1">
        <f>IF(COUNT(Q100:R100)=2,R100-Q100,"")</f>
        <v>-35.515506911809716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IF(1425581&gt;0,100*310943/1425581,"")</f>
        <v>21.81166836538927</v>
      </c>
      <c r="E101" s="1">
        <f>IF(COUNT(C101:D101)=2,D101-C101,"")</f>
        <v>-29.158658853025127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IF(1678545&gt;0,100*238796/1678545,"")</f>
        <v>14.226368670485451</v>
      </c>
      <c r="L101" s="1">
        <f>IF(COUNT(J101:K101)=2,K101-J101,"")</f>
        <v>-11.13861366981129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IF(1511833&gt;0,100*218373/1511833,"")</f>
        <v>14.444254094202204</v>
      </c>
      <c r="S101" s="1">
        <f>IF(COUNT(Q101:R101)=2,R101-Q101,"")</f>
        <v>-8.100398425645764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IF(409066&gt;0,100*2279/409066,"")</f>
        <v>0.5571228114778545</v>
      </c>
      <c r="E102" s="1">
        <f>IF(COUNT(C102:D102)=2,D102-C102,"")</f>
        <v>0.23878093188944605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IF(1382831&gt;0,100*187424/1382831,"")</f>
        <v>13.553644660844311</v>
      </c>
      <c r="L102" s="1">
        <f>IF(COUNT(J102:K102)=2,K102-J102,"")</f>
        <v>-16.791405107410384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IF(1119336&gt;0,100*147950/1119336,"")</f>
        <v>13.217657611298126</v>
      </c>
      <c r="S102" s="1">
        <f>IF(COUNT(Q102:R102)=2,R102-Q102,"")</f>
        <v>-26.977420499510682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IF(1968250&gt;0,100*473429/1968250,"")</f>
        <v>24.0532960751937</v>
      </c>
      <c r="E103" s="1">
        <f>IF(COUNT(C103:D103)=2,D103-C103,"")</f>
        <v>-22.889338490937753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IF(2201823&gt;0,100*633163/2201823,"")</f>
        <v>28.756307841275163</v>
      </c>
      <c r="L103" s="1">
        <f>IF(COUNT(J103:K103)=2,K103-J103,"")</f>
        <v>-20.105368687095154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IF(2403915&gt;0,100*727390/2403915,"")</f>
        <v>30.25855739491621</v>
      </c>
      <c r="S103" s="1">
        <f>IF(COUNT(Q103:R103)=2,R103-Q103,"")</f>
        <v>-13.5066803903835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IF(1403705&gt;0,100*210154/1403705,"")</f>
        <v>14.971379314029658</v>
      </c>
      <c r="E104" s="1">
        <f>IF(COUNT(C104:D104)=2,D104-C104,"")</f>
        <v>-32.11024737250891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IF(762371&gt;0,100*29078/762371,"")</f>
        <v>3.8141534764570006</v>
      </c>
      <c r="L104" s="1">
        <f>IF(COUNT(J104:K104)=2,K104-J104,"")</f>
        <v>-28.162154651972465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IF(632986&gt;0,100*9223/632986,"")</f>
        <v>1.4570622415029717</v>
      </c>
      <c r="S104" s="1">
        <f>IF(COUNT(Q104:R104)=2,R104-Q104,"")</f>
        <v>0.09754283641271244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IF(575703&gt;0,100*26434/575703,"")</f>
        <v>4.591603656746621</v>
      </c>
      <c r="E105" s="1">
        <f>IF(COUNT(C105:D105)=2,D105-C105,"")</f>
        <v>-22.56105364480743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IF(1613625&gt;0,100*326826/1613625,"")</f>
        <v>20.25414826864978</v>
      </c>
      <c r="L105" s="1">
        <f>IF(COUNT(J105:K105)=2,K105-J105,"")</f>
        <v>-4.531328758267069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IF(1385858&gt;0,100*246261/1385858,"")</f>
        <v>17.76956946526989</v>
      </c>
      <c r="S105" s="1">
        <f>IF(COUNT(Q105:R105)=2,R105-Q105,"")</f>
        <v>-27.417918871738657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13.198163788615533</v>
      </c>
      <c r="E106" s="1">
        <f>IF(COUNT(E75:E105)&gt;0,AVERAGE(E75:E105),"")</f>
        <v>-20.588628239597483</v>
      </c>
      <c r="H106" s="2" t="s">
        <v>6</v>
      </c>
      <c r="I106" s="1"/>
      <c r="J106" s="1">
        <f>IF(COUNT(J75:J105)&gt;0,AVERAGE(J75:J105),"")</f>
        <v>36.69157069983473</v>
      </c>
      <c r="K106" s="1">
        <f>IF(COUNT(K75:K105)&gt;0,AVERAGE(K75:K105),"")</f>
        <v>11.537498225760181</v>
      </c>
      <c r="L106" s="1">
        <f>IF(COUNT(L75:L105)&gt;0,AVERAGE(L75:L105),"")</f>
        <v>-24.972798734370997</v>
      </c>
      <c r="O106" s="2" t="s">
        <v>6</v>
      </c>
      <c r="P106" s="1"/>
      <c r="Q106" s="1">
        <f>IF(COUNT(Q75:Q105)&gt;0,AVERAGE(Q75:Q105),"")</f>
        <v>34.096955178849896</v>
      </c>
      <c r="R106" s="1">
        <f>IF(COUNT(R75:R105)&gt;0,AVERAGE(R75:R105),"")</f>
        <v>12.703987934029593</v>
      </c>
      <c r="S106" s="1">
        <f>IF(COUNT(S75:S105)&gt;0,AVERAGE(S75:S105),"")</f>
        <v>-21.392967244820298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IF(450952&gt;0,100*17722/450952,"")</f>
        <v>3.9299082829214638</v>
      </c>
      <c r="E3" s="1">
        <f>IF(COUNT(C3:D3)=2,D3-C3,"")</f>
        <v>-24.499500002231283</v>
      </c>
      <c r="H3" s="1">
        <v>1</v>
      </c>
      <c r="I3" s="1">
        <v>0</v>
      </c>
      <c r="J3" s="1">
        <f>IF(1145550&gt;0,100*291815/1145550,"")</f>
        <v>25.47378988258915</v>
      </c>
      <c r="K3" s="1">
        <f>IF(803888&gt;0,100*117025/803888,"")</f>
        <v>14.557376151901757</v>
      </c>
      <c r="L3" s="1">
        <f>IF(COUNT(J3:K3)=2,K3-J3,"")</f>
        <v>-10.916413730687392</v>
      </c>
      <c r="O3" s="1">
        <v>1</v>
      </c>
      <c r="P3" s="1">
        <v>0</v>
      </c>
      <c r="Q3" s="1">
        <f>IF(1052174&gt;0,100*332764/1052174,"")</f>
        <v>31.626327964766283</v>
      </c>
      <c r="R3" s="1">
        <f>IF(809107&gt;0,100*118662/809107,"")</f>
        <v>14.665798219518555</v>
      </c>
      <c r="S3" s="1">
        <f>IF(COUNT(Q3:R3)=2,R3-Q3,"")</f>
        <v>-16.960529745247726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IF(653349&gt;0,100*114958/653349,"")</f>
        <v>17.59519031941581</v>
      </c>
      <c r="E4" s="1">
        <f>IF(COUNT(C4:D4)=2,D4-C4,"")</f>
        <v>-17.58055922095063</v>
      </c>
      <c r="H4" s="1">
        <v>2</v>
      </c>
      <c r="I4" s="1">
        <v>1</v>
      </c>
      <c r="J4" s="1">
        <f>IF(783729&gt;0,100*130334/783729,"")</f>
        <v>16.629983068126865</v>
      </c>
      <c r="K4" s="1">
        <f>IF(892843&gt;0,100*120897/892843,"")</f>
        <v>13.540678484347191</v>
      </c>
      <c r="L4" s="1">
        <f>IF(COUNT(J4:K4)=2,K4-J4,"")</f>
        <v>-3.0893045837796738</v>
      </c>
      <c r="O4" s="1">
        <v>2</v>
      </c>
      <c r="P4" s="1">
        <v>1</v>
      </c>
      <c r="Q4" s="1">
        <f>IF(1118920&gt;0,100*356409/1118920,"")</f>
        <v>31.852947485074893</v>
      </c>
      <c r="R4" s="1">
        <f>IF(1003660&gt;0,100*134834/1003660,"")</f>
        <v>13.434230715580973</v>
      </c>
      <c r="S4" s="1">
        <f>IF(COUNT(Q4:R4)=2,R4-Q4,"")</f>
        <v>-18.41871676949392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IF(648290&gt;0,100*87939/648290,"")</f>
        <v>13.564762683367011</v>
      </c>
      <c r="E5" s="1">
        <f>IF(COUNT(C5:D5)=2,D5-C5,"")</f>
        <v>-23.919028453575923</v>
      </c>
      <c r="H5" s="1">
        <v>3</v>
      </c>
      <c r="I5" s="1">
        <v>2</v>
      </c>
      <c r="J5" s="1">
        <f>IF(1441835&gt;0,100*147851/1441835,"")</f>
        <v>10.25436336335295</v>
      </c>
      <c r="K5" s="1">
        <f>IF(788782&gt;0,100*87380/788782,"")</f>
        <v>11.077838997340203</v>
      </c>
      <c r="L5" s="1">
        <f>IF(COUNT(J5:K5)=2,K5-J5,"")</f>
        <v>0.823475633987254</v>
      </c>
      <c r="O5" s="1">
        <v>3</v>
      </c>
      <c r="P5" s="1">
        <v>2</v>
      </c>
      <c r="Q5" s="1">
        <f>IF(1270809&gt;0,100*397332/1270809,"")</f>
        <v>31.266067520768267</v>
      </c>
      <c r="R5" s="1">
        <f>IF(662554&gt;0,100*62246/662554,"")</f>
        <v>9.394856872043638</v>
      </c>
      <c r="S5" s="1">
        <f>IF(COUNT(Q5:R5)=2,R5-Q5,"")</f>
        <v>-21.871210648724627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IF(949944&gt;0,100*174632/949944,"")</f>
        <v>18.383399442493452</v>
      </c>
      <c r="E6" s="1">
        <f>IF(COUNT(C6:D6)=2,D6-C6,"")</f>
        <v>-18.783243695285936</v>
      </c>
      <c r="H6" s="1">
        <v>4</v>
      </c>
      <c r="I6" s="1">
        <v>3</v>
      </c>
      <c r="J6" s="1">
        <f>IF(784417&gt;0,100*123870/784417,"")</f>
        <v>15.791345674558302</v>
      </c>
      <c r="K6" s="1">
        <f>IF(568424&gt;0,100*20821/568424,"")</f>
        <v>3.6629347107089076</v>
      </c>
      <c r="L6" s="1">
        <f>IF(COUNT(J6:K6)=2,K6-J6,"")</f>
        <v>-12.128410963849394</v>
      </c>
      <c r="O6" s="1">
        <v>4</v>
      </c>
      <c r="P6" s="1">
        <v>3</v>
      </c>
      <c r="Q6" s="1">
        <f>IF(519550&gt;0,100*16403/519550,"")</f>
        <v>3.1571552304879225</v>
      </c>
      <c r="R6" s="1">
        <f>IF(587985&gt;0,100*58440/587985,"")</f>
        <v>9.939029056863696</v>
      </c>
      <c r="S6" s="1">
        <f>IF(COUNT(Q6:R6)=2,R6-Q6,"")</f>
        <v>6.781873826375773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IF(505937&gt;0,100*29037/505937,"")</f>
        <v>5.739252120323282</v>
      </c>
      <c r="E7" s="1">
        <f>IF(COUNT(C7:D7)=2,D7-C7,"")</f>
        <v>-29.891470763525167</v>
      </c>
      <c r="H7" s="1">
        <v>5</v>
      </c>
      <c r="I7" s="1">
        <v>4</v>
      </c>
      <c r="J7" s="1">
        <f>IF(1148710&gt;0,100*342477/1148710,"")</f>
        <v>29.814052284736793</v>
      </c>
      <c r="K7" s="1">
        <f>IF(1171108&gt;0,100*223079/1171108,"")</f>
        <v>19.048542064438124</v>
      </c>
      <c r="L7" s="1">
        <f>IF(COUNT(J7:K7)=2,K7-J7,"")</f>
        <v>-10.765510220298669</v>
      </c>
      <c r="O7" s="1">
        <v>5</v>
      </c>
      <c r="P7" s="1">
        <v>4</v>
      </c>
      <c r="Q7" s="1">
        <f>IF(1286267&gt;0,100*497044/1286267,"")</f>
        <v>38.64236585405674</v>
      </c>
      <c r="R7" s="1">
        <f>IF(1224359&gt;0,100*283916/1224359,"")</f>
        <v>23.188950299707848</v>
      </c>
      <c r="S7" s="1">
        <f>IF(COUNT(Q7:R7)=2,R7-Q7,"")</f>
        <v>-15.453415554348894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IF(693091&gt;0,100*89534/693091,"")</f>
        <v>12.918072807178278</v>
      </c>
      <c r="E8" s="1">
        <f>IF(COUNT(C8:D8)=2,D8-C8,"")</f>
        <v>-14.21331184502226</v>
      </c>
      <c r="H8" s="1">
        <v>6</v>
      </c>
      <c r="I8" s="1">
        <v>5</v>
      </c>
      <c r="J8" s="1">
        <f>IF(1039225&gt;0,100*246415/1039225,"")</f>
        <v>23.71141956746614</v>
      </c>
      <c r="K8" s="1">
        <f>IF(680743&gt;0,100*91867/680743,"")</f>
        <v>13.495107551601706</v>
      </c>
      <c r="L8" s="1">
        <f>IF(COUNT(J8:K8)=2,K8-J8,"")</f>
        <v>-10.216312015864435</v>
      </c>
      <c r="O8" s="1">
        <v>6</v>
      </c>
      <c r="P8" s="1">
        <v>5</v>
      </c>
      <c r="Q8" s="1">
        <f>IF(1125005&gt;0,100*295084/1125005,"")</f>
        <v>26.229572313011943</v>
      </c>
      <c r="R8" s="1">
        <f>IF(695680&gt;0,100*77099/695680,"")</f>
        <v>11.082537948482061</v>
      </c>
      <c r="S8" s="1">
        <f>IF(COUNT(Q8:R8)=2,R8-Q8,"")</f>
        <v>-15.147034364529882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IF(854209&gt;0,100*137236/854209,"")</f>
        <v>16.065857418968893</v>
      </c>
      <c r="E9" s="1">
        <f>IF(COUNT(C9:D9)=2,D9-C9,"")</f>
        <v>-20.87802785638166</v>
      </c>
      <c r="H9" s="1">
        <v>7</v>
      </c>
      <c r="I9" s="1">
        <v>6</v>
      </c>
      <c r="J9" s="1">
        <f>IF(356727&gt;0,100*3261/356727,"")</f>
        <v>0.9141444297740289</v>
      </c>
      <c r="K9" s="1">
        <f>IF(554736&gt;0,100*14951/554736,"")</f>
        <v>2.6951558939747917</v>
      </c>
      <c r="L9" s="1">
        <f>IF(COUNT(J9:K9)=2,K9-J9,"")</f>
        <v>1.7810114642007628</v>
      </c>
      <c r="O9" s="1">
        <v>7</v>
      </c>
      <c r="P9" s="1">
        <v>6</v>
      </c>
      <c r="Q9" s="1">
        <f>IF(851852&gt;0,100*240424/851852,"")</f>
        <v>28.223682048055295</v>
      </c>
      <c r="R9" s="1">
        <f>IF(608920&gt;0,100*64782/608920,"")</f>
        <v>10.638835971884648</v>
      </c>
      <c r="S9" s="1">
        <f>IF(COUNT(Q9:R9)=2,R9-Q9,"")</f>
        <v>-17.58484607617065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IF(158025&gt;0,100*23515/158025,"")</f>
        <v>14.880556873912356</v>
      </c>
      <c r="E10" s="1">
        <f>IF(COUNT(C10:D10)=2,D10-C10,"")</f>
        <v>-26.555459483558224</v>
      </c>
      <c r="H10" s="1">
        <v>8</v>
      </c>
      <c r="I10" s="1">
        <v>7</v>
      </c>
      <c r="J10" s="1">
        <f>IF(278589&gt;0,100*275/278589,"")</f>
        <v>0.09871172228623527</v>
      </c>
      <c r="K10" s="1">
        <f>IF(283728&gt;0,100*272/283728,"")</f>
        <v>0.09586646365533187</v>
      </c>
      <c r="L10" s="1">
        <f>IF(COUNT(J10:K10)=2,K10-J10,"")</f>
        <v>-0.0028452586309034023</v>
      </c>
      <c r="O10" s="1">
        <v>8</v>
      </c>
      <c r="P10" s="1">
        <v>7</v>
      </c>
      <c r="Q10" s="1">
        <f>IF(313581&gt;0,100*3447/313581,"")</f>
        <v>1.09923751757919</v>
      </c>
      <c r="R10" s="1">
        <f>IF(401476&gt;0,100*14386/401476,"")</f>
        <v>3.583277705267563</v>
      </c>
      <c r="S10" s="1">
        <f>IF(COUNT(Q10:R10)=2,R10-Q10,"")</f>
        <v>2.4840401876883726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IF(759560&gt;0,100*131002/759560,"")</f>
        <v>17.24709042076992</v>
      </c>
      <c r="E11" s="1">
        <f>IF(COUNT(C11:D11)=2,D11-C11,"")</f>
        <v>-18.996850487989253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IF(1038519&gt;0,100*175885/1038519,"")</f>
        <v>16.93613694116333</v>
      </c>
      <c r="L11" s="1">
        <f>IF(COUNT(J11:K11)=2,K11-J11,"")</f>
        <v>-12.76764291729581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IF(1245835&gt;0,100*247228/1245835,"")</f>
        <v>19.844361412225535</v>
      </c>
      <c r="S11" s="1">
        <f>IF(COUNT(Q11:R11)=2,R11-Q11,"")</f>
        <v>-10.155583851838863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IF(500921&gt;0,100*7819/500921,"")</f>
        <v>1.5609247765615737</v>
      </c>
      <c r="E12" s="1">
        <f>IF(COUNT(C12:D12)=2,D12-C12,"")</f>
        <v>-29.911269031759407</v>
      </c>
      <c r="H12" s="1">
        <v>10</v>
      </c>
      <c r="I12" s="1">
        <v>9</v>
      </c>
      <c r="J12" s="1">
        <f>IF(747366&gt;0,100*179400/747366,"")</f>
        <v>24.00430311253121</v>
      </c>
      <c r="K12" s="1">
        <f>IF(731217&gt;0,100*72598/731217,"")</f>
        <v>9.928379673886138</v>
      </c>
      <c r="L12" s="1">
        <f>IF(COUNT(J12:K12)=2,K12-J12,"")</f>
        <v>-14.075923438645074</v>
      </c>
      <c r="O12" s="1">
        <v>10</v>
      </c>
      <c r="P12" s="1">
        <v>9</v>
      </c>
      <c r="Q12" s="1">
        <f>IF(738636&gt;0,100*147882/738636,"")</f>
        <v>20.0209575487791</v>
      </c>
      <c r="R12" s="1">
        <f>IF(555287&gt;0,100*14320/555287,"")</f>
        <v>2.5788466144534268</v>
      </c>
      <c r="S12" s="1">
        <f>IF(COUNT(Q12:R12)=2,R12-Q12,"")</f>
        <v>-17.442110934325676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IF(838189&gt;0,100*103605/838189,"")</f>
        <v>12.36057738767748</v>
      </c>
      <c r="E13" s="1">
        <f>IF(COUNT(C13:D13)=2,D13-C13,"")</f>
        <v>-16.388754412763348</v>
      </c>
      <c r="H13" s="1">
        <v>11</v>
      </c>
      <c r="I13" s="1">
        <v>10</v>
      </c>
      <c r="J13" s="1">
        <f>IF(602395&gt;0,100*29717/602395,"")</f>
        <v>4.933141875347571</v>
      </c>
      <c r="K13" s="1">
        <f>IF(530129&gt;0,100*24305/530129,"")</f>
        <v>4.584733149855978</v>
      </c>
      <c r="L13" s="1">
        <f>IF(COUNT(J13:K13)=2,K13-J13,"")</f>
        <v>-0.3484087254915931</v>
      </c>
      <c r="O13" s="1">
        <v>11</v>
      </c>
      <c r="P13" s="1">
        <v>10</v>
      </c>
      <c r="Q13" s="1">
        <f>IF(540292&gt;0,100*4137/540292,"")</f>
        <v>0.7656970675116419</v>
      </c>
      <c r="R13" s="1">
        <f>IF(610714&gt;0,100*52832/610714,"")</f>
        <v>8.65085784835455</v>
      </c>
      <c r="S13" s="1">
        <f>IF(COUNT(Q13:R13)=2,R13-Q13,"")</f>
        <v>7.885160780842908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IF(773947&gt;0,100*144087/773947,"")</f>
        <v>18.61716629174866</v>
      </c>
      <c r="E14" s="1">
        <f>IF(COUNT(C14:D14)=2,D14-C14,"")</f>
        <v>-15.886259982013442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IF(595150&gt;0,100*73677/595150,"")</f>
        <v>12.37956817609006</v>
      </c>
      <c r="L14" s="1">
        <f>IF(COUNT(J14:K14)=2,K14-J14,"")</f>
        <v>9.056759865886704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IF(597849&gt;0,100*7718/597849,"")</f>
        <v>1.290961430060099</v>
      </c>
      <c r="S14" s="1">
        <f>IF(COUNT(Q14:R14)=2,R14-Q14,"")</f>
        <v>-35.072245766661005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IF(495107&gt;0,100*18911/495107,"")</f>
        <v>3.8195783941653016</v>
      </c>
      <c r="E15" s="1">
        <f>IF(COUNT(C15:D15)=2,D15-C15,"")</f>
        <v>-28.423606940913853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IF(831303&gt;0,100*126550/831303,"")</f>
        <v>15.223089535343911</v>
      </c>
      <c r="L15" s="1">
        <f>IF(COUNT(J15:K15)=2,K15-J15,"")</f>
        <v>-22.003258746670603</v>
      </c>
      <c r="O15" s="1">
        <v>13</v>
      </c>
      <c r="P15" s="1">
        <v>12</v>
      </c>
      <c r="Q15" s="1">
        <f>IF(521892&gt;0,100*47266/521892,"")</f>
        <v>9.0566630643888</v>
      </c>
      <c r="R15" s="1">
        <f>IF(731402&gt;0,100*99466/731402,"")</f>
        <v>13.599361226794567</v>
      </c>
      <c r="S15" s="1">
        <f>IF(COUNT(Q15:R15)=2,R15-Q15,"")</f>
        <v>4.542698162405767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IF(364848&gt;0,100*15966/364848,"")</f>
        <v>4.376068938297593</v>
      </c>
      <c r="E16" s="1">
        <f>IF(COUNT(C16:D16)=2,D16-C16,"")</f>
        <v>-18.312996524425145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IF(629906&gt;0,100*85939/629906,"")</f>
        <v>13.643146755230145</v>
      </c>
      <c r="L16" s="1">
        <f>IF(COUNT(J16:K16)=2,K16-J16,"")</f>
        <v>-8.52697502548154</v>
      </c>
      <c r="O16" s="1">
        <v>14</v>
      </c>
      <c r="P16" s="1">
        <v>13</v>
      </c>
      <c r="Q16" s="1">
        <f>IF(385878&gt;0,100*7402/385878,"")</f>
        <v>1.9182228580017517</v>
      </c>
      <c r="R16" s="1">
        <f>IF(396859&gt;0,100*21112/396859,"")</f>
        <v>5.319773521578193</v>
      </c>
      <c r="S16" s="1">
        <f>IF(COUNT(Q16:R16)=2,R16-Q16,"")</f>
        <v>3.401550663576441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IF(870492&gt;0,100*155284/870492,"")</f>
        <v>17.838647569420512</v>
      </c>
      <c r="E17" s="1">
        <f>IF(COUNT(C17:D17)=2,D17-C17,"")</f>
        <v>-15.181508809908951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IF(807076&gt;0,100*85911/807076,"")</f>
        <v>10.644722430105714</v>
      </c>
      <c r="L17" s="1">
        <f>IF(COUNT(J17:K17)=2,K17-J17,"")</f>
        <v>-28.13462757443913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IF(792591&gt;0,100*100340/792591,"")</f>
        <v>12.659745063973727</v>
      </c>
      <c r="S17" s="1">
        <f>IF(COUNT(Q17:R17)=2,R17-Q17,"")</f>
        <v>-20.01765774425819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IF(952950&gt;0,100*175639/952950,"")</f>
        <v>18.43108242824912</v>
      </c>
      <c r="E18" s="1">
        <f>IF(COUNT(C18:D18)=2,D18-C18,"")</f>
        <v>-16.002190840104824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IF(444048&gt;0,100*17517/444048,"")</f>
        <v>3.944843800670198</v>
      </c>
      <c r="L18" s="1">
        <f>IF(COUNT(J18:K18)=2,K18-J18,"")</f>
        <v>-26.13840204355702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IF(696515&gt;0,100*47289/696515,"")</f>
        <v>6.789372806041507</v>
      </c>
      <c r="S18" s="1">
        <f>IF(COUNT(Q18:R18)=2,R18-Q18,"")</f>
        <v>-26.478650270063234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IF(341457&gt;0,100*16576/341457,"")</f>
        <v>4.854491195084593</v>
      </c>
      <c r="E19" s="1">
        <f>IF(COUNT(C19:D19)=2,D19-C19,"")</f>
        <v>-4.245563095465657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IF(708681&gt;0,100*100033/708681,"")</f>
        <v>14.115377722840037</v>
      </c>
      <c r="L19" s="1">
        <f>IF(COUNT(J19:K19)=2,K19-J19,"")</f>
        <v>-23.259386751455672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IF(826019&gt;0,100*114632/826019,"")</f>
        <v>13.877646882214574</v>
      </c>
      <c r="S19" s="1">
        <f>IF(COUNT(Q19:R19)=2,R19-Q19,"")</f>
        <v>-7.3737008828272295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IF(344930&gt;0,100*11058/344930,"")</f>
        <v>3.205867857246398</v>
      </c>
      <c r="E20" s="1">
        <f>IF(COUNT(C20:D20)=2,D20-C20,"")</f>
        <v>2.522523741982324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IF(680167&gt;0,100*67791/680167,"")</f>
        <v>9.96681697289048</v>
      </c>
      <c r="L20" s="1">
        <f>IF(COUNT(J20:K20)=2,K20-J20,"")</f>
        <v>-15.298034157209312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IF(576697&gt;0,100*39399/576697,"")</f>
        <v>6.831837169258727</v>
      </c>
      <c r="S20" s="1">
        <f>IF(COUNT(Q20:R20)=2,R20-Q20,"")</f>
        <v>-22.630796925794748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IF(923099&gt;0,100*165450/923099,"")</f>
        <v>17.923321333898098</v>
      </c>
      <c r="E21" s="1">
        <f>IF(COUNT(C21:D21)=2,D21-C21,"")</f>
        <v>-17.539082522763866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IF(465089&gt;0,100*17957/465089,"")</f>
        <v>3.860981446561841</v>
      </c>
      <c r="L21" s="1">
        <f>IF(COUNT(J21:K21)=2,K21-J21,"")</f>
        <v>-11.603589620699346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IF(678755&gt;0,100*75350/678755,"")</f>
        <v>11.101207357588526</v>
      </c>
      <c r="S21" s="1">
        <f>IF(COUNT(Q21:R21)=2,R21-Q21,"")</f>
        <v>-8.196752671712469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IF(587222&gt;0,100*40506/587222,"")</f>
        <v>6.897902326547711</v>
      </c>
      <c r="E22" s="1">
        <f>IF(COUNT(C22:D22)=2,D22-C22,"")</f>
        <v>-25.897664028183893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IF(590936&gt;0,100*91594/590936,"")</f>
        <v>15.49981723909188</v>
      </c>
      <c r="L22" s="1">
        <f>IF(COUNT(J22:K22)=2,K22-J22,"")</f>
        <v>4.260827608908347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IF(699652&gt;0,100*71171/699652,"")</f>
        <v>10.17234282186001</v>
      </c>
      <c r="S22" s="1">
        <f>IF(COUNT(Q22:R22)=2,R22-Q22,"")</f>
        <v>-18.895837363498135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IF(681227&gt;0,100*85967/681227,"")</f>
        <v>12.619435224969063</v>
      </c>
      <c r="E23" s="1">
        <f>IF(COUNT(C23:D23)=2,D23-C23,"")</f>
        <v>-11.828569484564515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IF(525440&gt;0,100*62740/525440,"")</f>
        <v>11.940468940316688</v>
      </c>
      <c r="L23" s="1">
        <f>IF(COUNT(J23:K23)=2,K23-J23,"")</f>
        <v>-26.458602609148667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IF(602525&gt;0,100*52451/602525,"")</f>
        <v>8.705198954400233</v>
      </c>
      <c r="S23" s="1">
        <f>IF(COUNT(Q23:R23)=2,R23-Q23,"")</f>
        <v>-14.716072186363386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IF(972616&gt;0,100*162939/972616,"")</f>
        <v>16.75265469620076</v>
      </c>
      <c r="E24" s="1">
        <f>IF(COUNT(C24:D24)=2,D24-C24,"")</f>
        <v>-17.604310115740514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IF(870665&gt;0,100*173500/870665,"")</f>
        <v>19.927296951180995</v>
      </c>
      <c r="L24" s="1">
        <f>IF(COUNT(J24:K24)=2,K24-J24,"")</f>
        <v>-10.949817604327514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IF(1019677&gt;0,100*178660/1019677,"")</f>
        <v>17.52123466548721</v>
      </c>
      <c r="S24" s="1">
        <f>IF(COUNT(Q24:R24)=2,R24-Q24,"")</f>
        <v>-5.616570898104591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IF(262413&gt;0,100*427/262413,"")</f>
        <v>0.16272059692164642</v>
      </c>
      <c r="E25" s="1">
        <f>IF(COUNT(C25:D25)=2,D25-C25,"")</f>
        <v>-0.06330261627322223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IF(603106&gt;0,100*60664/603106,"")</f>
        <v>10.05859666459959</v>
      </c>
      <c r="L25" s="1">
        <f>IF(COUNT(J25:K25)=2,K25-J25,"")</f>
        <v>-8.456182287375656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IF(644414&gt;0,100*66974/644414,"")</f>
        <v>10.393008221422875</v>
      </c>
      <c r="S25" s="1">
        <f>IF(COUNT(Q25:R25)=2,R25-Q25,"")</f>
        <v>-21.876764832255432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IF(350904&gt;0,100*3906/350904,"")</f>
        <v>1.1131249572532658</v>
      </c>
      <c r="E26" s="1">
        <f>IF(COUNT(C26:D26)=2,D26-C26,"")</f>
        <v>-20.12041685515733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IF(674576&gt;0,100*61577/674576,"")</f>
        <v>9.128252413367804</v>
      </c>
      <c r="L26" s="1">
        <f>IF(COUNT(J26:K26)=2,K26-J26,"")</f>
        <v>-23.52521474843885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IF(589030&gt;0,100*26836/589030,"")</f>
        <v>4.5559648914316755</v>
      </c>
      <c r="S26" s="1">
        <f>IF(COUNT(Q26:R26)=2,R26-Q26,"")</f>
        <v>-21.70915942423305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IF(980906&gt;0,100*195804/980906,"")</f>
        <v>19.96154575463908</v>
      </c>
      <c r="E27" s="1">
        <f>IF(COUNT(C27:D27)=2,D27-C27,"")</f>
        <v>-17.106295796756793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IF(442720&gt;0,100*21694/442720,"")</f>
        <v>4.900162631008312</v>
      </c>
      <c r="L27" s="1">
        <f>IF(COUNT(J27:K27)=2,K27-J27,"")</f>
        <v>-15.639312375615779</v>
      </c>
      <c r="O27" s="1">
        <v>25</v>
      </c>
      <c r="P27" s="1">
        <v>24</v>
      </c>
      <c r="Q27" s="1">
        <f>IF(682080&gt;0,100*56444/682080,"")</f>
        <v>8.275275627492377</v>
      </c>
      <c r="R27" s="1">
        <f>IF(549180&gt;0,100*40063/549180,"")</f>
        <v>7.295058086601843</v>
      </c>
      <c r="S27" s="1">
        <f>IF(COUNT(Q27:R27)=2,R27-Q27,"")</f>
        <v>-0.9802175408905338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IF(1177896&gt;0,100*252831/1177896,"")</f>
        <v>21.464628456162515</v>
      </c>
      <c r="E28" s="1">
        <f>IF(COUNT(C28:D28)=2,D28-C28,"")</f>
        <v>-18.52717781234667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IF(650048&gt;0,100*80546/650048,"")</f>
        <v>12.390777296445801</v>
      </c>
      <c r="L28" s="1">
        <f>IF(COUNT(J28:K28)=2,K28-J28,"")</f>
        <v>-19.574082902341097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IF(919854&gt;0,100*123342/919854,"")</f>
        <v>13.408867059337677</v>
      </c>
      <c r="S28" s="1">
        <f>IF(COUNT(Q28:R28)=2,R28-Q28,"")</f>
        <v>-17.991432790737285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IF(829048&gt;0,100*114273/829048,"")</f>
        <v>13.783640995455029</v>
      </c>
      <c r="E29" s="1">
        <f>IF(COUNT(C29:D29)=2,D29-C29,"")</f>
        <v>-16.095883776711695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IF(901657&gt;0,100*117468/901657,"")</f>
        <v>13.02801397870809</v>
      </c>
      <c r="L29" s="1">
        <f>IF(COUNT(J29:K29)=2,K29-J29,"")</f>
        <v>-3.6348244254440285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IF(657142&gt;0,100*79902/657142,"")</f>
        <v>12.159015859585903</v>
      </c>
      <c r="S29" s="1">
        <f>IF(COUNT(Q29:R29)=2,R29-Q29,"")</f>
        <v>-27.544645134755942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IF(263049&gt;0,100*282/263049,"")</f>
        <v>0.10720436116464993</v>
      </c>
      <c r="E30" s="1">
        <f>IF(COUNT(C30:D30)=2,D30-C30,"")</f>
        <v>0.03406407733439666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IF(1218353&gt;0,100*197727/1218353,"")</f>
        <v>16.229040352016206</v>
      </c>
      <c r="L30" s="1">
        <f>IF(COUNT(J30:K30)=2,K30-J30,"")</f>
        <v>-17.44224750017436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IF(830042&gt;0,100*103619/830042,"")</f>
        <v>12.483585167979452</v>
      </c>
      <c r="S30" s="1">
        <f>IF(COUNT(Q30:R30)=2,R30-Q30,"")</f>
        <v>-15.420005885681789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IF(1157776&gt;0,100*239639/1157776,"")</f>
        <v>20.698217962714722</v>
      </c>
      <c r="E31" s="1">
        <f>IF(COUNT(C31:D31)=2,D31-C31,"")</f>
        <v>-15.45177480548061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IF(897690&gt;0,100*88633/897690,"")</f>
        <v>9.87345297374372</v>
      </c>
      <c r="L31" s="1">
        <f>IF(COUNT(J31:K31)=2,K31-J31,"")</f>
        <v>-26.52241361816745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IF(821519&gt;0,100*85259/821519,"")</f>
        <v>10.378214015744005</v>
      </c>
      <c r="S31" s="1">
        <f>IF(COUNT(Q31:R31)=2,R31-Q31,"")</f>
        <v>-26.506470801951572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IF(723313&gt;0,100*92756/723313,"")</f>
        <v>12.82377062212348</v>
      </c>
      <c r="E32" s="1">
        <f>IF(COUNT(C32:D32)=2,D32-C32,"")</f>
        <v>-24.68208165944036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IF(699837&gt;0,100*57111/699837,"")</f>
        <v>8.16061454310075</v>
      </c>
      <c r="L32" s="1">
        <f>IF(COUNT(J32:K32)=2,K32-J32,"")</f>
        <v>-21.622950055425427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IF(719698&gt;0,100*111092/719698,"")</f>
        <v>15.43591895489497</v>
      </c>
      <c r="S32" s="1">
        <f>IF(COUNT(Q32:R32)=2,R32-Q32,"")</f>
        <v>-10.398811302813119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IF(482053&gt;0,100*605/482053,"")</f>
        <v>0.12550487187093534</v>
      </c>
      <c r="E33" s="1">
        <f>IF(COUNT(C33:D33)=2,D33-C33,"")</f>
        <v>-1.5109521316907046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IF(818276&gt;0,100*119355/818276,"")</f>
        <v>14.586154304904458</v>
      </c>
      <c r="L33" s="1">
        <f>IF(COUNT(J33:K33)=2,K33-J33,"")</f>
        <v>-14.796697065555627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IF(681154&gt;0,100*83794/681154,"")</f>
        <v>12.301770231107797</v>
      </c>
      <c r="S33" s="1">
        <f>IF(COUNT(Q33:R33)=2,R33-Q33,"")</f>
        <v>-24.64428999960969</v>
      </c>
    </row>
    <row r="34" spans="1:19">
      <c r="A34" s="2" t="s">
        <v>6</v>
      </c>
      <c r="B34" s="1"/>
      <c r="C34" s="1">
        <f>IF(COUNT(C3:C33)&gt;0,AVERAGE(C3:C33),"")</f>
        <v>28.172990083851328</v>
      </c>
      <c r="D34" s="1">
        <f>IF(COUNT(D3:D33)&gt;0,AVERAGE(D3:D33),"")</f>
        <v>11.284586044120086</v>
      </c>
      <c r="E34" s="1">
        <f>IF(COUNT(E3:E33)&gt;0,AVERAGE(E3:E33),"")</f>
        <v>-16.888404039731242</v>
      </c>
      <c r="H34" s="2" t="s">
        <v>6</v>
      </c>
      <c r="I34" s="1"/>
      <c r="J34" s="1">
        <f>IF(COUNT(J3:J33)&gt;0,AVERAGE(J3:J33),"")</f>
        <v>23.261266503360552</v>
      </c>
      <c r="K34" s="1">
        <f>IF(COUNT(K3:K33)&gt;0,AVERAGE(K3:K33),"")</f>
        <v>10.93948210358355</v>
      </c>
      <c r="L34" s="1">
        <f>IF(COUNT(L3:L33)&gt;0,AVERAGE(L3:L33),"")</f>
        <v>-12.321784399776996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10.751021517798264</v>
      </c>
      <c r="S34" s="1">
        <f>IF(COUNT(S3:S33)&gt;0,AVERAGE(S3:S33),"")</f>
        <v>-14.000264733742014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IF(708531&gt;0,100*78400/708531,"")</f>
        <v>11.065147467083303</v>
      </c>
      <c r="E39" s="1">
        <f>IF(COUNT(C39:D39)=2,D39-C39,"")</f>
        <v>-1.9921041639422956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IF(1131874&gt;0,100*233171/1131874,"")</f>
        <v>20.600437857924117</v>
      </c>
      <c r="L39" s="1">
        <f>IF(COUNT(J39:K39)=2,K39-J39,"")</f>
        <v>-10.667069172053118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IF(1284783&gt;0,100*210282/1284783,"")</f>
        <v>16.367121918643072</v>
      </c>
      <c r="S39" s="1">
        <f>IF(COUNT(Q39:R39)=2,R39-Q39,"")</f>
        <v>-2.005529230499132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IF(1093523&gt;0,100*208817/1093523,"")</f>
        <v>19.095803197555057</v>
      </c>
      <c r="E40" s="1">
        <f>IF(COUNT(C40:D40)=2,D40-C40,"")</f>
        <v>-10.137639105984718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IF(1522670&gt;0,100*268813/1522670,"")</f>
        <v>17.65405504804061</v>
      </c>
      <c r="L40" s="1">
        <f>IF(COUNT(J40:K40)=2,K40-J40,"")</f>
        <v>-20.441499209143224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IF(655194&gt;0,100*89300/655194,"")</f>
        <v>13.629550942163695</v>
      </c>
      <c r="S40" s="1">
        <f>IF(COUNT(Q40:R40)=2,R40-Q40,"")</f>
        <v>-27.85989302550496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IF(1142147&gt;0,100*202540/1142147,"")</f>
        <v>17.73326901003111</v>
      </c>
      <c r="E41" s="1">
        <f>IF(COUNT(C41:D41)=2,D41-C41,"")</f>
        <v>-21.539549527167537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IF(999108&gt;0,100*129143/999108,"")</f>
        <v>12.925829840217474</v>
      </c>
      <c r="L41" s="1">
        <f>IF(COUNT(J41:K41)=2,K41-J41,"")</f>
        <v>-25.067251004861717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IF(1023922&gt;0,100*97441/1023922,"")</f>
        <v>9.516447541902606</v>
      </c>
      <c r="S41" s="1">
        <f>IF(COUNT(Q41:R41)=2,R41-Q41,"")</f>
        <v>-31.009423537691568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IF(1337665&gt;0,100*257529/1337665,"")</f>
        <v>19.25212964381964</v>
      </c>
      <c r="E42" s="1">
        <f>IF(COUNT(C42:D42)=2,D42-C42,"")</f>
        <v>-22.741950222457664</v>
      </c>
      <c r="H42" s="1">
        <v>4</v>
      </c>
      <c r="I42" s="1">
        <v>3</v>
      </c>
      <c r="J42" s="1">
        <f>IF(778520&gt;0,100*44764/778520,"")</f>
        <v>5.749884396033499</v>
      </c>
      <c r="K42" s="1">
        <f>IF(1029533&gt;0,100*63418/1029533,"")</f>
        <v>6.159880256388091</v>
      </c>
      <c r="L42" s="1">
        <f>IF(COUNT(J42:K42)=2,K42-J42,"")</f>
        <v>0.40999586035459146</v>
      </c>
      <c r="O42" s="1">
        <v>4</v>
      </c>
      <c r="P42" s="1">
        <v>3</v>
      </c>
      <c r="Q42" s="1">
        <f>IF(760183&gt;0,100*45060/760183,"")</f>
        <v>5.927520083979778</v>
      </c>
      <c r="R42" s="1">
        <f>IF(728452&gt;0,100*45534/728452,"")</f>
        <v>6.250789345076957</v>
      </c>
      <c r="S42" s="1">
        <f>IF(COUNT(Q42:R42)=2,R42-Q42,"")</f>
        <v>0.32326926109717924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IF(806080&gt;0,100*36691/806080,"")</f>
        <v>4.551781460897182</v>
      </c>
      <c r="E43" s="1">
        <f>IF(COUNT(C43:D43)=2,D43-C43,"")</f>
        <v>-13.181500753072438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IF(1898824&gt;0,100*512018/1898824,"")</f>
        <v>26.965005708796603</v>
      </c>
      <c r="L43" s="1">
        <f>IF(COUNT(J43:K43)=2,K43-J43,"")</f>
        <v>-15.160584808766586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IF(1487723&gt;0,100*234482/1487723,"")</f>
        <v>15.761132952841356</v>
      </c>
      <c r="S43" s="1">
        <f>IF(COUNT(Q43:R43)=2,R43-Q43,"")</f>
        <v>-31.45453715953623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IF(816566&gt;0,100*58271/816566,"")</f>
        <v>7.136104123855267</v>
      </c>
      <c r="E44" s="1">
        <f>IF(COUNT(C44:D44)=2,D44-C44,"")</f>
        <v>-36.71725450749583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IF(1300518&gt;0,100*230275/1300518,"")</f>
        <v>17.70640621659985</v>
      </c>
      <c r="L44" s="1">
        <f>IF(COUNT(J44:K44)=2,K44-J44,"")</f>
        <v>-23.901942693130284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IF(1079858&gt;0,100*126026/1079858,"")</f>
        <v>11.670608542975096</v>
      </c>
      <c r="S44" s="1">
        <f>IF(COUNT(Q44:R44)=2,R44-Q44,"")</f>
        <v>-6.4262656941199445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IF(836625&gt;0,100*67860/836625,"")</f>
        <v>8.111160914388167</v>
      </c>
      <c r="E45" s="1">
        <f>IF(COUNT(C45:D45)=2,D45-C45,"")</f>
        <v>-36.90327224101439</v>
      </c>
      <c r="H45" s="1">
        <v>7</v>
      </c>
      <c r="I45" s="1">
        <v>6</v>
      </c>
      <c r="J45" s="1">
        <f>IF(545527&gt;0,100*1624/545527,"")</f>
        <v>0.2976937896749382</v>
      </c>
      <c r="K45" s="1">
        <f>IF(639409&gt;0,100*4178/639409,"")</f>
        <v>0.6534158887347535</v>
      </c>
      <c r="L45" s="1">
        <f>IF(COUNT(J45:K45)=2,K45-J45,"")</f>
        <v>0.35572209905981533</v>
      </c>
      <c r="O45" s="1">
        <v>7</v>
      </c>
      <c r="P45" s="1">
        <v>6</v>
      </c>
      <c r="Q45" s="1">
        <f>IF(700580&gt;0,100*18395/700580,"")</f>
        <v>2.6256815781209855</v>
      </c>
      <c r="R45" s="1">
        <f>IF(752844&gt;0,100*75317/752844,"")</f>
        <v>10.004330246372422</v>
      </c>
      <c r="S45" s="1">
        <f>IF(COUNT(Q45:R45)=2,R45-Q45,"")</f>
        <v>7.3786486682514365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IF(1538120&gt;0,100*282745/1538120,"")</f>
        <v>18.38250591631342</v>
      </c>
      <c r="E46" s="1">
        <f>IF(COUNT(C46:D46)=2,D46-C46,"")</f>
        <v>-22.904693070637762</v>
      </c>
      <c r="H46" s="1">
        <v>8</v>
      </c>
      <c r="I46" s="1">
        <v>7</v>
      </c>
      <c r="J46" s="1">
        <f>IF(453926&gt;0,100*2064/453926,"")</f>
        <v>0.45469966470305734</v>
      </c>
      <c r="K46" s="1">
        <f>IF(519594&gt;0,100*2071/519594,"")</f>
        <v>0.39858043010504357</v>
      </c>
      <c r="L46" s="1">
        <f>IF(COUNT(J46:K46)=2,K46-J46,"")</f>
        <v>-0.05611923459801377</v>
      </c>
      <c r="O46" s="1">
        <v>8</v>
      </c>
      <c r="P46" s="1">
        <v>7</v>
      </c>
      <c r="Q46" s="1">
        <f>IF(505497&gt;0,100*20606/505497,"")</f>
        <v>4.076384231756074</v>
      </c>
      <c r="R46" s="1">
        <f>IF(467546&gt;0,100*6672/467546,"")</f>
        <v>1.4270253622103493</v>
      </c>
      <c r="S46" s="1">
        <f>IF(COUNT(Q46:R46)=2,R46-Q46,"")</f>
        <v>-2.6493588695457246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IF(1383448&gt;0,100*278204/1383448,"")</f>
        <v>20.10946562501807</v>
      </c>
      <c r="E47" s="1">
        <f>IF(COUNT(C47:D47)=2,D47-C47,"")</f>
        <v>-27.134825420386495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IF(1280162&gt;0,100*202430/1280162,"")</f>
        <v>15.812842437129051</v>
      </c>
      <c r="L47" s="1">
        <f>IF(COUNT(J47:K47)=2,K47-J47,"")</f>
        <v>-26.825458415826304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IF(1596443&gt;0,100*458425/1596443,"")</f>
        <v>28.71540042456887</v>
      </c>
      <c r="S47" s="1">
        <f>IF(COUNT(Q47:R47)=2,R47-Q47,"")</f>
        <v>-16.298146139565098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IF(681685&gt;0,100*12542/681685,"")</f>
        <v>1.8398527178975626</v>
      </c>
      <c r="E48" s="1">
        <f>IF(COUNT(C48:D48)=2,D48-C48,"")</f>
        <v>-27.43702205121954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IF(931241&gt;0,100*61361/931241,"")</f>
        <v>6.589164351655479</v>
      </c>
      <c r="L48" s="1">
        <f>IF(COUNT(J48:K48)=2,K48-J48,"")</f>
        <v>-37.26710918758651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IF(581795&gt;0,100*8775/581795,"")</f>
        <v>1.5082632198626664</v>
      </c>
      <c r="S48" s="1">
        <f>IF(COUNT(Q48:R48)=2,R48-Q48,"")</f>
        <v>-27.889899829276793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IF(977889&gt;0,100*129796/977889,"")</f>
        <v>13.273081096116226</v>
      </c>
      <c r="E49" s="1">
        <f>IF(COUNT(C49:D49)=2,D49-C49,"")</f>
        <v>-29.39367036643812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IF(965405&gt;0,100*40499/965405,"")</f>
        <v>4.195026957598106</v>
      </c>
      <c r="L49" s="1">
        <f>IF(COUNT(J49:K49)=2,K49-J49,"")</f>
        <v>-30.030982053157235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IF(1017262&gt;0,100*74189/1017262,"")</f>
        <v>7.293008094276598</v>
      </c>
      <c r="S49" s="1">
        <f>IF(COUNT(Q49:R49)=2,R49-Q49,"")</f>
        <v>-34.605927974788585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IF(1150426&gt;0,100*217296/1150426,"")</f>
        <v>18.888307461757645</v>
      </c>
      <c r="E50" s="1">
        <f>IF(COUNT(C50:D50)=2,D50-C50,"")</f>
        <v>-20.14093207840119</v>
      </c>
      <c r="H50" s="1">
        <v>12</v>
      </c>
      <c r="I50" s="1">
        <v>11</v>
      </c>
      <c r="J50" s="1">
        <f>IF(16409&gt;0,100*2109/16409,"")</f>
        <v>12.85270278505698</v>
      </c>
      <c r="K50" s="1">
        <f>IF(1188618&gt;0,100*155000/1188618,"")</f>
        <v>13.040354428420233</v>
      </c>
      <c r="L50" s="1">
        <f>IF(COUNT(J50:K50)=2,K50-J50,"")</f>
        <v>0.18765164336325313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IF(841175&gt;0,100*97160/841175,"")</f>
        <v>11.550509703688293</v>
      </c>
      <c r="S50" s="1">
        <f>IF(COUNT(Q50:R50)=2,R50-Q50,"")</f>
        <v>-27.553494892311726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IF(723135&gt;0,100*45889/723135,"")</f>
        <v>6.345841371251565</v>
      </c>
      <c r="E51" s="1">
        <f>IF(COUNT(C51:D51)=2,D51-C51,"")</f>
        <v>-37.79021668673758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IF(745128&gt;0,100*17015/745128,"")</f>
        <v>2.2835002845148753</v>
      </c>
      <c r="L51" s="1">
        <f>IF(COUNT(J51:K51)=2,K51-J51,"")</f>
        <v>-8.427410342197726</v>
      </c>
      <c r="O51" s="1">
        <v>13</v>
      </c>
      <c r="P51" s="1">
        <v>12</v>
      </c>
      <c r="Q51" s="1">
        <f>IF(609443&gt;0,100*13444/609443,"")</f>
        <v>2.20594871054389</v>
      </c>
      <c r="R51" s="1">
        <f>IF(727356&gt;0,100*19198/727356,"")</f>
        <v>2.6394227860909925</v>
      </c>
      <c r="S51" s="1">
        <f>IF(COUNT(Q51:R51)=2,R51-Q51,"")</f>
        <v>0.43347407554710227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IF(661509&gt;0,100*10208/661509,"")</f>
        <v>1.5431384909351196</v>
      </c>
      <c r="E52" s="1">
        <f>IF(COUNT(C52:D52)=2,D52-C52,"")</f>
        <v>1.139841588424199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IF(642438&gt;0,100*51047/642438,"")</f>
        <v>7.945825122424265</v>
      </c>
      <c r="L52" s="1">
        <f>IF(COUNT(J52:K52)=2,K52-J52,"")</f>
        <v>-24.865632280871882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IF(1054375&gt;0,100*145372/1054375,"")</f>
        <v>13.787504445761707</v>
      </c>
      <c r="S52" s="1">
        <f>IF(COUNT(Q52:R52)=2,R52-Q52,"")</f>
        <v>-7.914374434973718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IF(1152744&gt;0,100*260509/1152744,"")</f>
        <v>22.599033263239715</v>
      </c>
      <c r="E53" s="1">
        <f>IF(COUNT(C53:D53)=2,D53-C53,"")</f>
        <v>-8.629484190284426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IF(1565699&gt;0,100*297058/1565699,"")</f>
        <v>18.97286770956614</v>
      </c>
      <c r="L53" s="1">
        <f>IF(COUNT(J53:K53)=2,K53-J53,"")</f>
        <v>-11.819684296917114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IF(1123685&gt;0,100*94716/1123685,"")</f>
        <v>8.429052625958342</v>
      </c>
      <c r="S53" s="1">
        <f>IF(COUNT(Q53:R53)=2,R53-Q53,"")</f>
        <v>-39.680601595810145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IF(1217334&gt;0,100*199541/1217334,"")</f>
        <v>16.39163943502769</v>
      </c>
      <c r="E54" s="1">
        <f>IF(COUNT(C54:D54)=2,D54-C54,"")</f>
        <v>-25.83666684723285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IF(437153&gt;0,100*3506/437153,"")</f>
        <v>0.8020075351192831</v>
      </c>
      <c r="L54" s="1">
        <f>IF(COUNT(J54:K54)=2,K54-J54,"")</f>
        <v>-42.39164292528561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IF(872302&gt;0,100*43801/872302,"")</f>
        <v>5.021311426547228</v>
      </c>
      <c r="S54" s="1">
        <f>IF(COUNT(Q54:R54)=2,R54-Q54,"")</f>
        <v>-40.32030950219959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IF(403834&gt;0,100*5391/403834,"")</f>
        <v>1.3349544614866504</v>
      </c>
      <c r="E55" s="1">
        <f>IF(COUNT(C55:D55)=2,D55-C55,"")</f>
        <v>-0.285897197849615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IF(1488119&gt;0,100*304968/1488119,"")</f>
        <v>20.493522359434966</v>
      </c>
      <c r="L55" s="1">
        <f>IF(COUNT(J55:K55)=2,K55-J55,"")</f>
        <v>-15.888607831313767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IF(1306193&gt;0,100*214785/1306193,"")</f>
        <v>16.443588351797935</v>
      </c>
      <c r="S55" s="1">
        <f>IF(COUNT(Q55:R55)=2,R55-Q55,"")</f>
        <v>-18.726052830418368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IF(519928&gt;0,100*36381/519928,"")</f>
        <v>6.997315012847933</v>
      </c>
      <c r="E56" s="1">
        <f>IF(COUNT(C56:D56)=2,D56-C56,"")</f>
        <v>-7.306498608269173</v>
      </c>
      <c r="H56" s="1">
        <v>18</v>
      </c>
      <c r="I56" s="1">
        <v>17</v>
      </c>
      <c r="J56" s="1">
        <f>IF(2215&gt;0,100*355/2215,"")</f>
        <v>16.02708803611738</v>
      </c>
      <c r="K56" s="1">
        <f>IF(1398906&gt;0,100*192808/1398906,"")</f>
        <v>13.78277025046715</v>
      </c>
      <c r="L56" s="1">
        <f>IF(COUNT(J56:K56)=2,K56-J56,"")</f>
        <v>-2.24431778565023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IF(755263&gt;0,100*49147/755263,"")</f>
        <v>6.507269653087732</v>
      </c>
      <c r="S56" s="1">
        <f>IF(COUNT(Q56:R56)=2,R56-Q56,"")</f>
        <v>-40.52118090217403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IF(793192&gt;0,100*92062/793192,"")</f>
        <v>11.606521497947533</v>
      </c>
      <c r="E57" s="1">
        <f>IF(COUNT(C57:D57)=2,D57-C57,"")</f>
        <v>-27.93320872341716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IF(1219109&gt;0,100*153153/1219109,"")</f>
        <v>12.56269947970198</v>
      </c>
      <c r="L57" s="1">
        <f>IF(COUNT(J57:K57)=2,K57-J57,"")</f>
        <v>-21.28981908907605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IF(762733&gt;0,100*85206/762733,"")</f>
        <v>11.171143768527125</v>
      </c>
      <c r="S57" s="1">
        <f>IF(COUNT(Q57:R57)=2,R57-Q57,"")</f>
        <v>-21.123211377825072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IF(1041494&gt;0,100*163894/1041494,"")</f>
        <v>15.7364324710464</v>
      </c>
      <c r="E58" s="1">
        <f>IF(COUNT(C58:D58)=2,D58-C58,"")</f>
        <v>-27.20578696925122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IF(925771&gt;0,100*69798/925771,"")</f>
        <v>7.539445500021063</v>
      </c>
      <c r="L58" s="1">
        <f>IF(COUNT(J58:K58)=2,K58-J58,"")</f>
        <v>-36.37899489062136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IF(1130021&gt;0,100*148514/1130021,"")</f>
        <v>13.142587615628383</v>
      </c>
      <c r="S58" s="1">
        <f>IF(COUNT(Q58:R58)=2,R58-Q58,"")</f>
        <v>-29.108313225653912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IF(913739&gt;0,100*107004/913739,"")</f>
        <v>11.710565051945906</v>
      </c>
      <c r="E59" s="1">
        <f>IF(COUNT(C59:D59)=2,D59-C59,"")</f>
        <v>-20.688137912369875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IF(890080&gt;0,100*34759/890080,"")</f>
        <v>3.905154592845587</v>
      </c>
      <c r="L59" s="1">
        <f>IF(COUNT(J59:K59)=2,K59-J59,"")</f>
        <v>-33.64624825755681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IF(1077114&gt;0,100*95491/1077114,"")</f>
        <v>8.865449710986953</v>
      </c>
      <c r="S59" s="1">
        <f>IF(COUNT(Q59:R59)=2,R59-Q59,"")</f>
        <v>-33.12078085131921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IF(1115980&gt;0,100*207571/1115980,"")</f>
        <v>18.59988530260399</v>
      </c>
      <c r="E60" s="1">
        <f>IF(COUNT(C60:D60)=2,D60-C60,"")</f>
        <v>-26.310190622171202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IF(1137614&gt;0,100*180614/1137614,"")</f>
        <v>15.876562700529353</v>
      </c>
      <c r="L60" s="1">
        <f>IF(COUNT(J60:K60)=2,K60-J60,"")</f>
        <v>-28.903871204269514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IF(1121176&gt;0,100*176887/1121176,"")</f>
        <v>15.776916380657452</v>
      </c>
      <c r="S60" s="1">
        <f>IF(COUNT(Q60:R60)=2,R60-Q60,"")</f>
        <v>-18.447153894589356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IF(334307&gt;0,100*34/334307,"")</f>
        <v>0.010170292575387294</v>
      </c>
      <c r="E61" s="1">
        <f>IF(COUNT(C61:D61)=2,D61-C61,"")</f>
        <v>-0.2267719176687137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IF(1071831&gt;0,100*85686/1071831,"")</f>
        <v>7.994357319390836</v>
      </c>
      <c r="L61" s="1">
        <f>IF(COUNT(J61:K61)=2,K61-J61,"")</f>
        <v>-40.411256893243305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IF(1051897&gt;0,100*126615/1051897,"")</f>
        <v>12.036824898255247</v>
      </c>
      <c r="S61" s="1">
        <f>IF(COUNT(Q61:R61)=2,R61-Q61,"")</f>
        <v>-23.015755363379448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IF(693454&gt;0,100*18125/693454,"")</f>
        <v>2.6137278031419533</v>
      </c>
      <c r="E62" s="1">
        <f>IF(COUNT(C62:D62)=2,D62-C62,"")</f>
        <v>-18.32951997697996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IF(1024139&gt;0,100*112244/1024139,"")</f>
        <v>10.959840412287786</v>
      </c>
      <c r="L62" s="1">
        <f>IF(COUNT(J62:K62)=2,K62-J62,"")</f>
        <v>-33.664465233996154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IF(959044&gt;0,100*118923/959044,"")</f>
        <v>12.400160993656183</v>
      </c>
      <c r="S62" s="1">
        <f>IF(COUNT(Q62:R62)=2,R62-Q62,"")</f>
        <v>-16.494482662132075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IF(1112617&gt;0,100*254356/1112617,"")</f>
        <v>22.86105641024719</v>
      </c>
      <c r="E63" s="1">
        <f>IF(COUNT(C63:D63)=2,D63-C63,"")</f>
        <v>-6.378967089207531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IF(599832&gt;0,100*12051/599832,"")</f>
        <v>2.009062537510503</v>
      </c>
      <c r="L63" s="1">
        <f>IF(COUNT(J63:K63)=2,K63-J63,"")</f>
        <v>-42.561917473493075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IF(659049&gt;0,100*35324/659049,"")</f>
        <v>5.35984426044194</v>
      </c>
      <c r="S63" s="1">
        <f>IF(COUNT(Q63:R63)=2,R63-Q63,"")</f>
        <v>-38.31484392120781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IF(1235841&gt;0,100*280619/1235841,"")</f>
        <v>22.706723599556902</v>
      </c>
      <c r="E64" s="1">
        <f>IF(COUNT(C64:D64)=2,D64-C64,"")</f>
        <v>-23.684456722095057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IF(987903&gt;0,100*110366/987903,"")</f>
        <v>11.171744594357948</v>
      </c>
      <c r="L64" s="1">
        <f>IF(COUNT(J64:K64)=2,K64-J64,"")</f>
        <v>-20.83692296849192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IF(1364122&gt;0,100*270094/1364122,"")</f>
        <v>19.79984194962034</v>
      </c>
      <c r="S64" s="1">
        <f>IF(COUNT(Q64:R64)=2,R64-Q64,"")</f>
        <v>-24.60501155371995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IF(1225940&gt;0,100*225546/1225940,"")</f>
        <v>18.397800871168247</v>
      </c>
      <c r="E65" s="1">
        <f>IF(COUNT(C65:D65)=2,D65-C65,"")</f>
        <v>-18.94676663055996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IF(1165703&gt;0,100*135935/1165703,"")</f>
        <v>11.661203582730764</v>
      </c>
      <c r="L65" s="1">
        <f>IF(COUNT(J65:K65)=2,K65-J65,"")</f>
        <v>-23.240868548110015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IF(1153006&gt;0,100*143966/1153006,"")</f>
        <v>12.486144911648335</v>
      </c>
      <c r="S65" s="1">
        <f>IF(COUNT(Q65:R65)=2,R65-Q65,"")</f>
        <v>-21.880139563096012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IF(347800&gt;0,100*669/347800,"")</f>
        <v>0.1923519263944796</v>
      </c>
      <c r="E66" s="1">
        <f>IF(COUNT(C66:D66)=2,D66-C66,"")</f>
        <v>0.09271133381054482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IF(1366706&gt;0,100*223253/1366706,"")</f>
        <v>16.335115233268898</v>
      </c>
      <c r="L66" s="1">
        <f>IF(COUNT(J66:K66)=2,K66-J66,"")</f>
        <v>-22.88226946842362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IF(1238710&gt;0,100*191154/1238710,"")</f>
        <v>15.431699106328358</v>
      </c>
      <c r="S66" s="1">
        <f>IF(COUNT(Q66:R66)=2,R66-Q66,"")</f>
        <v>-15.432393825940407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IF(1467794&gt;0,100*318599/1467794,"")</f>
        <v>21.705975089147387</v>
      </c>
      <c r="E67" s="1">
        <f>IF(COUNT(C67:D67)=2,D67-C67,"")</f>
        <v>-13.144782992352397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IF(1023155&gt;0,100*109779/1023155,"")</f>
        <v>10.729459368326403</v>
      </c>
      <c r="L67" s="1">
        <f>IF(COUNT(J67:K67)=2,K67-J67,"")</f>
        <v>-35.01549132842736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IF(1307482&gt;0,100*166363/1307482,"")</f>
        <v>12.723922776757156</v>
      </c>
      <c r="S67" s="1">
        <f>IF(COUNT(Q67:R67)=2,R67-Q67,"")</f>
        <v>-28.208007503177576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IF(877838&gt;0,100*91381/877838,"")</f>
        <v>10.409779480952066</v>
      </c>
      <c r="E68" s="1">
        <f>IF(COUNT(C68:D68)=2,D68-C68,"")</f>
        <v>-32.400320545535244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IF(906682&gt;0,100*96929/906682,"")</f>
        <v>10.690517733891266</v>
      </c>
      <c r="L68" s="1">
        <f>IF(COUNT(J68:K68)=2,K68-J68,"")</f>
        <v>-26.123009897039257</v>
      </c>
      <c r="O68" s="1">
        <v>30</v>
      </c>
      <c r="P68" s="1">
        <v>29</v>
      </c>
      <c r="Q68" s="1">
        <f>IF(653286&gt;0,100*39372/653286,"")</f>
        <v>6.026763163453679</v>
      </c>
      <c r="R68" s="1">
        <f>IF(748101&gt;0,100*58548/748101,"")</f>
        <v>7.826215978858469</v>
      </c>
      <c r="S68" s="1">
        <f>IF(COUNT(Q68:R68)=2,R68-Q68,"")</f>
        <v>1.7994528154047904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IF(50971&gt;0,100*5754/50971,"")</f>
        <v>11.28877204685017</v>
      </c>
      <c r="E69" s="1">
        <f>IF(COUNT(C69:D69)=2,D69-C69,"")</f>
        <v>10.99314015882829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IF(595508&gt;0,100*31644/595508,"")</f>
        <v>5.313782518454832</v>
      </c>
      <c r="L69" s="1">
        <f>IF(COUNT(J69:K69)=2,K69-J69,"")</f>
        <v>-30.06306979655987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IF(1044519&gt;0,100*133704/1044519,"")</f>
        <v>12.800533068330973</v>
      </c>
      <c r="S69" s="1">
        <f>IF(COUNT(Q69:R69)=2,R69-Q69,"")</f>
        <v>-19.819800394806222</v>
      </c>
    </row>
    <row r="70" spans="1:19">
      <c r="A70" s="2" t="s">
        <v>6</v>
      </c>
      <c r="B70" s="1"/>
      <c r="C70" s="1">
        <f>IF(COUNT(C39:C69)&gt;0,AVERAGE(C39:C69),"")</f>
        <v>30.180215695878584</v>
      </c>
      <c r="D70" s="1">
        <f>IF(COUNT(D39:D69)&gt;0,AVERAGE(D39:D69),"")</f>
        <v>12.338396532680612</v>
      </c>
      <c r="E70" s="1">
        <f>IF(COUNT(E39:E69)&gt;0,AVERAGE(E39:E69),"")</f>
        <v>-17.841819163197965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10.765498008272687</v>
      </c>
      <c r="L70" s="1">
        <f>IF(COUNT(L39:L69)&gt;0,AVERAGE(L39:L69),"")</f>
        <v>-22.22968215122226</v>
      </c>
      <c r="O70" s="2" t="s">
        <v>6</v>
      </c>
      <c r="P70" s="1"/>
      <c r="Q70" s="1">
        <f>IF(COUNT(Q39:Q69)&gt;0,AVERAGE(Q39:Q69),"")</f>
        <v>31.641731223822106</v>
      </c>
      <c r="R70" s="1">
        <f>IF(COUNT(R39:R69)&gt;0,AVERAGE(R39:R69),"")</f>
        <v>11.17237493559751</v>
      </c>
      <c r="S70" s="1">
        <f>IF(COUNT(S39:S69)&gt;0,AVERAGE(S39:S69),"")</f>
        <v>-20.46935628822458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IF(630835&gt;0,100*40645/630835,"")</f>
        <v>6.443047706611079</v>
      </c>
      <c r="E75" s="1">
        <f>IF(COUNT(C75:D75)=2,D75-C75,"")</f>
        <v>3.7278836942814517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IF(1488095&gt;0,100*212192/1488095,"")</f>
        <v>14.259304681488748</v>
      </c>
      <c r="L75" s="1">
        <f>IF(COUNT(J75:K75)=2,K75-J75,"")</f>
        <v>-39.04174557442993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IF(1282407&gt;0,100*175842/1282407,"")</f>
        <v>13.711871504132464</v>
      </c>
      <c r="S75" s="1">
        <f>IF(COUNT(Q75:R75)=2,R75-Q75,"")</f>
        <v>-30.369489722499974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IF(1279103&gt;0,100*251785/1279103,"")</f>
        <v>19.6844976518701</v>
      </c>
      <c r="E76" s="1">
        <f>IF(COUNT(C76:D76)=2,D76-C76,"")</f>
        <v>-17.34643323093589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IF(2134480&gt;0,100*540182/2134480,"")</f>
        <v>25.30742850717739</v>
      </c>
      <c r="L76" s="1">
        <f>IF(COUNT(J76:K76)=2,K76-J76,"")</f>
        <v>-18.196829442058117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IF(2103493&gt;0,100*407231/2103493,"")</f>
        <v>19.35975066235067</v>
      </c>
      <c r="S76" s="1">
        <f>IF(COUNT(Q76:R76)=2,R76-Q76,"")</f>
        <v>-21.501420117695254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IF(921484&gt;0,100*28895/921484,"")</f>
        <v>3.135702844542065</v>
      </c>
      <c r="E77" s="1">
        <f>IF(COUNT(C77:D77)=2,D77-C77,"")</f>
        <v>-36.10350735162389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IF(1241210&gt;0,100*151304/1241210,"")</f>
        <v>12.190040363838513</v>
      </c>
      <c r="L77" s="1">
        <f>IF(COUNT(J77:K77)=2,K77-J77,"")</f>
        <v>-30.273637681450275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IF(1408250&gt;0,100*207861/1408250,"")</f>
        <v>14.760234333392509</v>
      </c>
      <c r="S77" s="1">
        <f>IF(COUNT(Q77:R77)=2,R77-Q77,"")</f>
        <v>10.811053252725127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IF(1564611&gt;0,100*346786/1564611,"")</f>
        <v>22.164359064329727</v>
      </c>
      <c r="E78" s="1">
        <f>IF(COUNT(C78:D78)=2,D78-C78,"")</f>
        <v>-23.111471564494334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IF(648027&gt;0,100*5357/648027,"")</f>
        <v>0.8266630865689238</v>
      </c>
      <c r="L78" s="1">
        <f>IF(COUNT(J78:K78)=2,K78-J78,"")</f>
        <v>-46.687218544888836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IF(1035470&gt;0,100*116706/1035470,"")</f>
        <v>11.270823877079973</v>
      </c>
      <c r="S78" s="1">
        <f>IF(COUNT(Q78:R78)=2,R78-Q78,"")</f>
        <v>-41.506854471587104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IF(704811&gt;0,100*23303/704811,"")</f>
        <v>3.306276434391631</v>
      </c>
      <c r="E79" s="1">
        <f>IF(COUNT(C79:D79)=2,D79-C79,"")</f>
        <v>-45.44311824442377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IF(25649&gt;0,100*5927/25649,"")</f>
        <v>23.108113376739833</v>
      </c>
      <c r="L79" s="1">
        <f>IF(COUNT(J79:K79)=2,K79-J79,"")</f>
        <v>-23.71322731539048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IF(1286809&gt;0,100*206436/1286809,"")</f>
        <v>16.042474057921574</v>
      </c>
      <c r="S79" s="1">
        <f>IF(COUNT(Q79:R79)=2,R79-Q79,"")</f>
        <v>-32.88976948832466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IF(729869&gt;0,100*46172/729869,"")</f>
        <v>6.326066732523234</v>
      </c>
      <c r="E80" s="1">
        <f>IF(COUNT(C80:D80)=2,D80-C80,"")</f>
        <v>-32.382023314948526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IF(1245702&gt;0,100*129732/1245702,"")</f>
        <v>10.414368765563514</v>
      </c>
      <c r="L80" s="1">
        <f>IF(COUNT(J80:K80)=2,K80-J80,"")</f>
        <v>-28.88596443295443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IF(1470078&gt;0,100*139203/1470078,"")</f>
        <v>9.469089395256578</v>
      </c>
      <c r="S80" s="1">
        <f>IF(COUNT(Q80:R80)=2,R80-Q80,"")</f>
        <v>-33.349609493988154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IF(1044833&gt;0,100*126589/1044833,"")</f>
        <v>12.115716100084894</v>
      </c>
      <c r="E81" s="1">
        <f>IF(COUNT(C81:D81)=2,D81-C81,"")</f>
        <v>-30.00876849734705</v>
      </c>
      <c r="H81" s="1">
        <v>7</v>
      </c>
      <c r="I81" s="1">
        <v>6</v>
      </c>
      <c r="J81" s="1">
        <f>IF(710153&gt;0,100*3904/710153,"")</f>
        <v>0.5497406896823642</v>
      </c>
      <c r="K81" s="1">
        <f>IF(789528&gt;0,100*28487/789528,"")</f>
        <v>3.608105095702749</v>
      </c>
      <c r="L81" s="1">
        <f>IF(COUNT(J81:K81)=2,K81-J81,"")</f>
        <v>3.0583644060203845</v>
      </c>
      <c r="O81" s="1">
        <v>7</v>
      </c>
      <c r="P81" s="1">
        <v>6</v>
      </c>
      <c r="Q81" s="1">
        <f>IF(528040&gt;0,100*6901/528040,"")</f>
        <v>1.3069085675327627</v>
      </c>
      <c r="R81" s="1">
        <f>IF(845792&gt;0,100*60021/845792,"")</f>
        <v>7.096425598728765</v>
      </c>
      <c r="S81" s="1">
        <f>IF(COUNT(Q81:R81)=2,R81-Q81,"")</f>
        <v>5.789517031196002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IF(1307111&gt;0,100*242247/1307111,"")</f>
        <v>18.53300905584912</v>
      </c>
      <c r="E82" s="1">
        <f>IF(COUNT(C82:D82)=2,D82-C82,"")</f>
        <v>-28.10642581896453</v>
      </c>
      <c r="H82" s="1">
        <v>8</v>
      </c>
      <c r="I82" s="1">
        <v>7</v>
      </c>
      <c r="J82" s="1">
        <f>IF(619510&gt;0,100*7411/619510,"")</f>
        <v>1.1962680182725056</v>
      </c>
      <c r="K82" s="1">
        <f>IF(483696&gt;0,100*1924/483696,"")</f>
        <v>0.39777050047964013</v>
      </c>
      <c r="L82" s="1">
        <f>IF(COUNT(J82:K82)=2,K82-J82,"")</f>
        <v>-0.7984975177928655</v>
      </c>
      <c r="O82" s="1">
        <v>8</v>
      </c>
      <c r="P82" s="1">
        <v>7</v>
      </c>
      <c r="Q82" s="1">
        <f>IF(665002&gt;0,100*8971/665002,"")</f>
        <v>1.3490184991924836</v>
      </c>
      <c r="R82" s="1">
        <f>IF(572804&gt;0,100*14451/572804,"")</f>
        <v>2.522852494046829</v>
      </c>
      <c r="S82" s="1">
        <f>IF(COUNT(Q82:R82)=2,R82-Q82,"")</f>
        <v>1.1738339948543455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IF(945619&gt;0,100*183027/945619,"")</f>
        <v>19.35525830170502</v>
      </c>
      <c r="E83" s="1">
        <f>IF(COUNT(C83:D83)=2,D83-C83,"")</f>
        <v>-12.848158904307972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IF(1534174&gt;0,100*244092/1534174,"")</f>
        <v>15.910320472123761</v>
      </c>
      <c r="L83" s="1">
        <f>IF(COUNT(J83:K83)=2,K83-J83,"")</f>
        <v>-28.975017478461087</v>
      </c>
      <c r="O83" s="1">
        <v>9</v>
      </c>
      <c r="P83" s="1">
        <v>8</v>
      </c>
      <c r="Q83" s="1">
        <f>IF(1967808&gt;0,100*766923/1967808,"")</f>
        <v>38.9734669236023</v>
      </c>
      <c r="R83" s="1">
        <f>IF(1694941&gt;0,100*359059/1694941,"")</f>
        <v>21.18415921262156</v>
      </c>
      <c r="S83" s="1">
        <f>IF(COUNT(Q83:R83)=2,R83-Q83,"")</f>
        <v>-17.789307710980744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IF(871202&gt;0,100*57903/871202,"")</f>
        <v>6.646334604374187</v>
      </c>
      <c r="E84" s="1">
        <f>IF(COUNT(C84:D84)=2,D84-C84,"")</f>
        <v>4.953027967028293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IF(1138323&gt;0,100*97549/1138323,"")</f>
        <v>8.569536063138495</v>
      </c>
      <c r="L84" s="1">
        <f>IF(COUNT(J84:K84)=2,K84-J84,"")</f>
        <v>-41.61747376978166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IF(889814&gt;0,100*51689/889814,"")</f>
        <v>5.808966817784391</v>
      </c>
      <c r="S84" s="1">
        <f>IF(COUNT(Q84:R84)=2,R84-Q84,"")</f>
        <v>-10.203517413336233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IF(2272997&gt;0,100*421910/2272997,"")</f>
        <v>18.561837081175206</v>
      </c>
      <c r="E85" s="1">
        <f>IF(COUNT(C85:D85)=2,D85-C85,"")</f>
        <v>-29.251402281740994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IF(1185626&gt;0,100*97475/1185626,"")</f>
        <v>8.221395279793121</v>
      </c>
      <c r="L85" s="1">
        <f>IF(COUNT(J85:K85)=2,K85-J85,"")</f>
        <v>-47.222841836773064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IF(1083007&gt;0,100*61577/1083007,"")</f>
        <v>5.685743490115946</v>
      </c>
      <c r="S85" s="1">
        <f>IF(COUNT(Q85:R85)=2,R85-Q85,"")</f>
        <v>-42.91462706219942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IF(1297808&gt;0,100*252815/1297808,"")</f>
        <v>19.48015422928507</v>
      </c>
      <c r="E86" s="1">
        <f>IF(COUNT(C86:D86)=2,D86-C86,"")</f>
        <v>-23.74800601909969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IF(1106162&gt;0,100*40224/1106162,"")</f>
        <v>3.636357061623885</v>
      </c>
      <c r="L86" s="1">
        <f>IF(COUNT(J86:K86)=2,K86-J86,"")</f>
        <v>-44.02710178232198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IF(1153825&gt;0,100*56228/1153825,"")</f>
        <v>4.873182675015709</v>
      </c>
      <c r="S86" s="1">
        <f>IF(COUNT(Q86:R86)=2,R86-Q86,"")</f>
        <v>-43.76698656752336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IF(440918&gt;0,100*36340/440918,"")</f>
        <v>8.241895318403875</v>
      </c>
      <c r="E87" s="1">
        <f>IF(COUNT(C87:D87)=2,D87-C87,"")</f>
        <v>-19.94275438511408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IF(810806&gt;0,100*22889/810806,"")</f>
        <v>2.8229934164276043</v>
      </c>
      <c r="L87" s="1">
        <f>IF(COUNT(J87:K87)=2,K87-J87,"")</f>
        <v>-41.7704203452211</v>
      </c>
      <c r="O87" s="1">
        <v>13</v>
      </c>
      <c r="P87" s="1">
        <v>12</v>
      </c>
      <c r="Q87" s="1">
        <f>IF(818878&gt;0,100*7212/818878,"")</f>
        <v>0.8807172741238621</v>
      </c>
      <c r="R87" s="1">
        <f>IF(676193&gt;0,100*7648/676193,"")</f>
        <v>1.131038032041148</v>
      </c>
      <c r="S87" s="1">
        <f>IF(COUNT(Q87:R87)=2,R87-Q87,"")</f>
        <v>0.2503207579172858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IF(616425&gt;0,100*10588/616425,"")</f>
        <v>1.7176461045544875</v>
      </c>
      <c r="E88" s="1">
        <f>IF(COUNT(C88:D88)=2,D88-C88,"")</f>
        <v>-18.77722190193698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IF(555761&gt;0,100*2571/555761,"")</f>
        <v>0.4626089272187145</v>
      </c>
      <c r="L88" s="1">
        <f>IF(COUNT(J88:K88)=2,K88-J88,"")</f>
        <v>-32.54971233768622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IF(544682&gt;0,100*2014/544682,"")</f>
        <v>0.36975703254375947</v>
      </c>
      <c r="S88" s="1">
        <f>IF(COUNT(Q88:R88)=2,R88-Q88,"")</f>
        <v>-11.592151318297931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IF(1408914&gt;0,100*313100/1408914,"")</f>
        <v>22.22279003544574</v>
      </c>
      <c r="E89" s="1">
        <f>IF(COUNT(C89:D89)=2,D89-C89,"")</f>
        <v>-20.046744909113855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IF(1458874&gt;0,100*273360/1458874,"")</f>
        <v>18.737738831454944</v>
      </c>
      <c r="L89" s="1">
        <f>IF(COUNT(J89:K89)=2,K89-J89,"")</f>
        <v>-0.43538014631070965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IF(1572512&gt;0,100*214084/1572512,"")</f>
        <v>13.614140941372785</v>
      </c>
      <c r="S89" s="1">
        <f>IF(COUNT(Q89:R89)=2,R89-Q89,"")</f>
        <v>-12.686721992860146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IF(1238279&gt;0,100*183191/1238279,"")</f>
        <v>14.794000382789338</v>
      </c>
      <c r="E90" s="1">
        <f>IF(COUNT(C90:D90)=2,D90-C90,"")</f>
        <v>-26.163327809175723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IF(1805685&gt;0,100*133438/1805685,"")</f>
        <v>7.389882509961594</v>
      </c>
      <c r="L90" s="1">
        <f>IF(COUNT(J90:K90)=2,K90-J90,"")</f>
        <v>-35.97968276868737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IF(1409178&gt;0,100*170794/1409178,"")</f>
        <v>12.120115414802104</v>
      </c>
      <c r="S90" s="1">
        <f>IF(COUNT(Q90:R90)=2,R90-Q90,"")</f>
        <v>-38.868085459417955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IF(450561&gt;0,100*9457/450561,"")</f>
        <v>2.098938878420458</v>
      </c>
      <c r="E91" s="1">
        <f>IF(COUNT(C91:D91)=2,D91-C91,"")</f>
        <v>-1.591920782894217</v>
      </c>
      <c r="H91" s="1">
        <v>17</v>
      </c>
      <c r="I91" s="1">
        <v>16</v>
      </c>
      <c r="J91" s="1">
        <f>IF(88900&gt;0,100*3265/88900,"")</f>
        <v>3.6726659167604048</v>
      </c>
      <c r="K91" s="1">
        <f>IF(2081615&gt;0,100*513974/2081615,"")</f>
        <v>24.691117233494186</v>
      </c>
      <c r="L91" s="1">
        <f>IF(COUNT(J91:K91)=2,K91-J91,"")</f>
        <v>21.01845131673378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IF(1220742&gt;0,100*195441/1220742,"")</f>
        <v>16.010016858599116</v>
      </c>
      <c r="S91" s="1">
        <f>IF(COUNT(Q91:R91)=2,R91-Q91,"")</f>
        <v>-25.91139110726838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IF(498167&gt;0,100*2777/498167,"")</f>
        <v>0.5574435881943204</v>
      </c>
      <c r="E92" s="1">
        <f>IF(COUNT(C92:D92)=2,D92-C92,"")</f>
        <v>-21.55000228668929</v>
      </c>
      <c r="H92" s="1">
        <v>18</v>
      </c>
      <c r="I92" s="1">
        <v>17</v>
      </c>
      <c r="J92" s="4"/>
      <c r="K92" s="1">
        <f>IF(17515&gt;0,100*315/17515,"")</f>
        <v>1.7984584641735655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IF(1000474&gt;0,100*52024/1000474,"")</f>
        <v>5.199935230700648</v>
      </c>
      <c r="S92" s="1">
        <f>IF(COUNT(Q92:R92)=2,R92-Q92,"")</f>
        <v>-39.90175472520532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IF(1554680&gt;0,100*323859/1554680,"")</f>
        <v>20.831232150667663</v>
      </c>
      <c r="E93" s="1">
        <f>IF(COUNT(C93:D93)=2,D93-C93,"")</f>
        <v>-25.50492944413448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IF(802085&gt;0,100*87300/802085,"")</f>
        <v>10.884133227775111</v>
      </c>
      <c r="L93" s="1">
        <f>IF(COUNT(J93:K93)=2,K93-J93,"")</f>
        <v>-26.039140265083994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IF(620903&gt;0,100*21391/620903,"")</f>
        <v>3.445143605361868</v>
      </c>
      <c r="S93" s="1">
        <f>IF(COUNT(Q93:R93)=2,R93-Q93,"")</f>
        <v>-34.38270958990089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IF(105986&gt;0,100*18601/105986,"")</f>
        <v>17.550431189024966</v>
      </c>
      <c r="E94" s="1">
        <f>IF(COUNT(C94:D94)=2,D94-C94,"")</f>
        <v>-24.128946490948305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IF(1016290&gt;0,100*121345/1016290,"")</f>
        <v>11.939997441675112</v>
      </c>
      <c r="L94" s="1">
        <f>IF(COUNT(J94:K94)=2,K94-J94,"")</f>
        <v>-29.855844702255553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IF(907392&gt;0,100*106140/907392,"")</f>
        <v>11.697259839187474</v>
      </c>
      <c r="S94" s="1">
        <f>IF(COUNT(Q94:R94)=2,R94-Q94,"")</f>
        <v>-34.48643175331917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IF(1345065&gt;0,100*266020/1345065,"")</f>
        <v>19.777482872574932</v>
      </c>
      <c r="E95" s="1">
        <f>IF(COUNT(C95:D95)=2,D95-C95,"")</f>
        <v>-30.039591312670343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IF(890474&gt;0,100*67821/890474,"")</f>
        <v>7.6162807673216735</v>
      </c>
      <c r="L95" s="1">
        <f>IF(COUNT(J95:K95)=2,K95-J95,"")</f>
        <v>-42.10660773782653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IF(906058&gt;0,100*89683/906058,"")</f>
        <v>9.898152215421089</v>
      </c>
      <c r="S95" s="1">
        <f>IF(COUNT(Q95:R95)=2,R95-Q95,"")</f>
        <v>-36.86111049897805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IF(1347611&gt;0,100*268874/1347611,"")</f>
        <v>19.951900066117002</v>
      </c>
      <c r="E96" s="1">
        <f>IF(COUNT(C96:D96)=2,D96-C96,"")</f>
        <v>-6.662793416797342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IF(1666239&gt;0,100*346391/1666239,"")</f>
        <v>20.788794404644232</v>
      </c>
      <c r="L96" s="1">
        <f>IF(COUNT(J96:K96)=2,K96-J96,"")</f>
        <v>-24.8496182229276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IF(1582311&gt;0,100*279904/1582311,"")</f>
        <v>17.689569243972898</v>
      </c>
      <c r="S96" s="1">
        <f>IF(COUNT(Q96:R96)=2,R96-Q96,"")</f>
        <v>-15.470302401011061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IF(758282&gt;0,100*1758/758282,"")</f>
        <v>0.23183986959996414</v>
      </c>
      <c r="E97" s="1">
        <f>IF(COUNT(C97:D97)=2,D97-C97,"")</f>
        <v>0.11114470478100688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IF(1759933&gt;0,100*349564/1759933,"")</f>
        <v>19.86234703252908</v>
      </c>
      <c r="L97" s="1">
        <f>IF(COUNT(J97:K97)=2,K97-J97,"")</f>
        <v>-29.480736697607703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IF(1508945&gt;0,100*265352/1508945,"")</f>
        <v>17.585266527275678</v>
      </c>
      <c r="S97" s="1">
        <f>IF(COUNT(Q97:R97)=2,R97-Q97,"")</f>
        <v>-25.00205081191661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IF(863867&gt;0,100*54793/863867,"")</f>
        <v>6.342758781154969</v>
      </c>
      <c r="E98" s="1">
        <f>IF(COUNT(C98:D98)=2,D98-C98,"")</f>
        <v>-33.33084987000838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IF(1111007&gt;0,100*109020/1111007,"")</f>
        <v>9.812719451812635</v>
      </c>
      <c r="L98" s="1">
        <f>IF(COUNT(J98:K98)=2,K98-J98,"")</f>
        <v>-33.42553487517118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IF(1554716&gt;0,100*300752/1554716,"")</f>
        <v>19.344497644585893</v>
      </c>
      <c r="S98" s="1">
        <f>IF(COUNT(Q98:R98)=2,R98-Q98,"")</f>
        <v>-21.44224246343296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IF(1578905&gt;0,100*358389/1578905,"")</f>
        <v>22.698579078538607</v>
      </c>
      <c r="E99" s="1">
        <f>IF(COUNT(C99:D99)=2,D99-C99,"")</f>
        <v>-18.74489020257529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IF(1291259&gt;0,100*223194/1291259,"")</f>
        <v>17.284990850015372</v>
      </c>
      <c r="L99" s="1">
        <f>IF(COUNT(J99:K99)=2,K99-J99,"")</f>
        <v>-32.97865363584586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IF(1456496&gt;0,100*191262/1456496,"")</f>
        <v>13.131652953389505</v>
      </c>
      <c r="S99" s="1">
        <f>IF(COUNT(Q99:R99)=2,R99-Q99,"")</f>
        <v>-24.253718469066193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IF(23931&gt;0,100*6167/23931,"")</f>
        <v>25.76992185867703</v>
      </c>
      <c r="E100" s="1">
        <f>IF(COUNT(C100:D100)=2,D100-C100,"")</f>
        <v>-20.344613567617614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IF(666664&gt;0,100*57675/666664,"")</f>
        <v>8.65128460513842</v>
      </c>
      <c r="L100" s="1">
        <f>IF(COUNT(J100:K100)=2,K100-J100,"")</f>
        <v>2.814736139106042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IF(1288805&gt;0,100*156542/1288805,"")</f>
        <v>12.146290555980151</v>
      </c>
      <c r="S100" s="1">
        <f>IF(COUNT(Q100:R100)=2,R100-Q100,"")</f>
        <v>-41.659696570493544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IF(1516328&gt;0,100*295758/1516328,"")</f>
        <v>19.504882848565746</v>
      </c>
      <c r="E101" s="1">
        <f>IF(COUNT(C101:D101)=2,D101-C101,"")</f>
        <v>-31.46544436984865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IF(1370974&gt;0,100*180497/1370974,"")</f>
        <v>13.165603432304332</v>
      </c>
      <c r="L101" s="1">
        <f>IF(COUNT(J101:K101)=2,K101-J101,"")</f>
        <v>-12.19937890799241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IF(1578880&gt;0,100*287927/1578880,"")</f>
        <v>18.236154742602352</v>
      </c>
      <c r="S101" s="1">
        <f>IF(COUNT(Q101:R101)=2,R101-Q101,"")</f>
        <v>-4.308497777245616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IF(763658&gt;0,100*4587/763658,"")</f>
        <v>0.6006615526845787</v>
      </c>
      <c r="E102" s="1">
        <f>IF(COUNT(C102:D102)=2,D102-C102,"")</f>
        <v>0.28231967309617023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IF(1555427&gt;0,100*217764/1555427,"")</f>
        <v>14.000271308135964</v>
      </c>
      <c r="L102" s="1">
        <f>IF(COUNT(J102:K102)=2,K102-J102,"")</f>
        <v>-16.34477846011873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IF(1794800&gt;0,100*333958/1794800,"")</f>
        <v>18.606975707599734</v>
      </c>
      <c r="S102" s="1">
        <f>IF(COUNT(Q102:R102)=2,R102-Q102,"")</f>
        <v>-21.588102403209074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IF(1780123&gt;0,100*375819/1780123,"")</f>
        <v>21.11196810557473</v>
      </c>
      <c r="E103" s="1">
        <f>IF(COUNT(C103:D103)=2,D103-C103,"")</f>
        <v>-25.830666460556724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IF(1019470&gt;0,100*116877/1019470,"")</f>
        <v>11.464486448841065</v>
      </c>
      <c r="L103" s="1">
        <f>IF(COUNT(J103:K103)=2,K103-J103,"")</f>
        <v>-37.39719007952925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IF(1654102&gt;0,100*247805/1654102,"")</f>
        <v>14.9812405764578</v>
      </c>
      <c r="S103" s="1">
        <f>IF(COUNT(Q103:R103)=2,R103-Q103,"")</f>
        <v>-28.78399720884191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IF(1082840&gt;0,100*151495/1082840,"")</f>
        <v>13.99052491596173</v>
      </c>
      <c r="E104" s="1">
        <f>IF(COUNT(C104:D104)=2,D104-C104,"")</f>
        <v>-33.091101770576834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IF(806873&gt;0,100*33157/806873,"")</f>
        <v>4.109320797696787</v>
      </c>
      <c r="L104" s="1">
        <f>IF(COUNT(J104:K104)=2,K104-J104,"")</f>
        <v>-27.866987330732677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IF(931434&gt;0,100*25204/931434,"")</f>
        <v>2.705935149457718</v>
      </c>
      <c r="S104" s="1">
        <f>IF(COUNT(Q104:R104)=2,R104-Q104,"")</f>
        <v>1.3464157443674587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IF(426597&gt;0,100*2617/426597,"")</f>
        <v>0.6134595414407509</v>
      </c>
      <c r="E105" s="1">
        <f>IF(COUNT(C105:D105)=2,D105-C105,"")</f>
        <v>-26.5391977601133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IF(1244252&gt;0,100*198562/1244252,"")</f>
        <v>15.95834284373262</v>
      </c>
      <c r="L105" s="1">
        <f>IF(COUNT(J105:K105)=2,K105-J105,"")</f>
        <v>-8.827134183184228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IF(1191284&gt;0,100*143937/1191284,"")</f>
        <v>12.082509292494485</v>
      </c>
      <c r="S105" s="1">
        <f>IF(COUNT(Q105:R105)=2,R105-Q105,"")</f>
        <v>-33.10497904451406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12.721310224036522</v>
      </c>
      <c r="E106" s="1">
        <f>IF(COUNT(E75:E105)&gt;0,AVERAGE(E75:E105),"")</f>
        <v>-21.06548180417649</v>
      </c>
      <c r="H106" s="2" t="s">
        <v>6</v>
      </c>
      <c r="I106" s="1"/>
      <c r="J106" s="1">
        <f>IF(COUNT(J75:J105)&gt;0,AVERAGE(J75:J105),"")</f>
        <v>36.69157069983473</v>
      </c>
      <c r="K106" s="1">
        <f>IF(COUNT(K75:K105)&gt;0,AVERAGE(K75:K105),"")</f>
        <v>11.222283072535213</v>
      </c>
      <c r="L106" s="1">
        <f>IF(COUNT(L75:L105)&gt;0,AVERAGE(L75:L105),"")</f>
        <v>-25.15516014035411</v>
      </c>
      <c r="O106" s="2" t="s">
        <v>6</v>
      </c>
      <c r="P106" s="1"/>
      <c r="Q106" s="1">
        <f>IF(COUNT(Q75:Q105)&gt;0,AVERAGE(Q75:Q105),"")</f>
        <v>34.096955178849896</v>
      </c>
      <c r="R106" s="1">
        <f>IF(COUNT(R75:R105)&gt;0,AVERAGE(R75:R105),"")</f>
        <v>11.347781473622362</v>
      </c>
      <c r="S106" s="1">
        <f>IF(COUNT(S75:S105)&gt;0,AVERAGE(S75:S105),"")</f>
        <v>-22.749173705227538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IF(569611&gt;0,100*62984/569611,"")</f>
        <v>11.057370731955668</v>
      </c>
      <c r="E3" s="1">
        <f>IF(COUNT(C3:D3)=2,D3-C3,"")</f>
        <v>-17.372037553197078</v>
      </c>
      <c r="H3" s="1">
        <v>1</v>
      </c>
      <c r="I3" s="1">
        <v>0</v>
      </c>
      <c r="J3" s="1">
        <f>IF(1145550&gt;0,100*291815/1145550,"")</f>
        <v>25.47378988258915</v>
      </c>
      <c r="K3" s="1">
        <f>IF(874296&gt;0,100*184795/874296,"")</f>
        <v>21.136434342602506</v>
      </c>
      <c r="L3" s="1">
        <f>IF(COUNT(J3:K3)=2,K3-J3,"")</f>
        <v>-4.337355539986643</v>
      </c>
      <c r="O3" s="1">
        <v>1</v>
      </c>
      <c r="P3" s="1">
        <v>0</v>
      </c>
      <c r="Q3" s="1">
        <f>IF(1052174&gt;0,100*332764/1052174,"")</f>
        <v>31.626327964766283</v>
      </c>
      <c r="R3" s="1">
        <f>IF(695547&gt;0,100*145365/695547,"")</f>
        <v>20.899378474783155</v>
      </c>
      <c r="S3" s="1">
        <f>IF(COUNT(Q3:R3)=2,R3-Q3,"")</f>
        <v>-10.726949489983127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IF(1551095&gt;0,100*367160/1551095,"")</f>
        <v>23.671019505575092</v>
      </c>
      <c r="E4" s="1">
        <f>IF(COUNT(C4:D4)=2,D4-C4,"")</f>
        <v>-11.504730034791347</v>
      </c>
      <c r="H4" s="1">
        <v>2</v>
      </c>
      <c r="I4" s="1">
        <v>1</v>
      </c>
      <c r="J4" s="1">
        <f>IF(783729&gt;0,100*130334/783729,"")</f>
        <v>16.629983068126865</v>
      </c>
      <c r="K4" s="1">
        <f>IF(977100&gt;0,100*220728/977100,"")</f>
        <v>22.59011360147375</v>
      </c>
      <c r="L4" s="1">
        <f>IF(COUNT(J4:K4)=2,K4-J4,"")</f>
        <v>5.960130533346884</v>
      </c>
      <c r="O4" s="1">
        <v>2</v>
      </c>
      <c r="P4" s="1">
        <v>1</v>
      </c>
      <c r="Q4" s="1">
        <f>IF(1118920&gt;0,100*356409/1118920,"")</f>
        <v>31.852947485074893</v>
      </c>
      <c r="R4" s="1">
        <f>IF(1132407&gt;0,100*275634/1132407,"")</f>
        <v>24.340541872312695</v>
      </c>
      <c r="S4" s="1">
        <f>IF(COUNT(Q4:R4)=2,R4-Q4,"")</f>
        <v>-7.512405612762198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IF(1062737&gt;0,100*314056/1062737,"")</f>
        <v>29.551620015111922</v>
      </c>
      <c r="E5" s="1">
        <f>IF(COUNT(C5:D5)=2,D5-C5,"")</f>
        <v>-7.932171121831011</v>
      </c>
      <c r="H5" s="1">
        <v>3</v>
      </c>
      <c r="I5" s="1">
        <v>2</v>
      </c>
      <c r="J5" s="1">
        <f>IF(1441835&gt;0,100*147851/1441835,"")</f>
        <v>10.25436336335295</v>
      </c>
      <c r="K5" s="1">
        <f>IF(874969&gt;0,100*242691/874969,"")</f>
        <v>27.73709697143556</v>
      </c>
      <c r="L5" s="1">
        <f>IF(COUNT(J5:K5)=2,K5-J5,"")</f>
        <v>17.48273360808261</v>
      </c>
      <c r="O5" s="1">
        <v>3</v>
      </c>
      <c r="P5" s="1">
        <v>2</v>
      </c>
      <c r="Q5" s="1">
        <f>IF(1270809&gt;0,100*397332/1270809,"")</f>
        <v>31.266067520768267</v>
      </c>
      <c r="R5" s="1">
        <f>IF(1012231&gt;0,100*253884/1012231,"")</f>
        <v>25.08162662475265</v>
      </c>
      <c r="S5" s="1">
        <f>IF(COUNT(Q5:R5)=2,R5-Q5,"")</f>
        <v>-6.184440896015616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IF(954735&gt;0,100*234285/954735,"")</f>
        <v>24.539270059231097</v>
      </c>
      <c r="E6" s="1">
        <f>IF(COUNT(C6:D6)=2,D6-C6,"")</f>
        <v>-12.627373078548292</v>
      </c>
      <c r="H6" s="1">
        <v>4</v>
      </c>
      <c r="I6" s="1">
        <v>3</v>
      </c>
      <c r="J6" s="1">
        <f>IF(784417&gt;0,100*123870/784417,"")</f>
        <v>15.791345674558302</v>
      </c>
      <c r="K6" s="1">
        <f>IF(715752&gt;0,100*116584/715752,"")</f>
        <v>16.288323329868447</v>
      </c>
      <c r="L6" s="1">
        <f>IF(COUNT(J6:K6)=2,K6-J6,"")</f>
        <v>0.49697765531014504</v>
      </c>
      <c r="O6" s="1">
        <v>4</v>
      </c>
      <c r="P6" s="1">
        <v>3</v>
      </c>
      <c r="Q6" s="1">
        <f>IF(519550&gt;0,100*16403/519550,"")</f>
        <v>3.1571552304879225</v>
      </c>
      <c r="R6" s="1">
        <f>IF(785859&gt;0,100*95685/785859,"")</f>
        <v>12.175848339205888</v>
      </c>
      <c r="S6" s="1">
        <f>IF(COUNT(Q6:R6)=2,R6-Q6,"")</f>
        <v>9.018693108717965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IF(792041&gt;0,100*152843/792041,"")</f>
        <v>19.297359606384013</v>
      </c>
      <c r="E7" s="1">
        <f>IF(COUNT(C7:D7)=2,D7-C7,"")</f>
        <v>-16.333363277464436</v>
      </c>
      <c r="H7" s="1">
        <v>5</v>
      </c>
      <c r="I7" s="1">
        <v>4</v>
      </c>
      <c r="J7" s="1">
        <f>IF(1148710&gt;0,100*342477/1148710,"")</f>
        <v>29.814052284736793</v>
      </c>
      <c r="K7" s="1">
        <f>IF(1168911&gt;0,100*326142/1168911,"")</f>
        <v>27.90135433749875</v>
      </c>
      <c r="L7" s="1">
        <f>IF(COUNT(J7:K7)=2,K7-J7,"")</f>
        <v>-1.912697947238044</v>
      </c>
      <c r="O7" s="1">
        <v>5</v>
      </c>
      <c r="P7" s="1">
        <v>4</v>
      </c>
      <c r="Q7" s="1">
        <f>IF(1286267&gt;0,100*497044/1286267,"")</f>
        <v>38.64236585405674</v>
      </c>
      <c r="R7" s="1">
        <f>IF(1292833&gt;0,100*388005/1292833,"")</f>
        <v>30.011996909113552</v>
      </c>
      <c r="S7" s="1">
        <f>IF(COUNT(Q7:R7)=2,R7-Q7,"")</f>
        <v>-8.63036894494319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IF(687280&gt;0,100*93725/687280,"")</f>
        <v>13.637091141892679</v>
      </c>
      <c r="E8" s="1">
        <f>IF(COUNT(C8:D8)=2,D8-C8,"")</f>
        <v>-13.494293510307859</v>
      </c>
      <c r="H8" s="1">
        <v>6</v>
      </c>
      <c r="I8" s="1">
        <v>5</v>
      </c>
      <c r="J8" s="1">
        <f>IF(1039225&gt;0,100*246415/1039225,"")</f>
        <v>23.71141956746614</v>
      </c>
      <c r="K8" s="1">
        <f>IF(1199744&gt;0,100*314267/1199744,"")</f>
        <v>26.194504827696576</v>
      </c>
      <c r="L8" s="1">
        <f>IF(COUNT(J8:K8)=2,K8-J8,"")</f>
        <v>2.4830852602304354</v>
      </c>
      <c r="O8" s="1">
        <v>6</v>
      </c>
      <c r="P8" s="1">
        <v>5</v>
      </c>
      <c r="Q8" s="1">
        <f>IF(1125005&gt;0,100*295084/1125005,"")</f>
        <v>26.229572313011943</v>
      </c>
      <c r="R8" s="1">
        <f>IF(1176470&gt;0,100*295869/1176470,"")</f>
        <v>25.14887757443879</v>
      </c>
      <c r="S8" s="1">
        <f>IF(COUNT(Q8:R8)=2,R8-Q8,"")</f>
        <v>-1.080694738573154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IF(1090920&gt;0,100*292002/1090920,"")</f>
        <v>26.766582334176658</v>
      </c>
      <c r="E9" s="1">
        <f>IF(COUNT(C9:D9)=2,D9-C9,"")</f>
        <v>-10.177302941173895</v>
      </c>
      <c r="H9" s="1">
        <v>7</v>
      </c>
      <c r="I9" s="1">
        <v>6</v>
      </c>
      <c r="J9" s="1">
        <f>IF(356727&gt;0,100*3261/356727,"")</f>
        <v>0.9141444297740289</v>
      </c>
      <c r="K9" s="1">
        <f>IF(356537&gt;0,100*3185/356537,"")</f>
        <v>0.8933154202789613</v>
      </c>
      <c r="L9" s="1">
        <f>IF(COUNT(J9:K9)=2,K9-J9,"")</f>
        <v>-0.020829009495067607</v>
      </c>
      <c r="O9" s="1">
        <v>7</v>
      </c>
      <c r="P9" s="1">
        <v>6</v>
      </c>
      <c r="Q9" s="1">
        <f>IF(851852&gt;0,100*240424/851852,"")</f>
        <v>28.223682048055295</v>
      </c>
      <c r="R9" s="1">
        <f>IF(674015&gt;0,100*48365/674015,"")</f>
        <v>7.175656328123261</v>
      </c>
      <c r="S9" s="1">
        <f>IF(COUNT(Q9:R9)=2,R9-Q9,"")</f>
        <v>-21.048025719932035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IF(1178971&gt;0,100*398133/1178971,"")</f>
        <v>33.76953292320167</v>
      </c>
      <c r="E10" s="1">
        <f>IF(COUNT(C10:D10)=2,D10-C10,"")</f>
        <v>-7.666483434268905</v>
      </c>
      <c r="H10" s="1">
        <v>8</v>
      </c>
      <c r="I10" s="1">
        <v>7</v>
      </c>
      <c r="J10" s="1">
        <f>IF(278589&gt;0,100*275/278589,"")</f>
        <v>0.09871172228623527</v>
      </c>
      <c r="K10" s="1">
        <f>IF(278589&gt;0,100*275/278589,"")</f>
        <v>0.09871172228623527</v>
      </c>
      <c r="L10" s="1">
        <f>IF(COUNT(J10:K10)=2,K10-J10,"")</f>
        <v>0.0</v>
      </c>
      <c r="O10" s="1">
        <v>8</v>
      </c>
      <c r="P10" s="1">
        <v>7</v>
      </c>
      <c r="Q10" s="1">
        <f>IF(313581&gt;0,100*3447/313581,"")</f>
        <v>1.09923751757919</v>
      </c>
      <c r="R10" s="1">
        <f>IF(313581&gt;0,100*3447/313581,"")</f>
        <v>1.09923751757919</v>
      </c>
      <c r="S10" s="1">
        <f>IF(COUNT(Q10:R10)=2,R10-Q10,"")</f>
        <v>0.0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IF(1130789&gt;0,100*367535/1130789,"")</f>
        <v>32.50252699663686</v>
      </c>
      <c r="E11" s="1">
        <f>IF(COUNT(C11:D11)=2,D11-C11,"")</f>
        <v>-3.7414139121223116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IF(1293630&gt;0,100*387232/1293630,"")</f>
        <v>29.933752309392947</v>
      </c>
      <c r="L11" s="1">
        <f>IF(COUNT(J11:K11)=2,K11-J11,"")</f>
        <v>0.2299724509338077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IF(655782&gt;0,100*145199/655782,"")</f>
        <v>22.14135185168242</v>
      </c>
      <c r="S11" s="1">
        <f>IF(COUNT(Q11:R11)=2,R11-Q11,"")</f>
        <v>-7.858593412381978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IF(409226&gt;0,100*9379/409226,"")</f>
        <v>2.2918876122240524</v>
      </c>
      <c r="E12" s="1">
        <f>IF(COUNT(C12:D12)=2,D12-C12,"")</f>
        <v>-29.18030619609693</v>
      </c>
      <c r="H12" s="1">
        <v>10</v>
      </c>
      <c r="I12" s="1">
        <v>9</v>
      </c>
      <c r="J12" s="1">
        <f>IF(747366&gt;0,100*179400/747366,"")</f>
        <v>24.00430311253121</v>
      </c>
      <c r="K12" s="1">
        <f>IF(562282&gt;0,100*50182/562282,"")</f>
        <v>8.924703262775617</v>
      </c>
      <c r="L12" s="1">
        <f>IF(COUNT(J12:K12)=2,K12-J12,"")</f>
        <v>-15.079599849755594</v>
      </c>
      <c r="O12" s="1">
        <v>10</v>
      </c>
      <c r="P12" s="1">
        <v>9</v>
      </c>
      <c r="Q12" s="1">
        <f>IF(738636&gt;0,100*147882/738636,"")</f>
        <v>20.0209575487791</v>
      </c>
      <c r="R12" s="1">
        <f>IF(845877&gt;0,100*219720/845877,"")</f>
        <v>25.975407772051966</v>
      </c>
      <c r="S12" s="1">
        <f>IF(COUNT(Q12:R12)=2,R12-Q12,"")</f>
        <v>5.954450223272865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IF(1169378&gt;0,100*371802/1169378,"")</f>
        <v>31.79485162197339</v>
      </c>
      <c r="E13" s="1">
        <f>IF(COUNT(C13:D13)=2,D13-C13,"")</f>
        <v>3.0455198215325616</v>
      </c>
      <c r="H13" s="1">
        <v>11</v>
      </c>
      <c r="I13" s="1">
        <v>10</v>
      </c>
      <c r="J13" s="1">
        <f>IF(602395&gt;0,100*29717/602395,"")</f>
        <v>4.933141875347571</v>
      </c>
      <c r="K13" s="1">
        <f>IF(868894&gt;0,100*153779/868894,"")</f>
        <v>17.698246276300676</v>
      </c>
      <c r="L13" s="1">
        <f>IF(COUNT(J13:K13)=2,K13-J13,"")</f>
        <v>12.765104400953105</v>
      </c>
      <c r="O13" s="1">
        <v>11</v>
      </c>
      <c r="P13" s="1">
        <v>10</v>
      </c>
      <c r="Q13" s="1">
        <f>IF(540292&gt;0,100*4137/540292,"")</f>
        <v>0.7656970675116419</v>
      </c>
      <c r="R13" s="1">
        <f>IF(543354&gt;0,100*4419/543354,"")</f>
        <v>0.8132819487847701</v>
      </c>
      <c r="S13" s="1">
        <f>IF(COUNT(Q13:R13)=2,R13-Q13,"")</f>
        <v>0.04758488127312821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IF(1186916&gt;0,100*389444/1186916,"")</f>
        <v>32.811420521755544</v>
      </c>
      <c r="E14" s="1">
        <f>IF(COUNT(C14:D14)=2,D14-C14,"")</f>
        <v>-1.6920057520065583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IF(508876&gt;0,100*7709/508876,"")</f>
        <v>1.5149073644659996</v>
      </c>
      <c r="L14" s="1">
        <f>IF(COUNT(J14:K14)=2,K14-J14,"")</f>
        <v>-1.8079009457373578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IF(1115354&gt;0,100*286979/1115354,"")</f>
        <v>25.729857964377228</v>
      </c>
      <c r="S14" s="1">
        <f>IF(COUNT(Q14:R14)=2,R14-Q14,"")</f>
        <v>-10.633349232343878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IF(737029&gt;0,100*104501/737029,"")</f>
        <v>14.178682249952173</v>
      </c>
      <c r="E15" s="1">
        <f>IF(COUNT(C15:D15)=2,D15-C15,"")</f>
        <v>-18.06450308512698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IF(1051696&gt;0,100*280474/1051696,"")</f>
        <v>26.668733170041534</v>
      </c>
      <c r="L15" s="1">
        <f>IF(COUNT(J15:K15)=2,K15-J15,"")</f>
        <v>-10.557615111972979</v>
      </c>
      <c r="O15" s="1">
        <v>13</v>
      </c>
      <c r="P15" s="1">
        <v>12</v>
      </c>
      <c r="Q15" s="1">
        <f>IF(521892&gt;0,100*47266/521892,"")</f>
        <v>9.0566630643888</v>
      </c>
      <c r="R15" s="1">
        <f>IF(510091&gt;0,100*35860/510091,"")</f>
        <v>7.03011815538796</v>
      </c>
      <c r="S15" s="1">
        <f>IF(COUNT(Q15:R15)=2,R15-Q15,"")</f>
        <v>-2.0265449090008403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IF(402866&gt;0,100*39418/402866,"")</f>
        <v>9.78439481117791</v>
      </c>
      <c r="E16" s="1">
        <f>IF(COUNT(C16:D16)=2,D16-C16,"")</f>
        <v>-12.904670651544828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IF(853576&gt;0,100*197379/853576,"")</f>
        <v>23.123775738774285</v>
      </c>
      <c r="L16" s="1">
        <f>IF(COUNT(J16:K16)=2,K16-J16,"")</f>
        <v>0.9536539580625991</v>
      </c>
      <c r="O16" s="1">
        <v>14</v>
      </c>
      <c r="P16" s="1">
        <v>13</v>
      </c>
      <c r="Q16" s="1">
        <f>IF(385878&gt;0,100*7402/385878,"")</f>
        <v>1.9182228580017517</v>
      </c>
      <c r="R16" s="1">
        <f>IF(368545&gt;0,100*6843/368545,"")</f>
        <v>1.8567610468192486</v>
      </c>
      <c r="S16" s="1">
        <f>IF(COUNT(Q16:R16)=2,R16-Q16,"")</f>
        <v>-0.06146181118250316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IF(1036658&gt;0,100*276853/1036658,"")</f>
        <v>26.706300438524565</v>
      </c>
      <c r="E17" s="1">
        <f>IF(COUNT(C17:D17)=2,D17-C17,"")</f>
        <v>-6.313855940804899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IF(1224679&gt;0,100*357523/1224679,"")</f>
        <v>29.193200830584995</v>
      </c>
      <c r="L17" s="1">
        <f>IF(COUNT(J17:K17)=2,K17-J17,"")</f>
        <v>-9.58614917395985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IF(1026410&gt;0,100*236918/1026410,"")</f>
        <v>23.082199121208873</v>
      </c>
      <c r="S17" s="1">
        <f>IF(COUNT(Q17:R17)=2,R17-Q17,"")</f>
        <v>-9.595203687023044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IF(1214075&gt;0,100*392347/1214075,"")</f>
        <v>32.31653728146943</v>
      </c>
      <c r="E18" s="1">
        <f>IF(COUNT(C18:D18)=2,D18-C18,"")</f>
        <v>-2.116735986884514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IF(726501&gt;0,100*132858/726501,"")</f>
        <v>18.28738019631081</v>
      </c>
      <c r="L18" s="1">
        <f>IF(COUNT(J18:K18)=2,K18-J18,"")</f>
        <v>-11.795865647916408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IF(759279&gt;0,100*143778/759279,"")</f>
        <v>18.936122294966673</v>
      </c>
      <c r="S18" s="1">
        <f>IF(COUNT(Q18:R18)=2,R18-Q18,"")</f>
        <v>-14.331900781138067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IF(331896&gt;0,100*7793/331896,"")</f>
        <v>2.348024682430641</v>
      </c>
      <c r="E19" s="1">
        <f>IF(COUNT(C19:D19)=2,D19-C19,"")</f>
        <v>-6.75202960811961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IF(1201182&gt;0,100*327844/1201182,"")</f>
        <v>27.293449285786835</v>
      </c>
      <c r="L19" s="1">
        <f>IF(COUNT(J19:K19)=2,K19-J19,"")</f>
        <v>-10.081315188508874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IF(1092284&gt;0,100*282714/1092284,"")</f>
        <v>25.882829007840453</v>
      </c>
      <c r="S19" s="1">
        <f>IF(COUNT(Q19:R19)=2,R19-Q19,"")</f>
        <v>4.63148124279865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IF(318434&gt;0,100*2176/318434,"")</f>
        <v>0.6833441152640736</v>
      </c>
      <c r="E20" s="1">
        <f>IF(COUNT(C20:D20)=2,D20-C20,"")</f>
        <v>0.0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IF(716678&gt;0,100*112437/716678,"")</f>
        <v>15.688635621576218</v>
      </c>
      <c r="L20" s="1">
        <f>IF(COUNT(J20:K20)=2,K20-J20,"")</f>
        <v>-9.576215508523575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IF(627254&gt;0,100*81796/627254,"")</f>
        <v>13.040331349022884</v>
      </c>
      <c r="S20" s="1">
        <f>IF(COUNT(Q20:R20)=2,R20-Q20,"")</f>
        <v>-16.42230274603059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IF(1263000&gt;0,100*404091/1263000,"")</f>
        <v>31.994536817102137</v>
      </c>
      <c r="E21" s="1">
        <f>IF(COUNT(C21:D21)=2,D21-C21,"")</f>
        <v>-3.4678670395598274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IF(686672&gt;0,100*115792/686672,"")</f>
        <v>16.862781648297876</v>
      </c>
      <c r="L21" s="1">
        <f>IF(COUNT(J21:K21)=2,K21-J21,"")</f>
        <v>1.3982105810366896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IF(668238&gt;0,100*95038/668238,"")</f>
        <v>14.222178325686357</v>
      </c>
      <c r="S21" s="1">
        <f>IF(COUNT(Q21:R21)=2,R21-Q21,"")</f>
        <v>-5.075781703614638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IF(828439&gt;0,100*177192/828439,"")</f>
        <v>21.388659877190715</v>
      </c>
      <c r="E22" s="1">
        <f>IF(COUNT(C22:D22)=2,D22-C22,"")</f>
        <v>-11.40690647754089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IF(621925&gt;0,100*138928/621925,"")</f>
        <v>22.338384853479116</v>
      </c>
      <c r="L22" s="1">
        <f>IF(COUNT(J22:K22)=2,K22-J22,"")</f>
        <v>11.099395223295582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IF(847472&gt;0,100*199574/847472,"")</f>
        <v>23.549332603319048</v>
      </c>
      <c r="S22" s="1">
        <f>IF(COUNT(Q22:R22)=2,R22-Q22,"")</f>
        <v>-5.518847582039097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IF(844126&gt;0,100*194466/844126,"")</f>
        <v>23.03755600467229</v>
      </c>
      <c r="E23" s="1">
        <f>IF(COUNT(C23:D23)=2,D23-C23,"")</f>
        <v>-1.4104487048612881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IF(824375&gt;0,100*209893/824375,"")</f>
        <v>25.460864291129642</v>
      </c>
      <c r="L23" s="1">
        <f>IF(COUNT(J23:K23)=2,K23-J23,"")</f>
        <v>-12.938207258335712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IF(989421&gt;0,100*281847/989421,"")</f>
        <v>28.48605396489462</v>
      </c>
      <c r="S23" s="1">
        <f>IF(COUNT(Q23:R23)=2,R23-Q23,"")</f>
        <v>5.064782824131001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IF(1166884&gt;0,100*355106/1166884,"")</f>
        <v>30.431988098217133</v>
      </c>
      <c r="E24" s="1">
        <f>IF(COUNT(C24:D24)=2,D24-C24,"")</f>
        <v>-3.924976713724142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IF(1255608&gt;0,100*352605/1255608,"")</f>
        <v>28.082411070971194</v>
      </c>
      <c r="L24" s="1">
        <f>IF(COUNT(J24:K24)=2,K24-J24,"")</f>
        <v>-2.7947034845373153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IF(1117844&gt;0,100*297364/1117844,"")</f>
        <v>26.601565155782023</v>
      </c>
      <c r="S24" s="1">
        <f>IF(COUNT(Q24:R24)=2,R24-Q24,"")</f>
        <v>3.463759592190222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IF(261920&gt;0,100*592/261920,"")</f>
        <v>0.22602321319486865</v>
      </c>
      <c r="E25" s="1">
        <f>IF(COUNT(C25:D25)=2,D25-C25,"")</f>
        <v>0.0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IF(801769&gt;0,100*143412/801769,"")</f>
        <v>17.886947487368555</v>
      </c>
      <c r="L25" s="1">
        <f>IF(COUNT(J25:K25)=2,K25-J25,"")</f>
        <v>-0.6278314646066896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IF(944479&gt;0,100*236253/944479,"")</f>
        <v>25.014108307331345</v>
      </c>
      <c r="S25" s="1">
        <f>IF(COUNT(Q25:R25)=2,R25-Q25,"")</f>
        <v>-7.255664746346962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IF(611776&gt;0,100*128532/611776,"")</f>
        <v>21.009650591066013</v>
      </c>
      <c r="E26" s="1">
        <f>IF(COUNT(C26:D26)=2,D26-C26,"")</f>
        <v>-0.2238912213445836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IF(578291&gt;0,100*38530/578291,"")</f>
        <v>6.662735543178089</v>
      </c>
      <c r="L26" s="1">
        <f>IF(COUNT(J26:K26)=2,K26-J26,"")</f>
        <v>-25.990731618628566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IF(770675&gt;0,100*146193/770675,"")</f>
        <v>18.969474811042268</v>
      </c>
      <c r="S26" s="1">
        <f>IF(COUNT(Q26:R26)=2,R26-Q26,"")</f>
        <v>-7.295649504622457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IF(1214572&gt;0,100*382913/1214572,"")</f>
        <v>31.526578910101666</v>
      </c>
      <c r="E27" s="1">
        <f>IF(COUNT(C27:D27)=2,D27-C27,"")</f>
        <v>-5.541262641294207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IF(957901&gt;0,100*179587/957901,"")</f>
        <v>18.747970823707252</v>
      </c>
      <c r="L27" s="1">
        <f>IF(COUNT(J27:K27)=2,K27-J27,"")</f>
        <v>-1.7915041829168388</v>
      </c>
      <c r="O27" s="1">
        <v>25</v>
      </c>
      <c r="P27" s="1">
        <v>24</v>
      </c>
      <c r="Q27" s="1">
        <f>IF(682080&gt;0,100*56444/682080,"")</f>
        <v>8.275275627492377</v>
      </c>
      <c r="R27" s="1">
        <f>IF(678933&gt;0,100*77735/678933,"")</f>
        <v>11.449583390408185</v>
      </c>
      <c r="S27" s="1">
        <f>IF(COUNT(Q27:R27)=2,R27-Q27,"")</f>
        <v>3.1743077629158076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IF(1220697&gt;0,100*377101/1220697,"")</f>
        <v>30.89226892504856</v>
      </c>
      <c r="E28" s="1">
        <f>IF(COUNT(C28:D28)=2,D28-C28,"")</f>
        <v>-9.099537343460629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IF(975569&gt;0,100*270075/975569,"")</f>
        <v>27.68384399258279</v>
      </c>
      <c r="L28" s="1">
        <f>IF(COUNT(J28:K28)=2,K28-J28,"")</f>
        <v>-4.281016206204107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IF(950944&gt;0,100*212545/950944,"")</f>
        <v>22.350948110509137</v>
      </c>
      <c r="S28" s="1">
        <f>IF(COUNT(Q28:R28)=2,R28-Q28,"")</f>
        <v>-9.049351739565825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IF(921105&gt;0,100*231613/921105,"")</f>
        <v>25.145124605772416</v>
      </c>
      <c r="E29" s="1">
        <f>IF(COUNT(C29:D29)=2,D29-C29,"")</f>
        <v>-4.734400166394305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IF(1096675&gt;0,100*313286/1096675,"")</f>
        <v>28.566895388332917</v>
      </c>
      <c r="L29" s="1">
        <f>IF(COUNT(J29:K29)=2,K29-J29,"")</f>
        <v>11.904056984180798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IF(772163&gt;0,100*88658/772163,"")</f>
        <v>11.48177263090824</v>
      </c>
      <c r="S29" s="1">
        <f>IF(COUNT(Q29:R29)=2,R29-Q29,"")</f>
        <v>-28.221888363433607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IF(261142&gt;0,100*191/261142,"")</f>
        <v>0.07314028383025327</v>
      </c>
      <c r="E30" s="1">
        <f>IF(COUNT(C30:D30)=2,D30-C30,"")</f>
        <v>0.0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IF(1012145&gt;0,100*248461/1012145,"")</f>
        <v>24.547964965494074</v>
      </c>
      <c r="L30" s="1">
        <f>IF(COUNT(J30:K30)=2,K30-J30,"")</f>
        <v>-9.123322886696492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IF(743976&gt;0,100*164352/743976,"")</f>
        <v>22.0910351946837</v>
      </c>
      <c r="S30" s="1">
        <f>IF(COUNT(Q30:R30)=2,R30-Q30,"")</f>
        <v>-5.812555858977543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IF(1257626&gt;0,100*400273/1257626,"")</f>
        <v>31.827665776629935</v>
      </c>
      <c r="E31" s="1">
        <f>IF(COUNT(C31:D31)=2,D31-C31,"")</f>
        <v>-4.322326991565397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IF(1194557&gt;0,100*340452/1194557,"")</f>
        <v>28.50027248595086</v>
      </c>
      <c r="L31" s="1">
        <f>IF(COUNT(J31:K31)=2,K31-J31,"")</f>
        <v>-7.895594105960313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IF(1213731&gt;0,100*316574/1213731,"")</f>
        <v>26.0827151980134</v>
      </c>
      <c r="S31" s="1">
        <f>IF(COUNT(Q31:R31)=2,R31-Q31,"")</f>
        <v>-10.801969619682179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IF(1177588&gt;0,100*378047/1177588,"")</f>
        <v>32.103503092762494</v>
      </c>
      <c r="E32" s="1">
        <f>IF(COUNT(C32:D32)=2,D32-C32,"")</f>
        <v>-5.402349188801345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IF(928658&gt;0,100*224189/928658,"")</f>
        <v>24.14118006844285</v>
      </c>
      <c r="L32" s="1">
        <f>IF(COUNT(J32:K32)=2,K32-J32,"")</f>
        <v>-5.642384530083326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IF(1046845&gt;0,100*302969/1046845,"")</f>
        <v>28.941151746438106</v>
      </c>
      <c r="S32" s="1">
        <f>IF(COUNT(Q32:R32)=2,R32-Q32,"")</f>
        <v>3.1064214887300174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IF(510532&gt;0,100*14404/510532,"")</f>
        <v>2.8213706486566954</v>
      </c>
      <c r="E33" s="1">
        <f>IF(COUNT(C33:D33)=2,D33-C33,"")</f>
        <v>1.1849136450950555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IF(997801&gt;0,100*247746/997801,"")</f>
        <v>24.829199409501495</v>
      </c>
      <c r="L33" s="1">
        <f>IF(COUNT(J33:K33)=2,K33-J33,"")</f>
        <v>-4.5536519609585895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IF(1184560&gt;0,100*323778/1184560,"")</f>
        <v>27.333187006145742</v>
      </c>
      <c r="S33" s="1">
        <f>IF(COUNT(Q33:R33)=2,R33-Q33,"")</f>
        <v>-9.612873224571743</v>
      </c>
    </row>
    <row r="34" spans="1:19">
      <c r="A34" s="2" t="s">
        <v>6</v>
      </c>
      <c r="B34" s="1"/>
      <c r="C34" s="1">
        <f>IF(COUNT(C3:C33)&gt;0,AVERAGE(C3:C33),"")</f>
        <v>28.172990083851328</v>
      </c>
      <c r="D34" s="1">
        <f>IF(COUNT(D3:D33)&gt;0,AVERAGE(D3:D33),"")</f>
        <v>20.973738177199444</v>
      </c>
      <c r="E34" s="1">
        <f>IF(COUNT(E3:E33)&gt;0,AVERAGE(E3:E33),"")</f>
        <v>-7.1992519066518845</v>
      </c>
      <c r="H34" s="2" t="s">
        <v>6</v>
      </c>
      <c r="I34" s="1"/>
      <c r="J34" s="1">
        <f>IF(COUNT(J3:J33)&gt;0,AVERAGE(J3:J33),"")</f>
        <v>23.261266503360552</v>
      </c>
      <c r="K34" s="1">
        <f>IF(COUNT(K3:K33)&gt;0,AVERAGE(K3:K33),"")</f>
        <v>20.49929324637379</v>
      </c>
      <c r="L34" s="1">
        <f>IF(COUNT(L3:L33)&gt;0,AVERAGE(L3:L33),"")</f>
        <v>-2.7619732569867645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19.257888083793993</v>
      </c>
      <c r="S34" s="1">
        <f>IF(COUNT(S3:S33)&gt;0,AVERAGE(S3:S33),"")</f>
        <v>-5.493398167746279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IF(720682&gt;0,100*109570/720682,"")</f>
        <v>15.203654316328144</v>
      </c>
      <c r="E39" s="1">
        <f>IF(COUNT(C39:D39)=2,D39-C39,"")</f>
        <v>2.1464026853025455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IF(1170713&gt;0,100*306843/1170713,"")</f>
        <v>26.2099250627609</v>
      </c>
      <c r="L39" s="1">
        <f>IF(COUNT(J39:K39)=2,K39-J39,"")</f>
        <v>-5.057581967216336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IF(1080432&gt;0,100*247314/1080432,"")</f>
        <v>22.8902883291128</v>
      </c>
      <c r="S39" s="1">
        <f>IF(COUNT(Q39:R39)=2,R39-Q39,"")</f>
        <v>4.517637179970595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IF(1273092&gt;0,100*367925/1273092,"")</f>
        <v>28.9001109110732</v>
      </c>
      <c r="E40" s="1">
        <f>IF(COUNT(C40:D40)=2,D40-C40,"")</f>
        <v>-0.33333139246657595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IF(1727252&gt;0,100*431884/1727252,"")</f>
        <v>25.0041105756427</v>
      </c>
      <c r="L40" s="1">
        <f>IF(COUNT(J40:K40)=2,K40-J40,"")</f>
        <v>-13.091443681541136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IF(1519491&gt;0,100*409457/1519491,"")</f>
        <v>26.946984220373796</v>
      </c>
      <c r="S40" s="1">
        <f>IF(COUNT(Q40:R40)=2,R40-Q40,"")</f>
        <v>-14.54245974729486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IF(1452238&gt;0,100*440492/1452238,"")</f>
        <v>30.331942835816168</v>
      </c>
      <c r="E41" s="1">
        <f>IF(COUNT(C41:D41)=2,D41-C41,"")</f>
        <v>-8.940875701382478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IF(1209266&gt;0,100*166412/1209266,"")</f>
        <v>13.761405679147517</v>
      </c>
      <c r="L41" s="1">
        <f>IF(COUNT(J41:K41)=2,K41-J41,"")</f>
        <v>-24.231675165931676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IF(1875619&gt;0,100*704515/1875619,"")</f>
        <v>37.56173295322771</v>
      </c>
      <c r="S41" s="1">
        <f>IF(COUNT(Q41:R41)=2,R41-Q41,"")</f>
        <v>-2.964138126366464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IF(1631958&gt;0,100*680796/1631958,"")</f>
        <v>41.71651476324758</v>
      </c>
      <c r="E42" s="1">
        <f>IF(COUNT(C42:D42)=2,D42-C42,"")</f>
        <v>-0.2775651030297226</v>
      </c>
      <c r="H42" s="1">
        <v>4</v>
      </c>
      <c r="I42" s="1">
        <v>3</v>
      </c>
      <c r="J42" s="1">
        <f>IF(778520&gt;0,100*44764/778520,"")</f>
        <v>5.749884396033499</v>
      </c>
      <c r="K42" s="1">
        <f>IF(1039161&gt;0,100*212985/1039161,"")</f>
        <v>20.495861565243498</v>
      </c>
      <c r="L42" s="1">
        <f>IF(COUNT(J42:K42)=2,K42-J42,"")</f>
        <v>14.745977169209999</v>
      </c>
      <c r="O42" s="1">
        <v>4</v>
      </c>
      <c r="P42" s="1">
        <v>3</v>
      </c>
      <c r="Q42" s="1">
        <f>IF(760183&gt;0,100*45060/760183,"")</f>
        <v>5.927520083979778</v>
      </c>
      <c r="R42" s="1">
        <f>IF(660463&gt;0,100*11496/660463,"")</f>
        <v>1.7405971265612155</v>
      </c>
      <c r="S42" s="1">
        <f>IF(COUNT(Q42:R42)=2,R42-Q42,"")</f>
        <v>-4.186922957418563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IF(597070&gt;0,100*7003/597070,"")</f>
        <v>1.1728943005007788</v>
      </c>
      <c r="E43" s="1">
        <f>IF(COUNT(C43:D43)=2,D43-C43,"")</f>
        <v>-16.56038791346884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IF(1686473&gt;0,100*609023/1686473,"")</f>
        <v>36.11222948721978</v>
      </c>
      <c r="L43" s="1">
        <f>IF(COUNT(J43:K43)=2,K43-J43,"")</f>
        <v>-6.013361030343411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IF(1803169&gt;0,100*599765/1803169,"")</f>
        <v>33.261718674178624</v>
      </c>
      <c r="S43" s="1">
        <f>IF(COUNT(Q43:R43)=2,R43-Q43,"")</f>
        <v>-13.953951438198963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IF(1250816&gt;0,100*393376/1250816,"")</f>
        <v>31.449549733933686</v>
      </c>
      <c r="E44" s="1">
        <f>IF(COUNT(C44:D44)=2,D44-C44,"")</f>
        <v>-12.403808897417413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IF(1428602&gt;0,100*419626/1428602,"")</f>
        <v>29.373191413703747</v>
      </c>
      <c r="L44" s="1">
        <f>IF(COUNT(J44:K44)=2,K44-J44,"")</f>
        <v>-12.235157496026385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IF(1082518&gt;0,100*93465/1082518,"")</f>
        <v>8.634036570292595</v>
      </c>
      <c r="S44" s="1">
        <f>IF(COUNT(Q44:R44)=2,R44-Q44,"")</f>
        <v>-9.462837666802445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IF(1304278&gt;0,100*423696/1304278,"")</f>
        <v>32.48509903563504</v>
      </c>
      <c r="E45" s="1">
        <f>IF(COUNT(C45:D45)=2,D45-C45,"")</f>
        <v>-12.529334119767519</v>
      </c>
      <c r="H45" s="1">
        <v>7</v>
      </c>
      <c r="I45" s="1">
        <v>6</v>
      </c>
      <c r="J45" s="1">
        <f>IF(545527&gt;0,100*1624/545527,"")</f>
        <v>0.2976937896749382</v>
      </c>
      <c r="K45" s="1">
        <f>IF(545527&gt;0,100*1624/545527,"")</f>
        <v>0.2976937896749382</v>
      </c>
      <c r="L45" s="1">
        <f>IF(COUNT(J45:K45)=2,K45-J45,"")</f>
        <v>0.0</v>
      </c>
      <c r="O45" s="1">
        <v>7</v>
      </c>
      <c r="P45" s="1">
        <v>6</v>
      </c>
      <c r="Q45" s="1">
        <f>IF(700580&gt;0,100*18395/700580,"")</f>
        <v>2.6256815781209855</v>
      </c>
      <c r="R45" s="1">
        <f>IF(794098&gt;0,100*112829/794098,"")</f>
        <v>14.208447823820233</v>
      </c>
      <c r="S45" s="1">
        <f>IF(COUNT(Q45:R45)=2,R45-Q45,"")</f>
        <v>11.582766245699247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IF(1406882&gt;0,100*443074/1406882,"")</f>
        <v>31.493330641802228</v>
      </c>
      <c r="E46" s="1">
        <f>IF(COUNT(C46:D46)=2,D46-C46,"")</f>
        <v>-9.793868345148955</v>
      </c>
      <c r="H46" s="1">
        <v>8</v>
      </c>
      <c r="I46" s="1">
        <v>7</v>
      </c>
      <c r="J46" s="1">
        <f>IF(453926&gt;0,100*2064/453926,"")</f>
        <v>0.45469966470305734</v>
      </c>
      <c r="K46" s="1">
        <f>IF(453926&gt;0,100*2064/453926,"")</f>
        <v>0.45469966470305734</v>
      </c>
      <c r="L46" s="1">
        <f>IF(COUNT(J46:K46)=2,K46-J46,"")</f>
        <v>0.0</v>
      </c>
      <c r="O46" s="1">
        <v>8</v>
      </c>
      <c r="P46" s="1">
        <v>7</v>
      </c>
      <c r="Q46" s="1">
        <f>IF(505497&gt;0,100*20606/505497,"")</f>
        <v>4.076384231756074</v>
      </c>
      <c r="R46" s="1">
        <f>IF(678714&gt;0,100*41553/678714,"")</f>
        <v>6.1223136696752976</v>
      </c>
      <c r="S46" s="1">
        <f>IF(COUNT(Q46:R46)=2,R46-Q46,"")</f>
        <v>2.0459294379192237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IF(1479858&gt;0,100*553186/1479858,"")</f>
        <v>37.38101898965982</v>
      </c>
      <c r="E47" s="1">
        <f>IF(COUNT(C47:D47)=2,D47-C47,"")</f>
        <v>-9.863272055744744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IF(1364820&gt;0,100*445979/1364820,"")</f>
        <v>32.67676323617766</v>
      </c>
      <c r="L47" s="1">
        <f>IF(COUNT(J47:K47)=2,K47-J47,"")</f>
        <v>-9.96153761677769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IF(1745576&gt;0,100*586881/1745576,"")</f>
        <v>33.621051160190106</v>
      </c>
      <c r="S47" s="1">
        <f>IF(COUNT(Q47:R47)=2,R47-Q47,"")</f>
        <v>-11.392495403943862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IF(527300&gt;0,100*8129/527300,"")</f>
        <v>1.541627157216006</v>
      </c>
      <c r="E48" s="1">
        <f>IF(COUNT(C48:D48)=2,D48-C48,"")</f>
        <v>-27.735247611901098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IF(1176071&gt;0,100*283631/1176071,"")</f>
        <v>24.116826280046016</v>
      </c>
      <c r="L48" s="1">
        <f>IF(COUNT(J48:K48)=2,K48-J48,"")</f>
        <v>-19.739447259195973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IF(1419583&gt;0,100*384458/1419583,"")</f>
        <v>27.082460130897594</v>
      </c>
      <c r="S48" s="1">
        <f>IF(COUNT(Q48:R48)=2,R48-Q48,"")</f>
        <v>-2.3157029182418647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IF(1531271&gt;0,100*595732/1531271,"")</f>
        <v>38.9044133925347</v>
      </c>
      <c r="E49" s="1">
        <f>IF(COUNT(C49:D49)=2,D49-C49,"")</f>
        <v>-3.762338070019645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IF(1026506&gt;0,100*151076/1026506,"")</f>
        <v>14.717497998063333</v>
      </c>
      <c r="L49" s="1">
        <f>IF(COUNT(J49:K49)=2,K49-J49,"")</f>
        <v>-19.508511012692008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IF(1536200&gt;0,100*485198/1536200,"")</f>
        <v>31.584298919411534</v>
      </c>
      <c r="S49" s="1">
        <f>IF(COUNT(Q49:R49)=2,R49-Q49,"")</f>
        <v>-10.314637149653652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IF(1458933&gt;0,100*502798/1458933,"")</f>
        <v>34.46340579039613</v>
      </c>
      <c r="E50" s="1">
        <f>IF(COUNT(C50:D50)=2,D50-C50,"")</f>
        <v>-4.565833749762703</v>
      </c>
      <c r="H50" s="1">
        <v>12</v>
      </c>
      <c r="I50" s="1">
        <v>11</v>
      </c>
      <c r="J50" s="1">
        <f>IF(16409&gt;0,100*2109/16409,"")</f>
        <v>12.85270278505698</v>
      </c>
      <c r="K50" s="1">
        <f>IF(1482836&gt;0,100*373450/1482836,"")</f>
        <v>25.18484849302283</v>
      </c>
      <c r="L50" s="1">
        <f>IF(COUNT(J50:K50)=2,K50-J50,"")</f>
        <v>12.33214570796585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IF(1176318&gt;0,100*227562/1176318,"")</f>
        <v>19.345279082697026</v>
      </c>
      <c r="S50" s="1">
        <f>IF(COUNT(Q50:R50)=2,R50-Q50,"")</f>
        <v>-19.75872551330299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IF(1587442&gt;0,100*625422/1587442,"")</f>
        <v>39.39810084399934</v>
      </c>
      <c r="E51" s="1">
        <f>IF(COUNT(C51:D51)=2,D51-C51,"")</f>
        <v>-4.737957213989809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IF(729825&gt;0,100*55687/729825,"")</f>
        <v>7.630185318398246</v>
      </c>
      <c r="L51" s="1">
        <f>IF(COUNT(J51:K51)=2,K51-J51,"")</f>
        <v>-3.0807253083143555</v>
      </c>
      <c r="O51" s="1">
        <v>13</v>
      </c>
      <c r="P51" s="1">
        <v>12</v>
      </c>
      <c r="Q51" s="1">
        <f>IF(609443&gt;0,100*13444/609443,"")</f>
        <v>2.20594871054389</v>
      </c>
      <c r="R51" s="1">
        <f>IF(805122&gt;0,100*31925/805122,"")</f>
        <v>3.965237566480608</v>
      </c>
      <c r="S51" s="1">
        <f>IF(COUNT(Q51:R51)=2,R51-Q51,"")</f>
        <v>1.7592888559367177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IF(402681&gt;0,100*1624/402681,"")</f>
        <v>0.40329690251092054</v>
      </c>
      <c r="E52" s="1">
        <f>IF(COUNT(C52:D52)=2,D52-C52,"")</f>
        <v>0.0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IF(1224940&gt;0,100*337636/1224940,"")</f>
        <v>27.56347249661208</v>
      </c>
      <c r="L52" s="1">
        <f>IF(COUNT(J52:K52)=2,K52-J52,"")</f>
        <v>-5.247984906684067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IF(738226&gt;0,100*80063/738226,"")</f>
        <v>10.845323789733767</v>
      </c>
      <c r="S52" s="1">
        <f>IF(COUNT(Q52:R52)=2,R52-Q52,"")</f>
        <v>-10.856555091001658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IF(1494611&gt;0,100*606818/1494611,"")</f>
        <v>40.600397026383455</v>
      </c>
      <c r="E53" s="1">
        <f>IF(COUNT(C53:D53)=2,D53-C53,"")</f>
        <v>9.371879572859314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IF(1400052&gt;0,100*376593/1400052,"")</f>
        <v>26.898500912823238</v>
      </c>
      <c r="L53" s="1">
        <f>IF(COUNT(J53:K53)=2,K53-J53,"")</f>
        <v>-3.8940510936600177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IF(1764299&gt;0,100*513561/1764299,"")</f>
        <v>29.108501450151024</v>
      </c>
      <c r="S53" s="1">
        <f>IF(COUNT(Q53:R53)=2,R53-Q53,"")</f>
        <v>-19.001152771617463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IF(1522649&gt;0,100*551090/1522649,"")</f>
        <v>36.19284549492365</v>
      </c>
      <c r="E54" s="1">
        <f>IF(COUNT(C54:D54)=2,D54-C54,"")</f>
        <v>-6.035460787336888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IF(1127978&gt;0,100*208381/1127978,"")</f>
        <v>18.4738532134492</v>
      </c>
      <c r="L54" s="1">
        <f>IF(COUNT(J54:K54)=2,K54-J54,"")</f>
        <v>-24.71979724695569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IF(862758&gt;0,100*114640/862758,"")</f>
        <v>13.287619471508812</v>
      </c>
      <c r="S54" s="1">
        <f>IF(COUNT(Q54:R54)=2,R54-Q54,"")</f>
        <v>-32.05400145723801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IF(415663&gt;0,100*8104/415663,"")</f>
        <v>1.949656332172938</v>
      </c>
      <c r="E55" s="1">
        <f>IF(COUNT(C55:D55)=2,D55-C55,"")</f>
        <v>0.3288046728366727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IF(1504906&gt;0,100*385616/1504906,"")</f>
        <v>25.62392601265461</v>
      </c>
      <c r="L55" s="1">
        <f>IF(COUNT(J55:K55)=2,K55-J55,"")</f>
        <v>-10.758204178094122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IF(1841583&gt;0,100*679206/1841583,"")</f>
        <v>36.881639328773126</v>
      </c>
      <c r="S55" s="1">
        <f>IF(COUNT(Q55:R55)=2,R55-Q55,"")</f>
        <v>1.711998146556823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IF(574671&gt;0,100*85799/574671,"")</f>
        <v>14.930107835613768</v>
      </c>
      <c r="E56" s="1">
        <f>IF(COUNT(C56:D56)=2,D56-C56,"")</f>
        <v>0.6262942144966619</v>
      </c>
      <c r="H56" s="1">
        <v>18</v>
      </c>
      <c r="I56" s="1">
        <v>17</v>
      </c>
      <c r="J56" s="1">
        <f>IF(2215&gt;0,100*355/2215,"")</f>
        <v>16.02708803611738</v>
      </c>
      <c r="K56" s="1">
        <f>IF(1850478&gt;0,100*699724/1850478,"")</f>
        <v>37.813148818845725</v>
      </c>
      <c r="L56" s="1">
        <f>IF(COUNT(J56:K56)=2,K56-J56,"")</f>
        <v>21.786060782728345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IF(1084340&gt;0,100*186195/1084340,"")</f>
        <v>17.171274692439642</v>
      </c>
      <c r="S56" s="1">
        <f>IF(COUNT(Q56:R56)=2,R56-Q56,"")</f>
        <v>-29.85717586282212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IF(1748996&gt;0,100*709162/1748996,"")</f>
        <v>40.54680513849088</v>
      </c>
      <c r="E57" s="1">
        <f>IF(COUNT(C57:D57)=2,D57-C57,"")</f>
        <v>1.0070749171261895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IF(1255508&gt;0,100*291848/1255508,"")</f>
        <v>23.245411419122778</v>
      </c>
      <c r="L57" s="1">
        <f>IF(COUNT(J57:K57)=2,K57-J57,"")</f>
        <v>-10.607107149655253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IF(1058982&gt;0,100*238648/1058982,"")</f>
        <v>22.53560494890376</v>
      </c>
      <c r="S57" s="1">
        <f>IF(COUNT(Q57:R57)=2,R57-Q57,"")</f>
        <v>-9.758750197448435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IF(1346561&gt;0,100*456340/1346561,"")</f>
        <v>33.88929279846958</v>
      </c>
      <c r="E58" s="1">
        <f>IF(COUNT(C58:D58)=2,D58-C58,"")</f>
        <v>-9.052926641828037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IF(1318661&gt;0,100*400361/1318661,"")</f>
        <v>30.361176981801993</v>
      </c>
      <c r="L58" s="1">
        <f>IF(COUNT(J58:K58)=2,K58-J58,"")</f>
        <v>-13.55726340884043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IF(1132759&gt;0,100*243042/1132759,"")</f>
        <v>21.455755372502008</v>
      </c>
      <c r="S58" s="1">
        <f>IF(COUNT(Q58:R58)=2,R58-Q58,"")</f>
        <v>-20.795145468780287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IF(1186370&gt;0,100*375798/1186370,"")</f>
        <v>31.6762898589816</v>
      </c>
      <c r="E59" s="1">
        <f>IF(COUNT(C59:D59)=2,D59-C59,"")</f>
        <v>-0.72241310533418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IF(1448516&gt;0,100*348257/1448516,"")</f>
        <v>24.042330219341725</v>
      </c>
      <c r="L59" s="1">
        <f>IF(COUNT(J59:K59)=2,K59-J59,"")</f>
        <v>-13.509072631060672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IF(1781113&gt;0,100*570286/1781113,"")</f>
        <v>32.01851875765322</v>
      </c>
      <c r="S59" s="1">
        <f>IF(COUNT(Q59:R59)=2,R59-Q59,"")</f>
        <v>-9.967711804652943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IF(1430211&gt;0,100*524810/1430211,"")</f>
        <v>36.694585624079245</v>
      </c>
      <c r="E60" s="1">
        <f>IF(COUNT(C60:D60)=2,D60-C60,"")</f>
        <v>-8.215490300695947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IF(1124647&gt;0,100*317009/1124647,"")</f>
        <v>28.187422364528604</v>
      </c>
      <c r="L60" s="1">
        <f>IF(COUNT(J60:K60)=2,K60-J60,"")</f>
        <v>-16.593011540270265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IF(2016615&gt;0,100*731868/2016615,"")</f>
        <v>36.291904999218985</v>
      </c>
      <c r="S60" s="1">
        <f>IF(COUNT(Q60:R60)=2,R60-Q60,"")</f>
        <v>2.067834723972176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IF(356205&gt;0,100*844/356205,"")</f>
        <v>0.236942210244101</v>
      </c>
      <c r="E61" s="1">
        <f>IF(COUNT(C61:D61)=2,D61-C61,"")</f>
        <v>0.0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IF(1907090&gt;0,100*690336/1907090,"")</f>
        <v>36.198396509865816</v>
      </c>
      <c r="L61" s="1">
        <f>IF(COUNT(J61:K61)=2,K61-J61,"")</f>
        <v>-12.207217702768325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IF(2011815&gt;0,100*789854/2011815,"")</f>
        <v>39.260767018836226</v>
      </c>
      <c r="S61" s="1">
        <f>IF(COUNT(Q61:R61)=2,R61-Q61,"")</f>
        <v>4.208186757201531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IF(524837&gt;0,100*19361/524837,"")</f>
        <v>3.6889548564601964</v>
      </c>
      <c r="E62" s="1">
        <f>IF(COUNT(C62:D62)=2,D62-C62,"")</f>
        <v>-17.254292923661716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IF(1810246&gt;0,100*599347/1810246,"")</f>
        <v>33.10859408058352</v>
      </c>
      <c r="L62" s="1">
        <f>IF(COUNT(J62:K62)=2,K62-J62,"")</f>
        <v>-11.515711565700421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IF(1271606&gt;0,100*329592/1271606,"")</f>
        <v>25.91934923238802</v>
      </c>
      <c r="S62" s="1">
        <f>IF(COUNT(Q62:R62)=2,R62-Q62,"")</f>
        <v>-2.975294423400239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IF(1211298&gt;0,100*396616/1211298,"")</f>
        <v>32.743057447465446</v>
      </c>
      <c r="E63" s="1">
        <f>IF(COUNT(C63:D63)=2,D63-C63,"")</f>
        <v>3.5030339480107244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IF(511610&gt;0,100*14978/511610,"")</f>
        <v>2.9276206485408807</v>
      </c>
      <c r="L63" s="1">
        <f>IF(COUNT(J63:K63)=2,K63-J63,"")</f>
        <v>-41.6433593624627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IF(1682586&gt;0,100*525467/1682586,"")</f>
        <v>31.229726147727366</v>
      </c>
      <c r="S63" s="1">
        <f>IF(COUNT(Q63:R63)=2,R63-Q63,"")</f>
        <v>-12.444962033922383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IF(1568675&gt;0,100*580208/1568675,"")</f>
        <v>36.98713882735429</v>
      </c>
      <c r="E64" s="1">
        <f>IF(COUNT(C64:D64)=2,D64-C64,"")</f>
        <v>-9.404041494297665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IF(1335297&gt;0,100*305429/1335297,"")</f>
        <v>22.873488070444253</v>
      </c>
      <c r="L64" s="1">
        <f>IF(COUNT(J64:K64)=2,K64-J64,"")</f>
        <v>-9.135179492405612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IF(1556407&gt;0,100*418200/1556407,"")</f>
        <v>26.869578458590844</v>
      </c>
      <c r="S64" s="1">
        <f>IF(COUNT(Q64:R64)=2,R64-Q64,"")</f>
        <v>-17.535275044749447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IF(1080843&gt;0,100*290163/1080843,"")</f>
        <v>26.845989658072448</v>
      </c>
      <c r="E65" s="1">
        <f>IF(COUNT(C65:D65)=2,D65-C65,"")</f>
        <v>-10.49857784365576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IF(1514632&gt;0,100*424437/1514632,"")</f>
        <v>28.022450337771815</v>
      </c>
      <c r="L65" s="1">
        <f>IF(COUNT(J65:K65)=2,K65-J65,"")</f>
        <v>-6.879621793068964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IF(1392367&gt;0,100*291990/1392367,"")</f>
        <v>20.97076417352609</v>
      </c>
      <c r="S65" s="1">
        <f>IF(COUNT(Q65:R65)=2,R65-Q65,"")</f>
        <v>-13.395520301218259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IF(342230&gt;0,100*341/342230,"")</f>
        <v>0.09964059258393478</v>
      </c>
      <c r="E66" s="1">
        <f>IF(COUNT(C66:D66)=2,D66-C66,"")</f>
        <v>0.0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IF(1612386&gt;0,100*593393/1612386,"")</f>
        <v>36.80216771914417</v>
      </c>
      <c r="L66" s="1">
        <f>IF(COUNT(J66:K66)=2,K66-J66,"")</f>
        <v>-2.415216982548344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IF(1430760&gt;0,100*432322/1430760,"")</f>
        <v>30.216248706980906</v>
      </c>
      <c r="S66" s="1">
        <f>IF(COUNT(Q66:R66)=2,R66-Q66,"")</f>
        <v>-0.6478442252878587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IF(1596591&gt;0,100*615947/1596591,"")</f>
        <v>38.578884636077746</v>
      </c>
      <c r="E67" s="1">
        <f>IF(COUNT(C67:D67)=2,D67-C67,"")</f>
        <v>3.728126554577962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IF(2146091&gt;0,100*818260/2146091,"")</f>
        <v>38.12792654179157</v>
      </c>
      <c r="L67" s="1">
        <f>IF(COUNT(J67:K67)=2,K67-J67,"")</f>
        <v>-7.617024154962195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IF(1966630&gt;0,100*664862/1966630,"")</f>
        <v>33.80717267610074</v>
      </c>
      <c r="S67" s="1">
        <f>IF(COUNT(Q67:R67)=2,R67-Q67,"")</f>
        <v>-7.1247576038339915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IF(1149571&gt;0,100*395236/1149571,"")</f>
        <v>34.381173498635576</v>
      </c>
      <c r="E68" s="1">
        <f>IF(COUNT(C68:D68)=2,D68-C68,"")</f>
        <v>-8.428926527851736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IF(1179755&gt;0,100*302600/1179755,"")</f>
        <v>25.64939330623731</v>
      </c>
      <c r="L68" s="1">
        <f>IF(COUNT(J68:K68)=2,K68-J68,"")</f>
        <v>-11.164134324693212</v>
      </c>
      <c r="O68" s="1">
        <v>30</v>
      </c>
      <c r="P68" s="1">
        <v>29</v>
      </c>
      <c r="Q68" s="1">
        <f>IF(653286&gt;0,100*39372/653286,"")</f>
        <v>6.026763163453679</v>
      </c>
      <c r="R68" s="1">
        <f>IF(888553&gt;0,100*59100/888553,"")</f>
        <v>6.651263346136921</v>
      </c>
      <c r="S68" s="1">
        <f>IF(COUNT(Q68:R68)=2,R68-Q68,"")</f>
        <v>0.6245001826832421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IF(646412&gt;0,100*1911/646412,"")</f>
        <v>0.2956318880218808</v>
      </c>
      <c r="E69" s="1">
        <f>IF(COUNT(C69:D69)=2,D69-C69,"")</f>
        <v>0.0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IF(1682599&gt;0,100*554068/1682599,"")</f>
        <v>32.92929569077362</v>
      </c>
      <c r="L69" s="1">
        <f>IF(COUNT(J69:K69)=2,K69-J69,"")</f>
        <v>-2.4475566242410807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IF(1618451&gt;0,100*530838/1618451,"")</f>
        <v>32.79913942405423</v>
      </c>
      <c r="S69" s="1">
        <f>IF(COUNT(Q69:R69)=2,R69-Q69,"")</f>
        <v>0.17880596091703893</v>
      </c>
    </row>
    <row r="70" spans="1:19">
      <c r="A70" s="2" t="s">
        <v>6</v>
      </c>
      <c r="B70" s="1"/>
      <c r="C70" s="1">
        <f>IF(COUNT(C39:C69)&gt;0,AVERAGE(C39:C69),"")</f>
        <v>30.180215695878584</v>
      </c>
      <c r="D70" s="1">
        <f>IF(COUNT(D39:D69)&gt;0,AVERAGE(D39:D69),"")</f>
        <v>25.005882365764013</v>
      </c>
      <c r="E70" s="1">
        <f>IF(COUNT(E39:E69)&gt;0,AVERAGE(E39:E69),"")</f>
        <v>-5.174333330114561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24.35109077123024</v>
      </c>
      <c r="L70" s="1">
        <f>IF(COUNT(L39:L69)&gt;0,AVERAGE(L39:L69),"")</f>
        <v>-8.644089388264716</v>
      </c>
      <c r="O70" s="2" t="s">
        <v>6</v>
      </c>
      <c r="P70" s="1"/>
      <c r="Q70" s="1">
        <f>IF(COUNT(Q39:Q69)&gt;0,AVERAGE(Q39:Q69),"")</f>
        <v>31.641731223822106</v>
      </c>
      <c r="R70" s="1">
        <f>IF(COUNT(R39:R69)&gt;0,AVERAGE(R39:R69),"")</f>
        <v>23.686599942649835</v>
      </c>
      <c r="S70" s="1">
        <f>IF(COUNT(S39:S69)&gt;0,AVERAGE(S39:S69),"")</f>
        <v>-7.955131281172263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IF(675341&gt;0,100*7439/675341,"")</f>
        <v>1.1015176036994645</v>
      </c>
      <c r="E75" s="1">
        <f>IF(COUNT(C75:D75)=2,D75-C75,"")</f>
        <v>-1.6136464086301627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IF(966903&gt;0,100*150238/966903,"")</f>
        <v>15.538063280391105</v>
      </c>
      <c r="L75" s="1">
        <f>IF(COUNT(J75:K75)=2,K75-J75,"")</f>
        <v>-37.762986975527575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IF(1756502&gt;0,100*641800/1756502,"")</f>
        <v>36.53852941812762</v>
      </c>
      <c r="S75" s="1">
        <f>IF(COUNT(Q75:R75)=2,R75-Q75,"")</f>
        <v>-7.542831808504822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IF(410123&gt;0,100*139126/410123,"")</f>
        <v>33.92299383355725</v>
      </c>
      <c r="E76" s="1">
        <f>IF(COUNT(C76:D76)=2,D76-C76,"")</f>
        <v>-3.10793704924874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IF(1776709&gt;0,100*463269/1776709,"")</f>
        <v>26.074556947705</v>
      </c>
      <c r="L76" s="1">
        <f>IF(COUNT(J76:K76)=2,K76-J76,"")</f>
        <v>-17.42970100153051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IF(2134676&gt;0,100*816165/2134676,"")</f>
        <v>38.23367105827769</v>
      </c>
      <c r="S76" s="1">
        <f>IF(COUNT(Q76:R76)=2,R76-Q76,"")</f>
        <v>-2.627499721768231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IF(1774571&gt;0,100*710322/1774571,"")</f>
        <v>40.02781517335739</v>
      </c>
      <c r="E77" s="1">
        <f>IF(COUNT(C77:D77)=2,D77-C77,"")</f>
        <v>0.788604977191433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IF(2021644&gt;0,100*760439/2021644,"")</f>
        <v>37.61488174970469</v>
      </c>
      <c r="L77" s="1">
        <f>IF(COUNT(J77:K77)=2,K77-J77,"")</f>
        <v>-4.848796295584094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IF(1036132&gt;0,100*20016/1036132,"")</f>
        <v>1.9318001953419062</v>
      </c>
      <c r="S77" s="1">
        <f>IF(COUNT(Q77:R77)=2,R77-Q77,"")</f>
        <v>-2.017380885325475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IF(1593293&gt;0,100*592317/1593293,"")</f>
        <v>37.175648170173346</v>
      </c>
      <c r="E78" s="1">
        <f>IF(COUNT(C78:D78)=2,D78-C78,"")</f>
        <v>-8.100182458650714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IF(1961131&gt;0,100*771361/1961131,"")</f>
        <v>39.33245662834354</v>
      </c>
      <c r="L78" s="1">
        <f>IF(COUNT(J78:K78)=2,K78-J78,"")</f>
        <v>-8.181425003114214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IF(1422975&gt;0,100*421387/1422975,"")</f>
        <v>29.613099316572672</v>
      </c>
      <c r="S78" s="1">
        <f>IF(COUNT(Q78:R78)=2,R78-Q78,"")</f>
        <v>-23.16457903209441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IF(1301793&gt;0,100*413800/1301793,"")</f>
        <v>31.78692772199574</v>
      </c>
      <c r="E79" s="1">
        <f>IF(COUNT(C79:D79)=2,D79-C79,"")</f>
        <v>-16.962466956819668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IF(2366716&gt;0,100*913179/2366716,"")</f>
        <v>38.58422387815015</v>
      </c>
      <c r="L79" s="1">
        <f>IF(COUNT(J79:K79)=2,K79-J79,"")</f>
        <v>-8.237116813980165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IF(2094413&gt;0,100*739803/2094413,"")</f>
        <v>35.32268946000622</v>
      </c>
      <c r="S79" s="1">
        <f>IF(COUNT(Q79:R79)=2,R79-Q79,"")</f>
        <v>-13.609554086240017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IF(1583129&gt;0,100*610701/1583129,"")</f>
        <v>38.57556775221729</v>
      </c>
      <c r="E80" s="1">
        <f>IF(COUNT(C80:D80)=2,D80-C80,"")</f>
        <v>-0.1325222952544678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IF(1879204&gt;0,100*629641/1879204,"")</f>
        <v>33.505729021436736</v>
      </c>
      <c r="L80" s="1">
        <f>IF(COUNT(J80:K80)=2,K80-J80,"")</f>
        <v>-5.794604177081212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IF(1970579&gt;0,100*624006/1970579,"")</f>
        <v>31.6661245248224</v>
      </c>
      <c r="S80" s="1">
        <f>IF(COUNT(Q80:R80)=2,R80-Q80,"")</f>
        <v>-11.152574364422328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IF(8230&gt;0,100*1999/8230,"")</f>
        <v>24.289185905224787</v>
      </c>
      <c r="E81" s="1">
        <f>IF(COUNT(C81:D81)=2,D81-C81,"")</f>
        <v>-17.835298692207157</v>
      </c>
      <c r="H81" s="1">
        <v>7</v>
      </c>
      <c r="I81" s="1">
        <v>6</v>
      </c>
      <c r="J81" s="1">
        <f>IF(710153&gt;0,100*3904/710153,"")</f>
        <v>0.5497406896823642</v>
      </c>
      <c r="K81" s="1">
        <f>IF(710153&gt;0,100*3904/710153,"")</f>
        <v>0.5497406896823642</v>
      </c>
      <c r="L81" s="1">
        <f>IF(COUNT(J81:K81)=2,K81-J81,"")</f>
        <v>0.0</v>
      </c>
      <c r="O81" s="1">
        <v>7</v>
      </c>
      <c r="P81" s="1">
        <v>6</v>
      </c>
      <c r="Q81" s="1">
        <f>IF(528040&gt;0,100*6901/528040,"")</f>
        <v>1.3069085675327627</v>
      </c>
      <c r="R81" s="1">
        <f>IF(908198&gt;0,100*212556/908198,"")</f>
        <v>23.40414755372727</v>
      </c>
      <c r="S81" s="1">
        <f>IF(COUNT(Q81:R81)=2,R81-Q81,"")</f>
        <v>22.097238986194508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IF(1770029&gt;0,100*715831/1770029,"")</f>
        <v>40.44176677331275</v>
      </c>
      <c r="E82" s="1">
        <f>IF(COUNT(C82:D82)=2,D82-C82,"")</f>
        <v>-6.197668101500902</v>
      </c>
      <c r="H82" s="1">
        <v>8</v>
      </c>
      <c r="I82" s="1">
        <v>7</v>
      </c>
      <c r="J82" s="1">
        <f>IF(619510&gt;0,100*7411/619510,"")</f>
        <v>1.1962680182725056</v>
      </c>
      <c r="K82" s="1">
        <f>IF(969249&gt;0,100*16674/969249,"")</f>
        <v>1.720300975291179</v>
      </c>
      <c r="L82" s="1">
        <f>IF(COUNT(J82:K82)=2,K82-J82,"")</f>
        <v>0.5240329570186735</v>
      </c>
      <c r="O82" s="1">
        <v>8</v>
      </c>
      <c r="P82" s="1">
        <v>7</v>
      </c>
      <c r="Q82" s="1">
        <f>IF(665002&gt;0,100*8971/665002,"")</f>
        <v>1.3490184991924836</v>
      </c>
      <c r="R82" s="1">
        <f>IF(593065&gt;0,100*12252/593065,"")</f>
        <v>2.0658781077959416</v>
      </c>
      <c r="S82" s="1">
        <f>IF(COUNT(Q82:R82)=2,R82-Q82,"")</f>
        <v>0.716859608603458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IF(1799196&gt;0,100*681149/1799196,"")</f>
        <v>37.85852125060305</v>
      </c>
      <c r="E83" s="1">
        <f>IF(COUNT(C83:D83)=2,D83-C83,"")</f>
        <v>5.655104044590054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IF(2364851&gt;0,100*943326/2364851,"")</f>
        <v>39.889447580418384</v>
      </c>
      <c r="L83" s="1">
        <f>IF(COUNT(J83:K83)=2,K83-J83,"")</f>
        <v>-4.995890370166464</v>
      </c>
      <c r="O83" s="1">
        <v>9</v>
      </c>
      <c r="P83" s="1">
        <v>8</v>
      </c>
      <c r="Q83" s="1">
        <f>IF(1967808&gt;0,100*766923/1967808,"")</f>
        <v>38.9734669236023</v>
      </c>
      <c r="R83" s="1">
        <f>IF(1915396&gt;0,100*692363/1915396,"")</f>
        <v>36.1472510123233</v>
      </c>
      <c r="S83" s="1">
        <f>IF(COUNT(Q83:R83)=2,R83-Q83,"")</f>
        <v>-2.826215911279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IF(624813&gt;0,100*10580/624813,"")</f>
        <v>1.6933066373458938</v>
      </c>
      <c r="E84" s="1">
        <f>IF(COUNT(C84:D84)=2,D84-C84,"")</f>
        <v>0.0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IF(1048077&gt;0,100*136713/1048077,"")</f>
        <v>13.044175189418334</v>
      </c>
      <c r="L84" s="1">
        <f>IF(COUNT(J84:K84)=2,K84-J84,"")</f>
        <v>-37.14283464350182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IF(1055293&gt;0,100*56552/1055293,"")</f>
        <v>5.358890848323641</v>
      </c>
      <c r="S84" s="1">
        <f>IF(COUNT(Q84:R84)=2,R84-Q84,"")</f>
        <v>-10.653593382796982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IF(1642984&gt;0,100*609842/1642984,"")</f>
        <v>37.11795123993904</v>
      </c>
      <c r="E85" s="1">
        <f>IF(COUNT(C85:D85)=2,D85-C85,"")</f>
        <v>-10.69528812297716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IF(1869281&gt;0,100*668331/1869281,"")</f>
        <v>35.753372553404226</v>
      </c>
      <c r="L85" s="1">
        <f>IF(COUNT(J85:K85)=2,K85-J85,"")</f>
        <v>-19.69086456316196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IF(2122695&gt;0,100*836933/2122695,"")</f>
        <v>39.427849973736215</v>
      </c>
      <c r="S85" s="1">
        <f>IF(COUNT(Q85:R85)=2,R85-Q85,"")</f>
        <v>-9.172520578579153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IF(1265182&gt;0,100*397726/1265182,"")</f>
        <v>31.4362676674186</v>
      </c>
      <c r="E86" s="1">
        <f>IF(COUNT(C86:D86)=2,D86-C86,"")</f>
        <v>-11.79189258096616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IF(1938884&gt;0,100*669219/1938884,"")</f>
        <v>34.51568015415053</v>
      </c>
      <c r="L86" s="1">
        <f>IF(COUNT(J86:K86)=2,K86-J86,"")</f>
        <v>-13.14777868979533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IF(1845856&gt;0,100*660096/1845856,"")</f>
        <v>35.760969436402405</v>
      </c>
      <c r="S86" s="1">
        <f>IF(COUNT(Q86:R86)=2,R86-Q86,"")</f>
        <v>-12.879199806136661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IF(1084352&gt;0,100*188372/1084352,"")</f>
        <v>17.371849731452517</v>
      </c>
      <c r="E87" s="1">
        <f>IF(COUNT(C87:D87)=2,D87-C87,"")</f>
        <v>-10.812799972065434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IF(1703605&gt;0,100*606655/1703605,"")</f>
        <v>35.610073931457116</v>
      </c>
      <c r="L87" s="1">
        <f>IF(COUNT(J87:K87)=2,K87-J87,"")</f>
        <v>-8.98333983019159</v>
      </c>
      <c r="O87" s="1">
        <v>13</v>
      </c>
      <c r="P87" s="1">
        <v>12</v>
      </c>
      <c r="Q87" s="1">
        <f>IF(818878&gt;0,100*7212/818878,"")</f>
        <v>0.8807172741238621</v>
      </c>
      <c r="R87" s="1">
        <f>IF(818878&gt;0,100*7212/818878,"")</f>
        <v>0.8807172741238621</v>
      </c>
      <c r="S87" s="1">
        <f>IF(COUNT(Q87:R87)=2,R87-Q87,"")</f>
        <v>0.0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IF(280299&gt;0,100*82239/280299,"")</f>
        <v>29.339740776813333</v>
      </c>
      <c r="E88" s="1">
        <f>IF(COUNT(C88:D88)=2,D88-C88,"")</f>
        <v>8.844872770321867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IF(1083379&gt;0,100*223410/1083379,"")</f>
        <v>20.621592259034003</v>
      </c>
      <c r="L88" s="1">
        <f>IF(COUNT(J88:K88)=2,K88-J88,"")</f>
        <v>-12.390729005870938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IF(745193&gt;0,100*85987/745193,"")</f>
        <v>11.538889925160328</v>
      </c>
      <c r="S88" s="1">
        <f>IF(COUNT(Q88:R88)=2,R88-Q88,"")</f>
        <v>-0.42301842568136294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IF(1735577&gt;0,100*647893/1735577,"")</f>
        <v>37.33012133716914</v>
      </c>
      <c r="E89" s="1">
        <f>IF(COUNT(C89:D89)=2,D89-C89,"")</f>
        <v>-4.939413607390456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IF(2052384&gt;0,100*746904/2052384,"")</f>
        <v>36.39202020674494</v>
      </c>
      <c r="L89" s="1">
        <f>IF(COUNT(J89:K89)=2,K89-J89,"")</f>
        <v>17.218901228979284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IF(1707876&gt;0,100*356952/1707876,"")</f>
        <v>20.900346395171546</v>
      </c>
      <c r="S89" s="1">
        <f>IF(COUNT(Q89:R89)=2,R89-Q89,"")</f>
        <v>-5.400516539061385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IF(1775711&gt;0,100*703148/1775711,"")</f>
        <v>39.59811027808016</v>
      </c>
      <c r="E90" s="1">
        <f>IF(COUNT(C90:D90)=2,D90-C90,"")</f>
        <v>-1.3592179138848977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IF(1139515&gt;0,100*216141/1139515,"")</f>
        <v>18.967806479072237</v>
      </c>
      <c r="L90" s="1">
        <f>IF(COUNT(J90:K90)=2,K90-J90,"")</f>
        <v>-24.401758799576726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IF(2057444&gt;0,100*691930/2057444,"")</f>
        <v>33.63056297036517</v>
      </c>
      <c r="S90" s="1">
        <f>IF(COUNT(Q90:R90)=2,R90-Q90,"")</f>
        <v>-17.357637903854886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IF(458672&gt;0,100*15487/458672,"")</f>
        <v>3.376486901315101</v>
      </c>
      <c r="E91" s="1">
        <f>IF(COUNT(C91:D91)=2,D91-C91,"")</f>
        <v>-0.31437275999957404</v>
      </c>
      <c r="H91" s="1">
        <v>17</v>
      </c>
      <c r="I91" s="1">
        <v>16</v>
      </c>
      <c r="J91" s="1">
        <f>IF(88900&gt;0,100*3265/88900,"")</f>
        <v>3.6726659167604048</v>
      </c>
      <c r="K91" s="1">
        <f>IF(88900&gt;0,100*3265/88900,"")</f>
        <v>3.6726659167604048</v>
      </c>
      <c r="L91" s="1">
        <f>IF(COUNT(J91:K91)=2,K91-J91,"")</f>
        <v>0.0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IF(1895345&gt;0,100*658363/1895345,"")</f>
        <v>34.735786888402906</v>
      </c>
      <c r="S91" s="1">
        <f>IF(COUNT(Q91:R91)=2,R91-Q91,"")</f>
        <v>-7.185621077464589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IF(650458&gt;0,100*64916/650458,"")</f>
        <v>9.98004482995059</v>
      </c>
      <c r="E92" s="1">
        <f>IF(COUNT(C92:D92)=2,D92-C92,"")</f>
        <v>-12.12740104493302</v>
      </c>
      <c r="H92" s="1">
        <v>18</v>
      </c>
      <c r="I92" s="1">
        <v>17</v>
      </c>
      <c r="J92" s="4"/>
      <c r="K92" s="1">
        <f>IF(1880073&gt;0,100*663980/1880073,"")</f>
        <v>35.316713765901646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IF(2005966&gt;0,100*745013/2005966,"")</f>
        <v>37.13986179227365</v>
      </c>
      <c r="S92" s="1">
        <f>IF(COUNT(Q92:R92)=2,R92-Q92,"")</f>
        <v>-7.961828163632319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IF(1983726&gt;0,100*878615/1983726,"")</f>
        <v>44.29114706365698</v>
      </c>
      <c r="E93" s="1">
        <f>IF(COUNT(C93:D93)=2,D93-C93,"")</f>
        <v>-2.0450145311451635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IF(1423263&gt;0,100*293878/1423263,"")</f>
        <v>20.64818659657421</v>
      </c>
      <c r="L93" s="1">
        <f>IF(COUNT(J93:K93)=2,K93-J93,"")</f>
        <v>-16.275086896284893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IF(1274939&gt;0,100*251707/1274939,"")</f>
        <v>19.74267004146865</v>
      </c>
      <c r="S93" s="1">
        <f>IF(COUNT(Q93:R93)=2,R93-Q93,"")</f>
        <v>-18.085183153794112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IF(1624687&gt;0,100*661567/1624687,"")</f>
        <v>40.719658617321365</v>
      </c>
      <c r="E94" s="1">
        <f>IF(COUNT(C94:D94)=2,D94-C94,"")</f>
        <v>-0.9597190626519065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IF(1823103&gt;0,100*525378/1823103,"")</f>
        <v>28.817790327809234</v>
      </c>
      <c r="L94" s="1">
        <f>IF(COUNT(J94:K94)=2,K94-J94,"")</f>
        <v>-12.978051816121429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IF(1768700&gt;0,100*636868/1768700,"")</f>
        <v>36.007689263300726</v>
      </c>
      <c r="S94" s="1">
        <f>IF(COUNT(Q94:R94)=2,R94-Q94,"")</f>
        <v>-10.176002329205915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IF(1611701&gt;0,100*664524/1611701,"")</f>
        <v>41.231220927454906</v>
      </c>
      <c r="E95" s="1">
        <f>IF(COUNT(C95:D95)=2,D95-C95,"")</f>
        <v>-8.585853257790369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IF(1091228&gt;0,100*225718/1091228,"")</f>
        <v>20.68476981895626</v>
      </c>
      <c r="L95" s="1">
        <f>IF(COUNT(J95:K95)=2,K95-J95,"")</f>
        <v>-29.038118686191947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IF(2244967&gt;0,100*895580/2244967,"")</f>
        <v>39.89279129715492</v>
      </c>
      <c r="S95" s="1">
        <f>IF(COUNT(Q95:R95)=2,R95-Q95,"")</f>
        <v>-6.866471417244213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IF(1965652&gt;0,100*867864/1965652,"")</f>
        <v>44.15145712465889</v>
      </c>
      <c r="E96" s="1">
        <f>IF(COUNT(C96:D96)=2,D96-C96,"")</f>
        <v>17.536763641744546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IF(1839546&gt;0,100*638902/1839546,"")</f>
        <v>34.73150440380398</v>
      </c>
      <c r="L96" s="1">
        <f>IF(COUNT(J96:K96)=2,K96-J96,"")</f>
        <v>-10.90690822376785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IF(2275742&gt;0,100*795285/2275742,"")</f>
        <v>34.94618458507159</v>
      </c>
      <c r="S96" s="1">
        <f>IF(COUNT(Q96:R96)=2,R96-Q96,"")</f>
        <v>1.7863129400876332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IF(406810&gt;0,100*491/406810,"")</f>
        <v>0.12069516481895726</v>
      </c>
      <c r="E97" s="1">
        <f>IF(COUNT(C97:D97)=2,D97-C97,"")</f>
        <v>0.0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IF(1819968&gt;0,100*671319/1819968,"")</f>
        <v>36.88630789112776</v>
      </c>
      <c r="L97" s="1">
        <f>IF(COUNT(J97:K97)=2,K97-J97,"")</f>
        <v>-12.456775839009026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IF(1853913&gt;0,100*617624/1853913,"")</f>
        <v>33.31461616591501</v>
      </c>
      <c r="S97" s="1">
        <f>IF(COUNT(Q97:R97)=2,R97-Q97,"")</f>
        <v>-9.272701173277277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IF(940725&gt;0,100*259886/940725,"")</f>
        <v>27.626139413750032</v>
      </c>
      <c r="E98" s="1">
        <f>IF(COUNT(C98:D98)=2,D98-C98,"")</f>
        <v>-12.047469237413317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IF(2068082&gt;0,100*788937/2068082,"")</f>
        <v>38.14824557246763</v>
      </c>
      <c r="L98" s="1">
        <f>IF(COUNT(J98:K98)=2,K98-J98,"")</f>
        <v>-5.090008754516184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IF(1562591&gt;0,100*474009/1562591,"")</f>
        <v>30.334809300706326</v>
      </c>
      <c r="S98" s="1">
        <f>IF(COUNT(Q98:R98)=2,R98-Q98,"")</f>
        <v>-10.451930807312529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IF(1706552&gt;0,100*595452/1706552,"")</f>
        <v>34.8921099386365</v>
      </c>
      <c r="E99" s="1">
        <f>IF(COUNT(C99:D99)=2,D99-C99,"")</f>
        <v>-6.551359342477397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IF(1443148&gt;0,100*376893/1443148,"")</f>
        <v>26.11603245128012</v>
      </c>
      <c r="L99" s="1">
        <f>IF(COUNT(J99:K99)=2,K99-J99,"")</f>
        <v>-24.14761203458111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IF(1682783&gt;0,100*564280/1682783,"")</f>
        <v>33.53254697723949</v>
      </c>
      <c r="S99" s="1">
        <f>IF(COUNT(Q99:R99)=2,R99-Q99,"")</f>
        <v>-3.852824445216207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IF(1657524&gt;0,100*651721/1657524,"")</f>
        <v>39.318948021265456</v>
      </c>
      <c r="E100" s="1">
        <f>IF(COUNT(C100:D100)=2,D100-C100,"")</f>
        <v>-6.795587405029188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IF(1241291&gt;0,100*307209/1241291,"")</f>
        <v>24.749152293861794</v>
      </c>
      <c r="L100" s="1">
        <f>IF(COUNT(J100:K100)=2,K100-J100,"")</f>
        <v>18.912603827829415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IF(1648342&gt;0,100*389961/1648342,"")</f>
        <v>23.65777247682823</v>
      </c>
      <c r="S100" s="1">
        <f>IF(COUNT(Q100:R100)=2,R100-Q100,"")</f>
        <v>-30.148214649645464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IF(1984032&gt;0,100*891908/1984032,"")</f>
        <v>44.95431525297979</v>
      </c>
      <c r="E101" s="1">
        <f>IF(COUNT(C101:D101)=2,D101-C101,"")</f>
        <v>-6.016011965434608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IF(1275980&gt;0,100*314530/1275980,"")</f>
        <v>24.65007288515494</v>
      </c>
      <c r="L101" s="1">
        <f>IF(COUNT(J101:K101)=2,K101-J101,"")</f>
        <v>-0.7149094551418003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IF(2304429&gt;0,100*943182/2304429,"")</f>
        <v>40.92909783725166</v>
      </c>
      <c r="S101" s="1">
        <f>IF(COUNT(Q101:R101)=2,R101-Q101,"")</f>
        <v>18.384445317403692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IF(408366&gt;0,100*1300/408366,"")</f>
        <v>0.3183418795884084</v>
      </c>
      <c r="E102" s="1">
        <f>IF(COUNT(C102:D102)=2,D102-C102,"")</f>
        <v>0.0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IF(1909547&gt;0,100*601288/1909547,"")</f>
        <v>31.488515338978303</v>
      </c>
      <c r="L102" s="1">
        <f>IF(COUNT(J102:K102)=2,K102-J102,"")</f>
        <v>1.1434655707236097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IF(2224820&gt;0,100*870000/2224820,"")</f>
        <v>39.10428708839367</v>
      </c>
      <c r="S102" s="1">
        <f>IF(COUNT(Q102:R102)=2,R102-Q102,"")</f>
        <v>-1.0907910224151394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IF(1798581&gt;0,100*715929/1798581,"")</f>
        <v>39.805213109668124</v>
      </c>
      <c r="E103" s="1">
        <f>IF(COUNT(C103:D103)=2,D103-C103,"")</f>
        <v>-7.137421456463329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IF(1726586&gt;0,100*586096/1726586,"")</f>
        <v>33.945369648543426</v>
      </c>
      <c r="L103" s="1">
        <f>IF(COUNT(J103:K103)=2,K103-J103,"")</f>
        <v>-14.916306879826891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IF(1958329&gt;0,100*686867/1958329,"")</f>
        <v>35.07413718532484</v>
      </c>
      <c r="S103" s="1">
        <f>IF(COUNT(Q103:R103)=2,R103-Q103,"")</f>
        <v>-8.691100599974874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IF(1584335&gt;0,100*572669/1584335,"")</f>
        <v>36.14570150883494</v>
      </c>
      <c r="E104" s="1">
        <f>IF(COUNT(C104:D104)=2,D104-C104,"")</f>
        <v>-10.935925177703623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IF(1325888&gt;0,100*412461/1325888,"")</f>
        <v>31.10828365593474</v>
      </c>
      <c r="L104" s="1">
        <f>IF(COUNT(J104:K104)=2,K104-J104,"")</f>
        <v>-0.8680244724947244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IF(539376&gt;0,100*6109/539376,"")</f>
        <v>1.132605084393818</v>
      </c>
      <c r="S104" s="1">
        <f>IF(COUNT(Q104:R104)=2,R104-Q104,"")</f>
        <v>-0.22691432069644124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IF(813343&gt;0,100*68372/813343,"")</f>
        <v>8.406293531757205</v>
      </c>
      <c r="E105" s="1">
        <f>IF(COUNT(C105:D105)=2,D105-C105,"")</f>
        <v>-18.746363769796844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IF(1653405&gt;0,100*535530/1653405,"")</f>
        <v>32.38952343799613</v>
      </c>
      <c r="L105" s="1">
        <f>IF(COUNT(J105:K105)=2,K105-J105,"")</f>
        <v>7.604046411079285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IF(1849697&gt;0,100*666687/1849697,"")</f>
        <v>36.043038400343406</v>
      </c>
      <c r="S105" s="1">
        <f>IF(COUNT(Q105:R105)=2,R105-Q105,"")</f>
        <v>-9.14444993666514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28.851776294774737</v>
      </c>
      <c r="E106" s="1">
        <f>IF(COUNT(E75:E105)&gt;0,AVERAGE(E75:E105),"")</f>
        <v>-4.93501573343827</v>
      </c>
      <c r="H106" s="2" t="s">
        <v>6</v>
      </c>
      <c r="I106" s="1"/>
      <c r="J106" s="1">
        <f>IF(COUNT(J75:J105)&gt;0,AVERAGE(J75:J105),"")</f>
        <v>36.69157069983473</v>
      </c>
      <c r="K106" s="1">
        <f>IF(COUNT(K75:K105)&gt;0,AVERAGE(K75:K105),"")</f>
        <v>27.453782436437265</v>
      </c>
      <c r="L106" s="1">
        <f>IF(COUNT(L75:L105)&gt;0,AVERAGE(L75:L105),"")</f>
        <v>-9.499885974379605</v>
      </c>
      <c r="O106" s="2" t="s">
        <v>6</v>
      </c>
      <c r="P106" s="1"/>
      <c r="Q106" s="1">
        <f>IF(COUNT(Q75:Q105)&gt;0,AVERAGE(Q75:Q105),"")</f>
        <v>34.096955178849896</v>
      </c>
      <c r="R106" s="1">
        <f>IF(COUNT(R75:R105)&gt;0,AVERAGE(R75:R105),"")</f>
        <v>27.677719737237005</v>
      </c>
      <c r="S106" s="1">
        <f>IF(COUNT(S75:S105)&gt;0,AVERAGE(S75:S105),"")</f>
        <v>-6.4192354416128925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IF(622771&gt;0,100*96525/622771,"")</f>
        <v>15.49927662013806</v>
      </c>
      <c r="E3" s="1">
        <f>IF(COUNT(C3:D3)=2,D3-C3,"")</f>
        <v>-12.930131665014686</v>
      </c>
      <c r="H3" s="1">
        <v>1</v>
      </c>
      <c r="I3" s="1">
        <v>0</v>
      </c>
      <c r="J3" s="1">
        <f>IF(1145550&gt;0,100*291815/1145550,"")</f>
        <v>25.47378988258915</v>
      </c>
      <c r="K3" s="1">
        <f>IF(709644&gt;0,100*90577/709644,"")</f>
        <v>12.763723782629036</v>
      </c>
      <c r="L3" s="1">
        <f>IF(COUNT(J3:K3)=2,K3-J3,"")</f>
        <v>-12.710066099960112</v>
      </c>
      <c r="O3" s="1">
        <v>1</v>
      </c>
      <c r="P3" s="1">
        <v>0</v>
      </c>
      <c r="Q3" s="1">
        <f>IF(1052174&gt;0,100*332764/1052174,"")</f>
        <v>31.626327964766283</v>
      </c>
      <c r="R3" s="1">
        <f>IF(553817&gt;0,100*44340/553817,"")</f>
        <v>8.00625477368878</v>
      </c>
      <c r="S3" s="1">
        <f>IF(COUNT(Q3:R3)=2,R3-Q3,"")</f>
        <v>-23.620073191077502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IF(1107433&gt;0,100*283154/1107433,"")</f>
        <v>25.568499403575657</v>
      </c>
      <c r="E4" s="1">
        <f>IF(COUNT(C4:D4)=2,D4-C4,"")</f>
        <v>-9.607250136790782</v>
      </c>
      <c r="H4" s="1">
        <v>2</v>
      </c>
      <c r="I4" s="1">
        <v>1</v>
      </c>
      <c r="J4" s="1">
        <f>IF(783729&gt;0,100*130334/783729,"")</f>
        <v>16.629983068126865</v>
      </c>
      <c r="K4" s="1">
        <f>IF(1049737&gt;0,100*274062/1049737,"")</f>
        <v>26.107682209924963</v>
      </c>
      <c r="L4" s="1">
        <f>IF(COUNT(J4:K4)=2,K4-J4,"")</f>
        <v>9.477699141798098</v>
      </c>
      <c r="O4" s="1">
        <v>2</v>
      </c>
      <c r="P4" s="1">
        <v>1</v>
      </c>
      <c r="Q4" s="1">
        <f>IF(1118920&gt;0,100*356409/1118920,"")</f>
        <v>31.852947485074893</v>
      </c>
      <c r="R4" s="1">
        <f>IF(1099363&gt;0,100*249869/1099363,"")</f>
        <v>22.728525518868654</v>
      </c>
      <c r="S4" s="1">
        <f>IF(COUNT(Q4:R4)=2,R4-Q4,"")</f>
        <v>-9.124421966206238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IF(1102255&gt;0,100*285006/1102255,"")</f>
        <v>25.856630271579625</v>
      </c>
      <c r="E5" s="1">
        <f>IF(COUNT(C5:D5)=2,D5-C5,"")</f>
        <v>-11.627160865363308</v>
      </c>
      <c r="H5" s="1">
        <v>3</v>
      </c>
      <c r="I5" s="1">
        <v>2</v>
      </c>
      <c r="J5" s="1">
        <f>IF(1441835&gt;0,100*147851/1441835,"")</f>
        <v>10.25436336335295</v>
      </c>
      <c r="K5" s="1">
        <f>IF(852469&gt;0,100*136269/852469,"")</f>
        <v>15.985214711620012</v>
      </c>
      <c r="L5" s="1">
        <f>IF(COUNT(J5:K5)=2,K5-J5,"")</f>
        <v>5.730851348267063</v>
      </c>
      <c r="O5" s="1">
        <v>3</v>
      </c>
      <c r="P5" s="1">
        <v>2</v>
      </c>
      <c r="Q5" s="1">
        <f>IF(1270809&gt;0,100*397332/1270809,"")</f>
        <v>31.266067520768267</v>
      </c>
      <c r="R5" s="1">
        <f>IF(1007332&gt;0,100*237107/1007332,"")</f>
        <v>23.53811851504767</v>
      </c>
      <c r="S5" s="1">
        <f>IF(COUNT(Q5:R5)=2,R5-Q5,"")</f>
        <v>-7.727949005720596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IF(923934&gt;0,100*217738/923934,"")</f>
        <v>23.566401929142124</v>
      </c>
      <c r="E6" s="1">
        <f>IF(COUNT(C6:D6)=2,D6-C6,"")</f>
        <v>-13.600241208637264</v>
      </c>
      <c r="H6" s="1">
        <v>4</v>
      </c>
      <c r="I6" s="1">
        <v>3</v>
      </c>
      <c r="J6" s="1">
        <f>IF(784417&gt;0,100*123870/784417,"")</f>
        <v>15.791345674558302</v>
      </c>
      <c r="K6" s="1">
        <f>IF(496035&gt;0,100*20874/496035,"")</f>
        <v>4.208170794399589</v>
      </c>
      <c r="L6" s="1">
        <f>IF(COUNT(J6:K6)=2,K6-J6,"")</f>
        <v>-11.583174880158714</v>
      </c>
      <c r="O6" s="1">
        <v>4</v>
      </c>
      <c r="P6" s="1">
        <v>3</v>
      </c>
      <c r="Q6" s="1">
        <f>IF(519550&gt;0,100*16403/519550,"")</f>
        <v>3.1571552304879225</v>
      </c>
      <c r="R6" s="1">
        <f>IF(580812&gt;0,100*71312/580812,"")</f>
        <v>12.277983237260939</v>
      </c>
      <c r="S6" s="1">
        <f>IF(COUNT(Q6:R6)=2,R6-Q6,"")</f>
        <v>9.120828006773017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IF(557183&gt;0,100*93328/557183,"")</f>
        <v>16.749972630177158</v>
      </c>
      <c r="E7" s="1">
        <f>IF(COUNT(C7:D7)=2,D7-C7,"")</f>
        <v>-18.88075025367129</v>
      </c>
      <c r="H7" s="1">
        <v>5</v>
      </c>
      <c r="I7" s="1">
        <v>4</v>
      </c>
      <c r="J7" s="1">
        <f>IF(1148710&gt;0,100*342477/1148710,"")</f>
        <v>29.814052284736793</v>
      </c>
      <c r="K7" s="1">
        <f>IF(1221127&gt;0,100*322163/1221127,"")</f>
        <v>26.38243196653583</v>
      </c>
      <c r="L7" s="1">
        <f>IF(COUNT(J7:K7)=2,K7-J7,"")</f>
        <v>-3.431620318200963</v>
      </c>
      <c r="O7" s="1">
        <v>5</v>
      </c>
      <c r="P7" s="1">
        <v>4</v>
      </c>
      <c r="Q7" s="1">
        <f>IF(1286267&gt;0,100*497044/1286267,"")</f>
        <v>38.64236585405674</v>
      </c>
      <c r="R7" s="1">
        <f>IF(1115287&gt;0,100*257292/1115287,"")</f>
        <v>23.06957760648156</v>
      </c>
      <c r="S7" s="1">
        <f>IF(COUNT(Q7:R7)=2,R7-Q7,"")</f>
        <v>-15.572788247575183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IF(671685&gt;0,100*85791/671685,"")</f>
        <v>12.772504968847004</v>
      </c>
      <c r="E8" s="1">
        <f>IF(COUNT(C8:D8)=2,D8-C8,"")</f>
        <v>-14.358879683353534</v>
      </c>
      <c r="H8" s="1">
        <v>6</v>
      </c>
      <c r="I8" s="1">
        <v>5</v>
      </c>
      <c r="J8" s="1">
        <f>IF(1039225&gt;0,100*246415/1039225,"")</f>
        <v>23.71141956746614</v>
      </c>
      <c r="K8" s="1">
        <f>IF(1013420&gt;0,100*202550/1013420,"")</f>
        <v>19.986777446665744</v>
      </c>
      <c r="L8" s="1">
        <f>IF(COUNT(J8:K8)=2,K8-J8,"")</f>
        <v>-3.7246421208003966</v>
      </c>
      <c r="O8" s="1">
        <v>6</v>
      </c>
      <c r="P8" s="1">
        <v>5</v>
      </c>
      <c r="Q8" s="1">
        <f>IF(1125005&gt;0,100*295084/1125005,"")</f>
        <v>26.229572313011943</v>
      </c>
      <c r="R8" s="1">
        <f>IF(1024896&gt;0,100*217675/1024896,"")</f>
        <v>21.238740320969153</v>
      </c>
      <c r="S8" s="1">
        <f>IF(COUNT(Q8:R8)=2,R8-Q8,"")</f>
        <v>-4.990831992042789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IF(775083&gt;0,100*115224/775083,"")</f>
        <v>14.866020800352995</v>
      </c>
      <c r="E9" s="1">
        <f>IF(COUNT(C9:D9)=2,D9-C9,"")</f>
        <v>-22.077864474997558</v>
      </c>
      <c r="H9" s="1">
        <v>7</v>
      </c>
      <c r="I9" s="1">
        <v>6</v>
      </c>
      <c r="J9" s="1">
        <f>IF(356727&gt;0,100*3261/356727,"")</f>
        <v>0.9141444297740289</v>
      </c>
      <c r="K9" s="1">
        <f>IF(467779&gt;0,100*10116/467779,"")</f>
        <v>2.162559670271645</v>
      </c>
      <c r="L9" s="1">
        <f>IF(COUNT(J9:K9)=2,K9-J9,"")</f>
        <v>1.2484152404976163</v>
      </c>
      <c r="O9" s="1">
        <v>7</v>
      </c>
      <c r="P9" s="1">
        <v>6</v>
      </c>
      <c r="Q9" s="1">
        <f>IF(851852&gt;0,100*240424/851852,"")</f>
        <v>28.223682048055295</v>
      </c>
      <c r="R9" s="1">
        <f>IF(440504&gt;0,100*17731/440504,"")</f>
        <v>4.025162087063909</v>
      </c>
      <c r="S9" s="1">
        <f>IF(COUNT(Q9:R9)=2,R9-Q9,"")</f>
        <v>-24.198519960991387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IF(1171055&gt;0,100*334955/1171055,"")</f>
        <v>28.602841027961965</v>
      </c>
      <c r="E10" s="1">
        <f>IF(COUNT(C10:D10)=2,D10-C10,"")</f>
        <v>-12.833175329508613</v>
      </c>
      <c r="H10" s="1">
        <v>8</v>
      </c>
      <c r="I10" s="1">
        <v>7</v>
      </c>
      <c r="J10" s="1">
        <f>IF(278589&gt;0,100*275/278589,"")</f>
        <v>0.09871172228623527</v>
      </c>
      <c r="K10" s="1">
        <f>IF(489840&gt;0,100*38010/489840,"")</f>
        <v>7.759676629103381</v>
      </c>
      <c r="L10" s="1">
        <f>IF(COUNT(J10:K10)=2,K10-J10,"")</f>
        <v>7.660964906817146</v>
      </c>
      <c r="O10" s="1">
        <v>8</v>
      </c>
      <c r="P10" s="1">
        <v>7</v>
      </c>
      <c r="Q10" s="1">
        <f>IF(313581&gt;0,100*3447/313581,"")</f>
        <v>1.09923751757919</v>
      </c>
      <c r="R10" s="1">
        <f>IF(342489&gt;0,100*9109/342489,"")</f>
        <v>2.6596474631302027</v>
      </c>
      <c r="S10" s="1">
        <f>IF(COUNT(Q10:R10)=2,R10-Q10,"")</f>
        <v>1.5604099455510128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IF(1221832&gt;0,100*328582/1221832,"")</f>
        <v>26.89256788167277</v>
      </c>
      <c r="E11" s="1">
        <f>IF(COUNT(C11:D11)=2,D11-C11,"")</f>
        <v>-9.351373027086403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IF(1353267&gt;0,100*434026/1353267,"")</f>
        <v>32.072458723962086</v>
      </c>
      <c r="L11" s="1">
        <f>IF(COUNT(J11:K11)=2,K11-J11,"")</f>
        <v>2.3686788655029467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IF(1431427&gt;0,100*436012/1431427,"")</f>
        <v>30.459953598751454</v>
      </c>
      <c r="S11" s="1">
        <f>IF(COUNT(Q11:R11)=2,R11-Q11,"")</f>
        <v>0.46000833468705693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IF(437196&gt;0,100*5744/437196,"")</f>
        <v>1.3138272079341988</v>
      </c>
      <c r="E12" s="1">
        <f>IF(COUNT(C12:D12)=2,D12-C12,"")</f>
        <v>-30.15836660038678</v>
      </c>
      <c r="H12" s="1">
        <v>10</v>
      </c>
      <c r="I12" s="1">
        <v>9</v>
      </c>
      <c r="J12" s="1">
        <f>IF(747366&gt;0,100*179400/747366,"")</f>
        <v>24.00430311253121</v>
      </c>
      <c r="K12" s="1">
        <f>IF(802557&gt;0,100*138466/802557,"")</f>
        <v>17.25310476389839</v>
      </c>
      <c r="L12" s="1">
        <f>IF(COUNT(J12:K12)=2,K12-J12,"")</f>
        <v>-6.751198348632823</v>
      </c>
      <c r="O12" s="1">
        <v>10</v>
      </c>
      <c r="P12" s="1">
        <v>9</v>
      </c>
      <c r="Q12" s="1">
        <f>IF(738636&gt;0,100*147882/738636,"")</f>
        <v>20.0209575487791</v>
      </c>
      <c r="R12" s="1">
        <f>IF(782270&gt;0,100*66736/782270,"")</f>
        <v>8.531069835223132</v>
      </c>
      <c r="S12" s="1">
        <f>IF(COUNT(Q12:R12)=2,R12-Q12,"")</f>
        <v>-11.48988771355597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IF(1110214&gt;0,100*326558/1110214,"")</f>
        <v>29.413968838440155</v>
      </c>
      <c r="E13" s="1">
        <f>IF(COUNT(C13:D13)=2,D13-C13,"")</f>
        <v>0.6646370379993272</v>
      </c>
      <c r="H13" s="1">
        <v>11</v>
      </c>
      <c r="I13" s="1">
        <v>10</v>
      </c>
      <c r="J13" s="1">
        <f>IF(602395&gt;0,100*29717/602395,"")</f>
        <v>4.933141875347571</v>
      </c>
      <c r="K13" s="1">
        <f>IF(723980&gt;0,100*70163/723980,"")</f>
        <v>9.691289814635763</v>
      </c>
      <c r="L13" s="1">
        <f>IF(COUNT(J13:K13)=2,K13-J13,"")</f>
        <v>4.758147939288191</v>
      </c>
      <c r="O13" s="1">
        <v>11</v>
      </c>
      <c r="P13" s="1">
        <v>10</v>
      </c>
      <c r="Q13" s="1">
        <f>IF(540292&gt;0,100*4137/540292,"")</f>
        <v>0.7656970675116419</v>
      </c>
      <c r="R13" s="1">
        <f>IF(570550&gt;0,100*30784/570550,"")</f>
        <v>5.39549557444571</v>
      </c>
      <c r="S13" s="1">
        <f>IF(COUNT(Q13:R13)=2,R13-Q13,"")</f>
        <v>4.629798506934068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IF(1008115&gt;0,100*245824/1008115,"")</f>
        <v>24.38451962325727</v>
      </c>
      <c r="E14" s="1">
        <f>IF(COUNT(C14:D14)=2,D14-C14,"")</f>
        <v>-10.118906650504833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IF(722354&gt;0,100*116171/722354,"")</f>
        <v>16.082280986884548</v>
      </c>
      <c r="L14" s="1">
        <f>IF(COUNT(J14:K14)=2,K14-J14,"")</f>
        <v>12.759472676681192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IF(625362&gt;0,100*45149/625362,"")</f>
        <v>7.219658373869855</v>
      </c>
      <c r="S14" s="1">
        <f>IF(COUNT(Q14:R14)=2,R14-Q14,"")</f>
        <v>-29.14354882285125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IF(638143&gt;0,100*94606/638143,"")</f>
        <v>14.825203755271154</v>
      </c>
      <c r="E15" s="1">
        <f>IF(COUNT(C15:D15)=2,D15-C15,"")</f>
        <v>-17.417981579808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IF(741214&gt;0,100*117135/741214,"")</f>
        <v>15.803128381277203</v>
      </c>
      <c r="L15" s="1">
        <f>IF(COUNT(J15:K15)=2,K15-J15,"")</f>
        <v>-21.42321990073731</v>
      </c>
      <c r="O15" s="1">
        <v>13</v>
      </c>
      <c r="P15" s="1">
        <v>12</v>
      </c>
      <c r="Q15" s="1">
        <f>IF(521892&gt;0,100*47266/521892,"")</f>
        <v>9.0566630643888</v>
      </c>
      <c r="R15" s="1">
        <f>IF(744305&gt;0,100*138501/744305,"")</f>
        <v>18.608097486917327</v>
      </c>
      <c r="S15" s="1">
        <f>IF(COUNT(Q15:R15)=2,R15-Q15,"")</f>
        <v>9.551434422528526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IF(610718&gt;0,100*55263/610718,"")</f>
        <v>9.04885724671616</v>
      </c>
      <c r="E16" s="1">
        <f>IF(COUNT(C16:D16)=2,D16-C16,"")</f>
        <v>-13.640208216006577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IF(678692&gt;0,100*105913/678692,"")</f>
        <v>15.60545873533208</v>
      </c>
      <c r="L16" s="1">
        <f>IF(COUNT(J16:K16)=2,K16-J16,"")</f>
        <v>-6.564663045379605</v>
      </c>
      <c r="O16" s="1">
        <v>14</v>
      </c>
      <c r="P16" s="1">
        <v>13</v>
      </c>
      <c r="Q16" s="1">
        <f>IF(385878&gt;0,100*7402/385878,"")</f>
        <v>1.9182228580017517</v>
      </c>
      <c r="R16" s="1">
        <f>IF(646913&gt;0,100*92457/646913,"")</f>
        <v>14.292029994759728</v>
      </c>
      <c r="S16" s="1">
        <f>IF(COUNT(Q16:R16)=2,R16-Q16,"")</f>
        <v>12.373807136757977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IF(1323629&gt;0,100*406015/1323629,"")</f>
        <v>30.674380812146</v>
      </c>
      <c r="E17" s="1">
        <f>IF(COUNT(C17:D17)=2,D17-C17,"")</f>
        <v>-2.3457755671834626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IF(1031198&gt;0,100*227824/1031198,"")</f>
        <v>22.09313827218439</v>
      </c>
      <c r="L17" s="1">
        <f>IF(COUNT(J17:K17)=2,K17-J17,"")</f>
        <v>-16.686211732360455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IF(968778&gt;0,100*218403/968778,"")</f>
        <v>22.544174207093885</v>
      </c>
      <c r="S17" s="1">
        <f>IF(COUNT(Q17:R17)=2,R17-Q17,"")</f>
        <v>-10.133228601138033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IF(1182271&gt;0,100*339602/1182271,"")</f>
        <v>28.724547925137298</v>
      </c>
      <c r="E18" s="1">
        <f>IF(COUNT(C18:D18)=2,D18-C18,"")</f>
        <v>-5.708725343216646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IF(714975&gt;0,100*131567/714975,"")</f>
        <v>18.401622434350852</v>
      </c>
      <c r="L18" s="1">
        <f>IF(COUNT(J18:K18)=2,K18-J18,"")</f>
        <v>-11.681623409876366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IF(850269&gt;0,100*185245/850269,"")</f>
        <v>21.78663458270265</v>
      </c>
      <c r="S18" s="1">
        <f>IF(COUNT(Q18:R18)=2,R18-Q18,"")</f>
        <v>-11.48138849340209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IF(307155&gt;0,100*7280/307155,"")</f>
        <v>2.370138854975501</v>
      </c>
      <c r="E19" s="1">
        <f>IF(COUNT(C19:D19)=2,D19-C19,"")</f>
        <v>-6.72991543557475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IF(1126205&gt;0,100*288077/1126205,"")</f>
        <v>25.579446015601068</v>
      </c>
      <c r="L19" s="1">
        <f>IF(COUNT(J19:K19)=2,K19-J19,"")</f>
        <v>-11.795318458694641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IF(1153790&gt;0,100*255014/1153790,"")</f>
        <v>22.102288978063598</v>
      </c>
      <c r="S19" s="1">
        <f>IF(COUNT(Q19:R19)=2,R19-Q19,"")</f>
        <v>0.8509412130217946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IF(335996&gt;0,100*2726/335996,"")</f>
        <v>0.8113191823712187</v>
      </c>
      <c r="E20" s="1">
        <f>IF(COUNT(C20:D20)=2,D20-C20,"")</f>
        <v>0.12797506710714512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IF(548763&gt;0,100*43799/548763,"")</f>
        <v>7.981405451898178</v>
      </c>
      <c r="L20" s="1">
        <f>IF(COUNT(J20:K20)=2,K20-J20,"")</f>
        <v>-17.283445678201616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IF(581606&gt;0,100*53599/581606,"")</f>
        <v>9.21568897157182</v>
      </c>
      <c r="S20" s="1">
        <f>IF(COUNT(Q20:R20)=2,R20-Q20,"")</f>
        <v>-20.24694512348165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IF(1265197&gt;0,100*369230/1265197,"")</f>
        <v>29.18359749509365</v>
      </c>
      <c r="E21" s="1">
        <f>IF(COUNT(C21:D21)=2,D21-C21,"")</f>
        <v>-6.278806361568314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IF(670291&gt;0,100*101519/670291,"")</f>
        <v>15.145511427126428</v>
      </c>
      <c r="L21" s="1">
        <f>IF(COUNT(J21:K21)=2,K21-J21,"")</f>
        <v>-0.31905964013475874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IF(665527&gt;0,100*60954/665527,"")</f>
        <v>9.158756894911852</v>
      </c>
      <c r="S21" s="1">
        <f>IF(COUNT(Q21:R21)=2,R21-Q21,"")</f>
        <v>-10.139203134389144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IF(913638&gt;0,100*205033/913638,"")</f>
        <v>22.4413826920509</v>
      </c>
      <c r="E22" s="1">
        <f>IF(COUNT(C22:D22)=2,D22-C22,"")</f>
        <v>-10.354183662680704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IF(614256&gt;0,100*31676/614256,"")</f>
        <v>5.1568075851110935</v>
      </c>
      <c r="L22" s="1">
        <f>IF(COUNT(J22:K22)=2,K22-J22,"")</f>
        <v>-6.08218204507244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IF(679286&gt;0,100*45305/679286,"")</f>
        <v>6.669502978127033</v>
      </c>
      <c r="S22" s="1">
        <f>IF(COUNT(Q22:R22)=2,R22-Q22,"")</f>
        <v>-22.39867720723111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IF(987942&gt;0,100*268316/987942,"")</f>
        <v>27.159084237738654</v>
      </c>
      <c r="E23" s="1">
        <f>IF(COUNT(C23:D23)=2,D23-C23,"")</f>
        <v>2.711079528205076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IF(903918&gt;0,100*151173/903918,"")</f>
        <v>16.72419400874858</v>
      </c>
      <c r="L23" s="1">
        <f>IF(COUNT(J23:K23)=2,K23-J23,"")</f>
        <v>-21.674877540716775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IF(810935&gt;0,100*117813/810935,"")</f>
        <v>14.528044787806667</v>
      </c>
      <c r="S23" s="1">
        <f>IF(COUNT(Q23:R23)=2,R23-Q23,"")</f>
        <v>-8.893226352956951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IF(454390&gt;0,100*44204/454390,"")</f>
        <v>9.72820704681001</v>
      </c>
      <c r="E24" s="1">
        <f>IF(COUNT(C24:D24)=2,D24-C24,"")</f>
        <v>-24.628757765131265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IF(1495939&gt;0,100*355665/1495939,"")</f>
        <v>23.775367845881416</v>
      </c>
      <c r="L24" s="1">
        <f>IF(COUNT(J24:K24)=2,K24-J24,"")</f>
        <v>-7.101746709627093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IF(1263156&gt;0,100*282987/1263156,"")</f>
        <v>22.40317110475666</v>
      </c>
      <c r="S24" s="1">
        <f>IF(COUNT(Q24:R24)=2,R24-Q24,"")</f>
        <v>-0.7346344588351421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IF(521363&gt;0,100*6551/521363,"")</f>
        <v>1.256514175344242</v>
      </c>
      <c r="E25" s="1">
        <f>IF(COUNT(C25:D25)=2,D25-C25,"")</f>
        <v>1.0304909621493732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IF(776591&gt;0,100*100182/776591,"")</f>
        <v>12.900226760289522</v>
      </c>
      <c r="L25" s="1">
        <f>IF(COUNT(J25:K25)=2,K25-J25,"")</f>
        <v>-5.614552191685723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IF(815659&gt;0,100*111969/815659,"")</f>
        <v>13.727427760865753</v>
      </c>
      <c r="S25" s="1">
        <f>IF(COUNT(Q25:R25)=2,R25-Q25,"")</f>
        <v>-18.542345292812556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IF(320410&gt;0,100*26113/320410,"")</f>
        <v>8.149870478449486</v>
      </c>
      <c r="E26" s="1">
        <f>IF(COUNT(C26:D26)=2,D26-C26,"")</f>
        <v>-13.08367133396111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IF(542541&gt;0,100*15794/542541,"")</f>
        <v>2.9111163948899716</v>
      </c>
      <c r="L26" s="1">
        <f>IF(COUNT(J26:K26)=2,K26-J26,"")</f>
        <v>-29.74235076691668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IF(747741&gt;0,100*116430/747741,"")</f>
        <v>15.570899549442922</v>
      </c>
      <c r="S26" s="1">
        <f>IF(COUNT(Q26:R26)=2,R26-Q26,"")</f>
        <v>-10.694224766221803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IF(1060988&gt;0,100*264945/1060988,"")</f>
        <v>24.971535964591492</v>
      </c>
      <c r="E27" s="1">
        <f>IF(COUNT(C27:D27)=2,D27-C27,"")</f>
        <v>-12.09630558680438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IF(381414&gt;0,100*4534/381414,"")</f>
        <v>1.1887345509079372</v>
      </c>
      <c r="L27" s="1">
        <f>IF(COUNT(J27:K27)=2,K27-J27,"")</f>
        <v>-19.350740455716153</v>
      </c>
      <c r="O27" s="1">
        <v>25</v>
      </c>
      <c r="P27" s="1">
        <v>24</v>
      </c>
      <c r="Q27" s="1">
        <f>IF(682080&gt;0,100*56444/682080,"")</f>
        <v>8.275275627492377</v>
      </c>
      <c r="R27" s="1">
        <f>IF(524630&gt;0,100*53995/524630,"")</f>
        <v>10.29201532508625</v>
      </c>
      <c r="S27" s="1">
        <f>IF(COUNT(Q27:R27)=2,R27-Q27,"")</f>
        <v>2.0167396975938736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IF(1151567&gt;0,100*307349/1151567,"")</f>
        <v>26.689632474706205</v>
      </c>
      <c r="E28" s="1">
        <f>IF(COUNT(C28:D28)=2,D28-C28,"")</f>
        <v>-13.302173793802982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IF(582491&gt;0,100*48418/582491,"")</f>
        <v>8.312231433618717</v>
      </c>
      <c r="L28" s="1">
        <f>IF(COUNT(J28:K28)=2,K28-J28,"")</f>
        <v>-23.65262876516818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IF(961866&gt;0,100*239161/961866,"")</f>
        <v>24.864274233625057</v>
      </c>
      <c r="S28" s="1">
        <f>IF(COUNT(Q28:R28)=2,R28-Q28,"")</f>
        <v>-6.536025616449905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IF(795360&gt;0,100*142953/795360,"")</f>
        <v>17.973370549185276</v>
      </c>
      <c r="E29" s="1">
        <f>IF(COUNT(C29:D29)=2,D29-C29,"")</f>
        <v>-11.906154222981446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IF(895640&gt;0,100*138055/895640,"")</f>
        <v>15.41411727926399</v>
      </c>
      <c r="L29" s="1">
        <f>IF(COUNT(J29:K29)=2,K29-J29,"")</f>
        <v>-1.248721124888128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IF(1056834&gt;0,100*203597/1056834,"")</f>
        <v>19.264804122501737</v>
      </c>
      <c r="S29" s="1">
        <f>IF(COUNT(Q29:R29)=2,R29-Q29,"")</f>
        <v>-20.43885687184011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IF(259814&gt;0,100*218/259814,"")</f>
        <v>0.08390617903577174</v>
      </c>
      <c r="E30" s="1">
        <f>IF(COUNT(C30:D30)=2,D30-C30,"")</f>
        <v>0.010765895205518475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IF(525073&gt;0,100*48138/525073,"")</f>
        <v>9.167868086913629</v>
      </c>
      <c r="L30" s="1">
        <f>IF(COUNT(J30:K30)=2,K30-J30,"")</f>
        <v>-24.503419765276938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IF(1088083&gt;0,100*242823/1088083,"")</f>
        <v>22.316587980880136</v>
      </c>
      <c r="S30" s="1">
        <f>IF(COUNT(Q30:R30)=2,R30-Q30,"")</f>
        <v>-5.587003072781105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IF(1075281&gt;0,100*267612/1075281,"")</f>
        <v>24.887634023106518</v>
      </c>
      <c r="E31" s="1">
        <f>IF(COUNT(C31:D31)=2,D31-C31,"")</f>
        <v>-11.262358745088815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IF(1433646&gt;0,100*395068/1433646,"")</f>
        <v>27.556872477585124</v>
      </c>
      <c r="L31" s="1">
        <f>IF(COUNT(J31:K31)=2,K31-J31,"")</f>
        <v>-8.838994114326049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IF(1130141&gt;0,100*187424/1130141,"")</f>
        <v>16.58412534365181</v>
      </c>
      <c r="S31" s="1">
        <f>IF(COUNT(Q31:R31)=2,R31-Q31,"")</f>
        <v>-20.30055947404377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IF(930217&gt;0,100*210393/930217,"")</f>
        <v>22.617625779791165</v>
      </c>
      <c r="E32" s="1">
        <f>IF(COUNT(C32:D32)=2,D32-C32,"")</f>
        <v>-14.888226501772674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IF(863128&gt;0,100*220417/863128,"")</f>
        <v>25.53700030586425</v>
      </c>
      <c r="L32" s="1">
        <f>IF(COUNT(J32:K32)=2,K32-J32,"")</f>
        <v>-4.246564292661926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IF(558785&gt;0,100*75679/558785,"")</f>
        <v>13.543491682847607</v>
      </c>
      <c r="S32" s="1">
        <f>IF(COUNT(Q32:R32)=2,R32-Q32,"")</f>
        <v>-12.29123857486048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IF(333124&gt;0,100*18546/333124,"")</f>
        <v>5.567296262052569</v>
      </c>
      <c r="E33" s="1">
        <f>IF(COUNT(C33:D33)=2,D33-C33,"")</f>
        <v>3.930839258490929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IF(1273511&gt;0,100*408278/1273511,"")</f>
        <v>32.05924408976444</v>
      </c>
      <c r="L33" s="1">
        <f>IF(COUNT(J33:K33)=2,K33-J33,"")</f>
        <v>2.6763927193043564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IF(1107797&gt;0,100*317429/1107797,"")</f>
        <v>28.654076514018364</v>
      </c>
      <c r="S33" s="1">
        <f>IF(COUNT(Q33:R33)=2,R33-Q33,"")</f>
        <v>-8.291983716699121</v>
      </c>
    </row>
    <row r="34" spans="1:19">
      <c r="A34" s="2" t="s">
        <v>6</v>
      </c>
      <c r="B34" s="1"/>
      <c r="C34" s="1">
        <f>IF(COUNT(C3:C33)&gt;0,AVERAGE(C3:C33),"")</f>
        <v>28.172990083851328</v>
      </c>
      <c r="D34" s="1">
        <f>IF(COUNT(D3:D33)&gt;0,AVERAGE(D3:D33),"")</f>
        <v>17.827456010892007</v>
      </c>
      <c r="E34" s="1">
        <f>IF(COUNT(E3:E33)&gt;0,AVERAGE(E3:E33),"")</f>
        <v>-10.345534072959317</v>
      </c>
      <c r="H34" s="2" t="s">
        <v>6</v>
      </c>
      <c r="I34" s="1"/>
      <c r="J34" s="1">
        <f>IF(COUNT(J3:J33)&gt;0,AVERAGE(J3:J33),"")</f>
        <v>23.261266503360552</v>
      </c>
      <c r="K34" s="1">
        <f>IF(COUNT(K3:K33)&gt;0,AVERAGE(K3:K33),"")</f>
        <v>15.863511710875478</v>
      </c>
      <c r="L34" s="1">
        <f>IF(COUNT(L3:L33)&gt;0,AVERAGE(L3:L33),"")</f>
        <v>-7.397754792485073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15.976654174336508</v>
      </c>
      <c r="S34" s="1">
        <f>IF(COUNT(S3:S33)&gt;0,AVERAGE(S3:S33),"")</f>
        <v>-8.77463207720376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IF(596407&gt;0,100*19002/596407,"")</f>
        <v>3.1860793049042013</v>
      </c>
      <c r="E39" s="1">
        <f>IF(COUNT(C39:D39)=2,D39-C39,"")</f>
        <v>-9.871172326121398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IF(1184144&gt;0,100*260098/1184144,"")</f>
        <v>21.965065059654908</v>
      </c>
      <c r="L39" s="1">
        <f>IF(COUNT(J39:K39)=2,K39-J39,"")</f>
        <v>-9.302441970322327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IF(1753182&gt;0,100*513789/1753182,"")</f>
        <v>29.306084593613214</v>
      </c>
      <c r="S39" s="1">
        <f>IF(COUNT(Q39:R39)=2,R39-Q39,"")</f>
        <v>10.93343344447101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IF(1723030&gt;0,100*566370/1723030,"")</f>
        <v>32.870582636402155</v>
      </c>
      <c r="E40" s="1">
        <f>IF(COUNT(C40:D40)=2,D40-C40,"")</f>
        <v>3.63714033286238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IF(988532&gt;0,100*135079/988532,"")</f>
        <v>13.664605698146342</v>
      </c>
      <c r="L40" s="1">
        <f>IF(COUNT(J40:K40)=2,K40-J40,"")</f>
        <v>-24.430948559037493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IF(1748140&gt;0,100*492738/1748140,"")</f>
        <v>28.18641527566442</v>
      </c>
      <c r="S40" s="1">
        <f>IF(COUNT(Q40:R40)=2,R40-Q40,"")</f>
        <v>-13.303028692004236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IF(1593021&gt;0,100*471783/1593021,"")</f>
        <v>29.615617119924973</v>
      </c>
      <c r="E41" s="1">
        <f>IF(COUNT(C41:D41)=2,D41-C41,"")</f>
        <v>-9.657201417273672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IF(357994&gt;0,100*12311/357994,"")</f>
        <v>3.438884450577384</v>
      </c>
      <c r="L41" s="1">
        <f>IF(COUNT(J41:K41)=2,K41-J41,"")</f>
        <v>-34.55419639450181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IF(1442166&gt;0,100*367349/1442166,"")</f>
        <v>25.472033039192436</v>
      </c>
      <c r="S41" s="1">
        <f>IF(COUNT(Q41:R41)=2,R41-Q41,"")</f>
        <v>-15.05383804040174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IF(2054&gt;0,100*624/2054,"")</f>
        <v>30.379746835443036</v>
      </c>
      <c r="E42" s="1">
        <f>IF(COUNT(C42:D42)=2,D42-C42,"")</f>
        <v>-11.614333030834267</v>
      </c>
      <c r="H42" s="1">
        <v>4</v>
      </c>
      <c r="I42" s="1">
        <v>3</v>
      </c>
      <c r="J42" s="1">
        <f>IF(778520&gt;0,100*44764/778520,"")</f>
        <v>5.749884396033499</v>
      </c>
      <c r="K42" s="1">
        <f>IF(865091&gt;0,100*107380/865091,"")</f>
        <v>12.412567001621795</v>
      </c>
      <c r="L42" s="1">
        <f>IF(COUNT(J42:K42)=2,K42-J42,"")</f>
        <v>6.662682605588296</v>
      </c>
      <c r="O42" s="1">
        <v>4</v>
      </c>
      <c r="P42" s="1">
        <v>3</v>
      </c>
      <c r="Q42" s="1">
        <f>IF(760183&gt;0,100*45060/760183,"")</f>
        <v>5.927520083979778</v>
      </c>
      <c r="R42" s="1">
        <f>IF(1000818&gt;0,100*284788/1000818,"")</f>
        <v>28.45552338187363</v>
      </c>
      <c r="S42" s="1">
        <f>IF(COUNT(Q42:R42)=2,R42-Q42,"")</f>
        <v>22.52800329789385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IF(824623&gt;0,100*128187/824623,"")</f>
        <v>15.544921739995125</v>
      </c>
      <c r="E43" s="1">
        <f>IF(COUNT(C43:D43)=2,D43-C43,"")</f>
        <v>-2.1883604739744946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IF(2013685&gt;0,100*622208/2013685,"")</f>
        <v>30.898973771965327</v>
      </c>
      <c r="L43" s="1">
        <f>IF(COUNT(J43:K43)=2,K43-J43,"")</f>
        <v>-11.226616745597862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IF(1968208&gt;0,100*677072/1968208,"")</f>
        <v>34.400429222927656</v>
      </c>
      <c r="S43" s="1">
        <f>IF(COUNT(Q43:R43)=2,R43-Q43,"")</f>
        <v>-12.815240889449932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IF(1069825&gt;0,100*277176/1069825,"")</f>
        <v>25.908536442876173</v>
      </c>
      <c r="E44" s="1">
        <f>IF(COUNT(C44:D44)=2,D44-C44,"")</f>
        <v>-17.944822188474927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IF(1793326&gt;0,100*476786/1793326,"")</f>
        <v>26.586688644451705</v>
      </c>
      <c r="L44" s="1">
        <f>IF(COUNT(J44:K44)=2,K44-J44,"")</f>
        <v>-15.021660265278427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IF(1395091&gt;0,100*314700/1395091,"")</f>
        <v>22.557668281137214</v>
      </c>
      <c r="S44" s="1">
        <f>IF(COUNT(Q44:R44)=2,R44-Q44,"")</f>
        <v>4.460794044042174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IF(1450994&gt;0,100*431265/1450994,"")</f>
        <v>29.72203882304131</v>
      </c>
      <c r="E45" s="1">
        <f>IF(COUNT(C45:D45)=2,D45-C45,"")</f>
        <v>-15.292394332361248</v>
      </c>
      <c r="H45" s="1">
        <v>7</v>
      </c>
      <c r="I45" s="1">
        <v>6</v>
      </c>
      <c r="J45" s="1">
        <f>IF(545527&gt;0,100*1624/545527,"")</f>
        <v>0.2976937896749382</v>
      </c>
      <c r="K45" s="1">
        <f>IF(613653&gt;0,100*29388/613653,"")</f>
        <v>4.789025719747154</v>
      </c>
      <c r="L45" s="1">
        <f>IF(COUNT(J45:K45)=2,K45-J45,"")</f>
        <v>4.491331930072215</v>
      </c>
      <c r="O45" s="1">
        <v>7</v>
      </c>
      <c r="P45" s="1">
        <v>6</v>
      </c>
      <c r="Q45" s="1">
        <f>IF(700580&gt;0,100*18395/700580,"")</f>
        <v>2.6256815781209855</v>
      </c>
      <c r="R45" s="1">
        <f>IF(811471&gt;0,100*47309/811471,"")</f>
        <v>5.8300296621813965</v>
      </c>
      <c r="S45" s="1">
        <f>IF(COUNT(Q45:R45)=2,R45-Q45,"")</f>
        <v>3.204348084060411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IF(1532130&gt;0,100*476061/1532130,"")</f>
        <v>31.07184116230346</v>
      </c>
      <c r="E46" s="1">
        <f>IF(COUNT(C46:D46)=2,D46-C46,"")</f>
        <v>-10.215357824647722</v>
      </c>
      <c r="H46" s="1">
        <v>8</v>
      </c>
      <c r="I46" s="1">
        <v>7</v>
      </c>
      <c r="J46" s="1">
        <f>IF(453926&gt;0,100*2064/453926,"")</f>
        <v>0.45469966470305734</v>
      </c>
      <c r="K46" s="1">
        <f>IF(403463&gt;0,100*81/403463,"")</f>
        <v>0.020076190381769828</v>
      </c>
      <c r="L46" s="1">
        <f>IF(COUNT(J46:K46)=2,K46-J46,"")</f>
        <v>-0.4346234743212875</v>
      </c>
      <c r="O46" s="1">
        <v>8</v>
      </c>
      <c r="P46" s="1">
        <v>7</v>
      </c>
      <c r="Q46" s="1">
        <f>IF(505497&gt;0,100*20606/505497,"")</f>
        <v>4.076384231756074</v>
      </c>
      <c r="R46" s="1">
        <f>IF(656022&gt;0,100*10931/656022,"")</f>
        <v>1.6662550951035178</v>
      </c>
      <c r="S46" s="1">
        <f>IF(COUNT(Q46:R46)=2,R46-Q46,"")</f>
        <v>-2.4101291366525563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IF(1540082&gt;0,100*521400/1540082,"")</f>
        <v>33.85534017019873</v>
      </c>
      <c r="E47" s="1">
        <f>IF(COUNT(C47:D47)=2,D47-C47,"")</f>
        <v>-13.388950875205836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IF(1596589&gt;0,100*396547/1596589,"")</f>
        <v>24.83713717180815</v>
      </c>
      <c r="L47" s="1">
        <f>IF(COUNT(J47:K47)=2,K47-J47,"")</f>
        <v>-17.801163681147205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IF(2192607&gt;0,100*830775/2192607,"")</f>
        <v>37.88982704150812</v>
      </c>
      <c r="S47" s="1">
        <f>IF(COUNT(Q47:R47)=2,R47-Q47,"")</f>
        <v>-7.123719522625848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IF(506222&gt;0,100*2283/506222,"")</f>
        <v>0.4509879064916183</v>
      </c>
      <c r="E48" s="1">
        <f>IF(COUNT(C48:D48)=2,D48-C48,"")</f>
        <v>-28.825886862625484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IF(1527413&gt;0,100*350676/1527413,"")</f>
        <v>22.958819913147263</v>
      </c>
      <c r="L48" s="1">
        <f>IF(COUNT(J48:K48)=2,K48-J48,"")</f>
        <v>-20.897453626094727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IF(717650&gt;0,100*26837/717650,"")</f>
        <v>3.7395666411203234</v>
      </c>
      <c r="S48" s="1">
        <f>IF(COUNT(Q48:R48)=2,R48-Q48,"")</f>
        <v>-25.658596408019136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IF(1764443&gt;0,100*634397/1764443,"")</f>
        <v>35.95451935823373</v>
      </c>
      <c r="E49" s="1">
        <f>IF(COUNT(C49:D49)=2,D49-C49,"")</f>
        <v>-6.712232104320613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IF(1061772&gt;0,100*202326/1061772,"")</f>
        <v>19.0555034414168</v>
      </c>
      <c r="L49" s="1">
        <f>IF(COUNT(J49:K49)=2,K49-J49,"")</f>
        <v>-15.170505569338541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IF(692847&gt;0,100*75255/692847,"")</f>
        <v>10.861705398161499</v>
      </c>
      <c r="S49" s="1">
        <f>IF(COUNT(Q49:R49)=2,R49-Q49,"")</f>
        <v>-31.03723067090369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IF(1534885&gt;0,100*486670/1534885,"")</f>
        <v>31.70726145607</v>
      </c>
      <c r="E50" s="1">
        <f>IF(COUNT(C50:D50)=2,D50-C50,"")</f>
        <v>-7.321978084088833</v>
      </c>
      <c r="H50" s="1">
        <v>12</v>
      </c>
      <c r="I50" s="1">
        <v>11</v>
      </c>
      <c r="J50" s="1">
        <f>IF(16409&gt;0,100*2109/16409,"")</f>
        <v>12.85270278505698</v>
      </c>
      <c r="K50" s="1">
        <f>IF(833527&gt;0,100*34575/833527,"")</f>
        <v>4.148035996434428</v>
      </c>
      <c r="L50" s="1">
        <f>IF(COUNT(J50:K50)=2,K50-J50,"")</f>
        <v>-8.704666788622552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IF(839071&gt;0,100*30077/839071,"")</f>
        <v>3.584559590308806</v>
      </c>
      <c r="S50" s="1">
        <f>IF(COUNT(Q50:R50)=2,R50-Q50,"")</f>
        <v>-35.51944500569121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IF(1015709&gt;0,100*187196/1015709,"")</f>
        <v>18.430081844307768</v>
      </c>
      <c r="E51" s="1">
        <f>IF(COUNT(C51:D51)=2,D51-C51,"")</f>
        <v>-25.705976213681378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IF(952556&gt;0,100*94353/952556,"")</f>
        <v>9.905244416076325</v>
      </c>
      <c r="L51" s="1">
        <f>IF(COUNT(J51:K51)=2,K51-J51,"")</f>
        <v>-0.8056662106362769</v>
      </c>
      <c r="O51" s="1">
        <v>13</v>
      </c>
      <c r="P51" s="1">
        <v>12</v>
      </c>
      <c r="Q51" s="1">
        <f>IF(609443&gt;0,100*13444/609443,"")</f>
        <v>2.20594871054389</v>
      </c>
      <c r="R51" s="1">
        <f>IF(3894227&gt;0,100*19322/3894227,"")</f>
        <v>0.49617035678711074</v>
      </c>
      <c r="S51" s="1">
        <f>IF(COUNT(Q51:R51)=2,R51-Q51,"")</f>
        <v>-1.7097783537567794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IF(431858&gt;0,100*25835/431858,"")</f>
        <v>5.982290475109874</v>
      </c>
      <c r="E52" s="1">
        <f>IF(COUNT(C52:D52)=2,D52-C52,"")</f>
        <v>5.578993572598954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IF(1094925&gt;0,100*194191/1094925,"")</f>
        <v>17.735552663424436</v>
      </c>
      <c r="L52" s="1">
        <f>IF(COUNT(J52:K52)=2,K52-J52,"")</f>
        <v>-15.07590473987171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IF(444953&gt;0,100*1662/444953,"")</f>
        <v>0.37352259676864746</v>
      </c>
      <c r="S52" s="1">
        <f>IF(COUNT(Q52:R52)=2,R52-Q52,"")</f>
        <v>-21.328356283966777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IF(1587352&gt;0,100*507329/1587352,"")</f>
        <v>31.960711927789173</v>
      </c>
      <c r="E53" s="1">
        <f>IF(COUNT(C53:D53)=2,D53-C53,"")</f>
        <v>0.7321944742650324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IF(1617093&gt;0,100*434407/1617093,"")</f>
        <v>26.863451885574918</v>
      </c>
      <c r="L53" s="1">
        <f>IF(COUNT(J53:K53)=2,K53-J53,"")</f>
        <v>-3.9291001209083376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IF(1745103&gt;0,100*479989/1745103,"")</f>
        <v>27.50490945233605</v>
      </c>
      <c r="S53" s="1">
        <f>IF(COUNT(Q53:R53)=2,R53-Q53,"")</f>
        <v>-20.604744769432436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IF(1425651&gt;0,100*441241/1425651,"")</f>
        <v>30.95014137401089</v>
      </c>
      <c r="E54" s="1">
        <f>IF(COUNT(C54:D54)=2,D54-C54,"")</f>
        <v>-11.27816490824965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IF(547661&gt;0,100*76238/547661,"")</f>
        <v>13.920655295885593</v>
      </c>
      <c r="L54" s="1">
        <f>IF(COUNT(J54:K54)=2,K54-J54,"")</f>
        <v>-29.272995164519294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IF(971335&gt;0,100*96095/971335,"")</f>
        <v>9.893085289833065</v>
      </c>
      <c r="S54" s="1">
        <f>IF(COUNT(Q54:R54)=2,R54-Q54,"")</f>
        <v>-35.448535638913754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IF(435167&gt;0,100*14670/435167,"")</f>
        <v>3.3711195931676805</v>
      </c>
      <c r="E55" s="1">
        <f>IF(COUNT(C55:D55)=2,D55-C55,"")</f>
        <v>1.750267933831415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IF(1470858&gt;0,100*321184/1470858,"")</f>
        <v>21.836506311282257</v>
      </c>
      <c r="L55" s="1">
        <f>IF(COUNT(J55:K55)=2,K55-J55,"")</f>
        <v>-14.545623879466476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IF(1987884&gt;0,100*644289/1987884,"")</f>
        <v>32.41079459364832</v>
      </c>
      <c r="S55" s="1">
        <f>IF(COUNT(Q55:R55)=2,R55-Q55,"")</f>
        <v>-2.758846588567984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IF(433698&gt;0,100*4727/433698,"")</f>
        <v>1.0899289367255556</v>
      </c>
      <c r="E56" s="1">
        <f>IF(COUNT(C56:D56)=2,D56-C56,"")</f>
        <v>-13.21388468439155</v>
      </c>
      <c r="H56" s="1">
        <v>18</v>
      </c>
      <c r="I56" s="1">
        <v>17</v>
      </c>
      <c r="J56" s="1">
        <f>IF(2215&gt;0,100*355/2215,"")</f>
        <v>16.02708803611738</v>
      </c>
      <c r="K56" s="1">
        <f>IF(1149566&gt;0,100*164749/1149566,"")</f>
        <v>14.331408548965436</v>
      </c>
      <c r="L56" s="1">
        <f>IF(COUNT(J56:K56)=2,K56-J56,"")</f>
        <v>-1.6956794871519438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IF(1424310&gt;0,100*60432/1424310,"")</f>
        <v>4.2428965604397915</v>
      </c>
      <c r="S56" s="1">
        <f>IF(COUNT(Q56:R56)=2,R56-Q56,"")</f>
        <v>-42.785553994821974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IF(1854548&gt;0,100*726679/1854548,"")</f>
        <v>39.183617787191274</v>
      </c>
      <c r="E57" s="1">
        <f>IF(COUNT(C57:D57)=2,D57-C57,"")</f>
        <v>-0.35611243417341854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IF(1142562&gt;0,100*184059/1142562,"")</f>
        <v>16.109322732595693</v>
      </c>
      <c r="L57" s="1">
        <f>IF(COUNT(J57:K57)=2,K57-J57,"")</f>
        <v>-17.743195836182338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IF(1039227&gt;0,100*95363/1039227,"")</f>
        <v>9.176339721735483</v>
      </c>
      <c r="S57" s="1">
        <f>IF(COUNT(Q57:R57)=2,R57-Q57,"")</f>
        <v>-23.118015424616715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IF(1250391&gt;0,100*350895/1250391,"")</f>
        <v>28.06282194929426</v>
      </c>
      <c r="E58" s="1">
        <f>IF(COUNT(C58:D58)=2,D58-C58,"")</f>
        <v>-14.87939749100336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IF(1132313&gt;0,100*160071/1132313,"")</f>
        <v>14.136638897548647</v>
      </c>
      <c r="L58" s="1">
        <f>IF(COUNT(J58:K58)=2,K58-J58,"")</f>
        <v>-29.781801493093777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IF(1348533&gt;0,100*327321/1348533,"")</f>
        <v>24.272375981900332</v>
      </c>
      <c r="S58" s="1">
        <f>IF(COUNT(Q58:R58)=2,R58-Q58,"")</f>
        <v>-17.978524859381963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IF(1095058&gt;0,100*219472/1095058,"")</f>
        <v>20.042043435142247</v>
      </c>
      <c r="E59" s="1">
        <f>IF(COUNT(C59:D59)=2,D59-C59,"")</f>
        <v>-12.356659529173534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IF(1139679&gt;0,100*142959/1139679,"")</f>
        <v>12.543795226550634</v>
      </c>
      <c r="L59" s="1">
        <f>IF(COUNT(J59:K59)=2,K59-J59,"")</f>
        <v>-25.00760762385176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IF(1528347&gt;0,100*357405/1528347,"")</f>
        <v>23.38506896666791</v>
      </c>
      <c r="S59" s="1">
        <f>IF(COUNT(Q59:R59)=2,R59-Q59,"")</f>
        <v>-18.601161595638253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IF(1418756&gt;0,100*390369/1418756,"")</f>
        <v>27.514879232228797</v>
      </c>
      <c r="E60" s="1">
        <f>IF(COUNT(C60:D60)=2,D60-C60,"")</f>
        <v>-17.395196692546396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IF(1909177&gt;0,100*593049/1909177,"")</f>
        <v>31.06307063200531</v>
      </c>
      <c r="L60" s="1">
        <f>IF(COUNT(J60:K60)=2,K60-J60,"")</f>
        <v>-13.717363272793559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IF(1914&gt;0,100*550/1914,"")</f>
        <v>28.735632183908045</v>
      </c>
      <c r="S60" s="1">
        <f>IF(COUNT(Q60:R60)=2,R60-Q60,"")</f>
        <v>-5.4884380913387645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IF(360722&gt;0,100*1642/360722,"")</f>
        <v>0.45519818586057964</v>
      </c>
      <c r="E61" s="1">
        <f>IF(COUNT(C61:D61)=2,D61-C61,"")</f>
        <v>0.21825597561647864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IF(1594400&gt;0,100*485607/1594400,"")</f>
        <v>30.45703712995484</v>
      </c>
      <c r="L61" s="1">
        <f>IF(COUNT(J61:K61)=2,K61-J61,"")</f>
        <v>-17.9485770826793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IF(1124048&gt;0,100*141604/1124048,"")</f>
        <v>12.597682661238666</v>
      </c>
      <c r="S61" s="1">
        <f>IF(COUNT(Q61:R61)=2,R61-Q61,"")</f>
        <v>-22.45489760039603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IF(1054965&gt;0,100*212872/1054965,"")</f>
        <v>20.178110174271183</v>
      </c>
      <c r="E62" s="1">
        <f>IF(COUNT(C62:D62)=2,D62-C62,"")</f>
        <v>-0.7651376058507289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IF(151392&gt;0,100*4453/151392,"")</f>
        <v>2.9413707461424647</v>
      </c>
      <c r="L62" s="1">
        <f>IF(COUNT(J62:K62)=2,K62-J62,"")</f>
        <v>-41.682934900141476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IF(1078271&gt;0,100*135464/1078271,"")</f>
        <v>12.563075516266318</v>
      </c>
      <c r="S62" s="1">
        <f>IF(COUNT(Q62:R62)=2,R62-Q62,"")</f>
        <v>-16.33156813952194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IF(1605145&gt;0,100*523315/1605145,"")</f>
        <v>32.60235056645973</v>
      </c>
      <c r="E63" s="1">
        <f>IF(COUNT(C63:D63)=2,D63-C63,"")</f>
        <v>3.3623270670050047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IF(950876&gt;0,100*83123/950876,"")</f>
        <v>8.741728679659598</v>
      </c>
      <c r="L63" s="1">
        <f>IF(COUNT(J63:K63)=2,K63-J63,"")</f>
        <v>-35.82925133134398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IF(1304336&gt;0,100*268098/1304336,"")</f>
        <v>20.554366359588325</v>
      </c>
      <c r="S63" s="1">
        <f>IF(COUNT(Q63:R63)=2,R63-Q63,"")</f>
        <v>-23.120321822061424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IF(1549939&gt;0,100*559870/1549939,"")</f>
        <v>36.122066739400715</v>
      </c>
      <c r="E64" s="1">
        <f>IF(COUNT(C64:D64)=2,D64-C64,"")</f>
        <v>-10.269113582251244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IF(1103797&gt;0,100*215645/1103797,"")</f>
        <v>19.536653931837105</v>
      </c>
      <c r="L64" s="1">
        <f>IF(COUNT(J64:K64)=2,K64-J64,"")</f>
        <v>-12.47201363101276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IF(847923&gt;0,100*68186/847923,"")</f>
        <v>8.04153207307739</v>
      </c>
      <c r="S64" s="1">
        <f>IF(COUNT(Q64:R64)=2,R64-Q64,"")</f>
        <v>-36.3633214302629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IF(1568912&gt;0,100*541770/1568912,"")</f>
        <v>34.53157347257208</v>
      </c>
      <c r="E65" s="1">
        <f>IF(COUNT(C65:D65)=2,D65-C65,"")</f>
        <v>-2.8129940291561297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IF(1751837&gt;0,100*473943/1751837,"")</f>
        <v>27.054058111570882</v>
      </c>
      <c r="L65" s="1">
        <f>IF(COUNT(J65:K65)=2,K65-J65,"")</f>
        <v>-7.848014019269897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IF(1326664&gt;0,100*316791/1326664,"")</f>
        <v>23.878766590485608</v>
      </c>
      <c r="S65" s="1">
        <f>IF(COUNT(Q65:R65)=2,R65-Q65,"")</f>
        <v>-10.48751788425874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IF(342335&gt;0,100*651/342335,"")</f>
        <v>0.19016460484613026</v>
      </c>
      <c r="E66" s="1">
        <f>IF(COUNT(C66:D66)=2,D66-C66,"")</f>
        <v>0.09052401226219549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IF(1168610&gt;0,100*172109/1168610,"")</f>
        <v>14.72766791316179</v>
      </c>
      <c r="L66" s="1">
        <f>IF(COUNT(J66:K66)=2,K66-J66,"")</f>
        <v>-24.48971678853073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IF(1622608&gt;0,100*434314/1622608,"")</f>
        <v>26.766415548302486</v>
      </c>
      <c r="S66" s="1">
        <f>IF(COUNT(Q66:R66)=2,R66-Q66,"")</f>
        <v>-4.097677383966278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IF(1582746&gt;0,100*518896/1582746,"")</f>
        <v>32.78454028631252</v>
      </c>
      <c r="E67" s="1">
        <f>IF(COUNT(C67:D67)=2,D67-C67,"")</f>
        <v>-2.0662177951872636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IF(1987792&gt;0,100*598139/1987792,"")</f>
        <v>30.090623163791786</v>
      </c>
      <c r="L67" s="1">
        <f>IF(COUNT(J67:K67)=2,K67-J67,"")</f>
        <v>-15.654327532961975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IF(1367298&gt;0,100*287294/1367298,"")</f>
        <v>21.011805765824274</v>
      </c>
      <c r="S67" s="1">
        <f>IF(COUNT(Q67:R67)=2,R67-Q67,"")</f>
        <v>-19.92012451411046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IF(1595646&gt;0,100*492782/1595646,"")</f>
        <v>30.882915132805145</v>
      </c>
      <c r="E68" s="1">
        <f>IF(COUNT(C68:D68)=2,D68-C68,"")</f>
        <v>-11.927184893682167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IF(1058171&gt;0,100*218745/1058171,"")</f>
        <v>20.671989687867082</v>
      </c>
      <c r="L68" s="1">
        <f>IF(COUNT(J68:K68)=2,K68-J68,"")</f>
        <v>-16.14153794306344</v>
      </c>
      <c r="O68" s="1">
        <v>30</v>
      </c>
      <c r="P68" s="1">
        <v>29</v>
      </c>
      <c r="Q68" s="1">
        <f>IF(653286&gt;0,100*39372/653286,"")</f>
        <v>6.026763163453679</v>
      </c>
      <c r="R68" s="1">
        <f>IF(878385&gt;0,100*134466/878385,"")</f>
        <v>15.308321521883911</v>
      </c>
      <c r="S68" s="1">
        <f>IF(COUNT(Q68:R68)=2,R68-Q68,"")</f>
        <v>9.281558358430232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IF(830247&gt;0,100*91880/830247,"")</f>
        <v>11.066586208682477</v>
      </c>
      <c r="E69" s="1">
        <f>IF(COUNT(C69:D69)=2,D69-C69,"")</f>
        <v>10.770954320660596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IF(839408&gt;0,100*102816/839408,"")</f>
        <v>12.248632369479443</v>
      </c>
      <c r="L69" s="1">
        <f>IF(COUNT(J69:K69)=2,K69-J69,"")</f>
        <v>-23.128219945535257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IF(1258988&gt;0,100*284353/1258988,"")</f>
        <v>22.585838784801762</v>
      </c>
      <c r="S69" s="1">
        <f>IF(COUNT(Q69:R69)=2,R69-Q69,"")</f>
        <v>-10.034494678335431</v>
      </c>
    </row>
    <row r="70" spans="1:19">
      <c r="A70" s="2" t="s">
        <v>6</v>
      </c>
      <c r="B70" s="1"/>
      <c r="C70" s="1">
        <f>IF(COUNT(C39:C69)&gt;0,AVERAGE(C39:C69),"")</f>
        <v>30.180215695878584</v>
      </c>
      <c r="D70" s="1">
        <f>IF(COUNT(D39:D69)&gt;0,AVERAGE(D39:D69),"")</f>
        <v>22.763503705872985</v>
      </c>
      <c r="E70" s="1">
        <f>IF(COUNT(E39:E69)&gt;0,AVERAGE(E39:E69),"")</f>
        <v>-7.416711990005587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17.08679972266862</v>
      </c>
      <c r="L70" s="1">
        <f>IF(COUNT(L39:L69)&gt;0,AVERAGE(L39:L69),"")</f>
        <v>-15.908380436826326</v>
      </c>
      <c r="O70" s="2" t="s">
        <v>6</v>
      </c>
      <c r="P70" s="1"/>
      <c r="Q70" s="1">
        <f>IF(COUNT(Q39:Q69)&gt;0,AVERAGE(Q39:Q69),"")</f>
        <v>31.641731223822106</v>
      </c>
      <c r="R70" s="1">
        <f>IF(COUNT(R39:R69)&gt;0,AVERAGE(R39:R69),"")</f>
        <v>17.927377346718895</v>
      </c>
      <c r="S70" s="1">
        <f>IF(COUNT(S39:S69)&gt;0,AVERAGE(S39:S69),"")</f>
        <v>-13.714353877103203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IF(719824&gt;0,100*58424/719824,"")</f>
        <v>8.116428460290294</v>
      </c>
      <c r="E75" s="1">
        <f>IF(COUNT(C75:D75)=2,D75-C75,"")</f>
        <v>5.401264447960667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IF(1854235&gt;0,100*449641/1854235,"")</f>
        <v>24.249407437568593</v>
      </c>
      <c r="L75" s="1">
        <f>IF(COUNT(J75:K75)=2,K75-J75,"")</f>
        <v>-29.05164281835009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IF(1931863&gt;0,100*685143/1931863,"")</f>
        <v>35.46540308500137</v>
      </c>
      <c r="S75" s="1">
        <f>IF(COUNT(Q75:R75)=2,R75-Q75,"")</f>
        <v>-8.615958141631069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IF(1494381&gt;0,100*469824/1494381,"")</f>
        <v>31.439371887089035</v>
      </c>
      <c r="E76" s="1">
        <f>IF(COUNT(C76:D76)=2,D76-C76,"")</f>
        <v>-5.591558995716955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IF(2160843&gt;0,100*662906/2160843,"")</f>
        <v>30.678119604247048</v>
      </c>
      <c r="L76" s="1">
        <f>IF(COUNT(J76:K76)=2,K76-J76,"")</f>
        <v>-12.826138344988461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IF(2489826&gt;0,100*975551/2489826,"")</f>
        <v>39.181493003928786</v>
      </c>
      <c r="S76" s="1">
        <f>IF(COUNT(Q76:R76)=2,R76-Q76,"")</f>
        <v>-1.6796777761171384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IF(1697919&gt;0,100*608500/1697919,"")</f>
        <v>35.837987560066175</v>
      </c>
      <c r="E77" s="1">
        <f>IF(COUNT(C77:D77)=2,D77-C77,"")</f>
        <v>-3.4012226360997815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IF(1749445&gt;0,100*386573/1749445,"")</f>
        <v>22.09689358625164</v>
      </c>
      <c r="L77" s="1">
        <f>IF(COUNT(J77:K77)=2,K77-J77,"")</f>
        <v>-20.36678445903715</v>
      </c>
      <c r="O77" s="1">
        <v>3</v>
      </c>
      <c r="P77" s="1">
        <v>2</v>
      </c>
      <c r="Q77" s="1">
        <f>IF(1162874&gt;0,100*45924/1162874,"")</f>
        <v>3.949181080667381</v>
      </c>
      <c r="R77" s="1">
        <f>IF(714955&gt;0,100*67381/714955,"")</f>
        <v>9.424509234846948</v>
      </c>
      <c r="S77" s="1">
        <f>IF(COUNT(Q77:R77)=2,R77-Q77,"")</f>
        <v>5.475328154179566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IF(1946157&gt;0,100*764524/1946157,"")</f>
        <v>39.2837782357744</v>
      </c>
      <c r="E78" s="1">
        <f>IF(COUNT(C78:D78)=2,D78-C78,"")</f>
        <v>-5.992052393049661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IF(951875&gt;0,100*59322/951875,"")</f>
        <v>6.232120814182535</v>
      </c>
      <c r="L78" s="1">
        <f>IF(COUNT(J78:K78)=2,K78-J78,"")</f>
        <v>-41.28176081727522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IF(1063708&gt;0,100*102772/1063708,"")</f>
        <v>9.661674068447356</v>
      </c>
      <c r="S78" s="1">
        <f>IF(COUNT(Q78:R78)=2,R78-Q78,"")</f>
        <v>-43.11600428021973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IF(1129542&gt;0,100*215752/1129542,"")</f>
        <v>19.100839101157813</v>
      </c>
      <c r="E79" s="1">
        <f>IF(COUNT(C79:D79)=2,D79-C79,"")</f>
        <v>-29.648555577657593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IF(1896677&gt;0,100*543781/1896677,"")</f>
        <v>28.67019529419084</v>
      </c>
      <c r="L79" s="1">
        <f>IF(COUNT(J79:K79)=2,K79-J79,"")</f>
        <v>-18.151145397939473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IF(2114211&gt;0,100*672274/2114211,"")</f>
        <v>31.797866911107736</v>
      </c>
      <c r="S79" s="1">
        <f>IF(COUNT(Q79:R79)=2,R79-Q79,"")</f>
        <v>-17.134376635138498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IF(1492298&gt;0,100*438211/1492298,"")</f>
        <v>29.364845359304912</v>
      </c>
      <c r="E80" s="1">
        <f>IF(COUNT(C80:D80)=2,D80-C80,"")</f>
        <v>-9.343244688166845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IF(1895194&gt;0,100*614028/1895194,"")</f>
        <v>32.39921612246556</v>
      </c>
      <c r="L80" s="1">
        <f>IF(COUNT(J80:K80)=2,K80-J80,"")</f>
        <v>-6.901117076052387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IF(1755258&gt;0,100*509738/1755258,"")</f>
        <v>29.040631063923367</v>
      </c>
      <c r="S80" s="1">
        <f>IF(COUNT(Q80:R80)=2,R80-Q80,"")</f>
        <v>-13.778067825321362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IF(1252880&gt;0,100*247958/1252880,"")</f>
        <v>19.791041440521038</v>
      </c>
      <c r="E81" s="1">
        <f>IF(COUNT(C81:D81)=2,D81-C81,"")</f>
        <v>-22.333443156910906</v>
      </c>
      <c r="H81" s="1">
        <v>7</v>
      </c>
      <c r="I81" s="1">
        <v>6</v>
      </c>
      <c r="J81" s="1">
        <f>IF(710153&gt;0,100*3904/710153,"")</f>
        <v>0.5497406896823642</v>
      </c>
      <c r="K81" s="1">
        <f>IF(954494&gt;0,100*125285/954494,"")</f>
        <v>13.125802781368977</v>
      </c>
      <c r="L81" s="1">
        <f>IF(COUNT(J81:K81)=2,K81-J81,"")</f>
        <v>12.576062091686612</v>
      </c>
      <c r="O81" s="1">
        <v>7</v>
      </c>
      <c r="P81" s="1">
        <v>6</v>
      </c>
      <c r="Q81" s="1">
        <f>IF(528040&gt;0,100*6901/528040,"")</f>
        <v>1.3069085675327627</v>
      </c>
      <c r="R81" s="1">
        <f>IF(1336406&gt;0,100*214768/1336406,"")</f>
        <v>16.070565382077003</v>
      </c>
      <c r="S81" s="1">
        <f>IF(COUNT(Q81:R81)=2,R81-Q81,"")</f>
        <v>14.763656814544241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IF(1784626&gt;0,100*600437/1784626,"")</f>
        <v>33.64497659453578</v>
      </c>
      <c r="E82" s="1">
        <f>IF(COUNT(C82:D82)=2,D82-C82,"")</f>
        <v>-12.994458280277875</v>
      </c>
      <c r="H82" s="1">
        <v>8</v>
      </c>
      <c r="I82" s="1">
        <v>7</v>
      </c>
      <c r="J82" s="1">
        <f>IF(619510&gt;0,100*7411/619510,"")</f>
        <v>1.1962680182725056</v>
      </c>
      <c r="K82" s="1">
        <f>IF(504756&gt;0,100*1289/504756,"")</f>
        <v>0.25537091188613903</v>
      </c>
      <c r="L82" s="1">
        <f>IF(COUNT(J82:K82)=2,K82-J82,"")</f>
        <v>-0.9408971063863666</v>
      </c>
      <c r="O82" s="1">
        <v>8</v>
      </c>
      <c r="P82" s="1">
        <v>7</v>
      </c>
      <c r="Q82" s="1">
        <f>IF(665002&gt;0,100*8971/665002,"")</f>
        <v>1.3490184991924836</v>
      </c>
      <c r="R82" s="1">
        <f>IF(531706&gt;0,100*2397/531706,"")</f>
        <v>0.45081304329836414</v>
      </c>
      <c r="S82" s="1">
        <f>IF(COUNT(Q82:R82)=2,R82-Q82,"")</f>
        <v>-0.8982054558941195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IF(1840943&gt;0,100*692319/1840943,"")</f>
        <v>37.606759144634026</v>
      </c>
      <c r="E83" s="1">
        <f>IF(COUNT(C83:D83)=2,D83-C83,"")</f>
        <v>5.403341938621033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IF(2361145&gt;0,100*866818/2361145,"")</f>
        <v>36.71176484290461</v>
      </c>
      <c r="L83" s="1">
        <f>IF(COUNT(J83:K83)=2,K83-J83,"")</f>
        <v>-8.173573107680241</v>
      </c>
      <c r="O83" s="1">
        <v>9</v>
      </c>
      <c r="P83" s="1">
        <v>8</v>
      </c>
      <c r="Q83" s="1">
        <f>IF(1967808&gt;0,100*766923/1967808,"")</f>
        <v>38.9734669236023</v>
      </c>
      <c r="R83" s="1">
        <f>IF(2433908&gt;0,100*879838/2433908,"")</f>
        <v>36.149188876489994</v>
      </c>
      <c r="S83" s="1">
        <f>IF(COUNT(Q83:R83)=2,R83-Q83,"")</f>
        <v>-2.8242780471123083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IF(685700&gt;0,100*70313/685700,"")</f>
        <v>10.254192795683243</v>
      </c>
      <c r="E84" s="1">
        <f>IF(COUNT(C84:D84)=2,D84-C84,"")</f>
        <v>8.56088615833735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IF(817598&gt;0,100*5850/817598,"")</f>
        <v>0.7155105565326725</v>
      </c>
      <c r="L84" s="1">
        <f>IF(COUNT(J84:K84)=2,K84-J84,"")</f>
        <v>-49.47149927638748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IF(1572681&gt;0,100*278386/1572681,"")</f>
        <v>17.701364739575286</v>
      </c>
      <c r="S84" s="1">
        <f>IF(COUNT(Q84:R84)=2,R84-Q84,"")</f>
        <v>1.6888805084546625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IF(42768&gt;0,100*10450/42768,"")</f>
        <v>24.43415637860082</v>
      </c>
      <c r="E85" s="1">
        <f>IF(COUNT(C85:D85)=2,D85-C85,"")</f>
        <v>-23.379082984315378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IF(1040996&gt;0,100*56258/1040996,"")</f>
        <v>5.40424747069153</v>
      </c>
      <c r="L85" s="1">
        <f>IF(COUNT(J85:K85)=2,K85-J85,"")</f>
        <v>-50.039989645874655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IF(1424178&gt;0,100*229124/1424178,"")</f>
        <v>16.08815751963589</v>
      </c>
      <c r="S85" s="1">
        <f>IF(COUNT(Q85:R85)=2,R85-Q85,"")</f>
        <v>-32.51221303267948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IF(2254284&gt;0,100*889385/2254284,"")</f>
        <v>39.453103513133215</v>
      </c>
      <c r="E86" s="1">
        <f>IF(COUNT(C86:D86)=2,D86-C86,"")</f>
        <v>-3.775056735251546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IF(1030341&gt;0,100*8481/1030341,"")</f>
        <v>0.8231255477555489</v>
      </c>
      <c r="L86" s="1">
        <f>IF(COUNT(J86:K86)=2,K86-J86,"")</f>
        <v>-46.84033329619031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IF(2034899&gt;0,100*611621/2034899,"")</f>
        <v>30.056577746610518</v>
      </c>
      <c r="S86" s="1">
        <f>IF(COUNT(Q86:R86)=2,R86-Q86,"")</f>
        <v>-18.583591495928548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IF(911621&gt;0,100*190186/911621,"")</f>
        <v>20.862397860514402</v>
      </c>
      <c r="E87" s="1">
        <f>IF(COUNT(C87:D87)=2,D87-C87,"")</f>
        <v>-7.322251843003549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IF(2074384&gt;0,100*641443/2074384,"")</f>
        <v>30.922095426883356</v>
      </c>
      <c r="L87" s="1">
        <f>IF(COUNT(J87:K87)=2,K87-J87,"")</f>
        <v>-13.671318334765349</v>
      </c>
      <c r="O87" s="1">
        <v>13</v>
      </c>
      <c r="P87" s="1">
        <v>12</v>
      </c>
      <c r="Q87" s="1">
        <f>IF(818878&gt;0,100*7212/818878,"")</f>
        <v>0.8807172741238621</v>
      </c>
      <c r="R87" s="1">
        <f>IF(787544&gt;0,100*28653/787544,"")</f>
        <v>3.6382729091961847</v>
      </c>
      <c r="S87" s="1">
        <f>IF(COUNT(Q87:R87)=2,R87-Q87,"")</f>
        <v>2.7575556350723227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IF(536438&gt;0,100*35086/536438,"")</f>
        <v>6.54055081854753</v>
      </c>
      <c r="E88" s="1">
        <f>IF(COUNT(C88:D88)=2,D88-C88,"")</f>
        <v>-13.954317187943936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IF(519607&gt;0,100*486/519607,"")</f>
        <v>0.0935322272409725</v>
      </c>
      <c r="L88" s="1">
        <f>IF(COUNT(J88:K88)=2,K88-J88,"")</f>
        <v>-32.91878903766397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IF(809759&gt;0,100*52792/809759,"")</f>
        <v>6.519470607921616</v>
      </c>
      <c r="S88" s="1">
        <f>IF(COUNT(Q88:R88)=2,R88-Q88,"")</f>
        <v>-5.442437742920075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IF(1237213&gt;0,100*350126/1237213,"")</f>
        <v>28.299573315185018</v>
      </c>
      <c r="E89" s="1">
        <f>IF(COUNT(C89:D89)=2,D89-C89,"")</f>
        <v>-13.969961629374577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IF(1902929&gt;0,100*523517/1902929,"")</f>
        <v>27.51111575891691</v>
      </c>
      <c r="L89" s="1">
        <f>IF(COUNT(J89:K89)=2,K89-J89,"")</f>
        <v>8.337996781151258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IF(2260578&gt;0,100*780719/2260578,"")</f>
        <v>34.53625577175395</v>
      </c>
      <c r="S89" s="1">
        <f>IF(COUNT(Q89:R89)=2,R89-Q89,"")</f>
        <v>8.235392837521019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IF(2052558&gt;0,100*677342/2052558,"")</f>
        <v>32.99989573985242</v>
      </c>
      <c r="E90" s="1">
        <f>IF(COUNT(C90:D90)=2,D90-C90,"")</f>
        <v>-7.957432452112641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IF(1627723&gt;0,100*325636/1627723,"")</f>
        <v>20.00561520602707</v>
      </c>
      <c r="L90" s="1">
        <f>IF(COUNT(J90:K90)=2,K90-J90,"")</f>
        <v>-23.363950072621893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IF(1389999&gt;0,100*230888/1389999,"")</f>
        <v>16.610659432129086</v>
      </c>
      <c r="S90" s="1">
        <f>IF(COUNT(Q90:R90)=2,R90-Q90,"")</f>
        <v>-34.37754144209097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IF(484198&gt;0,100*17256/484198,"")</f>
        <v>3.5638313252016736</v>
      </c>
      <c r="E91" s="1">
        <f>IF(COUNT(C91:D91)=2,D91-C91,"")</f>
        <v>-0.12702833611300157</v>
      </c>
      <c r="H91" s="1">
        <v>17</v>
      </c>
      <c r="I91" s="1">
        <v>16</v>
      </c>
      <c r="J91" s="1">
        <f>IF(88900&gt;0,100*3265/88900,"")</f>
        <v>3.6726659167604048</v>
      </c>
      <c r="K91" s="1">
        <f>IF(1718077&gt;0,100*397684/1718077,"")</f>
        <v>23.14704172164577</v>
      </c>
      <c r="L91" s="1">
        <f>IF(COUNT(J91:K91)=2,K91-J91,"")</f>
        <v>19.474375804885366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IF(1339718&gt;0,100*278985/1339718,"")</f>
        <v>20.824158516941626</v>
      </c>
      <c r="S91" s="1">
        <f>IF(COUNT(Q91:R91)=2,R91-Q91,"")</f>
        <v>-21.09724944892587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IF(523122&gt;0,100*4733/523122,"")</f>
        <v>0.9047602662476439</v>
      </c>
      <c r="E92" s="1">
        <f>IF(COUNT(C92:D92)=2,D92-C92,"")</f>
        <v>-21.202685608635967</v>
      </c>
      <c r="H92" s="1">
        <v>18</v>
      </c>
      <c r="I92" s="1">
        <v>17</v>
      </c>
      <c r="J92" s="4"/>
      <c r="K92" s="1">
        <f>IF(1641658&gt;0,100*421488/1641658,"")</f>
        <v>25.674531479760095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IF(1313570&gt;0,100*198553/1313570,"")</f>
        <v>15.11552486734624</v>
      </c>
      <c r="S92" s="1">
        <f>IF(COUNT(Q92:R92)=2,R92-Q92,"")</f>
        <v>-29.98616508855973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IF(2056302&gt;0,100*816371/2056302,"")</f>
        <v>39.70092914367637</v>
      </c>
      <c r="E93" s="1">
        <f>IF(COUNT(C93:D93)=2,D93-C93,"")</f>
        <v>-6.635232451125773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IF(993510&gt;0,100*37484/993510,"")</f>
        <v>3.7728860303368865</v>
      </c>
      <c r="L93" s="1">
        <f>IF(COUNT(J93:K93)=2,K93-J93,"")</f>
        <v>-33.15038746252222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IF(1348275&gt;0,100*353757/1348275,"")</f>
        <v>26.23774823385437</v>
      </c>
      <c r="S93" s="1">
        <f>IF(COUNT(Q93:R93)=2,R93-Q93,"")</f>
        <v>-11.590104961408393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IF(1397747&gt;0,100*389051/1397747,"")</f>
        <v>27.83415024321283</v>
      </c>
      <c r="E94" s="1">
        <f>IF(COUNT(C94:D94)=2,D94-C94,"")</f>
        <v>-13.845227436760442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IF(1426915&gt;0,100*321905/1426915,"")</f>
        <v>22.559507749235237</v>
      </c>
      <c r="L94" s="1">
        <f>IF(COUNT(J94:K94)=2,K94-J94,"")</f>
        <v>-19.236334394695426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IF(1322488&gt;0,100*293590/1322488,"")</f>
        <v>22.199823363236565</v>
      </c>
      <c r="S94" s="1">
        <f>IF(COUNT(Q94:R94)=2,R94-Q94,"")</f>
        <v>-23.983868229270076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IF(1357752&gt;0,100*422039/1357752,"")</f>
        <v>31.083658871428657</v>
      </c>
      <c r="E95" s="1">
        <f>IF(COUNT(C95:D95)=2,D95-C95,"")</f>
        <v>-18.733415313816618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IF(2340786&gt;0,100*877770/2340786,"")</f>
        <v>37.498942662849146</v>
      </c>
      <c r="L95" s="1">
        <f>IF(COUNT(J95:K95)=2,K95-J95,"")</f>
        <v>-12.22394584229906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IF(394682&gt;0,100*12524/394682,"")</f>
        <v>3.1731875281872495</v>
      </c>
      <c r="S95" s="1">
        <f>IF(COUNT(Q95:R95)=2,R95-Q95,"")</f>
        <v>-43.586075186211886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IF(1831836&gt;0,100*619733/1831836,"")</f>
        <v>33.83124908561683</v>
      </c>
      <c r="E96" s="1">
        <f>IF(COUNT(C96:D96)=2,D96-C96,"")</f>
        <v>7.216555602702488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IF(2356548&gt;0,100*489072/2356548,"")</f>
        <v>20.75374658186466</v>
      </c>
      <c r="L96" s="1">
        <f>IF(COUNT(J96:K96)=2,K96-J96,"")</f>
        <v>-24.88466604570717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IF(1979002&gt;0,100*525192/1979002,"")</f>
        <v>26.538224822410488</v>
      </c>
      <c r="S96" s="1">
        <f>IF(COUNT(Q96:R96)=2,R96-Q96,"")</f>
        <v>-6.621646822573471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IF(683226&gt;0,100*4102/683226,"")</f>
        <v>0.6003869876146399</v>
      </c>
      <c r="E97" s="1">
        <f>IF(COUNT(C97:D97)=2,D97-C97,"")</f>
        <v>0.4796918227956827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IF(2249991&gt;0,100*816733/2249991,"")</f>
        <v>36.299389642003014</v>
      </c>
      <c r="L97" s="1">
        <f>IF(COUNT(J97:K97)=2,K97-J97,"")</f>
        <v>-13.043694088133769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IF(2092437&gt;0,100*727334/2092437,"")</f>
        <v>34.76013853702644</v>
      </c>
      <c r="S97" s="1">
        <f>IF(COUNT(Q97:R97)=2,R97-Q97,"")</f>
        <v>-7.827178802165847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IF(1299776&gt;0,100*309851/1299776,"")</f>
        <v>23.83879991629327</v>
      </c>
      <c r="E98" s="1">
        <f>IF(COUNT(C98:D98)=2,D98-C98,"")</f>
        <v>-15.83480873487008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IF(814732&gt;0,100*14259/814732,"")</f>
        <v>1.750146060299583</v>
      </c>
      <c r="L98" s="1">
        <f>IF(COUNT(J98:K98)=2,K98-J98,"")</f>
        <v>-41.48810826668423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IF(1174009&gt;0,100*197890/1174009,"")</f>
        <v>16.85591848103379</v>
      </c>
      <c r="S98" s="1">
        <f>IF(COUNT(Q98:R98)=2,R98-Q98,"")</f>
        <v>-23.930821626985065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IF(1962103&gt;0,100*727903/1962103,"")</f>
        <v>37.09810341251198</v>
      </c>
      <c r="E99" s="1">
        <f>IF(COUNT(C99:D99)=2,D99-C99,"")</f>
        <v>-4.345365868601917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IF(1394438&gt;0,100*182311/1394438,"")</f>
        <v>13.074156039924327</v>
      </c>
      <c r="L99" s="1">
        <f>IF(COUNT(J99:K99)=2,K99-J99,"")</f>
        <v>-37.1894884459369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IF(1592002&gt;0,100*371185/1592002,"")</f>
        <v>23.315611412548478</v>
      </c>
      <c r="S99" s="1">
        <f>IF(COUNT(Q99:R99)=2,R99-Q99,"")</f>
        <v>-14.06976000990722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IF(1932313&gt;0,100*770668/1932313,"")</f>
        <v>39.883186626597244</v>
      </c>
      <c r="E100" s="1">
        <f>IF(COUNT(C100:D100)=2,D100-C100,"")</f>
        <v>-6.2313487996974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IF(1944481&gt;0,100*525445/1944481,"")</f>
        <v>27.022377693585074</v>
      </c>
      <c r="L100" s="1">
        <f>IF(COUNT(J100:K100)=2,K100-J100,"")</f>
        <v>21.185829227552695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IF(2043827&gt;0,100*682250/2043827,"")</f>
        <v>33.38100533949302</v>
      </c>
      <c r="S100" s="1">
        <f>IF(COUNT(Q100:R100)=2,R100-Q100,"")</f>
        <v>-20.424981786980673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IF(1571760&gt;0,100*529309/1571760,"")</f>
        <v>33.6761973838245</v>
      </c>
      <c r="E101" s="1">
        <f>IF(COUNT(C101:D101)=2,D101-C101,"")</f>
        <v>-17.294129834589896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IF(1884541&gt;0,100*650468/1884541,"")</f>
        <v>34.51599089645701</v>
      </c>
      <c r="L101" s="1">
        <f>IF(COUNT(J101:K101)=2,K101-J101,"")</f>
        <v>9.15100855616027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IF(2106327&gt;0,100*742509/2106327,"")</f>
        <v>35.251364104433925</v>
      </c>
      <c r="S101" s="1">
        <f>IF(COUNT(Q101:R101)=2,R101-Q101,"")</f>
        <v>12.706711584585957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IF(401896&gt;0,100*420/401896,"")</f>
        <v>0.1045046479686287</v>
      </c>
      <c r="E102" s="1">
        <f>IF(COUNT(C102:D102)=2,D102-C102,"")</f>
        <v>-0.21383723161977974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IF(2156539&gt;0,100*637847/2156539,"")</f>
        <v>29.577345923259443</v>
      </c>
      <c r="L102" s="1">
        <f>IF(COUNT(J102:K102)=2,K102-J102,"")</f>
        <v>-0.7677038449952498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IF(1751493&gt;0,100*498974/1751493,"")</f>
        <v>28.48849524377203</v>
      </c>
      <c r="S102" s="1">
        <f>IF(COUNT(Q102:R102)=2,R102-Q102,"")</f>
        <v>-11.70658286703678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IF(1872334&gt;0,100*618564/1872334,"")</f>
        <v>33.03705428625448</v>
      </c>
      <c r="E103" s="1">
        <f>IF(COUNT(C103:D103)=2,D103-C103,"")</f>
        <v>-13.905580279876972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IF(2170089&gt;0,100*778374/2170089,"")</f>
        <v>35.86829848914031</v>
      </c>
      <c r="L103" s="1">
        <f>IF(COUNT(J103:K103)=2,K103-J103,"")</f>
        <v>-12.99337803923001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IF(1880872&gt;0,100*538748/1880872,"")</f>
        <v>28.643522791556258</v>
      </c>
      <c r="S103" s="1">
        <f>IF(COUNT(Q103:R103)=2,R103-Q103,"")</f>
        <v>-15.121714993743453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IF(2101647&gt;0,100*817018/2101647,"")</f>
        <v>38.8751298386456</v>
      </c>
      <c r="E104" s="1">
        <f>IF(COUNT(C104:D104)=2,D104-C104,"")</f>
        <v>-8.206496847892964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IF(848086&gt;0,100*20051/848086,"")</f>
        <v>2.3642649448287085</v>
      </c>
      <c r="L104" s="1">
        <f>IF(COUNT(J104:K104)=2,K104-J104,"")</f>
        <v>-29.612043183600758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IF(528756&gt;0,100*3880/528756,"")</f>
        <v>0.7337978197883334</v>
      </c>
      <c r="S104" s="1">
        <f>IF(COUNT(Q104:R104)=2,R104-Q104,"")</f>
        <v>-0.6257215853019259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IF(814788&gt;0,100*13588/814788,"")</f>
        <v>1.6676730634226327</v>
      </c>
      <c r="E105" s="1">
        <f>IF(COUNT(C105:D105)=2,D105-C105,"")</f>
        <v>-25.484984238131418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IF(2141387&gt;0,100*643265/2141387,"")</f>
        <v>30.039642530752264</v>
      </c>
      <c r="L105" s="1">
        <f>IF(COUNT(J105:K105)=2,K105-J105,"")</f>
        <v>5.2541655038354165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IF(1046288&gt;0,100*214557/1046288,"")</f>
        <v>20.506495343538298</v>
      </c>
      <c r="S105" s="1">
        <f>IF(COUNT(Q105:R105)=2,R105-Q105,"")</f>
        <v>-24.680992993470248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24.604177848497002</v>
      </c>
      <c r="E106" s="1">
        <f>IF(COUNT(E75:E105)&gt;0,AVERAGE(E75:E105),"")</f>
        <v>-9.182614179716007</v>
      </c>
      <c r="H106" s="2" t="s">
        <v>6</v>
      </c>
      <c r="I106" s="1"/>
      <c r="J106" s="1">
        <f>IF(COUNT(J75:J105)&gt;0,AVERAGE(J75:J105),"")</f>
        <v>36.69157069983473</v>
      </c>
      <c r="K106" s="1">
        <f>IF(COUNT(K75:K105)&gt;0,AVERAGE(K75:K105),"")</f>
        <v>20.12298071080825</v>
      </c>
      <c r="L106" s="1">
        <f>IF(COUNT(L75:L105)&gt;0,AVERAGE(L75:L105),"")</f>
        <v>-16.753641681324872</v>
      </c>
      <c r="O106" s="2" t="s">
        <v>6</v>
      </c>
      <c r="P106" s="1"/>
      <c r="Q106" s="1">
        <f>IF(COUNT(Q75:Q105)&gt;0,AVERAGE(Q75:Q105),"")</f>
        <v>34.096955178849896</v>
      </c>
      <c r="R106" s="1">
        <f>IF(COUNT(R75:R105)&gt;0,AVERAGE(R75:R105),"")</f>
        <v>21.561868380680988</v>
      </c>
      <c r="S106" s="1">
        <f>IF(COUNT(S75:S105)&gt;0,AVERAGE(S75:S105),"")</f>
        <v>-12.535086798168908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IF(568065&gt;0,100*71007/568065,"")</f>
        <v>12.499801959282829</v>
      </c>
      <c r="E3" s="1">
        <f>IF(COUNT(C3:D3)=2,D3-C3,"")</f>
        <v>-15.929606325869917</v>
      </c>
      <c r="H3" s="1">
        <v>1</v>
      </c>
      <c r="I3" s="1">
        <v>0</v>
      </c>
      <c r="J3" s="1">
        <f>IF(1145550&gt;0,100*291815/1145550,"")</f>
        <v>25.47378988258915</v>
      </c>
      <c r="K3" s="1">
        <f>IF(974409&gt;0,100*231509/974409,"")</f>
        <v>23.75891437784339</v>
      </c>
      <c r="L3" s="1">
        <f>IF(COUNT(J3:K3)=2,K3-J3,"")</f>
        <v>-1.7148755047457591</v>
      </c>
      <c r="O3" s="1">
        <v>1</v>
      </c>
      <c r="P3" s="1">
        <v>0</v>
      </c>
      <c r="Q3" s="1">
        <f>IF(1052174&gt;0,100*332764/1052174,"")</f>
        <v>31.626327964766283</v>
      </c>
      <c r="R3" s="1">
        <f>IF(850867&gt;0,100*140435/850867,"")</f>
        <v>16.50492967761119</v>
      </c>
      <c r="S3" s="1">
        <f>IF(COUNT(Q3:R3)=2,R3-Q3,"")</f>
        <v>-15.121398287155092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IF(1192578&gt;0,100*256936/1192578,"")</f>
        <v>21.544586601463383</v>
      </c>
      <c r="E4" s="1">
        <f>IF(COUNT(C4:D4)=2,D4-C4,"")</f>
        <v>-13.631162938903056</v>
      </c>
      <c r="H4" s="1">
        <v>2</v>
      </c>
      <c r="I4" s="1">
        <v>1</v>
      </c>
      <c r="J4" s="1">
        <f>IF(783729&gt;0,100*130334/783729,"")</f>
        <v>16.629983068126865</v>
      </c>
      <c r="K4" s="1">
        <f>IF(789280&gt;0,100*112869/789280,"")</f>
        <v>14.300248327589703</v>
      </c>
      <c r="L4" s="1">
        <f>IF(COUNT(J4:K4)=2,K4-J4,"")</f>
        <v>-2.3297347405371625</v>
      </c>
      <c r="O4" s="1">
        <v>2</v>
      </c>
      <c r="P4" s="1">
        <v>1</v>
      </c>
      <c r="Q4" s="1">
        <f>IF(1118920&gt;0,100*356409/1118920,"")</f>
        <v>31.852947485074893</v>
      </c>
      <c r="R4" s="1">
        <f>IF(838386&gt;0,100*140232/838386,"")</f>
        <v>16.726424343917955</v>
      </c>
      <c r="S4" s="1">
        <f>IF(COUNT(Q4:R4)=2,R4-Q4,"")</f>
        <v>-15.126523141156937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IF(1099401&gt;0,100*233980/1099401,"")</f>
        <v>21.282498378662563</v>
      </c>
      <c r="E5" s="1">
        <f>IF(COUNT(C5:D5)=2,D5-C5,"")</f>
        <v>-16.20129275828037</v>
      </c>
      <c r="H5" s="1">
        <v>3</v>
      </c>
      <c r="I5" s="1">
        <v>2</v>
      </c>
      <c r="J5" s="1">
        <f>IF(1441835&gt;0,100*147851/1441835,"")</f>
        <v>10.25436336335295</v>
      </c>
      <c r="K5" s="1">
        <f>IF(544206&gt;0,100*55840/544206,"")</f>
        <v>10.26082035111704</v>
      </c>
      <c r="L5" s="1">
        <f>IF(COUNT(J5:K5)=2,K5-J5,"")</f>
        <v>0.006456987764090982</v>
      </c>
      <c r="O5" s="1">
        <v>3</v>
      </c>
      <c r="P5" s="1">
        <v>2</v>
      </c>
      <c r="Q5" s="1">
        <f>IF(1270809&gt;0,100*397332/1270809,"")</f>
        <v>31.266067520768267</v>
      </c>
      <c r="R5" s="1">
        <f>IF(931661&gt;0,100*136208/931661,"")</f>
        <v>14.619910031653145</v>
      </c>
      <c r="S5" s="1">
        <f>IF(COUNT(Q5:R5)=2,R5-Q5,"")</f>
        <v>-16.646157489115122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IF(608947&gt;0,100*29083/608947,"")</f>
        <v>4.77594930264867</v>
      </c>
      <c r="E6" s="1">
        <f>IF(COUNT(C6:D6)=2,D6-C6,"")</f>
        <v>-32.39069383513072</v>
      </c>
      <c r="H6" s="1">
        <v>4</v>
      </c>
      <c r="I6" s="1">
        <v>3</v>
      </c>
      <c r="J6" s="1">
        <f>IF(784417&gt;0,100*123870/784417,"")</f>
        <v>15.791345674558302</v>
      </c>
      <c r="K6" s="1">
        <f>IF(672718&gt;0,100*79726/672718,"")</f>
        <v>11.851325518270658</v>
      </c>
      <c r="L6" s="1">
        <f>IF(COUNT(J6:K6)=2,K6-J6,"")</f>
        <v>-3.9400201562876447</v>
      </c>
      <c r="O6" s="1">
        <v>4</v>
      </c>
      <c r="P6" s="1">
        <v>3</v>
      </c>
      <c r="Q6" s="1">
        <f>IF(519550&gt;0,100*16403/519550,"")</f>
        <v>3.1571552304879225</v>
      </c>
      <c r="R6" s="1">
        <f>IF(611811&gt;0,100*58469/611811,"")</f>
        <v>9.55670950669406</v>
      </c>
      <c r="S6" s="1">
        <f>IF(COUNT(Q6:R6)=2,R6-Q6,"")</f>
        <v>6.399554276206138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IF(554191&gt;0,100*47080/554191,"")</f>
        <v>8.495266072527341</v>
      </c>
      <c r="E7" s="1">
        <f>IF(COUNT(C7:D7)=2,D7-C7,"")</f>
        <v>-27.135456811321106</v>
      </c>
      <c r="H7" s="1">
        <v>5</v>
      </c>
      <c r="I7" s="1">
        <v>4</v>
      </c>
      <c r="J7" s="1">
        <f>IF(1148710&gt;0,100*342477/1148710,"")</f>
        <v>29.814052284736793</v>
      </c>
      <c r="K7" s="1">
        <f>IF(1202566&gt;0,100*293370/1202566,"")</f>
        <v>24.395334642755575</v>
      </c>
      <c r="L7" s="1">
        <f>IF(COUNT(J7:K7)=2,K7-J7,"")</f>
        <v>-5.4187176419812175</v>
      </c>
      <c r="O7" s="1">
        <v>5</v>
      </c>
      <c r="P7" s="1">
        <v>4</v>
      </c>
      <c r="Q7" s="1">
        <f>IF(1286267&gt;0,100*497044/1286267,"")</f>
        <v>38.64236585405674</v>
      </c>
      <c r="R7" s="1">
        <f>IF(1357797&gt;0,100*355229/1357797,"")</f>
        <v>26.16215826077094</v>
      </c>
      <c r="S7" s="1">
        <f>IF(COUNT(Q7:R7)=2,R7-Q7,"")</f>
        <v>-12.480207593285801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IF(747155&gt;0,100*142351/747155,"")</f>
        <v>19.052405458037487</v>
      </c>
      <c r="E8" s="1">
        <f>IF(COUNT(C8:D8)=2,D8-C8,"")</f>
        <v>-8.07897919416305</v>
      </c>
      <c r="H8" s="1">
        <v>6</v>
      </c>
      <c r="I8" s="1">
        <v>5</v>
      </c>
      <c r="J8" s="1">
        <f>IF(1039225&gt;0,100*246415/1039225,"")</f>
        <v>23.71141956746614</v>
      </c>
      <c r="K8" s="1">
        <f>IF(984154&gt;0,100*191958/984154,"")</f>
        <v>19.50487423716207</v>
      </c>
      <c r="L8" s="1">
        <f>IF(COUNT(J8:K8)=2,K8-J8,"")</f>
        <v>-4.2065453303040705</v>
      </c>
      <c r="O8" s="1">
        <v>6</v>
      </c>
      <c r="P8" s="1">
        <v>5</v>
      </c>
      <c r="Q8" s="1">
        <f>IF(1125005&gt;0,100*295084/1125005,"")</f>
        <v>26.229572313011943</v>
      </c>
      <c r="R8" s="1">
        <f>IF(961765&gt;0,100*160155/961765,"")</f>
        <v>16.65219674244748</v>
      </c>
      <c r="S8" s="1">
        <f>IF(COUNT(Q8:R8)=2,R8-Q8,"")</f>
        <v>-9.577375570564463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IF(902371&gt;0,100*176497/902371,"")</f>
        <v>19.559250020224496</v>
      </c>
      <c r="E9" s="1">
        <f>IF(COUNT(C9:D9)=2,D9-C9,"")</f>
        <v>-17.384635255126057</v>
      </c>
      <c r="H9" s="1">
        <v>7</v>
      </c>
      <c r="I9" s="1">
        <v>6</v>
      </c>
      <c r="J9" s="1">
        <f>IF(356727&gt;0,100*3261/356727,"")</f>
        <v>0.9141444297740289</v>
      </c>
      <c r="K9" s="1">
        <f>IF(321485&gt;0,100*3837/321485,"")</f>
        <v>1.1935238035989237</v>
      </c>
      <c r="L9" s="1">
        <f>IF(COUNT(J9:K9)=2,K9-J9,"")</f>
        <v>0.27937937382489486</v>
      </c>
      <c r="O9" s="1">
        <v>7</v>
      </c>
      <c r="P9" s="1">
        <v>6</v>
      </c>
      <c r="Q9" s="1">
        <f>IF(851852&gt;0,100*240424/851852,"")</f>
        <v>28.223682048055295</v>
      </c>
      <c r="R9" s="1">
        <f>IF(554175&gt;0,100*34968/554175,"")</f>
        <v>6.309920151576668</v>
      </c>
      <c r="S9" s="1">
        <f>IF(COUNT(Q9:R9)=2,R9-Q9,"")</f>
        <v>-21.913761896478626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IF(1040054&gt;0,100*253373/1040054,"")</f>
        <v>24.361523536277925</v>
      </c>
      <c r="E10" s="1">
        <f>IF(COUNT(C10:D10)=2,D10-C10,"")</f>
        <v>-17.074492821192653</v>
      </c>
      <c r="H10" s="1">
        <v>8</v>
      </c>
      <c r="I10" s="1">
        <v>7</v>
      </c>
      <c r="J10" s="1">
        <f>IF(278589&gt;0,100*275/278589,"")</f>
        <v>0.09871172228623527</v>
      </c>
      <c r="K10" s="1">
        <f>IF(400847&gt;0,100*13432/400847,"")</f>
        <v>3.35090445980636</v>
      </c>
      <c r="L10" s="1">
        <f>IF(COUNT(J10:K10)=2,K10-J10,"")</f>
        <v>3.2521927375201245</v>
      </c>
      <c r="O10" s="1">
        <v>8</v>
      </c>
      <c r="P10" s="1">
        <v>7</v>
      </c>
      <c r="Q10" s="1">
        <f>IF(313581&gt;0,100*3447/313581,"")</f>
        <v>1.09923751757919</v>
      </c>
      <c r="R10" s="1">
        <f>IF(409951&gt;0,100*2521/409951,"")</f>
        <v>0.6149515429892841</v>
      </c>
      <c r="S10" s="1">
        <f>IF(COUNT(Q10:R10)=2,R10-Q10,"")</f>
        <v>-0.48428597458990585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IF(786385&gt;0,100*178040/786385,"")</f>
        <v>22.64030977193105</v>
      </c>
      <c r="E11" s="1">
        <f>IF(COUNT(C11:D11)=2,D11-C11,"")</f>
        <v>-13.60363113682812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IF(1361625&gt;0,100*303961/1361625,"")</f>
        <v>22.323400348847883</v>
      </c>
      <c r="L11" s="1">
        <f>IF(COUNT(J11:K11)=2,K11-J11,"")</f>
        <v>-7.380379509611256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IF(1527574&gt;0,100*440918/1527574,"")</f>
        <v>28.863937197150513</v>
      </c>
      <c r="S11" s="1">
        <f>IF(COUNT(Q11:R11)=2,R11-Q11,"")</f>
        <v>-1.1360080669138846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IF(526596&gt;0,100*16746/526596,"")</f>
        <v>3.1800469430075426</v>
      </c>
      <c r="E12" s="1">
        <f>IF(COUNT(C12:D12)=2,D12-C12,"")</f>
        <v>-28.292146865313438</v>
      </c>
      <c r="H12" s="1">
        <v>10</v>
      </c>
      <c r="I12" s="1">
        <v>9</v>
      </c>
      <c r="J12" s="1">
        <f>IF(747366&gt;0,100*179400/747366,"")</f>
        <v>24.00430311253121</v>
      </c>
      <c r="K12" s="1">
        <f>IF(558379&gt;0,100*59867/558379,"")</f>
        <v>10.721570832713981</v>
      </c>
      <c r="L12" s="1">
        <f>IF(COUNT(J12:K12)=2,K12-J12,"")</f>
        <v>-13.28273227981723</v>
      </c>
      <c r="O12" s="1">
        <v>10</v>
      </c>
      <c r="P12" s="1">
        <v>9</v>
      </c>
      <c r="Q12" s="1">
        <f>IF(738636&gt;0,100*147882/738636,"")</f>
        <v>20.0209575487791</v>
      </c>
      <c r="R12" s="1">
        <f>IF(476587&gt;0,100*14610/476587,"")</f>
        <v>3.065547318747679</v>
      </c>
      <c r="S12" s="1">
        <f>IF(COUNT(Q12:R12)=2,R12-Q12,"")</f>
        <v>-16.955410230031422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IF(1233013&gt;0,100*295775/1233013,"")</f>
        <v>23.987987150176032</v>
      </c>
      <c r="E13" s="1">
        <f>IF(COUNT(C13:D13)=2,D13-C13,"")</f>
        <v>-4.761344650264796</v>
      </c>
      <c r="H13" s="1">
        <v>11</v>
      </c>
      <c r="I13" s="1">
        <v>10</v>
      </c>
      <c r="J13" s="1">
        <f>IF(602395&gt;0,100*29717/602395,"")</f>
        <v>4.933141875347571</v>
      </c>
      <c r="K13" s="1">
        <f>IF(716008&gt;0,100*57786/716008,"")</f>
        <v>8.070580216980815</v>
      </c>
      <c r="L13" s="1">
        <f>IF(COUNT(J13:K13)=2,K13-J13,"")</f>
        <v>3.137438341633244</v>
      </c>
      <c r="O13" s="1">
        <v>11</v>
      </c>
      <c r="P13" s="1">
        <v>10</v>
      </c>
      <c r="Q13" s="1">
        <f>IF(540292&gt;0,100*4137/540292,"")</f>
        <v>0.7656970675116419</v>
      </c>
      <c r="R13" s="1">
        <f>IF(929350&gt;0,100*145308/929350,"")</f>
        <v>15.635444127616076</v>
      </c>
      <c r="S13" s="1">
        <f>IF(COUNT(Q13:R13)=2,R13-Q13,"")</f>
        <v>14.869747060104434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IF(1047045&gt;0,100*247422/1047045,"")</f>
        <v>23.630502986977636</v>
      </c>
      <c r="E14" s="1">
        <f>IF(COUNT(C14:D14)=2,D14-C14,"")</f>
        <v>-10.872923286784467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IF(637173&gt;0,100*41219/637173,"")</f>
        <v>6.469043729097121</v>
      </c>
      <c r="L14" s="1">
        <f>IF(COUNT(J14:K14)=2,K14-J14,"")</f>
        <v>3.146235418893764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IF(673813&gt;0,100*66924/673813,"")</f>
        <v>9.932132505606155</v>
      </c>
      <c r="S14" s="1">
        <f>IF(COUNT(Q14:R14)=2,R14-Q14,"")</f>
        <v>-26.43107469111495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IF(542313&gt;0,100*23580/542313,"")</f>
        <v>4.348042551072904</v>
      </c>
      <c r="E15" s="1">
        <f>IF(COUNT(C15:D15)=2,D15-C15,"")</f>
        <v>-27.89514278400625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IF(828303&gt;0,100*162869/828303,"")</f>
        <v>19.662973573680162</v>
      </c>
      <c r="L15" s="1">
        <f>IF(COUNT(J15:K15)=2,K15-J15,"")</f>
        <v>-17.56337470833435</v>
      </c>
      <c r="O15" s="1">
        <v>13</v>
      </c>
      <c r="P15" s="1">
        <v>12</v>
      </c>
      <c r="Q15" s="1">
        <f>IF(521892&gt;0,100*47266/521892,"")</f>
        <v>9.0566630643888</v>
      </c>
      <c r="R15" s="1">
        <f>IF(691265&gt;0,100*83652/691265,"")</f>
        <v>12.101292557846847</v>
      </c>
      <c r="S15" s="1">
        <f>IF(COUNT(Q15:R15)=2,R15-Q15,"")</f>
        <v>3.0446294934580465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IF(460101&gt;0,100*943/460101,"")</f>
        <v>0.20495499901108669</v>
      </c>
      <c r="E16" s="1">
        <f>IF(COUNT(C16:D16)=2,D16-C16,"")</f>
        <v>-22.48411046371165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IF(115812&gt;0,100*404/115812,"")</f>
        <v>0.3488412254343246</v>
      </c>
      <c r="L16" s="1">
        <f>IF(COUNT(J16:K16)=2,K16-J16,"")</f>
        <v>-21.82128055527736</v>
      </c>
      <c r="O16" s="1">
        <v>14</v>
      </c>
      <c r="P16" s="1">
        <v>13</v>
      </c>
      <c r="Q16" s="1">
        <f>IF(385878&gt;0,100*7402/385878,"")</f>
        <v>1.9182228580017517</v>
      </c>
      <c r="R16" s="1">
        <f>IF(606087&gt;0,100*99418/606087,"")</f>
        <v>16.403255638216955</v>
      </c>
      <c r="S16" s="1">
        <f>IF(COUNT(Q16:R16)=2,R16-Q16,"")</f>
        <v>14.485032780215203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IF(648324&gt;0,100*84899/648324,"")</f>
        <v>13.095149955886255</v>
      </c>
      <c r="E17" s="1">
        <f>IF(COUNT(C17:D17)=2,D17-C17,"")</f>
        <v>-19.925006423443207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IF(884410&gt;0,100*154569/884410,"")</f>
        <v>17.47707511222171</v>
      </c>
      <c r="L17" s="1">
        <f>IF(COUNT(J17:K17)=2,K17-J17,"")</f>
        <v>-21.302274892323137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IF(1176043&gt;0,100*292861/1176043,"")</f>
        <v>24.90223571757155</v>
      </c>
      <c r="S17" s="1">
        <f>IF(COUNT(Q17:R17)=2,R17-Q17,"")</f>
        <v>-7.775167090660368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IF(1207796&gt;0,100*329530/1207796,"")</f>
        <v>27.283581002089758</v>
      </c>
      <c r="E18" s="1">
        <f>IF(COUNT(C18:D18)=2,D18-C18,"")</f>
        <v>-7.149692266264186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IF(705270&gt;0,100*73899/705270,"")</f>
        <v>10.478114764558255</v>
      </c>
      <c r="L18" s="1">
        <f>IF(COUNT(J18:K18)=2,K18-J18,"")</f>
        <v>-19.605131079668965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IF(796969&gt;0,100*74106/796969,"")</f>
        <v>9.298479614639968</v>
      </c>
      <c r="S18" s="1">
        <f>IF(COUNT(Q18:R18)=2,R18-Q18,"")</f>
        <v>-23.969543461464774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IF(322012&gt;0,100*8285/322012,"")</f>
        <v>2.5728854825286014</v>
      </c>
      <c r="E19" s="1">
        <f>IF(COUNT(C19:D19)=2,D19-C19,"")</f>
        <v>-6.527168808021649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IF(974188&gt;0,100*212757/974188,"")</f>
        <v>21.839419085433203</v>
      </c>
      <c r="L19" s="1">
        <f>IF(COUNT(J19:K19)=2,K19-J19,"")</f>
        <v>-15.535345388862506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IF(980460&gt;0,100*169574/980460,"")</f>
        <v>17.29535116169961</v>
      </c>
      <c r="S19" s="1">
        <f>IF(COUNT(Q19:R19)=2,R19-Q19,"")</f>
        <v>-3.955996603342193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IF(327969&gt;0,100*10039/327969,"")</f>
        <v>3.06096002975891</v>
      </c>
      <c r="E20" s="1">
        <f>IF(COUNT(C20:D20)=2,D20-C20,"")</f>
        <v>2.377615914494837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IF(733858&gt;0,100*102074/733858,"")</f>
        <v>13.909230396071175</v>
      </c>
      <c r="L20" s="1">
        <f>IF(COUNT(J20:K20)=2,K20-J20,"")</f>
        <v>-11.355620734028617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IF(637573&gt;0,100*31246/637573,"")</f>
        <v>4.90077214687573</v>
      </c>
      <c r="S20" s="1">
        <f>IF(COUNT(Q20:R20)=2,R20-Q20,"")</f>
        <v>-24.561861948177743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IF(1147182&gt;0,100*306201/1147182,"")</f>
        <v>26.691579888805787</v>
      </c>
      <c r="E21" s="1">
        <f>IF(COUNT(C21:D21)=2,D21-C21,"")</f>
        <v>-8.770823967856177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IF(616556&gt;0,100*66803/616556,"")</f>
        <v>10.834863337636808</v>
      </c>
      <c r="L21" s="1">
        <f>IF(COUNT(J21:K21)=2,K21-J21,"")</f>
        <v>-4.6297077296243785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IF(732524&gt;0,100*59279/732524,"")</f>
        <v>8.092431101233544</v>
      </c>
      <c r="S21" s="1">
        <f>IF(COUNT(Q21:R21)=2,R21-Q21,"")</f>
        <v>-11.205528928067451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IF(864267&gt;0,100*158431/864267,"")</f>
        <v>18.33125642885821</v>
      </c>
      <c r="E22" s="1">
        <f>IF(COUNT(C22:D22)=2,D22-C22,"")</f>
        <v>-14.464309925873394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IF(723251&gt;0,100*98435/723251,"")</f>
        <v>13.61007451078533</v>
      </c>
      <c r="L22" s="1">
        <f>IF(COUNT(J22:K22)=2,K22-J22,"")</f>
        <v>2.3710848806017957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IF(463971&gt;0,100*15774/463971,"")</f>
        <v>3.3997814518579825</v>
      </c>
      <c r="S22" s="1">
        <f>IF(COUNT(Q22:R22)=2,R22-Q22,"")</f>
        <v>-25.66839873350016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IF(921429&gt;0,100*229436/921429,"")</f>
        <v>24.900019426347555</v>
      </c>
      <c r="E23" s="1">
        <f>IF(COUNT(C23:D23)=2,D23-C23,"")</f>
        <v>0.4520147168139772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IF(837938&gt;0,100*148768/837938,"")</f>
        <v>17.75405817614191</v>
      </c>
      <c r="L23" s="1">
        <f>IF(COUNT(J23:K23)=2,K23-J23,"")</f>
        <v>-20.645013373323444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IF(718186&gt;0,100*97067/718186,"")</f>
        <v>13.515579529536916</v>
      </c>
      <c r="S23" s="1">
        <f>IF(COUNT(Q23:R23)=2,R23-Q23,"")</f>
        <v>-9.905691611226702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IF(1142423&gt;0,100*313321/1142423,"")</f>
        <v>27.42600595401178</v>
      </c>
      <c r="E24" s="1">
        <f>IF(COUNT(C24:D24)=2,D24-C24,"")</f>
        <v>-6.930958857929493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IF(1078174&gt;0,100*289023/1078174,"")</f>
        <v>26.80671208914331</v>
      </c>
      <c r="L24" s="1">
        <f>IF(COUNT(J24:K24)=2,K24-J24,"")</f>
        <v>-4.0704024663651985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IF(1003197&gt;0,100*174233/1003197,"")</f>
        <v>17.367775222613304</v>
      </c>
      <c r="S24" s="1">
        <f>IF(COUNT(Q24:R24)=2,R24-Q24,"")</f>
        <v>-5.770030340978497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IF(267571&gt;0,100*558/267571,"")</f>
        <v>0.2085427792996999</v>
      </c>
      <c r="E25" s="1">
        <f>IF(COUNT(C25:D25)=2,D25-C25,"")</f>
        <v>-0.017480433895168762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IF(493951&gt;0,100*29015/493951,"")</f>
        <v>5.874064431492193</v>
      </c>
      <c r="L25" s="1">
        <f>IF(COUNT(J25:K25)=2,K25-J25,"")</f>
        <v>-12.640714520483051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IF(905055&gt;0,100*151995/905055,"")</f>
        <v>16.794006994050086</v>
      </c>
      <c r="S25" s="1">
        <f>IF(COUNT(Q25:R25)=2,R25-Q25,"")</f>
        <v>-15.47576605962822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IF(417209&gt;0,100*21027/417209,"")</f>
        <v>5.039920040075837</v>
      </c>
      <c r="E26" s="1">
        <f>IF(COUNT(C26:D26)=2,D26-C26,"")</f>
        <v>-16.193621772334758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IF(720860&gt;0,100*106949/720860,"")</f>
        <v>14.836306633743028</v>
      </c>
      <c r="L26" s="1">
        <f>IF(COUNT(J26:K26)=2,K26-J26,"")</f>
        <v>-17.817160528063624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IF(551164&gt;0,100*24063/551164,"")</f>
        <v>4.365851180410912</v>
      </c>
      <c r="S26" s="1">
        <f>IF(COUNT(Q26:R26)=2,R26-Q26,"")</f>
        <v>-21.899273135253814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IF(462535&gt;0,100*52718/462535,"")</f>
        <v>11.397623963591945</v>
      </c>
      <c r="E27" s="1">
        <f>IF(COUNT(C27:D27)=2,D27-C27,"")</f>
        <v>-25.670217587803926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IF(702760&gt;0,100*95534/702760,"")</f>
        <v>13.594114633729864</v>
      </c>
      <c r="L27" s="1">
        <f>IF(COUNT(J27:K27)=2,K27-J27,"")</f>
        <v>-6.945360372894227</v>
      </c>
      <c r="O27" s="1">
        <v>25</v>
      </c>
      <c r="P27" s="1">
        <v>24</v>
      </c>
      <c r="Q27" s="1">
        <f>IF(682080&gt;0,100*56444/682080,"")</f>
        <v>8.275275627492377</v>
      </c>
      <c r="R27" s="1">
        <f>IF(712106&gt;0,100*73520/712106,"")</f>
        <v>10.324305651124973</v>
      </c>
      <c r="S27" s="1">
        <f>IF(COUNT(Q27:R27)=2,R27-Q27,"")</f>
        <v>2.0490300236325965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IF(944698&gt;0,100*181076/944698,"")</f>
        <v>19.16760700244946</v>
      </c>
      <c r="E28" s="1">
        <f>IF(COUNT(C28:D28)=2,D28-C28,"")</f>
        <v>-20.824199266059725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IF(988231&gt;0,100*203271/988231,"")</f>
        <v>20.569178663693002</v>
      </c>
      <c r="L28" s="1">
        <f>IF(COUNT(J28:K28)=2,K28-J28,"")</f>
        <v>-11.395681535093896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IF(1088697&gt;0,100*247482/1088697,"")</f>
        <v>22.731944700867185</v>
      </c>
      <c r="S28" s="1">
        <f>IF(COUNT(Q28:R28)=2,R28-Q28,"")</f>
        <v>-8.668355149207777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IF(1235488&gt;0,100*323486/1235488,"")</f>
        <v>26.182852443730738</v>
      </c>
      <c r="E29" s="1">
        <f>IF(COUNT(C29:D29)=2,D29-C29,"")</f>
        <v>-3.6966723284359837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IF(725202&gt;0,100*97592/725202,"")</f>
        <v>13.457216058422343</v>
      </c>
      <c r="L29" s="1">
        <f>IF(COUNT(J29:K29)=2,K29-J29,"")</f>
        <v>-3.2056223457297754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IF(807568&gt;0,100*127561/807568,"")</f>
        <v>15.795697699760268</v>
      </c>
      <c r="S29" s="1">
        <f>IF(COUNT(Q29:R29)=2,R29-Q29,"")</f>
        <v>-23.907963294581577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IF(259948&gt;0,100*342/259948,"")</f>
        <v>0.1315647744933602</v>
      </c>
      <c r="E30" s="1">
        <f>IF(COUNT(C30:D30)=2,D30-C30,"")</f>
        <v>0.05842449066310694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IF(807499&gt;0,100*115743/807499,"")</f>
        <v>14.333516202496845</v>
      </c>
      <c r="L30" s="1">
        <f>IF(COUNT(J30:K30)=2,K30-J30,"")</f>
        <v>-19.33777164969372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IF(576446&gt;0,100*54371/576446,"")</f>
        <v>9.432106389843975</v>
      </c>
      <c r="S30" s="1">
        <f>IF(COUNT(Q30:R30)=2,R30-Q30,"")</f>
        <v>-18.471484663817265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IF(1135778&gt;0,100*336587/1135778,"")</f>
        <v>29.634928656832585</v>
      </c>
      <c r="E31" s="1">
        <f>IF(COUNT(C31:D31)=2,D31-C31,"")</f>
        <v>-6.515064111362747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IF(1023792&gt;0,100*183839/1023792,"")</f>
        <v>17.956674793317394</v>
      </c>
      <c r="L31" s="1">
        <f>IF(COUNT(J31:K31)=2,K31-J31,"")</f>
        <v>-18.43919179859378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IF(872457&gt;0,100*121250/872457,"")</f>
        <v>13.897533058935856</v>
      </c>
      <c r="S31" s="1">
        <f>IF(COUNT(Q31:R31)=2,R31-Q31,"")</f>
        <v>-22.987151758759722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IF(812646&gt;0,100*148701/812646,"")</f>
        <v>18.298373461507225</v>
      </c>
      <c r="E32" s="1">
        <f>IF(COUNT(C32:D32)=2,D32-C32,"")</f>
        <v>-19.207478820056615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IF(679133&gt;0,100*80660/679133,"")</f>
        <v>11.876907763280535</v>
      </c>
      <c r="L32" s="1">
        <f>IF(COUNT(J32:K32)=2,K32-J32,"")</f>
        <v>-17.90665683524564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IF(496927&gt;0,100*23583/496927,"")</f>
        <v>4.745767486974948</v>
      </c>
      <c r="S32" s="1">
        <f>IF(COUNT(Q32:R32)=2,R32-Q32,"")</f>
        <v>-21.08896277073314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IF(361264&gt;0,100*3032/361264,"")</f>
        <v>0.8392754329243988</v>
      </c>
      <c r="E33" s="1">
        <f>IF(COUNT(C33:D33)=2,D33-C33,"")</f>
        <v>-0.7971815706372412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IF(1101866&gt;0,100*274000/1101866,"")</f>
        <v>24.866907591304205</v>
      </c>
      <c r="L33" s="1">
        <f>IF(COUNT(J33:K33)=2,K33-J33,"")</f>
        <v>-4.515943779155879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IF(1056257&gt;0,100*268529/1056257,"")</f>
        <v>25.422695423556956</v>
      </c>
      <c r="S33" s="1">
        <f>IF(COUNT(Q33:R33)=2,R33-Q33,"")</f>
        <v>-11.52336480716053</v>
      </c>
    </row>
    <row r="34" spans="1:19">
      <c r="A34" s="2" t="s">
        <v>6</v>
      </c>
      <c r="B34" s="1"/>
      <c r="C34" s="1">
        <f>IF(COUNT(C3:C33)&gt;0,AVERAGE(C3:C33),"")</f>
        <v>28.172990083851328</v>
      </c>
      <c r="D34" s="1">
        <f>IF(COUNT(D3:D33)&gt;0,AVERAGE(D3:D33),"")</f>
        <v>14.962104917886874</v>
      </c>
      <c r="E34" s="1">
        <f>IF(COUNT(E3:E33)&gt;0,AVERAGE(E3:E33),"")</f>
        <v>-13.210885165964452</v>
      </c>
      <c r="H34" s="2" t="s">
        <v>6</v>
      </c>
      <c r="I34" s="1"/>
      <c r="J34" s="1">
        <f>IF(COUNT(J3:J33)&gt;0,AVERAGE(J3:J33),"")</f>
        <v>23.261266503360552</v>
      </c>
      <c r="K34" s="1">
        <f>IF(COUNT(K3:K33)&gt;0,AVERAGE(K3:K33),"")</f>
        <v>14.396348060915134</v>
      </c>
      <c r="L34" s="1">
        <f>IF(COUNT(L3:L33)&gt;0,AVERAGE(L3:L33),"")</f>
        <v>-8.864918442445418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13.401004004335443</v>
      </c>
      <c r="S34" s="1">
        <f>IF(COUNT(S3:S33)&gt;0,AVERAGE(S3:S33),"")</f>
        <v>-11.350282247204829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IF(609867&gt;0,100*44018/609867,"")</f>
        <v>7.21763925577216</v>
      </c>
      <c r="E39" s="1">
        <f>IF(COUNT(C39:D39)=2,D39-C39,"")</f>
        <v>-5.839612375253439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IF(741013&gt;0,100*39438/741013,"")</f>
        <v>5.322173835006943</v>
      </c>
      <c r="L39" s="1">
        <f>IF(COUNT(J39:K39)=2,K39-J39,"")</f>
        <v>-25.945333194970292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IF(19692&gt;0,100*3944/19692,"")</f>
        <v>20.02843794434288</v>
      </c>
      <c r="S39" s="1">
        <f>IF(COUNT(Q39:R39)=2,R39-Q39,"")</f>
        <v>1.655786795200676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IF(1526169&gt;0,100*440094/1526169,"")</f>
        <v>28.836518105137767</v>
      </c>
      <c r="E40" s="1">
        <f>IF(COUNT(C40:D40)=2,D40-C40,"")</f>
        <v>-0.396924198402008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IF(1594536&gt;0,100*391730/1594536,"")</f>
        <v>24.56702137800589</v>
      </c>
      <c r="L40" s="1">
        <f>IF(COUNT(J40:K40)=2,K40-J40,"")</f>
        <v>-13.528532879177945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IF(23866&gt;0,100*5939/23866,"")</f>
        <v>24.88477331769044</v>
      </c>
      <c r="S40" s="1">
        <f>IF(COUNT(Q40:R40)=2,R40-Q40,"")</f>
        <v>-16.604670649978218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IF(1326202&gt;0,100*372420/1326202,"")</f>
        <v>28.081694945415556</v>
      </c>
      <c r="E41" s="1">
        <f>IF(COUNT(C41:D41)=2,D41-C41,"")</f>
        <v>-11.19112359178309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IF(1242921&gt;0,100*153917/1242921,"")</f>
        <v>12.383490181596416</v>
      </c>
      <c r="L41" s="1">
        <f>IF(COUNT(J41:K41)=2,K41-J41,"")</f>
        <v>-25.609590663482777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IF(1020567&gt;0,100*82595/1020567,"")</f>
        <v>8.093050235800295</v>
      </c>
      <c r="S41" s="1">
        <f>IF(COUNT(Q41:R41)=2,R41-Q41,"")</f>
        <v>-32.43282084379388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IF(1561752&gt;0,100*478169/1561752,"")</f>
        <v>30.617473196768756</v>
      </c>
      <c r="E42" s="1">
        <f>IF(COUNT(C42:D42)=2,D42-C42,"")</f>
        <v>-11.376606669508547</v>
      </c>
      <c r="H42" s="1">
        <v>4</v>
      </c>
      <c r="I42" s="1">
        <v>3</v>
      </c>
      <c r="J42" s="1">
        <f>IF(778520&gt;0,100*44764/778520,"")</f>
        <v>5.749884396033499</v>
      </c>
      <c r="K42" s="1">
        <f>IF(842973&gt;0,100*86044/842973,"")</f>
        <v>10.207207111022536</v>
      </c>
      <c r="L42" s="1">
        <f>IF(COUNT(J42:K42)=2,K42-J42,"")</f>
        <v>4.457322714989036</v>
      </c>
      <c r="O42" s="1">
        <v>4</v>
      </c>
      <c r="P42" s="1">
        <v>3</v>
      </c>
      <c r="Q42" s="1">
        <f>IF(760183&gt;0,100*45060/760183,"")</f>
        <v>5.927520083979778</v>
      </c>
      <c r="R42" s="1">
        <f>IF(778835&gt;0,100*17749/778835,"")</f>
        <v>2.278916586953591</v>
      </c>
      <c r="S42" s="1">
        <f>IF(COUNT(Q42:R42)=2,R42-Q42,"")</f>
        <v>-3.6486034970261874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IF(843133&gt;0,100*100754/843133,"")</f>
        <v>11.94995332883424</v>
      </c>
      <c r="E43" s="1">
        <f>IF(COUNT(C43:D43)=2,D43-C43,"")</f>
        <v>-5.783328885135379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IF(2138859&gt;0,100*659622/2138859,"")</f>
        <v>30.83990108744896</v>
      </c>
      <c r="L43" s="1">
        <f>IF(COUNT(J43:K43)=2,K43-J43,"")</f>
        <v>-11.285689430114228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IF(2060004&gt;0,100*654349/2060004,"")</f>
        <v>31.764452884557507</v>
      </c>
      <c r="S43" s="1">
        <f>IF(COUNT(Q43:R43)=2,R43-Q43,"")</f>
        <v>-15.45121722782008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IF(594220&gt;0,100*22027/594220,"")</f>
        <v>3.7068762411228167</v>
      </c>
      <c r="E44" s="1">
        <f>IF(COUNT(C44:D44)=2,D44-C44,"")</f>
        <v>-40.146482390228286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IF(2135313&gt;0,100*773542/2135313,"")</f>
        <v>36.22616450141033</v>
      </c>
      <c r="L44" s="1">
        <f>IF(COUNT(J44:K44)=2,K44-J44,"")</f>
        <v>-5.382184408319802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IF(1033378&gt;0,100*110764/1033378,"")</f>
        <v>10.7186334526185</v>
      </c>
      <c r="S44" s="1">
        <f>IF(COUNT(Q44:R44)=2,R44-Q44,"")</f>
        <v>-7.3782407844765405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IF(997174&gt;0,100*183987/997174,"")</f>
        <v>18.45084207971728</v>
      </c>
      <c r="E45" s="1">
        <f>IF(COUNT(C45:D45)=2,D45-C45,"")</f>
        <v>-26.563591075685277</v>
      </c>
      <c r="H45" s="1">
        <v>7</v>
      </c>
      <c r="I45" s="1">
        <v>6</v>
      </c>
      <c r="J45" s="1">
        <f>IF(545527&gt;0,100*1624/545527,"")</f>
        <v>0.2976937896749382</v>
      </c>
      <c r="K45" s="1">
        <f>IF(514875&gt;0,100*31244/514875,"")</f>
        <v>6.068268997329449</v>
      </c>
      <c r="L45" s="1">
        <f>IF(COUNT(J45:K45)=2,K45-J45,"")</f>
        <v>5.7705752076545105</v>
      </c>
      <c r="O45" s="1">
        <v>7</v>
      </c>
      <c r="P45" s="1">
        <v>6</v>
      </c>
      <c r="Q45" s="1">
        <f>IF(700580&gt;0,100*18395/700580,"")</f>
        <v>2.6256815781209855</v>
      </c>
      <c r="R45" s="1">
        <f>IF(893454&gt;0,100*49692/893454,"")</f>
        <v>5.5617860572564455</v>
      </c>
      <c r="S45" s="1">
        <f>IF(COUNT(Q45:R45)=2,R45-Q45,"")</f>
        <v>2.93610447913546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IF(1599368&gt;0,100*374898/1599368,"")</f>
        <v>23.440383951660905</v>
      </c>
      <c r="E46" s="1">
        <f>IF(COUNT(C46:D46)=2,D46-C46,"")</f>
        <v>-17.846815035290277</v>
      </c>
      <c r="H46" s="1">
        <v>8</v>
      </c>
      <c r="I46" s="1">
        <v>7</v>
      </c>
      <c r="J46" s="1">
        <f>IF(453926&gt;0,100*2064/453926,"")</f>
        <v>0.45469966470305734</v>
      </c>
      <c r="K46" s="1">
        <f>IF(409686&gt;0,100*964/409686,"")</f>
        <v>0.23530215823826053</v>
      </c>
      <c r="L46" s="1">
        <f>IF(COUNT(J46:K46)=2,K46-J46,"")</f>
        <v>-0.2193975064647968</v>
      </c>
      <c r="O46" s="1">
        <v>8</v>
      </c>
      <c r="P46" s="1">
        <v>7</v>
      </c>
      <c r="Q46" s="1">
        <f>IF(505497&gt;0,100*20606/505497,"")</f>
        <v>4.076384231756074</v>
      </c>
      <c r="R46" s="1">
        <f>IF(497037&gt;0,100*6438/497037,"")</f>
        <v>1.295275804416975</v>
      </c>
      <c r="S46" s="1">
        <f>IF(COUNT(Q46:R46)=2,R46-Q46,"")</f>
        <v>-2.781108427339099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IF(1716909&gt;0,100*522234/1716909,"")</f>
        <v>30.41710422625777</v>
      </c>
      <c r="E47" s="1">
        <f>IF(COUNT(C47:D47)=2,D47-C47,"")</f>
        <v>-16.827186819146796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IF(1648081&gt;0,100*420358/1648081,"")</f>
        <v>25.505906566485507</v>
      </c>
      <c r="L47" s="1">
        <f>IF(COUNT(J47:K47)=2,K47-J47,"")</f>
        <v>-17.132394286469847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IF(946992&gt;0,100*164673/946992,"")</f>
        <v>17.389059252876475</v>
      </c>
      <c r="S47" s="1">
        <f>IF(COUNT(Q47:R47)=2,R47-Q47,"")</f>
        <v>-27.624487311257493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IF(676520&gt;0,100*5977/676520,"")</f>
        <v>0.8834919884112813</v>
      </c>
      <c r="E48" s="1">
        <f>IF(COUNT(C48:D48)=2,D48-C48,"")</f>
        <v>-28.39338278070582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IF(1338539&gt;0,100*319017/1338539,"")</f>
        <v>23.833224134672207</v>
      </c>
      <c r="L48" s="1">
        <f>IF(COUNT(J48:K48)=2,K48-J48,"")</f>
        <v>-20.023049404569782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IF(1099089&gt;0,100*100210/1099089,"")</f>
        <v>9.117550989956227</v>
      </c>
      <c r="S48" s="1">
        <f>IF(COUNT(Q48:R48)=2,R48-Q48,"")</f>
        <v>-20.280612059183234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IF(1052760&gt;0,100*211412/1052760,"")</f>
        <v>20.081690033815875</v>
      </c>
      <c r="E49" s="1">
        <f>IF(COUNT(C49:D49)=2,D49-C49,"")</f>
        <v>-22.58506142873847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IF(625028&gt;0,100*75402/625028,"")</f>
        <v>12.063779542676489</v>
      </c>
      <c r="L49" s="1">
        <f>IF(COUNT(J49:K49)=2,K49-J49,"")</f>
        <v>-22.162229468078852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IF(975146&gt;0,100*135626/975146,"")</f>
        <v>13.908276299138796</v>
      </c>
      <c r="S49" s="1">
        <f>IF(COUNT(Q49:R49)=2,R49-Q49,"")</f>
        <v>-27.99065976992639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IF(1526339&gt;0,100*392812/1526339,"")</f>
        <v>25.73556726258059</v>
      </c>
      <c r="E50" s="1">
        <f>IF(COUNT(C50:D50)=2,D50-C50,"")</f>
        <v>-13.293672277578242</v>
      </c>
      <c r="H50" s="1">
        <v>12</v>
      </c>
      <c r="I50" s="1">
        <v>11</v>
      </c>
      <c r="J50" s="1">
        <f>IF(16409&gt;0,100*2109/16409,"")</f>
        <v>12.85270278505698</v>
      </c>
      <c r="K50" s="1">
        <f>IF(22477&gt;0,100*3190/22477,"")</f>
        <v>14.192285447346176</v>
      </c>
      <c r="L50" s="1">
        <f>IF(COUNT(J50:K50)=2,K50-J50,"")</f>
        <v>1.339582662289196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IF(799002&gt;0,100*61813/799002,"")</f>
        <v>7.736276004315384</v>
      </c>
      <c r="S50" s="1">
        <f>IF(COUNT(Q50:R50)=2,R50-Q50,"")</f>
        <v>-31.36772859168463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IF(794698&gt;0,100*60396/794698,"")</f>
        <v>7.599868126005099</v>
      </c>
      <c r="E51" s="1">
        <f>IF(COUNT(C51:D51)=2,D51-C51,"")</f>
        <v>-36.53618993198405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IF(559224&gt;0,100*37843/559224,"")</f>
        <v>6.7670557772913895</v>
      </c>
      <c r="L51" s="1">
        <f>IF(COUNT(J51:K51)=2,K51-J51,"")</f>
        <v>-3.9438548494212124</v>
      </c>
      <c r="O51" s="1">
        <v>13</v>
      </c>
      <c r="P51" s="1">
        <v>12</v>
      </c>
      <c r="Q51" s="1">
        <f>IF(609443&gt;0,100*13444/609443,"")</f>
        <v>2.20594871054389</v>
      </c>
      <c r="R51" s="1">
        <f>IF(642091&gt;0,100*11438/642091,"")</f>
        <v>1.7813674385717913</v>
      </c>
      <c r="S51" s="1">
        <f>IF(COUNT(Q51:R51)=2,R51-Q51,"")</f>
        <v>-0.42458127197209894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IF(439897&gt;0,100*3195/439897,"")</f>
        <v>0.7263063853583908</v>
      </c>
      <c r="E52" s="1">
        <f>IF(COUNT(C52:D52)=2,D52-C52,"")</f>
        <v>0.3230094828474702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IF(1038496&gt;0,100*132805/1038496,"")</f>
        <v>12.7882052506702</v>
      </c>
      <c r="L52" s="1">
        <f>IF(COUNT(J52:K52)=2,K52-J52,"")</f>
        <v>-20.023252152625943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IF(488246&gt;0,100*9063/488246,"")</f>
        <v>1.85623640541858</v>
      </c>
      <c r="S52" s="1">
        <f>IF(COUNT(Q52:R52)=2,R52-Q52,"")</f>
        <v>-19.845642475316843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IF(1192909&gt;0,100*262821/1192909,"")</f>
        <v>22.031940407860112</v>
      </c>
      <c r="E53" s="1">
        <f>IF(COUNT(C53:D53)=2,D53-C53,"")</f>
        <v>-9.196577045664029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IF(1576278&gt;0,100*364786/1576278,"")</f>
        <v>23.142237600220266</v>
      </c>
      <c r="L53" s="1">
        <f>IF(COUNT(J53:K53)=2,K53-J53,"")</f>
        <v>-7.650314406262989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IF(1487518&gt;0,100*314683/1487518,"")</f>
        <v>21.15490367175389</v>
      </c>
      <c r="S53" s="1">
        <f>IF(COUNT(Q53:R53)=2,R53-Q53,"")</f>
        <v>-26.954750550014598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IF(1671758&gt;0,100*502455/1671758,"")</f>
        <v>30.05548649984029</v>
      </c>
      <c r="E54" s="1">
        <f>IF(COUNT(C54:D54)=2,D54-C54,"")</f>
        <v>-12.172819782420252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IF(911867&gt;0,100*46985/911867,"")</f>
        <v>5.15261545817537</v>
      </c>
      <c r="L54" s="1">
        <f>IF(COUNT(J54:K54)=2,K54-J54,"")</f>
        <v>-38.04103500222952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IF(1252327&gt;0,100*152015/1252327,"")</f>
        <v>12.138602777070206</v>
      </c>
      <c r="S54" s="1">
        <f>IF(COUNT(Q54:R54)=2,R54-Q54,"")</f>
        <v>-33.203018151676616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IF(432639&gt;0,100*15558/432639,"")</f>
        <v>3.596069702454009</v>
      </c>
      <c r="E55" s="1">
        <f>IF(COUNT(C55:D55)=2,D55-C55,"")</f>
        <v>1.9752180431177437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IF(1007548&gt;0,100*111224/1007548,"")</f>
        <v>11.03907704645337</v>
      </c>
      <c r="L55" s="1">
        <f>IF(COUNT(J55:K55)=2,K55-J55,"")</f>
        <v>-25.34305314429536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IF(1738796&gt;0,100*446455/1738796,"")</f>
        <v>25.6761000140327</v>
      </c>
      <c r="S55" s="1">
        <f>IF(COUNT(Q55:R55)=2,R55-Q55,"")</f>
        <v>-9.493541168183604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IF(428609&gt;0,100*7448/428609,"")</f>
        <v>1.7377143270439959</v>
      </c>
      <c r="E56" s="1">
        <f>IF(COUNT(C56:D56)=2,D56-C56,"")</f>
        <v>-12.56609929407311</v>
      </c>
      <c r="H56" s="1">
        <v>18</v>
      </c>
      <c r="I56" s="1">
        <v>17</v>
      </c>
      <c r="J56" s="1">
        <f>IF(2215&gt;0,100*355/2215,"")</f>
        <v>16.02708803611738</v>
      </c>
      <c r="K56" s="1">
        <f>IF(650916&gt;0,100*25785/650916,"")</f>
        <v>3.961340633814501</v>
      </c>
      <c r="L56" s="1">
        <f>IF(COUNT(J56:K56)=2,K56-J56,"")</f>
        <v>-12.065747402302879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IF(592561&gt;0,100*27515/592561,"")</f>
        <v>4.6434038014651655</v>
      </c>
      <c r="S56" s="1">
        <f>IF(COUNT(Q56:R56)=2,R56-Q56,"")</f>
        <v>-42.3850467537966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IF(1490763&gt;0,100*417609/1490763,"")</f>
        <v>28.01310469873481</v>
      </c>
      <c r="E57" s="1">
        <f>IF(COUNT(C57:D57)=2,D57-C57,"")</f>
        <v>-11.526625522629882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IF(1734393&gt;0,100*410063/1734393,"")</f>
        <v>23.64302669579501</v>
      </c>
      <c r="L57" s="1">
        <f>IF(COUNT(J57:K57)=2,K57-J57,"")</f>
        <v>-10.209491872983019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IF(926527&gt;0,100*117661/926527,"")</f>
        <v>12.69914422353585</v>
      </c>
      <c r="S57" s="1">
        <f>IF(COUNT(Q57:R57)=2,R57-Q57,"")</f>
        <v>-19.595210922816346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IF(1461946&gt;0,100*373766/1461946,"")</f>
        <v>25.56633418744605</v>
      </c>
      <c r="E58" s="1">
        <f>IF(COUNT(C58:D58)=2,D58-C58,"")</f>
        <v>-17.37588525285157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IF(1003843&gt;0,100*182007/1003843,"")</f>
        <v>18.131022480607026</v>
      </c>
      <c r="L58" s="1">
        <f>IF(COUNT(J58:K58)=2,K58-J58,"")</f>
        <v>-25.787417910035398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IF(1452957&gt;0,100*265586/1452957,"")</f>
        <v>18.27899930968363</v>
      </c>
      <c r="S58" s="1">
        <f>IF(COUNT(Q58:R58)=2,R58-Q58,"")</f>
        <v>-23.971901531598665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IF(1129385&gt;0,100*268486/1129385,"")</f>
        <v>23.772761281582454</v>
      </c>
      <c r="E59" s="1">
        <f>IF(COUNT(C59:D59)=2,D59-C59,"")</f>
        <v>-8.625941682733327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IF(737576&gt;0,100*22897/737576,"")</f>
        <v>3.104358059372865</v>
      </c>
      <c r="L59" s="1">
        <f>IF(COUNT(J59:K59)=2,K59-J59,"")</f>
        <v>-34.44704479102953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IF(983564&gt;0,100*94952/983564,"")</f>
        <v>9.653871024152979</v>
      </c>
      <c r="S59" s="1">
        <f>IF(COUNT(Q59:R59)=2,R59-Q59,"")</f>
        <v>-32.332359538153185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IF(1457818&gt;0,100*377234/1457818,"")</f>
        <v>25.876618343304855</v>
      </c>
      <c r="E60" s="1">
        <f>IF(COUNT(C60:D60)=2,D60-C60,"")</f>
        <v>-19.033457581470337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IF(1287719&gt;0,100*297675/1287719,"")</f>
        <v>23.11645630762612</v>
      </c>
      <c r="L60" s="1">
        <f>IF(COUNT(J60:K60)=2,K60-J60,"")</f>
        <v>-21.66397759717275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IF(2111915&gt;0,100*641376/2111915,"")</f>
        <v>30.36940407166008</v>
      </c>
      <c r="S60" s="1">
        <f>IF(COUNT(Q60:R60)=2,R60-Q60,"")</f>
        <v>-3.854666203586728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IF(348816&gt;0,100*656/348816,"")</f>
        <v>0.18806476767120775</v>
      </c>
      <c r="E61" s="1">
        <f>IF(COUNT(C61:D61)=2,D61-C61,"")</f>
        <v>-0.048877442572893254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IF(1053399&gt;0,100*132413/1053399,"")</f>
        <v>12.57007078989063</v>
      </c>
      <c r="L61" s="1">
        <f>IF(COUNT(J61:K61)=2,K61-J61,"")</f>
        <v>-35.83554342274351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IF(1116282&gt;0,100*112470/1116282,"")</f>
        <v>10.075411052045988</v>
      </c>
      <c r="S61" s="1">
        <f>IF(COUNT(Q61:R61)=2,R61-Q61,"")</f>
        <v>-24.97716920958871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IF(873634&gt;0,100*112913/873634,"")</f>
        <v>12.924519879034012</v>
      </c>
      <c r="E62" s="1">
        <f>IF(COUNT(C62:D62)=2,D62-C62,"")</f>
        <v>-8.0187279010879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IF(1202974&gt;0,100*221650/1202974,"")</f>
        <v>18.425169621288575</v>
      </c>
      <c r="L62" s="1">
        <f>IF(COUNT(J62:K62)=2,K62-J62,"")</f>
        <v>-26.19913602499537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IF(645643&gt;0,100*12346/645643,"")</f>
        <v>1.9122022541869113</v>
      </c>
      <c r="S62" s="1">
        <f>IF(COUNT(Q62:R62)=2,R62-Q62,"")</f>
        <v>-26.982441401601346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IF(1368197&gt;0,100*341765/1368197,"")</f>
        <v>24.97922448302401</v>
      </c>
      <c r="E63" s="1">
        <f>IF(COUNT(C63:D63)=2,D63-C63,"")</f>
        <v>-4.260799016430713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IF(847477&gt;0,100*115363/847477,"")</f>
        <v>13.612522817728387</v>
      </c>
      <c r="L63" s="1">
        <f>IF(COUNT(J63:K63)=2,K63-J63,"")</f>
        <v>-30.95845719327519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IF(1088811&gt;0,100*149708/1088811,"")</f>
        <v>13.74967740039364</v>
      </c>
      <c r="S63" s="1">
        <f>IF(COUNT(Q63:R63)=2,R63-Q63,"")</f>
        <v>-29.92501078125611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IF(16749&gt;0,100*4841/16749,"")</f>
        <v>28.903218102573287</v>
      </c>
      <c r="E64" s="1">
        <f>IF(COUNT(C64:D64)=2,D64-C64,"")</f>
        <v>-17.48796221907867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IF(716469&gt;0,100*71724/716469,"")</f>
        <v>10.010761107598514</v>
      </c>
      <c r="L64" s="1">
        <f>IF(COUNT(J64:K64)=2,K64-J64,"")</f>
        <v>-21.997906455251353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IF(1688623&gt;0,100*433481/1688623,"")</f>
        <v>25.670679601071406</v>
      </c>
      <c r="S64" s="1">
        <f>IF(COUNT(Q64:R64)=2,R64-Q64,"")</f>
        <v>-18.734173902268886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IF(1324148&gt;0,100*205238/1324148,"")</f>
        <v>15.49962692992022</v>
      </c>
      <c r="E65" s="1">
        <f>IF(COUNT(C65:D65)=2,D65-C65,"")</f>
        <v>-21.84494057180799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IF(1878498&gt;0,100*514858/1878498,"")</f>
        <v>27.407961041214843</v>
      </c>
      <c r="L65" s="1">
        <f>IF(COUNT(J65:K65)=2,K65-J65,"")</f>
        <v>-7.494111089625935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IF(1244865&gt;0,100*184526/1244865,"")</f>
        <v>14.822972772147985</v>
      </c>
      <c r="S65" s="1">
        <f>IF(COUNT(Q65:R65)=2,R65-Q65,"")</f>
        <v>-19.543311702596363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IF(614900&gt;0,100*8869/614900,"")</f>
        <v>1.4423483493250935</v>
      </c>
      <c r="E66" s="1">
        <f>IF(COUNT(C66:D66)=2,D66-C66,"")</f>
        <v>1.3427077567411587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IF(1927993&gt;0,100*582297/1927993,"")</f>
        <v>30.202236211438528</v>
      </c>
      <c r="L66" s="1">
        <f>IF(COUNT(J66:K66)=2,K66-J66,"")</f>
        <v>-9.015148490253988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IF(1223863&gt;0,100*193765/1223863,"")</f>
        <v>15.832245929487206</v>
      </c>
      <c r="S66" s="1">
        <f>IF(COUNT(Q66:R66)=2,R66-Q66,"")</f>
        <v>-15.031847002781559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IF(1497237&gt;0,100*356745/1497237,"")</f>
        <v>23.82688912977705</v>
      </c>
      <c r="E67" s="1">
        <f>IF(COUNT(C67:D67)=2,D67-C67,"")</f>
        <v>-11.023868951722733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IF(2290603&gt;0,100*733653/2290603,"")</f>
        <v>32.02881511986145</v>
      </c>
      <c r="L67" s="1">
        <f>IF(COUNT(J67:K67)=2,K67-J67,"")</f>
        <v>-13.716135576892313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IF(1706615&gt;0,100*420564/1706615,"")</f>
        <v>24.643167908403477</v>
      </c>
      <c r="S67" s="1">
        <f>IF(COUNT(Q67:R67)=2,R67-Q67,"")</f>
        <v>-16.288762371531256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IF(1219853&gt;0,100*293329/1219853,"")</f>
        <v>24.046258032730172</v>
      </c>
      <c r="E68" s="1">
        <f>IF(COUNT(C68:D68)=2,D68-C68,"")</f>
        <v>-18.76384199375714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IF(1148951&gt;0,100*236225/1148951,"")</f>
        <v>20.56005869702015</v>
      </c>
      <c r="L68" s="1">
        <f>IF(COUNT(J68:K68)=2,K68-J68,"")</f>
        <v>-16.253468933910373</v>
      </c>
      <c r="O68" s="1">
        <v>30</v>
      </c>
      <c r="P68" s="1">
        <v>29</v>
      </c>
      <c r="Q68" s="1">
        <f>IF(653286&gt;0,100*39372/653286,"")</f>
        <v>6.026763163453679</v>
      </c>
      <c r="R68" s="1">
        <f>IF(507307&gt;0,100*12410/507307,"")</f>
        <v>2.4462504952622375</v>
      </c>
      <c r="S68" s="1">
        <f>IF(COUNT(Q68:R68)=2,R68-Q68,"")</f>
        <v>-3.5805126681914414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IF(665549&gt;0,100*1883/665549,"")</f>
        <v>0.282924322626884</v>
      </c>
      <c r="E69" s="1">
        <f>IF(COUNT(C69:D69)=2,D69-C69,"")</f>
        <v>-0.01270756539499679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IF(1326971&gt;0,100*268114/1326971,"")</f>
        <v>20.204963032349614</v>
      </c>
      <c r="L69" s="1">
        <f>IF(COUNT(J69:K69)=2,K69-J69,"")</f>
        <v>-15.171889282665088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IF(1259778&gt;0,100*197518/1259778,"")</f>
        <v>15.67879420024798</v>
      </c>
      <c r="S69" s="1">
        <f>IF(COUNT(Q69:R69)=2,R69-Q69,"")</f>
        <v>-16.941539262889215</v>
      </c>
    </row>
    <row r="70" spans="1:19">
      <c r="A70" s="2" t="s">
        <v>6</v>
      </c>
      <c r="B70" s="1"/>
      <c r="C70" s="1">
        <f>IF(COUNT(C39:C69)&gt;0,AVERAGE(C39:C69),"")</f>
        <v>30.180215695878584</v>
      </c>
      <c r="D70" s="1">
        <f>IF(COUNT(D39:D69)&gt;0,AVERAGE(D39:D69),"")</f>
        <v>17.112532663606675</v>
      </c>
      <c r="E70" s="1">
        <f>IF(COUNT(E39:E69)&gt;0,AVERAGE(E39:E69),"")</f>
        <v>-13.067683032271898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16.68750576418245</v>
      </c>
      <c r="L70" s="1">
        <f>IF(COUNT(L39:L69)&gt;0,AVERAGE(L39:L69),"")</f>
        <v>-16.307674395312493</v>
      </c>
      <c r="O70" s="2" t="s">
        <v>6</v>
      </c>
      <c r="P70" s="1"/>
      <c r="Q70" s="1">
        <f>IF(COUNT(Q39:Q69)&gt;0,AVERAGE(Q39:Q69),"")</f>
        <v>31.641731223822106</v>
      </c>
      <c r="R70" s="1">
        <f>IF(COUNT(R39:R69)&gt;0,AVERAGE(R39:R69),"")</f>
        <v>13.414836231629524</v>
      </c>
      <c r="S70" s="1">
        <f>IF(COUNT(S39:S69)&gt;0,AVERAGE(S39:S69),"")</f>
        <v>-18.226894992192573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IF(714778&gt;0,100*52749/714778,"")</f>
        <v>7.379773859855788</v>
      </c>
      <c r="E75" s="1">
        <f>IF(COUNT(C75:D75)=2,D75-C75,"")</f>
        <v>4.66460984752616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IF(1418830&gt;0,100*409420/1418830,"")</f>
        <v>28.856170224762657</v>
      </c>
      <c r="L75" s="1">
        <f>IF(COUNT(J75:K75)=2,K75-J75,"")</f>
        <v>-24.444880031156025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IF(1404677&gt;0,100*264614/1404677,"")</f>
        <v>18.838067399124498</v>
      </c>
      <c r="S75" s="1">
        <f>IF(COUNT(Q75:R75)=2,R75-Q75,"")</f>
        <v>-25.24329382750794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IF(1605303&gt;0,100*441257/1605303,"")</f>
        <v>27.487458753892568</v>
      </c>
      <c r="E76" s="1">
        <f>IF(COUNT(C76:D76)=2,D76-C76,"")</f>
        <v>-9.543472128913422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IF(1315183&gt;0,100*173932/1315183,"")</f>
        <v>13.2249276336449</v>
      </c>
      <c r="L76" s="1">
        <f>IF(COUNT(J76:K76)=2,K76-J76,"")</f>
        <v>-30.27933031559061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IF(2016205&gt;0,100*532016/2016205,"")</f>
        <v>26.38699933786495</v>
      </c>
      <c r="S76" s="1">
        <f>IF(COUNT(Q76:R76)=2,R76-Q76,"")</f>
        <v>-14.474171442180975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IF(1483925&gt;0,100*440932/1483925,"")</f>
        <v>29.713900635139915</v>
      </c>
      <c r="E77" s="1">
        <f>IF(COUNT(C77:D77)=2,D77-C77,"")</f>
        <v>-9.525309561026042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IF(1555190&gt;0,100*298816/1555190,"")</f>
        <v>19.21411531709952</v>
      </c>
      <c r="L77" s="1">
        <f>IF(COUNT(J77:K77)=2,K77-J77,"")</f>
        <v>-23.249562728189268</v>
      </c>
      <c r="O77" s="1">
        <v>3</v>
      </c>
      <c r="P77" s="1">
        <v>2</v>
      </c>
      <c r="Q77" s="1">
        <f>IF(1162874&gt;0,100*45924/1162874,"")</f>
        <v>3.949181080667381</v>
      </c>
      <c r="R77" s="1">
        <f>IF(2052223&gt;0,100*406723/2052223,"")</f>
        <v>19.81865518513339</v>
      </c>
      <c r="S77" s="1">
        <f>IF(COUNT(Q77:R77)=2,R77-Q77,"")</f>
        <v>15.86947410446601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IF(1485280&gt;0,100*384095/1485280,"")</f>
        <v>25.860107185177206</v>
      </c>
      <c r="E78" s="1">
        <f>IF(COUNT(C78:D78)=2,D78-C78,"")</f>
        <v>-19.415723443646854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IF(731247&gt;0,100*42931/731247,"")</f>
        <v>5.870930068772932</v>
      </c>
      <c r="L78" s="1">
        <f>IF(COUNT(J78:K78)=2,K78-J78,"")</f>
        <v>-41.64295156268483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IF(821676&gt;0,100*40685/821676,"")</f>
        <v>4.951465054352324</v>
      </c>
      <c r="S78" s="1">
        <f>IF(COUNT(Q78:R78)=2,R78-Q78,"")</f>
        <v>-47.826213294314755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IF(841580&gt;0,100*80266/841580,"")</f>
        <v>9.537536538415837</v>
      </c>
      <c r="E79" s="1">
        <f>IF(COUNT(C79:D79)=2,D79-C79,"")</f>
        <v>-39.21185814039957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IF(2155265&gt;0,100*580171/2155265,"")</f>
        <v>26.91877796929844</v>
      </c>
      <c r="L79" s="1">
        <f>IF(COUNT(J79:K79)=2,K79-J79,"")</f>
        <v>-19.902562722831874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IF(2388127&gt;0,100*867413/2388127,"")</f>
        <v>36.32189577857459</v>
      </c>
      <c r="S79" s="1">
        <f>IF(COUNT(Q79:R79)=2,R79-Q79,"")</f>
        <v>-12.610347767671641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IF(1122576&gt;0,100*211719/1122576,"")</f>
        <v>18.860103903878223</v>
      </c>
      <c r="E80" s="1">
        <f>IF(COUNT(C80:D80)=2,D80-C80,"")</f>
        <v>-19.847986143593534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IF(1865378&gt;0,100*454679/1865378,"")</f>
        <v>24.374630771886448</v>
      </c>
      <c r="L80" s="1">
        <f>IF(COUNT(J80:K80)=2,K80-J80,"")</f>
        <v>-14.9257024266315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IF(1976018&gt;0,100*394167/1976018,"")</f>
        <v>19.947540963695676</v>
      </c>
      <c r="S80" s="1">
        <f>IF(COUNT(Q80:R80)=2,R80-Q80,"")</f>
        <v>-22.871157925549053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IF(1521509&gt;0,100*370583/1521509,"")</f>
        <v>24.356280508363735</v>
      </c>
      <c r="E81" s="1">
        <f>IF(COUNT(C81:D81)=2,D81-C81,"")</f>
        <v>-17.76820408906821</v>
      </c>
      <c r="H81" s="1">
        <v>7</v>
      </c>
      <c r="I81" s="1">
        <v>6</v>
      </c>
      <c r="J81" s="1">
        <f>IF(710153&gt;0,100*3904/710153,"")</f>
        <v>0.5497406896823642</v>
      </c>
      <c r="K81" s="1">
        <f>IF(981891&gt;0,100*24169/981891,"")</f>
        <v>2.4614748480228457</v>
      </c>
      <c r="L81" s="1">
        <f>IF(COUNT(J81:K81)=2,K81-J81,"")</f>
        <v>1.9117341583404814</v>
      </c>
      <c r="O81" s="1">
        <v>7</v>
      </c>
      <c r="P81" s="1">
        <v>6</v>
      </c>
      <c r="Q81" s="1">
        <f>IF(528040&gt;0,100*6901/528040,"")</f>
        <v>1.3069085675327627</v>
      </c>
      <c r="R81" s="1">
        <f>IF(870912&gt;0,100*108991/870912,"")</f>
        <v>12.514582414756026</v>
      </c>
      <c r="S81" s="1">
        <f>IF(COUNT(Q81:R81)=2,R81-Q81,"")</f>
        <v>11.207673847223264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IF(1459965&gt;0,100*340982/1459965,"")</f>
        <v>23.355491398766407</v>
      </c>
      <c r="E82" s="1">
        <f>IF(COUNT(C82:D82)=2,D82-C82,"")</f>
        <v>-23.283943476047245</v>
      </c>
      <c r="H82" s="1">
        <v>8</v>
      </c>
      <c r="I82" s="1">
        <v>7</v>
      </c>
      <c r="J82" s="1">
        <f>IF(619510&gt;0,100*7411/619510,"")</f>
        <v>1.1962680182725056</v>
      </c>
      <c r="K82" s="1">
        <f>IF(501878&gt;0,100*431/501878,"")</f>
        <v>0.08587744431913732</v>
      </c>
      <c r="L82" s="1">
        <f>IF(COUNT(J82:K82)=2,K82-J82,"")</f>
        <v>-1.1103905739533684</v>
      </c>
      <c r="O82" s="1">
        <v>8</v>
      </c>
      <c r="P82" s="1">
        <v>7</v>
      </c>
      <c r="Q82" s="1">
        <f>IF(665002&gt;0,100*8971/665002,"")</f>
        <v>1.3490184991924836</v>
      </c>
      <c r="R82" s="1">
        <f>IF(639820&gt;0,100*11605/639820,"")</f>
        <v>1.8137913788252946</v>
      </c>
      <c r="S82" s="1">
        <f>IF(COUNT(Q82:R82)=2,R82-Q82,"")</f>
        <v>0.464772879632811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IF(455517&gt;0,100*49094/455517,"")</f>
        <v>10.777643864005075</v>
      </c>
      <c r="E83" s="1">
        <f>IF(COUNT(C83:D83)=2,D83-C83,"")</f>
        <v>-21.42577334200792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IF(556724&gt;0,100*89740/556724,"")</f>
        <v>16.119297892672133</v>
      </c>
      <c r="L83" s="1">
        <f>IF(COUNT(J83:K83)=2,K83-J83,"")</f>
        <v>-28.766040057912715</v>
      </c>
      <c r="O83" s="1">
        <v>9</v>
      </c>
      <c r="P83" s="1">
        <v>8</v>
      </c>
      <c r="Q83" s="1">
        <f>IF(1967808&gt;0,100*766923/1967808,"")</f>
        <v>38.9734669236023</v>
      </c>
      <c r="R83" s="1">
        <f>IF(4603476&gt;0,100*346602/4603476,"")</f>
        <v>7.529136678457757</v>
      </c>
      <c r="S83" s="1">
        <f>IF(COUNT(Q83:R83)=2,R83-Q83,"")</f>
        <v>-31.444330245144545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IF(797653&gt;0,100*6070/797653,"")</f>
        <v>0.7609825325047358</v>
      </c>
      <c r="E84" s="1">
        <f>IF(COUNT(C84:D84)=2,D84-C84,"")</f>
        <v>-0.932324104841158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IF(1234454&gt;0,100*151049/1234454,"")</f>
        <v>12.236097902392475</v>
      </c>
      <c r="L84" s="1">
        <f>IF(COUNT(J84:K84)=2,K84-J84,"")</f>
        <v>-37.95091193052768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IF(1208499&gt;0,100*92684/1208499,"")</f>
        <v>7.669348505873815</v>
      </c>
      <c r="S84" s="1">
        <f>IF(COUNT(Q84:R84)=2,R84-Q84,"")</f>
        <v>-8.343135725246809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IF(1899465&gt;0,100*571010/1899465,"")</f>
        <v>30.061622614788902</v>
      </c>
      <c r="E85" s="1">
        <f>IF(COUNT(C85:D85)=2,D85-C85,"")</f>
        <v>-17.751616748127297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IF(1629226&gt;0,100*383268/1629226,"")</f>
        <v>23.524544783842142</v>
      </c>
      <c r="L85" s="1">
        <f>IF(COUNT(J85:K85)=2,K85-J85,"")</f>
        <v>-31.919692332724043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IF(1104563&gt;0,100*50043/1104563,"")</f>
        <v>4.530570008229499</v>
      </c>
      <c r="S85" s="1">
        <f>IF(COUNT(Q85:R85)=2,R85-Q85,"")</f>
        <v>-44.06980054408587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IF(2131525&gt;0,100*732106/2131525,"")</f>
        <v>34.34658284561523</v>
      </c>
      <c r="E86" s="1">
        <f>IF(COUNT(C86:D86)=2,D86-C86,"")</f>
        <v>-8.88157740276953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IF(859991&gt;0,100*14070/859991,"")</f>
        <v>1.6360636332240686</v>
      </c>
      <c r="L86" s="1">
        <f>IF(COUNT(J86:K86)=2,K86-J86,"")</f>
        <v>-46.02739521072179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IF(1592212&gt;0,100*249599/1592212,"")</f>
        <v>15.676241606017289</v>
      </c>
      <c r="S86" s="1">
        <f>IF(COUNT(Q86:R86)=2,R86-Q86,"")</f>
        <v>-32.963927636521774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IF(1074270&gt;0,100*187955/1074270,"")</f>
        <v>17.49606709672615</v>
      </c>
      <c r="E87" s="1">
        <f>IF(COUNT(C87:D87)=2,D87-C87,"")</f>
        <v>-10.688582606791801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IF(933389&gt;0,100*13105/933389,"")</f>
        <v>1.404023402889899</v>
      </c>
      <c r="L87" s="1">
        <f>IF(COUNT(J87:K87)=2,K87-J87,"")</f>
        <v>-43.18939035875881</v>
      </c>
      <c r="O87" s="1">
        <v>13</v>
      </c>
      <c r="P87" s="1">
        <v>12</v>
      </c>
      <c r="Q87" s="1">
        <f>IF(818878&gt;0,100*7212/818878,"")</f>
        <v>0.8807172741238621</v>
      </c>
      <c r="R87" s="1">
        <f>IF(748608&gt;0,100*11624/748608,"")</f>
        <v>1.5527485680088913</v>
      </c>
      <c r="S87" s="1">
        <f>IF(COUNT(Q87:R87)=2,R87-Q87,"")</f>
        <v>0.6720312938850291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IF(485879&gt;0,100*19337/485879,"")</f>
        <v>3.97979743928015</v>
      </c>
      <c r="E88" s="1">
        <f>IF(COUNT(C88:D88)=2,D88-C88,"")</f>
        <v>-16.515070567211314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IF(762224&gt;0,100*55587/762224,"")</f>
        <v>7.2927380927391425</v>
      </c>
      <c r="L88" s="1">
        <f>IF(COUNT(J88:K88)=2,K88-J88,"")</f>
        <v>-25.719583172165798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IF(1078206&gt;0,100*117797/1078206,"")</f>
        <v>10.925277729858673</v>
      </c>
      <c r="S88" s="1">
        <f>IF(COUNT(Q88:R88)=2,R88-Q88,"")</f>
        <v>-1.0366306209830185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IF(1055955&gt;0,100*197142/1055955,"")</f>
        <v>18.6695455772263</v>
      </c>
      <c r="E89" s="1">
        <f>IF(COUNT(C89:D89)=2,D89-C89,"")</f>
        <v>-23.599989367333293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IF(89281&gt;0,100*9594/89281,"")</f>
        <v>10.745847380741703</v>
      </c>
      <c r="L89" s="1">
        <f>IF(COUNT(J89:K89)=2,K89-J89,"")</f>
        <v>-8.427271597023951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IF(1320394&gt;0,100*171825/1320394,"")</f>
        <v>13.013161223089472</v>
      </c>
      <c r="S89" s="1">
        <f>IF(COUNT(Q89:R89)=2,R89-Q89,"")</f>
        <v>-13.287701711143459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IF(1757607&gt;0,100*384948/1757607,"")</f>
        <v>21.901824469292624</v>
      </c>
      <c r="E90" s="1">
        <f>IF(COUNT(C90:D90)=2,D90-C90,"")</f>
        <v>-19.055503722672437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IF(1494680&gt;0,100*125118/1494680,"")</f>
        <v>8.370888752107474</v>
      </c>
      <c r="L90" s="1">
        <f>IF(COUNT(J90:K90)=2,K90-J90,"")</f>
        <v>-34.99867652654149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IF(1183091&gt;0,100*88294/1183091,"")</f>
        <v>7.462993125634461</v>
      </c>
      <c r="S90" s="1">
        <f>IF(COUNT(Q90:R90)=2,R90-Q90,"")</f>
        <v>-43.52520774858559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IF(459948&gt;0,100*3031/459948,"")</f>
        <v>0.6589875377216555</v>
      </c>
      <c r="E91" s="1">
        <f>IF(COUNT(C91:D91)=2,D91-C91,"")</f>
        <v>-3.0318721235930197</v>
      </c>
      <c r="H91" s="1">
        <v>17</v>
      </c>
      <c r="I91" s="1">
        <v>16</v>
      </c>
      <c r="J91" s="1">
        <f>IF(88900&gt;0,100*3265/88900,"")</f>
        <v>3.6726659167604048</v>
      </c>
      <c r="K91" s="1">
        <f>IF(2351786&gt;0,100*750160/2351786,"")</f>
        <v>31.897460058015483</v>
      </c>
      <c r="L91" s="1">
        <f>IF(COUNT(J91:K91)=2,K91-J91,"")</f>
        <v>28.224794141255078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IF(2136076&gt;0,100*652802/2136076,"")</f>
        <v>30.560804016336498</v>
      </c>
      <c r="S91" s="1">
        <f>IF(COUNT(Q91:R91)=2,R91-Q91,"")</f>
        <v>-11.360603949530997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IF(527509&gt;0,100*5658/527509,"")</f>
        <v>1.072588334985754</v>
      </c>
      <c r="E92" s="1">
        <f>IF(COUNT(C92:D92)=2,D92-C92,"")</f>
        <v>-21.034857539897857</v>
      </c>
      <c r="H92" s="1">
        <v>18</v>
      </c>
      <c r="I92" s="1">
        <v>17</v>
      </c>
      <c r="J92" s="4"/>
      <c r="K92" s="1">
        <f>IF(835267&gt;0,100*51221/835267,"")</f>
        <v>6.132290632815614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IF(1412794&gt;0,100*100046/1412794,"")</f>
        <v>7.081428715014361</v>
      </c>
      <c r="S92" s="1">
        <f>IF(COUNT(Q92:R92)=2,R92-Q92,"")</f>
        <v>-38.02026124089161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IF(1749980&gt;0,100*565905/1749980,"")</f>
        <v>32.337798146264525</v>
      </c>
      <c r="E93" s="1">
        <f>IF(COUNT(C93:D93)=2,D93-C93,"")</f>
        <v>-13.998363448537617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IF(853700&gt;0,100*32563/853700,"")</f>
        <v>3.8143375893170903</v>
      </c>
      <c r="L93" s="1">
        <f>IF(COUNT(J93:K93)=2,K93-J93,"")</f>
        <v>-33.10893590354201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IF(1096246&gt;0,100*54902/1096246,"")</f>
        <v>5.008182469993049</v>
      </c>
      <c r="S93" s="1">
        <f>IF(COUNT(Q93:R93)=2,R93-Q93,"")</f>
        <v>-32.81967072526972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IF(1365864&gt;0,100*339039/1365864,"")</f>
        <v>24.8223102739365</v>
      </c>
      <c r="E94" s="1">
        <f>IF(COUNT(C94:D94)=2,D94-C94,"")</f>
        <v>-16.857067406036773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IF(1199032&gt;0,100*137986/1199032,"")</f>
        <v>11.508116547348195</v>
      </c>
      <c r="L94" s="1">
        <f>IF(COUNT(J94:K94)=2,K94-J94,"")</f>
        <v>-30.28772559658247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IF(1495703&gt;0,100*437818/1495703,"")</f>
        <v>29.27172038833913</v>
      </c>
      <c r="S94" s="1">
        <f>IF(COUNT(Q94:R94)=2,R94-Q94,"")</f>
        <v>-16.91197120416751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IF(1071577&gt;0,100*205978/1071577,"")</f>
        <v>19.221950452463986</v>
      </c>
      <c r="E95" s="1">
        <f>IF(COUNT(C95:D95)=2,D95-C95,"")</f>
        <v>-30.59512373278129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IF(813400&gt;0,100*61339/813400,"")</f>
        <v>7.541062208015736</v>
      </c>
      <c r="L95" s="1">
        <f>IF(COUNT(J95:K95)=2,K95-J95,"")</f>
        <v>-42.18182629713247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IF(2100219&gt;0,100*627320/2100219,"")</f>
        <v>29.869266014639425</v>
      </c>
      <c r="S95" s="1">
        <f>IF(COUNT(Q95:R95)=2,R95-Q95,"")</f>
        <v>-16.88999669975971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IF(1883088&gt;0,100*498623/1883088,"")</f>
        <v>26.479006822835682</v>
      </c>
      <c r="E96" s="1">
        <f>IF(COUNT(C96:D96)=2,D96-C96,"")</f>
        <v>-0.1356866600786617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IF(1926894&gt;0,100*451854/1926894,"")</f>
        <v>23.449862836253576</v>
      </c>
      <c r="L96" s="1">
        <f>IF(COUNT(J96:K96)=2,K96-J96,"")</f>
        <v>-22.188549791318255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IF(1593517&gt;0,100*324743/1593517,"")</f>
        <v>20.379010703996254</v>
      </c>
      <c r="S96" s="1">
        <f>IF(COUNT(Q96:R96)=2,R96-Q96,"")</f>
        <v>-12.780860940987704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IF(678407&gt;0,100*4848/678407,"")</f>
        <v>0.7146152678259511</v>
      </c>
      <c r="E97" s="1">
        <f>IF(COUNT(C97:D97)=2,D97-C97,"")</f>
        <v>0.5939201030069938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IF(1154144&gt;0,100*169528/1154144,"")</f>
        <v>14.688635040341586</v>
      </c>
      <c r="L97" s="1">
        <f>IF(COUNT(J97:K97)=2,K97-J97,"")</f>
        <v>-34.654448689795196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IF(2314738&gt;0,100*278838/2314738,"")</f>
        <v>12.046201341145304</v>
      </c>
      <c r="S97" s="1">
        <f>IF(COUNT(Q97:R97)=2,R97-Q97,"")</f>
        <v>-30.541115998046983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IF(1039717&gt;0,100*99190/1039717,"")</f>
        <v>9.540096006894183</v>
      </c>
      <c r="E98" s="1">
        <f>IF(COUNT(C98:D98)=2,D98-C98,"")</f>
        <v>-30.133512644269167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IF(1280213&gt;0,100*227677/1280213,"")</f>
        <v>17.784306205295525</v>
      </c>
      <c r="L98" s="1">
        <f>IF(COUNT(J98:K98)=2,K98-J98,"")</f>
        <v>-25.45394812168829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IF(822564&gt;0,100*37040/822564,"")</f>
        <v>4.502993080173701</v>
      </c>
      <c r="S98" s="1">
        <f>IF(COUNT(Q98:R98)=2,R98-Q98,"")</f>
        <v>-36.28374702784515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IF(1613223&gt;0,100*519062/1613223,"")</f>
        <v>32.175464892330446</v>
      </c>
      <c r="E99" s="1">
        <f>IF(COUNT(C99:D99)=2,D99-C99,"")</f>
        <v>-9.268004388783453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IF(1028509&gt;0,100*60952/1028509,"")</f>
        <v>5.926248579254047</v>
      </c>
      <c r="L99" s="1">
        <f>IF(COUNT(J99:K99)=2,K99-J99,"")</f>
        <v>-44.337395906607185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IF(938659&gt;0,100*20055/938659,"")</f>
        <v>2.136558643767332</v>
      </c>
      <c r="S99" s="1">
        <f>IF(COUNT(Q99:R99)=2,R99-Q99,"")</f>
        <v>-35.24881277868837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IF(1465772&gt;0,100*368053/1465772,"")</f>
        <v>25.109839729507726</v>
      </c>
      <c r="E100" s="1">
        <f>IF(COUNT(C100:D100)=2,D100-C100,"")</f>
        <v>-21.004695696786918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IF(1348194&gt;0,100*129276/1348194,"")</f>
        <v>9.58882772063961</v>
      </c>
      <c r="L100" s="1">
        <f>IF(COUNT(J100:K100)=2,K100-J100,"")</f>
        <v>3.7522792546072328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IF(2079195&gt;0,100*600929/2079195,"")</f>
        <v>28.90200293863731</v>
      </c>
      <c r="S100" s="1">
        <f>IF(COUNT(Q100:R100)=2,R100-Q100,"")</f>
        <v>-24.903984187836386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IF(2088053&gt;0,100*733790/2088053,"")</f>
        <v>35.142307211550666</v>
      </c>
      <c r="E101" s="1">
        <f>IF(COUNT(C101:D101)=2,D101-C101,"")</f>
        <v>-15.828020006863731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IF(1150363&gt;0,100*146651/1150363,"")</f>
        <v>12.74823686088652</v>
      </c>
      <c r="L101" s="1">
        <f>IF(COUNT(J101:K101)=2,K101-J101,"")</f>
        <v>-12.616745479410222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IF(1179886&gt;0,100*184125/1179886,"")</f>
        <v>15.605321192047366</v>
      </c>
      <c r="S101" s="1">
        <f>IF(COUNT(Q101:R101)=2,R101-Q101,"")</f>
        <v>-6.939331327800602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IF(409066&gt;0,100*2279/409066,"")</f>
        <v>0.5571228114778545</v>
      </c>
      <c r="E102" s="1">
        <f>IF(COUNT(C102:D102)=2,D102-C102,"")</f>
        <v>0.23878093188944605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IF(2061136&gt;0,100*560058/2061136,"")</f>
        <v>27.17229721862119</v>
      </c>
      <c r="L102" s="1">
        <f>IF(COUNT(J102:K102)=2,K102-J102,"")</f>
        <v>-3.172752549633504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IF(1356038&gt;0,100*309612/1356038,"")</f>
        <v>22.832103525122452</v>
      </c>
      <c r="S102" s="1">
        <f>IF(COUNT(Q102:R102)=2,R102-Q102,"")</f>
        <v>-17.362974585686356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IF(1547339&gt;0,100*467793/1547339,"")</f>
        <v>30.232095229293645</v>
      </c>
      <c r="E103" s="1">
        <f>IF(COUNT(C103:D103)=2,D103-C103,"")</f>
        <v>-16.710539336837808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IF(2155162&gt;0,100*601609/2155162,"")</f>
        <v>27.914792484277285</v>
      </c>
      <c r="L103" s="1">
        <f>IF(COUNT(J103:K103)=2,K103-J103,"")</f>
        <v>-20.946884044093032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IF(2396931&gt;0,100*801330/2396931,"")</f>
        <v>33.43150053130441</v>
      </c>
      <c r="S103" s="1">
        <f>IF(COUNT(Q103:R103)=2,R103-Q103,"")</f>
        <v>-10.333737253995302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IF(1804296&gt;0,100*545640/1804296,"")</f>
        <v>30.241157770121976</v>
      </c>
      <c r="E104" s="1">
        <f>IF(COUNT(C104:D104)=2,D104-C104,"")</f>
        <v>-16.840468916416587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IF(705670&gt;0,100*25199/705670,"")</f>
        <v>3.570932588887157</v>
      </c>
      <c r="L104" s="1">
        <f>IF(COUNT(J104:K104)=2,K104-J104,"")</f>
        <v>-28.40537553954231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IF(552364&gt;0,100*9288/552364,"")</f>
        <v>1.6814998805135744</v>
      </c>
      <c r="S104" s="1">
        <f>IF(COUNT(Q104:R104)=2,R104-Q104,"")</f>
        <v>0.3219804754233151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IF(783402&gt;0,100*14830/783402,"")</f>
        <v>1.8930255475477469</v>
      </c>
      <c r="E105" s="1">
        <f>IF(COUNT(C105:D105)=2,D105-C105,"")</f>
        <v>-25.259631754006303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IF(1838905&gt;0,100*533979/1838905,"")</f>
        <v>29.037878520097557</v>
      </c>
      <c r="L105" s="1">
        <f>IF(COUNT(J105:K105)=2,K105-J105,"")</f>
        <v>4.2524014931807095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IF(1938230&gt;0,100*644929/1938230,"")</f>
        <v>33.27412123432204</v>
      </c>
      <c r="S105" s="1">
        <f>IF(COUNT(Q105:R105)=2,R105-Q105,"")</f>
        <v>-11.913367102686507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18.540099524441523</v>
      </c>
      <c r="E106" s="1">
        <f>IF(COUNT(E75:E105)&gt;0,AVERAGE(E75:E105),"")</f>
        <v>-15.24669250377149</v>
      </c>
      <c r="H106" s="2" t="s">
        <v>6</v>
      </c>
      <c r="I106" s="1"/>
      <c r="J106" s="1">
        <f>IF(COUNT(J75:J105)&gt;0,AVERAGE(J75:J105),"")</f>
        <v>36.69157069983473</v>
      </c>
      <c r="K106" s="1">
        <f>IF(COUNT(K75:K105)&gt;0,AVERAGE(K75:K105),"")</f>
        <v>14.035861006725224</v>
      </c>
      <c r="L106" s="1">
        <f>IF(COUNT(L75:L105)&gt;0,AVERAGE(L75:L105),"")</f>
        <v>-22.39225734731251</v>
      </c>
      <c r="O106" s="2" t="s">
        <v>6</v>
      </c>
      <c r="P106" s="1"/>
      <c r="Q106" s="1">
        <f>IF(COUNT(Q75:Q105)&gt;0,AVERAGE(Q75:Q105),"")</f>
        <v>34.096955178849896</v>
      </c>
      <c r="R106" s="1">
        <f>IF(COUNT(R75:R105)&gt;0,AVERAGE(R75:R105),"")</f>
        <v>15.662425472027383</v>
      </c>
      <c r="S106" s="1">
        <f>IF(COUNT(S75:S105)&gt;0,AVERAGE(S75:S105),"")</f>
        <v>-18.434529706822513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IF(460269&gt;0,100*28982/460269,"")</f>
        <v>6.296752551225479</v>
      </c>
      <c r="E3" s="1">
        <f>IF(COUNT(C3:D3)=2,D3-C3,"")</f>
        <v>-22.132655733927265</v>
      </c>
      <c r="H3" s="1">
        <v>1</v>
      </c>
      <c r="I3" s="1">
        <v>0</v>
      </c>
      <c r="J3" s="1">
        <f>IF(1145550&gt;0,100*291815/1145550,"")</f>
        <v>25.47378988258915</v>
      </c>
      <c r="K3" s="1">
        <f>IF(790122&gt;0,100*105882/790122,"")</f>
        <v>13.400715332568895</v>
      </c>
      <c r="L3" s="1">
        <f>IF(COUNT(J3:K3)=2,K3-J3,"")</f>
        <v>-12.073074550020253</v>
      </c>
      <c r="O3" s="1">
        <v>1</v>
      </c>
      <c r="P3" s="1">
        <v>0</v>
      </c>
      <c r="Q3" s="1">
        <f>IF(1052174&gt;0,100*332764/1052174,"")</f>
        <v>31.626327964766283</v>
      </c>
      <c r="R3" s="1">
        <f>IF(761008&gt;0,100*91005/761008,"")</f>
        <v>11.958481382587305</v>
      </c>
      <c r="S3" s="1">
        <f>IF(COUNT(Q3:R3)=2,R3-Q3,"")</f>
        <v>-19.667846582178978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IF(863690&gt;0,100*204933/863690,"")</f>
        <v>23.72761060102583</v>
      </c>
      <c r="E4" s="1">
        <f>IF(COUNT(C4:D4)=2,D4-C4,"")</f>
        <v>-11.448138939340609</v>
      </c>
      <c r="H4" s="1">
        <v>2</v>
      </c>
      <c r="I4" s="1">
        <v>1</v>
      </c>
      <c r="J4" s="1">
        <f>IF(783729&gt;0,100*130334/783729,"")</f>
        <v>16.629983068126865</v>
      </c>
      <c r="K4" s="1">
        <f>IF(1004933&gt;0,100*187719/1004933,"")</f>
        <v>18.679752779538536</v>
      </c>
      <c r="L4" s="1">
        <f>IF(COUNT(J4:K4)=2,K4-J4,"")</f>
        <v>2.0497697114116704</v>
      </c>
      <c r="O4" s="1">
        <v>2</v>
      </c>
      <c r="P4" s="1">
        <v>1</v>
      </c>
      <c r="Q4" s="1">
        <f>IF(1118920&gt;0,100*356409/1118920,"")</f>
        <v>31.852947485074893</v>
      </c>
      <c r="R4" s="1">
        <f>IF(877094&gt;0,100*127676/877094,"")</f>
        <v>14.55670657877035</v>
      </c>
      <c r="S4" s="1">
        <f>IF(COUNT(Q4:R4)=2,R4-Q4,"")</f>
        <v>-17.296240906304543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IF(761960&gt;0,100*133727/761960,"")</f>
        <v>17.550396346264897</v>
      </c>
      <c r="E5" s="1">
        <f>IF(COUNT(C5:D5)=2,D5-C5,"")</f>
        <v>-19.933394790678037</v>
      </c>
      <c r="H5" s="1">
        <v>3</v>
      </c>
      <c r="I5" s="1">
        <v>2</v>
      </c>
      <c r="J5" s="1">
        <f>IF(1441835&gt;0,100*147851/1441835,"")</f>
        <v>10.25436336335295</v>
      </c>
      <c r="K5" s="1">
        <f>IF(1251698&gt;0,100*324788/1251698,"")</f>
        <v>25.947792518642675</v>
      </c>
      <c r="L5" s="1">
        <f>IF(COUNT(J5:K5)=2,K5-J5,"")</f>
        <v>15.693429155289726</v>
      </c>
      <c r="O5" s="1">
        <v>3</v>
      </c>
      <c r="P5" s="1">
        <v>2</v>
      </c>
      <c r="Q5" s="1">
        <f>IF(1270809&gt;0,100*397332/1270809,"")</f>
        <v>31.266067520768267</v>
      </c>
      <c r="R5" s="1">
        <f>IF(751062&gt;0,100*114199/751062,"")</f>
        <v>15.205003049015927</v>
      </c>
      <c r="S5" s="1">
        <f>IF(COUNT(Q5:R5)=2,R5-Q5,"")</f>
        <v>-16.06106447175234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IF(1232654&gt;0,100*343390/1232654,"")</f>
        <v>27.857776797057408</v>
      </c>
      <c r="E6" s="1">
        <f>IF(COUNT(C6:D6)=2,D6-C6,"")</f>
        <v>-9.30886634072198</v>
      </c>
      <c r="H6" s="1">
        <v>4</v>
      </c>
      <c r="I6" s="1">
        <v>3</v>
      </c>
      <c r="J6" s="1">
        <f>IF(784417&gt;0,100*123870/784417,"")</f>
        <v>15.791345674558302</v>
      </c>
      <c r="K6" s="1">
        <f>IF(464015&gt;0,100*31857/464015,"")</f>
        <v>6.8655108132280205</v>
      </c>
      <c r="L6" s="1">
        <f>IF(COUNT(J6:K6)=2,K6-J6,"")</f>
        <v>-8.925834861330282</v>
      </c>
      <c r="O6" s="1">
        <v>4</v>
      </c>
      <c r="P6" s="1">
        <v>3</v>
      </c>
      <c r="Q6" s="1">
        <f>IF(519550&gt;0,100*16403/519550,"")</f>
        <v>3.1571552304879225</v>
      </c>
      <c r="R6" s="1">
        <f>IF(538286&gt;0,100*41118/538286,"")</f>
        <v>7.638690213009441</v>
      </c>
      <c r="S6" s="1">
        <f>IF(COUNT(Q6:R6)=2,R6-Q6,"")</f>
        <v>4.481534982521518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IF(680804&gt;0,100*32382/680804,"")</f>
        <v>4.756435038572041</v>
      </c>
      <c r="E7" s="1">
        <f>IF(COUNT(C7:D7)=2,D7-C7,"")</f>
        <v>-30.874287845276406</v>
      </c>
      <c r="H7" s="1">
        <v>5</v>
      </c>
      <c r="I7" s="1">
        <v>4</v>
      </c>
      <c r="J7" s="1">
        <f>IF(1148710&gt;0,100*342477/1148710,"")</f>
        <v>29.814052284736793</v>
      </c>
      <c r="K7" s="1">
        <f>IF(1171848&gt;0,100*265045/1171848,"")</f>
        <v>22.617694445013345</v>
      </c>
      <c r="L7" s="1">
        <f>IF(COUNT(J7:K7)=2,K7-J7,"")</f>
        <v>-7.196357839723447</v>
      </c>
      <c r="O7" s="1">
        <v>5</v>
      </c>
      <c r="P7" s="1">
        <v>4</v>
      </c>
      <c r="Q7" s="1">
        <f>IF(1286267&gt;0,100*497044/1286267,"")</f>
        <v>38.64236585405674</v>
      </c>
      <c r="R7" s="1">
        <f>IF(1004857&gt;0,100*178524/1004857,"")</f>
        <v>17.766110003711972</v>
      </c>
      <c r="S7" s="1">
        <f>IF(COUNT(Q7:R7)=2,R7-Q7,"")</f>
        <v>-20.87625585034477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IF(659488&gt;0,100*95118/659488,"")</f>
        <v>14.423006938716094</v>
      </c>
      <c r="E8" s="1">
        <f>IF(COUNT(C8:D8)=2,D8-C8,"")</f>
        <v>-12.708377713484444</v>
      </c>
      <c r="H8" s="1">
        <v>6</v>
      </c>
      <c r="I8" s="1">
        <v>5</v>
      </c>
      <c r="J8" s="1">
        <f>IF(1039225&gt;0,100*246415/1039225,"")</f>
        <v>23.71141956746614</v>
      </c>
      <c r="K8" s="1">
        <f>IF(723873&gt;0,100*100563/723873,"")</f>
        <v>13.892354045530086</v>
      </c>
      <c r="L8" s="1">
        <f>IF(COUNT(J8:K8)=2,K8-J8,"")</f>
        <v>-9.819065521936055</v>
      </c>
      <c r="O8" s="1">
        <v>6</v>
      </c>
      <c r="P8" s="1">
        <v>5</v>
      </c>
      <c r="Q8" s="1">
        <f>IF(1125005&gt;0,100*295084/1125005,"")</f>
        <v>26.229572313011943</v>
      </c>
      <c r="R8" s="1">
        <f>IF(881812&gt;0,100*108916/881812,"")</f>
        <v>12.35138555610493</v>
      </c>
      <c r="S8" s="1">
        <f>IF(COUNT(Q8:R8)=2,R8-Q8,"")</f>
        <v>-13.878186756907013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IF(745058&gt;0,100*110479/745058,"")</f>
        <v>14.8282415597175</v>
      </c>
      <c r="E9" s="1">
        <f>IF(COUNT(C9:D9)=2,D9-C9,"")</f>
        <v>-22.115643715633055</v>
      </c>
      <c r="H9" s="1">
        <v>7</v>
      </c>
      <c r="I9" s="1">
        <v>6</v>
      </c>
      <c r="J9" s="1">
        <f>IF(356727&gt;0,100*3261/356727,"")</f>
        <v>0.9141444297740289</v>
      </c>
      <c r="K9" s="1">
        <f>IF(538329&gt;0,100*14996/538329,"")</f>
        <v>2.785657098168592</v>
      </c>
      <c r="L9" s="1">
        <f>IF(COUNT(J9:K9)=2,K9-J9,"")</f>
        <v>1.871512668394563</v>
      </c>
      <c r="O9" s="1">
        <v>7</v>
      </c>
      <c r="P9" s="1">
        <v>6</v>
      </c>
      <c r="Q9" s="1">
        <f>IF(851852&gt;0,100*240424/851852,"")</f>
        <v>28.223682048055295</v>
      </c>
      <c r="R9" s="1">
        <f>IF(570984&gt;0,100*24855/570984,"")</f>
        <v>4.3530116430582995</v>
      </c>
      <c r="S9" s="1">
        <f>IF(COUNT(Q9:R9)=2,R9-Q9,"")</f>
        <v>-23.870670404996996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IF(879948&gt;0,100*197457/879948,"")</f>
        <v>22.43962143217554</v>
      </c>
      <c r="E10" s="1">
        <f>IF(COUNT(C10:D10)=2,D10-C10,"")</f>
        <v>-18.99639492529504</v>
      </c>
      <c r="H10" s="1">
        <v>8</v>
      </c>
      <c r="I10" s="1">
        <v>7</v>
      </c>
      <c r="J10" s="1">
        <f>IF(278589&gt;0,100*275/278589,"")</f>
        <v>0.09871172228623527</v>
      </c>
      <c r="K10" s="1">
        <f>IF(283728&gt;0,100*272/283728,"")</f>
        <v>0.09586646365533187</v>
      </c>
      <c r="L10" s="1">
        <f>IF(COUNT(J10:K10)=2,K10-J10,"")</f>
        <v>-0.0028452586309034023</v>
      </c>
      <c r="O10" s="1">
        <v>8</v>
      </c>
      <c r="P10" s="1">
        <v>7</v>
      </c>
      <c r="Q10" s="1">
        <f>IF(313581&gt;0,100*3447/313581,"")</f>
        <v>1.09923751757919</v>
      </c>
      <c r="R10" s="1">
        <f>IF(333348&gt;0,100*7980/333348,"")</f>
        <v>2.39389466863458</v>
      </c>
      <c r="S10" s="1">
        <f>IF(COUNT(Q10:R10)=2,R10-Q10,"")</f>
        <v>1.2946571510553901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IF(950947&gt;0,100*210650/950947,"")</f>
        <v>22.15160256039506</v>
      </c>
      <c r="E11" s="1">
        <f>IF(COUNT(C11:D11)=2,D11-C11,"")</f>
        <v>-14.092338348364112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IF(677862&gt;0,100*128399/677862,"")</f>
        <v>18.941761007402686</v>
      </c>
      <c r="L11" s="1">
        <f>IF(COUNT(J11:K11)=2,K11-J11,"")</f>
        <v>-10.762018851056453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IF(877751&gt;0,100*118920/877751,"")</f>
        <v>13.548261408987287</v>
      </c>
      <c r="S11" s="1">
        <f>IF(COUNT(Q11:R11)=2,R11-Q11,"")</f>
        <v>-16.45168385507711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IF(416447&gt;0,100*11552/416447,"")</f>
        <v>2.773942422445113</v>
      </c>
      <c r="E12" s="1">
        <f>IF(COUNT(C12:D12)=2,D12-C12,"")</f>
        <v>-28.698251385875867</v>
      </c>
      <c r="H12" s="1">
        <v>10</v>
      </c>
      <c r="I12" s="1">
        <v>9</v>
      </c>
      <c r="J12" s="1">
        <f>IF(747366&gt;0,100*179400/747366,"")</f>
        <v>24.00430311253121</v>
      </c>
      <c r="K12" s="1">
        <f>IF(569294&gt;0,100*10179/569294,"")</f>
        <v>1.7880040892754885</v>
      </c>
      <c r="L12" s="1">
        <f>IF(COUNT(J12:K12)=2,K12-J12,"")</f>
        <v>-22.216299023255722</v>
      </c>
      <c r="O12" s="1">
        <v>10</v>
      </c>
      <c r="P12" s="1">
        <v>9</v>
      </c>
      <c r="Q12" s="1">
        <f>IF(738636&gt;0,100*147882/738636,"")</f>
        <v>20.0209575487791</v>
      </c>
      <c r="R12" s="1">
        <f>IF(569029&gt;0,100*33156/569029,"")</f>
        <v>5.8267680557581425</v>
      </c>
      <c r="S12" s="1">
        <f>IF(COUNT(Q12:R12)=2,R12-Q12,"")</f>
        <v>-14.194189493020959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IF(1233139&gt;0,100*320674/1233139,"")</f>
        <v>26.004692090672666</v>
      </c>
      <c r="E13" s="1">
        <f>IF(COUNT(C13:D13)=2,D13-C13,"")</f>
        <v>-2.744639709768162</v>
      </c>
      <c r="H13" s="1">
        <v>11</v>
      </c>
      <c r="I13" s="1">
        <v>10</v>
      </c>
      <c r="J13" s="1">
        <f>IF(602395&gt;0,100*29717/602395,"")</f>
        <v>4.933141875347571</v>
      </c>
      <c r="K13" s="1">
        <f>IF(599509&gt;0,100*39654/599509,"")</f>
        <v>6.614412794470141</v>
      </c>
      <c r="L13" s="1">
        <f>IF(COUNT(J13:K13)=2,K13-J13,"")</f>
        <v>1.6812709191225697</v>
      </c>
      <c r="O13" s="1">
        <v>11</v>
      </c>
      <c r="P13" s="1">
        <v>10</v>
      </c>
      <c r="Q13" s="1">
        <f>IF(540292&gt;0,100*4137/540292,"")</f>
        <v>0.7656970675116419</v>
      </c>
      <c r="R13" s="1">
        <f>IF(816385&gt;0,100*120464/816385,"")</f>
        <v>14.755783117034243</v>
      </c>
      <c r="S13" s="1">
        <f>IF(COUNT(Q13:R13)=2,R13-Q13,"")</f>
        <v>13.990086049522601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IF(892758&gt;0,100*160515/892758,"")</f>
        <v>17.979676463274483</v>
      </c>
      <c r="E14" s="1">
        <f>IF(COUNT(C14:D14)=2,D14-C14,"")</f>
        <v>-16.52374981048762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IF(775695&gt;0,100*84345/775695,"")</f>
        <v>10.873474754897222</v>
      </c>
      <c r="L14" s="1">
        <f>IF(COUNT(J14:K14)=2,K14-J14,"")</f>
        <v>7.5506664446938645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IF(717208&gt;0,100*57704/717208,"")</f>
        <v>8.045643662647377</v>
      </c>
      <c r="S14" s="1">
        <f>IF(COUNT(Q14:R14)=2,R14-Q14,"")</f>
        <v>-28.317563534073727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IF(423043&gt;0,100*11112/423043,"")</f>
        <v>2.626683339518678</v>
      </c>
      <c r="E15" s="1">
        <f>IF(COUNT(C15:D15)=2,D15-C15,"")</f>
        <v>-29.616501995560476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IF(716308&gt;0,100*135470/716308,"")</f>
        <v>18.912255621883325</v>
      </c>
      <c r="L15" s="1">
        <f>IF(COUNT(J15:K15)=2,K15-J15,"")</f>
        <v>-18.314092660131188</v>
      </c>
      <c r="O15" s="1">
        <v>13</v>
      </c>
      <c r="P15" s="1">
        <v>12</v>
      </c>
      <c r="Q15" s="1">
        <f>IF(521892&gt;0,100*47266/521892,"")</f>
        <v>9.0566630643888</v>
      </c>
      <c r="R15" s="1">
        <f>IF(766884&gt;0,100*124281/766884,"")</f>
        <v>16.205971176866385</v>
      </c>
      <c r="S15" s="1">
        <f>IF(COUNT(Q15:R15)=2,R15-Q15,"")</f>
        <v>7.149308112477584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IF(298998&gt;0,100*6080/298998,"")</f>
        <v>2.0334584177820587</v>
      </c>
      <c r="E16" s="1">
        <f>IF(COUNT(C16:D16)=2,D16-C16,"")</f>
        <v>-20.65560704494068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IF(806831&gt;0,100*112002/806831,"")</f>
        <v>13.881717484826439</v>
      </c>
      <c r="L16" s="1">
        <f>IF(COUNT(J16:K16)=2,K16-J16,"")</f>
        <v>-8.288404295885247</v>
      </c>
      <c r="O16" s="1">
        <v>14</v>
      </c>
      <c r="P16" s="1">
        <v>13</v>
      </c>
      <c r="Q16" s="1">
        <f>IF(385878&gt;0,100*7402/385878,"")</f>
        <v>1.9182228580017517</v>
      </c>
      <c r="R16" s="1">
        <f>IF(634416&gt;0,100*67055/634416,"")</f>
        <v>10.569563188822476</v>
      </c>
      <c r="S16" s="1">
        <f>IF(COUNT(Q16:R16)=2,R16-Q16,"")</f>
        <v>8.651340330820725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IF(1115672&gt;0,100*270781/1115672,"")</f>
        <v>24.270663779318653</v>
      </c>
      <c r="E17" s="1">
        <f>IF(COUNT(C17:D17)=2,D17-C17,"")</f>
        <v>-8.74949260001081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IF(1026679&gt;0,100*193645/1026679,"")</f>
        <v>18.86129939348131</v>
      </c>
      <c r="L17" s="1">
        <f>IF(COUNT(J17:K17)=2,K17-J17,"")</f>
        <v>-19.918050611063535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IF(894145&gt;0,100*124532/894145,"")</f>
        <v>13.927494981239061</v>
      </c>
      <c r="S17" s="1">
        <f>IF(COUNT(Q17:R17)=2,R17-Q17,"")</f>
        <v>-18.749907826992857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IF(898270&gt;0,100*169634/898270,"")</f>
        <v>18.88452247097198</v>
      </c>
      <c r="E18" s="1">
        <f>IF(COUNT(C18:D18)=2,D18-C18,"")</f>
        <v>-15.548750797381963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IF(593410&gt;0,100*25281/593410,"")</f>
        <v>4.260292209433612</v>
      </c>
      <c r="L18" s="1">
        <f>IF(COUNT(J18:K18)=2,K18-J18,"")</f>
        <v>-25.822953634793606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IF(715583&gt;0,100*87452/715583,"")</f>
        <v>12.221084067117301</v>
      </c>
      <c r="S18" s="1">
        <f>IF(COUNT(Q18:R18)=2,R18-Q18,"")</f>
        <v>-21.046939008987437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IF(321752&gt;0,100*10807/321752,"")</f>
        <v>3.358798080509212</v>
      </c>
      <c r="E19" s="1">
        <f>IF(COUNT(C19:D19)=2,D19-C19,"")</f>
        <v>-5.741256210041039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IF(974344&gt;0,100*186612/974344,"")</f>
        <v>19.1525785554178</v>
      </c>
      <c r="L19" s="1">
        <f>IF(COUNT(J19:K19)=2,K19-J19,"")</f>
        <v>-18.22218591887791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IF(812234&gt;0,100*140992/812234,"")</f>
        <v>17.35854445886284</v>
      </c>
      <c r="S19" s="1">
        <f>IF(COUNT(Q19:R19)=2,R19-Q19,"")</f>
        <v>-3.892803306178962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IF(344930&gt;0,100*11058/344930,"")</f>
        <v>3.205867857246398</v>
      </c>
      <c r="E20" s="1">
        <f>IF(COUNT(C20:D20)=2,D20-C20,"")</f>
        <v>2.522523741982324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IF(600302&gt;0,100*43757/600302,"")</f>
        <v>7.289164453891542</v>
      </c>
      <c r="L20" s="1">
        <f>IF(COUNT(J20:K20)=2,K20-J20,"")</f>
        <v>-17.97568667620825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IF(731522&gt;0,100*97225/731522,"")</f>
        <v>13.290782778918475</v>
      </c>
      <c r="S20" s="1">
        <f>IF(COUNT(Q20:R20)=2,R20-Q20,"")</f>
        <v>-16.171851316134997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IF(868042&gt;0,100*132744/868042,"")</f>
        <v>15.292347605300204</v>
      </c>
      <c r="E21" s="1">
        <f>IF(COUNT(C21:D21)=2,D21-C21,"")</f>
        <v>-20.17005625136176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IF(689877&gt;0,100*63273/689877,"")</f>
        <v>9.171634943620385</v>
      </c>
      <c r="L21" s="1">
        <f>IF(COUNT(J21:K21)=2,K21-J21,"")</f>
        <v>-6.292936123640802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IF(688652&gt;0,100*87058/688652,"")</f>
        <v>12.64179876047699</v>
      </c>
      <c r="S21" s="1">
        <f>IF(COUNT(Q21:R21)=2,R21-Q21,"")</f>
        <v>-6.656161268824006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IF(860184&gt;0,100*91862/860184,"")</f>
        <v>10.679343024283177</v>
      </c>
      <c r="E22" s="1">
        <f>IF(COUNT(C22:D22)=2,D22-C22,"")</f>
        <v>-22.116223330448427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IF(664971&gt;0,100*86973/664971,"")</f>
        <v>13.079216988410021</v>
      </c>
      <c r="L22" s="1">
        <f>IF(COUNT(J22:K22)=2,K22-J22,"")</f>
        <v>1.8402273582264872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IF(734823&gt;0,100*58675/734823,"")</f>
        <v>7.984916095440671</v>
      </c>
      <c r="S22" s="1">
        <f>IF(COUNT(Q22:R22)=2,R22-Q22,"")</f>
        <v>-21.083264089917474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IF(760366&gt;0,100*140310/760366,"")</f>
        <v>18.452955550353384</v>
      </c>
      <c r="E23" s="1">
        <f>IF(COUNT(C23:D23)=2,D23-C23,"")</f>
        <v>-5.995049159180194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IF(644689&gt;0,100*94328/644689,"")</f>
        <v>14.631551026929264</v>
      </c>
      <c r="L23" s="1">
        <f>IF(COUNT(J23:K23)=2,K23-J23,"")</f>
        <v>-23.76752052253609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IF(1114277&gt;0,100*213433/1114277,"")</f>
        <v>19.154393386922642</v>
      </c>
      <c r="S23" s="1">
        <f>IF(COUNT(Q23:R23)=2,R23-Q23,"")</f>
        <v>-4.266877753840976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IF(855866&gt;0,100*138346/855866,"")</f>
        <v>16.16444630351013</v>
      </c>
      <c r="E24" s="1">
        <f>IF(COUNT(C24:D24)=2,D24-C24,"")</f>
        <v>-18.192518508431146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IF(868826&gt;0,100*139002/868826,"")</f>
        <v>15.998830605898075</v>
      </c>
      <c r="L24" s="1">
        <f>IF(COUNT(J24:K24)=2,K24-J24,"")</f>
        <v>-14.878283949610434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IF(922261&gt;0,100*133606/922261,"")</f>
        <v>14.48678844708819</v>
      </c>
      <c r="S24" s="1">
        <f>IF(COUNT(Q24:R24)=2,R24-Q24,"")</f>
        <v>-8.651017116503612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IF(262413&gt;0,100*427/262413,"")</f>
        <v>0.16272059692164642</v>
      </c>
      <c r="E25" s="1">
        <f>IF(COUNT(C25:D25)=2,D25-C25,"")</f>
        <v>-0.06330261627322223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IF(654538&gt;0,100*63470/654538,"")</f>
        <v>9.696915992654361</v>
      </c>
      <c r="L25" s="1">
        <f>IF(COUNT(J25:K25)=2,K25-J25,"")</f>
        <v>-8.817862959320884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IF(762635&gt;0,100*113004/762635,"")</f>
        <v>14.81757328210743</v>
      </c>
      <c r="S25" s="1">
        <f>IF(COUNT(Q25:R25)=2,R25-Q25,"")</f>
        <v>-17.452199771570875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IF(534365&gt;0,100*11758/534365,"")</f>
        <v>2.2003686618696956</v>
      </c>
      <c r="E26" s="1">
        <f>IF(COUNT(C26:D26)=2,D26-C26,"")</f>
        <v>-19.0331731505409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IF(693372&gt;0,100*77166/693372,"")</f>
        <v>11.129090877624133</v>
      </c>
      <c r="L26" s="1">
        <f>IF(COUNT(J26:K26)=2,K26-J26,"")</f>
        <v>-21.52437628418252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IF(656759&gt;0,100*61315/656759,"")</f>
        <v>9.335996918199827</v>
      </c>
      <c r="S26" s="1">
        <f>IF(COUNT(Q26:R26)=2,R26-Q26,"")</f>
        <v>-16.929127397464896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IF(971665&gt;0,100*191353/971665,"")</f>
        <v>19.693309937066786</v>
      </c>
      <c r="E27" s="1">
        <f>IF(COUNT(C27:D27)=2,D27-C27,"")</f>
        <v>-17.374531614329086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IF(428834&gt;0,100*17373/428834,"")</f>
        <v>4.051217953800305</v>
      </c>
      <c r="L27" s="1">
        <f>IF(COUNT(J27:K27)=2,K27-J27,"")</f>
        <v>-16.488257052823787</v>
      </c>
      <c r="O27" s="1">
        <v>25</v>
      </c>
      <c r="P27" s="1">
        <v>24</v>
      </c>
      <c r="Q27" s="1">
        <f>IF(682080&gt;0,100*56444/682080,"")</f>
        <v>8.275275627492377</v>
      </c>
      <c r="R27" s="1">
        <f>IF(645351&gt;0,100*52888/645351,"")</f>
        <v>8.195230192561878</v>
      </c>
      <c r="S27" s="1">
        <f>IF(COUNT(Q27:R27)=2,R27-Q27,"")</f>
        <v>-0.08004543493049887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IF(81835&gt;0,100*10982/81835,"")</f>
        <v>13.419685953442903</v>
      </c>
      <c r="E28" s="1">
        <f>IF(COUNT(C28:D28)=2,D28-C28,"")</f>
        <v>-26.572120315066286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IF(839516&gt;0,100*139320/839516,"")</f>
        <v>16.59527632588301</v>
      </c>
      <c r="L28" s="1">
        <f>IF(COUNT(J28:K28)=2,K28-J28,"")</f>
        <v>-15.369583872903888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IF(803554&gt;0,100*100767/803554,"")</f>
        <v>12.540165315585512</v>
      </c>
      <c r="S28" s="1">
        <f>IF(COUNT(Q28:R28)=2,R28-Q28,"")</f>
        <v>-18.86013453448945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IF(651705&gt;0,100*90185/651705,"")</f>
        <v>13.838316416169892</v>
      </c>
      <c r="E29" s="1">
        <f>IF(COUNT(C29:D29)=2,D29-C29,"")</f>
        <v>-16.04120835599683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IF(865372&gt;0,100*112314/865372,"")</f>
        <v>12.978695867210865</v>
      </c>
      <c r="L29" s="1">
        <f>IF(COUNT(J29:K29)=2,K29-J29,"")</f>
        <v>-3.6841425369412537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IF(896952&gt;0,100*152410/896952,"")</f>
        <v>16.991990652788555</v>
      </c>
      <c r="S29" s="1">
        <f>IF(COUNT(Q29:R29)=2,R29-Q29,"")</f>
        <v>-22.71167034155329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IF(263049&gt;0,100*282/263049,"")</f>
        <v>0.10720436116464993</v>
      </c>
      <c r="E30" s="1">
        <f>IF(COUNT(C30:D30)=2,D30-C30,"")</f>
        <v>0.03406407733439666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IF(934337&gt;0,100*140878/934337,"")</f>
        <v>15.077857346974378</v>
      </c>
      <c r="L30" s="1">
        <f>IF(COUNT(J30:K30)=2,K30-J30,"")</f>
        <v>-18.59343050521619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IF(692202&gt;0,100*42402/692202,"")</f>
        <v>6.125668518727192</v>
      </c>
      <c r="S30" s="1">
        <f>IF(COUNT(Q30:R30)=2,R30-Q30,"")</f>
        <v>-21.77792253493405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IF(1102400&gt;0,100*251662/1102400,"")</f>
        <v>22.82855587808418</v>
      </c>
      <c r="E31" s="1">
        <f>IF(COUNT(C31:D31)=2,D31-C31,"")</f>
        <v>-13.321436890111151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IF(1017968&gt;0,100*167426/1017968,"")</f>
        <v>16.447078886566178</v>
      </c>
      <c r="L31" s="1">
        <f>IF(COUNT(J31:K31)=2,K31-J31,"")</f>
        <v>-19.948787705344994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IF(873048&gt;0,100*130503/873048,"")</f>
        <v>14.947975369051873</v>
      </c>
      <c r="S31" s="1">
        <f>IF(COUNT(Q31:R31)=2,R31-Q31,"")</f>
        <v>-21.936709448643704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IF(915380&gt;0,100*178888/915380,"")</f>
        <v>19.54248508816011</v>
      </c>
      <c r="E32" s="1">
        <f>IF(COUNT(C32:D32)=2,D32-C32,"")</f>
        <v>-17.96336719340373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IF(811394&gt;0,100*117508/811394,"")</f>
        <v>14.482236743185185</v>
      </c>
      <c r="L32" s="1">
        <f>IF(COUNT(J32:K32)=2,K32-J32,"")</f>
        <v>-15.301327855340991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IF(934788&gt;0,100*162194/934788,"")</f>
        <v>17.350885976285532</v>
      </c>
      <c r="S32" s="1">
        <f>IF(COUNT(Q32:R32)=2,R32-Q32,"")</f>
        <v>-8.483844281422556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IF(482053&gt;0,100*605/482053,"")</f>
        <v>0.12550487187093534</v>
      </c>
      <c r="E33" s="1">
        <f>IF(COUNT(C33:D33)=2,D33-C33,"")</f>
        <v>-1.5109521316907046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IF(1129497&gt;0,100*241796/1129497,"")</f>
        <v>21.407405243218886</v>
      </c>
      <c r="L33" s="1">
        <f>IF(COUNT(J33:K33)=2,K33-J33,"")</f>
        <v>-7.975446127241199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IF(980705&gt;0,100*183870/980705,"")</f>
        <v>18.74875727155465</v>
      </c>
      <c r="S33" s="1">
        <f>IF(COUNT(Q33:R33)=2,R33-Q33,"")</f>
        <v>-18.197302959162837</v>
      </c>
    </row>
    <row r="34" spans="1:19">
      <c r="A34" s="2" t="s">
        <v>6</v>
      </c>
      <c r="B34" s="1"/>
      <c r="C34" s="1">
        <f>IF(COUNT(C3:C33)&gt;0,AVERAGE(C3:C33),"")</f>
        <v>28.172990083851328</v>
      </c>
      <c r="D34" s="1">
        <f>IF(COUNT(D3:D33)&gt;0,AVERAGE(D3:D33),"")</f>
        <v>13.150870741776993</v>
      </c>
      <c r="E34" s="1">
        <f>IF(COUNT(E3:E33)&gt;0,AVERAGE(E3:E33),"")</f>
        <v>-15.022119342074333</v>
      </c>
      <c r="H34" s="2" t="s">
        <v>6</v>
      </c>
      <c r="I34" s="1"/>
      <c r="J34" s="1">
        <f>IF(COUNT(J3:J33)&gt;0,AVERAGE(J3:J33),"")</f>
        <v>23.261266503360552</v>
      </c>
      <c r="K34" s="1">
        <f>IF(COUNT(K3:K33)&gt;0,AVERAGE(K3:K33),"")</f>
        <v>12.890558473009682</v>
      </c>
      <c r="L34" s="1">
        <f>IF(COUNT(L3:L33)&gt;0,AVERAGE(L3:L33),"")</f>
        <v>-10.370708030350873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12.428881296062496</v>
      </c>
      <c r="S34" s="1">
        <f>IF(COUNT(S3:S33)&gt;0,AVERAGE(S3:S33),"")</f>
        <v>-12.322404955477777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IF(724440&gt;0,100*86975/724440,"")</f>
        <v>12.00582518911159</v>
      </c>
      <c r="E39" s="1">
        <f>IF(COUNT(C39:D39)=2,D39-C39,"")</f>
        <v>-1.0514264419140087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IF(698604&gt;0,100*43152/698604,"")</f>
        <v>6.17688991188141</v>
      </c>
      <c r="L39" s="1">
        <f>IF(COUNT(J39:K39)=2,K39-J39,"")</f>
        <v>-25.090617118095825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IF(871756&gt;0,100*65593/871756,"")</f>
        <v>7.524238433690161</v>
      </c>
      <c r="S39" s="1">
        <f>IF(COUNT(Q39:R39)=2,R39-Q39,"")</f>
        <v>-10.848412715452042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IF(639795&gt;0,100*105305/639795,"")</f>
        <v>16.459178330559006</v>
      </c>
      <c r="E40" s="1">
        <f>IF(COUNT(C40:D40)=2,D40-C40,"")</f>
        <v>-12.77426397298077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IF(1151234&gt;0,100*160566/1151234,"")</f>
        <v>13.947294815823716</v>
      </c>
      <c r="L40" s="1">
        <f>IF(COUNT(J40:K40)=2,K40-J40,"")</f>
        <v>-24.148259441360118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IF(1099431&gt;0,100*142271/1099431,"")</f>
        <v>12.940420999589788</v>
      </c>
      <c r="S40" s="1">
        <f>IF(COUNT(Q40:R40)=2,R40-Q40,"")</f>
        <v>-28.549022968078866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IF(1061138&gt;0,100*150021/1061138,"")</f>
        <v>14.137746457105484</v>
      </c>
      <c r="E41" s="1">
        <f>IF(COUNT(C41:D41)=2,D41-C41,"")</f>
        <v>-25.13507208009316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IF(1020865&gt;0,100*109693/1020865,"")</f>
        <v>10.74510341720012</v>
      </c>
      <c r="L41" s="1">
        <f>IF(COUNT(J41:K41)=2,K41-J41,"")</f>
        <v>-27.24797742787907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IF(890727&gt;0,100*68238/890727,"")</f>
        <v>7.660933147866855</v>
      </c>
      <c r="S41" s="1">
        <f>IF(COUNT(Q41:R41)=2,R41-Q41,"")</f>
        <v>-32.86493793172732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IF(1450635&gt;0,100*264788/1450635,"")</f>
        <v>18.253247715655558</v>
      </c>
      <c r="E42" s="1">
        <f>IF(COUNT(C42:D42)=2,D42-C42,"")</f>
        <v>-23.740832150621745</v>
      </c>
      <c r="H42" s="1">
        <v>4</v>
      </c>
      <c r="I42" s="1">
        <v>3</v>
      </c>
      <c r="J42" s="1">
        <f>IF(778520&gt;0,100*44764/778520,"")</f>
        <v>5.749884396033499</v>
      </c>
      <c r="K42" s="1">
        <f>IF(962082&gt;0,100*61208/962082,"")</f>
        <v>6.362035668477323</v>
      </c>
      <c r="L42" s="1">
        <f>IF(COUNT(J42:K42)=2,K42-J42,"")</f>
        <v>0.6121512724438238</v>
      </c>
      <c r="O42" s="1">
        <v>4</v>
      </c>
      <c r="P42" s="1">
        <v>3</v>
      </c>
      <c r="Q42" s="1">
        <f>IF(760183&gt;0,100*45060/760183,"")</f>
        <v>5.927520083979778</v>
      </c>
      <c r="R42" s="1">
        <f>IF(699227&gt;0,100*35294/699227,"")</f>
        <v>5.047573963820047</v>
      </c>
      <c r="S42" s="1">
        <f>IF(COUNT(Q42:R42)=2,R42-Q42,"")</f>
        <v>-0.8799461201597314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IF(747804&gt;0,100*29400/747804,"")</f>
        <v>3.9315114655711922</v>
      </c>
      <c r="E43" s="1">
        <f>IF(COUNT(C43:D43)=2,D43-C43,"")</f>
        <v>-13.801770748398427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IF(954008&gt;0,100*96322/954008,"")</f>
        <v>10.096561035127587</v>
      </c>
      <c r="L43" s="1">
        <f>IF(COUNT(J43:K43)=2,K43-J43,"")</f>
        <v>-32.029029482435604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IF(1836380&gt;0,100*517221/1836380,"")</f>
        <v>28.165249022533462</v>
      </c>
      <c r="S43" s="1">
        <f>IF(COUNT(Q43:R43)=2,R43-Q43,"")</f>
        <v>-19.050421089844125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IF(1066276&gt;0,100*245927/1066276,"")</f>
        <v>23.06410347789878</v>
      </c>
      <c r="E44" s="1">
        <f>IF(COUNT(C44:D44)=2,D44-C44,"")</f>
        <v>-20.78925515345232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IF(1293267&gt;0,100*228500/1293267,"")</f>
        <v>17.668431963391935</v>
      </c>
      <c r="L44" s="1">
        <f>IF(COUNT(J44:K44)=2,K44-J44,"")</f>
        <v>-23.939916946338197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IF(1324536&gt;0,100*217950/1324536,"")</f>
        <v>16.45481889506967</v>
      </c>
      <c r="S44" s="1">
        <f>IF(COUNT(Q44:R44)=2,R44-Q44,"")</f>
        <v>-1.642055342025369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IF(491404&gt;0,100*67589/491404,"")</f>
        <v>13.754263294560078</v>
      </c>
      <c r="E45" s="1">
        <f>IF(COUNT(C45:D45)=2,D45-C45,"")</f>
        <v>-31.26016986084248</v>
      </c>
      <c r="H45" s="1">
        <v>7</v>
      </c>
      <c r="I45" s="1">
        <v>6</v>
      </c>
      <c r="J45" s="1">
        <f>IF(545527&gt;0,100*1624/545527,"")</f>
        <v>0.2976937896749382</v>
      </c>
      <c r="K45" s="1">
        <f>IF(662821&gt;0,100*11474/662821,"")</f>
        <v>1.7310857682541743</v>
      </c>
      <c r="L45" s="1">
        <f>IF(COUNT(J45:K45)=2,K45-J45,"")</f>
        <v>1.4333919785792362</v>
      </c>
      <c r="O45" s="1">
        <v>7</v>
      </c>
      <c r="P45" s="1">
        <v>6</v>
      </c>
      <c r="Q45" s="1">
        <f>IF(700580&gt;0,100*18395/700580,"")</f>
        <v>2.6256815781209855</v>
      </c>
      <c r="R45" s="1">
        <f>IF(765838&gt;0,100*91971/765838,"")</f>
        <v>12.009197767674104</v>
      </c>
      <c r="S45" s="1">
        <f>IF(COUNT(Q45:R45)=2,R45-Q45,"")</f>
        <v>9.383516189553118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IF(1441588&gt;0,100*407269/1441588,"")</f>
        <v>28.251414412439615</v>
      </c>
      <c r="E46" s="1">
        <f>IF(COUNT(C46:D46)=2,D46-C46,"")</f>
        <v>-13.035784574511567</v>
      </c>
      <c r="H46" s="1">
        <v>8</v>
      </c>
      <c r="I46" s="1">
        <v>7</v>
      </c>
      <c r="J46" s="1">
        <f>IF(453926&gt;0,100*2064/453926,"")</f>
        <v>0.45469966470305734</v>
      </c>
      <c r="K46" s="1">
        <f>IF(394539&gt;0,100*1856/394539,"")</f>
        <v>0.4704224423947949</v>
      </c>
      <c r="L46" s="1">
        <f>IF(COUNT(J46:K46)=2,K46-J46,"")</f>
        <v>0.015722777691737577</v>
      </c>
      <c r="O46" s="1">
        <v>8</v>
      </c>
      <c r="P46" s="1">
        <v>7</v>
      </c>
      <c r="Q46" s="1">
        <f>IF(505497&gt;0,100*20606/505497,"")</f>
        <v>4.076384231756074</v>
      </c>
      <c r="R46" s="1">
        <f>IF(713451&gt;0,100*12295/713451,"")</f>
        <v>1.7233138645821506</v>
      </c>
      <c r="S46" s="1">
        <f>IF(COUNT(Q46:R46)=2,R46-Q46,"")</f>
        <v>-2.353070367173923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IF(1386413&gt;0,100*361698/1386413,"")</f>
        <v>26.088762872246583</v>
      </c>
      <c r="E47" s="1">
        <f>IF(COUNT(C47:D47)=2,D47-C47,"")</f>
        <v>-21.155528173157983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IF(1919653&gt;0,100*527144/1919653,"")</f>
        <v>27.460379558180566</v>
      </c>
      <c r="L47" s="1">
        <f>IF(COUNT(J47:K47)=2,K47-J47,"")</f>
        <v>-15.177921294774787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IF(1691238&gt;0,100*349770/1691238,"")</f>
        <v>20.681299734277495</v>
      </c>
      <c r="S47" s="1">
        <f>IF(COUNT(Q47:R47)=2,R47-Q47,"")</f>
        <v>-24.332246829856473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IF(529149&gt;0,100*16750/529149,"")</f>
        <v>3.1654600122082814</v>
      </c>
      <c r="E48" s="1">
        <f>IF(COUNT(C48:D48)=2,D48-C48,"")</f>
        <v>-26.11141475690882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IF(814370&gt;0,100*27035/814370,"")</f>
        <v>3.319744096663679</v>
      </c>
      <c r="L48" s="1">
        <f>IF(COUNT(J48:K48)=2,K48-J48,"")</f>
        <v>-40.53652944257831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IF(581795&gt;0,100*8775/581795,"")</f>
        <v>1.5082632198626664</v>
      </c>
      <c r="S48" s="1">
        <f>IF(COUNT(Q48:R48)=2,R48-Q48,"")</f>
        <v>-27.889899829276793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IF(1666377&gt;0,100*590722/1666377,"")</f>
        <v>35.44948111981862</v>
      </c>
      <c r="E49" s="1">
        <f>IF(COUNT(C49:D49)=2,D49-C49,"")</f>
        <v>-7.217270342735723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IF(1095770&gt;0,100*108169/1095770,"")</f>
        <v>9.871505881708753</v>
      </c>
      <c r="L49" s="1">
        <f>IF(COUNT(J49:K49)=2,K49-J49,"")</f>
        <v>-24.354503129046588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IF(902922&gt;0,100*26123/902922,"")</f>
        <v>2.8931624215602234</v>
      </c>
      <c r="S49" s="1">
        <f>IF(COUNT(Q49:R49)=2,R49-Q49,"")</f>
        <v>-39.00577364750497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IF(1502051&gt;0,100*440319/1502051,"")</f>
        <v>29.314517283367874</v>
      </c>
      <c r="E50" s="1">
        <f>IF(COUNT(C50:D50)=2,D50-C50,"")</f>
        <v>-9.71472225679096</v>
      </c>
      <c r="H50" s="1">
        <v>12</v>
      </c>
      <c r="I50" s="1">
        <v>11</v>
      </c>
      <c r="J50" s="1">
        <f>IF(16409&gt;0,100*2109/16409,"")</f>
        <v>12.85270278505698</v>
      </c>
      <c r="K50" s="1">
        <f>IF(1305817&gt;0,100*247378/1305817,"")</f>
        <v>18.944308429129045</v>
      </c>
      <c r="L50" s="1">
        <f>IF(COUNT(J50:K50)=2,K50-J50,"")</f>
        <v>6.0916056440720645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IF(622431&gt;0,100*36440/622431,"")</f>
        <v>5.854464189604952</v>
      </c>
      <c r="S50" s="1">
        <f>IF(COUNT(Q50:R50)=2,R50-Q50,"")</f>
        <v>-33.24954040639506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IF(840202&gt;0,100*116778/840202,"")</f>
        <v>13.898800526540047</v>
      </c>
      <c r="E51" s="1">
        <f>IF(COUNT(C51:D51)=2,D51-C51,"")</f>
        <v>-30.2372575314491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IF(895520&gt;0,100*15646/895520,"")</f>
        <v>1.747141325710202</v>
      </c>
      <c r="L51" s="1">
        <f>IF(COUNT(J51:K51)=2,K51-J51,"")</f>
        <v>-8.9637693010024</v>
      </c>
      <c r="O51" s="1">
        <v>13</v>
      </c>
      <c r="P51" s="1">
        <v>12</v>
      </c>
      <c r="Q51" s="1">
        <f>IF(609443&gt;0,100*13444/609443,"")</f>
        <v>2.20594871054389</v>
      </c>
      <c r="R51" s="1">
        <f>IF(863450&gt;0,100*61745/863450,"")</f>
        <v>7.150964155423012</v>
      </c>
      <c r="S51" s="1">
        <f>IF(COUNT(Q51:R51)=2,R51-Q51,"")</f>
        <v>4.945015444879122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IF(713068&gt;0,100*15333/713068,"")</f>
        <v>2.15028580724419</v>
      </c>
      <c r="E52" s="1">
        <f>IF(COUNT(C52:D52)=2,D52-C52,"")</f>
        <v>1.7469889047332694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IF(1054240&gt;0,100*189228/1054240,"")</f>
        <v>17.949233571103353</v>
      </c>
      <c r="L52" s="1">
        <f>IF(COUNT(J52:K52)=2,K52-J52,"")</f>
        <v>-14.862223832192793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IF(974096&gt;0,100*148689/974096,"")</f>
        <v>15.264306598117638</v>
      </c>
      <c r="S52" s="1">
        <f>IF(COUNT(Q52:R52)=2,R52-Q52,"")</f>
        <v>-6.437572282617786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IF(1635941&gt;0,100*458729/1635941,"")</f>
        <v>28.04068117370981</v>
      </c>
      <c r="E53" s="1">
        <f>IF(COUNT(C53:D53)=2,D53-C53,"")</f>
        <v>-3.1878362798143307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IF(1369469&gt;0,100*217945/1369469,"")</f>
        <v>15.914562505613489</v>
      </c>
      <c r="L53" s="1">
        <f>IF(COUNT(J53:K53)=2,K53-J53,"")</f>
        <v>-14.877989500869766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IF(952955&gt;0,100*77622/952955,"")</f>
        <v>8.145400359933051</v>
      </c>
      <c r="S53" s="1">
        <f>IF(COUNT(Q53:R53)=2,R53-Q53,"")</f>
        <v>-39.96425386183544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IF(1131082&gt;0,100*195260/1131082,"")</f>
        <v>17.26311620200834</v>
      </c>
      <c r="E54" s="1">
        <f>IF(COUNT(C54:D54)=2,D54-C54,"")</f>
        <v>-24.9651900802522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IF(521066&gt;0,100*7624/521066,"")</f>
        <v>1.4631543796755113</v>
      </c>
      <c r="L54" s="1">
        <f>IF(COUNT(J54:K54)=2,K54-J54,"")</f>
        <v>-41.73049608072938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IF(840004&gt;0,100*40006/840004,"")</f>
        <v>4.762596368588721</v>
      </c>
      <c r="S54" s="1">
        <f>IF(COUNT(Q54:R54)=2,R54-Q54,"")</f>
        <v>-40.5790245601581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IF(434427&gt;0,100*9214/434427,"")</f>
        <v>2.120954728872745</v>
      </c>
      <c r="E55" s="1">
        <f>IF(COUNT(C55:D55)=2,D55-C55,"")</f>
        <v>0.5001030695364796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IF(1336368&gt;0,100*226283/1336368,"")</f>
        <v>16.932686206194703</v>
      </c>
      <c r="L55" s="1">
        <f>IF(COUNT(J55:K55)=2,K55-J55,"")</f>
        <v>-19.44944398455403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IF(1489513&gt;0,100*314969/1489513,"")</f>
        <v>21.14577046323194</v>
      </c>
      <c r="S55" s="1">
        <f>IF(COUNT(Q55:R55)=2,R55-Q55,"")</f>
        <v>-14.023870718984362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IF(589950&gt;0,100*66397/589950,"")</f>
        <v>11.254682600220358</v>
      </c>
      <c r="E56" s="1">
        <f>IF(COUNT(C56:D56)=2,D56-C56,"")</f>
        <v>-3.0491310208967484</v>
      </c>
      <c r="H56" s="1">
        <v>18</v>
      </c>
      <c r="I56" s="1">
        <v>17</v>
      </c>
      <c r="J56" s="1">
        <f>IF(2215&gt;0,100*355/2215,"")</f>
        <v>16.02708803611738</v>
      </c>
      <c r="K56" s="1">
        <f>IF(1127671&gt;0,100*75322/1127671,"")</f>
        <v>6.679430436714254</v>
      </c>
      <c r="L56" s="1">
        <f>IF(COUNT(J56:K56)=2,K56-J56,"")</f>
        <v>-9.347657599403126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IF(628143&gt;0,100*26499/628143,"")</f>
        <v>4.2186253767056225</v>
      </c>
      <c r="S56" s="1">
        <f>IF(COUNT(Q56:R56)=2,R56-Q56,"")</f>
        <v>-42.80982517855614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IF(778981&gt;0,100*150069/778981,"")</f>
        <v>19.264783094838</v>
      </c>
      <c r="E57" s="1">
        <f>IF(COUNT(C57:D57)=2,D57-C57,"")</f>
        <v>-20.274947126526694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IF(874212&gt;0,100*90771/874212,"")</f>
        <v>10.383179366103416</v>
      </c>
      <c r="L57" s="1">
        <f>IF(COUNT(J57:K57)=2,K57-J57,"")</f>
        <v>-23.469339202674615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IF(964944&gt;0,100*136068/964944,"")</f>
        <v>14.1011291846988</v>
      </c>
      <c r="S57" s="1">
        <f>IF(COUNT(Q57:R57)=2,R57-Q57,"")</f>
        <v>-18.193225961653397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IF(543127&gt;0,100*34402/543127,"")</f>
        <v>6.3340618308425105</v>
      </c>
      <c r="E58" s="1">
        <f>IF(COUNT(C58:D58)=2,D58-C58,"")</f>
        <v>-36.60815760945511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IF(781643&gt;0,100*48792/781643,"")</f>
        <v>6.242235905650022</v>
      </c>
      <c r="L58" s="1">
        <f>IF(COUNT(J58:K58)=2,K58-J58,"")</f>
        <v>-37.676204484992404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IF(1324338&gt;0,100*245131/1324338,"")</f>
        <v>18.509700695743835</v>
      </c>
      <c r="S58" s="1">
        <f>IF(COUNT(Q58:R58)=2,R58-Q58,"")</f>
        <v>-23.74120014553846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IF(765463&gt;0,100*74011/765463,"")</f>
        <v>9.668788693901599</v>
      </c>
      <c r="E59" s="1">
        <f>IF(COUNT(C59:D59)=2,D59-C59,"")</f>
        <v>-22.729914270414184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IF(1605695&gt;0,100*356421/1605695,"")</f>
        <v>22.19730397117759</v>
      </c>
      <c r="L59" s="1">
        <f>IF(COUNT(J59:K59)=2,K59-J59,"")</f>
        <v>-15.354098879224807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IF(1124380&gt;0,100*184712/1124380,"")</f>
        <v>16.427898041587365</v>
      </c>
      <c r="S59" s="1">
        <f>IF(COUNT(Q59:R59)=2,R59-Q59,"")</f>
        <v>-25.558332520718796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IF(987670&gt;0,100*156940/987670,"")</f>
        <v>15.889922747476383</v>
      </c>
      <c r="E60" s="1">
        <f>IF(COUNT(C60:D60)=2,D60-C60,"")</f>
        <v>-29.02015317729881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IF(1888043&gt;0,100*499627/1888043,"")</f>
        <v>26.462691792506845</v>
      </c>
      <c r="L60" s="1">
        <f>IF(COUNT(J60:K60)=2,K60-J60,"")</f>
        <v>-18.317742112292024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IF(734358&gt;0,100*64702/734358,"")</f>
        <v>8.810689064461748</v>
      </c>
      <c r="S60" s="1">
        <f>IF(COUNT(Q60:R60)=2,R60-Q60,"")</f>
        <v>-25.41338121078506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IF(335601&gt;0,100*55/335601,"")</f>
        <v>0.016388508973453595</v>
      </c>
      <c r="E61" s="1">
        <f>IF(COUNT(C61:D61)=2,D61-C61,"")</f>
        <v>-0.2205537012706474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IF(1369553&gt;0,100*209817/1369553,"")</f>
        <v>15.320108093662677</v>
      </c>
      <c r="L61" s="1">
        <f>IF(COUNT(J61:K61)=2,K61-J61,"")</f>
        <v>-33.085506118971466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IF(1825406&gt;0,100*591545/1825406,"")</f>
        <v>32.40621538441311</v>
      </c>
      <c r="S61" s="1">
        <f>IF(COUNT(Q61:R61)=2,R61-Q61,"")</f>
        <v>-2.646364877221586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IF(782635&gt;0,100*44731/782635,"")</f>
        <v>5.715435675634236</v>
      </c>
      <c r="E62" s="1">
        <f>IF(COUNT(C62:D62)=2,D62-C62,"")</f>
        <v>-15.227812104487676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IF(1069216&gt;0,100*120609/1069216,"")</f>
        <v>11.28013422919223</v>
      </c>
      <c r="L62" s="1">
        <f>IF(COUNT(J62:K62)=2,K62-J62,"")</f>
        <v>-33.344171417091715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IF(557171&gt;0,100*28324/557171,"")</f>
        <v>5.083538087947865</v>
      </c>
      <c r="S62" s="1">
        <f>IF(COUNT(Q62:R62)=2,R62-Q62,"")</f>
        <v>-23.811105567840393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IF(1281919&gt;0,100*360882/1281919,"")</f>
        <v>28.15170069247745</v>
      </c>
      <c r="E63" s="1">
        <f>IF(COUNT(C63:D63)=2,D63-C63,"")</f>
        <v>-1.0883228069772706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IF(599751&gt;0,100*12077/599751,"")</f>
        <v>2.013669005970811</v>
      </c>
      <c r="L63" s="1">
        <f>IF(COUNT(J63:K63)=2,K63-J63,"")</f>
        <v>-42.557311005032766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IF(828649&gt;0,100*44277/828649,"")</f>
        <v>5.343275620920317</v>
      </c>
      <c r="S63" s="1">
        <f>IF(COUNT(Q63:R63)=2,R63-Q63,"")</f>
        <v>-38.33141256072943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IF(1374591&gt;0,100*335560/1374591,"")</f>
        <v>24.411624985177408</v>
      </c>
      <c r="E64" s="1">
        <f>IF(COUNT(C64:D64)=2,D64-C64,"")</f>
        <v>-21.97955533647455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IF(1247993&gt;0,100*204655/1247993,"")</f>
        <v>16.398729800567793</v>
      </c>
      <c r="L64" s="1">
        <f>IF(COUNT(J64:K64)=2,K64-J64,"")</f>
        <v>-15.609937762282073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IF(963555&gt;0,100*130613/963555,"")</f>
        <v>13.555323774979113</v>
      </c>
      <c r="S64" s="1">
        <f>IF(COUNT(Q64:R64)=2,R64-Q64,"")</f>
        <v>-30.849529728361176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IF(935745&gt;0,100*161966/935745,"")</f>
        <v>17.308775360808767</v>
      </c>
      <c r="E65" s="1">
        <f>IF(COUNT(C65:D65)=2,D65-C65,"")</f>
        <v>-20.03579214091944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IF(1138610&gt;0,100*162015/1138610,"")</f>
        <v>14.229191733780663</v>
      </c>
      <c r="L65" s="1">
        <f>IF(COUNT(J65:K65)=2,K65-J65,"")</f>
        <v>-20.672880397060116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IF(968172&gt;0,100*81932/968172,"")</f>
        <v>8.462545911263701</v>
      </c>
      <c r="S65" s="1">
        <f>IF(COUNT(Q65:R65)=2,R65-Q65,"")</f>
        <v>-25.903738563480644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IF(348847&gt;0,100*669/348847,"")</f>
        <v>0.19177461752573477</v>
      </c>
      <c r="E66" s="1">
        <f>IF(COUNT(C66:D66)=2,D66-C66,"")</f>
        <v>0.0921340249418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IF(1561722&gt;0,100*327900/1561722,"")</f>
        <v>20.996054355384633</v>
      </c>
      <c r="L66" s="1">
        <f>IF(COUNT(J66:K66)=2,K66-J66,"")</f>
        <v>-18.221330346307884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IF(1336998&gt;0,100*275505/1336998,"")</f>
        <v>20.606238752787963</v>
      </c>
      <c r="S66" s="1">
        <f>IF(COUNT(Q66:R66)=2,R66-Q66,"")</f>
        <v>-10.257854179480802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IF(1209494&gt;0,100*237726/1209494,"")</f>
        <v>19.65499622156042</v>
      </c>
      <c r="E67" s="1">
        <f>IF(COUNT(C67:D67)=2,D67-C67,"")</f>
        <v>-15.195761859939363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IF(1370007&gt;0,100*267154/1370007,"")</f>
        <v>19.50019233478369</v>
      </c>
      <c r="L67" s="1">
        <f>IF(COUNT(J67:K67)=2,K67-J67,"")</f>
        <v>-26.24475836197007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IF(1469673&gt;0,100*288513/1469673,"")</f>
        <v>19.631101612399494</v>
      </c>
      <c r="S67" s="1">
        <f>IF(COUNT(Q67:R67)=2,R67-Q67,"")</f>
        <v>-21.30082866753524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IF(1263052&gt;0,100*263718/1263052,"")</f>
        <v>20.879425391828683</v>
      </c>
      <c r="E68" s="1">
        <f>IF(COUNT(C68:D68)=2,D68-C68,"")</f>
        <v>-21.93067463465863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IF(1018820&gt;0,100*138999/1018820,"")</f>
        <v>13.64313617714611</v>
      </c>
      <c r="L68" s="1">
        <f>IF(COUNT(J68:K68)=2,K68-J68,"")</f>
        <v>-23.17039145378441</v>
      </c>
      <c r="O68" s="1">
        <v>30</v>
      </c>
      <c r="P68" s="1">
        <v>29</v>
      </c>
      <c r="Q68" s="1">
        <f>IF(653286&gt;0,100*39372/653286,"")</f>
        <v>6.026763163453679</v>
      </c>
      <c r="R68" s="1">
        <f>IF(966287&gt;0,100*119056/966287,"")</f>
        <v>12.320977101006223</v>
      </c>
      <c r="S68" s="1">
        <f>IF(COUNT(Q68:R68)=2,R68-Q68,"")</f>
        <v>6.294213937552544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IF(624433&gt;0,100*24215/624433,"")</f>
        <v>3.8779180472524675</v>
      </c>
      <c r="E69" s="1">
        <f>IF(COUNT(C69:D69)=2,D69-C69,"")</f>
        <v>3.582286159230587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IF(1240942&gt;0,100*285910/1240942,"")</f>
        <v>23.039755282680414</v>
      </c>
      <c r="L69" s="1">
        <f>IF(COUNT(J69:K69)=2,K69-J69,"")</f>
        <v>-12.337097032334288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IF(888078&gt;0,100*111973/888078,"")</f>
        <v>12.60846457180563</v>
      </c>
      <c r="S69" s="1">
        <f>IF(COUNT(Q69:R69)=2,R69-Q69,"")</f>
        <v>-20.011868891331563</v>
      </c>
    </row>
    <row r="70" spans="1:19">
      <c r="A70" s="2" t="s">
        <v>6</v>
      </c>
      <c r="B70" s="1"/>
      <c r="C70" s="1">
        <f>IF(COUNT(C39:C69)&gt;0,AVERAGE(C39:C69),"")</f>
        <v>30.180215695878584</v>
      </c>
      <c r="D70" s="1">
        <f>IF(COUNT(D39:D69)&gt;0,AVERAGE(D39:D69),"")</f>
        <v>15.16031059798178</v>
      </c>
      <c r="E70" s="1">
        <f>IF(COUNT(E39:E69)&gt;0,AVERAGE(E39:E69),"")</f>
        <v>-15.019905097896796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12.554398498769404</v>
      </c>
      <c r="L70" s="1">
        <f>IF(COUNT(L39:L69)&gt;0,AVERAGE(L39:L69),"")</f>
        <v>-20.44078166072554</v>
      </c>
      <c r="O70" s="2" t="s">
        <v>6</v>
      </c>
      <c r="P70" s="1"/>
      <c r="Q70" s="1">
        <f>IF(COUNT(Q39:Q69)&gt;0,AVERAGE(Q39:Q69),"")</f>
        <v>31.641731223822106</v>
      </c>
      <c r="R70" s="1">
        <f>IF(COUNT(R39:R69)&gt;0,AVERAGE(R39:R69),"")</f>
        <v>11.968312799553125</v>
      </c>
      <c r="S70" s="1">
        <f>IF(COUNT(S39:S69)&gt;0,AVERAGE(S39:S69),"")</f>
        <v>-19.673418424268977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IF(903186&gt;0,100*102606/903186,"")</f>
        <v>11.360450671290298</v>
      </c>
      <c r="E75" s="1">
        <f>IF(COUNT(C75:D75)=2,D75-C75,"")</f>
        <v>8.645286658960671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IF(1402433&gt;0,100*174216/1402433,"")</f>
        <v>12.42241162322906</v>
      </c>
      <c r="L75" s="1">
        <f>IF(COUNT(J75:K75)=2,K75-J75,"")</f>
        <v>-40.87863863268962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IF(2022997&gt;0,100*512905/2022997,"")</f>
        <v>25.35372024773146</v>
      </c>
      <c r="S75" s="1">
        <f>IF(COUNT(Q75:R75)=2,R75-Q75,"")</f>
        <v>-18.72764097890098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IF(1503739&gt;0,100*327023/1503739,"")</f>
        <v>21.747324502456877</v>
      </c>
      <c r="E76" s="1">
        <f>IF(COUNT(C76:D76)=2,D76-C76,"")</f>
        <v>-15.283606380349113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IF(1752483&gt;0,100*299420/1752483,"")</f>
        <v>17.08547244110214</v>
      </c>
      <c r="L76" s="1">
        <f>IF(COUNT(J76:K76)=2,K76-J76,"")</f>
        <v>-26.418785508133368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IF(2385201&gt;0,100*577256/2385201,"")</f>
        <v>24.201566241167935</v>
      </c>
      <c r="S76" s="1">
        <f>IF(COUNT(Q76:R76)=2,R76-Q76,"")</f>
        <v>-16.65960453887799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IF(1305276&gt;0,100*277808/1305276,"")</f>
        <v>21.283468017492087</v>
      </c>
      <c r="E77" s="1">
        <f>IF(COUNT(C77:D77)=2,D77-C77,"")</f>
        <v>-17.95574217867387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IF(1488084&gt;0,100*214602/1488084,"")</f>
        <v>14.421363310135717</v>
      </c>
      <c r="L77" s="1">
        <f>IF(COUNT(J77:K77)=2,K77-J77,"")</f>
        <v>-28.04231473515307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IF(1920113&gt;0,100*528170/1920113,"")</f>
        <v>27.50723525125865</v>
      </c>
      <c r="S77" s="1">
        <f>IF(COUNT(Q77:R77)=2,R77-Q77,"")</f>
        <v>23.55805417059127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IF(1606522&gt;0,100*421637/1606522,"")</f>
        <v>26.245329973694727</v>
      </c>
      <c r="E78" s="1">
        <f>IF(COUNT(C78:D78)=2,D78-C78,"")</f>
        <v>-19.030500655129334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IF(648027&gt;0,100*5357/648027,"")</f>
        <v>0.8266630865689238</v>
      </c>
      <c r="L78" s="1">
        <f>IF(COUNT(J78:K78)=2,K78-J78,"")</f>
        <v>-46.687218544888836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IF(1129157&gt;0,100*119432/1129157,"")</f>
        <v>10.577094239330757</v>
      </c>
      <c r="S78" s="1">
        <f>IF(COUNT(Q78:R78)=2,R78-Q78,"")</f>
        <v>-42.200584109336326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IF(715363&gt;0,100*17589/715363,"")</f>
        <v>2.4587517106699677</v>
      </c>
      <c r="E79" s="1">
        <f>IF(COUNT(C79:D79)=2,D79-C79,"")</f>
        <v>-46.29064296814544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IF(25649&gt;0,100*5927/25649,"")</f>
        <v>23.108113376739833</v>
      </c>
      <c r="L79" s="1">
        <f>IF(COUNT(J79:K79)=2,K79-J79,"")</f>
        <v>-23.71322731539048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IF(2113285&gt;0,100*579360/2113285,"")</f>
        <v>27.415138043377965</v>
      </c>
      <c r="S79" s="1">
        <f>IF(COUNT(Q79:R79)=2,R79-Q79,"")</f>
        <v>-21.51710550286827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IF(1339849&gt;0,100*236699/1339849,"")</f>
        <v>17.666095209236264</v>
      </c>
      <c r="E80" s="1">
        <f>IF(COUNT(C80:D80)=2,D80-C80,"")</f>
        <v>-21.041994838235492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IF(1236061&gt;0,100*104773/1236061,"")</f>
        <v>8.476361603513094</v>
      </c>
      <c r="L80" s="1">
        <f>IF(COUNT(J80:K80)=2,K80-J80,"")</f>
        <v>-30.823971595004853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IF(1387316&gt;0,100*169080/1387316,"")</f>
        <v>12.187562170406743</v>
      </c>
      <c r="S80" s="1">
        <f>IF(COUNT(Q80:R80)=2,R80-Q80,"")</f>
        <v>-30.631136718837986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IF(881121&gt;0,100*126507/881121,"")</f>
        <v>14.357505949807122</v>
      </c>
      <c r="E81" s="1">
        <f>IF(COUNT(C81:D81)=2,D81-C81,"")</f>
        <v>-27.766978647624825</v>
      </c>
      <c r="H81" s="1">
        <v>7</v>
      </c>
      <c r="I81" s="1">
        <v>6</v>
      </c>
      <c r="J81" s="1">
        <f>IF(710153&gt;0,100*3904/710153,"")</f>
        <v>0.5497406896823642</v>
      </c>
      <c r="K81" s="1">
        <f>IF(959894&gt;0,100*45163/959894,"")</f>
        <v>4.704998676937245</v>
      </c>
      <c r="L81" s="1">
        <f>IF(COUNT(J81:K81)=2,K81-J81,"")</f>
        <v>4.15525798725488</v>
      </c>
      <c r="O81" s="1">
        <v>7</v>
      </c>
      <c r="P81" s="1">
        <v>6</v>
      </c>
      <c r="Q81" s="1">
        <f>IF(528040&gt;0,100*6901/528040,"")</f>
        <v>1.3069085675327627</v>
      </c>
      <c r="R81" s="1">
        <f>IF(1031890&gt;0,100*68174/1031890,"")</f>
        <v>6.606711955731716</v>
      </c>
      <c r="S81" s="1">
        <f>IF(COUNT(Q81:R81)=2,R81-Q81,"")</f>
        <v>5.299803388198953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IF(1803720&gt;0,100*428731/1803720,"")</f>
        <v>23.769265739693523</v>
      </c>
      <c r="E82" s="1">
        <f>IF(COUNT(C82:D82)=2,D82-C82,"")</f>
        <v>-22.87016913512013</v>
      </c>
      <c r="H82" s="1">
        <v>8</v>
      </c>
      <c r="I82" s="1">
        <v>7</v>
      </c>
      <c r="J82" s="1">
        <f>IF(619510&gt;0,100*7411/619510,"")</f>
        <v>1.1962680182725056</v>
      </c>
      <c r="K82" s="1">
        <f>IF(485277&gt;0,100*1867/485277,"")</f>
        <v>0.3847287219464347</v>
      </c>
      <c r="L82" s="1">
        <f>IF(COUNT(J82:K82)=2,K82-J82,"")</f>
        <v>-0.8115392963260709</v>
      </c>
      <c r="O82" s="1">
        <v>8</v>
      </c>
      <c r="P82" s="1">
        <v>7</v>
      </c>
      <c r="Q82" s="1">
        <f>IF(665002&gt;0,100*8971/665002,"")</f>
        <v>1.3490184991924836</v>
      </c>
      <c r="R82" s="1">
        <f>IF(668480&gt;0,100*18071/668480,"")</f>
        <v>2.7032970320727623</v>
      </c>
      <c r="S82" s="1">
        <f>IF(COUNT(Q82:R82)=2,R82-Q82,"")</f>
        <v>1.3542785328802787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IF(1452570&gt;0,100*317471/1452570,"")</f>
        <v>21.855814177629995</v>
      </c>
      <c r="E83" s="1">
        <f>IF(COUNT(C83:D83)=2,D83-C83,"")</f>
        <v>-10.347603028382999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IF(1520565&gt;0,100*248522/1520565,"")</f>
        <v>16.34405632117009</v>
      </c>
      <c r="L83" s="1">
        <f>IF(COUNT(J83:K83)=2,K83-J83,"")</f>
        <v>-28.541281629414758</v>
      </c>
      <c r="O83" s="1">
        <v>9</v>
      </c>
      <c r="P83" s="1">
        <v>8</v>
      </c>
      <c r="Q83" s="1">
        <f>IF(1967808&gt;0,100*766923/1967808,"")</f>
        <v>38.9734669236023</v>
      </c>
      <c r="R83" s="1">
        <f>IF(1700235&gt;0,100*503953/1700235,"")</f>
        <v>29.640196796325213</v>
      </c>
      <c r="S83" s="1">
        <f>IF(COUNT(Q83:R83)=2,R83-Q83,"")</f>
        <v>-9.333270127277089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IF(1200960&gt;0,100*205139/1200960,"")</f>
        <v>17.0812516653344</v>
      </c>
      <c r="E84" s="1">
        <f>IF(COUNT(C84:D84)=2,D84-C84,"")</f>
        <v>15.387945027988506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IF(106994&gt;0,100*3188/106994,"")</f>
        <v>2.9796063330654055</v>
      </c>
      <c r="L84" s="1">
        <f>IF(COUNT(J84:K84)=2,K84-J84,"")</f>
        <v>-47.20740349985475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IF(1240289&gt;0,100*203395/1240289,"")</f>
        <v>16.39900055551569</v>
      </c>
      <c r="S84" s="1">
        <f>IF(COUNT(Q84:R84)=2,R84-Q84,"")</f>
        <v>0.38651632439506756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IF(1535213&gt;0,100*383696/1535213,"")</f>
        <v>24.993013998708975</v>
      </c>
      <c r="E85" s="1">
        <f>IF(COUNT(C85:D85)=2,D85-C85,"")</f>
        <v>-22.820225364207225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IF(1289859&gt;0,100*122107/1289859,"")</f>
        <v>9.466693646359795</v>
      </c>
      <c r="L85" s="1">
        <f>IF(COUNT(J85:K85)=2,K85-J85,"")</f>
        <v>-45.97754347020639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IF(955036&gt;0,100*43279/955036,"")</f>
        <v>4.531661633697578</v>
      </c>
      <c r="S85" s="1">
        <f>IF(COUNT(Q85:R85)=2,R85-Q85,"")</f>
        <v>-44.06870891861779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IF(1241914&gt;0,100*297170/1241914,"")</f>
        <v>23.928387956009836</v>
      </c>
      <c r="E86" s="1">
        <f>IF(COUNT(C86:D86)=2,D86-C86,"")</f>
        <v>-19.299772292374925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IF(1080787&gt;0,100*28807/1080787,"")</f>
        <v>2.665372547967361</v>
      </c>
      <c r="L86" s="1">
        <f>IF(COUNT(J86:K86)=2,K86-J86,"")</f>
        <v>-44.9980862959785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IF(1062466&gt;0,100*37017/1062466,"")</f>
        <v>3.48406443123827</v>
      </c>
      <c r="S86" s="1">
        <f>IF(COUNT(Q86:R86)=2,R86-Q86,"")</f>
        <v>-45.15610481130079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IF(923685&gt;0,100*82421/923685,"")</f>
        <v>8.923063598521141</v>
      </c>
      <c r="E87" s="1">
        <f>IF(COUNT(C87:D87)=2,D87-C87,"")</f>
        <v>-19.26158610499681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IF(820917&gt;0,100*20356/820917,"")</f>
        <v>2.4796660320105444</v>
      </c>
      <c r="L87" s="1">
        <f>IF(COUNT(J87:K87)=2,K87-J87,"")</f>
        <v>-42.11374772963816</v>
      </c>
      <c r="O87" s="1">
        <v>13</v>
      </c>
      <c r="P87" s="1">
        <v>12</v>
      </c>
      <c r="Q87" s="1">
        <f>IF(818878&gt;0,100*7212/818878,"")</f>
        <v>0.8807172741238621</v>
      </c>
      <c r="R87" s="1">
        <f>IF(676193&gt;0,100*7648/676193,"")</f>
        <v>1.131038032041148</v>
      </c>
      <c r="S87" s="1">
        <f>IF(COUNT(Q87:R87)=2,R87-Q87,"")</f>
        <v>0.2503207579172858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IF(629387&gt;0,100*11876/629387,"")</f>
        <v>1.8869153636792626</v>
      </c>
      <c r="E88" s="1">
        <f>IF(COUNT(C88:D88)=2,D88-C88,"")</f>
        <v>-18.607952642812204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IF(555761&gt;0,100*2571/555761,"")</f>
        <v>0.4626089272187145</v>
      </c>
      <c r="L88" s="1">
        <f>IF(COUNT(J88:K88)=2,K88-J88,"")</f>
        <v>-32.54971233768622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IF(544682&gt;0,100*2014/544682,"")</f>
        <v>0.36975703254375947</v>
      </c>
      <c r="S88" s="1">
        <f>IF(COUNT(Q88:R88)=2,R88-Q88,"")</f>
        <v>-11.592151318297931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IF(1686166&gt;0,100*481368/1686166,"")</f>
        <v>28.54807889614664</v>
      </c>
      <c r="E89" s="1">
        <f>IF(COUNT(C89:D89)=2,D89-C89,"")</f>
        <v>-13.721456048412954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IF(1464910&gt;0,100*185528/1464910,"")</f>
        <v>12.664805346403533</v>
      </c>
      <c r="L89" s="1">
        <f>IF(COUNT(J89:K89)=2,K89-J89,"")</f>
        <v>-6.508313631362121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IF(1653476&gt;0,100*274287/1653476,"")</f>
        <v>16.58850808841495</v>
      </c>
      <c r="S89" s="1">
        <f>IF(COUNT(Q89:R89)=2,R89-Q89,"")</f>
        <v>-9.71235484581798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IF(1632878&gt;0,100*353800/1632878,"")</f>
        <v>21.6672647925932</v>
      </c>
      <c r="E90" s="1">
        <f>IF(COUNT(C90:D90)=2,D90-C90,"")</f>
        <v>-19.29006339937186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IF(1099121&gt;0,100*48785/1099121,"")</f>
        <v>4.4385468023993715</v>
      </c>
      <c r="L90" s="1">
        <f>IF(COUNT(J90:K90)=2,K90-J90,"")</f>
        <v>-38.93101847624959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IF(1377502&gt;0,100*178471/1377502,"")</f>
        <v>12.95613363900742</v>
      </c>
      <c r="S90" s="1">
        <f>IF(COUNT(Q90:R90)=2,R90-Q90,"")</f>
        <v>-38.03206723521264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IF(450561&gt;0,100*9457/450561,"")</f>
        <v>2.098938878420458</v>
      </c>
      <c r="E91" s="1">
        <f>IF(COUNT(C91:D91)=2,D91-C91,"")</f>
        <v>-1.591920782894217</v>
      </c>
      <c r="H91" s="1">
        <v>17</v>
      </c>
      <c r="I91" s="1">
        <v>16</v>
      </c>
      <c r="J91" s="1">
        <f>IF(88900&gt;0,100*3265/88900,"")</f>
        <v>3.6726659167604048</v>
      </c>
      <c r="K91" s="1">
        <f>IF(1932899&gt;0,100*546525/1932899,"")</f>
        <v>28.274886582278743</v>
      </c>
      <c r="L91" s="1">
        <f>IF(COUNT(J91:K91)=2,K91-J91,"")</f>
        <v>24.602220665518338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IF(1573444&gt;0,100*226620/1573444,"")</f>
        <v>14.402800480983117</v>
      </c>
      <c r="S91" s="1">
        <f>IF(COUNT(Q91:R91)=2,R91-Q91,"")</f>
        <v>-27.518607484884377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IF(498167&gt;0,100*2777/498167,"")</f>
        <v>0.5574435881943204</v>
      </c>
      <c r="E92" s="1">
        <f>IF(COUNT(C92:D92)=2,D92-C92,"")</f>
        <v>-21.55000228668929</v>
      </c>
      <c r="H92" s="1">
        <v>18</v>
      </c>
      <c r="I92" s="1">
        <v>17</v>
      </c>
      <c r="J92" s="4"/>
      <c r="K92" s="1">
        <f>IF(17515&gt;0,100*315/17515,"")</f>
        <v>1.7984584641735655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IF(1016569&gt;0,100*97448/1016569,"")</f>
        <v>9.585970062042026</v>
      </c>
      <c r="S92" s="1">
        <f>IF(COUNT(Q92:R92)=2,R92-Q92,"")</f>
        <v>-35.515719893863945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IF(1463928&gt;0,100*270643/1463928,"")</f>
        <v>18.48745293484379</v>
      </c>
      <c r="E93" s="1">
        <f>IF(COUNT(C93:D93)=2,D93-C93,"")</f>
        <v>-27.84870865995835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IF(787119&gt;0,100*76653/787119,"")</f>
        <v>9.73842582887721</v>
      </c>
      <c r="L93" s="1">
        <f>IF(COUNT(J93:K93)=2,K93-J93,"")</f>
        <v>-27.18484766398189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IF(1052262&gt;0,100*30244/1052262,"")</f>
        <v>2.8741891278027714</v>
      </c>
      <c r="S93" s="1">
        <f>IF(COUNT(Q93:R93)=2,R93-Q93,"")</f>
        <v>-34.95366406745999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IF(1563228&gt;0,100*325641/1563228,"")</f>
        <v>20.83131827219062</v>
      </c>
      <c r="E94" s="1">
        <f>IF(COUNT(C94:D94)=2,D94-C94,"")</f>
        <v>-20.84805940778265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IF(1272089&gt;0,100*244131/1272089,"")</f>
        <v>19.191345888534528</v>
      </c>
      <c r="L94" s="1">
        <f>IF(COUNT(J94:K94)=2,K94-J94,"")</f>
        <v>-22.604496255396135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IF(1413093&gt;0,100*187980/1413093,"")</f>
        <v>13.302733790345009</v>
      </c>
      <c r="S94" s="1">
        <f>IF(COUNT(Q94:R94)=2,R94-Q94,"")</f>
        <v>-32.88095780216163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IF(1422240&gt;0,100*308228/1422240,"")</f>
        <v>21.672010349870625</v>
      </c>
      <c r="E95" s="1">
        <f>IF(COUNT(C95:D95)=2,D95-C95,"")</f>
        <v>-28.14506383537465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IF(850383&gt;0,100*66612/850383,"")</f>
        <v>7.833176345246788</v>
      </c>
      <c r="L95" s="1">
        <f>IF(COUNT(J95:K95)=2,K95-J95,"")</f>
        <v>-41.889712159901414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IF(543038&gt;0,100*82165/543038,"")</f>
        <v>15.130617010227645</v>
      </c>
      <c r="S95" s="1">
        <f>IF(COUNT(Q95:R95)=2,R95-Q95,"")</f>
        <v>-31.62864570417149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IF(1508463&gt;0,100*332111/1508463,"")</f>
        <v>22.016516149219438</v>
      </c>
      <c r="E96" s="1">
        <f>IF(COUNT(C96:D96)=2,D96-C96,"")</f>
        <v>-4.598177333694906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IF(1150166&gt;0,100*182901/1150166,"")</f>
        <v>15.902139343364349</v>
      </c>
      <c r="L96" s="1">
        <f>IF(COUNT(J96:K96)=2,K96-J96,"")</f>
        <v>-29.736273284207485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IF(1364959&gt;0,100*252627/1364959,"")</f>
        <v>18.508028446275677</v>
      </c>
      <c r="S96" s="1">
        <f>IF(COUNT(Q96:R96)=2,R96-Q96,"")</f>
        <v>-14.651843198708281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IF(759453&gt;0,100*1683/759453,"")</f>
        <v>0.22160686704773042</v>
      </c>
      <c r="E97" s="1">
        <f>IF(COUNT(C97:D97)=2,D97-C97,"")</f>
        <v>0.10091170222877316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IF(1686818&gt;0,100*235167/1686818,"")</f>
        <v>13.941456636104192</v>
      </c>
      <c r="L97" s="1">
        <f>IF(COUNT(J97:K97)=2,K97-J97,"")</f>
        <v>-35.40162709403259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IF(1815353&gt;0,100*379274/1815353,"")</f>
        <v>20.892575713924508</v>
      </c>
      <c r="S97" s="1">
        <f>IF(COUNT(Q97:R97)=2,R97-Q97,"")</f>
        <v>-21.69474162526778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IF(885345&gt;0,100*26103/885345,"")</f>
        <v>2.9483421716957796</v>
      </c>
      <c r="E98" s="1">
        <f>IF(COUNT(C98:D98)=2,D98-C98,"")</f>
        <v>-36.72526647946757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IF(907915&gt;0,100*21175/907915,"")</f>
        <v>2.3322667870891</v>
      </c>
      <c r="L98" s="1">
        <f>IF(COUNT(J98:K98)=2,K98-J98,"")</f>
        <v>-40.90598753989472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IF(1186866&gt;0,100*148400/1186866,"")</f>
        <v>12.503517667537869</v>
      </c>
      <c r="S98" s="1">
        <f>IF(COUNT(Q98:R98)=2,R98-Q98,"")</f>
        <v>-28.283222440480984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IF(1102764&gt;0,100*203167/1102764,"")</f>
        <v>18.423434207137703</v>
      </c>
      <c r="E99" s="1">
        <f>IF(COUNT(C99:D99)=2,D99-C99,"")</f>
        <v>-23.020035073976196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IF(772221&gt;0,100*98875/772221,"")</f>
        <v>12.80397709981987</v>
      </c>
      <c r="L99" s="1">
        <f>IF(COUNT(J99:K99)=2,K99-J99,"")</f>
        <v>-37.45966738604136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IF(1360214&gt;0,100*204991/1360214,"")</f>
        <v>15.0704962601473</v>
      </c>
      <c r="S99" s="1">
        <f>IF(COUNT(Q99:R99)=2,R99-Q99,"")</f>
        <v>-22.314875162308397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IF(23931&gt;0,100*6167/23931,"")</f>
        <v>25.76992185867703</v>
      </c>
      <c r="E100" s="1">
        <f>IF(COUNT(C100:D100)=2,D100-C100,"")</f>
        <v>-20.344613567617614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IF(1817211&gt;0,100*523905/1817211,"")</f>
        <v>28.830168868667425</v>
      </c>
      <c r="L100" s="1">
        <f>IF(COUNT(J100:K100)=2,K100-J100,"")</f>
        <v>22.993620402635045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IF(1453360&gt;0,100*243023/1453360,"")</f>
        <v>16.721459239280012</v>
      </c>
      <c r="S100" s="1">
        <f>IF(COUNT(Q100:R100)=2,R100-Q100,"")</f>
        <v>-37.08452788719369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IF(1613292&gt;0,100*436502/1613292,"")</f>
        <v>27.056602276587252</v>
      </c>
      <c r="E101" s="1">
        <f>IF(COUNT(C101:D101)=2,D101-C101,"")</f>
        <v>-23.913724941827144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IF(1617711&gt;0,100*299511/1617711,"")</f>
        <v>18.51449362710645</v>
      </c>
      <c r="L101" s="1">
        <f>IF(COUNT(J101:K101)=2,K101-J101,"")</f>
        <v>-6.850488713190291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IF(1197031&gt;0,100*115763/1197031,"")</f>
        <v>9.670843946397378</v>
      </c>
      <c r="S101" s="1">
        <f>IF(COUNT(Q101:R101)=2,R101-Q101,"")</f>
        <v>-12.87380857345059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IF(763658&gt;0,100*4587/763658,"")</f>
        <v>0.6006615526845787</v>
      </c>
      <c r="E102" s="1">
        <f>IF(COUNT(C102:D102)=2,D102-C102,"")</f>
        <v>0.28231967309617023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IF(1518958&gt;0,100*188309/1518958,"")</f>
        <v>12.397248640186232</v>
      </c>
      <c r="L102" s="1">
        <f>IF(COUNT(J102:K102)=2,K102-J102,"")</f>
        <v>-17.947801128068463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IF(1958495&gt;0,100*391966/1958495,"")</f>
        <v>20.013632917112375</v>
      </c>
      <c r="S102" s="1">
        <f>IF(COUNT(Q102:R102)=2,R102-Q102,"")</f>
        <v>-20.181445193696433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IF(1627913&gt;0,100*451590/1627913,"")</f>
        <v>27.740425931852624</v>
      </c>
      <c r="E103" s="1">
        <f>IF(COUNT(C103:D103)=2,D103-C103,"")</f>
        <v>-19.20220863427883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IF(1870400&gt;0,100*428639/1870400,"")</f>
        <v>22.916969632164243</v>
      </c>
      <c r="L103" s="1">
        <f>IF(COUNT(J103:K103)=2,K103-J103,"")</f>
        <v>-25.944706896206075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IF(1637397&gt;0,100*253999/1637397,"")</f>
        <v>15.512365052580407</v>
      </c>
      <c r="S103" s="1">
        <f>IF(COUNT(Q103:R103)=2,R103-Q103,"")</f>
        <v>-28.252872732719304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IF(1207711&gt;0,100*198169/1207711,"")</f>
        <v>16.408644120985898</v>
      </c>
      <c r="E104" s="1">
        <f>IF(COUNT(C104:D104)=2,D104-C104,"")</f>
        <v>-30.672982565552665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IF(788547&gt;0,100*25745/788547,"")</f>
        <v>3.2648656326128944</v>
      </c>
      <c r="L104" s="1">
        <f>IF(COUNT(J104:K104)=2,K104-J104,"")</f>
        <v>-28.71144249581657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IF(812900&gt;0,100*19742/812900,"")</f>
        <v>2.428589002337311</v>
      </c>
      <c r="S104" s="1">
        <f>IF(COUNT(Q104:R104)=2,R104-Q104,"")</f>
        <v>1.0690695972470516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IF(426597&gt;0,100*2617/426597,"")</f>
        <v>0.6134595414407509</v>
      </c>
      <c r="E105" s="1">
        <f>IF(COUNT(C105:D105)=2,D105-C105,"")</f>
        <v>-26.5391977601133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IF(1924528&gt;0,100*532492/1924528,"")</f>
        <v>27.668706300973536</v>
      </c>
      <c r="L105" s="1">
        <f>IF(COUNT(J105:K105)=2,K105-J105,"")</f>
        <v>2.8832292740566885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IF(874859&gt;0,100*42285/874859,"")</f>
        <v>4.833350288446481</v>
      </c>
      <c r="S105" s="1">
        <f>IF(COUNT(Q105:R105)=2,R105-Q105,"")</f>
        <v>-40.35413804856206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15.910282610445577</v>
      </c>
      <c r="E106" s="1">
        <f>IF(COUNT(E75:E105)&gt;0,AVERAGE(E75:E105),"")</f>
        <v>-17.87650941776743</v>
      </c>
      <c r="H106" s="2" t="s">
        <v>6</v>
      </c>
      <c r="I106" s="1"/>
      <c r="J106" s="1">
        <f>IF(COUNT(J75:J105)&gt;0,AVERAGE(J75:J105),"")</f>
        <v>36.69157069983473</v>
      </c>
      <c r="K106" s="1">
        <f>IF(COUNT(K75:K105)&gt;0,AVERAGE(K75:K105),"")</f>
        <v>11.5593565959344</v>
      </c>
      <c r="L106" s="1">
        <f>IF(COUNT(L75:L105)&gt;0,AVERAGE(L75:L105),"")</f>
        <v>-24.806850832841626</v>
      </c>
      <c r="O106" s="2" t="s">
        <v>6</v>
      </c>
      <c r="P106" s="1"/>
      <c r="Q106" s="1">
        <f>IF(COUNT(Q75:Q105)&gt;0,AVERAGE(Q75:Q105),"")</f>
        <v>34.096955178849896</v>
      </c>
      <c r="R106" s="1">
        <f>IF(COUNT(R75:R105)&gt;0,AVERAGE(R75:R105),"")</f>
        <v>13.325930786945221</v>
      </c>
      <c r="S106" s="1">
        <f>IF(COUNT(S75:S105)&gt;0,AVERAGE(S75:S105),"")</f>
        <v>-20.771024391904668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IF(583851&gt;0,100*74781/583851,"")</f>
        <v>12.80823360754713</v>
      </c>
      <c r="E3" s="1">
        <f>IF(COUNT(C3:D3)=2,D3-C3,"")</f>
        <v>-15.621174677605616</v>
      </c>
      <c r="H3" s="1">
        <v>1</v>
      </c>
      <c r="I3" s="1">
        <v>0</v>
      </c>
      <c r="J3" s="1">
        <f>IF(1145550&gt;0,100*291815/1145550,"")</f>
        <v>25.47378988258915</v>
      </c>
      <c r="K3" s="1">
        <f>IF(960676&gt;0,100*224693/960676,"")</f>
        <v>23.38905104322373</v>
      </c>
      <c r="L3" s="1">
        <f>IF(COUNT(J3:K3)=2,K3-J3,"")</f>
        <v>-2.084738839365418</v>
      </c>
      <c r="O3" s="1">
        <v>1</v>
      </c>
      <c r="P3" s="1">
        <v>0</v>
      </c>
      <c r="Q3" s="1">
        <f>IF(1052174&gt;0,100*332764/1052174,"")</f>
        <v>31.626327964766283</v>
      </c>
      <c r="R3" s="1">
        <f>IF(1027520&gt;0,100*230157/1027520,"")</f>
        <v>22.399272033634382</v>
      </c>
      <c r="S3" s="1">
        <f>IF(COUNT(Q3:R3)=2,R3-Q3,"")</f>
        <v>-9.2270559311319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IF(1149807&gt;0,100*326701/1149807,"")</f>
        <v>28.413551143800657</v>
      </c>
      <c r="E4" s="1">
        <f>IF(COUNT(C4:D4)=2,D4-C4,"")</f>
        <v>-6.762198396565783</v>
      </c>
      <c r="H4" s="1">
        <v>2</v>
      </c>
      <c r="I4" s="1">
        <v>1</v>
      </c>
      <c r="J4" s="1">
        <f>IF(783729&gt;0,100*130334/783729,"")</f>
        <v>16.629983068126865</v>
      </c>
      <c r="K4" s="1">
        <f>IF(947113&gt;0,100*216020/947113,"")</f>
        <v>22.80826047155936</v>
      </c>
      <c r="L4" s="1">
        <f>IF(COUNT(J4:K4)=2,K4-J4,"")</f>
        <v>6.178277403432496</v>
      </c>
      <c r="O4" s="1">
        <v>2</v>
      </c>
      <c r="P4" s="1">
        <v>1</v>
      </c>
      <c r="Q4" s="1">
        <f>IF(1118920&gt;0,100*356409/1118920,"")</f>
        <v>31.852947485074893</v>
      </c>
      <c r="R4" s="1">
        <f>IF(1096405&gt;0,100*273831/1096405,"")</f>
        <v>24.975351261623214</v>
      </c>
      <c r="S4" s="1">
        <f>IF(COUNT(Q4:R4)=2,R4-Q4,"")</f>
        <v>-6.877596223451679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IF(158493&gt;0,100*19088/158493,"")</f>
        <v>12.043434094881162</v>
      </c>
      <c r="E5" s="1">
        <f>IF(COUNT(C5:D5)=2,D5-C5,"")</f>
        <v>-25.44035704206177</v>
      </c>
      <c r="H5" s="1">
        <v>3</v>
      </c>
      <c r="I5" s="1">
        <v>2</v>
      </c>
      <c r="J5" s="1">
        <f>IF(1441835&gt;0,100*147851/1441835,"")</f>
        <v>10.25436336335295</v>
      </c>
      <c r="K5" s="1">
        <f>IF(1458413&gt;0,100*87519/1458413,"")</f>
        <v>6.000975032449656</v>
      </c>
      <c r="L5" s="1">
        <f>IF(COUNT(J5:K5)=2,K5-J5,"")</f>
        <v>-4.253388330903293</v>
      </c>
      <c r="O5" s="1">
        <v>3</v>
      </c>
      <c r="P5" s="1">
        <v>2</v>
      </c>
      <c r="Q5" s="1">
        <f>IF(1270809&gt;0,100*397332/1270809,"")</f>
        <v>31.266067520768267</v>
      </c>
      <c r="R5" s="1">
        <f>IF(1216209&gt;0,100*325907/1216209,"")</f>
        <v>26.79695677305463</v>
      </c>
      <c r="S5" s="1">
        <f>IF(COUNT(Q5:R5)=2,R5-Q5,"")</f>
        <v>-4.469110747713636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IF(1105100&gt;0,100*309986/1105100,"")</f>
        <v>28.050493168039093</v>
      </c>
      <c r="E6" s="1">
        <f>IF(COUNT(C6:D6)=2,D6-C6,"")</f>
        <v>-9.116149969740295</v>
      </c>
      <c r="H6" s="1">
        <v>4</v>
      </c>
      <c r="I6" s="1">
        <v>3</v>
      </c>
      <c r="J6" s="1">
        <f>IF(784417&gt;0,100*123870/784417,"")</f>
        <v>15.791345674558302</v>
      </c>
      <c r="K6" s="1">
        <f>IF(899968&gt;0,100*137461/899968,"")</f>
        <v>15.27398751955625</v>
      </c>
      <c r="L6" s="1">
        <f>IF(COUNT(J6:K6)=2,K6-J6,"")</f>
        <v>-0.5173581550020518</v>
      </c>
      <c r="O6" s="1">
        <v>4</v>
      </c>
      <c r="P6" s="1">
        <v>3</v>
      </c>
      <c r="Q6" s="1">
        <f>IF(519550&gt;0,100*16403/519550,"")</f>
        <v>3.1571552304879225</v>
      </c>
      <c r="R6" s="1">
        <f>IF(816914&gt;0,100*144198/816914,"")</f>
        <v>17.651552060559617</v>
      </c>
      <c r="S6" s="1">
        <f>IF(COUNT(Q6:R6)=2,R6-Q6,"")</f>
        <v>14.494396830071693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IF(763671&gt;0,100*129326/763671,"")</f>
        <v>16.934779505834317</v>
      </c>
      <c r="E7" s="1">
        <f>IF(COUNT(C7:D7)=2,D7-C7,"")</f>
        <v>-18.69594337801413</v>
      </c>
      <c r="H7" s="1">
        <v>5</v>
      </c>
      <c r="I7" s="1">
        <v>4</v>
      </c>
      <c r="J7" s="1">
        <f>IF(1148710&gt;0,100*342477/1148710,"")</f>
        <v>29.814052284736793</v>
      </c>
      <c r="K7" s="1">
        <f>IF(1205549&gt;0,100*291219/1205549,"")</f>
        <v>24.156546104720753</v>
      </c>
      <c r="L7" s="1">
        <f>IF(COUNT(J7:K7)=2,K7-J7,"")</f>
        <v>-5.657506180016039</v>
      </c>
      <c r="O7" s="1">
        <v>5</v>
      </c>
      <c r="P7" s="1">
        <v>4</v>
      </c>
      <c r="Q7" s="1">
        <f>IF(1286267&gt;0,100*497044/1286267,"")</f>
        <v>38.64236585405674</v>
      </c>
      <c r="R7" s="1">
        <f>IF(1386723&gt;0,100*353680/1386723,"")</f>
        <v>25.504733100987004</v>
      </c>
      <c r="S7" s="1">
        <f>IF(COUNT(Q7:R7)=2,R7-Q7,"")</f>
        <v>-13.137632753069738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IF(987797&gt;0,100*166753/987797,"")</f>
        <v>16.88130253483256</v>
      </c>
      <c r="E8" s="1">
        <f>IF(COUNT(C8:D8)=2,D8-C8,"")</f>
        <v>-10.250082117367977</v>
      </c>
      <c r="H8" s="1">
        <v>6</v>
      </c>
      <c r="I8" s="1">
        <v>5</v>
      </c>
      <c r="J8" s="1">
        <f>IF(1039225&gt;0,100*246415/1039225,"")</f>
        <v>23.71141956746614</v>
      </c>
      <c r="K8" s="1">
        <f>IF(1022154&gt;0,100*205548/1022154,"")</f>
        <v>20.10929859884127</v>
      </c>
      <c r="L8" s="1">
        <f>IF(COUNT(J8:K8)=2,K8-J8,"")</f>
        <v>-3.6021209686248703</v>
      </c>
      <c r="O8" s="1">
        <v>6</v>
      </c>
      <c r="P8" s="1">
        <v>5</v>
      </c>
      <c r="Q8" s="1">
        <f>IF(1125005&gt;0,100*295084/1125005,"")</f>
        <v>26.229572313011943</v>
      </c>
      <c r="R8" s="1">
        <f>IF(1064832&gt;0,100*211998/1064832,"")</f>
        <v>19.909056076451495</v>
      </c>
      <c r="S8" s="1">
        <f>IF(COUNT(Q8:R8)=2,R8-Q8,"")</f>
        <v>-6.320516236560447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IF(728660&gt;0,100*163781/728660,"")</f>
        <v>22.47701259846842</v>
      </c>
      <c r="E9" s="1">
        <f>IF(COUNT(C9:D9)=2,D9-C9,"")</f>
        <v>-14.466872676882133</v>
      </c>
      <c r="H9" s="1">
        <v>7</v>
      </c>
      <c r="I9" s="1">
        <v>6</v>
      </c>
      <c r="J9" s="1">
        <f>IF(356727&gt;0,100*3261/356727,"")</f>
        <v>0.9141444297740289</v>
      </c>
      <c r="K9" s="1">
        <f>IF(346678&gt;0,100*2707/346678,"")</f>
        <v>0.780839857158516</v>
      </c>
      <c r="L9" s="1">
        <f>IF(COUNT(J9:K9)=2,K9-J9,"")</f>
        <v>-0.13330457261551287</v>
      </c>
      <c r="O9" s="1">
        <v>7</v>
      </c>
      <c r="P9" s="1">
        <v>6</v>
      </c>
      <c r="Q9" s="1">
        <f>IF(851852&gt;0,100*240424/851852,"")</f>
        <v>28.223682048055295</v>
      </c>
      <c r="R9" s="1">
        <f>IF(608498&gt;0,100*98400/608498,"")</f>
        <v>16.170965229137977</v>
      </c>
      <c r="S9" s="1">
        <f>IF(COUNT(Q9:R9)=2,R9-Q9,"")</f>
        <v>-12.052716818917318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IF(1191430&gt;0,100*357012/1191430,"")</f>
        <v>29.965000041966377</v>
      </c>
      <c r="E10" s="1">
        <f>IF(COUNT(C10:D10)=2,D10-C10,"")</f>
        <v>-11.471016315504201</v>
      </c>
      <c r="H10" s="1">
        <v>8</v>
      </c>
      <c r="I10" s="1">
        <v>7</v>
      </c>
      <c r="J10" s="1">
        <f>IF(278589&gt;0,100*275/278589,"")</f>
        <v>0.09871172228623527</v>
      </c>
      <c r="K10" s="1">
        <f>IF(278589&gt;0,100*275/278589,"")</f>
        <v>0.09871172228623527</v>
      </c>
      <c r="L10" s="1">
        <f>IF(COUNT(J10:K10)=2,K10-J10,"")</f>
        <v>0.0</v>
      </c>
      <c r="O10" s="1">
        <v>8</v>
      </c>
      <c r="P10" s="1">
        <v>7</v>
      </c>
      <c r="Q10" s="1">
        <f>IF(313581&gt;0,100*3447/313581,"")</f>
        <v>1.09923751757919</v>
      </c>
      <c r="R10" s="1">
        <f>IF(313581&gt;0,100*3447/313581,"")</f>
        <v>1.09923751757919</v>
      </c>
      <c r="S10" s="1">
        <f>IF(COUNT(Q10:R10)=2,R10-Q10,"")</f>
        <v>0.0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IF(952025&gt;0,100*242470/952025,"")</f>
        <v>25.468868989784934</v>
      </c>
      <c r="E11" s="1">
        <f>IF(COUNT(C11:D11)=2,D11-C11,"")</f>
        <v>-10.775071918974238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IF(814108&gt;0,100*98463/814108,"")</f>
        <v>12.094586958978416</v>
      </c>
      <c r="L11" s="1">
        <f>IF(COUNT(J11:K11)=2,K11-J11,"")</f>
        <v>-17.609192899480725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IF(1153487&gt;0,100*260664/1153487,"")</f>
        <v>22.59791397735735</v>
      </c>
      <c r="S11" s="1">
        <f>IF(COUNT(Q11:R11)=2,R11-Q11,"")</f>
        <v>-7.402031286707047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IF(433272&gt;0,100*7602/433272,"")</f>
        <v>1.7545560294687863</v>
      </c>
      <c r="E12" s="1">
        <f>IF(COUNT(C12:D12)=2,D12-C12,"")</f>
        <v>-29.717637778852193</v>
      </c>
      <c r="H12" s="1">
        <v>10</v>
      </c>
      <c r="I12" s="1">
        <v>9</v>
      </c>
      <c r="J12" s="1">
        <f>IF(747366&gt;0,100*179400/747366,"")</f>
        <v>24.00430311253121</v>
      </c>
      <c r="K12" s="1">
        <f>IF(634024&gt;0,100*77784/634024,"")</f>
        <v>12.268305300745713</v>
      </c>
      <c r="L12" s="1">
        <f>IF(COUNT(J12:K12)=2,K12-J12,"")</f>
        <v>-11.735997811785499</v>
      </c>
      <c r="O12" s="1">
        <v>10</v>
      </c>
      <c r="P12" s="1">
        <v>9</v>
      </c>
      <c r="Q12" s="1">
        <f>IF(738636&gt;0,100*147882/738636,"")</f>
        <v>20.0209575487791</v>
      </c>
      <c r="R12" s="1">
        <f>IF(504236&gt;0,100*23651/504236,"")</f>
        <v>4.690462402525801</v>
      </c>
      <c r="S12" s="1">
        <f>IF(COUNT(Q12:R12)=2,R12-Q12,"")</f>
        <v>-15.3304951462533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IF(1241044&gt;0,100*359226/1241044,"")</f>
        <v>28.945468492656182</v>
      </c>
      <c r="E13" s="1">
        <f>IF(COUNT(C13:D13)=2,D13-C13,"")</f>
        <v>0.19613669221535446</v>
      </c>
      <c r="H13" s="1">
        <v>11</v>
      </c>
      <c r="I13" s="1">
        <v>10</v>
      </c>
      <c r="J13" s="1">
        <f>IF(602395&gt;0,100*29717/602395,"")</f>
        <v>4.933141875347571</v>
      </c>
      <c r="K13" s="1">
        <f>IF(597716&gt;0,100*29139/597716,"")</f>
        <v>4.875057719719733</v>
      </c>
      <c r="L13" s="1">
        <f>IF(COUNT(J13:K13)=2,K13-J13,"")</f>
        <v>-0.05808415562783864</v>
      </c>
      <c r="O13" s="1">
        <v>11</v>
      </c>
      <c r="P13" s="1">
        <v>10</v>
      </c>
      <c r="Q13" s="1">
        <f>IF(540292&gt;0,100*4137/540292,"")</f>
        <v>0.7656970675116419</v>
      </c>
      <c r="R13" s="1">
        <f>IF(540292&gt;0,100*4137/540292,"")</f>
        <v>0.7656970675116419</v>
      </c>
      <c r="S13" s="1">
        <f>IF(COUNT(Q13:R13)=2,R13-Q13,"")</f>
        <v>0.0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IF(1245685&gt;0,100*338163/1245685,"")</f>
        <v>27.146750583012558</v>
      </c>
      <c r="E14" s="1">
        <f>IF(COUNT(C14:D14)=2,D14-C14,"")</f>
        <v>-7.356675690749544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IF(728291&gt;0,100*81622/728291,"")</f>
        <v>11.207333332417948</v>
      </c>
      <c r="L14" s="1">
        <f>IF(COUNT(J14:K14)=2,K14-J14,"")</f>
        <v>7.88452502221459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IF(741121&gt;0,100*58798/741121,"")</f>
        <v>7.933657257047095</v>
      </c>
      <c r="S14" s="1">
        <f>IF(COUNT(Q14:R14)=2,R14-Q14,"")</f>
        <v>-28.42954993967401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IF(551357&gt;0,100*24909/551357,"")</f>
        <v>4.5177625386092854</v>
      </c>
      <c r="E15" s="1">
        <f>IF(COUNT(C15:D15)=2,D15-C15,"")</f>
        <v>-27.725422796469868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IF(1322572&gt;0,100*334072/1322572,"")</f>
        <v>25.259267548383</v>
      </c>
      <c r="L15" s="1">
        <f>IF(COUNT(J15:K15)=2,K15-J15,"")</f>
        <v>-11.967080733631512</v>
      </c>
      <c r="O15" s="1">
        <v>13</v>
      </c>
      <c r="P15" s="1">
        <v>12</v>
      </c>
      <c r="Q15" s="1">
        <f>IF(521892&gt;0,100*47266/521892,"")</f>
        <v>9.0566630643888</v>
      </c>
      <c r="R15" s="1">
        <f>IF(523409&gt;0,100*48772/523409,"")</f>
        <v>9.318143172929775</v>
      </c>
      <c r="S15" s="1">
        <f>IF(COUNT(Q15:R15)=2,R15-Q15,"")</f>
        <v>0.26148010854097414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IF(495053&gt;0,100*63406/495053,"")</f>
        <v>12.807921576073673</v>
      </c>
      <c r="E16" s="1">
        <f>IF(COUNT(C16:D16)=2,D16-C16,"")</f>
        <v>-9.881143886649065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IF(826354&gt;0,100*174922/826354,"")</f>
        <v>21.167925610573675</v>
      </c>
      <c r="L16" s="1">
        <f>IF(COUNT(J16:K16)=2,K16-J16,"")</f>
        <v>-1.00219617013801</v>
      </c>
      <c r="O16" s="1">
        <v>14</v>
      </c>
      <c r="P16" s="1">
        <v>13</v>
      </c>
      <c r="Q16" s="1">
        <f>IF(385878&gt;0,100*7402/385878,"")</f>
        <v>1.9182228580017517</v>
      </c>
      <c r="R16" s="1">
        <f>IF(385878&gt;0,100*7402/385878,"")</f>
        <v>1.9182228580017517</v>
      </c>
      <c r="S16" s="1">
        <f>IF(COUNT(Q16:R16)=2,R16-Q16,"")</f>
        <v>0.0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IF(858348&gt;0,100*146172/858348,"")</f>
        <v>17.029456584042837</v>
      </c>
      <c r="E17" s="1">
        <f>IF(COUNT(C17:D17)=2,D17-C17,"")</f>
        <v>-15.990699795286627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IF(1383804&gt;0,100*265002/1383804,"")</f>
        <v>19.150255382987766</v>
      </c>
      <c r="L17" s="1">
        <f>IF(COUNT(J17:K17)=2,K17-J17,"")</f>
        <v>-19.62909462155708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IF(1190041&gt;0,100*206686/1190041,"")</f>
        <v>17.367973036223123</v>
      </c>
      <c r="S17" s="1">
        <f>IF(COUNT(Q17:R17)=2,R17-Q17,"")</f>
        <v>-15.309429772008794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IF(1136899&gt;0,100*294568/1136899,"")</f>
        <v>25.90977738567806</v>
      </c>
      <c r="E18" s="1">
        <f>IF(COUNT(C18:D18)=2,D18-C18,"")</f>
        <v>-8.523495882675885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IF(860569&gt;0,100*160579/860569,"")</f>
        <v>18.6596310115749</v>
      </c>
      <c r="L18" s="1">
        <f>IF(COUNT(J18:K18)=2,K18-J18,"")</f>
        <v>-11.42361483265232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IF(619144&gt;0,100*25467/619144,"")</f>
        <v>4.1132595971211865</v>
      </c>
      <c r="S18" s="1">
        <f>IF(COUNT(Q18:R18)=2,R18-Q18,"")</f>
        <v>-29.154763478983554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IF(353452&gt;0,100*13413/353452,"")</f>
        <v>3.7948575761348073</v>
      </c>
      <c r="E19" s="1">
        <f>IF(COUNT(C19:D19)=2,D19-C19,"")</f>
        <v>-5.305196714415443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IF(1059454&gt;0,100*233806/1059454,"")</f>
        <v>22.06853718991103</v>
      </c>
      <c r="L19" s="1">
        <f>IF(COUNT(J19:K19)=2,K19-J19,"")</f>
        <v>-15.30622728438468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IF(858567&gt;0,100*137096/858567,"")</f>
        <v>15.968002497184262</v>
      </c>
      <c r="S19" s="1">
        <f>IF(COUNT(Q19:R19)=2,R19-Q19,"")</f>
        <v>-5.283345267857541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IF(318434&gt;0,100*2176/318434,"")</f>
        <v>0.6833441152640736</v>
      </c>
      <c r="E20" s="1">
        <f>IF(COUNT(C20:D20)=2,D20-C20,"")</f>
        <v>0.0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IF(775929&gt;0,100*95350/775929,"")</f>
        <v>12.288495468013181</v>
      </c>
      <c r="L20" s="1">
        <f>IF(COUNT(J20:K20)=2,K20-J20,"")</f>
        <v>-12.976355662086611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IF(746370&gt;0,100*114262/746370,"")</f>
        <v>15.309029033857202</v>
      </c>
      <c r="S20" s="1">
        <f>IF(COUNT(Q20:R20)=2,R20-Q20,"")</f>
        <v>-14.153605061196272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IF(1266502&gt;0,100*337576/1266502,"")</f>
        <v>26.654201888350748</v>
      </c>
      <c r="E21" s="1">
        <f>IF(COUNT(C21:D21)=2,D21-C21,"")</f>
        <v>-8.808201968311216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IF(537145&gt;0,100*61419/537145,"")</f>
        <v>11.434342682143555</v>
      </c>
      <c r="L21" s="1">
        <f>IF(COUNT(J21:K21)=2,K21-J21,"")</f>
        <v>-4.030228385117631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IF(618295&gt;0,100*120337/618295,"")</f>
        <v>19.462716017435042</v>
      </c>
      <c r="S21" s="1">
        <f>IF(COUNT(Q21:R21)=2,R21-Q21,"")</f>
        <v>0.16475598813404702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IF(582369&gt;0,100*40080/582369,"")</f>
        <v>6.882234459595205</v>
      </c>
      <c r="E22" s="1">
        <f>IF(COUNT(C22:D22)=2,D22-C22,"")</f>
        <v>-25.913331895136402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IF(956959&gt;0,100*190336/956959,"")</f>
        <v>19.889671344331365</v>
      </c>
      <c r="L22" s="1">
        <f>IF(COUNT(J22:K22)=2,K22-J22,"")</f>
        <v>8.650681714147831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IF(811099&gt;0,100*99332/811099,"")</f>
        <v>12.246593819003598</v>
      </c>
      <c r="S22" s="1">
        <f>IF(COUNT(Q22:R22)=2,R22-Q22,"")</f>
        <v>-16.821586366354545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IF(501471&gt;0,100*36107/501471,"")</f>
        <v>7.200216961698683</v>
      </c>
      <c r="E23" s="1">
        <f>IF(COUNT(C23:D23)=2,D23-C23,"")</f>
        <v>-17.247787747834895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IF(985516&gt;0,100*198037/985516,"")</f>
        <v>20.094752393669914</v>
      </c>
      <c r="L23" s="1">
        <f>IF(COUNT(J23:K23)=2,K23-J23,"")</f>
        <v>-18.30431915579544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IF(1010049&gt;0,100*219566/1010049,"")</f>
        <v>21.73815329751329</v>
      </c>
      <c r="S23" s="1">
        <f>IF(COUNT(Q23:R23)=2,R23-Q23,"")</f>
        <v>-1.6831178432503293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IF(1033015&gt;0,100*267569/1033015,"")</f>
        <v>25.901753604739525</v>
      </c>
      <c r="E24" s="1">
        <f>IF(COUNT(C24:D24)=2,D24-C24,"")</f>
        <v>-8.45521120720175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IF(1424383&gt;0,100*387605/1424383,"")</f>
        <v>27.212133253485895</v>
      </c>
      <c r="L24" s="1">
        <f>IF(COUNT(J24:K24)=2,K24-J24,"")</f>
        <v>-3.664981302022614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IF(1008922&gt;0,100*169818/1008922,"")</f>
        <v>16.831628213082876</v>
      </c>
      <c r="S24" s="1">
        <f>IF(COUNT(Q24:R24)=2,R24-Q24,"")</f>
        <v>-6.306177350508925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IF(261920&gt;0,100*592/261920,"")</f>
        <v>0.22602321319486865</v>
      </c>
      <c r="E25" s="1">
        <f>IF(COUNT(C25:D25)=2,D25-C25,"")</f>
        <v>0.0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IF(908631&gt;0,100*122163/908631,"")</f>
        <v>13.44473168976185</v>
      </c>
      <c r="L25" s="1">
        <f>IF(COUNT(J25:K25)=2,K25-J25,"")</f>
        <v>-5.070047262213395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IF(1025063&gt;0,100*194674/1025063,"")</f>
        <v>18.991418088449198</v>
      </c>
      <c r="S25" s="1">
        <f>IF(COUNT(Q25:R25)=2,R25-Q25,"")</f>
        <v>-13.27835496522911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IF(748401&gt;0,100*127289/748401,"")</f>
        <v>17.008127995553185</v>
      </c>
      <c r="E26" s="1">
        <f>IF(COUNT(C26:D26)=2,D26-C26,"")</f>
        <v>-4.225413816857412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IF(594735&gt;0,100*38662/594735,"")</f>
        <v>6.500710400430444</v>
      </c>
      <c r="L26" s="1">
        <f>IF(COUNT(J26:K26)=2,K26-J26,"")</f>
        <v>-26.15275676137621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IF(617949&gt;0,100*55325/617949,"")</f>
        <v>8.953004212321728</v>
      </c>
      <c r="S26" s="1">
        <f>IF(COUNT(Q26:R26)=2,R26-Q26,"")</f>
        <v>-17.312120103343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IF(1148240&gt;0,100*304718/1148240,"")</f>
        <v>26.537831812164704</v>
      </c>
      <c r="E27" s="1">
        <f>IF(COUNT(C27:D27)=2,D27-C27,"")</f>
        <v>-10.530009739231168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IF(804117&gt;0,100*119855/804117,"")</f>
        <v>14.905169272630724</v>
      </c>
      <c r="L27" s="1">
        <f>IF(COUNT(J27:K27)=2,K27-J27,"")</f>
        <v>-5.634305733993367</v>
      </c>
      <c r="O27" s="1">
        <v>25</v>
      </c>
      <c r="P27" s="1">
        <v>24</v>
      </c>
      <c r="Q27" s="1">
        <f>IF(682080&gt;0,100*56444/682080,"")</f>
        <v>8.275275627492377</v>
      </c>
      <c r="R27" s="1">
        <f>IF(559006&gt;0,100*60922/559006,"")</f>
        <v>10.898273006014247</v>
      </c>
      <c r="S27" s="1">
        <f>IF(COUNT(Q27:R27)=2,R27-Q27,"")</f>
        <v>2.6229973785218696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IF(1192882&gt;0,100*314671/1192882,"")</f>
        <v>26.379055095139336</v>
      </c>
      <c r="E28" s="1">
        <f>IF(COUNT(C28:D28)=2,D28-C28,"")</f>
        <v>-13.612751173369851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IF(794190&gt;0,100*159902/794190,"")</f>
        <v>20.13397297875823</v>
      </c>
      <c r="L28" s="1">
        <f>IF(COUNT(J28:K28)=2,K28-J28,"")</f>
        <v>-11.830887220028668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IF(816700&gt;0,100*115950/816700,"")</f>
        <v>14.197379698787804</v>
      </c>
      <c r="S28" s="1">
        <f>IF(COUNT(Q28:R28)=2,R28-Q28,"")</f>
        <v>-17.20292015128716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IF(1331872&gt;0,100*337297/1331872,"")</f>
        <v>25.325031234232718</v>
      </c>
      <c r="E29" s="1">
        <f>IF(COUNT(C29:D29)=2,D29-C29,"")</f>
        <v>-4.554493537934004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IF(1046147&gt;0,100*224589/1046147,"")</f>
        <v>21.468206666940688</v>
      </c>
      <c r="L29" s="1">
        <f>IF(COUNT(J29:K29)=2,K29-J29,"")</f>
        <v>4.805368262788569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IF(977953&gt;0,100*164824/977953,"")</f>
        <v>16.853979690230513</v>
      </c>
      <c r="S29" s="1">
        <f>IF(COUNT(Q29:R29)=2,R29-Q29,"")</f>
        <v>-22.849681304111332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IF(261142&gt;0,100*191/261142,"")</f>
        <v>0.07314028383025327</v>
      </c>
      <c r="E30" s="1">
        <f>IF(COUNT(C30:D30)=2,D30-C30,"")</f>
        <v>0.0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IF(1170288&gt;0,100*267454/1170288,"")</f>
        <v>22.853690715447822</v>
      </c>
      <c r="L30" s="1">
        <f>IF(COUNT(J30:K30)=2,K30-J30,"")</f>
        <v>-10.817597136742744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IF(1007223&gt;0,100*241287/1007223,"")</f>
        <v>23.95566820852979</v>
      </c>
      <c r="S30" s="1">
        <f>IF(COUNT(Q30:R30)=2,R30-Q30,"")</f>
        <v>-3.947922845131451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IF(1348173&gt;0,100*385745/1348173,"")</f>
        <v>28.612425853358584</v>
      </c>
      <c r="E31" s="1">
        <f>IF(COUNT(C31:D31)=2,D31-C31,"")</f>
        <v>-7.537566914836749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IF(1064922&gt;0,100*211452/1064922,"")</f>
        <v>19.856102137057924</v>
      </c>
      <c r="L31" s="1">
        <f>IF(COUNT(J31:K31)=2,K31-J31,"")</f>
        <v>-16.53976445485325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IF(1773545&gt;0,100*511005/1773545,"")</f>
        <v>28.812632326780545</v>
      </c>
      <c r="S31" s="1">
        <f>IF(COUNT(Q31:R31)=2,R31-Q31,"")</f>
        <v>-8.072052490915034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IF(851957&gt;0,100*179554/851957,"")</f>
        <v>21.07547681397066</v>
      </c>
      <c r="E32" s="1">
        <f>IF(COUNT(C32:D32)=2,D32-C32,"")</f>
        <v>-16.43037546759318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IF(729918&gt;0,100*152196/729918,"")</f>
        <v>20.851109302688794</v>
      </c>
      <c r="L32" s="1">
        <f>IF(COUNT(J32:K32)=2,K32-J32,"")</f>
        <v>-8.932455295837382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IF(938198&gt;0,100*172553/938198,"")</f>
        <v>18.391959906117897</v>
      </c>
      <c r="S32" s="1">
        <f>IF(COUNT(Q32:R32)=2,R32-Q32,"")</f>
        <v>-7.442770351590191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IF(484889&gt;0,100*7935/484889,"")</f>
        <v>1.63645700356164</v>
      </c>
      <c r="E33" s="1">
        <f>IF(COUNT(C33:D33)=2,D33-C33,"")</f>
        <v>0.0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IF(1136790&gt;0,100*261599/1136790,"")</f>
        <v>23.012077868383784</v>
      </c>
      <c r="L33" s="1">
        <f>IF(COUNT(J33:K33)=2,K33-J33,"")</f>
        <v>-6.3707735020763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IF(1195891&gt;0,100*289240/1195891,"")</f>
        <v>24.186150744507653</v>
      </c>
      <c r="S33" s="1">
        <f>IF(COUNT(Q33:R33)=2,R33-Q33,"")</f>
        <v>-12.759909486209832</v>
      </c>
    </row>
    <row r="34" spans="1:19">
      <c r="A34" s="2" t="s">
        <v>6</v>
      </c>
      <c r="B34" s="1"/>
      <c r="C34" s="1">
        <f>IF(COUNT(C3:C33)&gt;0,AVERAGE(C3:C33),"")</f>
        <v>28.172990083851328</v>
      </c>
      <c r="D34" s="1">
        <f>IF(COUNT(D3:D33)&gt;0,AVERAGE(D3:D33),"")</f>
        <v>17.069178928564035</v>
      </c>
      <c r="E34" s="1">
        <f>IF(COUNT(E3:E33)&gt;0,AVERAGE(E3:E33),"")</f>
        <v>-11.10381115528729</v>
      </c>
      <c r="H34" s="2" t="s">
        <v>6</v>
      </c>
      <c r="I34" s="1"/>
      <c r="J34" s="1">
        <f>IF(COUNT(J3:J33)&gt;0,AVERAGE(J3:J33),"")</f>
        <v>23.261266503360552</v>
      </c>
      <c r="K34" s="1">
        <f>IF(COUNT(K3:K33)&gt;0,AVERAGE(K3:K33),"")</f>
        <v>16.558507631575228</v>
      </c>
      <c r="L34" s="1">
        <f>IF(COUNT(L3:L33)&gt;0,AVERAGE(L3:L33),"")</f>
        <v>-6.70275887178532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15.806743296179382</v>
      </c>
      <c r="S34" s="1">
        <f>IF(COUNT(S3:S33)&gt;0,AVERAGE(S3:S33),"")</f>
        <v>-8.94454295536089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IF(683945&gt;0,100*95324/683945,"")</f>
        <v>13.937378005541381</v>
      </c>
      <c r="E39" s="1">
        <f>IF(COUNT(C39:D39)=2,D39-C39,"")</f>
        <v>0.8801263745157826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IF(943503&gt;0,100*180003/943503,"")</f>
        <v>19.078158733994485</v>
      </c>
      <c r="L39" s="1">
        <f>IF(COUNT(J39:K39)=2,K39-J39,"")</f>
        <v>-12.18934829598275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IF(890907&gt;0,100*135017/890907,"")</f>
        <v>15.155004955623875</v>
      </c>
      <c r="S39" s="1">
        <f>IF(COUNT(Q39:R39)=2,R39-Q39,"")</f>
        <v>-3.2176461935183287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IF(930348&gt;0,100*271104/930348,"")</f>
        <v>29.140063718092584</v>
      </c>
      <c r="E40" s="1">
        <f>IF(COUNT(C40:D40)=2,D40-C40,"")</f>
        <v>-0.09337858544719069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IF(1341301&gt;0,100*371285/1341301,"")</f>
        <v>27.68096050029039</v>
      </c>
      <c r="L40" s="1">
        <f>IF(COUNT(J40:K40)=2,K40-J40,"")</f>
        <v>-10.414593756893446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IF(1532374&gt;0,100*334734/1532374,"")</f>
        <v>21.844145097737236</v>
      </c>
      <c r="S40" s="1">
        <f>IF(COUNT(Q40:R40)=2,R40-Q40,"")</f>
        <v>-19.64529886993142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IF(858466&gt;0,100*213212/858466,"")</f>
        <v>24.836394219456565</v>
      </c>
      <c r="E41" s="1">
        <f>IF(COUNT(C41:D41)=2,D41-C41,"")</f>
        <v>-14.43642431774208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IF(1520134&gt;0,100*216259/1520134,"")</f>
        <v>14.226311627790707</v>
      </c>
      <c r="L41" s="1">
        <f>IF(COUNT(J41:K41)=2,K41-J41,"")</f>
        <v>-23.766769217288484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IF(1460555&gt;0,100*370912/1460555,"")</f>
        <v>25.395277822471595</v>
      </c>
      <c r="S41" s="1">
        <f>IF(COUNT(Q41:R41)=2,R41-Q41,"")</f>
        <v>-15.13059325712258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IF(1653843&gt;0,100*519539/1653843,"")</f>
        <v>31.4140459523667</v>
      </c>
      <c r="E42" s="1">
        <f>IF(COUNT(C42:D42)=2,D42-C42,"")</f>
        <v>-10.580033913910604</v>
      </c>
      <c r="H42" s="1">
        <v>4</v>
      </c>
      <c r="I42" s="1">
        <v>3</v>
      </c>
      <c r="J42" s="1">
        <f>IF(778520&gt;0,100*44764/778520,"")</f>
        <v>5.749884396033499</v>
      </c>
      <c r="K42" s="1">
        <f>IF(796200&gt;0,100*59384/796200,"")</f>
        <v>7.458427530771163</v>
      </c>
      <c r="L42" s="1">
        <f>IF(COUNT(J42:K42)=2,K42-J42,"")</f>
        <v>1.7085431347376643</v>
      </c>
      <c r="O42" s="1">
        <v>4</v>
      </c>
      <c r="P42" s="1">
        <v>3</v>
      </c>
      <c r="Q42" s="1">
        <f>IF(760183&gt;0,100*45060/760183,"")</f>
        <v>5.927520083979778</v>
      </c>
      <c r="R42" s="1">
        <f>IF(846625&gt;0,100*16438/846625,"")</f>
        <v>1.9415916137605198</v>
      </c>
      <c r="S42" s="1">
        <f>IF(COUNT(Q42:R42)=2,R42-Q42,"")</f>
        <v>-3.9859284702192586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IF(715952&gt;0,100*80843/715952,"")</f>
        <v>11.291678771761235</v>
      </c>
      <c r="E43" s="1">
        <f>IF(COUNT(C43:D43)=2,D43-C43,"")</f>
        <v>-6.441603442208384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IF(2075805&gt;0,100*586995/2075805,"")</f>
        <v>28.277945182712248</v>
      </c>
      <c r="L43" s="1">
        <f>IF(COUNT(J43:K43)=2,K43-J43,"")</f>
        <v>-13.847645334850942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IF(2309332&gt;0,100*778209/2309332,"")</f>
        <v>33.69844613074257</v>
      </c>
      <c r="S43" s="1">
        <f>IF(COUNT(Q43:R43)=2,R43-Q43,"")</f>
        <v>-13.51722398163502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IF(1111109&gt;0,100*267864/1111109,"")</f>
        <v>24.107805804831028</v>
      </c>
      <c r="E44" s="1">
        <f>IF(COUNT(C44:D44)=2,D44-C44,"")</f>
        <v>-19.745552826520072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IF(1535865&gt;0,100*388984/1535865,"")</f>
        <v>25.326705146611193</v>
      </c>
      <c r="L44" s="1">
        <f>IF(COUNT(J44:K44)=2,K44-J44,"")</f>
        <v>-16.28164376311894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IF(1119378&gt;0,100*131016/1119378,"")</f>
        <v>11.704357241253625</v>
      </c>
      <c r="S44" s="1">
        <f>IF(COUNT(Q44:R44)=2,R44-Q44,"")</f>
        <v>-6.392516995841415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IF(1460187&gt;0,100*442199/1460187,"")</f>
        <v>30.283723933989275</v>
      </c>
      <c r="E45" s="1">
        <f>IF(COUNT(C45:D45)=2,D45-C45,"")</f>
        <v>-14.730709221413282</v>
      </c>
      <c r="H45" s="1">
        <v>7</v>
      </c>
      <c r="I45" s="1">
        <v>6</v>
      </c>
      <c r="J45" s="1">
        <f>IF(545527&gt;0,100*1624/545527,"")</f>
        <v>0.2976937896749382</v>
      </c>
      <c r="K45" s="1">
        <f>IF(545527&gt;0,100*1624/545527,"")</f>
        <v>0.2976937896749382</v>
      </c>
      <c r="L45" s="1">
        <f>IF(COUNT(J45:K45)=2,K45-J45,"")</f>
        <v>0.0</v>
      </c>
      <c r="O45" s="1">
        <v>7</v>
      </c>
      <c r="P45" s="1">
        <v>6</v>
      </c>
      <c r="Q45" s="1">
        <f>IF(700580&gt;0,100*18395/700580,"")</f>
        <v>2.6256815781209855</v>
      </c>
      <c r="R45" s="1">
        <f>IF(751776&gt;0,100*117200/751776,"")</f>
        <v>15.58975013833908</v>
      </c>
      <c r="S45" s="1">
        <f>IF(COUNT(Q45:R45)=2,R45-Q45,"")</f>
        <v>12.964068560218093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IF(1262606&gt;0,100*327664/1262606,"")</f>
        <v>25.951405268151742</v>
      </c>
      <c r="E46" s="1">
        <f>IF(COUNT(C46:D46)=2,D46-C46,"")</f>
        <v>-15.33579371879944</v>
      </c>
      <c r="H46" s="1">
        <v>8</v>
      </c>
      <c r="I46" s="1">
        <v>7</v>
      </c>
      <c r="J46" s="1">
        <f>IF(453926&gt;0,100*2064/453926,"")</f>
        <v>0.45469966470305734</v>
      </c>
      <c r="K46" s="1">
        <f>IF(453926&gt;0,100*2064/453926,"")</f>
        <v>0.45469966470305734</v>
      </c>
      <c r="L46" s="1">
        <f>IF(COUNT(J46:K46)=2,K46-J46,"")</f>
        <v>0.0</v>
      </c>
      <c r="O46" s="1">
        <v>8</v>
      </c>
      <c r="P46" s="1">
        <v>7</v>
      </c>
      <c r="Q46" s="1">
        <f>IF(505497&gt;0,100*20606/505497,"")</f>
        <v>4.076384231756074</v>
      </c>
      <c r="R46" s="1">
        <f>IF(834502&gt;0,100*27506/834502,"")</f>
        <v>3.2960975527919647</v>
      </c>
      <c r="S46" s="1">
        <f>IF(COUNT(Q46:R46)=2,R46-Q46,"")</f>
        <v>-0.7802866789641092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IF(1791596&gt;0,100*573930/1791596,"")</f>
        <v>32.03456582845686</v>
      </c>
      <c r="E47" s="1">
        <f>IF(COUNT(C47:D47)=2,D47-C47,"")</f>
        <v>-15.209725216947703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IF(1371548&gt;0,100*303461/1371548,"")</f>
        <v>22.125437826455947</v>
      </c>
      <c r="L47" s="1">
        <f>IF(COUNT(J47:K47)=2,K47-J47,"")</f>
        <v>-20.512863026499407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IF(1899431&gt;0,100*526698/1899431,"")</f>
        <v>27.729251549542994</v>
      </c>
      <c r="S47" s="1">
        <f>IF(COUNT(Q47:R47)=2,R47-Q47,"")</f>
        <v>-17.284295014590974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IF(990995&gt;0,100*194042/990995,"")</f>
        <v>19.58052260606764</v>
      </c>
      <c r="E48" s="1">
        <f>IF(COUNT(C48:D48)=2,D48-C48,"")</f>
        <v>-9.696352163049465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IF(1410255&gt;0,100*294471/1410255,"")</f>
        <v>20.8806917897827</v>
      </c>
      <c r="L48" s="1">
        <f>IF(COUNT(J48:K48)=2,K48-J48,"")</f>
        <v>-22.97558174945929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IF(545930&gt;0,100*45911/545930,"")</f>
        <v>8.409686223508508</v>
      </c>
      <c r="S48" s="1">
        <f>IF(COUNT(Q48:R48)=2,R48-Q48,"")</f>
        <v>-20.98847682563095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IF(1487708&gt;0,100*480982/1487708,"")</f>
        <v>32.330403546932594</v>
      </c>
      <c r="E49" s="1">
        <f>IF(COUNT(C49:D49)=2,D49-C49,"")</f>
        <v>-10.33634791562175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IF(1128841&gt;0,100*135111/1128841,"")</f>
        <v>11.969001834625072</v>
      </c>
      <c r="L49" s="1">
        <f>IF(COUNT(J49:K49)=2,K49-J49,"")</f>
        <v>-22.25700717613027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IF(1529300&gt;0,100*368228/1529300,"")</f>
        <v>24.07820571503302</v>
      </c>
      <c r="S49" s="1">
        <f>IF(COUNT(Q49:R49)=2,R49-Q49,"")</f>
        <v>-17.820730354032165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IF(962092&gt;0,100*217669/962092,"")</f>
        <v>22.62455149819352</v>
      </c>
      <c r="E50" s="1">
        <f>IF(COUNT(C50:D50)=2,D50-C50,"")</f>
        <v>-16.404688041965315</v>
      </c>
      <c r="H50" s="1">
        <v>12</v>
      </c>
      <c r="I50" s="1">
        <v>11</v>
      </c>
      <c r="J50" s="1">
        <f>IF(16409&gt;0,100*2109/16409,"")</f>
        <v>12.85270278505698</v>
      </c>
      <c r="K50" s="1">
        <f>IF(927463&gt;0,100*26076/927463,"")</f>
        <v>2.8115407299266924</v>
      </c>
      <c r="L50" s="1">
        <f>IF(COUNT(J50:K50)=2,K50-J50,"")</f>
        <v>-10.041162055130288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IF(707342&gt;0,100*42128/707342,"")</f>
        <v>5.955817694976405</v>
      </c>
      <c r="S50" s="1">
        <f>IF(COUNT(Q50:R50)=2,R50-Q50,"")</f>
        <v>-33.148186901023614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IF(750652&gt;0,100*37245/750652,"")</f>
        <v>4.961686640413934</v>
      </c>
      <c r="E51" s="1">
        <f>IF(COUNT(C51:D51)=2,D51-C51,"")</f>
        <v>-39.174371417575216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IF(630082&gt;0,100*29631/630082,"")</f>
        <v>4.702721233109341</v>
      </c>
      <c r="L51" s="1">
        <f>IF(COUNT(J51:K51)=2,K51-J51,"")</f>
        <v>-6.008189393603261</v>
      </c>
      <c r="O51" s="1">
        <v>13</v>
      </c>
      <c r="P51" s="1">
        <v>12</v>
      </c>
      <c r="Q51" s="1">
        <f>IF(609443&gt;0,100*13444/609443,"")</f>
        <v>2.20594871054389</v>
      </c>
      <c r="R51" s="1">
        <f>IF(983344&gt;0,100*59726/983344,"")</f>
        <v>6.073764623570185</v>
      </c>
      <c r="S51" s="1">
        <f>IF(COUNT(Q51:R51)=2,R51-Q51,"")</f>
        <v>3.8678159130262952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IF(402681&gt;0,100*1624/402681,"")</f>
        <v>0.40329690251092054</v>
      </c>
      <c r="E52" s="1">
        <f>IF(COUNT(C52:D52)=2,D52-C52,"")</f>
        <v>0.0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IF(1558291&gt;0,100*397483/1558291,"")</f>
        <v>25.507623415652148</v>
      </c>
      <c r="L52" s="1">
        <f>IF(COUNT(J52:K52)=2,K52-J52,"")</f>
        <v>-7.303833987643998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IF(957296&gt;0,100*164341/957296,"")</f>
        <v>17.167208470525313</v>
      </c>
      <c r="S52" s="1">
        <f>IF(COUNT(Q52:R52)=2,R52-Q52,"")</f>
        <v>-4.534670410210111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IF(1643144&gt;0,100*515533/1643144,"")</f>
        <v>31.3747912538402</v>
      </c>
      <c r="E53" s="1">
        <f>IF(COUNT(C53:D53)=2,D53-C53,"")</f>
        <v>0.14627380031605952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IF(1485402&gt;0,100*282438/1485402,"")</f>
        <v>19.014246648382056</v>
      </c>
      <c r="L53" s="1">
        <f>IF(COUNT(J53:K53)=2,K53-J53,"")</f>
        <v>-11.7783053581012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IF(1739145&gt;0,100*420889/1739145,"")</f>
        <v>24.200914817338404</v>
      </c>
      <c r="S53" s="1">
        <f>IF(COUNT(Q53:R53)=2,R53-Q53,"")</f>
        <v>-23.908739404430083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IF(1422913&gt;0,100*428974/1422913,"")</f>
        <v>30.147591595550818</v>
      </c>
      <c r="E54" s="1">
        <f>IF(COUNT(C54:D54)=2,D54-C54,"")</f>
        <v>-12.080714686709722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IF(978859&gt;0,100*102879/978859,"")</f>
        <v>10.510093895034933</v>
      </c>
      <c r="L54" s="1">
        <f>IF(COUNT(J54:K54)=2,K54-J54,"")</f>
        <v>-32.683556565369955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IF(1038556&gt;0,100*137078/1038556,"")</f>
        <v>13.19890309237056</v>
      </c>
      <c r="S54" s="1">
        <f>IF(COUNT(Q54:R54)=2,R54-Q54,"")</f>
        <v>-32.142717836376264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IF(412291&gt;0,100*5485/412291,"")</f>
        <v>1.3303710243493068</v>
      </c>
      <c r="E55" s="1">
        <f>IF(COUNT(C55:D55)=2,D55-C55,"")</f>
        <v>-0.29048063498695864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IF(1714217&gt;0,100*447996/1714217,"")</f>
        <v>26.13414754374738</v>
      </c>
      <c r="L55" s="1">
        <f>IF(COUNT(J55:K55)=2,K55-J55,"")</f>
        <v>-10.247982647001354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IF(1465166&gt;0,100*283214/1465166,"")</f>
        <v>19.329823378374872</v>
      </c>
      <c r="S55" s="1">
        <f>IF(COUNT(Q55:R55)=2,R55-Q55,"")</f>
        <v>-15.83981780384143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IF(593376&gt;0,100*70439/593376,"")</f>
        <v>11.870887936148412</v>
      </c>
      <c r="E56" s="1">
        <f>IF(COUNT(C56:D56)=2,D56-C56,"")</f>
        <v>-2.432925684968694</v>
      </c>
      <c r="H56" s="1">
        <v>18</v>
      </c>
      <c r="I56" s="1">
        <v>17</v>
      </c>
      <c r="J56" s="1">
        <f>IF(2215&gt;0,100*355/2215,"")</f>
        <v>16.02708803611738</v>
      </c>
      <c r="K56" s="1">
        <f>IF(1495776&gt;0,100*378801/1495776,"")</f>
        <v>25.3247143957384</v>
      </c>
      <c r="L56" s="1">
        <f>IF(COUNT(J56:K56)=2,K56-J56,"")</f>
        <v>9.29762635962102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IF(1240904&gt;0,100*229110/1240904,"")</f>
        <v>18.463152669344286</v>
      </c>
      <c r="S56" s="1">
        <f>IF(COUNT(Q56:R56)=2,R56-Q56,"")</f>
        <v>-28.565297885917477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IF(1708378&gt;0,100*505836/1708378,"")</f>
        <v>29.609138024488725</v>
      </c>
      <c r="E57" s="1">
        <f>IF(COUNT(C57:D57)=2,D57-C57,"")</f>
        <v>-9.930592196875967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IF(1117664&gt;0,100*243280/1117664,"")</f>
        <v>21.766827955449937</v>
      </c>
      <c r="L57" s="1">
        <f>IF(COUNT(J57:K57)=2,K57-J57,"")</f>
        <v>-12.085690613328094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IF(799321&gt;0,100*37302/799321,"")</f>
        <v>4.666710870851635</v>
      </c>
      <c r="S57" s="1">
        <f>IF(COUNT(Q57:R57)=2,R57-Q57,"")</f>
        <v>-27.62764427550056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IF(1399006&gt;0,100*234556/1399006,"")</f>
        <v>16.7659037916921</v>
      </c>
      <c r="E58" s="1">
        <f>IF(COUNT(C58:D58)=2,D58-C58,"")</f>
        <v>-26.17631564860552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IF(1030031&gt;0,100*132728/1030031,"")</f>
        <v>12.885825766408972</v>
      </c>
      <c r="L58" s="1">
        <f>IF(COUNT(J58:K58)=2,K58-J58,"")</f>
        <v>-31.032614624233453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IF(1086334&gt;0,100*218233/1086334,"")</f>
        <v>20.088941338483377</v>
      </c>
      <c r="S58" s="1">
        <f>IF(COUNT(Q58:R58)=2,R58-Q58,"")</f>
        <v>-22.16195950279892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IF(1345986&gt;0,100*338259/1345986,"")</f>
        <v>25.13094489838676</v>
      </c>
      <c r="E59" s="1">
        <f>IF(COUNT(C59:D59)=2,D59-C59,"")</f>
        <v>-7.267758065929023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IF(2434536&gt;0,100*412375/2434536,"")</f>
        <v>16.938545989872402</v>
      </c>
      <c r="L59" s="1">
        <f>IF(COUNT(J59:K59)=2,K59-J59,"")</f>
        <v>-20.612856860529995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IF(2518932&gt;0,100*285394/2518932,"")</f>
        <v>11.329960475312554</v>
      </c>
      <c r="S59" s="1">
        <f>IF(COUNT(Q59:R59)=2,R59-Q59,"")</f>
        <v>-30.656270086993608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IF(1245973&gt;0,100*334647/1245973,"")</f>
        <v>26.85828665629191</v>
      </c>
      <c r="E60" s="1">
        <f>IF(COUNT(C60:D60)=2,D60-C60,"")</f>
        <v>-18.051789268483283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IF(1867163&gt;0,100*535988/1867163,"")</f>
        <v>28.70601013409113</v>
      </c>
      <c r="L60" s="1">
        <f>IF(COUNT(J60:K60)=2,K60-J60,"")</f>
        <v>-16.07442377070774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IF(1572944&gt;0,100*360067/1572944,"")</f>
        <v>22.89127902836973</v>
      </c>
      <c r="S60" s="1">
        <f>IF(COUNT(Q60:R60)=2,R60-Q60,"")</f>
        <v>-11.332791246877079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IF(356205&gt;0,100*844/356205,"")</f>
        <v>0.236942210244101</v>
      </c>
      <c r="E61" s="1">
        <f>IF(COUNT(C61:D61)=2,D61-C61,"")</f>
        <v>0.0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IF(1048458&gt;0,100*125548/1048458,"")</f>
        <v>11.974537845102045</v>
      </c>
      <c r="L61" s="1">
        <f>IF(COUNT(J61:K61)=2,K61-J61,"")</f>
        <v>-36.4310763675321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IF(1798877&gt;0,100*451430/1798877,"")</f>
        <v>25.095100999123343</v>
      </c>
      <c r="S61" s="1">
        <f>IF(COUNT(Q61:R61)=2,R61-Q61,"")</f>
        <v>-9.957479262511352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IF(692742&gt;0,100*31582/692742,"")</f>
        <v>4.5589844415381195</v>
      </c>
      <c r="E62" s="1">
        <f>IF(COUNT(C62:D62)=2,D62-C62,"")</f>
        <v>-16.384263338583793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IF(1387129&gt;0,100*306364/1387129,"")</f>
        <v>22.086193857961298</v>
      </c>
      <c r="L62" s="1">
        <f>IF(COUNT(J62:K62)=2,K62-J62,"")</f>
        <v>-22.538111788322645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IF(1272894&gt;0,100*216268/1272894,"")</f>
        <v>16.990259990226996</v>
      </c>
      <c r="S62" s="1">
        <f>IF(COUNT(Q62:R62)=2,R62-Q62,"")</f>
        <v>-11.904383665561262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IF(1887483&gt;0,100*588046/1887483,"")</f>
        <v>31.155035568532274</v>
      </c>
      <c r="E63" s="1">
        <f>IF(COUNT(C63:D63)=2,D63-C63,"")</f>
        <v>1.9150120690775516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IF(667492&gt;0,100*60283/667492,"")</f>
        <v>9.031269288620688</v>
      </c>
      <c r="L63" s="1">
        <f>IF(COUNT(J63:K63)=2,K63-J63,"")</f>
        <v>-35.53971072238289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IF(2025840&gt;0,100*599779/2025840,"")</f>
        <v>29.60643486158828</v>
      </c>
      <c r="S63" s="1">
        <f>IF(COUNT(Q63:R63)=2,R63-Q63,"")</f>
        <v>-14.06825332006147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IF(1394505&gt;0,100*436163/1394505,"")</f>
        <v>31.277263258288784</v>
      </c>
      <c r="E64" s="1">
        <f>IF(COUNT(C64:D64)=2,D64-C64,"")</f>
        <v>-15.113917063363175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IF(838996&gt;0,100*79319/838996,"")</f>
        <v>9.454037921515717</v>
      </c>
      <c r="L64" s="1">
        <f>IF(COUNT(J64:K64)=2,K64-J64,"")</f>
        <v>-22.55462964133415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IF(1312797&gt;0,100*263308/1312797,"")</f>
        <v>20.05702328692098</v>
      </c>
      <c r="S64" s="1">
        <f>IF(COUNT(Q64:R64)=2,R64-Q64,"")</f>
        <v>-24.34783021641931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IF(1342104&gt;0,100*306104/1342104,"")</f>
        <v>22.807770485744772</v>
      </c>
      <c r="E65" s="1">
        <f>IF(COUNT(C65:D65)=2,D65-C65,"")</f>
        <v>-14.536797015983435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IF(1210341&gt;0,100*184753/1210341,"")</f>
        <v>15.264541149973438</v>
      </c>
      <c r="L65" s="1">
        <f>IF(COUNT(J65:K65)=2,K65-J65,"")</f>
        <v>-19.63753098086734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IF(1180835&gt;0,100*185204/1180835,"")</f>
        <v>15.684155703379389</v>
      </c>
      <c r="S65" s="1">
        <f>IF(COUNT(Q65:R65)=2,R65-Q65,"")</f>
        <v>-18.682128771364958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IF(342230&gt;0,100*341/342230,"")</f>
        <v>0.09964059258393478</v>
      </c>
      <c r="E66" s="1">
        <f>IF(COUNT(C66:D66)=2,D66-C66,"")</f>
        <v>0.0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IF(1820127&gt;0,100*506718/1820127,"")</f>
        <v>27.839705690866626</v>
      </c>
      <c r="L66" s="1">
        <f>IF(COUNT(J66:K66)=2,K66-J66,"")</f>
        <v>-11.37767901082589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IF(1246617&gt;0,100*284260/1246617,"")</f>
        <v>22.802512720426563</v>
      </c>
      <c r="S66" s="1">
        <f>IF(COUNT(Q66:R66)=2,R66-Q66,"")</f>
        <v>-8.061580211842202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IF(1466570&gt;0,100*429669/1466570,"")</f>
        <v>29.29754461089481</v>
      </c>
      <c r="E67" s="1">
        <f>IF(COUNT(C67:D67)=2,D67-C67,"")</f>
        <v>-5.553213470604973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IF(1823652&gt;0,100*492825/1823652,"")</f>
        <v>27.024070381849167</v>
      </c>
      <c r="L67" s="1">
        <f>IF(COUNT(J67:K67)=2,K67-J67,"")</f>
        <v>-18.720880314904594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IF(1576552&gt;0,100*394581/1576552,"")</f>
        <v>25.028099295170726</v>
      </c>
      <c r="S67" s="1">
        <f>IF(COUNT(Q67:R67)=2,R67-Q67,"")</f>
        <v>-15.903830984764006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IF(1238905&gt;0,100*318887/1238905,"")</f>
        <v>25.739423119609654</v>
      </c>
      <c r="E68" s="1">
        <f>IF(COUNT(C68:D68)=2,D68-C68,"")</f>
        <v>-17.070676906877658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IF(1511465&gt;0,100*362159/1511465,"")</f>
        <v>23.96079300546159</v>
      </c>
      <c r="L68" s="1">
        <f>IF(COUNT(J68:K68)=2,K68-J68,"")</f>
        <v>-12.852734625468933</v>
      </c>
      <c r="O68" s="1">
        <v>30</v>
      </c>
      <c r="P68" s="1">
        <v>29</v>
      </c>
      <c r="Q68" s="1">
        <f>IF(653286&gt;0,100*39372/653286,"")</f>
        <v>6.026763163453679</v>
      </c>
      <c r="R68" s="1">
        <f>IF(823145&gt;0,100*32218/823145,"")</f>
        <v>3.9140127195087135</v>
      </c>
      <c r="S68" s="1">
        <f>IF(COUNT(Q68:R68)=2,R68-Q68,"")</f>
        <v>-2.1127504439449654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IF(646412&gt;0,100*1911/646412,"")</f>
        <v>0.2956318880218808</v>
      </c>
      <c r="E69" s="1">
        <f>IF(COUNT(C69:D69)=2,D69-C69,"")</f>
        <v>0.0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IF(1854908&gt;0,100*456283/1854908,"")</f>
        <v>24.598686296031932</v>
      </c>
      <c r="L69" s="1">
        <f>IF(COUNT(J69:K69)=2,K69-J69,"")</f>
        <v>-10.77816601898277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IF(1644583&gt;0,100*328898/1644583,"")</f>
        <v>19.998869014212115</v>
      </c>
      <c r="S69" s="1">
        <f>IF(COUNT(Q69:R69)=2,R69-Q69,"")</f>
        <v>-12.621464448925078</v>
      </c>
    </row>
    <row r="70" spans="1:19">
      <c r="A70" s="2" t="s">
        <v>6</v>
      </c>
      <c r="B70" s="1"/>
      <c r="C70" s="1">
        <f>IF(COUNT(C39:C69)&gt;0,AVERAGE(C39:C69),"")</f>
        <v>30.180215695878584</v>
      </c>
      <c r="D70" s="1">
        <f>IF(COUNT(D39:D69)&gt;0,AVERAGE(D39:D69),"")</f>
        <v>20.04689271138621</v>
      </c>
      <c r="E70" s="1">
        <f>IF(COUNT(E39:E69)&gt;0,AVERAGE(E39:E69),"")</f>
        <v>-10.133322984492368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17.52619892813573</v>
      </c>
      <c r="L70" s="1">
        <f>IF(COUNT(L39:L69)&gt;0,AVERAGE(L39:L69),"")</f>
        <v>-15.468981231359207</v>
      </c>
      <c r="O70" s="2" t="s">
        <v>6</v>
      </c>
      <c r="P70" s="1"/>
      <c r="Q70" s="1">
        <f>IF(COUNT(Q39:Q69)&gt;0,AVERAGE(Q39:Q69),"")</f>
        <v>31.641731223822106</v>
      </c>
      <c r="R70" s="1">
        <f>IF(COUNT(R39:R69)&gt;0,AVERAGE(R39:R69),"")</f>
        <v>17.141443841641273</v>
      </c>
      <c r="S70" s="1">
        <f>IF(COUNT(S39:S69)&gt;0,AVERAGE(S39:S69),"")</f>
        <v>-14.500287382180828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IF(734328&gt;0,100*59423/734328,"")</f>
        <v>8.092160451460384</v>
      </c>
      <c r="E75" s="1">
        <f>IF(COUNT(C75:D75)=2,D75-C75,"")</f>
        <v>5.376996439130757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IF(900772&gt;0,100*92801/900772,"")</f>
        <v>10.302385065255137</v>
      </c>
      <c r="L75" s="1">
        <f>IF(COUNT(J75:K75)=2,K75-J75,"")</f>
        <v>-42.998665190663544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IF(1734698&gt;0,100*462247/1734698,"")</f>
        <v>26.647116673910965</v>
      </c>
      <c r="S75" s="1">
        <f>IF(COUNT(Q75:R75)=2,R75-Q75,"")</f>
        <v>-17.434244552721474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IF(1536784&gt;0,100*421209/1536784,"")</f>
        <v>27.4084711969932</v>
      </c>
      <c r="E76" s="1">
        <f>IF(COUNT(C76:D76)=2,D76-C76,"")</f>
        <v>-9.622459685812789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IF(2891561&gt;0,100*719801/2891561,"")</f>
        <v>24.893163242968072</v>
      </c>
      <c r="L76" s="1">
        <f>IF(COUNT(J76:K76)=2,K76-J76,"")</f>
        <v>-18.611094706267437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IF(1918278&gt;0,100*469351/1918278,"")</f>
        <v>24.467308700824386</v>
      </c>
      <c r="S76" s="1">
        <f>IF(COUNT(Q76:R76)=2,R76-Q76,"")</f>
        <v>-16.393862079221538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IF(1188959&gt;0,100*135240/1188959,"")</f>
        <v>11.374656316996633</v>
      </c>
      <c r="E77" s="1">
        <f>IF(COUNT(C77:D77)=2,D77-C77,"")</f>
        <v>-27.86455387916932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IF(1816427&gt;0,100*427010/1816427,"")</f>
        <v>23.508238976848506</v>
      </c>
      <c r="L77" s="1">
        <f>IF(COUNT(J77:K77)=2,K77-J77,"")</f>
        <v>-18.95543906844028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IF(1088548&gt;0,100*18978/1088548,"")</f>
        <v>1.7434233492689344</v>
      </c>
      <c r="S77" s="1">
        <f>IF(COUNT(Q77:R77)=2,R77-Q77,"")</f>
        <v>-2.205757731398447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IF(1697322&gt;0,100*473999/1697322,"")</f>
        <v>27.926286232076176</v>
      </c>
      <c r="E78" s="1">
        <f>IF(COUNT(C78:D78)=2,D78-C78,"")</f>
        <v>-17.349544396747884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IF(1235225&gt;0,100*286543/1235225,"")</f>
        <v>23.19763605820802</v>
      </c>
      <c r="L78" s="1">
        <f>IF(COUNT(J78:K78)=2,K78-J78,"")</f>
        <v>-24.316245573249738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IF(1433645&gt;0,100*373750/1433645,"")</f>
        <v>26.06991270502809</v>
      </c>
      <c r="S78" s="1">
        <f>IF(COUNT(Q78:R78)=2,R78-Q78,"")</f>
        <v>-26.70776564363899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IF(717783&gt;0,100*66630/717783,"")</f>
        <v>9.28274980042715</v>
      </c>
      <c r="E79" s="1">
        <f>IF(COUNT(C79:D79)=2,D79-C79,"")</f>
        <v>-39.46664487838826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IF(1998795&gt;0,100*434049/1998795,"")</f>
        <v>21.715533608999422</v>
      </c>
      <c r="L79" s="1">
        <f>IF(COUNT(J79:K79)=2,K79-J79,"")</f>
        <v>-25.10580708313089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IF(1778159&gt;0,100*443748/1778159,"")</f>
        <v>24.95547361062762</v>
      </c>
      <c r="S79" s="1">
        <f>IF(COUNT(Q79:R79)=2,R79-Q79,"")</f>
        <v>-23.976769935618613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IF(1440071&gt;0,100*374055/1440071,"")</f>
        <v>25.974760966646784</v>
      </c>
      <c r="E80" s="1">
        <f>IF(COUNT(C80:D80)=2,D80-C80,"")</f>
        <v>-12.733329080824973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IF(1576906&gt;0,100*417238/1576906,"")</f>
        <v>26.45928165661111</v>
      </c>
      <c r="L80" s="1">
        <f>IF(COUNT(J80:K80)=2,K80-J80,"")</f>
        <v>-12.841051541906836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IF(1248577&gt;0,100*164360/1248577,"")</f>
        <v>13.163785653588045</v>
      </c>
      <c r="S80" s="1">
        <f>IF(COUNT(Q80:R80)=2,R80-Q80,"")</f>
        <v>-29.654913235656686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IF(1288737&gt;0,100*323340/1288737,"")</f>
        <v>25.08968082704229</v>
      </c>
      <c r="E81" s="1">
        <f>IF(COUNT(C81:D81)=2,D81-C81,"")</f>
        <v>-17.034803770389654</v>
      </c>
      <c r="H81" s="1">
        <v>7</v>
      </c>
      <c r="I81" s="1">
        <v>6</v>
      </c>
      <c r="J81" s="1">
        <f>IF(710153&gt;0,100*3904/710153,"")</f>
        <v>0.5497406896823642</v>
      </c>
      <c r="K81" s="1">
        <f>IF(519142&gt;0,100*4112/519142,"")</f>
        <v>0.7920761564273359</v>
      </c>
      <c r="L81" s="1">
        <f>IF(COUNT(J81:K81)=2,K81-J81,"")</f>
        <v>0.24233546674497164</v>
      </c>
      <c r="O81" s="1">
        <v>7</v>
      </c>
      <c r="P81" s="1">
        <v>6</v>
      </c>
      <c r="Q81" s="1">
        <f>IF(528040&gt;0,100*6901/528040,"")</f>
        <v>1.3069085675327627</v>
      </c>
      <c r="R81" s="1">
        <f>IF(735046&gt;0,100*34991/735046,"")</f>
        <v>4.760382343417963</v>
      </c>
      <c r="S81" s="1">
        <f>IF(COUNT(Q81:R81)=2,R81-Q81,"")</f>
        <v>3.4534737758852003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IF(1707281&gt;0,100*475028/1707281,"")</f>
        <v>27.823656445541186</v>
      </c>
      <c r="E82" s="1">
        <f>IF(COUNT(C82:D82)=2,D82-C82,"")</f>
        <v>-18.815778429272466</v>
      </c>
      <c r="H82" s="1">
        <v>8</v>
      </c>
      <c r="I82" s="1">
        <v>7</v>
      </c>
      <c r="J82" s="1">
        <f>IF(619510&gt;0,100*7411/619510,"")</f>
        <v>1.1962680182725056</v>
      </c>
      <c r="K82" s="1">
        <f>IF(539768&gt;0,100*3710/539768,"")</f>
        <v>0.6873323353737161</v>
      </c>
      <c r="L82" s="1">
        <f>IF(COUNT(J82:K82)=2,K82-J82,"")</f>
        <v>-0.5089356828987895</v>
      </c>
      <c r="O82" s="1">
        <v>8</v>
      </c>
      <c r="P82" s="1">
        <v>7</v>
      </c>
      <c r="Q82" s="1">
        <f>IF(665002&gt;0,100*8971/665002,"")</f>
        <v>1.3490184991924836</v>
      </c>
      <c r="R82" s="1">
        <f>IF(693717&gt;0,100*19852/693717,"")</f>
        <v>2.861685672976156</v>
      </c>
      <c r="S82" s="1">
        <f>IF(COUNT(Q82:R82)=2,R82-Q82,"")</f>
        <v>1.5126671737836725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IF(1939414&gt;0,100*566835/1939414,"")</f>
        <v>29.227127369401273</v>
      </c>
      <c r="E83" s="1">
        <f>IF(COUNT(C83:D83)=2,D83-C83,"")</f>
        <v>-2.97628983661172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IF(2250202&gt;0,100*614949/2250202,"")</f>
        <v>27.328613164507008</v>
      </c>
      <c r="L83" s="1">
        <f>IF(COUNT(J83:K83)=2,K83-J83,"")</f>
        <v>-17.55672478607784</v>
      </c>
      <c r="O83" s="1">
        <v>9</v>
      </c>
      <c r="P83" s="1">
        <v>8</v>
      </c>
      <c r="Q83" s="1">
        <f>IF(1967808&gt;0,100*766923/1967808,"")</f>
        <v>38.9734669236023</v>
      </c>
      <c r="R83" s="1">
        <f>IF(2032889&gt;0,100*577272/2032889,"")</f>
        <v>28.39663159178883</v>
      </c>
      <c r="S83" s="1">
        <f>IF(COUNT(Q83:R83)=2,R83-Q83,"")</f>
        <v>-10.576835331813474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IF(624813&gt;0,100*10580/624813,"")</f>
        <v>1.6933066373458938</v>
      </c>
      <c r="E84" s="1">
        <f>IF(COUNT(C84:D84)=2,D84-C84,"")</f>
        <v>0.0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IF(1298246&gt;0,100*186132/1298246,"")</f>
        <v>14.337190332186658</v>
      </c>
      <c r="L84" s="1">
        <f>IF(COUNT(J84:K84)=2,K84-J84,"")</f>
        <v>-35.849819500733496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IF(956945&gt;0,100*9676/956945,"")</f>
        <v>1.011134391213706</v>
      </c>
      <c r="S84" s="1">
        <f>IF(COUNT(Q84:R84)=2,R84-Q84,"")</f>
        <v>-15.001349839906919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IF(1425872&gt;0,100*435552/1425872,"")</f>
        <v>30.546360402616784</v>
      </c>
      <c r="E85" s="1">
        <f>IF(COUNT(C85:D85)=2,D85-C85,"")</f>
        <v>-17.266878960299415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IF(1008787&gt;0,100*57267/1008787,"")</f>
        <v>5.676817801974054</v>
      </c>
      <c r="L85" s="1">
        <f>IF(COUNT(J85:K85)=2,K85-J85,"")</f>
        <v>-49.76741931459213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IF(810871&gt;0,100*15705/810871,"")</f>
        <v>1.9368062244179407</v>
      </c>
      <c r="S85" s="1">
        <f>IF(COUNT(Q85:R85)=2,R85-Q85,"")</f>
        <v>-46.663564327897426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IF(1884793&gt;0,100*608647/1884793,"")</f>
        <v>32.29251169757103</v>
      </c>
      <c r="E86" s="1">
        <f>IF(COUNT(C86:D86)=2,D86-C86,"")</f>
        <v>-10.935648550813731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IF(1455545&gt;0,100*367758/1455545,"")</f>
        <v>25.266000020610836</v>
      </c>
      <c r="L86" s="1">
        <f>IF(COUNT(J86:K86)=2,K86-J86,"")</f>
        <v>-22.397458823335025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IF(1149302&gt;0,100*113830/1149302,"")</f>
        <v>9.904272332250358</v>
      </c>
      <c r="S86" s="1">
        <f>IF(COUNT(Q86:R86)=2,R86-Q86,"")</f>
        <v>-38.73589691028871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IF(898134&gt;0,100*190663/898134,"")</f>
        <v>21.228792140148354</v>
      </c>
      <c r="E87" s="1">
        <f>IF(COUNT(C87:D87)=2,D87-C87,"")</f>
        <v>-6.955857563369598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IF(1312082&gt;0,100*175916/1312082,"")</f>
        <v>13.407393745207997</v>
      </c>
      <c r="L87" s="1">
        <f>IF(COUNT(J87:K87)=2,K87-J87,"")</f>
        <v>-31.186020016440708</v>
      </c>
      <c r="O87" s="1">
        <v>13</v>
      </c>
      <c r="P87" s="1">
        <v>12</v>
      </c>
      <c r="Q87" s="1">
        <f>IF(818878&gt;0,100*7212/818878,"")</f>
        <v>0.8807172741238621</v>
      </c>
      <c r="R87" s="1">
        <f>IF(818878&gt;0,100*7212/818878,"")</f>
        <v>0.8807172741238621</v>
      </c>
      <c r="S87" s="1">
        <f>IF(COUNT(Q87:R87)=2,R87-Q87,"")</f>
        <v>0.0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IF(1102977&gt;0,100*253480/1102977,"")</f>
        <v>22.981440229488012</v>
      </c>
      <c r="E88" s="1">
        <f>IF(COUNT(C88:D88)=2,D88-C88,"")</f>
        <v>2.4865722229965463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IF(1573986&gt;0,100*304384/1573986,"")</f>
        <v>19.338418511981683</v>
      </c>
      <c r="L88" s="1">
        <f>IF(COUNT(J88:K88)=2,K88-J88,"")</f>
        <v>-13.673902752923258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IF(672795&gt;0,100*37909/672795,"")</f>
        <v>5.634554359054392</v>
      </c>
      <c r="S88" s="1">
        <f>IF(COUNT(Q88:R88)=2,R88-Q88,"")</f>
        <v>-6.327353991787299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IF(1741490&gt;0,100*517118/1741490,"")</f>
        <v>29.69399766866304</v>
      </c>
      <c r="E89" s="1">
        <f>IF(COUNT(C89:D89)=2,D89-C89,"")</f>
        <v>-12.575537275896554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IF(1940494&gt;0,100*476075/1940494,"")</f>
        <v>24.53370121216556</v>
      </c>
      <c r="L89" s="1">
        <f>IF(COUNT(J89:K89)=2,K89-J89,"")</f>
        <v>5.3605822343999066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IF(1190912&gt;0,100*101502/1190912,"")</f>
        <v>8.523047882631126</v>
      </c>
      <c r="S89" s="1">
        <f>IF(COUNT(Q89:R89)=2,R89-Q89,"")</f>
        <v>-17.777815051601806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IF(1886828&gt;0,100*691409/1886828,"")</f>
        <v>36.643986627291945</v>
      </c>
      <c r="E90" s="1">
        <f>IF(COUNT(C90:D90)=2,D90-C90,"")</f>
        <v>-4.313341564673117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IF(1067977&gt;0,100*160585/1067977,"")</f>
        <v>15.036372506149476</v>
      </c>
      <c r="L90" s="1">
        <f>IF(COUNT(J90:K90)=2,K90-J90,"")</f>
        <v>-28.333192772499487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IF(1682853&gt;0,100*442730/1682853,"")</f>
        <v>26.308299061177657</v>
      </c>
      <c r="S90" s="1">
        <f>IF(COUNT(Q90:R90)=2,R90-Q90,"")</f>
        <v>-24.6799018130424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IF(507174&gt;0,100*28735/507174,"")</f>
        <v>5.6657084156522215</v>
      </c>
      <c r="E91" s="1">
        <f>IF(COUNT(C91:D91)=2,D91-C91,"")</f>
        <v>1.9748487543375464</v>
      </c>
      <c r="H91" s="1">
        <v>17</v>
      </c>
      <c r="I91" s="1">
        <v>16</v>
      </c>
      <c r="J91" s="1">
        <f>IF(88900&gt;0,100*3265/88900,"")</f>
        <v>3.6726659167604048</v>
      </c>
      <c r="K91" s="1">
        <f>IF(88900&gt;0,100*3265/88900,"")</f>
        <v>3.6726659167604048</v>
      </c>
      <c r="L91" s="1">
        <f>IF(COUNT(J91:K91)=2,K91-J91,"")</f>
        <v>0.0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IF(2242157&gt;0,100*619741/2242157,"")</f>
        <v>27.640392711125937</v>
      </c>
      <c r="S91" s="1">
        <f>IF(COUNT(Q91:R91)=2,R91-Q91,"")</f>
        <v>-14.281015254741558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IF(868980&gt;0,100*146444/868980,"")</f>
        <v>16.852401666321434</v>
      </c>
      <c r="E92" s="1">
        <f>IF(COUNT(C92:D92)=2,D92-C92,"")</f>
        <v>-5.255044208562175</v>
      </c>
      <c r="H92" s="1">
        <v>18</v>
      </c>
      <c r="I92" s="1">
        <v>17</v>
      </c>
      <c r="J92" s="4"/>
      <c r="K92" s="1">
        <f>IF(1086784&gt;0,100*100794/1086784,"")</f>
        <v>9.274520051822625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IF(1437276&gt;0,100*253134/1437276,"")</f>
        <v>17.61206615848313</v>
      </c>
      <c r="S92" s="1">
        <f>IF(COUNT(Q92:R92)=2,R92-Q92,"")</f>
        <v>-27.489623797422837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IF(1322000&gt;0,100*404961/1322000,"")</f>
        <v>30.632450832072617</v>
      </c>
      <c r="E93" s="1">
        <f>IF(COUNT(C93:D93)=2,D93-C93,"")</f>
        <v>-15.703710762729525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IF(918427&gt;0,100*90367/918427,"")</f>
        <v>9.839323103523743</v>
      </c>
      <c r="L93" s="1">
        <f>IF(COUNT(J93:K93)=2,K93-J93,"")</f>
        <v>-27.08395038933536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IF(1470874&gt;0,100*272256/1470874,"")</f>
        <v>18.509811173492768</v>
      </c>
      <c r="S93" s="1">
        <f>IF(COUNT(Q93:R93)=2,R93-Q93,"")</f>
        <v>-19.318042021769994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IF(1128746&gt;0,100*300873/1128746,"")</f>
        <v>26.655509742670183</v>
      </c>
      <c r="E94" s="1">
        <f>IF(COUNT(C94:D94)=2,D94-C94,"")</f>
        <v>-15.023867937303088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IF(1266397&gt;0,100*266926/1266397,"")</f>
        <v>21.07759257168171</v>
      </c>
      <c r="L94" s="1">
        <f>IF(COUNT(J94:K94)=2,K94-J94,"")</f>
        <v>-20.718249572248954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IF(2175117&gt;0,100*570858/2175117,"")</f>
        <v>26.244933031188665</v>
      </c>
      <c r="S94" s="1">
        <f>IF(COUNT(Q94:R94)=2,R94-Q94,"")</f>
        <v>-19.938758561317975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IF(1247955&gt;0,100*272785/1247955,"")</f>
        <v>21.858560605150025</v>
      </c>
      <c r="E95" s="1">
        <f>IF(COUNT(C95:D95)=2,D95-C95,"")</f>
        <v>-27.95851358009525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IF(1565113&gt;0,100*330826/1565113,"")</f>
        <v>21.137515310396118</v>
      </c>
      <c r="L95" s="1">
        <f>IF(COUNT(J95:K95)=2,K95-J95,"")</f>
        <v>-28.585373194752087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IF(1458918&gt;0,100*324753/1458918,"")</f>
        <v>22.25985284985174</v>
      </c>
      <c r="S95" s="1">
        <f>IF(COUNT(Q95:R95)=2,R95-Q95,"")</f>
        <v>-24.499409864547395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IF(1590612&gt;0,100*462344/1590612,"")</f>
        <v>29.067050921280615</v>
      </c>
      <c r="E96" s="1">
        <f>IF(COUNT(C96:D96)=2,D96-C96,"")</f>
        <v>2.4523574383662705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IF(1848846&gt;0,100*501435/1848846,"")</f>
        <v>27.121512554317665</v>
      </c>
      <c r="L96" s="1">
        <f>IF(COUNT(J96:K96)=2,K96-J96,"")</f>
        <v>-18.516900073254167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IF(2199032&gt;0,100*545148/2199032,"")</f>
        <v>24.790362304868687</v>
      </c>
      <c r="S96" s="1">
        <f>IF(COUNT(Q96:R96)=2,R96-Q96,"")</f>
        <v>-8.369509340115272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IF(406810&gt;0,100*491/406810,"")</f>
        <v>0.12069516481895726</v>
      </c>
      <c r="E97" s="1">
        <f>IF(COUNT(C97:D97)=2,D97-C97,"")</f>
        <v>0.0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IF(2118640&gt;0,100*572067/2118640,"")</f>
        <v>27.001614243099347</v>
      </c>
      <c r="L97" s="1">
        <f>IF(COUNT(J97:K97)=2,K97-J97,"")</f>
        <v>-22.341469487037436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IF(1725045&gt;0,100*426922/1725045,"")</f>
        <v>24.748455837383954</v>
      </c>
      <c r="S97" s="1">
        <f>IF(COUNT(Q97:R97)=2,R97-Q97,"")</f>
        <v>-17.838861501808335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IF(644660&gt;0,100*11190/644660,"")</f>
        <v>1.7357987156020227</v>
      </c>
      <c r="E98" s="1">
        <f>IF(COUNT(C98:D98)=2,D98-C98,"")</f>
        <v>-37.937809935561326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IF(1154708&gt;0,100*97248/1154708,"")</f>
        <v>8.421869424997489</v>
      </c>
      <c r="L98" s="1">
        <f>IF(COUNT(J98:K98)=2,K98-J98,"")</f>
        <v>-34.816384901986325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IF(1766599&gt;0,100*451251/1766599,"")</f>
        <v>25.543487797740177</v>
      </c>
      <c r="S98" s="1">
        <f>IF(COUNT(Q98:R98)=2,R98-Q98,"")</f>
        <v>-15.243252310278677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IF(1566364&gt;0,100*460246/1566364,"")</f>
        <v>29.383080816464116</v>
      </c>
      <c r="E99" s="1">
        <f>IF(COUNT(C99:D99)=2,D99-C99,"")</f>
        <v>-12.060388464649783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IF(1410385&gt;0,100*311737/1410385,"")</f>
        <v>22.102971883563708</v>
      </c>
      <c r="L99" s="1">
        <f>IF(COUNT(J99:K99)=2,K99-J99,"")</f>
        <v>-28.16067260229752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IF(1523184&gt;0,100*208481/1523184,"")</f>
        <v>13.687184214119895</v>
      </c>
      <c r="S99" s="1">
        <f>IF(COUNT(Q99:R99)=2,R99-Q99,"")</f>
        <v>-23.698187208335803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IF(1849109&gt;0,100*565919/1849109,"")</f>
        <v>30.604956224862892</v>
      </c>
      <c r="E100" s="1">
        <f>IF(COUNT(C100:D100)=2,D100-C100,"")</f>
        <v>-15.509579201431752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IF(1226737&gt;0,100*181330/1226737,"")</f>
        <v>14.781489430904912</v>
      </c>
      <c r="L100" s="1">
        <f>IF(COUNT(J100:K100)=2,K100-J100,"")</f>
        <v>8.944940964872535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IF(1953389&gt;0,100*490546/1953389,"")</f>
        <v>25.11256078538376</v>
      </c>
      <c r="S100" s="1">
        <f>IF(COUNT(Q100:R100)=2,R100-Q100,"")</f>
        <v>-28.693426341089936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IF(1545615&gt;0,100*494406/1545615,"")</f>
        <v>31.987655399307073</v>
      </c>
      <c r="E101" s="1">
        <f>IF(COUNT(C101:D101)=2,D101-C101,"")</f>
        <v>-18.982671819107324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IF(1395775&gt;0,100*314381/1395775,"")</f>
        <v>22.523759201877095</v>
      </c>
      <c r="L101" s="1">
        <f>IF(COUNT(J101:K101)=2,K101-J101,"")</f>
        <v>-2.8412231384196467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IF(1785937&gt;0,100*388423/1785937,"")</f>
        <v>21.74897546777966</v>
      </c>
      <c r="S101" s="1">
        <f>IF(COUNT(Q101:R101)=2,R101-Q101,"")</f>
        <v>-0.7956770520683101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IF(408366&gt;0,100*1300/408366,"")</f>
        <v>0.3183418795884084</v>
      </c>
      <c r="E102" s="1">
        <f>IF(COUNT(C102:D102)=2,D102-C102,"")</f>
        <v>0.0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IF(1608108&gt;0,100*461317/1608108,"")</f>
        <v>28.686941424332197</v>
      </c>
      <c r="L102" s="1">
        <f>IF(COUNT(J102:K102)=2,K102-J102,"")</f>
        <v>-1.6581083439224962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IF(884108&gt;0,100*113447/884108,"")</f>
        <v>12.831803354341325</v>
      </c>
      <c r="S102" s="1">
        <f>IF(COUNT(Q102:R102)=2,R102-Q102,"")</f>
        <v>-27.363274756467483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IF(1898644&gt;0,100*588175/1898644,"")</f>
        <v>30.9786879478196</v>
      </c>
      <c r="E103" s="1">
        <f>IF(COUNT(C103:D103)=2,D103-C103,"")</f>
        <v>-15.963946618311851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IF(2650005&gt;0,100*781952/2650005,"")</f>
        <v>29.507566966854778</v>
      </c>
      <c r="L103" s="1">
        <f>IF(COUNT(J103:K103)=2,K103-J103,"")</f>
        <v>-19.35410956151554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IF(1803963&gt;0,100*482004/1803963,"")</f>
        <v>26.719173286813533</v>
      </c>
      <c r="S103" s="1">
        <f>IF(COUNT(Q103:R103)=2,R103-Q103,"")</f>
        <v>-17.046064498486178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IF(1714888&gt;0,100*515949/1714888,"")</f>
        <v>30.0864546256082</v>
      </c>
      <c r="E104" s="1">
        <f>IF(COUNT(C104:D104)=2,D104-C104,"")</f>
        <v>-16.99517206093036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IF(1429814&gt;0,100*335574/1429814,"")</f>
        <v>23.469765997535344</v>
      </c>
      <c r="L104" s="1">
        <f>IF(COUNT(J104:K104)=2,K104-J104,"")</f>
        <v>-8.506542130894122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IF(546825&gt;0,100*8221/546825,"")</f>
        <v>1.5034060256937778</v>
      </c>
      <c r="S104" s="1">
        <f>IF(COUNT(Q104:R104)=2,R104-Q104,"")</f>
        <v>0.14388662060351853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IF(719888&gt;0,100*16942/719888,"")</f>
        <v>2.353421643366746</v>
      </c>
      <c r="E105" s="1">
        <f>IF(COUNT(C105:D105)=2,D105-C105,"")</f>
        <v>-24.799235658187303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IF(1031064&gt;0,100*55933/1031064,"")</f>
        <v>5.424784494463971</v>
      </c>
      <c r="L105" s="1">
        <f>IF(COUNT(J105:K105)=2,K105-J105,"")</f>
        <v>-19.360692532452877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IF(1886753&gt;0,100*452957/1886753,"")</f>
        <v>24.00722299103274</v>
      </c>
      <c r="S105" s="1">
        <f>IF(COUNT(Q105:R105)=2,R105-Q105,"")</f>
        <v>-21.180265345975805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21.147765148719206</v>
      </c>
      <c r="E106" s="1">
        <f>IF(COUNT(E75:E105)&gt;0,AVERAGE(E75:E105),"")</f>
        <v>-12.63902687949381</v>
      </c>
      <c r="H106" s="2" t="s">
        <v>6</v>
      </c>
      <c r="I106" s="1"/>
      <c r="J106" s="1">
        <f>IF(COUNT(J75:J105)&gt;0,AVERAGE(J75:J105),"")</f>
        <v>36.69157069983473</v>
      </c>
      <c r="K106" s="1">
        <f>IF(COUNT(K75:K105)&gt;0,AVERAGE(K75:K105),"")</f>
        <v>17.75884022489051</v>
      </c>
      <c r="L106" s="1">
        <f>IF(COUNT(L75:L105)&gt;0,AVERAGE(L75:L105),"")</f>
        <v>-18.649919802508624</v>
      </c>
      <c r="O106" s="2" t="s">
        <v>6</v>
      </c>
      <c r="P106" s="1"/>
      <c r="Q106" s="1">
        <f>IF(COUNT(Q75:Q105)&gt;0,AVERAGE(Q75:Q105),"")</f>
        <v>34.096955178849896</v>
      </c>
      <c r="R106" s="1">
        <f>IF(COUNT(R75:R105)&gt;0,AVERAGE(R75:R105),"")</f>
        <v>16.7814270908258</v>
      </c>
      <c r="S106" s="1">
        <f>IF(COUNT(S75:S105)&gt;0,AVERAGE(S75:S105),"")</f>
        <v>-17.31552808802409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IF(498076&gt;0,100*50501/498076,"")</f>
        <v>10.139215702021378</v>
      </c>
      <c r="E3" s="1">
        <f>IF(COUNT(C3:D3)=2,D3-C3,"")</f>
        <v>-18.29019258313137</v>
      </c>
      <c r="H3" s="1">
        <v>1</v>
      </c>
      <c r="I3" s="1">
        <v>0</v>
      </c>
      <c r="J3" s="1">
        <f>IF(1145550&gt;0,100*291815/1145550,"")</f>
        <v>25.47378988258915</v>
      </c>
      <c r="K3" s="1">
        <f>IF(798551&gt;0,100*146241/798551,"")</f>
        <v>18.31329495548813</v>
      </c>
      <c r="L3" s="1">
        <f>IF(COUNT(J3:K3)=2,K3-J3,"")</f>
        <v>-7.16049492710102</v>
      </c>
      <c r="O3" s="1">
        <v>1</v>
      </c>
      <c r="P3" s="1">
        <v>0</v>
      </c>
      <c r="Q3" s="1">
        <f>IF(1052174&gt;0,100*332764/1052174,"")</f>
        <v>31.626327964766283</v>
      </c>
      <c r="R3" s="1">
        <f>IF(1016440&gt;0,100*213841/1016440,"")</f>
        <v>21.038231474558263</v>
      </c>
      <c r="S3" s="1">
        <f>IF(COUNT(Q3:R3)=2,R3-Q3,"")</f>
        <v>-10.58809649020802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IF(575955&gt;0,100*137093/575955,"")</f>
        <v>23.802727643652716</v>
      </c>
      <c r="E4" s="1">
        <f>IF(COUNT(C4:D4)=2,D4-C4,"")</f>
        <v>-11.373021896713723</v>
      </c>
      <c r="H4" s="1">
        <v>2</v>
      </c>
      <c r="I4" s="1">
        <v>1</v>
      </c>
      <c r="J4" s="1">
        <f>IF(783729&gt;0,100*130334/783729,"")</f>
        <v>16.629983068126865</v>
      </c>
      <c r="K4" s="1">
        <f>IF(1182972&gt;0,100*220264/1182972,"")</f>
        <v>18.61954467223231</v>
      </c>
      <c r="L4" s="1">
        <f>IF(COUNT(J4:K4)=2,K4-J4,"")</f>
        <v>1.9895616041054431</v>
      </c>
      <c r="O4" s="1">
        <v>2</v>
      </c>
      <c r="P4" s="1">
        <v>1</v>
      </c>
      <c r="Q4" s="1">
        <f>IF(1118920&gt;0,100*356409/1118920,"")</f>
        <v>31.852947485074893</v>
      </c>
      <c r="R4" s="1">
        <f>IF(1002454&gt;0,100*219696/1002454,"")</f>
        <v>21.91581858120173</v>
      </c>
      <c r="S4" s="1">
        <f>IF(COUNT(Q4:R4)=2,R4-Q4,"")</f>
        <v>-9.937128903873162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IF(1150800&gt;0,100*298231/1150800,"")</f>
        <v>25.91510253736531</v>
      </c>
      <c r="E5" s="1">
        <f>IF(COUNT(C5:D5)=2,D5-C5,"")</f>
        <v>-11.568688599577623</v>
      </c>
      <c r="H5" s="1">
        <v>3</v>
      </c>
      <c r="I5" s="1">
        <v>2</v>
      </c>
      <c r="J5" s="1">
        <f>IF(1441835&gt;0,100*147851/1441835,"")</f>
        <v>10.25436336335295</v>
      </c>
      <c r="K5" s="1">
        <f>IF(803706&gt;0,100*135184/803706,"")</f>
        <v>16.82008097488385</v>
      </c>
      <c r="L5" s="1">
        <f>IF(COUNT(J5:K5)=2,K5-J5,"")</f>
        <v>6.565717611530902</v>
      </c>
      <c r="O5" s="1">
        <v>3</v>
      </c>
      <c r="P5" s="1">
        <v>2</v>
      </c>
      <c r="Q5" s="1">
        <f>IF(1270809&gt;0,100*397332/1270809,"")</f>
        <v>31.266067520768267</v>
      </c>
      <c r="R5" s="1">
        <f>IF(747009&gt;0,100*101160/747009,"")</f>
        <v>13.542005518005807</v>
      </c>
      <c r="S5" s="1">
        <f>IF(COUNT(Q5:R5)=2,R5-Q5,"")</f>
        <v>-17.72406200276246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IF(1141407&gt;0,100*316142/1141407,"")</f>
        <v>27.69756975382138</v>
      </c>
      <c r="E6" s="1">
        <f>IF(COUNT(C6:D6)=2,D6-C6,"")</f>
        <v>-9.469073383958008</v>
      </c>
      <c r="H6" s="1">
        <v>4</v>
      </c>
      <c r="I6" s="1">
        <v>3</v>
      </c>
      <c r="J6" s="1">
        <f>IF(784417&gt;0,100*123870/784417,"")</f>
        <v>15.791345674558302</v>
      </c>
      <c r="K6" s="1">
        <f>IF(567441&gt;0,100*23485/567441,"")</f>
        <v>4.138756275982877</v>
      </c>
      <c r="L6" s="1">
        <f>IF(COUNT(J6:K6)=2,K6-J6,"")</f>
        <v>-11.652589398575426</v>
      </c>
      <c r="O6" s="1">
        <v>4</v>
      </c>
      <c r="P6" s="1">
        <v>3</v>
      </c>
      <c r="Q6" s="1">
        <f>IF(519550&gt;0,100*16403/519550,"")</f>
        <v>3.1571552304879225</v>
      </c>
      <c r="R6" s="1">
        <f>IF(779514&gt;0,100*155805/779514,"")</f>
        <v>19.987453721164727</v>
      </c>
      <c r="S6" s="1">
        <f>IF(COUNT(Q6:R6)=2,R6-Q6,"")</f>
        <v>16.830298490676803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IF(714488&gt;0,100*108398/714488,"")</f>
        <v>15.171423452878145</v>
      </c>
      <c r="E7" s="1">
        <f>IF(COUNT(C7:D7)=2,D7-C7,"")</f>
        <v>-20.459299430970304</v>
      </c>
      <c r="H7" s="1">
        <v>5</v>
      </c>
      <c r="I7" s="1">
        <v>4</v>
      </c>
      <c r="J7" s="1">
        <f>IF(1148710&gt;0,100*342477/1148710,"")</f>
        <v>29.814052284736793</v>
      </c>
      <c r="K7" s="1">
        <f>IF(626768&gt;0,100*119403/626768,"")</f>
        <v>19.050589691879612</v>
      </c>
      <c r="L7" s="1">
        <f>IF(COUNT(J7:K7)=2,K7-J7,"")</f>
        <v>-10.76346259285718</v>
      </c>
      <c r="O7" s="1">
        <v>5</v>
      </c>
      <c r="P7" s="1">
        <v>4</v>
      </c>
      <c r="Q7" s="1">
        <f>IF(1286267&gt;0,100*497044/1286267,"")</f>
        <v>38.64236585405674</v>
      </c>
      <c r="R7" s="1">
        <f>IF(1373126&gt;0,100*403120/1373126,"")</f>
        <v>29.35783023553556</v>
      </c>
      <c r="S7" s="1">
        <f>IF(COUNT(Q7:R7)=2,R7-Q7,"")</f>
        <v>-9.284535618521183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IF(973066&gt;0,100*213758/973066,"")</f>
        <v>21.967471887826726</v>
      </c>
      <c r="E8" s="1">
        <f>IF(COUNT(C8:D8)=2,D8-C8,"")</f>
        <v>-5.163912764373812</v>
      </c>
      <c r="H8" s="1">
        <v>6</v>
      </c>
      <c r="I8" s="1">
        <v>5</v>
      </c>
      <c r="J8" s="1">
        <f>IF(1039225&gt;0,100*246415/1039225,"")</f>
        <v>23.71141956746614</v>
      </c>
      <c r="K8" s="1">
        <f>IF(698267&gt;0,100*112094/698267,"")</f>
        <v>16.053171637783255</v>
      </c>
      <c r="L8" s="1">
        <f>IF(COUNT(J8:K8)=2,K8-J8,"")</f>
        <v>-7.6582479296828865</v>
      </c>
      <c r="O8" s="1">
        <v>6</v>
      </c>
      <c r="P8" s="1">
        <v>5</v>
      </c>
      <c r="Q8" s="1">
        <f>IF(1125005&gt;0,100*295084/1125005,"")</f>
        <v>26.229572313011943</v>
      </c>
      <c r="R8" s="1">
        <f>IF(1129570&gt;0,100*254160/1129570,"")</f>
        <v>22.5005975725276</v>
      </c>
      <c r="S8" s="1">
        <f>IF(COUNT(Q8:R8)=2,R8-Q8,"")</f>
        <v>-3.728974740484343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IF(1146895&gt;0,100*314455/1146895,"")</f>
        <v>27.41794148548908</v>
      </c>
      <c r="E9" s="1">
        <f>IF(COUNT(C9:D9)=2,D9-C9,"")</f>
        <v>-9.525943789861472</v>
      </c>
      <c r="H9" s="1">
        <v>7</v>
      </c>
      <c r="I9" s="1">
        <v>6</v>
      </c>
      <c r="J9" s="1">
        <f>IF(356727&gt;0,100*3261/356727,"")</f>
        <v>0.9141444297740289</v>
      </c>
      <c r="K9" s="1">
        <f>IF(502347&gt;0,100*20874/502347,"")</f>
        <v>4.155295045058495</v>
      </c>
      <c r="L9" s="1">
        <f>IF(COUNT(J9:K9)=2,K9-J9,"")</f>
        <v>3.2411506152844662</v>
      </c>
      <c r="O9" s="1">
        <v>7</v>
      </c>
      <c r="P9" s="1">
        <v>6</v>
      </c>
      <c r="Q9" s="1">
        <f>IF(851852&gt;0,100*240424/851852,"")</f>
        <v>28.223682048055295</v>
      </c>
      <c r="R9" s="1">
        <f>IF(405104&gt;0,100*21908/405104,"")</f>
        <v>5.4079939966033415</v>
      </c>
      <c r="S9" s="1">
        <f>IF(COUNT(Q9:R9)=2,R9-Q9,"")</f>
        <v>-22.815688051451954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IF(869609&gt;0,100*191206/869609,"")</f>
        <v>21.987582925199717</v>
      </c>
      <c r="E10" s="1">
        <f>IF(COUNT(C10:D10)=2,D10-C10,"")</f>
        <v>-19.44843343227086</v>
      </c>
      <c r="H10" s="1">
        <v>8</v>
      </c>
      <c r="I10" s="1">
        <v>7</v>
      </c>
      <c r="J10" s="1">
        <f>IF(278589&gt;0,100*275/278589,"")</f>
        <v>0.09871172228623527</v>
      </c>
      <c r="K10" s="1">
        <f>IF(525254&gt;0,100*45393/525254,"")</f>
        <v>8.64210458178329</v>
      </c>
      <c r="L10" s="1">
        <f>IF(COUNT(J10:K10)=2,K10-J10,"")</f>
        <v>8.543392859497054</v>
      </c>
      <c r="O10" s="1">
        <v>8</v>
      </c>
      <c r="P10" s="1">
        <v>7</v>
      </c>
      <c r="Q10" s="1">
        <f>IF(313581&gt;0,100*3447/313581,"")</f>
        <v>1.09923751757919</v>
      </c>
      <c r="R10" s="1">
        <f>IF(397207&gt;0,100*29231/397207,"")</f>
        <v>7.359135161263523</v>
      </c>
      <c r="S10" s="1">
        <f>IF(COUNT(Q10:R10)=2,R10-Q10,"")</f>
        <v>6.259897643684333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IF(639206&gt;0,100*134614/639206,"")</f>
        <v>21.059564522235398</v>
      </c>
      <c r="E11" s="1">
        <f>IF(COUNT(C11:D11)=2,D11-C11,"")</f>
        <v>-15.184376386523773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IF(1369696&gt;0,100*381271/1369696,"")</f>
        <v>27.836176786673832</v>
      </c>
      <c r="L11" s="1">
        <f>IF(COUNT(J11:K11)=2,K11-J11,"")</f>
        <v>-1.8676030717853074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IF(433977&gt;0,100*21794/433977,"")</f>
        <v>5.021925125064231</v>
      </c>
      <c r="S11" s="1">
        <f>IF(COUNT(Q11:R11)=2,R11-Q11,"")</f>
        <v>-24.978020139000165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IF(527402&gt;0,100*5185/527402,"")</f>
        <v>0.9831210348083625</v>
      </c>
      <c r="E12" s="1">
        <f>IF(COUNT(C12:D12)=2,D12-C12,"")</f>
        <v>-30.489072773512618</v>
      </c>
      <c r="H12" s="1">
        <v>10</v>
      </c>
      <c r="I12" s="1">
        <v>9</v>
      </c>
      <c r="J12" s="1">
        <f>IF(747366&gt;0,100*179400/747366,"")</f>
        <v>24.00430311253121</v>
      </c>
      <c r="K12" s="1">
        <f>IF(777977&gt;0,100*145173/777977,"")</f>
        <v>18.660320292245142</v>
      </c>
      <c r="L12" s="1">
        <f>IF(COUNT(J12:K12)=2,K12-J12,"")</f>
        <v>-5.343982820286069</v>
      </c>
      <c r="O12" s="1">
        <v>10</v>
      </c>
      <c r="P12" s="1">
        <v>9</v>
      </c>
      <c r="Q12" s="1">
        <f>IF(738636&gt;0,100*147882/738636,"")</f>
        <v>20.0209575487791</v>
      </c>
      <c r="R12" s="1">
        <f>IF(955571&gt;0,100*223617/955571,"")</f>
        <v>23.40140083782367</v>
      </c>
      <c r="S12" s="1">
        <f>IF(COUNT(Q12:R12)=2,R12-Q12,"")</f>
        <v>3.3804432890445675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IF(1068486&gt;0,100*301232/1068486,"")</f>
        <v>28.192414313336815</v>
      </c>
      <c r="E13" s="1">
        <f>IF(COUNT(C13:D13)=2,D13-C13,"")</f>
        <v>-0.5569174871040126</v>
      </c>
      <c r="H13" s="1">
        <v>11</v>
      </c>
      <c r="I13" s="1">
        <v>10</v>
      </c>
      <c r="J13" s="1">
        <f>IF(602395&gt;0,100*29717/602395,"")</f>
        <v>4.933141875347571</v>
      </c>
      <c r="K13" s="1">
        <f>IF(825124&gt;0,100*92423/825124,"")</f>
        <v>11.201104318866014</v>
      </c>
      <c r="L13" s="1">
        <f>IF(COUNT(J13:K13)=2,K13-J13,"")</f>
        <v>6.267962443518442</v>
      </c>
      <c r="O13" s="1">
        <v>11</v>
      </c>
      <c r="P13" s="1">
        <v>10</v>
      </c>
      <c r="Q13" s="1">
        <f>IF(540292&gt;0,100*4137/540292,"")</f>
        <v>0.7656970675116419</v>
      </c>
      <c r="R13" s="1">
        <f>IF(796478&gt;0,100*116756/796478,"")</f>
        <v>14.659036407785274</v>
      </c>
      <c r="S13" s="1">
        <f>IF(COUNT(Q13:R13)=2,R13-Q13,"")</f>
        <v>13.893339340273632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IF(664509&gt;0,100*126135/664509,"")</f>
        <v>18.981684220981204</v>
      </c>
      <c r="E14" s="1">
        <f>IF(COUNT(C14:D14)=2,D14-C14,"")</f>
        <v>-15.521742052780898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IF(606497&gt;0,100*42043/606497,"")</f>
        <v>6.932103538846853</v>
      </c>
      <c r="L14" s="1">
        <f>IF(COUNT(J14:K14)=2,K14-J14,"")</f>
        <v>3.6092952286434956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IF(508907&gt;0,100*33126/508907,"")</f>
        <v>6.509244321654054</v>
      </c>
      <c r="S14" s="1">
        <f>IF(COUNT(Q14:R14)=2,R14-Q14,"")</f>
        <v>-29.85396287506705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IF(531229&gt;0,100*25369/531229,"")</f>
        <v>4.775529950360391</v>
      </c>
      <c r="E15" s="1">
        <f>IF(COUNT(C15:D15)=2,D15-C15,"")</f>
        <v>-27.467655384718764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IF(828146&gt;0,100*190193/828146,"")</f>
        <v>22.966119500667755</v>
      </c>
      <c r="L15" s="1">
        <f>IF(COUNT(J15:K15)=2,K15-J15,"")</f>
        <v>-14.260228781346758</v>
      </c>
      <c r="O15" s="1">
        <v>13</v>
      </c>
      <c r="P15" s="1">
        <v>12</v>
      </c>
      <c r="Q15" s="1">
        <f>IF(521892&gt;0,100*47266/521892,"")</f>
        <v>9.0566630643888</v>
      </c>
      <c r="R15" s="1">
        <f>IF(631389&gt;0,100*73845/631389,"")</f>
        <v>11.69564246447119</v>
      </c>
      <c r="S15" s="1">
        <f>IF(COUNT(Q15:R15)=2,R15-Q15,"")</f>
        <v>2.6389794000823894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IF(526860&gt;0,100*24332/526860,"")</f>
        <v>4.618304672968151</v>
      </c>
      <c r="E16" s="1">
        <f>IF(COUNT(C16:D16)=2,D16-C16,"")</f>
        <v>-18.070760789754587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IF(891916&gt;0,100*209352/891916,"")</f>
        <v>23.472165540252668</v>
      </c>
      <c r="L16" s="1">
        <f>IF(COUNT(J16:K16)=2,K16-J16,"")</f>
        <v>1.3020437595409824</v>
      </c>
      <c r="O16" s="1">
        <v>14</v>
      </c>
      <c r="P16" s="1">
        <v>13</v>
      </c>
      <c r="Q16" s="1">
        <f>IF(385878&gt;0,100*7402/385878,"")</f>
        <v>1.9182228580017517</v>
      </c>
      <c r="R16" s="1">
        <f>IF(562497&gt;0,100*70281/562497,"")</f>
        <v>12.494466637155398</v>
      </c>
      <c r="S16" s="1">
        <f>IF(COUNT(Q16:R16)=2,R16-Q16,"")</f>
        <v>10.576243779153646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IF(1104047&gt;0,100*284731/1104047,"")</f>
        <v>25.78975351592822</v>
      </c>
      <c r="E17" s="1">
        <f>IF(COUNT(C17:D17)=2,D17-C17,"")</f>
        <v>-7.230402863401245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IF(1284884&gt;0,100*362751/1284884,"")</f>
        <v>28.232198393006684</v>
      </c>
      <c r="L17" s="1">
        <f>IF(COUNT(J17:K17)=2,K17-J17,"")</f>
        <v>-10.547151611538162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IF(1371236&gt;0,100*388144/1371236,"")</f>
        <v>28.30614132067711</v>
      </c>
      <c r="S17" s="1">
        <f>IF(COUNT(Q17:R17)=2,R17-Q17,"")</f>
        <v>-4.371261487554808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IF(1285976&gt;0,100*372388/1285976,"")</f>
        <v>28.95761662737096</v>
      </c>
      <c r="E18" s="1">
        <f>IF(COUNT(C18:D18)=2,D18-C18,"")</f>
        <v>-5.475656640982983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IF(865333&gt;0,100*145828/865333,"")</f>
        <v>16.852240698089638</v>
      </c>
      <c r="L18" s="1">
        <f>IF(COUNT(J18:K18)=2,K18-J18,"")</f>
        <v>-13.23100514613758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IF(905876&gt;0,100*142582/905876,"")</f>
        <v>15.739681810755556</v>
      </c>
      <c r="S18" s="1">
        <f>IF(COUNT(Q18:R18)=2,R18-Q18,"")</f>
        <v>-17.528341265349184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IF(293391&gt;0,100*3965/293391,"")</f>
        <v>1.351438864859522</v>
      </c>
      <c r="E19" s="1">
        <f>IF(COUNT(C19:D19)=2,D19-C19,"")</f>
        <v>-7.748615425690729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IF(1376200&gt;0,100*387403/1376200,"")</f>
        <v>28.150196192413894</v>
      </c>
      <c r="L19" s="1">
        <f>IF(COUNT(J19:K19)=2,K19-J19,"")</f>
        <v>-9.224568281881815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IF(1206564&gt;0,100*318663/1206564,"")</f>
        <v>26.41078301689757</v>
      </c>
      <c r="S19" s="1">
        <f>IF(COUNT(Q19:R19)=2,R19-Q19,"")</f>
        <v>5.1594352518557685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IF(338142&gt;0,100*3766/338142,"")</f>
        <v>1.1137332836500642</v>
      </c>
      <c r="E20" s="1">
        <f>IF(COUNT(C20:D20)=2,D20-C20,"")</f>
        <v>0.4303891683859906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IF(772562&gt;0,100*135133/772562,"")</f>
        <v>17.491541131973875</v>
      </c>
      <c r="L20" s="1">
        <f>IF(COUNT(J20:K20)=2,K20-J20,"")</f>
        <v>-7.773309998125917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IF(635405&gt;0,100*54544/635405,"")</f>
        <v>8.584131380772893</v>
      </c>
      <c r="S20" s="1">
        <f>IF(COUNT(Q20:R20)=2,R20-Q20,"")</f>
        <v>-20.87850271428058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IF(306001&gt;0,100*57038/306001,"")</f>
        <v>18.639808366639325</v>
      </c>
      <c r="E21" s="1">
        <f>IF(COUNT(C21:D21)=2,D21-C21,"")</f>
        <v>-16.82259549002264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IF(425095&gt;0,100*22766/425095,"")</f>
        <v>5.355508768628189</v>
      </c>
      <c r="L21" s="1">
        <f>IF(COUNT(J21:K21)=2,K21-J21,"")</f>
        <v>-10.109062298632997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IF(594685&gt;0,100*74581/594685,"")</f>
        <v>12.541261340037163</v>
      </c>
      <c r="S21" s="1">
        <f>IF(COUNT(Q21:R21)=2,R21-Q21,"")</f>
        <v>-6.756698689263832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IF(1033332&gt;0,100*245663/1033332,"")</f>
        <v>23.773869385637916</v>
      </c>
      <c r="E22" s="1">
        <f>IF(COUNT(C22:D22)=2,D22-C22,"")</f>
        <v>-9.02169696909369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IF(815152&gt;0,100*145479/815152,"")</f>
        <v>17.846855555773647</v>
      </c>
      <c r="L22" s="1">
        <f>IF(COUNT(J22:K22)=2,K22-J22,"")</f>
        <v>6.607865925590113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IF(127237&gt;0,100*6359/127237,"")</f>
        <v>4.997760085509718</v>
      </c>
      <c r="S22" s="1">
        <f>IF(COUNT(Q22:R22)=2,R22-Q22,"")</f>
        <v>-24.070420099848427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IF(756856&gt;0,100*142422/756856,"")</f>
        <v>18.817582208504657</v>
      </c>
      <c r="E23" s="1">
        <f>IF(COUNT(C23:D23)=2,D23-C23,"")</f>
        <v>-5.630422501028921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IF(972060&gt;0,100*227987/972060,"")</f>
        <v>23.454004896817068</v>
      </c>
      <c r="L23" s="1">
        <f>IF(COUNT(J23:K23)=2,K23-J23,"")</f>
        <v>-14.945066652648286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IF(1197201&gt;0,100*368004/1197201,"")</f>
        <v>30.73869801311559</v>
      </c>
      <c r="S23" s="1">
        <f>IF(COUNT(Q23:R23)=2,R23-Q23,"")</f>
        <v>7.317426872351973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IF(234114&gt;0,100*17903/234114,"")</f>
        <v>7.647129176384155</v>
      </c>
      <c r="E24" s="1">
        <f>IF(COUNT(C24:D24)=2,D24-C24,"")</f>
        <v>-26.70983563555712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IF(1331180&gt;0,100*317072/1331180,"")</f>
        <v>23.81886747096561</v>
      </c>
      <c r="L24" s="1">
        <f>IF(COUNT(J24:K24)=2,K24-J24,"")</f>
        <v>-7.058247084542899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IF(1104443&gt;0,100*281254/1104443,"")</f>
        <v>25.465687228765994</v>
      </c>
      <c r="S24" s="1">
        <f>IF(COUNT(Q24:R24)=2,R24-Q24,"")</f>
        <v>2.3278816651741927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IF(275846&gt;0,100*6131/275846,"")</f>
        <v>2.2226169674383534</v>
      </c>
      <c r="E25" s="1">
        <f>IF(COUNT(C25:D25)=2,D25-C25,"")</f>
        <v>1.9965937542434846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IF(992377&gt;0,100*184538/992377,"")</f>
        <v>18.595553907436386</v>
      </c>
      <c r="L25" s="1">
        <f>IF(COUNT(J25:K25)=2,K25-J25,"")</f>
        <v>0.08077495546114122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IF(714936&gt;0,100*79019/714936,"")</f>
        <v>11.052597715040227</v>
      </c>
      <c r="S25" s="1">
        <f>IF(COUNT(Q25:R25)=2,R25-Q25,"")</f>
        <v>-21.21717533863808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IF(713244&gt;0,100*109459/713244,"")</f>
        <v>15.346641542024889</v>
      </c>
      <c r="E26" s="1">
        <f>IF(COUNT(C26:D26)=2,D26-C26,"")</f>
        <v>-5.886900270385707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IF(579779&gt;0,100*47060/579779,"")</f>
        <v>8.116885916875223</v>
      </c>
      <c r="L26" s="1">
        <f>IF(COUNT(J26:K26)=2,K26-J26,"")</f>
        <v>-24.53658124493143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IF(498745&gt;0,100*10623/498745,"")</f>
        <v>2.129946164873833</v>
      </c>
      <c r="S26" s="1">
        <f>IF(COUNT(Q26:R26)=2,R26-Q26,"")</f>
        <v>-24.135178150790892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IF(1432395&gt;0,100*475546/1432395,"")</f>
        <v>33.19936190785363</v>
      </c>
      <c r="E27" s="1">
        <f>IF(COUNT(C27:D27)=2,D27-C27,"")</f>
        <v>-3.868479643542244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IF(381414&gt;0,100*4534/381414,"")</f>
        <v>1.1887345509079372</v>
      </c>
      <c r="L27" s="1">
        <f>IF(COUNT(J27:K27)=2,K27-J27,"")</f>
        <v>-19.350740455716153</v>
      </c>
      <c r="O27" s="1">
        <v>25</v>
      </c>
      <c r="P27" s="1">
        <v>24</v>
      </c>
      <c r="Q27" s="1">
        <f>IF(682080&gt;0,100*56444/682080,"")</f>
        <v>8.275275627492377</v>
      </c>
      <c r="R27" s="1">
        <f>IF(736079&gt;0,100*68696/736079,"")</f>
        <v>9.33269390921355</v>
      </c>
      <c r="S27" s="1">
        <f>IF(COUNT(Q27:R27)=2,R27-Q27,"")</f>
        <v>1.0574182817211728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IF(1163915&gt;0,100*339426/1163915,"")</f>
        <v>29.162438837887645</v>
      </c>
      <c r="E28" s="1">
        <f>IF(COUNT(C28:D28)=2,D28-C28,"")</f>
        <v>-10.829367430621542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IF(996599&gt;0,100*207252/996599,"")</f>
        <v>20.79592694754861</v>
      </c>
      <c r="L28" s="1">
        <f>IF(COUNT(J28:K28)=2,K28-J28,"")</f>
        <v>-11.168933251238286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IF(876890&gt;0,100*190540/876890,"")</f>
        <v>21.729065219126685</v>
      </c>
      <c r="S28" s="1">
        <f>IF(COUNT(Q28:R28)=2,R28-Q28,"")</f>
        <v>-9.671234630948277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IF(1216856&gt;0,100*366365/1216856,"")</f>
        <v>30.107506557883596</v>
      </c>
      <c r="E29" s="1">
        <f>IF(COUNT(C29:D29)=2,D29-C29,"")</f>
        <v>0.22798178571687444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IF(942108&gt;0,100*165419/942108,"")</f>
        <v>17.558390333167747</v>
      </c>
      <c r="L29" s="1">
        <f>IF(COUNT(J29:K29)=2,K29-J29,"")</f>
        <v>0.8955519290156282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IF(728940&gt;0,100*78563/728940,"")</f>
        <v>10.777704612176585</v>
      </c>
      <c r="S29" s="1">
        <f>IF(COUNT(Q29:R29)=2,R29-Q29,"")</f>
        <v>-28.92595638216526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IF(259814&gt;0,100*218/259814,"")</f>
        <v>0.08390617903577174</v>
      </c>
      <c r="E30" s="1">
        <f>IF(COUNT(C30:D30)=2,D30-C30,"")</f>
        <v>0.010765895205518475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IF(1013855&gt;0,100*213979/1013855,"")</f>
        <v>21.105483525750724</v>
      </c>
      <c r="L30" s="1">
        <f>IF(COUNT(J30:K30)=2,K30-J30,"")</f>
        <v>-12.565804326439842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IF(599250&gt;0,100*80307/599250,"")</f>
        <v>13.401251564455569</v>
      </c>
      <c r="S30" s="1">
        <f>IF(COUNT(Q30:R30)=2,R30-Q30,"")</f>
        <v>-14.502339489205673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IF(1164207&gt;0,100*338056/1164207,"")</f>
        <v>29.037447807821117</v>
      </c>
      <c r="E31" s="1">
        <f>IF(COUNT(C31:D31)=2,D31-C31,"")</f>
        <v>-7.1125449603742155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IF(1273890&gt;0,100*371073/1273890,"")</f>
        <v>29.12912417869675</v>
      </c>
      <c r="L31" s="1">
        <f>IF(COUNT(J31:K31)=2,K31-J31,"")</f>
        <v>-7.266742413214423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IF(1302443&gt;0,100*406311/1302443,"")</f>
        <v>31.196067697396355</v>
      </c>
      <c r="S31" s="1">
        <f>IF(COUNT(Q31:R31)=2,R31-Q31,"")</f>
        <v>-5.688617120299224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IF(897407&gt;0,100*190483/897407,"")</f>
        <v>21.225932046440466</v>
      </c>
      <c r="E32" s="1">
        <f>IF(COUNT(C32:D32)=2,D32-C32,"")</f>
        <v>-16.279920235123374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IF(459539&gt;0,100*24916/459539,"")</f>
        <v>5.421955481471649</v>
      </c>
      <c r="L32" s="1">
        <f>IF(COUNT(J32:K32)=2,K32-J32,"")</f>
        <v>-24.361609117054527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IF(532307&gt;0,100*47218/532307,"")</f>
        <v>8.870445062717566</v>
      </c>
      <c r="S32" s="1">
        <f>IF(COUNT(Q32:R32)=2,R32-Q32,"")</f>
        <v>-16.964285194990524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IF(635217&gt;0,100*34251/635217,"")</f>
        <v>5.392015641898753</v>
      </c>
      <c r="E33" s="1">
        <f>IF(COUNT(C33:D33)=2,D33-C33,"")</f>
        <v>3.7555586383371127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IF(1038540&gt;0,100*247567/1038540,"")</f>
        <v>23.83798409305371</v>
      </c>
      <c r="L33" s="1">
        <f>IF(COUNT(J33:K33)=2,K33-J33,"")</f>
        <v>-5.544867277406375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IF(1078372&gt;0,100*238483/1078372,"")</f>
        <v>22.11509571836064</v>
      </c>
      <c r="S33" s="1">
        <f>IF(COUNT(Q33:R33)=2,R33-Q33,"")</f>
        <v>-14.830964512356847</v>
      </c>
    </row>
    <row r="34" spans="1:19">
      <c r="A34" s="2" t="s">
        <v>6</v>
      </c>
      <c r="B34" s="1"/>
      <c r="C34" s="1">
        <f>IF(COUNT(C3:C33)&gt;0,AVERAGE(C3:C33),"")</f>
        <v>28.172990083851328</v>
      </c>
      <c r="D34" s="1">
        <f>IF(COUNT(D3:D33)&gt;0,AVERAGE(D3:D33),"")</f>
        <v>17.567046871619475</v>
      </c>
      <c r="E34" s="1">
        <f>IF(COUNT(E3:E33)&gt;0,AVERAGE(E3:E33),"")</f>
        <v>-10.605943212231848</v>
      </c>
      <c r="H34" s="2" t="s">
        <v>6</v>
      </c>
      <c r="I34" s="1"/>
      <c r="J34" s="1">
        <f>IF(COUNT(J3:J33)&gt;0,AVERAGE(J3:J33),"")</f>
        <v>23.261266503360552</v>
      </c>
      <c r="K34" s="1">
        <f>IF(COUNT(K3:K33)&gt;0,AVERAGE(K3:K33),"")</f>
        <v>16.89717031791037</v>
      </c>
      <c r="L34" s="1">
        <f>IF(COUNT(L3:L33)&gt;0,AVERAGE(L3:L33),"")</f>
        <v>-6.364096185450182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16.073541739184098</v>
      </c>
      <c r="S34" s="1">
        <f>IF(COUNT(S3:S33)&gt;0,AVERAGE(S3:S33),"")</f>
        <v>-8.677744512356176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IF(534172&gt;0,100*29867/534172,"")</f>
        <v>5.591270227567151</v>
      </c>
      <c r="E39" s="1">
        <f>IF(COUNT(C39:D39)=2,D39-C39,"")</f>
        <v>-7.465981403458448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IF(1359265&gt;0,100*378033/1359265,"")</f>
        <v>27.81157463776379</v>
      </c>
      <c r="L39" s="1">
        <f>IF(COUNT(J39:K39)=2,K39-J39,"")</f>
        <v>-3.4559323922134446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IF(1874781&gt;0,100*623392/1874781,"")</f>
        <v>33.25145710352302</v>
      </c>
      <c r="S39" s="1">
        <f>IF(COUNT(Q39:R39)=2,R39-Q39,"")</f>
        <v>14.87880595438082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IF(798797&gt;0,100*200955/798797,"")</f>
        <v>25.157205147240163</v>
      </c>
      <c r="E40" s="1">
        <f>IF(COUNT(C40:D40)=2,D40-C40,"")</f>
        <v>-4.076237156299612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IF(1055553&gt;0,100*235472/1055553,"")</f>
        <v>22.307927692877573</v>
      </c>
      <c r="L40" s="1">
        <f>IF(COUNT(J40:K40)=2,K40-J40,"")</f>
        <v>-15.787626564306262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IF(1902476&gt;0,100*593791/1902476,"")</f>
        <v>31.211484402431356</v>
      </c>
      <c r="S40" s="1">
        <f>IF(COUNT(Q40:R40)=2,R40-Q40,"")</f>
        <v>-10.2779595652373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IF(1442589&gt;0,100*435270/1442589,"")</f>
        <v>30.172835090244</v>
      </c>
      <c r="E41" s="1">
        <f>IF(COUNT(C41:D41)=2,D41-C41,"")</f>
        <v>-9.099983446954646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IF(357994&gt;0,100*12311/357994,"")</f>
        <v>3.438884450577384</v>
      </c>
      <c r="L41" s="1">
        <f>IF(COUNT(J41:K41)=2,K41-J41,"")</f>
        <v>-34.55419639450181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IF(1210603&gt;0,100*232808/1210603,"")</f>
        <v>19.230746991375373</v>
      </c>
      <c r="S41" s="1">
        <f>IF(COUNT(Q41:R41)=2,R41-Q41,"")</f>
        <v>-21.295124088218802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IF(2054&gt;0,100*624/2054,"")</f>
        <v>30.379746835443036</v>
      </c>
      <c r="E42" s="1">
        <f>IF(COUNT(C42:D42)=2,D42-C42,"")</f>
        <v>-11.614333030834267</v>
      </c>
      <c r="H42" s="1">
        <v>4</v>
      </c>
      <c r="I42" s="1">
        <v>3</v>
      </c>
      <c r="J42" s="1">
        <f>IF(778520&gt;0,100*44764/778520,"")</f>
        <v>5.749884396033499</v>
      </c>
      <c r="K42" s="1">
        <f>IF(1028242&gt;0,100*165945/1028242,"")</f>
        <v>16.13871053701366</v>
      </c>
      <c r="L42" s="1">
        <f>IF(COUNT(J42:K42)=2,K42-J42,"")</f>
        <v>10.388826140980163</v>
      </c>
      <c r="O42" s="1">
        <v>4</v>
      </c>
      <c r="P42" s="1">
        <v>3</v>
      </c>
      <c r="Q42" s="1">
        <f>IF(760183&gt;0,100*45060/760183,"")</f>
        <v>5.927520083979778</v>
      </c>
      <c r="R42" s="1">
        <f>IF(1068590&gt;0,100*232520/1068590,"")</f>
        <v>21.75951487474148</v>
      </c>
      <c r="S42" s="1">
        <f>IF(COUNT(Q42:R42)=2,R42-Q42,"")</f>
        <v>15.831994790761701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IF(2160693&gt;0,100*449451/2160693,"")</f>
        <v>20.801242934558495</v>
      </c>
      <c r="E43" s="1">
        <f>IF(COUNT(C43:D43)=2,D43-C43,"")</f>
        <v>3.067960720588875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IF(2057140&gt;0,100*616320/2057140,"")</f>
        <v>29.960041611168904</v>
      </c>
      <c r="L43" s="1">
        <f>IF(COUNT(J43:K43)=2,K43-J43,"")</f>
        <v>-12.165548906394285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IF(2092837&gt;0,100*657112/2092837,"")</f>
        <v>31.39814519716538</v>
      </c>
      <c r="S43" s="1">
        <f>IF(COUNT(Q43:R43)=2,R43-Q43,"")</f>
        <v>-15.817524915212207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IF(1198444&gt;0,100*311180/1198444,"")</f>
        <v>25.96533505111628</v>
      </c>
      <c r="E44" s="1">
        <f>IF(COUNT(C44:D44)=2,D44-C44,"")</f>
        <v>-17.88802358023482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IF(705797&gt;0,100*75503/705797,"")</f>
        <v>10.697551845644002</v>
      </c>
      <c r="L44" s="1">
        <f>IF(COUNT(J44:K44)=2,K44-J44,"")</f>
        <v>-30.910797064086132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IF(1430403&gt;0,100*276505/1430403,"")</f>
        <v>19.330566280971166</v>
      </c>
      <c r="S44" s="1">
        <f>IF(COUNT(Q44:R44)=2,R44-Q44,"")</f>
        <v>1.2336920438761254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IF(1447054&gt;0,100*345883/1447054,"")</f>
        <v>23.902563415048782</v>
      </c>
      <c r="E45" s="1">
        <f>IF(COUNT(C45:D45)=2,D45-C45,"")</f>
        <v>-21.111869740353775</v>
      </c>
      <c r="H45" s="1">
        <v>7</v>
      </c>
      <c r="I45" s="1">
        <v>6</v>
      </c>
      <c r="J45" s="1">
        <f>IF(545527&gt;0,100*1624/545527,"")</f>
        <v>0.2976937896749382</v>
      </c>
      <c r="K45" s="1">
        <f>IF(670015&gt;0,100*34825/670015,"")</f>
        <v>5.197644828847116</v>
      </c>
      <c r="L45" s="1">
        <f>IF(COUNT(J45:K45)=2,K45-J45,"")</f>
        <v>4.899951039172177</v>
      </c>
      <c r="O45" s="1">
        <v>7</v>
      </c>
      <c r="P45" s="1">
        <v>6</v>
      </c>
      <c r="Q45" s="1">
        <f>IF(700580&gt;0,100*18395/700580,"")</f>
        <v>2.6256815781209855</v>
      </c>
      <c r="R45" s="1">
        <f>IF(596621&gt;0,100*12146/596621,"")</f>
        <v>2.0357982705938946</v>
      </c>
      <c r="S45" s="1">
        <f>IF(COUNT(Q45:R45)=2,R45-Q45,"")</f>
        <v>-0.5898833075270908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IF(1109823&gt;0,100*210652/1109823,"")</f>
        <v>18.980684307317475</v>
      </c>
      <c r="E46" s="1">
        <f>IF(COUNT(C46:D46)=2,D46-C46,"")</f>
        <v>-22.306514679633707</v>
      </c>
      <c r="H46" s="1">
        <v>8</v>
      </c>
      <c r="I46" s="1">
        <v>7</v>
      </c>
      <c r="J46" s="1">
        <f>IF(453926&gt;0,100*2064/453926,"")</f>
        <v>0.45469966470305734</v>
      </c>
      <c r="K46" s="1">
        <f>IF(403463&gt;0,100*81/403463,"")</f>
        <v>0.020076190381769828</v>
      </c>
      <c r="L46" s="1">
        <f>IF(COUNT(J46:K46)=2,K46-J46,"")</f>
        <v>-0.4346234743212875</v>
      </c>
      <c r="O46" s="1">
        <v>8</v>
      </c>
      <c r="P46" s="1">
        <v>7</v>
      </c>
      <c r="Q46" s="1">
        <f>IF(505497&gt;0,100*20606/505497,"")</f>
        <v>4.076384231756074</v>
      </c>
      <c r="R46" s="1">
        <f>IF(504955&gt;0,100*6573/504955,"")</f>
        <v>1.3017001514986484</v>
      </c>
      <c r="S46" s="1">
        <f>IF(COUNT(Q46:R46)=2,R46-Q46,"")</f>
        <v>-2.7746840802574253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IF(886192&gt;0,100*115319/886192,"")</f>
        <v>13.012868543159946</v>
      </c>
      <c r="E47" s="1">
        <f>IF(COUNT(C47:D47)=2,D47-C47,"")</f>
        <v>-34.23142250224462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IF(2045399&gt;0,100*670831/2045399,"")</f>
        <v>32.79707284495592</v>
      </c>
      <c r="L47" s="1">
        <f>IF(COUNT(J47:K47)=2,K47-J47,"")</f>
        <v>-9.841228007999433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IF(1409463&gt;0,100*275800/1409463,"")</f>
        <v>19.56773608104647</v>
      </c>
      <c r="S47" s="1">
        <f>IF(COUNT(Q47:R47)=2,R47-Q47,"")</f>
        <v>-25.4458104830875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IF(523697&gt;0,100*19780/523697,"")</f>
        <v>3.7769931849905576</v>
      </c>
      <c r="E48" s="1">
        <f>IF(COUNT(C48:D48)=2,D48-C48,"")</f>
        <v>-25.499881584126545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IF(781033&gt;0,100*20146/781033,"")</f>
        <v>2.579404455381527</v>
      </c>
      <c r="L48" s="1">
        <f>IF(COUNT(J48:K48)=2,K48-J48,"")</f>
        <v>-41.27686908386046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IF(1027921&gt;0,100*160920/1027921,"")</f>
        <v>15.654899549673564</v>
      </c>
      <c r="S48" s="1">
        <f>IF(COUNT(Q48:R48)=2,R48-Q48,"")</f>
        <v>-13.743263499465895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IF(1338945&gt;0,100*406704/1338945,"")</f>
        <v>30.37495938966873</v>
      </c>
      <c r="E49" s="1">
        <f>IF(COUNT(C49:D49)=2,D49-C49,"")</f>
        <v>-12.291792072885613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IF(710176&gt;0,100*30131/710176,"")</f>
        <v>4.242751092686883</v>
      </c>
      <c r="L49" s="1">
        <f>IF(COUNT(J49:K49)=2,K49-J49,"")</f>
        <v>-29.983257918068457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IF(924128&gt;0,100*47685/924128,"")</f>
        <v>5.159999480591433</v>
      </c>
      <c r="S49" s="1">
        <f>IF(COUNT(Q49:R49)=2,R49-Q49,"")</f>
        <v>-36.738936588473756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IF(668649&gt;0,100*129450/668649,"")</f>
        <v>19.359933238515275</v>
      </c>
      <c r="E50" s="1">
        <f>IF(COUNT(C50:D50)=2,D50-C50,"")</f>
        <v>-19.66930630164356</v>
      </c>
      <c r="H50" s="1">
        <v>12</v>
      </c>
      <c r="I50" s="1">
        <v>11</v>
      </c>
      <c r="J50" s="1">
        <f>IF(16409&gt;0,100*2109/16409,"")</f>
        <v>12.85270278505698</v>
      </c>
      <c r="K50" s="1">
        <f>IF(709452&gt;0,100*22489/709452,"")</f>
        <v>3.1699114245925024</v>
      </c>
      <c r="L50" s="1">
        <f>IF(COUNT(J50:K50)=2,K50-J50,"")</f>
        <v>-9.682791360464478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IF(1134959&gt;0,100*136438/1134959,"")</f>
        <v>12.021403416334863</v>
      </c>
      <c r="S50" s="1">
        <f>IF(COUNT(Q50:R50)=2,R50-Q50,"")</f>
        <v>-27.082601179665154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IF(1366243&gt;0,100*383523/1366243,"")</f>
        <v>28.071360658389466</v>
      </c>
      <c r="E51" s="1">
        <f>IF(COUNT(C51:D51)=2,D51-C51,"")</f>
        <v>-16.06469739959968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IF(788588&gt;0,100*68135/788588,"")</f>
        <v>8.640126403140803</v>
      </c>
      <c r="L51" s="1">
        <f>IF(COUNT(J51:K51)=2,K51-J51,"")</f>
        <v>-2.070784223571799</v>
      </c>
      <c r="O51" s="1">
        <v>13</v>
      </c>
      <c r="P51" s="1">
        <v>12</v>
      </c>
      <c r="Q51" s="1">
        <f>IF(609443&gt;0,100*13444/609443,"")</f>
        <v>2.20594871054389</v>
      </c>
      <c r="R51" s="1">
        <f>IF(632297&gt;0,100*16931/632297,"")</f>
        <v>2.677697347923523</v>
      </c>
      <c r="S51" s="1">
        <f>IF(COUNT(Q51:R51)=2,R51-Q51,"")</f>
        <v>0.4717486373796329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IF(419006&gt;0,100*13839/419006,"")</f>
        <v>3.302816666109793</v>
      </c>
      <c r="E52" s="1">
        <f>IF(COUNT(C52:D52)=2,D52-C52,"")</f>
        <v>2.8995197635988728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IF(1291718&gt;0,100*288472/1291718,"")</f>
        <v>22.332428595095834</v>
      </c>
      <c r="L52" s="1">
        <f>IF(COUNT(J52:K52)=2,K52-J52,"")</f>
        <v>-10.479028808200312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IF(445650&gt;0,100*1823/445650,"")</f>
        <v>0.4090654100751711</v>
      </c>
      <c r="S52" s="1">
        <f>IF(COUNT(Q52:R52)=2,R52-Q52,"")</f>
        <v>-21.292813470660253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IF(772915&gt;0,100*183165/772915,"")</f>
        <v>23.69794867482194</v>
      </c>
      <c r="E53" s="1">
        <f>IF(COUNT(C53:D53)=2,D53-C53,"")</f>
        <v>-7.5305687787022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IF(1430027&gt;0,100*294765/1430027,"")</f>
        <v>20.612547874970193</v>
      </c>
      <c r="L53" s="1">
        <f>IF(COUNT(J53:K53)=2,K53-J53,"")</f>
        <v>-10.180004131513062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IF(1844051&gt;0,100*527350/1844051,"")</f>
        <v>28.59736525725156</v>
      </c>
      <c r="S53" s="1">
        <f>IF(COUNT(Q53:R53)=2,R53-Q53,"")</f>
        <v>-19.512288964516927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IF(1796586&gt;0,100*665187/1796586,"")</f>
        <v>37.02505752577388</v>
      </c>
      <c r="E54" s="1">
        <f>IF(COUNT(C54:D54)=2,D54-C54,"")</f>
        <v>-5.2032487564866585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IF(1489959&gt;0,100*374811/1489959,"")</f>
        <v>25.155792877522135</v>
      </c>
      <c r="L54" s="1">
        <f>IF(COUNT(J54:K54)=2,K54-J54,"")</f>
        <v>-18.037857582882754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IF(1110338&gt;0,100*162635/1110338,"")</f>
        <v>14.647341620299404</v>
      </c>
      <c r="S54" s="1">
        <f>IF(COUNT(Q54:R54)=2,R54-Q54,"")</f>
        <v>-30.694279308447417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IF(425866&gt;0,100*17325/425866,"")</f>
        <v>4.068181071041126</v>
      </c>
      <c r="E55" s="1">
        <f>IF(COUNT(C55:D55)=2,D55-C55,"")</f>
        <v>2.4473294117048603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IF(693693&gt;0,100*47410/693693,"")</f>
        <v>6.834435405863977</v>
      </c>
      <c r="L55" s="1">
        <f>IF(COUNT(J55:K55)=2,K55-J55,"")</f>
        <v>-29.547694784884754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IF(1853926&gt;0,100*498255/1853926,"")</f>
        <v>26.875668176615463</v>
      </c>
      <c r="S55" s="1">
        <f>IF(COUNT(Q55:R55)=2,R55-Q55,"")</f>
        <v>-8.29397300560084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IF(426754&gt;0,100*4652/426754,"")</f>
        <v>1.090089372331601</v>
      </c>
      <c r="E56" s="1">
        <f>IF(COUNT(C56:D56)=2,D56-C56,"")</f>
        <v>-13.213724248785505</v>
      </c>
      <c r="H56" s="1">
        <v>18</v>
      </c>
      <c r="I56" s="1">
        <v>17</v>
      </c>
      <c r="J56" s="1">
        <f>IF(2215&gt;0,100*355/2215,"")</f>
        <v>16.02708803611738</v>
      </c>
      <c r="K56" s="1">
        <f>IF(1343021&gt;0,100*301229/1343021,"")</f>
        <v>22.429209967677348</v>
      </c>
      <c r="L56" s="1">
        <f>IF(COUNT(J56:K56)=2,K56-J56,"")</f>
        <v>6.402121931559968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IF(827736&gt;0,100*54327/827736,"")</f>
        <v>6.563324538258575</v>
      </c>
      <c r="S56" s="1">
        <f>IF(COUNT(Q56:R56)=2,R56-Q56,"")</f>
        <v>-40.465126017003186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IF(1741404&gt;0,100*589106/1741404,"")</f>
        <v>33.82936986477578</v>
      </c>
      <c r="E57" s="1">
        <f>IF(COUNT(C57:D57)=2,D57-C57,"")</f>
        <v>-5.7103603565889145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IF(1338568&gt;0,100*299032/1338568,"")</f>
        <v>22.339694359942865</v>
      </c>
      <c r="L57" s="1">
        <f>IF(COUNT(J57:K57)=2,K57-J57,"")</f>
        <v>-11.512824208835166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IF(889585&gt;0,100*124336/889585,"")</f>
        <v>13.97685437591686</v>
      </c>
      <c r="S57" s="1">
        <f>IF(COUNT(Q57:R57)=2,R57-Q57,"")</f>
        <v>-18.317500770435338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IF(1227321&gt;0,100*283526/1227321,"")</f>
        <v>23.101209870930262</v>
      </c>
      <c r="E58" s="1">
        <f>IF(COUNT(C58:D58)=2,D58-C58,"")</f>
        <v>-19.84100956936736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IF(1280598&gt;0,100*276918/1280598,"")</f>
        <v>21.624116233197302</v>
      </c>
      <c r="L58" s="1">
        <f>IF(COUNT(J58:K58)=2,K58-J58,"")</f>
        <v>-22.29432415744512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IF(1454856&gt;0,100*379012/1454856,"")</f>
        <v>26.05151300197408</v>
      </c>
      <c r="S58" s="1">
        <f>IF(COUNT(Q58:R58)=2,R58-Q58,"")</f>
        <v>-16.199387839308216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IF(1095540&gt;0,100*295115/1095540,"")</f>
        <v>26.93785712981726</v>
      </c>
      <c r="E59" s="1">
        <f>IF(COUNT(C59:D59)=2,D59-C59,"")</f>
        <v>-5.460845834498521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IF(978063&gt;0,100*153062/978063,"")</f>
        <v>15.649503150615041</v>
      </c>
      <c r="L59" s="1">
        <f>IF(COUNT(J59:K59)=2,K59-J59,"")</f>
        <v>-21.901899699787357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IF(2235417&gt;0,100*650588/2235417,"")</f>
        <v>29.103652696566233</v>
      </c>
      <c r="S59" s="1">
        <f>IF(COUNT(Q59:R59)=2,R59-Q59,"")</f>
        <v>-12.882577865739929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IF(1376620&gt;0,100*440789/1376620,"")</f>
        <v>32.01965684066772</v>
      </c>
      <c r="E60" s="1">
        <f>IF(COUNT(C60:D60)=2,D60-C60,"")</f>
        <v>-12.89041908410747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IF(1453544&gt;0,100*365442/1453544,"")</f>
        <v>25.141447386525623</v>
      </c>
      <c r="L60" s="1">
        <f>IF(COUNT(J60:K60)=2,K60-J60,"")</f>
        <v>-19.638986518273246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IF(1914&gt;0,100*550/1914,"")</f>
        <v>28.735632183908045</v>
      </c>
      <c r="S60" s="1">
        <f>IF(COUNT(Q60:R60)=2,R60-Q60,"")</f>
        <v>-5.4884380913387645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IF(360722&gt;0,100*1642/360722,"")</f>
        <v>0.45519818586057964</v>
      </c>
      <c r="E61" s="1">
        <f>IF(COUNT(C61:D61)=2,D61-C61,"")</f>
        <v>0.21825597561647864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IF(2049027&gt;0,100*692356/2049027,"")</f>
        <v>33.78950106562773</v>
      </c>
      <c r="L61" s="1">
        <f>IF(COUNT(J61:K61)=2,K61-J61,"")</f>
        <v>-14.61611314700641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IF(1869233&gt;0,100*532737/1869233,"")</f>
        <v>28.50029932063044</v>
      </c>
      <c r="S61" s="1">
        <f>IF(COUNT(Q61:R61)=2,R61-Q61,"")</f>
        <v>-6.5522809410042555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IF(539509&gt;0,100*30531/539509,"")</f>
        <v>5.659034418332224</v>
      </c>
      <c r="E62" s="1">
        <f>IF(COUNT(C62:D62)=2,D62-C62,"")</f>
        <v>-15.284213361789687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IF(151392&gt;0,100*4453/151392,"")</f>
        <v>2.9413707461424647</v>
      </c>
      <c r="L62" s="1">
        <f>IF(COUNT(J62:K62)=2,K62-J62,"")</f>
        <v>-41.682934900141476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IF(1264434&gt;0,100*267471/1264434,"")</f>
        <v>21.15341726021287</v>
      </c>
      <c r="S62" s="1">
        <f>IF(COUNT(Q62:R62)=2,R62-Q62,"")</f>
        <v>-7.741226395575389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IF(1490289&gt;0,100*518847/1490289,"")</f>
        <v>34.815193563127686</v>
      </c>
      <c r="E63" s="1">
        <f>IF(COUNT(C63:D63)=2,D63-C63,"")</f>
        <v>5.575170063672964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IF(1328987&gt;0,100*263476/1328987,"")</f>
        <v>19.82532560514136</v>
      </c>
      <c r="L63" s="1">
        <f>IF(COUNT(J63:K63)=2,K63-J63,"")</f>
        <v>-24.74565440586222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IF(1361613&gt;0,100*354993/1361613,"")</f>
        <v>26.071504898969092</v>
      </c>
      <c r="S63" s="1">
        <f>IF(COUNT(Q63:R63)=2,R63-Q63,"")</f>
        <v>-17.603183282680657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IF(993815&gt;0,100*231357/993815,"")</f>
        <v>23.279684850802212</v>
      </c>
      <c r="E64" s="1">
        <f>IF(COUNT(C64:D64)=2,D64-C64,"")</f>
        <v>-23.111495470849746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IF(1300361&gt;0,100*320966/1300361,"")</f>
        <v>24.682838073427302</v>
      </c>
      <c r="L64" s="1">
        <f>IF(COUNT(J64:K64)=2,K64-J64,"")</f>
        <v>-7.3258294894225635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IF(1472158&gt;0,100*360860/1472158,"")</f>
        <v>24.512314574930137</v>
      </c>
      <c r="S64" s="1">
        <f>IF(COUNT(Q64:R64)=2,R64-Q64,"")</f>
        <v>-19.892538928410154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IF(1536493&gt;0,100*383632/1536493,"")</f>
        <v>24.9680278400227</v>
      </c>
      <c r="E65" s="1">
        <f>IF(COUNT(C65:D65)=2,D65-C65,"")</f>
        <v>-12.376539661705507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IF(1577504&gt;0,100*370461/1577504,"")</f>
        <v>23.483997504919163</v>
      </c>
      <c r="L65" s="1">
        <f>IF(COUNT(J65:K65)=2,K65-J65,"")</f>
        <v>-11.418074625921616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IF(1168841&gt;0,100*194082/1168841,"")</f>
        <v>16.604653669746355</v>
      </c>
      <c r="S65" s="1">
        <f>IF(COUNT(Q65:R65)=2,R65-Q65,"")</f>
        <v>-17.761630804997992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IF(342335&gt;0,100*651/342335,"")</f>
        <v>0.19016460484613026</v>
      </c>
      <c r="E66" s="1">
        <f>IF(COUNT(C66:D66)=2,D66-C66,"")</f>
        <v>0.09052401226219549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IF(1583130&gt;0,100*382228/1583130,"")</f>
        <v>24.143816363785664</v>
      </c>
      <c r="L66" s="1">
        <f>IF(COUNT(J66:K66)=2,K66-J66,"")</f>
        <v>-15.073568337906853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IF(1526556&gt;0,100*418734/1526556,"")</f>
        <v>27.429979640445552</v>
      </c>
      <c r="S66" s="1">
        <f>IF(COUNT(Q66:R66)=2,R66-Q66,"")</f>
        <v>-3.4341132918232127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IF(1451054&gt;0,100*455276/1451054,"")</f>
        <v>31.375538057163965</v>
      </c>
      <c r="E67" s="1">
        <f>IF(COUNT(C67:D67)=2,D67-C67,"")</f>
        <v>-3.475220024335819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IF(1489593&gt;0,100*363481/1489593,"")</f>
        <v>24.40136332541842</v>
      </c>
      <c r="L67" s="1">
        <f>IF(COUNT(J67:K67)=2,K67-J67,"")</f>
        <v>-21.343587371335342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IF(2020535&gt;0,100*672944/2020535,"")</f>
        <v>33.30523846407016</v>
      </c>
      <c r="S67" s="1">
        <f>IF(COUNT(Q67:R67)=2,R67-Q67,"")</f>
        <v>-7.626691815864575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IF(1383980&gt;0,100*388146/1383980,"")</f>
        <v>28.04563649763725</v>
      </c>
      <c r="E68" s="1">
        <f>IF(COUNT(C68:D68)=2,D68-C68,"")</f>
        <v>-14.764463528850062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IF(1195754&gt;0,100*215762/1195754,"")</f>
        <v>18.044012397198756</v>
      </c>
      <c r="L68" s="1">
        <f>IF(COUNT(J68:K68)=2,K68-J68,"")</f>
        <v>-18.769515233731767</v>
      </c>
      <c r="O68" s="1">
        <v>30</v>
      </c>
      <c r="P68" s="1">
        <v>29</v>
      </c>
      <c r="Q68" s="1">
        <f>IF(653286&gt;0,100*39372/653286,"")</f>
        <v>6.026763163453679</v>
      </c>
      <c r="R68" s="1">
        <f>IF(1002544&gt;0,100*202081/1002544,"")</f>
        <v>20.156821047255782</v>
      </c>
      <c r="S68" s="1">
        <f>IF(COUNT(Q68:R68)=2,R68-Q68,"")</f>
        <v>14.130057883802102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IF(448581&gt;0,100*40790/448581,"")</f>
        <v>9.09311807677989</v>
      </c>
      <c r="E69" s="1">
        <f>IF(COUNT(C69:D69)=2,D69-C69,"")</f>
        <v>8.79748618875801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IF(984677&gt;0,100*98950/984677,"")</f>
        <v>10.048980528640357</v>
      </c>
      <c r="L69" s="1">
        <f>IF(COUNT(J69:K69)=2,K69-J69,"")</f>
        <v>-25.327871786374345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IF(1565959&gt;0,100*435449/1565959,"")</f>
        <v>27.807177582554843</v>
      </c>
      <c r="S69" s="1">
        <f>IF(COUNT(Q69:R69)=2,R69-Q69,"")</f>
        <v>-4.81315588058235</v>
      </c>
    </row>
    <row r="70" spans="1:19">
      <c r="A70" s="2" t="s">
        <v>6</v>
      </c>
      <c r="B70" s="1"/>
      <c r="C70" s="1">
        <f>IF(COUNT(C39:C69)&gt;0,AVERAGE(C39:C69),"")</f>
        <v>30.180215695878584</v>
      </c>
      <c r="D70" s="1">
        <f>IF(COUNT(D39:D69)&gt;0,AVERAGE(D39:D69),"")</f>
        <v>19.95163810110004</v>
      </c>
      <c r="E70" s="1">
        <f>IF(COUNT(E39:E69)&gt;0,AVERAGE(E39:E69),"")</f>
        <v>-10.228577594778532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17.112324499249787</v>
      </c>
      <c r="L70" s="1">
        <f>IF(COUNT(L39:L69)&gt;0,AVERAGE(L39:L69),"")</f>
        <v>-15.882855660245161</v>
      </c>
      <c r="O70" s="2" t="s">
        <v>6</v>
      </c>
      <c r="P70" s="1"/>
      <c r="Q70" s="1">
        <f>IF(COUNT(Q39:Q69)&gt;0,AVERAGE(Q39:Q69),"")</f>
        <v>31.641731223822106</v>
      </c>
      <c r="R70" s="1">
        <f>IF(COUNT(R39:R69)&gt;0,AVERAGE(R39:R69),"")</f>
        <v>19.842031382824217</v>
      </c>
      <c r="S70" s="1">
        <f>IF(COUNT(S39:S69)&gt;0,AVERAGE(S39:S69),"")</f>
        <v>-11.799699840997876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IF(874805&gt;0,100*194083/874805,"")</f>
        <v>22.185858562765418</v>
      </c>
      <c r="E75" s="1">
        <f>IF(COUNT(C75:D75)=2,D75-C75,"")</f>
        <v>19.47069455043579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IF(946535&gt;0,100*95769/946535,"")</f>
        <v>10.117850898276345</v>
      </c>
      <c r="L75" s="1">
        <f>IF(COUNT(J75:K75)=2,K75-J75,"")</f>
        <v>-43.18319935764234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IF(2293098&gt;0,100*560427/2293098,"")</f>
        <v>24.43973175154311</v>
      </c>
      <c r="S75" s="1">
        <f>IF(COUNT(Q75:R75)=2,R75-Q75,"")</f>
        <v>-19.641629475089328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IF(1588378&gt;0,100*485023/1588378,"")</f>
        <v>30.535741492264435</v>
      </c>
      <c r="E76" s="1">
        <f>IF(COUNT(C76:D76)=2,D76-C76,"")</f>
        <v>-6.4951893905415545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IF(1702054&gt;0,100*507446/1702054,"")</f>
        <v>29.813742689714896</v>
      </c>
      <c r="L76" s="1">
        <f>IF(COUNT(J76:K76)=2,K76-J76,"")</f>
        <v>-13.690515259520613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IF(2373625&gt;0,100*908079/2373625,"")</f>
        <v>38.25705408394334</v>
      </c>
      <c r="S76" s="1">
        <f>IF(COUNT(Q76:R76)=2,R76-Q76,"")</f>
        <v>-2.6041166961025866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IF(624810&gt;0,100*91062/624810,"")</f>
        <v>14.574350602583186</v>
      </c>
      <c r="E77" s="1">
        <f>IF(COUNT(C77:D77)=2,D77-C77,"")</f>
        <v>-24.66485959358277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IF(2482077&gt;0,100*892253/2482077,"")</f>
        <v>35.94783723470303</v>
      </c>
      <c r="L77" s="1">
        <f>IF(COUNT(J77:K77)=2,K77-J77,"")</f>
        <v>-6.5158408105857575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IF(1797273&gt;0,100*476375/1797273,"")</f>
        <v>26.505433509544737</v>
      </c>
      <c r="S77" s="1">
        <f>IF(COUNT(Q77:R77)=2,R77-Q77,"")</f>
        <v>22.556252428877357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IF(1575215&gt;0,100*532915/1575215,"")</f>
        <v>33.83125478109338</v>
      </c>
      <c r="E78" s="1">
        <f>IF(COUNT(C78:D78)=2,D78-C78,"")</f>
        <v>-11.444575847730682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IF(810700&gt;0,100*105798/810700,"")</f>
        <v>13.050203527815468</v>
      </c>
      <c r="L78" s="1">
        <f>IF(COUNT(J78:K78)=2,K78-J78,"")</f>
        <v>-34.46367810364229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IF(928517&gt;0,100*35381/928517,"")</f>
        <v>3.8104848914990246</v>
      </c>
      <c r="S78" s="1">
        <f>IF(COUNT(Q78:R78)=2,R78-Q78,"")</f>
        <v>-48.96719345716806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IF(936236&gt;0,100*174243/936236,"")</f>
        <v>18.61101260793219</v>
      </c>
      <c r="E79" s="1">
        <f>IF(COUNT(C79:D79)=2,D79-C79,"")</f>
        <v>-30.138382070883218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IF(2965829&gt;0,100*1117733/2965829,"")</f>
        <v>37.68703455256524</v>
      </c>
      <c r="L79" s="1">
        <f>IF(COUNT(J79:K79)=2,K79-J79,"")</f>
        <v>-9.134306139565076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IF(2616407&gt;0,100*971999/2616407,"")</f>
        <v>37.15014521823248</v>
      </c>
      <c r="S79" s="1">
        <f>IF(COUNT(Q79:R79)=2,R79-Q79,"")</f>
        <v>-11.782098328013753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IF(1365791&gt;0,100*325623/1365791,"")</f>
        <v>23.841349079031858</v>
      </c>
      <c r="E80" s="1">
        <f>IF(COUNT(C80:D80)=2,D80-C80,"")</f>
        <v>-14.866740968439899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IF(1596204&gt;0,100*386355/1596204,"")</f>
        <v>24.20461294421014</v>
      </c>
      <c r="L80" s="1">
        <f>IF(COUNT(J80:K80)=2,K80-J80,"")</f>
        <v>-15.095720254307807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IF(1662911&gt;0,100*424270/1662911,"")</f>
        <v>25.513692554802994</v>
      </c>
      <c r="S80" s="1">
        <f>IF(COUNT(Q80:R80)=2,R80-Q80,"")</f>
        <v>-17.305006334441735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IF(1498053&gt;0,100*369648/1498053,"")</f>
        <v>24.675228446523587</v>
      </c>
      <c r="E81" s="1">
        <f>IF(COUNT(C81:D81)=2,D81-C81,"")</f>
        <v>-17.449256150908358</v>
      </c>
      <c r="H81" s="1">
        <v>7</v>
      </c>
      <c r="I81" s="1">
        <v>6</v>
      </c>
      <c r="J81" s="1">
        <f>IF(710153&gt;0,100*3904/710153,"")</f>
        <v>0.5497406896823642</v>
      </c>
      <c r="K81" s="1">
        <f>IF(1080739&gt;0,100*132207/1080739,"")</f>
        <v>12.233018332825964</v>
      </c>
      <c r="L81" s="1">
        <f>IF(COUNT(J81:K81)=2,K81-J81,"")</f>
        <v>11.6832776431436</v>
      </c>
      <c r="O81" s="1">
        <v>7</v>
      </c>
      <c r="P81" s="1">
        <v>6</v>
      </c>
      <c r="Q81" s="1">
        <f>IF(528040&gt;0,100*6901/528040,"")</f>
        <v>1.3069085675327627</v>
      </c>
      <c r="R81" s="1">
        <f>IF(1277207&gt;0,100*314852/1277207,"")</f>
        <v>24.651603068257533</v>
      </c>
      <c r="S81" s="1">
        <f>IF(COUNT(Q81:R81)=2,R81-Q81,"")</f>
        <v>23.34469450072477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IF(1626354&gt;0,100*529183/1626354,"")</f>
        <v>32.53799603284402</v>
      </c>
      <c r="E82" s="1">
        <f>IF(COUNT(C82:D82)=2,D82-C82,"")</f>
        <v>-14.101438841969632</v>
      </c>
      <c r="H82" s="1">
        <v>8</v>
      </c>
      <c r="I82" s="1">
        <v>7</v>
      </c>
      <c r="J82" s="1">
        <f>IF(619510&gt;0,100*7411/619510,"")</f>
        <v>1.1962680182725056</v>
      </c>
      <c r="K82" s="1">
        <f>IF(504756&gt;0,100*1289/504756,"")</f>
        <v>0.25537091188613903</v>
      </c>
      <c r="L82" s="1">
        <f>IF(COUNT(J82:K82)=2,K82-J82,"")</f>
        <v>-0.9408971063863666</v>
      </c>
      <c r="O82" s="1">
        <v>8</v>
      </c>
      <c r="P82" s="1">
        <v>7</v>
      </c>
      <c r="Q82" s="1">
        <f>IF(665002&gt;0,100*8971/665002,"")</f>
        <v>1.3490184991924836</v>
      </c>
      <c r="R82" s="1">
        <f>IF(531706&gt;0,100*2397/531706,"")</f>
        <v>0.45081304329836414</v>
      </c>
      <c r="S82" s="1">
        <f>IF(COUNT(Q82:R82)=2,R82-Q82,"")</f>
        <v>-0.8982054558941195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IF(1659942&gt;0,100*469112/1659942,"")</f>
        <v>28.260746459816065</v>
      </c>
      <c r="E83" s="1">
        <f>IF(COUNT(C83:D83)=2,D83-C83,"")</f>
        <v>-3.942670746196928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IF(2541884&gt;0,100*899364/2541884,"")</f>
        <v>35.381787681892646</v>
      </c>
      <c r="L83" s="1">
        <f>IF(COUNT(J83:K83)=2,K83-J83,"")</f>
        <v>-9.503550268692202</v>
      </c>
      <c r="O83" s="1">
        <v>9</v>
      </c>
      <c r="P83" s="1">
        <v>8</v>
      </c>
      <c r="Q83" s="1">
        <f>IF(1967808&gt;0,100*766923/1967808,"")</f>
        <v>38.9734669236023</v>
      </c>
      <c r="R83" s="1">
        <f>IF(2708727&gt;0,100*947333/2708727,"")</f>
        <v>34.97336571754924</v>
      </c>
      <c r="S83" s="1">
        <f>IF(COUNT(Q83:R83)=2,R83-Q83,"")</f>
        <v>-4.00010120605306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IF(124327&gt;0,100*9713/124327,"")</f>
        <v>7.8124622970070865</v>
      </c>
      <c r="E84" s="1">
        <f>IF(COUNT(C84:D84)=2,D84-C84,"")</f>
        <v>6.1191556596611925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IF(1035452&gt;0,100*89201/1035452,"")</f>
        <v>8.614691941297133</v>
      </c>
      <c r="L84" s="1">
        <f>IF(COUNT(J84:K84)=2,K84-J84,"")</f>
        <v>-41.57231789162302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IF(1035575&gt;0,100*94901/1035575,"")</f>
        <v>9.164087584192357</v>
      </c>
      <c r="S84" s="1">
        <f>IF(COUNT(Q84:R84)=2,R84-Q84,"")</f>
        <v>-6.848396646928267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IF(1803172&gt;0,100*610772/1803172,"")</f>
        <v>33.872087632239186</v>
      </c>
      <c r="E85" s="1">
        <f>IF(COUNT(C85:D85)=2,D85-C85,"")</f>
        <v>-13.941151730677014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IF(1696402&gt;0,100*331059/1696402,"")</f>
        <v>19.515362514309697</v>
      </c>
      <c r="L85" s="1">
        <f>IF(COUNT(J85:K85)=2,K85-J85,"")</f>
        <v>-35.928874602256485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IF(2504715&gt;0,100*764525/2504715,"")</f>
        <v>30.523432805728397</v>
      </c>
      <c r="S85" s="1">
        <f>IF(COUNT(Q85:R85)=2,R85-Q85,"")</f>
        <v>-18.07693774658697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IF(1910855&gt;0,100*640168/1910855,"")</f>
        <v>33.501652401673596</v>
      </c>
      <c r="E86" s="1">
        <f>IF(COUNT(C86:D86)=2,D86-C86,"")</f>
        <v>-9.726507846711165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IF(1140049&gt;0,100*53677/1140049,"")</f>
        <v>4.708306397356605</v>
      </c>
      <c r="L86" s="1">
        <f>IF(COUNT(J86:K86)=2,K86-J86,"")</f>
        <v>-42.95515244658925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IF(1610450&gt;0,100*378677/1610450,"")</f>
        <v>23.513738396100468</v>
      </c>
      <c r="S86" s="1">
        <f>IF(COUNT(Q86:R86)=2,R86-Q86,"")</f>
        <v>-25.1264308464386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IF(713232&gt;0,100*5597/713232,"")</f>
        <v>0.7847376449738654</v>
      </c>
      <c r="E87" s="1">
        <f>IF(COUNT(C87:D87)=2,D87-C87,"")</f>
        <v>-27.399912058544086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IF(2183355&gt;0,100*702753/2183355,"")</f>
        <v>32.18684089394533</v>
      </c>
      <c r="L87" s="1">
        <f>IF(COUNT(J87:K87)=2,K87-J87,"")</f>
        <v>-12.406572867703375</v>
      </c>
      <c r="O87" s="1">
        <v>13</v>
      </c>
      <c r="P87" s="1">
        <v>12</v>
      </c>
      <c r="Q87" s="1">
        <f>IF(818878&gt;0,100*7212/818878,"")</f>
        <v>0.8807172741238621</v>
      </c>
      <c r="R87" s="1">
        <f>IF(1196020&gt;0,100*136154/1196020,"")</f>
        <v>11.38392334576345</v>
      </c>
      <c r="S87" s="1">
        <f>IF(COUNT(Q87:R87)=2,R87-Q87,"")</f>
        <v>10.503206071639587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IF(747385&gt;0,100*148727/747385,"")</f>
        <v>19.89965011339537</v>
      </c>
      <c r="E88" s="1">
        <f>IF(COUNT(C88:D88)=2,D88-C88,"")</f>
        <v>-0.5952178930960947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IF(519607&gt;0,100*486/519607,"")</f>
        <v>0.0935322272409725</v>
      </c>
      <c r="L88" s="1">
        <f>IF(COUNT(J88:K88)=2,K88-J88,"")</f>
        <v>-32.91878903766397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IF(1057599&gt;0,100*176828/1057599,"")</f>
        <v>16.7197586230698</v>
      </c>
      <c r="S88" s="1">
        <f>IF(COUNT(Q88:R88)=2,R88-Q88,"")</f>
        <v>4.75785027222811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IF(2021904&gt;0,100*695041/2021904,"")</f>
        <v>34.37556877082196</v>
      </c>
      <c r="E89" s="1">
        <f>IF(COUNT(C89:D89)=2,D89-C89,"")</f>
        <v>-7.893966173737638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IF(1673970&gt;0,100*425361/1673970,"")</f>
        <v>25.410312012760084</v>
      </c>
      <c r="L89" s="1">
        <f>IF(COUNT(J89:K89)=2,K89-J89,"")</f>
        <v>6.23719303499443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IF(2276234&gt;0,100*781784/2276234,"")</f>
        <v>34.34550226382701</v>
      </c>
      <c r="S89" s="1">
        <f>IF(COUNT(Q89:R89)=2,R89-Q89,"")</f>
        <v>8.044639329594077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IF(2345976&gt;0,100*867408/2345976,"")</f>
        <v>36.97429129709767</v>
      </c>
      <c r="E90" s="1">
        <f>IF(COUNT(C90:D90)=2,D90-C90,"")</f>
        <v>-3.9830368948673893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IF(2545105&gt;0,100*871091/2545105,"")</f>
        <v>34.226132124214914</v>
      </c>
      <c r="L90" s="1">
        <f>IF(COUNT(J90:K90)=2,K90-J90,"")</f>
        <v>-9.14343315443405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IF(1450509&gt;0,100*281594/1450509,"")</f>
        <v>19.413461067804473</v>
      </c>
      <c r="S90" s="1">
        <f>IF(COUNT(Q90:R90)=2,R90-Q90,"")</f>
        <v>-31.574739806415582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IF(472955&gt;0,100*7408/472955,"")</f>
        <v>1.566322377393198</v>
      </c>
      <c r="E91" s="1">
        <f>IF(COUNT(C91:D91)=2,D91-C91,"")</f>
        <v>-2.124537283921477</v>
      </c>
      <c r="H91" s="1">
        <v>17</v>
      </c>
      <c r="I91" s="1">
        <v>16</v>
      </c>
      <c r="J91" s="1">
        <f>IF(88900&gt;0,100*3265/88900,"")</f>
        <v>3.6726659167604048</v>
      </c>
      <c r="K91" s="1">
        <f>IF(1752644&gt;0,100*389924/1752644,"")</f>
        <v>22.247758244115747</v>
      </c>
      <c r="L91" s="1">
        <f>IF(COUNT(J91:K91)=2,K91-J91,"")</f>
        <v>18.575092327355343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IF(1538919&gt;0,100*390587/1538919,"")</f>
        <v>25.380608076188544</v>
      </c>
      <c r="S91" s="1">
        <f>IF(COUNT(Q91:R91)=2,R91-Q91,"")</f>
        <v>-16.54079988967895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IF(806988&gt;0,100*119333/806988,"")</f>
        <v>14.787456566888231</v>
      </c>
      <c r="E92" s="1">
        <f>IF(COUNT(C92:D92)=2,D92-C92,"")</f>
        <v>-7.319989307995378</v>
      </c>
      <c r="H92" s="1">
        <v>18</v>
      </c>
      <c r="I92" s="1">
        <v>17</v>
      </c>
      <c r="J92" s="4"/>
      <c r="K92" s="1">
        <f>IF(1659619&gt;0,100*349828/1659619,"")</f>
        <v>21.07881387234058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IF(862309&gt;0,100*65511/862309,"")</f>
        <v>7.597160646589564</v>
      </c>
      <c r="S92" s="1">
        <f>IF(COUNT(Q92:R92)=2,R92-Q92,"")</f>
        <v>-37.5045293093164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IF(1847272&gt;0,100*603871/1847272,"")</f>
        <v>32.68987999601575</v>
      </c>
      <c r="E93" s="1">
        <f>IF(COUNT(C93:D93)=2,D93-C93,"")</f>
        <v>-13.646281598786395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IF(978897&gt;0,100*123555/978897,"")</f>
        <v>12.621859092427497</v>
      </c>
      <c r="L93" s="1">
        <f>IF(COUNT(J93:K93)=2,K93-J93,"")</f>
        <v>-24.301414400431604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IF(1013445&gt;0,100*123400/1013445,"")</f>
        <v>12.176289783856056</v>
      </c>
      <c r="S93" s="1">
        <f>IF(COUNT(Q93:R93)=2,R93-Q93,"")</f>
        <v>-25.651563411406705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IF(1709930&gt;0,100*534545/1709930,"")</f>
        <v>31.261221219582087</v>
      </c>
      <c r="E94" s="1">
        <f>IF(COUNT(C94:D94)=2,D94-C94,"")</f>
        <v>-10.418156460391184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IF(1510464&gt;0,100*383018/1510464,"")</f>
        <v>25.35763844752341</v>
      </c>
      <c r="L94" s="1">
        <f>IF(COUNT(J94:K94)=2,K94-J94,"")</f>
        <v>-16.438203696407253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IF(1489253&gt;0,100*330598/1489253,"")</f>
        <v>22.19891448934466</v>
      </c>
      <c r="S94" s="1">
        <f>IF(COUNT(Q94:R94)=2,R94-Q94,"")</f>
        <v>-23.98477710316198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IF(1175532&gt;0,100*274430/1175532,"")</f>
        <v>23.345174780439834</v>
      </c>
      <c r="E95" s="1">
        <f>IF(COUNT(C95:D95)=2,D95-C95,"")</f>
        <v>-26.47189940480544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IF(1189200&gt;0,100*225855/1189200,"")</f>
        <v>18.992179616548942</v>
      </c>
      <c r="L95" s="1">
        <f>IF(COUNT(J95:K95)=2,K95-J95,"")</f>
        <v>-30.730708888599263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IF(787408&gt;0,100*37661/787408,"")</f>
        <v>4.782907971470952</v>
      </c>
      <c r="S95" s="1">
        <f>IF(COUNT(Q95:R95)=2,R95-Q95,"")</f>
        <v>-41.97635474292818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IF(914187&gt;0,100*238256/914187,"")</f>
        <v>26.062063888460457</v>
      </c>
      <c r="E96" s="1">
        <f>IF(COUNT(C96:D96)=2,D96-C96,"")</f>
        <v>-0.5526295944538866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IF(2393326&gt;0,100*595326/2393326,"")</f>
        <v>24.874421620790482</v>
      </c>
      <c r="L96" s="1">
        <f>IF(COUNT(J96:K96)=2,K96-J96,"")</f>
        <v>-20.76399100678135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IF(1963578&gt;0,100*601629/1963578,"")</f>
        <v>30.639424560674442</v>
      </c>
      <c r="S96" s="1">
        <f>IF(COUNT(Q96:R96)=2,R96-Q96,"")</f>
        <v>-2.5204470843095166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IF(722476&gt;0,100*2933/722476,"")</f>
        <v>0.40596504243739584</v>
      </c>
      <c r="E97" s="1">
        <f>IF(COUNT(C97:D97)=2,D97-C97,"")</f>
        <v>0.2852698776184386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IF(1660409&gt;0,100*340959/1660409,"")</f>
        <v>20.534639356929528</v>
      </c>
      <c r="L97" s="1">
        <f>IF(COUNT(J97:K97)=2,K97-J97,"")</f>
        <v>-28.808444373207255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IF(2408628&gt;0,100*797916/2408628,"")</f>
        <v>33.12740697193589</v>
      </c>
      <c r="S97" s="1">
        <f>IF(COUNT(Q97:R97)=2,R97-Q97,"")</f>
        <v>-9.459910367256398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IF(1128556&gt;0,100*237226/1128556,"")</f>
        <v>21.020312682755662</v>
      </c>
      <c r="E98" s="1">
        <f>IF(COUNT(C98:D98)=2,D98-C98,"")</f>
        <v>-18.653295968407686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IF(862741&gt;0,100*16094/862741,"")</f>
        <v>1.8654497699773165</v>
      </c>
      <c r="L98" s="1">
        <f>IF(COUNT(J98:K98)=2,K98-J98,"")</f>
        <v>-41.372804557006496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IF(1288209&gt;0,100*258086/1288209,"")</f>
        <v>20.03448198234914</v>
      </c>
      <c r="S98" s="1">
        <f>IF(COUNT(Q98:R98)=2,R98-Q98,"")</f>
        <v>-20.752258125669716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IF(1870848&gt;0,100*666449/1870848,"")</f>
        <v>35.622829861111114</v>
      </c>
      <c r="E99" s="1">
        <f>IF(COUNT(C99:D99)=2,D99-C99,"")</f>
        <v>-5.8206394200027844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IF(1262531&gt;0,100*160194/1262531,"")</f>
        <v>12.688322108526444</v>
      </c>
      <c r="L99" s="1">
        <f>IF(COUNT(J99:K99)=2,K99-J99,"")</f>
        <v>-37.575322377334786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IF(729074&gt;0,100*65609/729074,"")</f>
        <v>8.998949352191959</v>
      </c>
      <c r="S99" s="1">
        <f>IF(COUNT(Q99:R99)=2,R99-Q99,"")</f>
        <v>-28.38642207026374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IF(1885444&gt;0,100*689188/1885444,"")</f>
        <v>36.55308776076086</v>
      </c>
      <c r="E100" s="1">
        <f>IF(COUNT(C100:D100)=2,D100-C100,"")</f>
        <v>-9.561447665533784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IF(1779075&gt;0,100*511320/1779075,"")</f>
        <v>28.740778213397412</v>
      </c>
      <c r="L100" s="1">
        <f>IF(COUNT(J100:K100)=2,K100-J100,"")</f>
        <v>22.904229747365036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IF(2029355&gt;0,100*597325/2029355,"")</f>
        <v>29.434229102350255</v>
      </c>
      <c r="S100" s="1">
        <f>IF(COUNT(Q100:R100)=2,R100-Q100,"")</f>
        <v>-24.37175802412344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IF(2232677&gt;0,100*806099/2232677,"")</f>
        <v>36.10459551471171</v>
      </c>
      <c r="E101" s="1">
        <f>IF(COUNT(C101:D101)=2,D101-C101,"")</f>
        <v>-14.865731703702686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IF(3024636&gt;0,100*627433/3024636,"")</f>
        <v>20.7440829243585</v>
      </c>
      <c r="L101" s="1">
        <f>IF(COUNT(J101:K101)=2,K101-J101,"")</f>
        <v>-4.62089941593824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IF(2011746&gt;0,100*600228/2011746,"")</f>
        <v>29.83617216089904</v>
      </c>
      <c r="S101" s="1">
        <f>IF(COUNT(Q101:R101)=2,R101-Q101,"")</f>
        <v>7.291519641051071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IF(401896&gt;0,100*420/401896,"")</f>
        <v>0.1045046479686287</v>
      </c>
      <c r="E102" s="1">
        <f>IF(COUNT(C102:D102)=2,D102-C102,"")</f>
        <v>-0.21383723161977974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IF(2450999&gt;0,100*842984/2450999,"")</f>
        <v>34.393486084653645</v>
      </c>
      <c r="L102" s="1">
        <f>IF(COUNT(J102:K102)=2,K102-J102,"")</f>
        <v>4.048436316398952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IF(1937679&gt;0,100*580285/1937679,"")</f>
        <v>29.947426792569875</v>
      </c>
      <c r="S102" s="1">
        <f>IF(COUNT(Q102:R102)=2,R102-Q102,"")</f>
        <v>-10.247651318238933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IF(1893246&gt;0,100*711295/1893246,"")</f>
        <v>37.57013087575518</v>
      </c>
      <c r="E103" s="1">
        <f>IF(COUNT(C103:D103)=2,D103-C103,"")</f>
        <v>-9.37250369037627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IF(2251256&gt;0,100*738238/2251256,"")</f>
        <v>32.79227240260548</v>
      </c>
      <c r="L103" s="1">
        <f>IF(COUNT(J103:K103)=2,K103-J103,"")</f>
        <v>-16.06940412576484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IF(2099374&gt;0,100*648337/2099374,"")</f>
        <v>30.882396371489786</v>
      </c>
      <c r="S103" s="1">
        <f>IF(COUNT(Q103:R103)=2,R103-Q103,"")</f>
        <v>-12.882841413809924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IF(1633609&gt;0,100*632163/1633609,"")</f>
        <v>38.69732598192101</v>
      </c>
      <c r="E104" s="1">
        <f>IF(COUNT(C104:D104)=2,D104-C104,"")</f>
        <v>-8.384300704617552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IF(861360&gt;0,100*54278/861360,"")</f>
        <v>6.301430296275657</v>
      </c>
      <c r="L104" s="1">
        <f>IF(COUNT(J104:K104)=2,K104-J104,"")</f>
        <v>-25.674877832153808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IF(528756&gt;0,100*3880/528756,"")</f>
        <v>0.7337978197883334</v>
      </c>
      <c r="S104" s="1">
        <f>IF(COUNT(Q104:R104)=2,R104-Q104,"")</f>
        <v>-0.6257215853019259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IF(561865&gt;0,100*14255/561865,"")</f>
        <v>2.537086310768601</v>
      </c>
      <c r="E105" s="1">
        <f>IF(COUNT(C105:D105)=2,D105-C105,"")</f>
        <v>-24.61557099078545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IF(2280606&gt;0,100*702711/2280606,"")</f>
        <v>30.812468265013774</v>
      </c>
      <c r="L105" s="1">
        <f>IF(COUNT(J105:K105)=2,K105-J105,"")</f>
        <v>6.026991238096926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IF(1101147&gt;0,100*207710/1101147,"")</f>
        <v>18.86305824744562</v>
      </c>
      <c r="S105" s="1">
        <f>IF(COUNT(Q105:R105)=2,R105-Q105,"")</f>
        <v>-26.324430089562927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23.69683695900105</v>
      </c>
      <c r="E106" s="1">
        <f>IF(COUNT(E75:E105)&gt;0,AVERAGE(E75:E105),"")</f>
        <v>-10.089955069211959</v>
      </c>
      <c r="H106" s="2" t="s">
        <v>6</v>
      </c>
      <c r="I106" s="1"/>
      <c r="J106" s="1">
        <f>IF(COUNT(J75:J105)&gt;0,AVERAGE(J75:J105),"")</f>
        <v>36.69157069983473</v>
      </c>
      <c r="K106" s="1">
        <f>IF(COUNT(K75:K105)&gt;0,AVERAGE(K75:K105),"")</f>
        <v>20.564265716145126</v>
      </c>
      <c r="L106" s="1">
        <f>IF(COUNT(L75:L105)&gt;0,AVERAGE(L75:L105),"")</f>
        <v>-16.144456588896105</v>
      </c>
      <c r="O106" s="2" t="s">
        <v>6</v>
      </c>
      <c r="P106" s="1"/>
      <c r="Q106" s="1">
        <f>IF(COUNT(Q75:Q105)&gt;0,AVERAGE(Q75:Q105),"")</f>
        <v>34.096955178849896</v>
      </c>
      <c r="R106" s="1">
        <f>IF(COUNT(R75:R105)&gt;0,AVERAGE(R75:R105),"")</f>
        <v>21.466111363041964</v>
      </c>
      <c r="S106" s="1">
        <f>IF(COUNT(S75:S105)&gt;0,AVERAGE(S75:S105),"")</f>
        <v>-12.630843815807927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IF(421625&gt;0,100*11128/421625,"")</f>
        <v>2.6393121849985177</v>
      </c>
      <c r="E3" s="1">
        <f>IF(COUNT(C3:D3)=2,D3-C3,"")</f>
        <v>-25.79009610015423</v>
      </c>
      <c r="H3" s="1">
        <v>1</v>
      </c>
      <c r="I3" s="1">
        <v>0</v>
      </c>
      <c r="J3" s="1">
        <f>IF(1145550&gt;0,100*291815/1145550,"")</f>
        <v>25.47378988258915</v>
      </c>
      <c r="K3" s="1">
        <f>IF(759444&gt;0,100*137129/759444,"")</f>
        <v>18.05649922838287</v>
      </c>
      <c r="L3" s="1">
        <f>IF(COUNT(J3:K3)=2,K3-J3,"")</f>
        <v>-7.41729065420628</v>
      </c>
      <c r="O3" s="1">
        <v>1</v>
      </c>
      <c r="P3" s="1">
        <v>0</v>
      </c>
      <c r="Q3" s="1">
        <f>IF(1052174&gt;0,100*332764/1052174,"")</f>
        <v>31.626327964766283</v>
      </c>
      <c r="R3" s="1">
        <f>IF(557362&gt;0,100*54937/557362,"")</f>
        <v>9.856610246123704</v>
      </c>
      <c r="S3" s="1">
        <f>IF(COUNT(Q3:R3)=2,R3-Q3,"")</f>
        <v>-21.76971771864258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IF(973700&gt;0,100*196884/973700,"")</f>
        <v>20.220191023929342</v>
      </c>
      <c r="E4" s="1">
        <f>IF(COUNT(C4:D4)=2,D4-C4,"")</f>
        <v>-14.955558516437097</v>
      </c>
      <c r="H4" s="1">
        <v>2</v>
      </c>
      <c r="I4" s="1">
        <v>1</v>
      </c>
      <c r="J4" s="1">
        <f>IF(783729&gt;0,100*130334/783729,"")</f>
        <v>16.629983068126865</v>
      </c>
      <c r="K4" s="1">
        <f>IF(1145993&gt;0,100*281620/1145993,"")</f>
        <v>24.574321134596808</v>
      </c>
      <c r="L4" s="1">
        <f>IF(COUNT(J4:K4)=2,K4-J4,"")</f>
        <v>7.944338066469943</v>
      </c>
      <c r="O4" s="1">
        <v>2</v>
      </c>
      <c r="P4" s="1">
        <v>1</v>
      </c>
      <c r="Q4" s="1">
        <f>IF(1118920&gt;0,100*356409/1118920,"")</f>
        <v>31.852947485074893</v>
      </c>
      <c r="R4" s="1">
        <f>IF(885085&gt;0,100*198989/885085,"")</f>
        <v>22.482473434754855</v>
      </c>
      <c r="S4" s="1">
        <f>IF(COUNT(Q4:R4)=2,R4-Q4,"")</f>
        <v>-9.370474050320038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IF(734177&gt;0,100*133139/734177,"")</f>
        <v>18.134455315271385</v>
      </c>
      <c r="E5" s="1">
        <f>IF(COUNT(C5:D5)=2,D5-C5,"")</f>
        <v>-19.34933582167155</v>
      </c>
      <c r="H5" s="1">
        <v>3</v>
      </c>
      <c r="I5" s="1">
        <v>2</v>
      </c>
      <c r="J5" s="1">
        <f>IF(1441835&gt;0,100*147851/1441835,"")</f>
        <v>10.25436336335295</v>
      </c>
      <c r="K5" s="1">
        <f>IF(789138&gt;0,100*141578/789138,"")</f>
        <v>17.940841779257873</v>
      </c>
      <c r="L5" s="1">
        <f>IF(COUNT(J5:K5)=2,K5-J5,"")</f>
        <v>7.686478415904924</v>
      </c>
      <c r="O5" s="1">
        <v>3</v>
      </c>
      <c r="P5" s="1">
        <v>2</v>
      </c>
      <c r="Q5" s="1">
        <f>IF(1270809&gt;0,100*397332/1270809,"")</f>
        <v>31.266067520768267</v>
      </c>
      <c r="R5" s="1">
        <f>IF(878051&gt;0,100*135588/878051,"")</f>
        <v>15.44192763290515</v>
      </c>
      <c r="S5" s="1">
        <f>IF(COUNT(Q5:R5)=2,R5-Q5,"")</f>
        <v>-15.824139887863117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IF(1066612&gt;0,100*274062/1066612,"")</f>
        <v>25.694629349754177</v>
      </c>
      <c r="E6" s="1">
        <f>IF(COUNT(C6:D6)=2,D6-C6,"")</f>
        <v>-11.472013788025212</v>
      </c>
      <c r="H6" s="1">
        <v>4</v>
      </c>
      <c r="I6" s="1">
        <v>3</v>
      </c>
      <c r="J6" s="1">
        <f>IF(784417&gt;0,100*123870/784417,"")</f>
        <v>15.791345674558302</v>
      </c>
      <c r="K6" s="1">
        <f>IF(648530&gt;0,100*89506/648530,"")</f>
        <v>13.8013661665613</v>
      </c>
      <c r="L6" s="1">
        <f>IF(COUNT(J6:K6)=2,K6-J6,"")</f>
        <v>-1.9899795079970026</v>
      </c>
      <c r="O6" s="1">
        <v>4</v>
      </c>
      <c r="P6" s="1">
        <v>3</v>
      </c>
      <c r="Q6" s="1">
        <f>IF(519550&gt;0,100*16403/519550,"")</f>
        <v>3.1571552304879225</v>
      </c>
      <c r="R6" s="1">
        <f>IF(680404&gt;0,100*67636/680404,"")</f>
        <v>9.940564723311445</v>
      </c>
      <c r="S6" s="1">
        <f>IF(COUNT(Q6:R6)=2,R6-Q6,"")</f>
        <v>6.783409492823522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IF(502836&gt;0,100*33018/502836,"")</f>
        <v>6.566355630861752</v>
      </c>
      <c r="E7" s="1">
        <f>IF(COUNT(C7:D7)=2,D7-C7,"")</f>
        <v>-29.0643672529867</v>
      </c>
      <c r="H7" s="1">
        <v>5</v>
      </c>
      <c r="I7" s="1">
        <v>4</v>
      </c>
      <c r="J7" s="1">
        <f>IF(1148710&gt;0,100*342477/1148710,"")</f>
        <v>29.814052284736793</v>
      </c>
      <c r="K7" s="1">
        <f>IF(976383&gt;0,100*215756/976383,"")</f>
        <v>22.09747609288568</v>
      </c>
      <c r="L7" s="1">
        <f>IF(COUNT(J7:K7)=2,K7-J7,"")</f>
        <v>-7.716576191851111</v>
      </c>
      <c r="O7" s="1">
        <v>5</v>
      </c>
      <c r="P7" s="1">
        <v>4</v>
      </c>
      <c r="Q7" s="1">
        <f>IF(1286267&gt;0,100*497044/1286267,"")</f>
        <v>38.64236585405674</v>
      </c>
      <c r="R7" s="1">
        <f>IF(1234716&gt;0,100*282466/1234716,"")</f>
        <v>22.877001674879082</v>
      </c>
      <c r="S7" s="1">
        <f>IF(COUNT(Q7:R7)=2,R7-Q7,"")</f>
        <v>-15.76536417917766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IF(565224&gt;0,100*45848/565224,"")</f>
        <v>8.111474388914838</v>
      </c>
      <c r="E8" s="1">
        <f>IF(COUNT(C8:D8)=2,D8-C8,"")</f>
        <v>-19.019910263285702</v>
      </c>
      <c r="H8" s="1">
        <v>6</v>
      </c>
      <c r="I8" s="1">
        <v>5</v>
      </c>
      <c r="J8" s="1">
        <f>IF(1039225&gt;0,100*246415/1039225,"")</f>
        <v>23.71141956746614</v>
      </c>
      <c r="K8" s="1">
        <f>IF(800411&gt;0,100*151431/800411,"")</f>
        <v>18.91915528397286</v>
      </c>
      <c r="L8" s="1">
        <f>IF(COUNT(J8:K8)=2,K8-J8,"")</f>
        <v>-4.792264283493282</v>
      </c>
      <c r="O8" s="1">
        <v>6</v>
      </c>
      <c r="P8" s="1">
        <v>5</v>
      </c>
      <c r="Q8" s="1">
        <f>IF(1125005&gt;0,100*295084/1125005,"")</f>
        <v>26.229572313011943</v>
      </c>
      <c r="R8" s="1">
        <f>IF(1032954&gt;0,100*212220/1032954,"")</f>
        <v>20.544961343873975</v>
      </c>
      <c r="S8" s="1">
        <f>IF(COUNT(Q8:R8)=2,R8-Q8,"")</f>
        <v>-5.684610969137967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IF(1062929&gt;0,100*231303/1062929,"")</f>
        <v>21.760907831096905</v>
      </c>
      <c r="E9" s="1">
        <f>IF(COUNT(C9:D9)=2,D9-C9,"")</f>
        <v>-15.182977444253648</v>
      </c>
      <c r="H9" s="1">
        <v>7</v>
      </c>
      <c r="I9" s="1">
        <v>6</v>
      </c>
      <c r="J9" s="1">
        <f>IF(356727&gt;0,100*3261/356727,"")</f>
        <v>0.9141444297740289</v>
      </c>
      <c r="K9" s="1">
        <f>IF(429817&gt;0,100*9345/429817,"")</f>
        <v>2.1741811049818875</v>
      </c>
      <c r="L9" s="1">
        <f>IF(COUNT(J9:K9)=2,K9-J9,"")</f>
        <v>1.2600366752078587</v>
      </c>
      <c r="O9" s="1">
        <v>7</v>
      </c>
      <c r="P9" s="1">
        <v>6</v>
      </c>
      <c r="Q9" s="1">
        <f>IF(851852&gt;0,100*240424/851852,"")</f>
        <v>28.223682048055295</v>
      </c>
      <c r="R9" s="1">
        <f>IF(581981&gt;0,100*63405/581981,"")</f>
        <v>10.894685565336326</v>
      </c>
      <c r="S9" s="1">
        <f>IF(COUNT(Q9:R9)=2,R9-Q9,"")</f>
        <v>-17.32899648271897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IF(1097324&gt;0,100*320998/1097324,"")</f>
        <v>29.25280044909252</v>
      </c>
      <c r="E10" s="1">
        <f>IF(COUNT(C10:D10)=2,D10-C10,"")</f>
        <v>-12.18321590837806</v>
      </c>
      <c r="H10" s="1">
        <v>8</v>
      </c>
      <c r="I10" s="1">
        <v>7</v>
      </c>
      <c r="J10" s="1">
        <f>IF(278589&gt;0,100*275/278589,"")</f>
        <v>0.09871172228623527</v>
      </c>
      <c r="K10" s="1">
        <f>IF(413299&gt;0,100*19998/413299,"")</f>
        <v>4.838627724722295</v>
      </c>
      <c r="L10" s="1">
        <f>IF(COUNT(J10:K10)=2,K10-J10,"")</f>
        <v>4.73991600243606</v>
      </c>
      <c r="O10" s="1">
        <v>8</v>
      </c>
      <c r="P10" s="1">
        <v>7</v>
      </c>
      <c r="Q10" s="1">
        <f>IF(313581&gt;0,100*3447/313581,"")</f>
        <v>1.09923751757919</v>
      </c>
      <c r="R10" s="1">
        <f>IF(322749&gt;0,100*2355/322749,"")</f>
        <v>0.7296691856520082</v>
      </c>
      <c r="S10" s="1">
        <f>IF(COUNT(Q10:R10)=2,R10-Q10,"")</f>
        <v>-0.36956833192718175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IF(1060395&gt;0,100*316108/1060395,"")</f>
        <v>29.81040084119597</v>
      </c>
      <c r="E11" s="1">
        <f>IF(COUNT(C11:D11)=2,D11-C11,"")</f>
        <v>-6.4335400675632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IF(1212758&gt;0,100*269033/1212758,"")</f>
        <v>22.183568362360834</v>
      </c>
      <c r="L11" s="1">
        <f>IF(COUNT(J11:K11)=2,K11-J11,"")</f>
        <v>-7.520211496098305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IF(1261296&gt;0,100*309859/1261296,"")</f>
        <v>24.56671550532151</v>
      </c>
      <c r="S11" s="1">
        <f>IF(COUNT(Q11:R11)=2,R11-Q11,"")</f>
        <v>-5.433229758742886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IF(550377&gt;0,100*43032/550377,"")</f>
        <v>7.818640677208531</v>
      </c>
      <c r="E12" s="1">
        <f>IF(COUNT(C12:D12)=2,D12-C12,"")</f>
        <v>-23.65355313111245</v>
      </c>
      <c r="H12" s="1">
        <v>10</v>
      </c>
      <c r="I12" s="1">
        <v>9</v>
      </c>
      <c r="J12" s="1">
        <f>IF(747366&gt;0,100*179400/747366,"")</f>
        <v>24.00430311253121</v>
      </c>
      <c r="K12" s="1">
        <f>IF(483517&gt;0,100*34699/483517,"")</f>
        <v>7.176376425234273</v>
      </c>
      <c r="L12" s="1">
        <f>IF(COUNT(J12:K12)=2,K12-J12,"")</f>
        <v>-16.827926687296937</v>
      </c>
      <c r="O12" s="1">
        <v>10</v>
      </c>
      <c r="P12" s="1">
        <v>9</v>
      </c>
      <c r="Q12" s="1">
        <f>IF(738636&gt;0,100*147882/738636,"")</f>
        <v>20.0209575487791</v>
      </c>
      <c r="R12" s="1">
        <f>IF(711092&gt;0,100*136006/711092,"")</f>
        <v>19.12635777086509</v>
      </c>
      <c r="S12" s="1">
        <f>IF(COUNT(Q12:R12)=2,R12-Q12,"")</f>
        <v>-0.89459977791401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IF(1292131&gt;0,100*384139/1292131,"")</f>
        <v>29.729106414132932</v>
      </c>
      <c r="E13" s="1">
        <f>IF(COUNT(C13:D13)=2,D13-C13,"")</f>
        <v>0.9797746136921042</v>
      </c>
      <c r="H13" s="1">
        <v>11</v>
      </c>
      <c r="I13" s="1">
        <v>10</v>
      </c>
      <c r="J13" s="1">
        <f>IF(602395&gt;0,100*29717/602395,"")</f>
        <v>4.933141875347571</v>
      </c>
      <c r="K13" s="1">
        <f>IF(633923&gt;0,100*41444/633923,"")</f>
        <v>6.537702528540533</v>
      </c>
      <c r="L13" s="1">
        <f>IF(COUNT(J13:K13)=2,K13-J13,"")</f>
        <v>1.6045606531929613</v>
      </c>
      <c r="O13" s="1">
        <v>11</v>
      </c>
      <c r="P13" s="1">
        <v>10</v>
      </c>
      <c r="Q13" s="1">
        <f>IF(540292&gt;0,100*4137/540292,"")</f>
        <v>0.7656970675116419</v>
      </c>
      <c r="R13" s="1">
        <f>IF(1008084&gt;0,100*220499/1008084,"")</f>
        <v>21.8730780371477</v>
      </c>
      <c r="S13" s="1">
        <f>IF(COUNT(Q13:R13)=2,R13-Q13,"")</f>
        <v>21.107380969636058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IF(1250488&gt;0,100*339868/1250488,"")</f>
        <v>27.178829385008093</v>
      </c>
      <c r="E14" s="1">
        <f>IF(COUNT(C14:D14)=2,D14-C14,"")</f>
        <v>-7.324596888754009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IF(591715&gt;0,100*10810/591715,"")</f>
        <v>1.8268930143734736</v>
      </c>
      <c r="L14" s="1">
        <f>IF(COUNT(J14:K14)=2,K14-J14,"")</f>
        <v>-1.4959152958298838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IF(1014649&gt;0,100*210998/1014649,"")</f>
        <v>20.795171532224444</v>
      </c>
      <c r="S14" s="1">
        <f>IF(COUNT(Q14:R14)=2,R14-Q14,"")</f>
        <v>-15.568035664496662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IF(826521&gt;0,100*98162/826521,"")</f>
        <v>11.876528243081543</v>
      </c>
      <c r="E15" s="1">
        <f>IF(COUNT(C15:D15)=2,D15-C15,"")</f>
        <v>-20.36665709199761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IF(766967&gt;0,100*146338/766967,"")</f>
        <v>19.080090799213004</v>
      </c>
      <c r="L15" s="1">
        <f>IF(COUNT(J15:K15)=2,K15-J15,"")</f>
        <v>-18.14625748280151</v>
      </c>
      <c r="O15" s="1">
        <v>13</v>
      </c>
      <c r="P15" s="1">
        <v>12</v>
      </c>
      <c r="Q15" s="1">
        <f>IF(521892&gt;0,100*47266/521892,"")</f>
        <v>9.0566630643888</v>
      </c>
      <c r="R15" s="1">
        <f>IF(579584&gt;0,100*41496/579584,"")</f>
        <v>7.159617932862191</v>
      </c>
      <c r="S15" s="1">
        <f>IF(COUNT(Q15:R15)=2,R15-Q15,"")</f>
        <v>-1.8970451315266095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IF(460101&gt;0,100*943/460101,"")</f>
        <v>0.20495499901108669</v>
      </c>
      <c r="E16" s="1">
        <f>IF(COUNT(C16:D16)=2,D16-C16,"")</f>
        <v>-22.48411046371165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IF(115812&gt;0,100*404/115812,"")</f>
        <v>0.3488412254343246</v>
      </c>
      <c r="L16" s="1">
        <f>IF(COUNT(J16:K16)=2,K16-J16,"")</f>
        <v>-21.82128055527736</v>
      </c>
      <c r="O16" s="1">
        <v>14</v>
      </c>
      <c r="P16" s="1">
        <v>13</v>
      </c>
      <c r="Q16" s="1">
        <f>IF(385878&gt;0,100*7402/385878,"")</f>
        <v>1.9182228580017517</v>
      </c>
      <c r="R16" s="1">
        <f>IF(357562&gt;0,100*61745/357562,"")</f>
        <v>17.268333883354494</v>
      </c>
      <c r="S16" s="1">
        <f>IF(COUNT(Q16:R16)=2,R16-Q16,"")</f>
        <v>15.350111025352742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IF(1595546&gt;0,100*256635/1595546,"")</f>
        <v>16.084462622826294</v>
      </c>
      <c r="E17" s="1">
        <f>IF(COUNT(C17:D17)=2,D17-C17,"")</f>
        <v>-16.93569375650317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IF(967184&gt;0,100*206447/967184,"")</f>
        <v>21.345162864563516</v>
      </c>
      <c r="L17" s="1">
        <f>IF(COUNT(J17:K17)=2,K17-J17,"")</f>
        <v>-17.43418713998133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IF(1170224&gt;0,100*333043/1170224,"")</f>
        <v>28.459764968074488</v>
      </c>
      <c r="S17" s="1">
        <f>IF(COUNT(Q17:R17)=2,R17-Q17,"")</f>
        <v>-4.21763784015743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IF(896185&gt;0,100*241284/896185,"")</f>
        <v>26.923458884047378</v>
      </c>
      <c r="E18" s="1">
        <f>IF(COUNT(C18:D18)=2,D18-C18,"")</f>
        <v>-7.509814384306566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IF(838840&gt;0,100*152270/838840,"")</f>
        <v>18.152448619522197</v>
      </c>
      <c r="L18" s="1">
        <f>IF(COUNT(J18:K18)=2,K18-J18,"")</f>
        <v>-11.930797224705021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IF(639078&gt;0,100*97798/639078,"")</f>
        <v>15.302983360403582</v>
      </c>
      <c r="S18" s="1">
        <f>IF(COUNT(Q18:R18)=2,R18-Q18,"")</f>
        <v>-17.96503971570116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IF(311681&gt;0,100*1806/311681,"")</f>
        <v>0.5794385926636529</v>
      </c>
      <c r="E19" s="1">
        <f>IF(COUNT(C19:D19)=2,D19-C19,"")</f>
        <v>-8.520615697886598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IF(1001028&gt;0,100*220175/1001028,"")</f>
        <v>21.994889253847045</v>
      </c>
      <c r="L19" s="1">
        <f>IF(COUNT(J19:K19)=2,K19-J19,"")</f>
        <v>-15.379875220448664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IF(938582&gt;0,100*174795/938582,"")</f>
        <v>18.623306221512877</v>
      </c>
      <c r="S19" s="1">
        <f>IF(COUNT(Q19:R19)=2,R19-Q19,"")</f>
        <v>-2.6280415435289264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IF(321730&gt;0,100*5106/321730,"")</f>
        <v>1.5870450377645853</v>
      </c>
      <c r="E20" s="1">
        <f>IF(COUNT(C20:D20)=2,D20-C20,"")</f>
        <v>0.9037009225005117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IF(605716&gt;0,100*23229/605716,"")</f>
        <v>3.8349655614182225</v>
      </c>
      <c r="L20" s="1">
        <f>IF(COUNT(J20:K20)=2,K20-J20,"")</f>
        <v>-21.42988556868157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IF(636001&gt;0,100*19129/636001,"")</f>
        <v>3.0076996734281862</v>
      </c>
      <c r="S20" s="1">
        <f>IF(COUNT(Q20:R20)=2,R20-Q20,"")</f>
        <v>-26.45493442162529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IF(1044349&gt;0,100*268156/1044349,"")</f>
        <v>25.676857065980816</v>
      </c>
      <c r="E21" s="1">
        <f>IF(COUNT(C21:D21)=2,D21-C21,"")</f>
        <v>-9.785546790681149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IF(712633&gt;0,100*92096/712633,"")</f>
        <v>12.923342028786205</v>
      </c>
      <c r="L21" s="1">
        <f>IF(COUNT(J21:K21)=2,K21-J21,"")</f>
        <v>-2.541229038474981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IF(717004&gt;0,100*72327/717004,"")</f>
        <v>10.08739142319987</v>
      </c>
      <c r="S21" s="1">
        <f>IF(COUNT(Q21:R21)=2,R21-Q21,"")</f>
        <v>-9.210568606101125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IF(743221&gt;0,100*109662/743221,"")</f>
        <v>14.754965212231625</v>
      </c>
      <c r="E22" s="1">
        <f>IF(COUNT(C22:D22)=2,D22-C22,"")</f>
        <v>-18.04060114249998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IF(768347&gt;0,100*145831/768347,"")</f>
        <v>18.979835933504003</v>
      </c>
      <c r="L22" s="1">
        <f>IF(COUNT(J22:K22)=2,K22-J22,"")</f>
        <v>7.740846303320469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IF(497235&gt;0,100*29085/497235,"")</f>
        <v>5.849346888292256</v>
      </c>
      <c r="S22" s="1">
        <f>IF(COUNT(Q22:R22)=2,R22-Q22,"")</f>
        <v>-23.21883329706589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IF(694005&gt;0,100*109986/694005,"")</f>
        <v>15.848012622387447</v>
      </c>
      <c r="E23" s="1">
        <f>IF(COUNT(C23:D23)=2,D23-C23,"")</f>
        <v>-8.59999208714613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IF(624625&gt;0,100*86289/624625,"")</f>
        <v>13.814528717230338</v>
      </c>
      <c r="L23" s="1">
        <f>IF(COUNT(J23:K23)=2,K23-J23,"")</f>
        <v>-24.584542832235016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IF(706220&gt;0,100*109999/706220,"")</f>
        <v>15.575741270425647</v>
      </c>
      <c r="S23" s="1">
        <f>IF(COUNT(Q23:R23)=2,R23-Q23,"")</f>
        <v>-7.8455298703379714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IF(514369&gt;0,100*79610/514369,"")</f>
        <v>15.477215773112299</v>
      </c>
      <c r="E24" s="1">
        <f>IF(COUNT(C24:D24)=2,D24-C24,"")</f>
        <v>-18.879749038828976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IF(1126465&gt;0,100*271225/1126465,"")</f>
        <v>24.07753458829169</v>
      </c>
      <c r="L24" s="1">
        <f>IF(COUNT(J24:K24)=2,K24-J24,"")</f>
        <v>-6.799579967216818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IF(1496055&gt;0,100*391504/1496055,"")</f>
        <v>26.169091376988145</v>
      </c>
      <c r="S24" s="1">
        <f>IF(COUNT(Q24:R24)=2,R24-Q24,"")</f>
        <v>3.0312858133963445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IF(267571&gt;0,100*558/267571,"")</f>
        <v>0.2085427792996999</v>
      </c>
      <c r="E25" s="1">
        <f>IF(COUNT(C25:D25)=2,D25-C25,"")</f>
        <v>-0.017480433895168762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IF(597412&gt;0,100*48277/597412,"")</f>
        <v>8.08102281172792</v>
      </c>
      <c r="L25" s="1">
        <f>IF(COUNT(J25:K25)=2,K25-J25,"")</f>
        <v>-10.433756140247326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IF(772344&gt;0,100*148124/772344,"")</f>
        <v>19.17850077167687</v>
      </c>
      <c r="S25" s="1">
        <f>IF(COUNT(Q25:R25)=2,R25-Q25,"")</f>
        <v>-13.091272282001437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IF(569410&gt;0,100*21930/569410,"")</f>
        <v>3.8513549112238983</v>
      </c>
      <c r="E26" s="1">
        <f>IF(COUNT(C26:D26)=2,D26-C26,"")</f>
        <v>-17.3821869011867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IF(911283&gt;0,100*163376/911283,"")</f>
        <v>17.928129900371236</v>
      </c>
      <c r="L26" s="1">
        <f>IF(COUNT(J26:K26)=2,K26-J26,"")</f>
        <v>-14.725337261435417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IF(688719&gt;0,100*95087/688719,"")</f>
        <v>13.806356438547507</v>
      </c>
      <c r="S26" s="1">
        <f>IF(COUNT(Q26:R26)=2,R26-Q26,"")</f>
        <v>-12.458767877117218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IF(940407&gt;0,100*247082/940407,"")</f>
        <v>26.273943090598006</v>
      </c>
      <c r="E27" s="1">
        <f>IF(COUNT(C27:D27)=2,D27-C27,"")</f>
        <v>-10.793898460797866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IF(872763&gt;0,100*122342/872763,"")</f>
        <v>14.017780313785071</v>
      </c>
      <c r="L27" s="1">
        <f>IF(COUNT(J27:K27)=2,K27-J27,"")</f>
        <v>-6.52169469283902</v>
      </c>
      <c r="O27" s="1">
        <v>25</v>
      </c>
      <c r="P27" s="1">
        <v>24</v>
      </c>
      <c r="Q27" s="1">
        <f>IF(682080&gt;0,100*56444/682080,"")</f>
        <v>8.275275627492377</v>
      </c>
      <c r="R27" s="1">
        <f>IF(964384&gt;0,100*234357/964384,"")</f>
        <v>24.3012119653582</v>
      </c>
      <c r="S27" s="1">
        <f>IF(COUNT(Q27:R27)=2,R27-Q27,"")</f>
        <v>16.025936337865822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IF(1156666&gt;0,100*345489/1156666,"")</f>
        <v>29.86938321001914</v>
      </c>
      <c r="E28" s="1">
        <f>IF(COUNT(C28:D28)=2,D28-C28,"")</f>
        <v>-10.122423058490046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IF(1111815&gt;0,100*326474/1111815,"")</f>
        <v>29.364057869339774</v>
      </c>
      <c r="L28" s="1">
        <f>IF(COUNT(J28:K28)=2,K28-J28,"")</f>
        <v>-2.6008023294471236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IF(6003&gt;0,100*787/6003,"")</f>
        <v>13.110111610861235</v>
      </c>
      <c r="S28" s="1">
        <f>IF(COUNT(Q28:R28)=2,R28-Q28,"")</f>
        <v>-18.290188239213727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IF(1030918&gt;0,100*250445/1030918,"")</f>
        <v>24.29339675900508</v>
      </c>
      <c r="E29" s="1">
        <f>IF(COUNT(C29:D29)=2,D29-C29,"")</f>
        <v>-5.586128013161641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IF(764601&gt;0,100*153824/764601,"")</f>
        <v>20.11820544310039</v>
      </c>
      <c r="L29" s="1">
        <f>IF(COUNT(J29:K29)=2,K29-J29,"")</f>
        <v>3.455367038948271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IF(736664&gt;0,100*97521/736664,"")</f>
        <v>13.2381927174397</v>
      </c>
      <c r="S29" s="1">
        <f>IF(COUNT(Q29:R29)=2,R29-Q29,"")</f>
        <v>-26.465468276902143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IF(259948&gt;0,100*342/259948,"")</f>
        <v>0.1315647744933602</v>
      </c>
      <c r="E30" s="1">
        <f>IF(COUNT(C30:D30)=2,D30-C30,"")</f>
        <v>0.05842449066310694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IF(529800&gt;0,100*48629/529800,"")</f>
        <v>9.178746696866742</v>
      </c>
      <c r="L30" s="1">
        <f>IF(COUNT(J30:K30)=2,K30-J30,"")</f>
        <v>-24.492541155323824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IF(636611&gt;0,100*106356/636611,"")</f>
        <v>16.70659162345608</v>
      </c>
      <c r="S30" s="1">
        <f>IF(COUNT(Q30:R30)=2,R30-Q30,"")</f>
        <v>-11.19699943020516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IF(1287943&gt;0,100*356472/1287943,"")</f>
        <v>27.677622379251257</v>
      </c>
      <c r="E31" s="1">
        <f>IF(COUNT(C31:D31)=2,D31-C31,"")</f>
        <v>-8.472370388944075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IF(808227&gt;0,100*117992/808227,"")</f>
        <v>14.598868882133361</v>
      </c>
      <c r="L31" s="1">
        <f>IF(COUNT(J31:K31)=2,K31-J31,"")</f>
        <v>-21.796997709777813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IF(1055761&gt;0,100*190770/1055761,"")</f>
        <v>18.069430486634758</v>
      </c>
      <c r="S31" s="1">
        <f>IF(COUNT(Q31:R31)=2,R31-Q31,"")</f>
        <v>-18.81525433106082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IF(882536&gt;0,100*229752/882536,"")</f>
        <v>26.033158987282107</v>
      </c>
      <c r="E32" s="1">
        <f>IF(COUNT(C32:D32)=2,D32-C32,"")</f>
        <v>-11.472693294281733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IF(688222&gt;0,100*92649/688222,"")</f>
        <v>13.462080549590103</v>
      </c>
      <c r="L32" s="1">
        <f>IF(COUNT(J32:K32)=2,K32-J32,"")</f>
        <v>-16.32148404893607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IF(500658&gt;0,100*70484/500658,"")</f>
        <v>14.078272992741551</v>
      </c>
      <c r="S32" s="1">
        <f>IF(COUNT(Q32:R32)=2,R32-Q32,"")</f>
        <v>-11.756457264966537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IF(361264&gt;0,100*3032/361264,"")</f>
        <v>0.8392754329243988</v>
      </c>
      <c r="E33" s="1">
        <f>IF(COUNT(C33:D33)=2,D33-C33,"")</f>
        <v>-0.7971815706372412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IF(1070542&gt;0,100*262421/1070542,"")</f>
        <v>24.5129102828287</v>
      </c>
      <c r="L33" s="1">
        <f>IF(COUNT(J33:K33)=2,K33-J33,"")</f>
        <v>-4.869941087631386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IF(921922&gt;0,100*220448/921922,"")</f>
        <v>23.91178429411599</v>
      </c>
      <c r="S33" s="1">
        <f>IF(COUNT(Q33:R33)=2,R33-Q33,"")</f>
        <v>-13.034275936601496</v>
      </c>
    </row>
    <row r="34" spans="1:19">
      <c r="A34" s="2" t="s">
        <v>6</v>
      </c>
      <c r="B34" s="1"/>
      <c r="C34" s="1">
        <f>IF(COUNT(C3:C33)&gt;0,AVERAGE(C3:C33),"")</f>
        <v>28.172990083851328</v>
      </c>
      <c r="D34" s="1">
        <f>IF(COUNT(D3:D33)&gt;0,AVERAGE(D3:D33),"")</f>
        <v>15.971234995763504</v>
      </c>
      <c r="E34" s="1">
        <f>IF(COUNT(E3:E33)&gt;0,AVERAGE(E3:E33),"")</f>
        <v>-12.20175508808782</v>
      </c>
      <c r="H34" s="2" t="s">
        <v>6</v>
      </c>
      <c r="I34" s="1"/>
      <c r="J34" s="1">
        <f>IF(COUNT(J3:J33)&gt;0,AVERAGE(J3:J33),"")</f>
        <v>23.261266503360552</v>
      </c>
      <c r="K34" s="1">
        <f>IF(COUNT(K3:K33)&gt;0,AVERAGE(K3:K33),"")</f>
        <v>15.030337135078215</v>
      </c>
      <c r="L34" s="1">
        <f>IF(COUNT(L3:L33)&gt;0,AVERAGE(L3:L33),"")</f>
        <v>-8.230929368282341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16.22686924360545</v>
      </c>
      <c r="S34" s="1">
        <f>IF(COUNT(S3:S33)&gt;0,AVERAGE(S3:S33),"")</f>
        <v>-8.524417007934822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IF(612981&gt;0,100*71356/612981,"")</f>
        <v>11.640817578358872</v>
      </c>
      <c r="E39" s="1">
        <f>IF(COUNT(C39:D39)=2,D39-C39,"")</f>
        <v>-1.4164340526667267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IF(1016227&gt;0,100*96569/1016227,"")</f>
        <v>9.502699692096353</v>
      </c>
      <c r="L39" s="1">
        <f>IF(COUNT(J39:K39)=2,K39-J39,"")</f>
        <v>-21.76480733788088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IF(19692&gt;0,100*3944/19692,"")</f>
        <v>20.02843794434288</v>
      </c>
      <c r="S39" s="1">
        <f>IF(COUNT(Q39:R39)=2,R39-Q39,"")</f>
        <v>1.655786795200676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IF(1176834&gt;0,100*330699/1176834,"")</f>
        <v>28.100734683056405</v>
      </c>
      <c r="E40" s="1">
        <f>IF(COUNT(C40:D40)=2,D40-C40,"")</f>
        <v>-1.1327076204833695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IF(1706788&gt;0,100*467587/1706788,"")</f>
        <v>27.39572811620424</v>
      </c>
      <c r="L40" s="1">
        <f>IF(COUNT(J40:K40)=2,K40-J40,"")</f>
        <v>-10.699826140979596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IF(23866&gt;0,100*5939/23866,"")</f>
        <v>24.88477331769044</v>
      </c>
      <c r="S40" s="1">
        <f>IF(COUNT(Q40:R40)=2,R40-Q40,"")</f>
        <v>-16.604670649978218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IF(1357644&gt;0,100*320368/1357644,"")</f>
        <v>23.597349526090788</v>
      </c>
      <c r="E41" s="1">
        <f>IF(COUNT(C41:D41)=2,D41-C41,"")</f>
        <v>-15.675469011107857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IF(1921957&gt;0,100*590042/1921957,"")</f>
        <v>30.70006248839074</v>
      </c>
      <c r="L41" s="1">
        <f>IF(COUNT(J41:K41)=2,K41-J41,"")</f>
        <v>-7.293018356688453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IF(519676&gt;0,100*51000/519676,"")</f>
        <v>9.813807064401665</v>
      </c>
      <c r="S41" s="1">
        <f>IF(COUNT(Q41:R41)=2,R41-Q41,"")</f>
        <v>-30.71206401519251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IF(1612875&gt;0,100*541652/1612875,"")</f>
        <v>33.583011702704795</v>
      </c>
      <c r="E42" s="1">
        <f>IF(COUNT(C42:D42)=2,D42-C42,"")</f>
        <v>-8.411068163572509</v>
      </c>
      <c r="H42" s="1">
        <v>4</v>
      </c>
      <c r="I42" s="1">
        <v>3</v>
      </c>
      <c r="J42" s="1">
        <f>IF(778520&gt;0,100*44764/778520,"")</f>
        <v>5.749884396033499</v>
      </c>
      <c r="K42" s="1">
        <f>IF(682624&gt;0,100*33641/682624,"")</f>
        <v>4.928188871179449</v>
      </c>
      <c r="L42" s="1">
        <f>IF(COUNT(J42:K42)=2,K42-J42,"")</f>
        <v>-0.8216955248540501</v>
      </c>
      <c r="O42" s="1">
        <v>4</v>
      </c>
      <c r="P42" s="1">
        <v>3</v>
      </c>
      <c r="Q42" s="1">
        <f>IF(760183&gt;0,100*45060/760183,"")</f>
        <v>5.927520083979778</v>
      </c>
      <c r="R42" s="1">
        <f>IF(702368&gt;0,100*6146/702368,"")</f>
        <v>0.8750398651419199</v>
      </c>
      <c r="S42" s="1">
        <f>IF(COUNT(Q42:R42)=2,R42-Q42,"")</f>
        <v>-5.052480218837858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IF(640585&gt;0,100*35563/640585,"")</f>
        <v>5.551644200223233</v>
      </c>
      <c r="E43" s="1">
        <f>IF(COUNT(C43:D43)=2,D43-C43,"")</f>
        <v>-12.181638013746387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IF(1382208&gt;0,100*318183/1382208,"")</f>
        <v>23.019907278788722</v>
      </c>
      <c r="L43" s="1">
        <f>IF(COUNT(J43:K43)=2,K43-J43,"")</f>
        <v>-19.105683238774468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IF(1951067&gt;0,100*622003/1951067,"")</f>
        <v>31.880145581879045</v>
      </c>
      <c r="S43" s="1">
        <f>IF(COUNT(Q43:R43)=2,R43-Q43,"")</f>
        <v>-15.335524530498542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IF(860369&gt;0,100*149411/860369,"")</f>
        <v>17.365920901380687</v>
      </c>
      <c r="E44" s="1">
        <f>IF(COUNT(C44:D44)=2,D44-C44,"")</f>
        <v>-26.487437729970413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IF(1229449&gt;0,100*275778/1229449,"")</f>
        <v>22.43102397903451</v>
      </c>
      <c r="L44" s="1">
        <f>IF(COUNT(J44:K44)=2,K44-J44,"")</f>
        <v>-19.177324930695622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IF(1006276&gt;0,100*151883/1006276,"")</f>
        <v>15.093572737499453</v>
      </c>
      <c r="S44" s="1">
        <f>IF(COUNT(Q44:R44)=2,R44-Q44,"")</f>
        <v>-3.0033014995955867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IF(1541982&gt;0,100*457171/1541982,"")</f>
        <v>29.648270861786973</v>
      </c>
      <c r="E45" s="1">
        <f>IF(COUNT(C45:D45)=2,D45-C45,"")</f>
        <v>-15.366162293615584</v>
      </c>
      <c r="H45" s="1">
        <v>7</v>
      </c>
      <c r="I45" s="1">
        <v>6</v>
      </c>
      <c r="J45" s="1">
        <f>IF(545527&gt;0,100*1624/545527,"")</f>
        <v>0.2976937896749382</v>
      </c>
      <c r="K45" s="1">
        <f>IF(814157&gt;0,100*16380/814157,"")</f>
        <v>2.0118969682751606</v>
      </c>
      <c r="L45" s="1">
        <f>IF(COUNT(J45:K45)=2,K45-J45,"")</f>
        <v>1.7142031786002225</v>
      </c>
      <c r="O45" s="1">
        <v>7</v>
      </c>
      <c r="P45" s="1">
        <v>6</v>
      </c>
      <c r="Q45" s="1">
        <f>IF(700580&gt;0,100*18395/700580,"")</f>
        <v>2.6256815781209855</v>
      </c>
      <c r="R45" s="1">
        <f>IF(711318&gt;0,100*57827/711318,"")</f>
        <v>8.1295566821028</v>
      </c>
      <c r="S45" s="1">
        <f>IF(COUNT(Q45:R45)=2,R45-Q45,"")</f>
        <v>5.503875103981814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IF(1862431&gt;0,100*571390/1862431,"")</f>
        <v>30.67979431184296</v>
      </c>
      <c r="E46" s="1">
        <f>IF(COUNT(C46:D46)=2,D46-C46,"")</f>
        <v>-10.60740467510822</v>
      </c>
      <c r="H46" s="1">
        <v>8</v>
      </c>
      <c r="I46" s="1">
        <v>7</v>
      </c>
      <c r="J46" s="1">
        <f>IF(453926&gt;0,100*2064/453926,"")</f>
        <v>0.45469966470305734</v>
      </c>
      <c r="K46" s="1">
        <f>IF(409686&gt;0,100*964/409686,"")</f>
        <v>0.23530215823826053</v>
      </c>
      <c r="L46" s="1">
        <f>IF(COUNT(J46:K46)=2,K46-J46,"")</f>
        <v>-0.2193975064647968</v>
      </c>
      <c r="O46" s="1">
        <v>8</v>
      </c>
      <c r="P46" s="1">
        <v>7</v>
      </c>
      <c r="Q46" s="1">
        <f>IF(505497&gt;0,100*20606/505497,"")</f>
        <v>4.076384231756074</v>
      </c>
      <c r="R46" s="1">
        <f>IF(479985&gt;0,100*5922/479985,"")</f>
        <v>1.2337885558923716</v>
      </c>
      <c r="S46" s="1">
        <f>IF(COUNT(Q46:R46)=2,R46-Q46,"")</f>
        <v>-2.842595675863702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IF(1640111&gt;0,100*473932/1640111,"")</f>
        <v>28.89633689427118</v>
      </c>
      <c r="E47" s="1">
        <f>IF(COUNT(C47:D47)=2,D47-C47,"")</f>
        <v>-18.347954151133386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IF(2178335&gt;0,100*797792/2178335,"")</f>
        <v>36.62393525330126</v>
      </c>
      <c r="L47" s="1">
        <f>IF(COUNT(J47:K47)=2,K47-J47,"")</f>
        <v>-6.0143655996540915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IF(1706459&gt;0,100*545960/1706459,"")</f>
        <v>31.993736737888224</v>
      </c>
      <c r="S47" s="1">
        <f>IF(COUNT(Q47:R47)=2,R47-Q47,"")</f>
        <v>-13.019809826245744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IF(496083&gt;0,100*8113/496083,"")</f>
        <v>1.635411816167859</v>
      </c>
      <c r="E48" s="1">
        <f>IF(COUNT(C48:D48)=2,D48-C48,"")</f>
        <v>-27.641462952949244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IF(683671&gt;0,100*19943/683671,"")</f>
        <v>2.9170463570928122</v>
      </c>
      <c r="L48" s="1">
        <f>IF(COUNT(J48:K48)=2,K48-J48,"")</f>
        <v>-40.939227182149175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IF(1151852&gt;0,100*183317/1151852,"")</f>
        <v>15.914978660452906</v>
      </c>
      <c r="S48" s="1">
        <f>IF(COUNT(Q48:R48)=2,R48-Q48,"")</f>
        <v>-13.483184388686553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IF(1296391&gt;0,100*375134/1296391,"")</f>
        <v>28.936794531896627</v>
      </c>
      <c r="E49" s="1">
        <f>IF(COUNT(C49:D49)=2,D49-C49,"")</f>
        <v>-13.729956930657718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IF(786885&gt;0,100*29723/786885,"")</f>
        <v>3.7772990970726346</v>
      </c>
      <c r="L49" s="1">
        <f>IF(COUNT(J49:K49)=2,K49-J49,"")</f>
        <v>-30.448709913682706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IF(1248331&gt;0,100*300519/1248331,"")</f>
        <v>24.073663155044617</v>
      </c>
      <c r="S49" s="1">
        <f>IF(COUNT(Q49:R49)=2,R49-Q49,"")</f>
        <v>-17.82527291402057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IF(1801308&gt;0,100*653314/1801308,"")</f>
        <v>36.26886684564772</v>
      </c>
      <c r="E50" s="1">
        <f>IF(COUNT(C50:D50)=2,D50-C50,"")</f>
        <v>-2.760372694511112</v>
      </c>
      <c r="H50" s="1">
        <v>12</v>
      </c>
      <c r="I50" s="1">
        <v>11</v>
      </c>
      <c r="J50" s="1">
        <f>IF(16409&gt;0,100*2109/16409,"")</f>
        <v>12.85270278505698</v>
      </c>
      <c r="K50" s="1">
        <f>IF(22477&gt;0,100*3190/22477,"")</f>
        <v>14.192285447346176</v>
      </c>
      <c r="L50" s="1">
        <f>IF(COUNT(J50:K50)=2,K50-J50,"")</f>
        <v>1.339582662289196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IF(730321&gt;0,100*40479/730321,"")</f>
        <v>5.542631253928067</v>
      </c>
      <c r="S50" s="1">
        <f>IF(COUNT(Q50:R50)=2,R50-Q50,"")</f>
        <v>-33.56137334207195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IF(726771&gt;0,100*45479/726771,"")</f>
        <v>6.2576795166565535</v>
      </c>
      <c r="E51" s="1">
        <f>IF(COUNT(C51:D51)=2,D51-C51,"")</f>
        <v>-37.878378541332594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IF(1523256&gt;0,100*341976/1523256,"")</f>
        <v>22.450330082402434</v>
      </c>
      <c r="L51" s="1">
        <f>IF(COUNT(J51:K51)=2,K51-J51,"")</f>
        <v>11.739419455689832</v>
      </c>
      <c r="O51" s="1">
        <v>13</v>
      </c>
      <c r="P51" s="1">
        <v>12</v>
      </c>
      <c r="Q51" s="1">
        <f>IF(609443&gt;0,100*13444/609443,"")</f>
        <v>2.20594871054389</v>
      </c>
      <c r="R51" s="1">
        <f>IF(1003788&gt;0,100*49895/1003788,"")</f>
        <v>4.970671097881226</v>
      </c>
      <c r="S51" s="1">
        <f>IF(COUNT(Q51:R51)=2,R51-Q51,"")</f>
        <v>2.764722387337336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IF(439897&gt;0,100*3195/439897,"")</f>
        <v>0.7263063853583908</v>
      </c>
      <c r="E52" s="1">
        <f>IF(COUNT(C52:D52)=2,D52-C52,"")</f>
        <v>0.3230094828474702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IF(1400031&gt;0,100*365048/1400031,"")</f>
        <v>26.074279783804787</v>
      </c>
      <c r="L52" s="1">
        <f>IF(COUNT(J52:K52)=2,K52-J52,"")</f>
        <v>-6.737177619491359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IF(501736&gt;0,100*5980/501736,"")</f>
        <v>1.1918618556372276</v>
      </c>
      <c r="S52" s="1">
        <f>IF(COUNT(Q52:R52)=2,R52-Q52,"")</f>
        <v>-20.510017025098197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IF(1485724&gt;0,100*455311/1485724,"")</f>
        <v>30.645732316365624</v>
      </c>
      <c r="E53" s="1">
        <f>IF(COUNT(C53:D53)=2,D53-C53,"")</f>
        <v>-0.5827851371585169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IF(1690238&gt;0,100*498853/1690238,"")</f>
        <v>29.51377261663742</v>
      </c>
      <c r="L53" s="1">
        <f>IF(COUNT(J53:K53)=2,K53-J53,"")</f>
        <v>-1.278779389845834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IF(1230558&gt;0,100*298643/1230558,"")</f>
        <v>24.268908901490217</v>
      </c>
      <c r="S53" s="1">
        <f>IF(COUNT(Q53:R53)=2,R53-Q53,"")</f>
        <v>-23.84074532027827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IF(809456&gt;0,100*188271/809456,"")</f>
        <v>23.258954161807438</v>
      </c>
      <c r="E54" s="1">
        <f>IF(COUNT(C54:D54)=2,D54-C54,"")</f>
        <v>-18.969352120453102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IF(883974&gt;0,100*121904/883974,"")</f>
        <v>13.790450850364378</v>
      </c>
      <c r="L54" s="1">
        <f>IF(COUNT(J54:K54)=2,K54-J54,"")</f>
        <v>-29.40319961004051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IF(1191764&gt;0,100*183463/1191764,"")</f>
        <v>15.394239127881024</v>
      </c>
      <c r="S54" s="1">
        <f>IF(COUNT(Q54:R54)=2,R54-Q54,"")</f>
        <v>-29.9473818008658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IF(417269&gt;0,100*13648/417269,"")</f>
        <v>3.2707917434556606</v>
      </c>
      <c r="E55" s="1">
        <f>IF(COUNT(C55:D55)=2,D55-C55,"")</f>
        <v>1.6499400841193952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IF(1675262&gt;0,100*433749/1675262,"")</f>
        <v>25.89141280587753</v>
      </c>
      <c r="L55" s="1">
        <f>IF(COUNT(J55:K55)=2,K55-J55,"")</f>
        <v>-10.490717384871203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IF(1913689&gt;0,100*547058/1913689,"")</f>
        <v>28.586567618876423</v>
      </c>
      <c r="S55" s="1">
        <f>IF(COUNT(Q55:R55)=2,R55-Q55,"")</f>
        <v>-6.58307356333988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IF(550662&gt;0,100*57060/550662,"")</f>
        <v>10.362073286335356</v>
      </c>
      <c r="E56" s="1">
        <f>IF(COUNT(C56:D56)=2,D56-C56,"")</f>
        <v>-3.94174033478175</v>
      </c>
      <c r="H56" s="1">
        <v>18</v>
      </c>
      <c r="I56" s="1">
        <v>17</v>
      </c>
      <c r="J56" s="1">
        <f>IF(2215&gt;0,100*355/2215,"")</f>
        <v>16.02708803611738</v>
      </c>
      <c r="K56" s="1">
        <f>IF(707996&gt;0,100*44314/707996,"")</f>
        <v>6.25907491002774</v>
      </c>
      <c r="L56" s="1">
        <f>IF(COUNT(J56:K56)=2,K56-J56,"")</f>
        <v>-9.76801312608964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IF(596870&gt;0,100*48709/596870,"")</f>
        <v>8.160738519275554</v>
      </c>
      <c r="S56" s="1">
        <f>IF(COUNT(Q56:R56)=2,R56-Q56,"")</f>
        <v>-38.86771203598621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IF(1509920&gt;0,100*467092/1509920,"")</f>
        <v>30.93488396736251</v>
      </c>
      <c r="E57" s="1">
        <f>IF(COUNT(C57:D57)=2,D57-C57,"")</f>
        <v>-8.604846254002183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IF(1464164&gt;0,100*395666/1464164,"")</f>
        <v>27.02333891558596</v>
      </c>
      <c r="L57" s="1">
        <f>IF(COUNT(J57:K57)=2,K57-J57,"")</f>
        <v>-6.829179653192071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IF(800721&gt;0,100*68578/800721,"")</f>
        <v>8.564531216241363</v>
      </c>
      <c r="S57" s="1">
        <f>IF(COUNT(Q57:R57)=2,R57-Q57,"")</f>
        <v>-23.729823930110832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IF(1341861&gt;0,100*384101/1341861,"")</f>
        <v>28.62449985505205</v>
      </c>
      <c r="E58" s="1">
        <f>IF(COUNT(C58:D58)=2,D58-C58,"")</f>
        <v>-14.31771958524557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IF(1569565&gt;0,100*429049/1569565,"")</f>
        <v>27.33553564204095</v>
      </c>
      <c r="L58" s="1">
        <f>IF(COUNT(J58:K58)=2,K58-J58,"")</f>
        <v>-16.582904748601475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IF(1447354&gt;0,100*330161/1447354,"")</f>
        <v>22.81135092036917</v>
      </c>
      <c r="S58" s="1">
        <f>IF(COUNT(Q58:R58)=2,R58-Q58,"")</f>
        <v>-19.439549920913127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IF(848206&gt;0,100*130762/848206,"")</f>
        <v>15.416302171878058</v>
      </c>
      <c r="E59" s="1">
        <f>IF(COUNT(C59:D59)=2,D59-C59,"")</f>
        <v>-16.982400792437723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IF(1082481&gt;0,100*98378/1082481,"")</f>
        <v>9.088196467189725</v>
      </c>
      <c r="L59" s="1">
        <f>IF(COUNT(J59:K59)=2,K59-J59,"")</f>
        <v>-28.463206383212672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IF(998083&gt;0,100*167949/998083,"")</f>
        <v>16.82715766123659</v>
      </c>
      <c r="S59" s="1">
        <f>IF(COUNT(Q59:R59)=2,R59-Q59,"")</f>
        <v>-25.15907290106957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IF(1149542&gt;0,100*302009/1149542,"")</f>
        <v>26.272115329409452</v>
      </c>
      <c r="E60" s="1">
        <f>IF(COUNT(C60:D60)=2,D60-C60,"")</f>
        <v>-18.63796059536574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IF(2223299&gt;0,100*648244/2223299,"")</f>
        <v>29.15685204734046</v>
      </c>
      <c r="L60" s="1">
        <f>IF(COUNT(J60:K60)=2,K60-J60,"")</f>
        <v>-15.623581857458408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IF(446175&gt;0,100*14693/446175,"")</f>
        <v>3.2931024822098953</v>
      </c>
      <c r="S60" s="1">
        <f>IF(COUNT(Q60:R60)=2,R60-Q60,"")</f>
        <v>-30.930967793036913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IF(348244&gt;0,100*927/348244,"")</f>
        <v>0.26619266950758663</v>
      </c>
      <c r="E61" s="1">
        <f>IF(COUNT(C61:D61)=2,D61-C61,"")</f>
        <v>0.02925045926348563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IF(1119641&gt;0,100*198435/1119641,"")</f>
        <v>17.723091598110464</v>
      </c>
      <c r="L61" s="1">
        <f>IF(COUNT(J61:K61)=2,K61-J61,"")</f>
        <v>-30.682522614523677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IF(1830799&gt;0,100*599612/1830799,"")</f>
        <v>32.751383412378964</v>
      </c>
      <c r="S61" s="1">
        <f>IF(COUNT(Q61:R61)=2,R61-Q61,"")</f>
        <v>-2.3011968492557315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IF(673110&gt;0,100*96102/673110,"")</f>
        <v>14.277309800775505</v>
      </c>
      <c r="E62" s="1">
        <f>IF(COUNT(C62:D62)=2,D62-C62,"")</f>
        <v>-6.665937979346406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IF(1460477&gt;0,100*445462/1460477,"")</f>
        <v>30.501130794938913</v>
      </c>
      <c r="L62" s="1">
        <f>IF(COUNT(J62:K62)=2,K62-J62,"")</f>
        <v>-14.12317485134503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IF(623454&gt;0,100*13475/623454,"")</f>
        <v>2.1613463062230736</v>
      </c>
      <c r="S62" s="1">
        <f>IF(COUNT(Q62:R62)=2,R62-Q62,"")</f>
        <v>-26.733297349565184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IF(1343879&gt;0,100*402926/1343879,"")</f>
        <v>29.98231239568443</v>
      </c>
      <c r="E63" s="1">
        <f>IF(COUNT(C63:D63)=2,D63-C63,"")</f>
        <v>0.7422888962297094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IF(745794&gt;0,100*35748/745794,"")</f>
        <v>4.793280718268047</v>
      </c>
      <c r="L63" s="1">
        <f>IF(COUNT(J63:K63)=2,K63-J63,"")</f>
        <v>-39.777699292735534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IF(908490&gt;0,100*117879/908490,"")</f>
        <v>12.975266651256481</v>
      </c>
      <c r="S63" s="1">
        <f>IF(COUNT(Q63:R63)=2,R63-Q63,"")</f>
        <v>-30.699421530393266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IF(16749&gt;0,100*4841/16749,"")</f>
        <v>28.903218102573287</v>
      </c>
      <c r="E64" s="1">
        <f>IF(COUNT(C64:D64)=2,D64-C64,"")</f>
        <v>-17.48796221907867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IF(1670806&gt;0,100*544049/1670806,"")</f>
        <v>32.56206884581454</v>
      </c>
      <c r="L64" s="1">
        <f>IF(COUNT(J64:K64)=2,K64-J64,"")</f>
        <v>0.5534012829646713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IF(1496127&gt;0,100*458011/1496127,"")</f>
        <v>30.613109715953257</v>
      </c>
      <c r="S64" s="1">
        <f>IF(COUNT(Q64:R64)=2,R64-Q64,"")</f>
        <v>-13.791743787387034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IF(1370955&gt;0,100*350067/1370955,"")</f>
        <v>25.5345361445124</v>
      </c>
      <c r="E65" s="1">
        <f>IF(COUNT(C65:D65)=2,D65-C65,"")</f>
        <v>-11.810031357215806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IF(1216458&gt;0,100*252141/1216458,"")</f>
        <v>20.727472711758235</v>
      </c>
      <c r="L65" s="1">
        <f>IF(COUNT(J65:K65)=2,K65-J65,"")</f>
        <v>-14.174599419082544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IF(1471009&gt;0,100*248065/1471009,"")</f>
        <v>16.863594988201974</v>
      </c>
      <c r="S65" s="1">
        <f>IF(COUNT(Q65:R65)=2,R65-Q65,"")</f>
        <v>-17.502689486542373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IF(351573&gt;0,100*4161/351573,"")</f>
        <v>1.183537984998848</v>
      </c>
      <c r="E66" s="1">
        <f>IF(COUNT(C66:D66)=2,D66-C66,"")</f>
        <v>1.0838973924149133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IF(2246593&gt;0,100*773118/2246593,"")</f>
        <v>34.412908791222975</v>
      </c>
      <c r="L66" s="1">
        <f>IF(COUNT(J66:K66)=2,K66-J66,"")</f>
        <v>-4.804475910469542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IF(1373427&gt;0,100*278645/1373427,"")</f>
        <v>20.288300725120447</v>
      </c>
      <c r="S66" s="1">
        <f>IF(COUNT(Q66:R66)=2,R66-Q66,"")</f>
        <v>-10.575792207148318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IF(1644821&gt;0,100*500018/1644821,"")</f>
        <v>30.399538916392725</v>
      </c>
      <c r="E67" s="1">
        <f>IF(COUNT(C67:D67)=2,D67-C67,"")</f>
        <v>-4.451219165107059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IF(2026570&gt;0,100*656692/2026570,"")</f>
        <v>32.40411138031255</v>
      </c>
      <c r="L67" s="1">
        <f>IF(COUNT(J67:K67)=2,K67-J67,"")</f>
        <v>-13.340839316441212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IF(1457302&gt;0,100*417182/1457302,"")</f>
        <v>28.62701073627841</v>
      </c>
      <c r="S67" s="1">
        <f>IF(COUNT(Q67:R67)=2,R67-Q67,"")</f>
        <v>-12.304919543656322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IF(1302491&gt;0,100*303630/1302491,"")</f>
        <v>23.31148545364229</v>
      </c>
      <c r="E68" s="1">
        <f>IF(COUNT(C68:D68)=2,D68-C68,"")</f>
        <v>-19.49861457284502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IF(1437394&gt;0,100*429629/1437394,"")</f>
        <v>29.889438803835276</v>
      </c>
      <c r="L68" s="1">
        <f>IF(COUNT(J68:K68)=2,K68-J68,"")</f>
        <v>-6.924088827095247</v>
      </c>
      <c r="O68" s="1">
        <v>30</v>
      </c>
      <c r="P68" s="1">
        <v>29</v>
      </c>
      <c r="Q68" s="1">
        <f>IF(653286&gt;0,100*39372/653286,"")</f>
        <v>6.026763163453679</v>
      </c>
      <c r="R68" s="1">
        <f>IF(503813&gt;0,100*12756/503813,"")</f>
        <v>2.53189179318517</v>
      </c>
      <c r="S68" s="1">
        <f>IF(COUNT(Q68:R68)=2,R68-Q68,"")</f>
        <v>-3.494871370268509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IF(610571&gt;0,100*28756/610571,"")</f>
        <v>4.7096897821874935</v>
      </c>
      <c r="E69" s="1">
        <f>IF(COUNT(C69:D69)=2,D69-C69,"")</f>
        <v>4.414057894165612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IF(1006478&gt;0,100*126981/1006478,"")</f>
        <v>12.616371147705166</v>
      </c>
      <c r="L69" s="1">
        <f>IF(COUNT(J69:K69)=2,K69-J69,"")</f>
        <v>-22.760481167309536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IF(1508356&gt;0,100*502226/1508356,"")</f>
        <v>33.29625101766427</v>
      </c>
      <c r="S69" s="1">
        <f>IF(COUNT(Q69:R69)=2,R69-Q69,"")</f>
        <v>0.675917554527075</v>
      </c>
    </row>
    <row r="70" spans="1:19">
      <c r="A70" s="2" t="s">
        <v>6</v>
      </c>
      <c r="B70" s="1"/>
      <c r="C70" s="1">
        <f>IF(COUNT(C39:C69)&gt;0,AVERAGE(C39:C69),"")</f>
        <v>30.180215695878584</v>
      </c>
      <c r="D70" s="1">
        <f>IF(COUNT(D39:D69)&gt;0,AVERAGE(D39:D69),"")</f>
        <v>19.68522947862528</v>
      </c>
      <c r="E70" s="1">
        <f>IF(COUNT(E39:E69)&gt;0,AVERAGE(E39:E69),"")</f>
        <v>-10.494986217253292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19.67575789097606</v>
      </c>
      <c r="L70" s="1">
        <f>IF(COUNT(L39:L69)&gt;0,AVERAGE(L39:L69),"")</f>
        <v>-13.319422268518883</v>
      </c>
      <c r="O70" s="2" t="s">
        <v>6</v>
      </c>
      <c r="P70" s="1"/>
      <c r="Q70" s="1">
        <f>IF(COUNT(Q39:Q69)&gt;0,AVERAGE(Q39:Q69),"")</f>
        <v>31.641731223822106</v>
      </c>
      <c r="R70" s="1">
        <f>IF(COUNT(R39:R69)&gt;0,AVERAGE(R39:R69),"")</f>
        <v>16.246497300116943</v>
      </c>
      <c r="S70" s="1">
        <f>IF(COUNT(S39:S69)&gt;0,AVERAGE(S39:S69),"")</f>
        <v>-15.395233923705156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IF(927009&gt;0,100*163824/927009,"")</f>
        <v>17.672320333459545</v>
      </c>
      <c r="E75" s="1">
        <f>IF(COUNT(C75:D75)=2,D75-C75,"")</f>
        <v>14.957156321129919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IF(1394210&gt;0,100*282268/1394210,"")</f>
        <v>20.24573055708968</v>
      </c>
      <c r="L75" s="1">
        <f>IF(COUNT(J75:K75)=2,K75-J75,"")</f>
        <v>-33.055319698829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IF(1527128&gt;0,100*288877/1527128,"")</f>
        <v>18.916358026308206</v>
      </c>
      <c r="S75" s="1">
        <f>IF(COUNT(Q75:R75)=2,R75-Q75,"")</f>
        <v>-25.165003200324232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IF(1271259&gt;0,100*365013/1271259,"")</f>
        <v>28.712717078109183</v>
      </c>
      <c r="E76" s="1">
        <f>IF(COUNT(C76:D76)=2,D76-C76,"")</f>
        <v>-8.318213804696807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IF(1926062&gt;0,100*517842/1926062,"")</f>
        <v>26.886050397131555</v>
      </c>
      <c r="L76" s="1">
        <f>IF(COUNT(J76:K76)=2,K76-J76,"")</f>
        <v>-16.618207552103954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IF(2077489&gt;0,100*491249/2077489,"")</f>
        <v>23.64628645446498</v>
      </c>
      <c r="S76" s="1">
        <f>IF(COUNT(Q76:R76)=2,R76-Q76,"")</f>
        <v>-17.214884325580943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IF(1500174&gt;0,100*423153/1500174,"")</f>
        <v>28.206927996352423</v>
      </c>
      <c r="E77" s="1">
        <f>IF(COUNT(C77:D77)=2,D77-C77,"")</f>
        <v>-11.032282199813533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IF(1068501&gt;0,100*99304/1068501,"")</f>
        <v>9.29376762398912</v>
      </c>
      <c r="L77" s="1">
        <f>IF(COUNT(J77:K77)=2,K77-J77,"")</f>
        <v>-33.16991042129967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IF(1699343&gt;0,100*502394/1699343,"")</f>
        <v>29.564013857120074</v>
      </c>
      <c r="S77" s="1">
        <f>IF(COUNT(Q77:R77)=2,R77-Q77,"")</f>
        <v>25.614832776452694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IF(1543289&gt;0,100*424735/1543289,"")</f>
        <v>27.52141692191158</v>
      </c>
      <c r="E78" s="1">
        <f>IF(COUNT(C78:D78)=2,D78-C78,"")</f>
        <v>-17.75441370691248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IF(936180&gt;0,100*23735/936180,"")</f>
        <v>2.5353030400136727</v>
      </c>
      <c r="L78" s="1">
        <f>IF(COUNT(J78:K78)=2,K78-J78,"")</f>
        <v>-44.978578591444084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IF(1772071&gt;0,100*511642/1772071,"")</f>
        <v>28.87254517454436</v>
      </c>
      <c r="S78" s="1">
        <f>IF(COUNT(Q78:R78)=2,R78-Q78,"")</f>
        <v>-23.90513317412272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IF(765610&gt;0,100*80653/765610,"")</f>
        <v>10.53447577748462</v>
      </c>
      <c r="E79" s="1">
        <f>IF(COUNT(C79:D79)=2,D79-C79,"")</f>
        <v>-38.21491890133079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IF(2091019&gt;0,100*662185/2091019,"")</f>
        <v>31.668052753227016</v>
      </c>
      <c r="L79" s="1">
        <f>IF(COUNT(J79:K79)=2,K79-J79,"")</f>
        <v>-15.153287938903297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IF(1048989&gt;0,100*234562/1048989,"")</f>
        <v>22.360768320735488</v>
      </c>
      <c r="S79" s="1">
        <f>IF(COUNT(Q79:R79)=2,R79-Q79,"")</f>
        <v>-26.571475225510746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IF(1300501&gt;0,100*274636/1300501,"")</f>
        <v>21.11770771418092</v>
      </c>
      <c r="E80" s="1">
        <f>IF(COUNT(C80:D80)=2,D80-C80,"")</f>
        <v>-17.590382333290837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IF(1953445&gt;0,100*518378/1953445,"")</f>
        <v>26.536605842498766</v>
      </c>
      <c r="L80" s="1">
        <f>IF(COUNT(J80:K80)=2,K80-J80,"")</f>
        <v>-12.763727356019182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IF(1237073&gt;0,100*183231/1237073,"")</f>
        <v>14.811656224006182</v>
      </c>
      <c r="S80" s="1">
        <f>IF(COUNT(Q80:R80)=2,R80-Q80,"")</f>
        <v>-28.007042665238547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IF(1250939&gt;0,100*404519/1250939,"")</f>
        <v>32.337228274120484</v>
      </c>
      <c r="E81" s="1">
        <f>IF(COUNT(C81:D81)=2,D81-C81,"")</f>
        <v>-9.78725632331146</v>
      </c>
      <c r="H81" s="1">
        <v>7</v>
      </c>
      <c r="I81" s="1">
        <v>6</v>
      </c>
      <c r="J81" s="1">
        <f>IF(710153&gt;0,100*3904/710153,"")</f>
        <v>0.5497406896823642</v>
      </c>
      <c r="K81" s="1">
        <f>IF(539549&gt;0,100*8453/539549,"")</f>
        <v>1.5666788373252476</v>
      </c>
      <c r="L81" s="1">
        <f>IF(COUNT(J81:K81)=2,K81-J81,"")</f>
        <v>1.0169381476428834</v>
      </c>
      <c r="O81" s="1">
        <v>7</v>
      </c>
      <c r="P81" s="1">
        <v>6</v>
      </c>
      <c r="Q81" s="1">
        <f>IF(528040&gt;0,100*6901/528040,"")</f>
        <v>1.3069085675327627</v>
      </c>
      <c r="R81" s="1">
        <f>IF(1009088&gt;0,100*51406/1009088,"")</f>
        <v>5.0943029745671335</v>
      </c>
      <c r="S81" s="1">
        <f>IF(COUNT(Q81:R81)=2,R81-Q81,"")</f>
        <v>3.7873944070343706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IF(1508528&gt;0,100*443976/1508528,"")</f>
        <v>29.431074530933465</v>
      </c>
      <c r="E82" s="1">
        <f>IF(COUNT(C82:D82)=2,D82-C82,"")</f>
        <v>-17.208360343880187</v>
      </c>
      <c r="H82" s="1">
        <v>8</v>
      </c>
      <c r="I82" s="1">
        <v>7</v>
      </c>
      <c r="J82" s="1">
        <f>IF(619510&gt;0,100*7411/619510,"")</f>
        <v>1.1962680182725056</v>
      </c>
      <c r="K82" s="1">
        <f>IF(501878&gt;0,100*431/501878,"")</f>
        <v>0.08587744431913732</v>
      </c>
      <c r="L82" s="1">
        <f>IF(COUNT(J82:K82)=2,K82-J82,"")</f>
        <v>-1.1103905739533684</v>
      </c>
      <c r="O82" s="1">
        <v>8</v>
      </c>
      <c r="P82" s="1">
        <v>7</v>
      </c>
      <c r="Q82" s="1">
        <f>IF(665002&gt;0,100*8971/665002,"")</f>
        <v>1.3490184991924836</v>
      </c>
      <c r="R82" s="1">
        <f>IF(498083&gt;0,100*11795/498083,"")</f>
        <v>2.3680792157130437</v>
      </c>
      <c r="S82" s="1">
        <f>IF(COUNT(Q82:R82)=2,R82-Q82,"")</f>
        <v>1.01906071652056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IF(1370513&gt;0,100*389803/1370513,"")</f>
        <v>28.442123496821992</v>
      </c>
      <c r="E83" s="1">
        <f>IF(COUNT(C83:D83)=2,D83-C83,"")</f>
        <v>-3.7612937091910013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IF(2367384&gt;0,100*690505/2367384,"")</f>
        <v>29.16742699959111</v>
      </c>
      <c r="L83" s="1">
        <f>IF(COUNT(J83:K83)=2,K83-J83,"")</f>
        <v>-15.717910950993737</v>
      </c>
      <c r="O83" s="1">
        <v>9</v>
      </c>
      <c r="P83" s="1">
        <v>8</v>
      </c>
      <c r="Q83" s="1">
        <f>IF(1967808&gt;0,100*766923/1967808,"")</f>
        <v>38.9734669236023</v>
      </c>
      <c r="R83" s="1">
        <f>IF(1932195&gt;0,100*603675/1932195,"")</f>
        <v>31.24296460760948</v>
      </c>
      <c r="S83" s="1">
        <f>IF(COUNT(Q83:R83)=2,R83-Q83,"")</f>
        <v>-7.730502315992823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IF(946886&gt;0,100*58566/946886,"")</f>
        <v>6.185116265315994</v>
      </c>
      <c r="E84" s="1">
        <f>IF(COUNT(C84:D84)=2,D84-C84,"")</f>
        <v>4.4918096279701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IF(1788493&gt;0,100*450407/1788493,"")</f>
        <v>25.183604297025486</v>
      </c>
      <c r="L84" s="1">
        <f>IF(COUNT(J84:K84)=2,K84-J84,"")</f>
        <v>-25.003405535894668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IF(1331250&gt;0,100*319851/1331250,"")</f>
        <v>24.026366197183098</v>
      </c>
      <c r="S84" s="1">
        <f>IF(COUNT(Q84:R84)=2,R84-Q84,"")</f>
        <v>8.013881966062474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IF(2111300&gt;0,100*633676/2111300,"")</f>
        <v>30.013546156396533</v>
      </c>
      <c r="E85" s="1">
        <f>IF(COUNT(C85:D85)=2,D85-C85,"")</f>
        <v>-17.799693206519667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IF(1147029&gt;0,100*113482/1147029,"")</f>
        <v>9.893559796657277</v>
      </c>
      <c r="L85" s="1">
        <f>IF(COUNT(J85:K85)=2,K85-J85,"")</f>
        <v>-45.55067731990891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IF(1584144&gt;0,100*236812/1584144,"")</f>
        <v>14.948893534931168</v>
      </c>
      <c r="S85" s="1">
        <f>IF(COUNT(Q85:R85)=2,R85-Q85,"")</f>
        <v>-33.6514770173842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IF(1623739&gt;0,100*447194/1623739,"")</f>
        <v>27.541002587238467</v>
      </c>
      <c r="E86" s="1">
        <f>IF(COUNT(C86:D86)=2,D86-C86,"")</f>
        <v>-15.687157661146294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IF(1599505&gt;0,100*428791/1599505,"")</f>
        <v>26.807731141822</v>
      </c>
      <c r="L86" s="1">
        <f>IF(COUNT(J86:K86)=2,K86-J86,"")</f>
        <v>-20.85572770212386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IF(1327739&gt;0,100*258544/1327739,"")</f>
        <v>19.472501749214267</v>
      </c>
      <c r="S86" s="1">
        <f>IF(COUNT(Q86:R86)=2,R86-Q86,"")</f>
        <v>-29.1676674933248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IF(768849&gt;0,100*115443/768849,"")</f>
        <v>15.015041965327391</v>
      </c>
      <c r="E87" s="1">
        <f>IF(COUNT(C87:D87)=2,D87-C87,"")</f>
        <v>-13.16960773819056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IF(787275&gt;0,100*14404/787275,"")</f>
        <v>1.8296021085389476</v>
      </c>
      <c r="L87" s="1">
        <f>IF(COUNT(J87:K87)=2,K87-J87,"")</f>
        <v>-42.763811653109755</v>
      </c>
      <c r="O87" s="1">
        <v>13</v>
      </c>
      <c r="P87" s="1">
        <v>12</v>
      </c>
      <c r="Q87" s="1">
        <f>IF(818878&gt;0,100*7212/818878,"")</f>
        <v>0.8807172741238621</v>
      </c>
      <c r="R87" s="1">
        <f>IF(771768&gt;0,100*11259/771768,"")</f>
        <v>1.4588581024349285</v>
      </c>
      <c r="S87" s="1">
        <f>IF(COUNT(Q87:R87)=2,R87-Q87,"")</f>
        <v>0.5781408283110664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IF(627335&gt;0,100*24512/627335,"")</f>
        <v>3.9073222440960573</v>
      </c>
      <c r="E88" s="1">
        <f>IF(COUNT(C88:D88)=2,D88-C88,"")</f>
        <v>-16.587545762395408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IF(1413802&gt;0,100*325288/1413802,"")</f>
        <v>23.00803082751333</v>
      </c>
      <c r="L88" s="1">
        <f>IF(COUNT(J88:K88)=2,K88-J88,"")</f>
        <v>-10.00429043739161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IF(1200559&gt;0,100*221741/1200559,"")</f>
        <v>18.469812812198317</v>
      </c>
      <c r="S88" s="1">
        <f>IF(COUNT(Q88:R88)=2,R88-Q88,"")</f>
        <v>6.507904461356626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IF(1873829&gt;0,100*577299/1873829,"")</f>
        <v>30.8085209482829</v>
      </c>
      <c r="E89" s="1">
        <f>IF(COUNT(C89:D89)=2,D89-C89,"")</f>
        <v>-11.461013996276694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IF(1671450&gt;0,100*353877/1671450,"")</f>
        <v>21.171856771067038</v>
      </c>
      <c r="L89" s="1">
        <f>IF(COUNT(J89:K89)=2,K89-J89,"")</f>
        <v>1.998737793301384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IF(1387207&gt;0,100*342368/1387207,"")</f>
        <v>24.680382956545056</v>
      </c>
      <c r="S89" s="1">
        <f>IF(COUNT(Q89:R89)=2,R89-Q89,"")</f>
        <v>-1.620479977687875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IF(1608864&gt;0,100*436126/1608864,"")</f>
        <v>27.107698351134715</v>
      </c>
      <c r="E90" s="1">
        <f>IF(COUNT(C90:D90)=2,D90-C90,"")</f>
        <v>-13.849629840830346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IF(1228647&gt;0,100*94274/1228647,"")</f>
        <v>7.672993137980233</v>
      </c>
      <c r="L90" s="1">
        <f>IF(COUNT(J90:K90)=2,K90-J90,"")</f>
        <v>-35.69657214066873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IF(1476610&gt;0,100*263250/1476610,"")</f>
        <v>17.827997914141175</v>
      </c>
      <c r="S90" s="1">
        <f>IF(COUNT(Q90:R90)=2,R90-Q90,"")</f>
        <v>-33.16020296007888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IF(504757&gt;0,100*5544/504757,"")</f>
        <v>1.0983502952906052</v>
      </c>
      <c r="E91" s="1">
        <f>IF(COUNT(C91:D91)=2,D91-C91,"")</f>
        <v>-2.59250936602407</v>
      </c>
      <c r="H91" s="1">
        <v>17</v>
      </c>
      <c r="I91" s="1">
        <v>16</v>
      </c>
      <c r="J91" s="1">
        <f>IF(88900&gt;0,100*3265/88900,"")</f>
        <v>3.6726659167604048</v>
      </c>
      <c r="K91" s="1">
        <f>IF(1555398&gt;0,100*475833/1555398,"")</f>
        <v>30.592362855037745</v>
      </c>
      <c r="L91" s="1">
        <f>IF(COUNT(J91:K91)=2,K91-J91,"")</f>
        <v>26.91969693827734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IF(2625595&gt;0,100*958364/2625595,"")</f>
        <v>36.50083124015699</v>
      </c>
      <c r="S91" s="1">
        <f>IF(COUNT(Q91:R91)=2,R91-Q91,"")</f>
        <v>-5.420576725710504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IF(604437&gt;0,100*62084/604437,"")</f>
        <v>10.27137650408562</v>
      </c>
      <c r="E92" s="1">
        <f>IF(COUNT(C92:D92)=2,D92-C92,"")</f>
        <v>-11.83606937079799</v>
      </c>
      <c r="H92" s="1">
        <v>18</v>
      </c>
      <c r="I92" s="1">
        <v>17</v>
      </c>
      <c r="J92" s="4"/>
      <c r="K92" s="1">
        <f>IF(886762&gt;0,100*52469/886762,"")</f>
        <v>5.9169202108344745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IF(1743250&gt;0,100*446336/1743250,"")</f>
        <v>25.603671303599597</v>
      </c>
      <c r="S92" s="1">
        <f>IF(COUNT(Q92:R92)=2,R92-Q92,"")</f>
        <v>-19.49801865230637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IF(1418774&gt;0,100*451904/1418774,"")</f>
        <v>31.851725503850506</v>
      </c>
      <c r="E93" s="1">
        <f>IF(COUNT(C93:D93)=2,D93-C93,"")</f>
        <v>-14.484436090951636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IF(666359&gt;0,100*27424/666359,"")</f>
        <v>4.115499302928302</v>
      </c>
      <c r="L93" s="1">
        <f>IF(COUNT(J93:K93)=2,K93-J93,"")</f>
        <v>-32.807774189930804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IF(1316421&gt;0,100*202929/1316421,"")</f>
        <v>15.415205318055547</v>
      </c>
      <c r="S93" s="1">
        <f>IF(COUNT(Q93:R93)=2,R93-Q93,"")</f>
        <v>-22.412647877207213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IF(1728889&gt;0,100*596710/1728889,"")</f>
        <v>34.514072332000495</v>
      </c>
      <c r="E94" s="1">
        <f>IF(COUNT(C94:D94)=2,D94-C94,"")</f>
        <v>-7.165305347972776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IF(1858904&gt;0,100*505707/1858904,"")</f>
        <v>27.204578611913256</v>
      </c>
      <c r="L94" s="1">
        <f>IF(COUNT(J94:K94)=2,K94-J94,"")</f>
        <v>-14.591263532017408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IF(1461272&gt;0,100*290037/1461272,"")</f>
        <v>19.848255492475047</v>
      </c>
      <c r="S94" s="1">
        <f>IF(COUNT(Q94:R94)=2,R94-Q94,"")</f>
        <v>-26.335436100031593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IF(940432&gt;0,100*179301/940432,"")</f>
        <v>19.06581230753526</v>
      </c>
      <c r="E95" s="1">
        <f>IF(COUNT(C95:D95)=2,D95-C95,"")</f>
        <v>-30.751261877710014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IF(1137971&gt;0,100*154165/1137971,"")</f>
        <v>13.54735753371571</v>
      </c>
      <c r="L95" s="1">
        <f>IF(COUNT(J95:K95)=2,K95-J95,"")</f>
        <v>-36.175530971432494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IF(745478&gt;0,100*116037/745478,"")</f>
        <v>15.565449282205511</v>
      </c>
      <c r="S95" s="1">
        <f>IF(COUNT(Q95:R95)=2,R95-Q95,"")</f>
        <v>-31.193813432193622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IF(1902609&gt;0,100*626225/1902609,"")</f>
        <v>32.91401438761196</v>
      </c>
      <c r="E96" s="1">
        <f>IF(COUNT(C96:D96)=2,D96-C96,"")</f>
        <v>6.299320904697613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IF(1743592&gt;0,100*395338/1743592,"")</f>
        <v>22.673767716300603</v>
      </c>
      <c r="L96" s="1">
        <f>IF(COUNT(J96:K96)=2,K96-J96,"")</f>
        <v>-22.96464491127123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IF(1722567&gt;0,100*368649/1722567,"")</f>
        <v>21.401141436008004</v>
      </c>
      <c r="S96" s="1">
        <f>IF(COUNT(Q96:R96)=2,R96-Q96,"")</f>
        <v>-11.758730208975955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IF(418167&gt;0,100*3518/418167,"")</f>
        <v>0.8412906805175923</v>
      </c>
      <c r="E97" s="1">
        <f>IF(COUNT(C97:D97)=2,D97-C97,"")</f>
        <v>0.720595515698635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IF(1576909&gt;0,100*531623/1576909,"")</f>
        <v>33.71297899878814</v>
      </c>
      <c r="L97" s="1">
        <f>IF(COUNT(J97:K97)=2,K97-J97,"")</f>
        <v>-15.630104731348645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IF(1876150&gt;0,100*593452/1876150,"")</f>
        <v>31.631372758041735</v>
      </c>
      <c r="S97" s="1">
        <f>IF(COUNT(Q97:R97)=2,R97-Q97,"")</f>
        <v>-10.955944581150554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IF(1099238&gt;0,100*240044/1099238,"")</f>
        <v>21.837309117770673</v>
      </c>
      <c r="E98" s="1">
        <f>IF(COUNT(C98:D98)=2,D98-C98,"")</f>
        <v>-17.836299533392676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IF(1709847&gt;0,100*468821/1709847,"")</f>
        <v>27.418886017286926</v>
      </c>
      <c r="L98" s="1">
        <f>IF(COUNT(J98:K98)=2,K98-J98,"")</f>
        <v>-15.819368309696888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IF(1902021&gt;0,100*435824/1902021,"")</f>
        <v>22.913732287919007</v>
      </c>
      <c r="S98" s="1">
        <f>IF(COUNT(Q98:R98)=2,R98-Q98,"")</f>
        <v>-17.873007820099847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IF(3076086&gt;0,100*550492/3076086,"")</f>
        <v>17.89585856832351</v>
      </c>
      <c r="E99" s="1">
        <f>IF(COUNT(C99:D99)=2,D99-C99,"")</f>
        <v>-23.547610712790387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IF(1119029&gt;0,100*44483/1119029,"")</f>
        <v>3.9751427353535966</v>
      </c>
      <c r="L99" s="1">
        <f>IF(COUNT(J99:K99)=2,K99-J99,"")</f>
        <v>-46.288501750507635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IF(1442038&gt;0,100*297728/1442038,"")</f>
        <v>20.646335256075083</v>
      </c>
      <c r="S99" s="1">
        <f>IF(COUNT(Q99:R99)=2,R99-Q99,"")</f>
        <v>-16.739036166380615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IF(1489935&gt;0,100*479019/1489935,"")</f>
        <v>32.150328705614676</v>
      </c>
      <c r="E100" s="1">
        <f>IF(COUNT(C100:D100)=2,D100-C100,"")</f>
        <v>-13.964206720679968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IF(1399589&gt;0,100*249680/1399589,"")</f>
        <v>17.839522888505126</v>
      </c>
      <c r="L100" s="1">
        <f>IF(COUNT(J100:K100)=2,K100-J100,"")</f>
        <v>12.002974422472748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IF(1573631&gt;0,100*364800/1573631,"")</f>
        <v>23.182054751082052</v>
      </c>
      <c r="S100" s="1">
        <f>IF(COUNT(Q100:R100)=2,R100-Q100,"")</f>
        <v>-30.623932375391643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IF(1938636&gt;0,100*627094/1938636,"")</f>
        <v>32.34717605574229</v>
      </c>
      <c r="E101" s="1">
        <f>IF(COUNT(C101:D101)=2,D101-C101,"")</f>
        <v>-18.62315116267211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IF(1220774&gt;0,100*151146/1220774,"")</f>
        <v>12.381161459860712</v>
      </c>
      <c r="L101" s="1">
        <f>IF(COUNT(J101:K101)=2,K101-J101,"")</f>
        <v>-12.98382088043603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IF(1667083&gt;0,100*446986/1667083,"")</f>
        <v>26.812462246930718</v>
      </c>
      <c r="S101" s="1">
        <f>IF(COUNT(Q101:R101)=2,R101-Q101,"")</f>
        <v>4.267809727082749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IF(409066&gt;0,100*2279/409066,"")</f>
        <v>0.5571228114778545</v>
      </c>
      <c r="E102" s="1">
        <f>IF(COUNT(C102:D102)=2,D102-C102,"")</f>
        <v>0.23878093188944605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IF(1570677&gt;0,100*306561/1570677,"")</f>
        <v>19.51776208603042</v>
      </c>
      <c r="L102" s="1">
        <f>IF(COUNT(J102:K102)=2,K102-J102,"")</f>
        <v>-10.827287682224274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IF(1977511&gt;0,100*655658/1977511,"")</f>
        <v>33.155719487780345</v>
      </c>
      <c r="S102" s="1">
        <f>IF(COUNT(Q102:R102)=2,R102-Q102,"")</f>
        <v>-7.039358623028463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IF(1879968&gt;0,100*759229/1879968,"")</f>
        <v>40.38520868440314</v>
      </c>
      <c r="E103" s="1">
        <f>IF(COUNT(C103:D103)=2,D103-C103,"")</f>
        <v>-6.557425881728314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IF(2249657&gt;0,100*745117/2249657,"")</f>
        <v>33.12136027847801</v>
      </c>
      <c r="L103" s="1">
        <f>IF(COUNT(J103:K103)=2,K103-J103,"")</f>
        <v>-15.74031624989231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IF(2414444&gt;0,100*927055/2414444,"")</f>
        <v>38.396210473301515</v>
      </c>
      <c r="S103" s="1">
        <f>IF(COUNT(Q103:R103)=2,R103-Q103,"")</f>
        <v>-5.369027311998195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IF(1676754&gt;0,100*504575/1676754,"")</f>
        <v>30.092368946190078</v>
      </c>
      <c r="E104" s="1">
        <f>IF(COUNT(C104:D104)=2,D104-C104,"")</f>
        <v>-16.989257740348485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IF(823112&gt;0,100*15153/823112,"")</f>
        <v>1.8409402365656193</v>
      </c>
      <c r="L104" s="1">
        <f>IF(COUNT(J104:K104)=2,K104-J104,"")</f>
        <v>-30.135367891863847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IF(652554&gt;0,100*11756/652554,"")</f>
        <v>1.801536731059805</v>
      </c>
      <c r="S104" s="1">
        <f>IF(COUNT(Q104:R104)=2,R104-Q104,"")</f>
        <v>0.4420173259695457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IF(543642&gt;0,100*5250/543642,"")</f>
        <v>0.9657090511770614</v>
      </c>
      <c r="E105" s="1">
        <f>IF(COUNT(C105:D105)=2,D105-C105,"")</f>
        <v>-26.18694825037699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IF(1669864&gt;0,100*470187/1669864,"")</f>
        <v>28.157203221340183</v>
      </c>
      <c r="L105" s="1">
        <f>IF(COUNT(J105:K105)=2,K105-J105,"")</f>
        <v>3.371726194423335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IF(1778415&gt;0,100*527182/1778415,"")</f>
        <v>29.6433622073588</v>
      </c>
      <c r="S105" s="1">
        <f>IF(COUNT(Q105:R105)=2,R105-Q105,"")</f>
        <v>-15.544126129649747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21.656192406217986</v>
      </c>
      <c r="E106" s="1">
        <f>IF(COUNT(E75:E105)&gt;0,AVERAGE(E75:E105),"")</f>
        <v>-12.130599621995025</v>
      </c>
      <c r="H106" s="2" t="s">
        <v>6</v>
      </c>
      <c r="I106" s="1"/>
      <c r="J106" s="1">
        <f>IF(COUNT(J75:J105)&gt;0,AVERAGE(J75:J105),"")</f>
        <v>36.69157069983473</v>
      </c>
      <c r="K106" s="1">
        <f>IF(COUNT(K75:K105)&gt;0,AVERAGE(K75:K105),"")</f>
        <v>17.598977926733173</v>
      </c>
      <c r="L106" s="1">
        <f>IF(COUNT(L75:L105)&gt;0,AVERAGE(L75:L105),"")</f>
        <v>-18.70319084923826</v>
      </c>
      <c r="O106" s="2" t="s">
        <v>6</v>
      </c>
      <c r="P106" s="1"/>
      <c r="Q106" s="1">
        <f>IF(COUNT(Q75:Q105)&gt;0,AVERAGE(Q75:Q105),"")</f>
        <v>34.096955178849896</v>
      </c>
      <c r="R106" s="1">
        <f>IF(COUNT(R75:R105)&gt;0,AVERAGE(R75:R105),"")</f>
        <v>21.29932672237957</v>
      </c>
      <c r="S106" s="1">
        <f>IF(COUNT(S75:S105)&gt;0,AVERAGE(S75:S105),"")</f>
        <v>-12.797628456470322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IF(721978&gt;0,100*145071/721978,"")</f>
        <v>20.093548556881235</v>
      </c>
      <c r="E3" s="1">
        <f>IF(COUNT(C3:D3)=2,D3-C3,"")</f>
        <v>-8.335859728271512</v>
      </c>
      <c r="H3" s="1">
        <v>1</v>
      </c>
      <c r="I3" s="1">
        <v>0</v>
      </c>
      <c r="J3" s="1">
        <f>IF(1145550&gt;0,100*291815/1145550,"")</f>
        <v>25.47378988258915</v>
      </c>
      <c r="K3" s="1">
        <f>IF(1011150&gt;0,100*216154/1011150,"")</f>
        <v>21.3770459377936</v>
      </c>
      <c r="L3" s="1">
        <f>IF(COUNT(J3:K3)=2,K3-J3,"")</f>
        <v>-4.0967439447955485</v>
      </c>
      <c r="O3" s="1">
        <v>1</v>
      </c>
      <c r="P3" s="1">
        <v>0</v>
      </c>
      <c r="Q3" s="1">
        <f>IF(1052174&gt;0,100*332764/1052174,"")</f>
        <v>31.626327964766283</v>
      </c>
      <c r="R3" s="1">
        <f>IF(889875&gt;0,100*159768/889875,"")</f>
        <v>17.953982300884956</v>
      </c>
      <c r="S3" s="1">
        <f>IF(COUNT(Q3:R3)=2,R3-Q3,"")</f>
        <v>-13.672345663881327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IF(983897&gt;0,100*241665/983897,"")</f>
        <v>24.562022244198324</v>
      </c>
      <c r="E4" s="1">
        <f>IF(COUNT(C4:D4)=2,D4-C4,"")</f>
        <v>-10.613727296168115</v>
      </c>
      <c r="H4" s="1">
        <v>2</v>
      </c>
      <c r="I4" s="1">
        <v>1</v>
      </c>
      <c r="J4" s="1">
        <f>IF(783729&gt;0,100*130334/783729,"")</f>
        <v>16.629983068126865</v>
      </c>
      <c r="K4" s="1">
        <f>IF(386591&gt;0,100*26976/386591,"")</f>
        <v>6.977917230354561</v>
      </c>
      <c r="L4" s="1">
        <f>IF(COUNT(J4:K4)=2,K4-J4,"")</f>
        <v>-9.652065837772305</v>
      </c>
      <c r="O4" s="1">
        <v>2</v>
      </c>
      <c r="P4" s="1">
        <v>1</v>
      </c>
      <c r="Q4" s="1">
        <f>IF(1118920&gt;0,100*356409/1118920,"")</f>
        <v>31.852947485074893</v>
      </c>
      <c r="R4" s="1">
        <f>IF(860625&gt;0,100*153836/860625,"")</f>
        <v>17.874916485112564</v>
      </c>
      <c r="S4" s="1">
        <f>IF(COUNT(Q4:R4)=2,R4-Q4,"")</f>
        <v>-13.978030999962328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IF(875412&gt;0,100*215591/875412,"")</f>
        <v>24.62737545292959</v>
      </c>
      <c r="E5" s="1">
        <f>IF(COUNT(C5:D5)=2,D5-C5,"")</f>
        <v>-12.856415684013342</v>
      </c>
      <c r="H5" s="1">
        <v>3</v>
      </c>
      <c r="I5" s="1">
        <v>2</v>
      </c>
      <c r="J5" s="1">
        <f>IF(1441835&gt;0,100*147851/1441835,"")</f>
        <v>10.25436336335295</v>
      </c>
      <c r="K5" s="1">
        <f>IF(1311022&gt;0,100*326354/1311022,"")</f>
        <v>24.89309866653649</v>
      </c>
      <c r="L5" s="1">
        <f>IF(COUNT(J5:K5)=2,K5-J5,"")</f>
        <v>14.63873530318354</v>
      </c>
      <c r="O5" s="1">
        <v>3</v>
      </c>
      <c r="P5" s="1">
        <v>2</v>
      </c>
      <c r="Q5" s="1">
        <f>IF(1270809&gt;0,100*397332/1270809,"")</f>
        <v>31.266067520768267</v>
      </c>
      <c r="R5" s="1">
        <f>IF(1006092&gt;0,100*212083/1006092,"")</f>
        <v>21.0798813627382</v>
      </c>
      <c r="S5" s="1">
        <f>IF(COUNT(Q5:R5)=2,R5-Q5,"")</f>
        <v>-10.186186158030068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IF(846435&gt;0,100*208343/846435,"")</f>
        <v>24.614175926090013</v>
      </c>
      <c r="E6" s="1">
        <f>IF(COUNT(C6:D6)=2,D6-C6,"")</f>
        <v>-12.552467211689375</v>
      </c>
      <c r="H6" s="1">
        <v>4</v>
      </c>
      <c r="I6" s="1">
        <v>3</v>
      </c>
      <c r="J6" s="1">
        <f>IF(784417&gt;0,100*123870/784417,"")</f>
        <v>15.791345674558302</v>
      </c>
      <c r="K6" s="1">
        <f>IF(748639&gt;0,100*96610/748639,"")</f>
        <v>12.904751155096115</v>
      </c>
      <c r="L6" s="1">
        <f>IF(COUNT(J6:K6)=2,K6-J6,"")</f>
        <v>-2.8865945194621876</v>
      </c>
      <c r="O6" s="1">
        <v>4</v>
      </c>
      <c r="P6" s="1">
        <v>3</v>
      </c>
      <c r="Q6" s="1">
        <f>IF(519550&gt;0,100*16403/519550,"")</f>
        <v>3.1571552304879225</v>
      </c>
      <c r="R6" s="1">
        <f>IF(559232&gt;0,100*34121/559232,"")</f>
        <v>6.1014033531700615</v>
      </c>
      <c r="S6" s="1">
        <f>IF(COUNT(Q6:R6)=2,R6-Q6,"")</f>
        <v>2.944248122682139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IF(958969&gt;0,100*237498/958969,"")</f>
        <v>24.765972622681232</v>
      </c>
      <c r="E7" s="1">
        <f>IF(COUNT(C7:D7)=2,D7-C7,"")</f>
        <v>-10.864750261167217</v>
      </c>
      <c r="H7" s="1">
        <v>5</v>
      </c>
      <c r="I7" s="1">
        <v>4</v>
      </c>
      <c r="J7" s="1">
        <f>IF(1148710&gt;0,100*342477/1148710,"")</f>
        <v>29.814052284736793</v>
      </c>
      <c r="K7" s="1">
        <f>IF(614388&gt;0,100*90418/614388,"")</f>
        <v>14.716758790861801</v>
      </c>
      <c r="L7" s="1">
        <f>IF(COUNT(J7:K7)=2,K7-J7,"")</f>
        <v>-15.097293493874991</v>
      </c>
      <c r="O7" s="1">
        <v>5</v>
      </c>
      <c r="P7" s="1">
        <v>4</v>
      </c>
      <c r="Q7" s="1">
        <f>IF(1286267&gt;0,100*497044/1286267,"")</f>
        <v>38.64236585405674</v>
      </c>
      <c r="R7" s="1">
        <f>IF(1133276&gt;0,100*256950/1133276,"")</f>
        <v>22.673205821000355</v>
      </c>
      <c r="S7" s="1">
        <f>IF(COUNT(Q7:R7)=2,R7-Q7,"")</f>
        <v>-15.969160033056387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IF(739329&gt;0,100*138782/739329,"")</f>
        <v>18.77134536857069</v>
      </c>
      <c r="E8" s="1">
        <f>IF(COUNT(C8:D8)=2,D8-C8,"")</f>
        <v>-8.360039283629849</v>
      </c>
      <c r="H8" s="1">
        <v>6</v>
      </c>
      <c r="I8" s="1">
        <v>5</v>
      </c>
      <c r="J8" s="1">
        <f>IF(1039225&gt;0,100*246415/1039225,"")</f>
        <v>23.71141956746614</v>
      </c>
      <c r="K8" s="1">
        <f>IF(1423819&gt;0,100*206630/1423819,"")</f>
        <v>14.512378328987042</v>
      </c>
      <c r="L8" s="1">
        <f>IF(COUNT(J8:K8)=2,K8-J8,"")</f>
        <v>-9.199041238479099</v>
      </c>
      <c r="O8" s="1">
        <v>6</v>
      </c>
      <c r="P8" s="1">
        <v>5</v>
      </c>
      <c r="Q8" s="1">
        <f>IF(1125005&gt;0,100*295084/1125005,"")</f>
        <v>26.229572313011943</v>
      </c>
      <c r="R8" s="1">
        <f>IF(972506&gt;0,100*183989/972506,"")</f>
        <v>18.919060653610362</v>
      </c>
      <c r="S8" s="1">
        <f>IF(COUNT(Q8:R8)=2,R8-Q8,"")</f>
        <v>-7.31051165940158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IF(1144006&gt;0,100*251117/1144006,"")</f>
        <v>21.95067158738678</v>
      </c>
      <c r="E9" s="1">
        <f>IF(COUNT(C9:D9)=2,D9-C9,"")</f>
        <v>-14.993213687963774</v>
      </c>
      <c r="H9" s="1">
        <v>7</v>
      </c>
      <c r="I9" s="1">
        <v>6</v>
      </c>
      <c r="J9" s="1">
        <f>IF(356727&gt;0,100*3261/356727,"")</f>
        <v>0.9141444297740289</v>
      </c>
      <c r="K9" s="1">
        <f>IF(411808&gt;0,100*21096/411808,"")</f>
        <v>5.122775662444634</v>
      </c>
      <c r="L9" s="1">
        <f>IF(COUNT(J9:K9)=2,K9-J9,"")</f>
        <v>4.208631232670605</v>
      </c>
      <c r="O9" s="1">
        <v>7</v>
      </c>
      <c r="P9" s="1">
        <v>6</v>
      </c>
      <c r="Q9" s="1">
        <f>IF(851852&gt;0,100*240424/851852,"")</f>
        <v>28.223682048055295</v>
      </c>
      <c r="R9" s="1">
        <f>IF(503797&gt;0,100*29335/503797,"")</f>
        <v>5.822781795048402</v>
      </c>
      <c r="S9" s="1">
        <f>IF(COUNT(Q9:R9)=2,R9-Q9,"")</f>
        <v>-22.400900253006892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IF(1209407&gt;0,100*345185/1209407,"")</f>
        <v>28.541673729356617</v>
      </c>
      <c r="E10" s="1">
        <f>IF(COUNT(C10:D10)=2,D10-C10,"")</f>
        <v>-12.89434262811396</v>
      </c>
      <c r="H10" s="1">
        <v>8</v>
      </c>
      <c r="I10" s="1">
        <v>7</v>
      </c>
      <c r="J10" s="1">
        <f>IF(278589&gt;0,100*275/278589,"")</f>
        <v>0.09871172228623527</v>
      </c>
      <c r="K10" s="1">
        <f>IF(283728&gt;0,100*272/283728,"")</f>
        <v>0.09586646365533187</v>
      </c>
      <c r="L10" s="1">
        <f>IF(COUNT(J10:K10)=2,K10-J10,"")</f>
        <v>-0.0028452586309034023</v>
      </c>
      <c r="O10" s="1">
        <v>8</v>
      </c>
      <c r="P10" s="1">
        <v>7</v>
      </c>
      <c r="Q10" s="1">
        <f>IF(313581&gt;0,100*3447/313581,"")</f>
        <v>1.09923751757919</v>
      </c>
      <c r="R10" s="1">
        <f>IF(367133&gt;0,100*14808/367133,"")</f>
        <v>4.0334156831448</v>
      </c>
      <c r="S10" s="1">
        <f>IF(COUNT(Q10:R10)=2,R10-Q10,"")</f>
        <v>2.9341781655656103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IF(1033272&gt;0,100*243774/1033272,"")</f>
        <v>23.592432583095256</v>
      </c>
      <c r="E11" s="1">
        <f>IF(COUNT(C11:D11)=2,D11-C11,"")</f>
        <v>-12.651508325663915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IF(1259280&gt;0,100*339724/1259280,"")</f>
        <v>26.977638015373863</v>
      </c>
      <c r="L11" s="1">
        <f>IF(COUNT(J11:K11)=2,K11-J11,"")</f>
        <v>-2.7261418430852764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IF(1034483&gt;0,100*260262/1034483,"")</f>
        <v>25.15865412964737</v>
      </c>
      <c r="S11" s="1">
        <f>IF(COUNT(Q11:R11)=2,R11-Q11,"")</f>
        <v>-4.841291134417027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IF(583849&gt;0,100*23191/583849,"")</f>
        <v>3.9720886736125265</v>
      </c>
      <c r="E12" s="1">
        <f>IF(COUNT(C12:D12)=2,D12-C12,"")</f>
        <v>-27.500105134708456</v>
      </c>
      <c r="H12" s="1">
        <v>10</v>
      </c>
      <c r="I12" s="1">
        <v>9</v>
      </c>
      <c r="J12" s="1">
        <f>IF(747366&gt;0,100*179400/747366,"")</f>
        <v>24.00430311253121</v>
      </c>
      <c r="K12" s="1">
        <f>IF(494492&gt;0,100*29255/494492,"")</f>
        <v>5.916172556886663</v>
      </c>
      <c r="L12" s="1">
        <f>IF(COUNT(J12:K12)=2,K12-J12,"")</f>
        <v>-18.088130555644547</v>
      </c>
      <c r="O12" s="1">
        <v>10</v>
      </c>
      <c r="P12" s="1">
        <v>9</v>
      </c>
      <c r="Q12" s="1">
        <f>IF(738636&gt;0,100*147882/738636,"")</f>
        <v>20.0209575487791</v>
      </c>
      <c r="R12" s="1">
        <f>IF(608893&gt;0,100*26350/608893,"")</f>
        <v>4.3275255258313035</v>
      </c>
      <c r="S12" s="1">
        <f>IF(COUNT(Q12:R12)=2,R12-Q12,"")</f>
        <v>-15.693432022947798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IF(1179660&gt;0,100*323880/1179660,"")</f>
        <v>27.455368496007324</v>
      </c>
      <c r="E13" s="1">
        <f>IF(COUNT(C13:D13)=2,D13-C13,"")</f>
        <v>-1.293963304433504</v>
      </c>
      <c r="H13" s="1">
        <v>11</v>
      </c>
      <c r="I13" s="1">
        <v>10</v>
      </c>
      <c r="J13" s="1">
        <f>IF(602395&gt;0,100*29717/602395,"")</f>
        <v>4.933141875347571</v>
      </c>
      <c r="K13" s="1">
        <f>IF(499224&gt;0,100*44639/499224,"")</f>
        <v>8.94167748345432</v>
      </c>
      <c r="L13" s="1">
        <f>IF(COUNT(J13:K13)=2,K13-J13,"")</f>
        <v>4.008535608106749</v>
      </c>
      <c r="O13" s="1">
        <v>11</v>
      </c>
      <c r="P13" s="1">
        <v>10</v>
      </c>
      <c r="Q13" s="1">
        <f>IF(540292&gt;0,100*4137/540292,"")</f>
        <v>0.7656970675116419</v>
      </c>
      <c r="R13" s="1">
        <f>IF(829075&gt;0,100*87486/829075,"")</f>
        <v>10.55224195639719</v>
      </c>
      <c r="S13" s="1">
        <f>IF(COUNT(Q13:R13)=2,R13-Q13,"")</f>
        <v>9.786544888885548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IF(1390043&gt;0,100*375646/1390043,"")</f>
        <v>27.024056090351163</v>
      </c>
      <c r="E14" s="1">
        <f>IF(COUNT(C14:D14)=2,D14-C14,"")</f>
        <v>-7.479370183410939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IF(612383&gt;0,100*56330/612383,"")</f>
        <v>9.198491793534439</v>
      </c>
      <c r="L14" s="1">
        <f>IF(COUNT(J14:K14)=2,K14-J14,"")</f>
        <v>5.875683483331081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IF(636103&gt;0,100*29383/636103,"")</f>
        <v>4.619220472156239</v>
      </c>
      <c r="S14" s="1">
        <f>IF(COUNT(Q14:R14)=2,R14-Q14,"")</f>
        <v>-31.743986724564866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IF(774032&gt;0,100*116953/774032,"")</f>
        <v>15.109582032784175</v>
      </c>
      <c r="E15" s="1">
        <f>IF(COUNT(C15:D15)=2,D15-C15,"")</f>
        <v>-17.13360330229498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IF(946784&gt;0,100*197105/946784,"")</f>
        <v>20.818370399161793</v>
      </c>
      <c r="L15" s="1">
        <f>IF(COUNT(J15:K15)=2,K15-J15,"")</f>
        <v>-16.40797788285272</v>
      </c>
      <c r="O15" s="1">
        <v>13</v>
      </c>
      <c r="P15" s="1">
        <v>12</v>
      </c>
      <c r="Q15" s="1">
        <f>IF(521892&gt;0,100*47266/521892,"")</f>
        <v>9.0566630643888</v>
      </c>
      <c r="R15" s="1">
        <f>IF(1125841&gt;0,100*284753/1125841,"")</f>
        <v>25.292470251127824</v>
      </c>
      <c r="S15" s="1">
        <f>IF(COUNT(Q15:R15)=2,R15-Q15,"")</f>
        <v>16.235807186739024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IF(533160&gt;0,100*46353/533160,"")</f>
        <v>8.694013054242628</v>
      </c>
      <c r="E16" s="1">
        <f>IF(COUNT(C16:D16)=2,D16-C16,"")</f>
        <v>-13.99505240848011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IF(684154&gt;0,100*103746/684154,"")</f>
        <v>15.16412971348556</v>
      </c>
      <c r="L16" s="1">
        <f>IF(COUNT(J16:K16)=2,K16-J16,"")</f>
        <v>-7.005992067226126</v>
      </c>
      <c r="O16" s="1">
        <v>14</v>
      </c>
      <c r="P16" s="1">
        <v>13</v>
      </c>
      <c r="Q16" s="1">
        <f>IF(385878&gt;0,100*7402/385878,"")</f>
        <v>1.9182228580017517</v>
      </c>
      <c r="R16" s="1">
        <f>IF(677072&gt;0,100*104534/677072,"")</f>
        <v>15.439126119526431</v>
      </c>
      <c r="S16" s="1">
        <f>IF(COUNT(Q16:R16)=2,R16-Q16,"")</f>
        <v>13.52090326152468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IF(917639&gt;0,100*195909/917639,"")</f>
        <v>21.34924518247372</v>
      </c>
      <c r="E17" s="1">
        <f>IF(COUNT(C17:D17)=2,D17-C17,"")</f>
        <v>-11.670911196855744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IF(946989&gt;0,100*190231/946989,"")</f>
        <v>20.087984126531566</v>
      </c>
      <c r="L17" s="1">
        <f>IF(COUNT(J17:K17)=2,K17-J17,"")</f>
        <v>-18.69136587801328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IF(1127620&gt;0,100*246903/1127620,"")</f>
        <v>21.895940121672194</v>
      </c>
      <c r="S17" s="1">
        <f>IF(COUNT(Q17:R17)=2,R17-Q17,"")</f>
        <v>-10.781462686559724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IF(1404551&gt;0,100*444210/1404551,"")</f>
        <v>31.626477073456215</v>
      </c>
      <c r="E18" s="1">
        <f>IF(COUNT(C18:D18)=2,D18-C18,"")</f>
        <v>-2.8067961948977285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IF(493679&gt;0,100*32231/493679,"")</f>
        <v>6.528736284103638</v>
      </c>
      <c r="L18" s="1">
        <f>IF(COUNT(J18:K18)=2,K18-J18,"")</f>
        <v>-23.55450956012358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IF(1141012&gt;0,100*292060/1141012,"")</f>
        <v>25.596575671421512</v>
      </c>
      <c r="S18" s="1">
        <f>IF(COUNT(Q18:R18)=2,R18-Q18,"")</f>
        <v>-7.671447404683228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IF(325252&gt;0,100*9745/325252,"")</f>
        <v>2.9961383788570095</v>
      </c>
      <c r="E19" s="1">
        <f>IF(COUNT(C19:D19)=2,D19-C19,"")</f>
        <v>-6.103915911693241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IF(916777&gt;0,100*244871/916777,"")</f>
        <v>26.709985089067462</v>
      </c>
      <c r="L19" s="1">
        <f>IF(COUNT(J19:K19)=2,K19-J19,"")</f>
        <v>-10.664779385228247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IF(891127&gt;0,100*185286/891127,"")</f>
        <v>20.79232253090749</v>
      </c>
      <c r="S19" s="1">
        <f>IF(COUNT(Q19:R19)=2,R19-Q19,"")</f>
        <v>-0.4590252341343124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IF(344930&gt;0,100*11058/344930,"")</f>
        <v>3.205867857246398</v>
      </c>
      <c r="E20" s="1">
        <f>IF(COUNT(C20:D20)=2,D20-C20,"")</f>
        <v>2.522523741982324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IF(685994&gt;0,100*54814/685994,"")</f>
        <v>7.990448896054485</v>
      </c>
      <c r="L20" s="1">
        <f>IF(COUNT(J20:K20)=2,K20-J20,"")</f>
        <v>-17.274402234045308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IF(859762&gt;0,100*155764/859762,"")</f>
        <v>18.117106827238235</v>
      </c>
      <c r="S20" s="1">
        <f>IF(COUNT(Q20:R20)=2,R20-Q20,"")</f>
        <v>-11.345527267815239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IF(1094137&gt;0,100*247771/1094137,"")</f>
        <v>22.645336004540564</v>
      </c>
      <c r="E21" s="1">
        <f>IF(COUNT(C21:D21)=2,D21-C21,"")</f>
        <v>-12.8170678521214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IF(1705863&gt;0,100*67910/1705863,"")</f>
        <v>3.9809761979713496</v>
      </c>
      <c r="L21" s="1">
        <f>IF(COUNT(J21:K21)=2,K21-J21,"")</f>
        <v>-11.483594869289837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IF(943321&gt;0,100*200732/943321,"")</f>
        <v>21.27928881048975</v>
      </c>
      <c r="S21" s="1">
        <f>IF(COUNT(Q21:R21)=2,R21-Q21,"")</f>
        <v>1.981328781188754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IF(771424&gt;0,100*156767/771424,"")</f>
        <v>20.3217685734434</v>
      </c>
      <c r="E22" s="1">
        <f>IF(COUNT(C22:D22)=2,D22-C22,"")</f>
        <v>-12.473797781288205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IF(892818&gt;0,100*158683/892818,"")</f>
        <v>17.77327518038391</v>
      </c>
      <c r="L22" s="1">
        <f>IF(COUNT(J22:K22)=2,K22-J22,"")</f>
        <v>6.534285550200375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IF(1080304&gt;0,100*169877/1080304,"")</f>
        <v>15.724925576504392</v>
      </c>
      <c r="S22" s="1">
        <f>IF(COUNT(Q22:R22)=2,R22-Q22,"")</f>
        <v>-13.343254608853753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IF(668743&gt;0,100*103610/668743,"")</f>
        <v>15.493246284447089</v>
      </c>
      <c r="E23" s="1">
        <f>IF(COUNT(C23:D23)=2,D23-C23,"")</f>
        <v>-8.954758425086489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IF(719302&gt;0,100*114205/719302,"")</f>
        <v>15.877197616578293</v>
      </c>
      <c r="L23" s="1">
        <f>IF(COUNT(J23:K23)=2,K23-J23,"")</f>
        <v>-22.52187393288706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IF(1149655&gt;0,100*266707/1149655,"")</f>
        <v>23.198872705289848</v>
      </c>
      <c r="S23" s="1">
        <f>IF(COUNT(Q23:R23)=2,R23-Q23,"")</f>
        <v>-0.22239843547377092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IF(819975&gt;0,100*163968/819975,"")</f>
        <v>19.996707216683436</v>
      </c>
      <c r="E24" s="1">
        <f>IF(COUNT(C24:D24)=2,D24-C24,"")</f>
        <v>-14.360257595257838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IF(1075594&gt;0,100*266050/1075594,"")</f>
        <v>24.73516959001259</v>
      </c>
      <c r="L24" s="1">
        <f>IF(COUNT(J24:K24)=2,K24-J24,"")</f>
        <v>-6.14194496549592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IF(919397&gt;0,100*225857/919397,"")</f>
        <v>24.56577517655594</v>
      </c>
      <c r="S24" s="1">
        <f>IF(COUNT(Q24:R24)=2,R24-Q24,"")</f>
        <v>1.4279696129641373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IF(262413&gt;0,100*427/262413,"")</f>
        <v>0.16272059692164642</v>
      </c>
      <c r="E25" s="1">
        <f>IF(COUNT(C25:D25)=2,D25-C25,"")</f>
        <v>-0.06330261627322223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IF(814936&gt;0,100*183327/814936,"")</f>
        <v>22.495876976842354</v>
      </c>
      <c r="L25" s="1">
        <f>IF(COUNT(J25:K25)=2,K25-J25,"")</f>
        <v>3.9810980248671086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IF(490062&gt;0,100*43708/490062,"")</f>
        <v>8.91887148972987</v>
      </c>
      <c r="S25" s="1">
        <f>IF(COUNT(Q25:R25)=2,R25-Q25,"")</f>
        <v>-23.350901563948437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IF(350904&gt;0,100*3906/350904,"")</f>
        <v>1.1131249572532658</v>
      </c>
      <c r="E26" s="1">
        <f>IF(COUNT(C26:D26)=2,D26-C26,"")</f>
        <v>-20.12041685515733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IF(777131&gt;0,100*106511/777131,"")</f>
        <v>13.705668671047738</v>
      </c>
      <c r="L26" s="1">
        <f>IF(COUNT(J26:K26)=2,K26-J26,"")</f>
        <v>-18.947798490758913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IF(1059772&gt;0,100*292495/1059772,"")</f>
        <v>27.599804486247987</v>
      </c>
      <c r="S26" s="1">
        <f>IF(COUNT(Q26:R26)=2,R26-Q26,"")</f>
        <v>1.3346801705832618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IF(1002220&gt;0,100*235209/1002220,"")</f>
        <v>23.468799265630302</v>
      </c>
      <c r="E27" s="1">
        <f>IF(COUNT(C27:D27)=2,D27-C27,"")</f>
        <v>-13.59904228576557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IF(405945&gt;0,100*13337/405945,"")</f>
        <v>3.2854204387293846</v>
      </c>
      <c r="L27" s="1">
        <f>IF(COUNT(J27:K27)=2,K27-J27,"")</f>
        <v>-17.254054567894705</v>
      </c>
      <c r="O27" s="1">
        <v>25</v>
      </c>
      <c r="P27" s="1">
        <v>24</v>
      </c>
      <c r="Q27" s="1">
        <f>IF(682080&gt;0,100*56444/682080,"")</f>
        <v>8.275275627492377</v>
      </c>
      <c r="R27" s="1">
        <f>IF(642786&gt;0,100*95069/642786,"")</f>
        <v>14.790147887477325</v>
      </c>
      <c r="S27" s="1">
        <f>IF(COUNT(Q27:R27)=2,R27-Q27,"")</f>
        <v>6.514872259984948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IF(906869&gt;0,100*217765/906869,"")</f>
        <v>24.01283978171048</v>
      </c>
      <c r="E28" s="1">
        <f>IF(COUNT(C28:D28)=2,D28-C28,"")</f>
        <v>-15.978966486798708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IF(983455&gt;0,100*194908/983455,"")</f>
        <v>19.81870039808634</v>
      </c>
      <c r="L28" s="1">
        <f>IF(COUNT(J28:K28)=2,K28-J28,"")</f>
        <v>-12.14615980070056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IF(810233&gt;0,100*129948/810233,"")</f>
        <v>16.038349462438582</v>
      </c>
      <c r="S28" s="1">
        <f>IF(COUNT(Q28:R28)=2,R28-Q28,"")</f>
        <v>-15.36195038763638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IF(1193490&gt;0,100*329808/1193490,"")</f>
        <v>27.633913983359726</v>
      </c>
      <c r="E29" s="1">
        <f>IF(COUNT(C29:D29)=2,D29-C29,"")</f>
        <v>-2.245610788806996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IF(702379&gt;0,100*104645/702379,"")</f>
        <v>14.898651582692535</v>
      </c>
      <c r="L29" s="1">
        <f>IF(COUNT(J29:K29)=2,K29-J29,"")</f>
        <v>-1.7641868214595835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IF(1230340&gt;0,100*293665/1230340,"")</f>
        <v>23.868605426142366</v>
      </c>
      <c r="S29" s="1">
        <f>IF(COUNT(Q29:R29)=2,R29-Q29,"")</f>
        <v>-15.83505556819948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IF(263049&gt;0,100*282/263049,"")</f>
        <v>0.10720436116464993</v>
      </c>
      <c r="E30" s="1">
        <f>IF(COUNT(C30:D30)=2,D30-C30,"")</f>
        <v>0.03406407733439666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IF(771470&gt;0,100*94773/771470,"")</f>
        <v>12.284729153434352</v>
      </c>
      <c r="L30" s="1">
        <f>IF(COUNT(J30:K30)=2,K30-J30,"")</f>
        <v>-21.386558698756215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IF(809909&gt;0,100*135103/809909,"")</f>
        <v>16.681256783169466</v>
      </c>
      <c r="S30" s="1">
        <f>IF(COUNT(Q30:R30)=2,R30-Q30,"")</f>
        <v>-11.222334270491775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IF(1418589&gt;0,100*352738/1418589,"")</f>
        <v>24.86541203970988</v>
      </c>
      <c r="E31" s="1">
        <f>IF(COUNT(C31:D31)=2,D31-C31,"")</f>
        <v>-11.284580728485452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IF(1267282&gt;0,100*303521/1267282,"")</f>
        <v>23.95054928579432</v>
      </c>
      <c r="L31" s="1">
        <f>IF(COUNT(J31:K31)=2,K31-J31,"")</f>
        <v>-12.445317306116852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IF(1077962&gt;0,100*212909/1077962,"")</f>
        <v>19.75106729179693</v>
      </c>
      <c r="S31" s="1">
        <f>IF(COUNT(Q31:R31)=2,R31-Q31,"")</f>
        <v>-17.13361752589865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IF(305072&gt;0,100*54407/305072,"")</f>
        <v>17.834150626737294</v>
      </c>
      <c r="E32" s="1">
        <f>IF(COUNT(C32:D32)=2,D32-C32,"")</f>
        <v>-19.671701654826546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IF(813838&gt;0,100*126310/813838,"")</f>
        <v>15.520287821409175</v>
      </c>
      <c r="L32" s="1">
        <f>IF(COUNT(J32:K32)=2,K32-J32,"")</f>
        <v>-14.263276777117001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IF(732242&gt;0,100*80359/732242,"")</f>
        <v>10.974377323343921</v>
      </c>
      <c r="S32" s="1">
        <f>IF(COUNT(Q32:R32)=2,R32-Q32,"")</f>
        <v>-14.860352934364167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IF(482053&gt;0,100*605/482053,"")</f>
        <v>0.12550487187093534</v>
      </c>
      <c r="E33" s="1">
        <f>IF(COUNT(C33:D33)=2,D33-C33,"")</f>
        <v>-1.5109521316907046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IF(1126086&gt;0,100*308498/1126086,"")</f>
        <v>27.39559855996789</v>
      </c>
      <c r="L33" s="1">
        <f>IF(COUNT(J33:K33)=2,K33-J33,"")</f>
        <v>-1.987252810492194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IF(1081893&gt;0,100*238931/1081893,"")</f>
        <v>22.08453146475668</v>
      </c>
      <c r="S33" s="1">
        <f>IF(COUNT(Q33:R33)=2,R33-Q33,"")</f>
        <v>-14.861528765960806</v>
      </c>
    </row>
    <row r="34" spans="1:19">
      <c r="A34" s="2" t="s">
        <v>6</v>
      </c>
      <c r="B34" s="1"/>
      <c r="C34" s="1">
        <f>IF(COUNT(C3:C33)&gt;0,AVERAGE(C3:C33),"")</f>
        <v>28.172990083851328</v>
      </c>
      <c r="D34" s="1">
        <f>IF(COUNT(D3:D33)&gt;0,AVERAGE(D3:D33),"")</f>
        <v>17.765573660441728</v>
      </c>
      <c r="E34" s="1">
        <f>IF(COUNT(E3:E33)&gt;0,AVERAGE(E3:E33),"")</f>
        <v>-10.407416423409595</v>
      </c>
      <c r="H34" s="2" t="s">
        <v>6</v>
      </c>
      <c r="I34" s="1"/>
      <c r="J34" s="1">
        <f>IF(COUNT(J3:J33)&gt;0,AVERAGE(J3:J33),"")</f>
        <v>23.261266503360552</v>
      </c>
      <c r="K34" s="1">
        <f>IF(COUNT(K3:K33)&gt;0,AVERAGE(K3:K33),"")</f>
        <v>14.988913808591404</v>
      </c>
      <c r="L34" s="1">
        <f>IF(COUNT(L3:L33)&gt;0,AVERAGE(L3:L33),"")</f>
        <v>-8.272352694769145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17.1524420949864</v>
      </c>
      <c r="S34" s="1">
        <f>IF(COUNT(S3:S33)&gt;0,AVERAGE(S3:S33),"")</f>
        <v>-7.598844156553867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IF(590857&gt;0,100*31990/590857,"")</f>
        <v>5.414169587565181</v>
      </c>
      <c r="E39" s="1">
        <f>IF(COUNT(C39:D39)=2,D39-C39,"")</f>
        <v>-7.643082043460418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IF(1252557&gt;0,100*351560/1252557,"")</f>
        <v>28.067385356514713</v>
      </c>
      <c r="L39" s="1">
        <f>IF(COUNT(J39:K39)=2,K39-J39,"")</f>
        <v>-3.2001216734625224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IF(1641953&gt;0,100*423070/1641953,"")</f>
        <v>25.766267365752856</v>
      </c>
      <c r="S39" s="1">
        <f>IF(COUNT(Q39:R39)=2,R39-Q39,"")</f>
        <v>7.393616216610653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IF(1817602&gt;0,100*251895/1817602,"")</f>
        <v>13.858644521737983</v>
      </c>
      <c r="E40" s="1">
        <f>IF(COUNT(C40:D40)=2,D40-C40,"")</f>
        <v>-15.374797781801792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IF(1948371&gt;0,100*555032/1948371,"")</f>
        <v>28.486977069562215</v>
      </c>
      <c r="L40" s="1">
        <f>IF(COUNT(J40:K40)=2,K40-J40,"")</f>
        <v>-9.60857718762162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IF(1306845&gt;0,100*269894/1306845,"")</f>
        <v>20.652334439049774</v>
      </c>
      <c r="S40" s="1">
        <f>IF(COUNT(Q40:R40)=2,R40-Q40,"")</f>
        <v>-20.837109528618882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IF(1649767&gt;0,100*539093/1649767,"")</f>
        <v>32.67691740712476</v>
      </c>
      <c r="E41" s="1">
        <f>IF(COUNT(C41:D41)=2,D41-C41,"")</f>
        <v>-6.595901130073884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IF(672977&gt;0,100*23862/672977,"")</f>
        <v>3.54573781867731</v>
      </c>
      <c r="L41" s="1">
        <f>IF(COUNT(J41:K41)=2,K41-J41,"")</f>
        <v>-34.44734302640188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IF(1419311&gt;0,100*294978/1419311,"")</f>
        <v>20.783182826033194</v>
      </c>
      <c r="S41" s="1">
        <f>IF(COUNT(Q41:R41)=2,R41-Q41,"")</f>
        <v>-19.74268825356098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IF(1242290&gt;0,100*288218/1242290,"")</f>
        <v>23.20054093649631</v>
      </c>
      <c r="E42" s="1">
        <f>IF(COUNT(C42:D42)=2,D42-C42,"")</f>
        <v>-18.793538929780993</v>
      </c>
      <c r="H42" s="1">
        <v>4</v>
      </c>
      <c r="I42" s="1">
        <v>3</v>
      </c>
      <c r="J42" s="1">
        <f>IF(778520&gt;0,100*44764/778520,"")</f>
        <v>5.749884396033499</v>
      </c>
      <c r="K42" s="1">
        <f>IF(653101&gt;0,100*25443/653101,"")</f>
        <v>3.8957221011757754</v>
      </c>
      <c r="L42" s="1">
        <f>IF(COUNT(J42:K42)=2,K42-J42,"")</f>
        <v>-1.8541622948577237</v>
      </c>
      <c r="O42" s="1">
        <v>4</v>
      </c>
      <c r="P42" s="1">
        <v>3</v>
      </c>
      <c r="Q42" s="1">
        <f>IF(760183&gt;0,100*45060/760183,"")</f>
        <v>5.927520083979778</v>
      </c>
      <c r="R42" s="1">
        <f>IF(749211&gt;0,100*53751/749211,"")</f>
        <v>7.17434741347898</v>
      </c>
      <c r="S42" s="1">
        <f>IF(COUNT(Q42:R42)=2,R42-Q42,"")</f>
        <v>1.2468273294992018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IF(1070828&gt;0,100*152901/1070828,"")</f>
        <v>14.278763723025547</v>
      </c>
      <c r="E43" s="1">
        <f>IF(COUNT(C43:D43)=2,D43-C43,"")</f>
        <v>-3.454518490944073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IF(1891437&gt;0,100*519782/1891437,"")</f>
        <v>27.480798990397247</v>
      </c>
      <c r="L43" s="1">
        <f>IF(COUNT(J43:K43)=2,K43-J43,"")</f>
        <v>-14.644791527165943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IF(2189535&gt;0,100*657564/2189535,"")</f>
        <v>30.03213010981784</v>
      </c>
      <c r="S43" s="1">
        <f>IF(COUNT(Q43:R43)=2,R43-Q43,"")</f>
        <v>-17.18354000255975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IF(965606&gt;0,100*199439/965606,"")</f>
        <v>20.654283424088085</v>
      </c>
      <c r="E44" s="1">
        <f>IF(COUNT(C44:D44)=2,D44-C44,"")</f>
        <v>-23.199075207263014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IF(1594870&gt;0,100*390010/1594870,"")</f>
        <v>24.454030736047454</v>
      </c>
      <c r="L44" s="1">
        <f>IF(COUNT(J44:K44)=2,K44-J44,"")</f>
        <v>-17.15431817368268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IF(1252212&gt;0,100*236855/1252212,"")</f>
        <v>18.91492814315787</v>
      </c>
      <c r="S44" s="1">
        <f>IF(COUNT(Q44:R44)=2,R44-Q44,"")</f>
        <v>0.8180539060628291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IF(1666465&gt;0,100*518215/1666465,"")</f>
        <v>31.09666269618624</v>
      </c>
      <c r="E45" s="1">
        <f>IF(COUNT(C45:D45)=2,D45-C45,"")</f>
        <v>-13.917770459216317</v>
      </c>
      <c r="H45" s="1">
        <v>7</v>
      </c>
      <c r="I45" s="1">
        <v>6</v>
      </c>
      <c r="J45" s="1">
        <f>IF(545527&gt;0,100*1624/545527,"")</f>
        <v>0.2976937896749382</v>
      </c>
      <c r="K45" s="1">
        <f>IF(540259&gt;0,100*3742/540259,"")</f>
        <v>0.6926307567296426</v>
      </c>
      <c r="L45" s="1">
        <f>IF(COUNT(J45:K45)=2,K45-J45,"")</f>
        <v>0.3949369670547044</v>
      </c>
      <c r="O45" s="1">
        <v>7</v>
      </c>
      <c r="P45" s="1">
        <v>6</v>
      </c>
      <c r="Q45" s="1">
        <f>IF(700580&gt;0,100*18395/700580,"")</f>
        <v>2.6256815781209855</v>
      </c>
      <c r="R45" s="1">
        <f>IF(712365&gt;0,100*80808/712365,"")</f>
        <v>11.343623002253059</v>
      </c>
      <c r="S45" s="1">
        <f>IF(COUNT(Q45:R45)=2,R45-Q45,"")</f>
        <v>8.717941424132073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IF(1045611&gt;0,100*211530/1045611,"")</f>
        <v>20.230276842917682</v>
      </c>
      <c r="E46" s="1">
        <f>IF(COUNT(C46:D46)=2,D46-C46,"")</f>
        <v>-21.0569221440335</v>
      </c>
      <c r="H46" s="1">
        <v>8</v>
      </c>
      <c r="I46" s="1">
        <v>7</v>
      </c>
      <c r="J46" s="1">
        <f>IF(453926&gt;0,100*2064/453926,"")</f>
        <v>0.45469966470305734</v>
      </c>
      <c r="K46" s="1">
        <f>IF(519594&gt;0,100*2071/519594,"")</f>
        <v>0.39858043010504357</v>
      </c>
      <c r="L46" s="1">
        <f>IF(COUNT(J46:K46)=2,K46-J46,"")</f>
        <v>-0.05611923459801377</v>
      </c>
      <c r="O46" s="1">
        <v>8</v>
      </c>
      <c r="P46" s="1">
        <v>7</v>
      </c>
      <c r="Q46" s="1">
        <f>IF(505497&gt;0,100*20606/505497,"")</f>
        <v>4.076384231756074</v>
      </c>
      <c r="R46" s="1">
        <f>IF(525193&gt;0,100*31259/525193,"")</f>
        <v>5.95190720363752</v>
      </c>
      <c r="S46" s="1">
        <f>IF(COUNT(Q46:R46)=2,R46-Q46,"")</f>
        <v>1.8755229718814457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IF(1358794&gt;0,100*339903/1358794,"")</f>
        <v>25.015050110612794</v>
      </c>
      <c r="E47" s="1">
        <f>IF(COUNT(C47:D47)=2,D47-C47,"")</f>
        <v>-22.229240934791772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IF(2083724&gt;0,100*708941/2083724,"")</f>
        <v>34.022788046785465</v>
      </c>
      <c r="L47" s="1">
        <f>IF(COUNT(J47:K47)=2,K47-J47,"")</f>
        <v>-8.615512806169889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IF(1850790&gt;0,100*544903/1850790,"")</f>
        <v>29.44164383857704</v>
      </c>
      <c r="S47" s="1">
        <f>IF(COUNT(Q47:R47)=2,R47-Q47,"")</f>
        <v>-15.571902725556928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IF(764909&gt;0,100*48099/764909,"")</f>
        <v>6.288198988376395</v>
      </c>
      <c r="E48" s="1">
        <f>IF(COUNT(C48:D48)=2,D48-C48,"")</f>
        <v>-22.988675780740707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IF(959179&gt;0,100*54747/959179,"")</f>
        <v>5.707693767273887</v>
      </c>
      <c r="L48" s="1">
        <f>IF(COUNT(J48:K48)=2,K48-J48,"")</f>
        <v>-38.1485797719681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IF(589371&gt;0,100*10708/589371,"")</f>
        <v>1.8168522034507975</v>
      </c>
      <c r="S48" s="1">
        <f>IF(COUNT(Q48:R48)=2,R48-Q48,"")</f>
        <v>-27.581310845688662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IF(1017300&gt;0,100*211022/1017300,"")</f>
        <v>20.743340214292736</v>
      </c>
      <c r="E49" s="1">
        <f>IF(COUNT(C49:D49)=2,D49-C49,"")</f>
        <v>-21.92341124826161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IF(952875&gt;0,100*19295/952875,"")</f>
        <v>2.024924570379116</v>
      </c>
      <c r="L49" s="1">
        <f>IF(COUNT(J49:K49)=2,K49-J49,"")</f>
        <v>-32.20108444037623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IF(1314008&gt;0,100*269387/1314008,"")</f>
        <v>20.50116894265484</v>
      </c>
      <c r="S49" s="1">
        <f>IF(COUNT(Q49:R49)=2,R49-Q49,"")</f>
        <v>-21.397767126410347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IF(1784763&gt;0,100*616413/1784763,"")</f>
        <v>34.53752683129357</v>
      </c>
      <c r="E50" s="1">
        <f>IF(COUNT(C50:D50)=2,D50-C50,"")</f>
        <v>-4.491712708865265</v>
      </c>
      <c r="H50" s="1">
        <v>12</v>
      </c>
      <c r="I50" s="1">
        <v>11</v>
      </c>
      <c r="J50" s="1">
        <f>IF(16409&gt;0,100*2109/16409,"")</f>
        <v>12.85270278505698</v>
      </c>
      <c r="K50" s="1">
        <f>IF(1519568&gt;0,100*394720/1519568,"")</f>
        <v>25.975803649458268</v>
      </c>
      <c r="L50" s="1">
        <f>IF(COUNT(J50:K50)=2,K50-J50,"")</f>
        <v>13.123100864401287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IF(711882&gt;0,100*68107/711882,"")</f>
        <v>9.567175458854136</v>
      </c>
      <c r="S50" s="1">
        <f>IF(COUNT(Q50:R50)=2,R50-Q50,"")</f>
        <v>-29.53682913714588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IF(1160320&gt;0,100*248789/1160320,"")</f>
        <v>21.44141271373414</v>
      </c>
      <c r="E51" s="1">
        <f>IF(COUNT(C51:D51)=2,D51-C51,"")</f>
        <v>-22.694645344255004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IF(736707&gt;0,100*11301/736707,"")</f>
        <v>1.5339884105892845</v>
      </c>
      <c r="L51" s="1">
        <f>IF(COUNT(J51:K51)=2,K51-J51,"")</f>
        <v>-9.176922216123318</v>
      </c>
      <c r="O51" s="1">
        <v>13</v>
      </c>
      <c r="P51" s="1">
        <v>12</v>
      </c>
      <c r="Q51" s="1">
        <f>IF(609443&gt;0,100*13444/609443,"")</f>
        <v>2.20594871054389</v>
      </c>
      <c r="R51" s="1">
        <f>IF(790885&gt;0,100*51662/790885,"")</f>
        <v>6.532175980072957</v>
      </c>
      <c r="S51" s="1">
        <f>IF(COUNT(Q51:R51)=2,R51-Q51,"")</f>
        <v>4.326227269529067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IF(669044&gt;0,100*15101/669044,"")</f>
        <v>2.2571011772020975</v>
      </c>
      <c r="E52" s="1">
        <f>IF(COUNT(C52:D52)=2,D52-C52,"")</f>
        <v>1.853804274691177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IF(1181329&gt;0,100*301765/1181329,"")</f>
        <v>25.544535010991858</v>
      </c>
      <c r="L52" s="1">
        <f>IF(COUNT(J52:K52)=2,K52-J52,"")</f>
        <v>-7.266922392304288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IF(1117686&gt;0,100*249729/1117686,"")</f>
        <v>22.343395193283264</v>
      </c>
      <c r="S52" s="1">
        <f>IF(COUNT(Q52:R52)=2,R52-Q52,"")</f>
        <v>0.6415163125478394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IF(1683820&gt;0,100*523794/1683820,"")</f>
        <v>31.10748179734176</v>
      </c>
      <c r="E53" s="1">
        <f>IF(COUNT(C53:D53)=2,D53-C53,"")</f>
        <v>-0.12103565618238221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IF(1855351&gt;0,100*518346/1855351,"")</f>
        <v>27.937894231334123</v>
      </c>
      <c r="L53" s="1">
        <f>IF(COUNT(J53:K53)=2,K53-J53,"")</f>
        <v>-2.854657775149132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IF(1665560&gt;0,100*432333/1665560,"")</f>
        <v>25.957215591152526</v>
      </c>
      <c r="S53" s="1">
        <f>IF(COUNT(Q53:R53)=2,R53-Q53,"")</f>
        <v>-22.15243863061596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IF(861836&gt;0,100*169661/861836,"")</f>
        <v>19.685995943543784</v>
      </c>
      <c r="E54" s="1">
        <f>IF(COUNT(C54:D54)=2,D54-C54,"")</f>
        <v>-22.542310338716756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IF(437153&gt;0,100*3506/437153,"")</f>
        <v>0.8020075351192831</v>
      </c>
      <c r="L54" s="1">
        <f>IF(COUNT(J54:K54)=2,K54-J54,"")</f>
        <v>-42.39164292528561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IF(1090063&gt;0,100*154981/1090063,"")</f>
        <v>14.217618614703921</v>
      </c>
      <c r="S54" s="1">
        <f>IF(COUNT(Q54:R54)=2,R54-Q54,"")</f>
        <v>-31.124002314042897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IF(403834&gt;0,100*5391/403834,"")</f>
        <v>1.3349544614866504</v>
      </c>
      <c r="E55" s="1">
        <f>IF(COUNT(C55:D55)=2,D55-C55,"")</f>
        <v>-0.285897197849615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IF(1449565&gt;0,100*299266/1449565,"")</f>
        <v>20.645228051173973</v>
      </c>
      <c r="L55" s="1">
        <f>IF(COUNT(J55:K55)=2,K55-J55,"")</f>
        <v>-15.73690213957476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IF(1774021&gt;0,100*536927/1774021,"")</f>
        <v>30.26610169778148</v>
      </c>
      <c r="S55" s="1">
        <f>IF(COUNT(Q55:R55)=2,R55-Q55,"")</f>
        <v>-4.903539484434823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IF(427633&gt;0,100*21212/427633,"")</f>
        <v>4.96032813183267</v>
      </c>
      <c r="E56" s="1">
        <f>IF(COUNT(C56:D56)=2,D56-C56,"")</f>
        <v>-9.343485489284436</v>
      </c>
      <c r="H56" s="1">
        <v>18</v>
      </c>
      <c r="I56" s="1">
        <v>17</v>
      </c>
      <c r="J56" s="1">
        <f>IF(2215&gt;0,100*355/2215,"")</f>
        <v>16.02708803611738</v>
      </c>
      <c r="K56" s="1">
        <f>IF(1995281&gt;0,100*617612/1995281,"")</f>
        <v>30.953635102023224</v>
      </c>
      <c r="L56" s="1">
        <f>IF(COUNT(J56:K56)=2,K56-J56,"")</f>
        <v>14.926547065905844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IF(1753644&gt;0,100*535313/1753644,"")</f>
        <v>30.525750950592023</v>
      </c>
      <c r="S56" s="1">
        <f>IF(COUNT(Q56:R56)=2,R56-Q56,"")</f>
        <v>-16.50269960466974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IF(1647492&gt;0,100*532534/1647492,"")</f>
        <v>32.323920237548954</v>
      </c>
      <c r="E57" s="1">
        <f>IF(COUNT(C57:D57)=2,D57-C57,"")</f>
        <v>-7.215809983815738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IF(1007970&gt;0,100*151243/1007970,"")</f>
        <v>15.004712441838548</v>
      </c>
      <c r="L57" s="1">
        <f>IF(COUNT(J57:K57)=2,K57-J57,"")</f>
        <v>-18.84780612693948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IF(1096487&gt;0,100*245518/1096487,"")</f>
        <v>22.39132794096054</v>
      </c>
      <c r="S57" s="1">
        <f>IF(COUNT(Q57:R57)=2,R57-Q57,"")</f>
        <v>-9.903027205391655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IF(771229&gt;0,100*65410/771229,"")</f>
        <v>8.481268209571995</v>
      </c>
      <c r="E58" s="1">
        <f>IF(COUNT(C58:D58)=2,D58-C58,"")</f>
        <v>-34.46095123072563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IF(1550376&gt;0,100*402195/1550376,"")</f>
        <v>25.941771544451154</v>
      </c>
      <c r="L58" s="1">
        <f>IF(COUNT(J58:K58)=2,K58-J58,"")</f>
        <v>-17.97666884619127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IF(969891&gt;0,100*59716/969891,"")</f>
        <v>6.15698052667774</v>
      </c>
      <c r="S58" s="1">
        <f>IF(COUNT(Q58:R58)=2,R58-Q58,"")</f>
        <v>-36.09392031460455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IF(964591&gt;0,100*204450/964591,"")</f>
        <v>21.195511880164755</v>
      </c>
      <c r="E59" s="1">
        <f>IF(COUNT(C59:D59)=2,D59-C59,"")</f>
        <v>-11.203191084151026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IF(1434794&gt;0,100*301620/1434794,"")</f>
        <v>21.021833099385695</v>
      </c>
      <c r="L59" s="1">
        <f>IF(COUNT(J59:K59)=2,K59-J59,"")</f>
        <v>-16.5295697510167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IF(958720&gt;0,100*169679/958720,"")</f>
        <v>17.698493825100133</v>
      </c>
      <c r="S59" s="1">
        <f>IF(COUNT(Q59:R59)=2,R59-Q59,"")</f>
        <v>-24.28773673720603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IF(1653946&gt;0,100*520561/1653946,"")</f>
        <v>31.47388125126213</v>
      </c>
      <c r="E60" s="1">
        <f>IF(COUNT(C60:D60)=2,D60-C60,"")</f>
        <v>-13.43619467351306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IF(1459693&gt;0,100*390849/1459693,"")</f>
        <v>26.776109771027194</v>
      </c>
      <c r="L60" s="1">
        <f>IF(COUNT(J60:K60)=2,K60-J60,"")</f>
        <v>-18.004324133771675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IF(1413964&gt;0,100*279223/1413964,"")</f>
        <v>19.74753246900204</v>
      </c>
      <c r="S60" s="1">
        <f>IF(COUNT(Q60:R60)=2,R60-Q60,"")</f>
        <v>-14.476537806244771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IF(334307&gt;0,100*34/334307,"")</f>
        <v>0.010170292575387294</v>
      </c>
      <c r="E61" s="1">
        <f>IF(COUNT(C61:D61)=2,D61-C61,"")</f>
        <v>-0.2267719176687137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IF(1054508&gt;0,100*112744/1054508,"")</f>
        <v>10.691621116198265</v>
      </c>
      <c r="L61" s="1">
        <f>IF(COUNT(J61:K61)=2,K61-J61,"")</f>
        <v>-37.71399309643588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IF(1715852&gt;0,100*622187/1715852,"")</f>
        <v>36.26111109815998</v>
      </c>
      <c r="S61" s="1">
        <f>IF(COUNT(Q61:R61)=2,R61-Q61,"")</f>
        <v>1.2085308365252843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IF(736907&gt;0,100*14077/736907,"")</f>
        <v>1.9102817587565324</v>
      </c>
      <c r="E62" s="1">
        <f>IF(COUNT(C62:D62)=2,D62-C62,"")</f>
        <v>-19.03296602136538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IF(754583&gt;0,100*7953/754583,"")</f>
        <v>1.0539596041787318</v>
      </c>
      <c r="L62" s="1">
        <f>IF(COUNT(J62:K62)=2,K62-J62,"")</f>
        <v>-43.570346042105214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IF(1037600&gt;0,100*89603/1037600,"")</f>
        <v>8.635601387818042</v>
      </c>
      <c r="S62" s="1">
        <f>IF(COUNT(Q62:R62)=2,R62-Q62,"")</f>
        <v>-20.259042267970216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IF(1400884&gt;0,100*382775/1400884,"")</f>
        <v>27.323818388960113</v>
      </c>
      <c r="E63" s="1">
        <f>IF(COUNT(C63:D63)=2,D63-C63,"")</f>
        <v>-1.9162051104946087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IF(657852&gt;0,100*42830/657852,"")</f>
        <v>6.510582927466968</v>
      </c>
      <c r="L63" s="1">
        <f>IF(COUNT(J63:K63)=2,K63-J63,"")</f>
        <v>-38.06039708353661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IF(945640&gt;0,100*45570/945640,"")</f>
        <v>4.818958588892179</v>
      </c>
      <c r="S63" s="1">
        <f>IF(COUNT(Q63:R63)=2,R63-Q63,"")</f>
        <v>-38.85572959275757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IF(1520438&gt;0,100*451132/1520438,"")</f>
        <v>29.671186855366678</v>
      </c>
      <c r="E64" s="1">
        <f>IF(COUNT(C64:D64)=2,D64-C64,"")</f>
        <v>-16.71999346628528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IF(1153317&gt;0,100*215225/1153317,"")</f>
        <v>18.661391447451134</v>
      </c>
      <c r="L64" s="1">
        <f>IF(COUNT(J64:K64)=2,K64-J64,"")</f>
        <v>-13.347276115398731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IF(1626372&gt;0,100*357299/1626372,"")</f>
        <v>21.96908210421724</v>
      </c>
      <c r="S64" s="1">
        <f>IF(COUNT(Q64:R64)=2,R64-Q64,"")</f>
        <v>-22.435771399123052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IF(1575917&gt;0,100*495555/1575917,"")</f>
        <v>31.445501254190418</v>
      </c>
      <c r="E65" s="1">
        <f>IF(COUNT(C65:D65)=2,D65-C65,"")</f>
        <v>-5.899066247537789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IF(1330129&gt;0,100*294776/1330129,"")</f>
        <v>22.16145952760973</v>
      </c>
      <c r="L65" s="1">
        <f>IF(COUNT(J65:K65)=2,K65-J65,"")</f>
        <v>-12.74061260323105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IF(1744405&gt;0,100*407082/1744405,"")</f>
        <v>23.33643849908708</v>
      </c>
      <c r="S65" s="1">
        <f>IF(COUNT(Q65:R65)=2,R65-Q65,"")</f>
        <v>-11.029845975657267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IF(347800&gt;0,100*669/347800,"")</f>
        <v>0.1923519263944796</v>
      </c>
      <c r="E66" s="1">
        <f>IF(COUNT(C66:D66)=2,D66-C66,"")</f>
        <v>0.09271133381054482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IF(1424512&gt;0,100*314280/1424512,"")</f>
        <v>22.062292209542637</v>
      </c>
      <c r="L66" s="1">
        <f>IF(COUNT(J66:K66)=2,K66-J66,"")</f>
        <v>-17.15509249214988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IF(1751302&gt;0,100*532434/1751302,"")</f>
        <v>30.40218077750154</v>
      </c>
      <c r="S66" s="1">
        <f>IF(COUNT(Q66:R66)=2,R66-Q66,"")</f>
        <v>-0.46191215476722647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IF(1550158&gt;0,100*493851/1550158,"")</f>
        <v>31.858107367119995</v>
      </c>
      <c r="E67" s="1">
        <f>IF(COUNT(C67:D67)=2,D67-C67,"")</f>
        <v>-2.9926507143797885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IF(1612621&gt;0,100*434429/1612621,"")</f>
        <v>26.9393118407859</v>
      </c>
      <c r="L67" s="1">
        <f>IF(COUNT(J67:K67)=2,K67-J67,"")</f>
        <v>-18.80563885596786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IF(1974836&gt;0,100*569293/1974836,"")</f>
        <v>28.827355790556787</v>
      </c>
      <c r="S67" s="1">
        <f>IF(COUNT(Q67:R67)=2,R67-Q67,"")</f>
        <v>-12.104574489377946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IF(1497664&gt;0,100*487470/1497664,"")</f>
        <v>32.54868915858297</v>
      </c>
      <c r="E68" s="1">
        <f>IF(COUNT(C68:D68)=2,D68-C68,"")</f>
        <v>-10.261410867904345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IF(756645&gt;0,100*67800/756645,"")</f>
        <v>8.960609004222588</v>
      </c>
      <c r="L68" s="1">
        <f>IF(COUNT(J68:K68)=2,K68-J68,"")</f>
        <v>-27.852918626707933</v>
      </c>
      <c r="O68" s="1">
        <v>30</v>
      </c>
      <c r="P68" s="1">
        <v>29</v>
      </c>
      <c r="Q68" s="1">
        <f>IF(653286&gt;0,100*39372/653286,"")</f>
        <v>6.026763163453679</v>
      </c>
      <c r="R68" s="1">
        <f>IF(1422059&gt;0,100*489403/1422059,"")</f>
        <v>34.41509810774377</v>
      </c>
      <c r="S68" s="1">
        <f>IF(COUNT(Q68:R68)=2,R68-Q68,"")</f>
        <v>28.388334944290094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IF(449526&gt;0,100*3960/449526,"")</f>
        <v>0.8809279107326384</v>
      </c>
      <c r="E69" s="1">
        <f>IF(COUNT(C69:D69)=2,D69-C69,"")</f>
        <v>0.5852960227107576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IF(1042950&gt;0,100*164754/1042950,"")</f>
        <v>15.796922191859629</v>
      </c>
      <c r="L69" s="1">
        <f>IF(COUNT(J69:K69)=2,K69-J69,"")</f>
        <v>-19.579930123155073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IF(537601&gt;0,100*53784/537601,"")</f>
        <v>10.004445676254322</v>
      </c>
      <c r="S69" s="1">
        <f>IF(COUNT(Q69:R69)=2,R69-Q69,"")</f>
        <v>-22.615887786882872</v>
      </c>
    </row>
    <row r="70" spans="1:19">
      <c r="A70" s="2" t="s">
        <v>6</v>
      </c>
      <c r="B70" s="1"/>
      <c r="C70" s="1">
        <f>IF(COUNT(C39:C69)&gt;0,AVERAGE(C39:C69),"")</f>
        <v>30.180215695878584</v>
      </c>
      <c r="D70" s="1">
        <f>IF(COUNT(D39:D69)&gt;0,AVERAGE(D39:D69),"")</f>
        <v>18.648298903228564</v>
      </c>
      <c r="E70" s="1">
        <f>IF(COUNT(E39:E69)&gt;0,AVERAGE(E39:E69),"")</f>
        <v>-11.531916792650016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16.572675430979224</v>
      </c>
      <c r="L70" s="1">
        <f>IF(COUNT(L39:L69)&gt;0,AVERAGE(L39:L69),"")</f>
        <v>-16.422504728515715</v>
      </c>
      <c r="O70" s="2" t="s">
        <v>6</v>
      </c>
      <c r="P70" s="1"/>
      <c r="Q70" s="1">
        <f>IF(COUNT(Q39:Q69)&gt;0,AVERAGE(Q39:Q69),"")</f>
        <v>31.641731223822106</v>
      </c>
      <c r="R70" s="1">
        <f>IF(COUNT(R39:R69)&gt;0,AVERAGE(R39:R69),"")</f>
        <v>19.240400831170177</v>
      </c>
      <c r="S70" s="1">
        <f>IF(COUNT(S39:S69)&gt;0,AVERAGE(S39:S69),"")</f>
        <v>-12.401330392651925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IF(948795&gt;0,100*185042/948795,"")</f>
        <v>19.50284307990662</v>
      </c>
      <c r="E75" s="1">
        <f>IF(COUNT(C75:D75)=2,D75-C75,"")</f>
        <v>16.787679067576992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IF(1501922&gt;0,100*274452/1501922,"")</f>
        <v>18.273385701787443</v>
      </c>
      <c r="L75" s="1">
        <f>IF(COUNT(J75:K75)=2,K75-J75,"")</f>
        <v>-35.027664554131235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IF(2140491&gt;0,100*479769/2140491,"")</f>
        <v>22.41396950512756</v>
      </c>
      <c r="S75" s="1">
        <f>IF(COUNT(Q75:R75)=2,R75-Q75,"")</f>
        <v>-21.667391721504877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IF(514495&gt;0,100*28448/514495,"")</f>
        <v>5.529305435426972</v>
      </c>
      <c r="E76" s="1">
        <f>IF(COUNT(C76:D76)=2,D76-C76,"")</f>
        <v>-31.50162544737902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IF(1616178&gt;0,100*316074/1616178,"")</f>
        <v>19.556880492124012</v>
      </c>
      <c r="L76" s="1">
        <f>IF(COUNT(J76:K76)=2,K76-J76,"")</f>
        <v>-23.947377457111497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IF(2109183&gt;0,100*676992/2109183,"")</f>
        <v>32.09735712832884</v>
      </c>
      <c r="S76" s="1">
        <f>IF(COUNT(Q76:R76)=2,R76-Q76,"")</f>
        <v>-8.763813651717086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IF(1579505&gt;0,100*507340/1579505,"")</f>
        <v>32.12018955305618</v>
      </c>
      <c r="E77" s="1">
        <f>IF(COUNT(C77:D77)=2,D77-C77,"")</f>
        <v>-7.119020643109778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IF(1926154&gt;0,100*356932/1926154,"")</f>
        <v>18.530813216388722</v>
      </c>
      <c r="L77" s="1">
        <f>IF(COUNT(J77:K77)=2,K77-J77,"")</f>
        <v>-23.932864828900065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IF(1766888&gt;0,100*556196/1766888,"")</f>
        <v>31.478848687636116</v>
      </c>
      <c r="S77" s="1">
        <f>IF(COUNT(Q77:R77)=2,R77-Q77,"")</f>
        <v>27.529667606968736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IF(1917769&gt;0,100*697957/1917769,"")</f>
        <v>36.394216404582615</v>
      </c>
      <c r="E78" s="1">
        <f>IF(COUNT(C78:D78)=2,D78-C78,"")</f>
        <v>-8.881614224241446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IF(626736&gt;0,100*4591/626736,"")</f>
        <v>0.7325253376222205</v>
      </c>
      <c r="L78" s="1">
        <f>IF(COUNT(J78:K78)=2,K78-J78,"")</f>
        <v>-46.781356293835536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IF(1361543&gt;0,100*290583/1361543,"")</f>
        <v>21.342183096677815</v>
      </c>
      <c r="S78" s="1">
        <f>IF(COUNT(Q78:R78)=2,R78-Q78,"")</f>
        <v>-31.435495251989266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IF(925319&gt;0,100*157434/925319,"")</f>
        <v>17.014024352682696</v>
      </c>
      <c r="E79" s="1">
        <f>IF(COUNT(C79:D79)=2,D79-C79,"")</f>
        <v>-31.73537032613271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IF(25649&gt;0,100*5927/25649,"")</f>
        <v>23.108113376739833</v>
      </c>
      <c r="L79" s="1">
        <f>IF(COUNT(J79:K79)=2,K79-J79,"")</f>
        <v>-23.71322731539048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IF(1133711&gt;0,100*132536/1133711,"")</f>
        <v>11.690457268210329</v>
      </c>
      <c r="S79" s="1">
        <f>IF(COUNT(Q79:R79)=2,R79-Q79,"")</f>
        <v>-37.2417862780359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IF(1234056&gt;0,100*290619/1234056,"")</f>
        <v>23.54990373208347</v>
      </c>
      <c r="E80" s="1">
        <f>IF(COUNT(C80:D80)=2,D80-C80,"")</f>
        <v>-15.158186315388285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IF(1694732&gt;0,100*327800/1694732,"")</f>
        <v>19.342291288534117</v>
      </c>
      <c r="L80" s="1">
        <f>IF(COUNT(J80:K80)=2,K80-J80,"")</f>
        <v>-19.95804190998383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IF(1251357&gt;0,100*180827/1251357,"")</f>
        <v>14.450472566981285</v>
      </c>
      <c r="S80" s="1">
        <f>IF(COUNT(Q80:R80)=2,R80-Q80,"")</f>
        <v>-28.368226322263446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IF(1507864&gt;0,100*485042/1507864,"")</f>
        <v>32.16748990625149</v>
      </c>
      <c r="E81" s="1">
        <f>IF(COUNT(C81:D81)=2,D81-C81,"")</f>
        <v>-9.956994691180455</v>
      </c>
      <c r="H81" s="1">
        <v>7</v>
      </c>
      <c r="I81" s="1">
        <v>6</v>
      </c>
      <c r="J81" s="1">
        <f>IF(710153&gt;0,100*3904/710153,"")</f>
        <v>0.5497406896823642</v>
      </c>
      <c r="K81" s="1">
        <f>IF(663076&gt;0,100*16962/663076,"")</f>
        <v>2.558077807068873</v>
      </c>
      <c r="L81" s="1">
        <f>IF(COUNT(J81:K81)=2,K81-J81,"")</f>
        <v>2.0083371173865086</v>
      </c>
      <c r="O81" s="1">
        <v>7</v>
      </c>
      <c r="P81" s="1">
        <v>6</v>
      </c>
      <c r="Q81" s="1">
        <f>IF(528040&gt;0,100*6901/528040,"")</f>
        <v>1.3069085675327627</v>
      </c>
      <c r="R81" s="1">
        <f>IF(949531&gt;0,100*84773/949531,"")</f>
        <v>8.927881238211285</v>
      </c>
      <c r="S81" s="1">
        <f>IF(COUNT(Q81:R81)=2,R81-Q81,"")</f>
        <v>7.620972670678522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IF(2040820&gt;0,100*672856/2040820,"")</f>
        <v>32.969884654207625</v>
      </c>
      <c r="E82" s="1">
        <f>IF(COUNT(C82:D82)=2,D82-C82,"")</f>
        <v>-13.669550220606027</v>
      </c>
      <c r="H82" s="1">
        <v>8</v>
      </c>
      <c r="I82" s="1">
        <v>7</v>
      </c>
      <c r="J82" s="1">
        <f>IF(619510&gt;0,100*7411/619510,"")</f>
        <v>1.1962680182725056</v>
      </c>
      <c r="K82" s="1">
        <f>IF(483696&gt;0,100*1924/483696,"")</f>
        <v>0.39777050047964013</v>
      </c>
      <c r="L82" s="1">
        <f>IF(COUNT(J82:K82)=2,K82-J82,"")</f>
        <v>-0.7984975177928655</v>
      </c>
      <c r="O82" s="1">
        <v>8</v>
      </c>
      <c r="P82" s="1">
        <v>7</v>
      </c>
      <c r="Q82" s="1">
        <f>IF(665002&gt;0,100*8971/665002,"")</f>
        <v>1.3490184991924836</v>
      </c>
      <c r="R82" s="1">
        <f>IF(887554&gt;0,100*138287/887554,"")</f>
        <v>15.58068579489248</v>
      </c>
      <c r="S82" s="1">
        <f>IF(COUNT(Q82:R82)=2,R82-Q82,"")</f>
        <v>14.231667295699996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IF(78595&gt;0,100*18005/78595,"")</f>
        <v>22.908581970863285</v>
      </c>
      <c r="E83" s="1">
        <f>IF(COUNT(C83:D83)=2,D83-C83,"")</f>
        <v>-9.294835235149709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IF(1686626&gt;0,100*467062/1686626,"")</f>
        <v>27.692090599812882</v>
      </c>
      <c r="L83" s="1">
        <f>IF(COUNT(J83:K83)=2,K83-J83,"")</f>
        <v>-17.193247350771966</v>
      </c>
      <c r="O83" s="1">
        <v>9</v>
      </c>
      <c r="P83" s="1">
        <v>8</v>
      </c>
      <c r="Q83" s="1">
        <f>IF(1967808&gt;0,100*766923/1967808,"")</f>
        <v>38.9734669236023</v>
      </c>
      <c r="R83" s="1">
        <f>IF(1934692&gt;0,100*623782/1934692,"")</f>
        <v>32.24192791410726</v>
      </c>
      <c r="S83" s="1">
        <f>IF(COUNT(Q83:R83)=2,R83-Q83,"")</f>
        <v>-6.7315390094950445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IF(891198&gt;0,100*76694/891198,"")</f>
        <v>8.605719492189166</v>
      </c>
      <c r="E84" s="1">
        <f>IF(COUNT(C84:D84)=2,D84-C84,"")</f>
        <v>6.912412854843272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IF(1664282&gt;0,100*474065/1664282,"")</f>
        <v>28.484655845583863</v>
      </c>
      <c r="L84" s="1">
        <f>IF(COUNT(J84:K84)=2,K84-J84,"")</f>
        <v>-21.70235398733629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IF(989265&gt;0,100*101473/989265,"")</f>
        <v>10.257413332120311</v>
      </c>
      <c r="S84" s="1">
        <f>IF(COUNT(Q84:R84)=2,R84-Q84,"")</f>
        <v>-5.755070899000312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IF(1521908&gt;0,100*430083/1521908,"")</f>
        <v>28.25946115008266</v>
      </c>
      <c r="E85" s="1">
        <f>IF(COUNT(C85:D85)=2,D85-C85,"")</f>
        <v>-19.55377821283354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IF(2552332&gt;0,100*973468/2552332,"")</f>
        <v>38.14033597510042</v>
      </c>
      <c r="L85" s="1">
        <f>IF(COUNT(J85:K85)=2,K85-J85,"")</f>
        <v>-17.303901141465765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IF(1558968&gt;0,100*310953/1558968,"")</f>
        <v>19.946079714272518</v>
      </c>
      <c r="S85" s="1">
        <f>IF(COUNT(Q85:R85)=2,R85-Q85,"")</f>
        <v>-28.65429083804285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IF(1823629&gt;0,100*508987/1823629,"")</f>
        <v>27.91066604007723</v>
      </c>
      <c r="E86" s="1">
        <f>IF(COUNT(C86:D86)=2,D86-C86,"")</f>
        <v>-15.31749420830753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IF(1343199&gt;0,100*174087/1343199,"")</f>
        <v>12.960626087422638</v>
      </c>
      <c r="L86" s="1">
        <f>IF(COUNT(J86:K86)=2,K86-J86,"")</f>
        <v>-34.70283275652322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IF(1388013&gt;0,100*85529/1388013,"")</f>
        <v>6.161973987275335</v>
      </c>
      <c r="S86" s="1">
        <f>IF(COUNT(Q86:R86)=2,R86-Q86,"")</f>
        <v>-42.47819525526373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IF(1100485&gt;0,100*162193/1100485,"")</f>
        <v>14.73831992257959</v>
      </c>
      <c r="E87" s="1">
        <f>IF(COUNT(C87:D87)=2,D87-C87,"")</f>
        <v>-13.446329780938362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IF(739602&gt;0,100*42571/739602,"")</f>
        <v>5.755933596718235</v>
      </c>
      <c r="L87" s="1">
        <f>IF(COUNT(J87:K87)=2,K87-J87,"")</f>
        <v>-38.83748016493047</v>
      </c>
      <c r="O87" s="1">
        <v>13</v>
      </c>
      <c r="P87" s="1">
        <v>12</v>
      </c>
      <c r="Q87" s="1">
        <f>IF(818878&gt;0,100*7212/818878,"")</f>
        <v>0.8807172741238621</v>
      </c>
      <c r="R87" s="1">
        <f>IF(676193&gt;0,100*7648/676193,"")</f>
        <v>1.131038032041148</v>
      </c>
      <c r="S87" s="1">
        <f>IF(COUNT(Q87:R87)=2,R87-Q87,"")</f>
        <v>0.2503207579172858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IF(616425&gt;0,100*10588/616425,"")</f>
        <v>1.7176461045544875</v>
      </c>
      <c r="E88" s="1">
        <f>IF(COUNT(C88:D88)=2,D88-C88,"")</f>
        <v>-18.77722190193698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IF(555761&gt;0,100*2571/555761,"")</f>
        <v>0.4626089272187145</v>
      </c>
      <c r="L88" s="1">
        <f>IF(COUNT(J88:K88)=2,K88-J88,"")</f>
        <v>-32.54971233768622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IF(544682&gt;0,100*2014/544682,"")</f>
        <v>0.36975703254375947</v>
      </c>
      <c r="S88" s="1">
        <f>IF(COUNT(Q88:R88)=2,R88-Q88,"")</f>
        <v>-11.592151318297931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IF(2495388&gt;0,100*470052/2495388,"")</f>
        <v>18.83683018432404</v>
      </c>
      <c r="E89" s="1">
        <f>IF(COUNT(C89:D89)=2,D89-C89,"")</f>
        <v>-23.432704760235556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IF(1966634&gt;0,100*625383/1966634,"")</f>
        <v>31.799663791025683</v>
      </c>
      <c r="L89" s="1">
        <f>IF(COUNT(J89:K89)=2,K89-J89,"")</f>
        <v>12.626544813260029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IF(1413058&gt;0,100*232407/1413058,"")</f>
        <v>16.4470955898484</v>
      </c>
      <c r="S89" s="1">
        <f>IF(COUNT(Q89:R89)=2,R89-Q89,"")</f>
        <v>-9.853767344384533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IF(1872172&gt;0,100*692618/1872172,"")</f>
        <v>36.99542563396953</v>
      </c>
      <c r="E90" s="1">
        <f>IF(COUNT(C90:D90)=2,D90-C90,"")</f>
        <v>-3.961902557995529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IF(2268978&gt;0,100*782820/2268978,"")</f>
        <v>34.50099560242541</v>
      </c>
      <c r="L90" s="1">
        <f>IF(COUNT(J90:K90)=2,K90-J90,"")</f>
        <v>-8.86856967622355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IF(1273238&gt;0,100*227672/1273238,"")</f>
        <v>17.88133875991763</v>
      </c>
      <c r="S90" s="1">
        <f>IF(COUNT(Q90:R90)=2,R90-Q90,"")</f>
        <v>-33.10686211430243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IF(459402&gt;0,100*6871/459402,"")</f>
        <v>1.4956399841533123</v>
      </c>
      <c r="E91" s="1">
        <f>IF(COUNT(C91:D91)=2,D91-C91,"")</f>
        <v>-2.195219677161363</v>
      </c>
      <c r="H91" s="1">
        <v>17</v>
      </c>
      <c r="I91" s="1">
        <v>16</v>
      </c>
      <c r="J91" s="1">
        <f>IF(88900&gt;0,100*3265/88900,"")</f>
        <v>3.6726659167604048</v>
      </c>
      <c r="K91" s="1">
        <f>IF(2191460&gt;0,100*783010/2191460,"")</f>
        <v>35.73006123771367</v>
      </c>
      <c r="L91" s="1">
        <f>IF(COUNT(J91:K91)=2,K91-J91,"")</f>
        <v>32.05739532095326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IF(1355751&gt;0,100*263144/1355751,"")</f>
        <v>19.40946383222288</v>
      </c>
      <c r="S91" s="1">
        <f>IF(COUNT(Q91:R91)=2,R91-Q91,"")</f>
        <v>-22.511944133644615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IF(498167&gt;0,100*2777/498167,"")</f>
        <v>0.5574435881943204</v>
      </c>
      <c r="E92" s="1">
        <f>IF(COUNT(C92:D92)=2,D92-C92,"")</f>
        <v>-21.55000228668929</v>
      </c>
      <c r="H92" s="1">
        <v>18</v>
      </c>
      <c r="I92" s="1">
        <v>17</v>
      </c>
      <c r="J92" s="4"/>
      <c r="K92" s="1">
        <f>IF(17515&gt;0,100*315/17515,"")</f>
        <v>1.7984584641735655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IF(1001749&gt;0,100*65080/1001749,"")</f>
        <v>6.496637381220245</v>
      </c>
      <c r="S92" s="1">
        <f>IF(COUNT(Q92:R92)=2,R92-Q92,"")</f>
        <v>-38.60505257468572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IF(2102894&gt;0,100*722166/2102894,"")</f>
        <v>34.34153124218339</v>
      </c>
      <c r="E93" s="1">
        <f>IF(COUNT(C93:D93)=2,D93-C93,"")</f>
        <v>-11.99463035261875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IF(1122753&gt;0,100*262934/1122753,"")</f>
        <v>23.418686033348386</v>
      </c>
      <c r="L93" s="1">
        <f>IF(COUNT(J93:K93)=2,K93-J93,"")</f>
        <v>-13.504587459510716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IF(847976&gt;0,100*54250/847976,"")</f>
        <v>6.39758672415257</v>
      </c>
      <c r="S93" s="1">
        <f>IF(COUNT(Q93:R93)=2,R93-Q93,"")</f>
        <v>-31.43026647111019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IF(1011541&gt;0,100*173140/1011541,"")</f>
        <v>17.116458947289335</v>
      </c>
      <c r="E94" s="1">
        <f>IF(COUNT(C94:D94)=2,D94-C94,"")</f>
        <v>-24.562918732683936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IF(1704370&gt;0,100*477865/1704370,"")</f>
        <v>28.037632673656542</v>
      </c>
      <c r="L94" s="1">
        <f>IF(COUNT(J94:K94)=2,K94-J94,"")</f>
        <v>-13.758209470274121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IF(1428365&gt;0,100*346887/1428365,"")</f>
        <v>24.285599269094384</v>
      </c>
      <c r="S94" s="1">
        <f>IF(COUNT(Q94:R94)=2,R94-Q94,"")</f>
        <v>-21.898092323412257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IF(1163194&gt;0,100*300718/1163194,"")</f>
        <v>25.852781221361184</v>
      </c>
      <c r="E95" s="1">
        <f>IF(COUNT(C95:D95)=2,D95-C95,"")</f>
        <v>-23.96429296388409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IF(1341366&gt;0,100*147003/1341366,"")</f>
        <v>10.959201291817445</v>
      </c>
      <c r="L95" s="1">
        <f>IF(COUNT(J95:K95)=2,K95-J95,"")</f>
        <v>-38.76368721333076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IF(1787777&gt;0,100*633802/1787777,"")</f>
        <v>35.451960731120266</v>
      </c>
      <c r="S95" s="1">
        <f>IF(COUNT(Q95:R95)=2,R95-Q95,"")</f>
        <v>-11.307301983278869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IF(2179701&gt;0,100*757502/2179701,"")</f>
        <v>34.75256468662445</v>
      </c>
      <c r="E96" s="1">
        <f>IF(COUNT(C96:D96)=2,D96-C96,"")</f>
        <v>8.137871203710109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IF(1864260&gt;0,100*656210/1864260,"")</f>
        <v>35.19948934161544</v>
      </c>
      <c r="L96" s="1">
        <f>IF(COUNT(J96:K96)=2,K96-J96,"")</f>
        <v>-10.438923285956392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IF(1234780&gt;0,100*198325/1234780,"")</f>
        <v>16.061565623025963</v>
      </c>
      <c r="S96" s="1">
        <f>IF(COUNT(Q96:R96)=2,R96-Q96,"")</f>
        <v>-17.098306021957995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IF(758282&gt;0,100*1758/758282,"")</f>
        <v>0.23183986959996414</v>
      </c>
      <c r="E97" s="1">
        <f>IF(COUNT(C97:D97)=2,D97-C97,"")</f>
        <v>0.11114470478100688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IF(2458546&gt;0,100*925248/2458546,"")</f>
        <v>37.633951123957004</v>
      </c>
      <c r="L97" s="1">
        <f>IF(COUNT(J97:K97)=2,K97-J97,"")</f>
        <v>-11.709132606179779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IF(2121147&gt;0,100*763869/2121147,"")</f>
        <v>36.012072713489445</v>
      </c>
      <c r="S97" s="1">
        <f>IF(COUNT(Q97:R97)=2,R97-Q97,"")</f>
        <v>-6.575244625702844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IF(903135&gt;0,100*52123/903135,"")</f>
        <v>5.77134094016952</v>
      </c>
      <c r="E98" s="1">
        <f>IF(COUNT(C98:D98)=2,D98-C98,"")</f>
        <v>-33.902267710993826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IF(1362054&gt;0,100*243079/1362054,"")</f>
        <v>17.846502414735394</v>
      </c>
      <c r="L98" s="1">
        <f>IF(COUNT(J98:K98)=2,K98-J98,"")</f>
        <v>-25.39175191224842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IF(1491727&gt;0,100*338014/1491727,"")</f>
        <v>22.659239927949283</v>
      </c>
      <c r="S98" s="1">
        <f>IF(COUNT(Q98:R98)=2,R98-Q98,"")</f>
        <v>-18.12750018006957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IF(1848349&gt;0,100*581217/1848349,"")</f>
        <v>31.44519784954032</v>
      </c>
      <c r="E99" s="1">
        <f>IF(COUNT(C99:D99)=2,D99-C99,"")</f>
        <v>-9.998271431573578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IF(1429451&gt;0,100*318754/1429451,"")</f>
        <v>22.299050474622774</v>
      </c>
      <c r="L99" s="1">
        <f>IF(COUNT(J99:K99)=2,K99-J99,"")</f>
        <v>-27.964594011238454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IF(1455615&gt;0,100*304591/1455615,"")</f>
        <v>20.925244656038856</v>
      </c>
      <c r="S99" s="1">
        <f>IF(COUNT(Q99:R99)=2,R99-Q99,"")</f>
        <v>-16.460126766416842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IF(23931&gt;0,100*6167/23931,"")</f>
        <v>25.76992185867703</v>
      </c>
      <c r="E100" s="1">
        <f>IF(COUNT(C100:D100)=2,D100-C100,"")</f>
        <v>-20.344613567617614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IF(1767258&gt;0,100*457477/1767258,"")</f>
        <v>25.886259957516106</v>
      </c>
      <c r="L100" s="1">
        <f>IF(COUNT(J100:K100)=2,K100-J100,"")</f>
        <v>20.049711491483727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IF(1999728&gt;0,100*678322/1999728,"")</f>
        <v>33.92071321699751</v>
      </c>
      <c r="S100" s="1">
        <f>IF(COUNT(Q100:R100)=2,R100-Q100,"")</f>
        <v>-19.885273909476183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IF(804210&gt;0,100*121857/804210,"")</f>
        <v>15.152385570932966</v>
      </c>
      <c r="E101" s="1">
        <f>IF(COUNT(C101:D101)=2,D101-C101,"")</f>
        <v>-35.81794164748143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IF(954613&gt;0,100*161965/954613,"")</f>
        <v>16.966561318565745</v>
      </c>
      <c r="L101" s="1">
        <f>IF(COUNT(J101:K101)=2,K101-J101,"")</f>
        <v>-8.398421021730996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IF(997537&gt;0,100*138119/997537,"")</f>
        <v>13.846002704661581</v>
      </c>
      <c r="S101" s="1">
        <f>IF(COUNT(Q101:R101)=2,R101-Q101,"")</f>
        <v>-8.698649815186387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IF(734195&gt;0,100*549/734195,"")</f>
        <v>0.07477577482821321</v>
      </c>
      <c r="E102" s="1">
        <f>IF(COUNT(C102:D102)=2,D102-C102,"")</f>
        <v>-0.24356610476019522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IF(2517749&gt;0,100*895927/2517749,"")</f>
        <v>35.58444467657419</v>
      </c>
      <c r="L102" s="1">
        <f>IF(COUNT(J102:K102)=2,K102-J102,"")</f>
        <v>5.2393949083195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IF(1881882&gt;0,100*464012/1881882,"")</f>
        <v>24.65680632473237</v>
      </c>
      <c r="S102" s="1">
        <f>IF(COUNT(Q102:R102)=2,R102-Q102,"")</f>
        <v>-15.53827178607644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IF(2168360&gt;0,100*826999/2168360,"")</f>
        <v>38.13937722518401</v>
      </c>
      <c r="E103" s="1">
        <f>IF(COUNT(C103:D103)=2,D103-C103,"")</f>
        <v>-8.80325734094744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IF(1420567&gt;0,100*234015/1420567,"")</f>
        <v>16.473351837681715</v>
      </c>
      <c r="L103" s="1">
        <f>IF(COUNT(J103:K103)=2,K103-J103,"")</f>
        <v>-32.388324690688606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IF(1810900&gt;0,100*471140/1810900,"")</f>
        <v>26.01689767518913</v>
      </c>
      <c r="S103" s="1">
        <f>IF(COUNT(Q103:R103)=2,R103-Q103,"")</f>
        <v>-17.74834011011058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IF(1938259&gt;0,100*660911/1938259,"")</f>
        <v>34.098177797704025</v>
      </c>
      <c r="E104" s="1">
        <f>IF(COUNT(C104:D104)=2,D104-C104,"")</f>
        <v>-12.983448888834538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IF(752085&gt;0,100*29456/752085,"")</f>
        <v>3.9165785782192173</v>
      </c>
      <c r="L104" s="1">
        <f>IF(COUNT(J104:K104)=2,K104-J104,"")</f>
        <v>-28.05972955021025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IF(893084&gt;0,100*9797/893084,"")</f>
        <v>1.0969852779805707</v>
      </c>
      <c r="S104" s="1">
        <f>IF(COUNT(Q104:R104)=2,R104-Q104,"")</f>
        <v>-0.2625341271096886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IF(426597&gt;0,100*2617/426597,"")</f>
        <v>0.6134595414407509</v>
      </c>
      <c r="E105" s="1">
        <f>IF(COUNT(C105:D105)=2,D105-C105,"")</f>
        <v>-26.5391977601133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IF(2245776&gt;0,100*700402/2245776,"")</f>
        <v>31.187527162103432</v>
      </c>
      <c r="L105" s="1">
        <f>IF(COUNT(J105:K105)=2,K105-J105,"")</f>
        <v>6.402050135186585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IF(1248124&gt;0,100*276859/1248124,"")</f>
        <v>22.182010761751236</v>
      </c>
      <c r="S105" s="1">
        <f>IF(COUNT(Q105:R105)=2,R105-Q105,"")</f>
        <v>-23.00547757525731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20.149464635958722</v>
      </c>
      <c r="E106" s="1">
        <f>IF(COUNT(E75:E105)&gt;0,AVERAGE(E75:E105),"")</f>
        <v>-13.637327392254285</v>
      </c>
      <c r="H106" s="2" t="s">
        <v>6</v>
      </c>
      <c r="I106" s="1"/>
      <c r="J106" s="1">
        <f>IF(COUNT(J75:J105)&gt;0,AVERAGE(J75:J105),"")</f>
        <v>36.69157069983473</v>
      </c>
      <c r="K106" s="1">
        <f>IF(COUNT(K75:K105)&gt;0,AVERAGE(K75:K105),"")</f>
        <v>20.16885563652752</v>
      </c>
      <c r="L106" s="1">
        <f>IF(COUNT(L75:L105)&gt;0,AVERAGE(L75:L105),"")</f>
        <v>-15.910368490895392</v>
      </c>
      <c r="O106" s="2" t="s">
        <v>6</v>
      </c>
      <c r="P106" s="1"/>
      <c r="Q106" s="1">
        <f>IF(COUNT(Q75:Q105)&gt;0,AVERAGE(Q75:Q105),"")</f>
        <v>34.096955178849896</v>
      </c>
      <c r="R106" s="1">
        <f>IF(COUNT(R75:R105)&gt;0,AVERAGE(R75:R105),"")</f>
        <v>18.446363434445754</v>
      </c>
      <c r="S106" s="1">
        <f>IF(COUNT(S75:S105)&gt;0,AVERAGE(S75:S105),"")</f>
        <v>-15.65059174440414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6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style="3" customWidth="1"/>
    <col min="2" max="5" width="28.7109375" style="3" customWidth="1"/>
  </cols>
  <sheetData>
    <row r="1" spans="1: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>
      <c r="A2" s="3" t="s">
        <v>21</v>
      </c>
      <c r="B2" s="3" t="s">
        <v>22</v>
      </c>
      <c r="C2" s="3">
        <v>589756</v>
      </c>
      <c r="D2" s="3">
        <v>42847</v>
      </c>
      <c r="E2" s="3" t="s">
        <v>23</v>
      </c>
    </row>
    <row r="3" spans="1:5">
      <c r="A3" s="3" t="s">
        <v>24</v>
      </c>
      <c r="B3" s="3" t="s">
        <v>22</v>
      </c>
      <c r="C3" s="3">
        <v>1257093</v>
      </c>
      <c r="D3" s="3">
        <v>339975</v>
      </c>
      <c r="E3" s="3" t="s">
        <v>23</v>
      </c>
    </row>
    <row r="4" spans="1:5">
      <c r="A4" s="3" t="s">
        <v>25</v>
      </c>
      <c r="B4" s="3" t="s">
        <v>22</v>
      </c>
      <c r="C4" s="3">
        <v>1525131</v>
      </c>
      <c r="D4" s="3">
        <v>413218</v>
      </c>
      <c r="E4" s="3" t="s">
        <v>23</v>
      </c>
    </row>
    <row r="5" spans="1:5">
      <c r="A5" s="3" t="s">
        <v>26</v>
      </c>
      <c r="B5" s="3" t="s">
        <v>22</v>
      </c>
      <c r="C5" s="3">
        <v>890252</v>
      </c>
      <c r="D5" s="3">
        <v>137941</v>
      </c>
      <c r="E5" s="3" t="s">
        <v>23</v>
      </c>
    </row>
    <row r="6" spans="1:5">
      <c r="A6" s="3" t="s">
        <v>27</v>
      </c>
      <c r="B6" s="3" t="s">
        <v>22</v>
      </c>
      <c r="C6" s="3">
        <v>402681</v>
      </c>
      <c r="D6" s="3">
        <v>1624</v>
      </c>
      <c r="E6" s="3" t="s">
        <v>23</v>
      </c>
    </row>
    <row r="7" spans="1:5">
      <c r="A7" s="3" t="s">
        <v>28</v>
      </c>
      <c r="B7" s="3" t="s">
        <v>22</v>
      </c>
      <c r="C7" s="3">
        <v>1594470</v>
      </c>
      <c r="D7" s="3">
        <v>502298</v>
      </c>
      <c r="E7" s="3" t="s">
        <v>23</v>
      </c>
    </row>
    <row r="8" spans="1:5">
      <c r="A8" s="3" t="s">
        <v>29</v>
      </c>
      <c r="B8" s="3" t="s">
        <v>22</v>
      </c>
      <c r="C8" s="3">
        <v>2070034</v>
      </c>
      <c r="D8" s="3">
        <v>673647</v>
      </c>
      <c r="E8" s="3" t="s">
        <v>23</v>
      </c>
    </row>
    <row r="9" spans="1:5">
      <c r="A9" s="3" t="s">
        <v>30</v>
      </c>
      <c r="B9" s="3" t="s">
        <v>22</v>
      </c>
      <c r="C9" s="3">
        <v>404630</v>
      </c>
      <c r="D9" s="3">
        <v>3749</v>
      </c>
      <c r="E9" s="3" t="s">
        <v>23</v>
      </c>
    </row>
    <row r="10" spans="1:5">
      <c r="A10" s="3" t="s">
        <v>31</v>
      </c>
      <c r="B10" s="3" t="s">
        <v>22</v>
      </c>
      <c r="C10" s="3">
        <v>493031</v>
      </c>
      <c r="D10" s="3">
        <v>16609</v>
      </c>
      <c r="E10" s="3" t="s">
        <v>23</v>
      </c>
    </row>
    <row r="11" spans="1:5">
      <c r="A11" s="3" t="s">
        <v>32</v>
      </c>
      <c r="B11" s="3" t="s">
        <v>22</v>
      </c>
      <c r="C11" s="3">
        <v>678686</v>
      </c>
      <c r="D11" s="3">
        <v>167747</v>
      </c>
      <c r="E11" s="3" t="s">
        <v>23</v>
      </c>
    </row>
    <row r="12" spans="1:5">
      <c r="A12" s="3" t="s">
        <v>33</v>
      </c>
      <c r="B12" s="3" t="s">
        <v>22</v>
      </c>
      <c r="C12" s="3">
        <v>1151624</v>
      </c>
      <c r="D12" s="3">
        <v>271316</v>
      </c>
      <c r="E12" s="3" t="s">
        <v>23</v>
      </c>
    </row>
    <row r="13" spans="1:5">
      <c r="A13" s="3" t="s">
        <v>34</v>
      </c>
      <c r="B13" s="3" t="s">
        <v>22</v>
      </c>
      <c r="C13" s="3">
        <v>902754</v>
      </c>
      <c r="D13" s="3">
        <v>214361</v>
      </c>
      <c r="E13" s="3" t="s">
        <v>23</v>
      </c>
    </row>
    <row r="14" spans="1:5">
      <c r="A14" s="3" t="s">
        <v>35</v>
      </c>
      <c r="B14" s="3" t="s">
        <v>22</v>
      </c>
      <c r="C14" s="3">
        <v>1440907</v>
      </c>
      <c r="D14" s="3">
        <v>438509</v>
      </c>
      <c r="E14" s="3" t="s">
        <v>23</v>
      </c>
    </row>
    <row r="15" spans="1:5">
      <c r="A15" s="3" t="s">
        <v>36</v>
      </c>
      <c r="B15" s="3" t="s">
        <v>22</v>
      </c>
      <c r="C15" s="3">
        <v>1417939</v>
      </c>
      <c r="D15" s="3">
        <v>407652</v>
      </c>
      <c r="E15" s="3" t="s">
        <v>23</v>
      </c>
    </row>
    <row r="16" spans="1:5">
      <c r="A16" s="3" t="s">
        <v>37</v>
      </c>
      <c r="B16" s="3" t="s">
        <v>22</v>
      </c>
      <c r="C16" s="3">
        <v>356205</v>
      </c>
      <c r="D16" s="3">
        <v>844</v>
      </c>
      <c r="E16" s="3" t="s">
        <v>23</v>
      </c>
    </row>
    <row r="17" spans="1:5">
      <c r="A17" s="3" t="s">
        <v>38</v>
      </c>
      <c r="B17" s="3" t="s">
        <v>22</v>
      </c>
      <c r="C17" s="3">
        <v>645751</v>
      </c>
      <c r="D17" s="3">
        <v>26838</v>
      </c>
      <c r="E17" s="3" t="s">
        <v>23</v>
      </c>
    </row>
    <row r="18" spans="1:5">
      <c r="A18" s="3" t="s">
        <v>39</v>
      </c>
      <c r="B18" s="3" t="s">
        <v>22</v>
      </c>
      <c r="C18" s="3">
        <v>1467711</v>
      </c>
      <c r="D18" s="3">
        <v>408671</v>
      </c>
      <c r="E18" s="3" t="s">
        <v>23</v>
      </c>
    </row>
    <row r="19" spans="1:5">
      <c r="A19" s="3" t="s">
        <v>40</v>
      </c>
      <c r="B19" s="3" t="s">
        <v>22</v>
      </c>
      <c r="C19" s="3">
        <v>1347668</v>
      </c>
      <c r="D19" s="3">
        <v>249382</v>
      </c>
      <c r="E19" s="3" t="s">
        <v>23</v>
      </c>
    </row>
    <row r="20" spans="1:5">
      <c r="A20" s="3" t="s">
        <v>41</v>
      </c>
      <c r="B20" s="3" t="s">
        <v>22</v>
      </c>
      <c r="C20" s="3">
        <v>1215961</v>
      </c>
      <c r="D20" s="3">
        <v>265032</v>
      </c>
      <c r="E20" s="3" t="s">
        <v>23</v>
      </c>
    </row>
    <row r="21" spans="1:5">
      <c r="A21" s="3" t="s">
        <v>42</v>
      </c>
      <c r="B21" s="3" t="s">
        <v>22</v>
      </c>
      <c r="C21" s="3">
        <v>342230</v>
      </c>
      <c r="D21" s="3">
        <v>341</v>
      </c>
      <c r="E21" s="3" t="s">
        <v>23</v>
      </c>
    </row>
    <row r="22" spans="1:5">
      <c r="A22" s="3" t="s">
        <v>43</v>
      </c>
      <c r="B22" s="3" t="s">
        <v>22</v>
      </c>
      <c r="C22" s="3">
        <v>1688036</v>
      </c>
      <c r="D22" s="3">
        <v>497941</v>
      </c>
      <c r="E22" s="3" t="s">
        <v>23</v>
      </c>
    </row>
    <row r="23" spans="1:5">
      <c r="A23" s="3" t="s">
        <v>44</v>
      </c>
      <c r="B23" s="3" t="s">
        <v>22</v>
      </c>
      <c r="C23" s="3">
        <v>760120</v>
      </c>
      <c r="D23" s="3">
        <v>126803</v>
      </c>
      <c r="E23" s="3" t="s">
        <v>23</v>
      </c>
    </row>
    <row r="24" spans="1:5">
      <c r="A24" s="3" t="s">
        <v>45</v>
      </c>
      <c r="B24" s="3" t="s">
        <v>22</v>
      </c>
      <c r="C24" s="3">
        <v>903124</v>
      </c>
      <c r="D24" s="3">
        <v>179893</v>
      </c>
      <c r="E24" s="3" t="s">
        <v>23</v>
      </c>
    </row>
    <row r="25" spans="1:5">
      <c r="A25" s="3" t="s">
        <v>46</v>
      </c>
      <c r="B25" s="3" t="s">
        <v>22</v>
      </c>
      <c r="C25" s="3">
        <v>646412</v>
      </c>
      <c r="D25" s="3">
        <v>1911</v>
      </c>
      <c r="E25" s="3" t="s">
        <v>23</v>
      </c>
    </row>
    <row r="26" spans="1:5">
      <c r="A26" s="3" t="s">
        <v>47</v>
      </c>
      <c r="B26" s="3" t="s">
        <v>22</v>
      </c>
      <c r="C26" s="3">
        <v>1547926</v>
      </c>
      <c r="D26" s="3">
        <v>473145</v>
      </c>
      <c r="E26" s="3" t="s">
        <v>23</v>
      </c>
    </row>
    <row r="27" spans="1:5">
      <c r="A27" s="3" t="s">
        <v>48</v>
      </c>
      <c r="B27" s="3" t="s">
        <v>22</v>
      </c>
      <c r="C27" s="3">
        <v>597070</v>
      </c>
      <c r="D27" s="3">
        <v>7003</v>
      </c>
      <c r="E27" s="3" t="s">
        <v>23</v>
      </c>
    </row>
    <row r="28" spans="1:5">
      <c r="A28" s="3" t="s">
        <v>49</v>
      </c>
      <c r="B28" s="3" t="s">
        <v>22</v>
      </c>
      <c r="C28" s="3">
        <v>800628</v>
      </c>
      <c r="D28" s="3">
        <v>82297</v>
      </c>
      <c r="E28" s="3" t="s">
        <v>23</v>
      </c>
    </row>
    <row r="29" spans="1:5">
      <c r="A29" s="3" t="s">
        <v>50</v>
      </c>
      <c r="B29" s="3" t="s">
        <v>22</v>
      </c>
      <c r="C29" s="3">
        <v>1213940</v>
      </c>
      <c r="D29" s="3">
        <v>293918</v>
      </c>
      <c r="E29" s="3" t="s">
        <v>23</v>
      </c>
    </row>
    <row r="30" spans="1:5">
      <c r="A30" s="3" t="s">
        <v>51</v>
      </c>
      <c r="B30" s="3" t="s">
        <v>22</v>
      </c>
      <c r="C30" s="3">
        <v>1281547</v>
      </c>
      <c r="D30" s="3">
        <v>357299</v>
      </c>
      <c r="E30" s="3" t="s">
        <v>23</v>
      </c>
    </row>
    <row r="31" spans="1:5">
      <c r="A31" s="3" t="s">
        <v>52</v>
      </c>
      <c r="B31" s="3" t="s">
        <v>22</v>
      </c>
      <c r="C31" s="3">
        <v>1366076</v>
      </c>
      <c r="D31" s="3">
        <v>371171</v>
      </c>
      <c r="E31" s="3" t="s">
        <v>23</v>
      </c>
    </row>
    <row r="32" spans="1:5">
      <c r="A32" s="3" t="s">
        <v>53</v>
      </c>
      <c r="B32" s="3" t="s">
        <v>22</v>
      </c>
      <c r="C32" s="3">
        <v>527300</v>
      </c>
      <c r="D32" s="3">
        <v>8129</v>
      </c>
      <c r="E32" s="3" t="s">
        <v>23</v>
      </c>
    </row>
    <row r="33" spans="1:5">
      <c r="A33" s="3" t="s">
        <v>54</v>
      </c>
      <c r="B33" s="3" t="s">
        <v>22</v>
      </c>
      <c r="C33" s="3">
        <v>963095</v>
      </c>
      <c r="D33" s="3">
        <v>80174</v>
      </c>
      <c r="E33" s="3" t="s">
        <v>23</v>
      </c>
    </row>
    <row r="34" spans="1:5">
      <c r="A34" s="3" t="s">
        <v>55</v>
      </c>
      <c r="B34" s="3" t="s">
        <v>22</v>
      </c>
      <c r="C34" s="3">
        <v>859244</v>
      </c>
      <c r="D34" s="3">
        <v>22023</v>
      </c>
      <c r="E34" s="3" t="s">
        <v>23</v>
      </c>
    </row>
    <row r="35" spans="1:5">
      <c r="A35" s="3" t="s">
        <v>56</v>
      </c>
      <c r="B35" s="3" t="s">
        <v>22</v>
      </c>
      <c r="C35" s="3">
        <v>1062840</v>
      </c>
      <c r="D35" s="3">
        <v>86171</v>
      </c>
      <c r="E35" s="3" t="s">
        <v>23</v>
      </c>
    </row>
    <row r="36" spans="1:5">
      <c r="A36" s="3" t="s">
        <v>57</v>
      </c>
      <c r="B36" s="3" t="s">
        <v>22</v>
      </c>
      <c r="C36" s="3">
        <v>743162</v>
      </c>
      <c r="D36" s="3">
        <v>67742</v>
      </c>
      <c r="E36" s="3" t="s">
        <v>23</v>
      </c>
    </row>
    <row r="37" spans="1:5">
      <c r="A37" s="3" t="s">
        <v>58</v>
      </c>
      <c r="B37" s="3" t="s">
        <v>22</v>
      </c>
      <c r="C37" s="3">
        <v>1082028</v>
      </c>
      <c r="D37" s="3">
        <v>205002</v>
      </c>
      <c r="E37" s="3" t="s">
        <v>23</v>
      </c>
    </row>
    <row r="38" spans="1:5">
      <c r="A38" s="3" t="s">
        <v>59</v>
      </c>
      <c r="B38" s="3" t="s">
        <v>22</v>
      </c>
      <c r="C38" s="3">
        <v>1489348</v>
      </c>
      <c r="D38" s="3">
        <v>327474</v>
      </c>
      <c r="E38" s="3" t="s">
        <v>23</v>
      </c>
    </row>
    <row r="39" spans="1:5">
      <c r="A39" s="3" t="s">
        <v>60</v>
      </c>
      <c r="B39" s="3" t="s">
        <v>22</v>
      </c>
      <c r="C39" s="3">
        <v>1459562</v>
      </c>
      <c r="D39" s="3">
        <v>309696</v>
      </c>
      <c r="E39" s="3" t="s">
        <v>23</v>
      </c>
    </row>
    <row r="40" spans="1:5">
      <c r="A40" s="3" t="s">
        <v>61</v>
      </c>
      <c r="B40" s="3" t="s">
        <v>22</v>
      </c>
      <c r="C40" s="3">
        <v>1171905</v>
      </c>
      <c r="D40" s="3">
        <v>213601</v>
      </c>
      <c r="E40" s="3" t="s">
        <v>23</v>
      </c>
    </row>
    <row r="41" spans="1:5">
      <c r="A41" s="3" t="s">
        <v>62</v>
      </c>
      <c r="B41" s="3" t="s">
        <v>22</v>
      </c>
      <c r="C41" s="3">
        <v>1120739</v>
      </c>
      <c r="D41" s="3">
        <v>183337</v>
      </c>
      <c r="E41" s="3" t="s">
        <v>23</v>
      </c>
    </row>
    <row r="42" spans="1:5">
      <c r="A42" s="3" t="s">
        <v>63</v>
      </c>
      <c r="B42" s="3" t="s">
        <v>22</v>
      </c>
      <c r="C42" s="3">
        <v>1281023</v>
      </c>
      <c r="D42" s="3">
        <v>246540</v>
      </c>
      <c r="E42" s="3" t="s">
        <v>23</v>
      </c>
    </row>
    <row r="43" spans="1:5">
      <c r="A43" s="3" t="s">
        <v>64</v>
      </c>
      <c r="B43" s="3" t="s">
        <v>22</v>
      </c>
      <c r="C43" s="3">
        <v>1151773</v>
      </c>
      <c r="D43" s="3">
        <v>227964</v>
      </c>
      <c r="E43" s="3" t="s">
        <v>23</v>
      </c>
    </row>
    <row r="44" spans="1:5">
      <c r="A44" s="3" t="s">
        <v>65</v>
      </c>
      <c r="B44" s="3" t="s">
        <v>22</v>
      </c>
      <c r="C44" s="3">
        <v>1727217</v>
      </c>
      <c r="D44" s="3">
        <v>396781</v>
      </c>
      <c r="E44" s="3" t="s">
        <v>23</v>
      </c>
    </row>
    <row r="45" spans="1:5">
      <c r="A45" s="3" t="s">
        <v>66</v>
      </c>
      <c r="B45" s="3" t="s">
        <v>22</v>
      </c>
      <c r="C45" s="3">
        <v>1192392</v>
      </c>
      <c r="D45" s="3">
        <v>161658</v>
      </c>
      <c r="E45" s="3" t="s">
        <v>23</v>
      </c>
    </row>
    <row r="46" spans="1:5">
      <c r="A46" s="3" t="s">
        <v>67</v>
      </c>
      <c r="B46" s="3" t="s">
        <v>22</v>
      </c>
      <c r="C46" s="3">
        <v>1602429</v>
      </c>
      <c r="D46" s="3">
        <v>416933</v>
      </c>
      <c r="E46" s="3" t="s">
        <v>23</v>
      </c>
    </row>
    <row r="47" spans="1:5">
      <c r="A47" s="3" t="s">
        <v>68</v>
      </c>
      <c r="B47" s="3" t="s">
        <v>22</v>
      </c>
      <c r="C47" s="3">
        <v>932719</v>
      </c>
      <c r="D47" s="3">
        <v>201211</v>
      </c>
      <c r="E47" s="3" t="s">
        <v>23</v>
      </c>
    </row>
    <row r="48" spans="1:5">
      <c r="A48" s="3" t="s">
        <v>69</v>
      </c>
      <c r="B48" s="3" t="s">
        <v>22</v>
      </c>
      <c r="C48" s="3">
        <v>1003113</v>
      </c>
      <c r="D48" s="3">
        <v>120424</v>
      </c>
      <c r="E48" s="3" t="s">
        <v>23</v>
      </c>
    </row>
    <row r="49" spans="1:5">
      <c r="A49" s="3" t="s">
        <v>70</v>
      </c>
      <c r="B49" s="3" t="s">
        <v>22</v>
      </c>
      <c r="C49" s="3">
        <v>723555</v>
      </c>
      <c r="D49" s="3">
        <v>21635</v>
      </c>
      <c r="E49" s="3" t="s">
        <v>23</v>
      </c>
    </row>
    <row r="50" spans="1:5">
      <c r="A50" s="3" t="s">
        <v>71</v>
      </c>
      <c r="B50" s="3" t="s">
        <v>22</v>
      </c>
      <c r="C50" s="3">
        <v>1386796</v>
      </c>
      <c r="D50" s="3">
        <v>289968</v>
      </c>
      <c r="E50" s="3" t="s">
        <v>23</v>
      </c>
    </row>
    <row r="51" spans="1:5">
      <c r="A51" s="3" t="s">
        <v>72</v>
      </c>
      <c r="B51" s="3" t="s">
        <v>22</v>
      </c>
      <c r="C51" s="3">
        <v>1003741</v>
      </c>
      <c r="D51" s="3">
        <v>151273</v>
      </c>
      <c r="E51" s="3" t="s">
        <v>23</v>
      </c>
    </row>
    <row r="52" spans="1:5">
      <c r="A52" s="3" t="s">
        <v>73</v>
      </c>
      <c r="B52" s="3" t="s">
        <v>22</v>
      </c>
      <c r="C52" s="3">
        <v>1876750</v>
      </c>
      <c r="D52" s="3">
        <v>548392</v>
      </c>
      <c r="E52" s="3" t="s">
        <v>23</v>
      </c>
    </row>
    <row r="53" spans="1:5">
      <c r="A53" s="3" t="s">
        <v>74</v>
      </c>
      <c r="B53" s="3" t="s">
        <v>22</v>
      </c>
      <c r="C53" s="3">
        <v>1584655</v>
      </c>
      <c r="D53" s="3">
        <v>344574</v>
      </c>
      <c r="E53" s="3" t="s">
        <v>23</v>
      </c>
    </row>
    <row r="54" spans="1:5">
      <c r="A54" s="3" t="s">
        <v>75</v>
      </c>
      <c r="B54" s="3" t="s">
        <v>22</v>
      </c>
      <c r="C54" s="3">
        <v>1468737</v>
      </c>
      <c r="D54" s="3">
        <v>348440</v>
      </c>
      <c r="E54" s="3" t="s">
        <v>23</v>
      </c>
    </row>
    <row r="55" spans="1:5">
      <c r="A55" s="3" t="s">
        <v>76</v>
      </c>
      <c r="B55" s="3" t="s">
        <v>22</v>
      </c>
      <c r="C55" s="3">
        <v>1043359</v>
      </c>
      <c r="D55" s="3">
        <v>59538</v>
      </c>
      <c r="E55" s="3" t="s">
        <v>23</v>
      </c>
    </row>
    <row r="56" spans="1:5">
      <c r="A56" s="3" t="s">
        <v>77</v>
      </c>
      <c r="B56" s="3" t="s">
        <v>22</v>
      </c>
      <c r="C56" s="3">
        <v>1670002</v>
      </c>
      <c r="D56" s="3">
        <v>406729</v>
      </c>
      <c r="E56" s="3" t="s">
        <v>23</v>
      </c>
    </row>
    <row r="57" spans="1:5">
      <c r="A57" s="3" t="s">
        <v>78</v>
      </c>
      <c r="B57" s="3" t="s">
        <v>22</v>
      </c>
      <c r="C57" s="3">
        <v>820811</v>
      </c>
      <c r="D57" s="3">
        <v>19179</v>
      </c>
      <c r="E57" s="3" t="s">
        <v>23</v>
      </c>
    </row>
    <row r="58" spans="1:5">
      <c r="A58" s="3" t="s">
        <v>79</v>
      </c>
      <c r="B58" s="3" t="s">
        <v>22</v>
      </c>
      <c r="C58" s="3">
        <v>1481568</v>
      </c>
      <c r="D58" s="3">
        <v>314238</v>
      </c>
      <c r="E58" s="3" t="s">
        <v>23</v>
      </c>
    </row>
    <row r="59" spans="1:5">
      <c r="A59" s="3" t="s">
        <v>80</v>
      </c>
      <c r="B59" s="3" t="s">
        <v>22</v>
      </c>
      <c r="C59" s="3">
        <v>1643648</v>
      </c>
      <c r="D59" s="3">
        <v>382257</v>
      </c>
      <c r="E59" s="3" t="s">
        <v>23</v>
      </c>
    </row>
    <row r="60" spans="1:5">
      <c r="A60" s="3" t="s">
        <v>81</v>
      </c>
      <c r="B60" s="3" t="s">
        <v>22</v>
      </c>
      <c r="C60" s="3">
        <v>545527</v>
      </c>
      <c r="D60" s="3">
        <v>1624</v>
      </c>
      <c r="E60" s="3" t="s">
        <v>23</v>
      </c>
    </row>
    <row r="61" spans="1:5">
      <c r="A61" s="3" t="s">
        <v>82</v>
      </c>
      <c r="B61" s="3" t="s">
        <v>22</v>
      </c>
      <c r="C61" s="3">
        <v>453926</v>
      </c>
      <c r="D61" s="3">
        <v>2064</v>
      </c>
      <c r="E61" s="3" t="s">
        <v>23</v>
      </c>
    </row>
    <row r="62" spans="1:5">
      <c r="A62" s="3" t="s">
        <v>83</v>
      </c>
      <c r="B62" s="3" t="s">
        <v>22</v>
      </c>
      <c r="C62" s="3">
        <v>1962297</v>
      </c>
      <c r="D62" s="3">
        <v>518675</v>
      </c>
      <c r="E62" s="3" t="s">
        <v>23</v>
      </c>
    </row>
    <row r="63" spans="1:5">
      <c r="A63" s="3" t="s">
        <v>84</v>
      </c>
      <c r="B63" s="3" t="s">
        <v>22</v>
      </c>
      <c r="C63" s="3">
        <v>1291278</v>
      </c>
      <c r="D63" s="3">
        <v>234946</v>
      </c>
      <c r="E63" s="3" t="s">
        <v>23</v>
      </c>
    </row>
    <row r="64" spans="1:5">
      <c r="A64" s="3" t="s">
        <v>85</v>
      </c>
      <c r="B64" s="3" t="s">
        <v>22</v>
      </c>
      <c r="C64" s="3">
        <v>945987</v>
      </c>
      <c r="D64" s="3">
        <v>146986</v>
      </c>
      <c r="E64" s="3" t="s">
        <v>23</v>
      </c>
    </row>
    <row r="65" spans="1:5">
      <c r="A65" s="3" t="s">
        <v>86</v>
      </c>
      <c r="B65" s="3" t="s">
        <v>22</v>
      </c>
      <c r="C65" s="3">
        <v>1056702</v>
      </c>
      <c r="D65" s="3">
        <v>90500</v>
      </c>
      <c r="E65" s="3" t="s">
        <v>23</v>
      </c>
    </row>
    <row r="66" spans="1:5">
      <c r="A66" s="3" t="s">
        <v>87</v>
      </c>
      <c r="B66" s="3" t="s">
        <v>22</v>
      </c>
      <c r="C66" s="3">
        <v>1065810</v>
      </c>
      <c r="D66" s="3">
        <v>74409</v>
      </c>
      <c r="E66" s="3" t="s">
        <v>23</v>
      </c>
    </row>
    <row r="67" spans="1:5">
      <c r="A67" s="3" t="s">
        <v>88</v>
      </c>
      <c r="B67" s="3" t="s">
        <v>22</v>
      </c>
      <c r="C67" s="3">
        <v>920444</v>
      </c>
      <c r="D67" s="3">
        <v>21104</v>
      </c>
      <c r="E67" s="3" t="s">
        <v>23</v>
      </c>
    </row>
    <row r="68" spans="1:5">
      <c r="A68" s="3" t="s">
        <v>89</v>
      </c>
      <c r="B68" s="3" t="s">
        <v>22</v>
      </c>
      <c r="C68" s="3">
        <v>858003</v>
      </c>
      <c r="D68" s="3">
        <v>98255</v>
      </c>
      <c r="E68" s="3" t="s">
        <v>23</v>
      </c>
    </row>
    <row r="69" spans="1:5">
      <c r="A69" s="3" t="s">
        <v>90</v>
      </c>
      <c r="B69" s="3" t="s">
        <v>22</v>
      </c>
      <c r="C69" s="3">
        <v>1516049</v>
      </c>
      <c r="D69" s="3">
        <v>307386</v>
      </c>
      <c r="E69" s="3" t="s">
        <v>23</v>
      </c>
    </row>
    <row r="70" spans="1:5">
      <c r="A70" s="3" t="s">
        <v>91</v>
      </c>
      <c r="B70" s="3" t="s">
        <v>22</v>
      </c>
      <c r="C70" s="3">
        <v>1016693</v>
      </c>
      <c r="D70" s="3">
        <v>84107</v>
      </c>
      <c r="E70" s="3" t="s">
        <v>23</v>
      </c>
    </row>
    <row r="71" spans="1:5">
      <c r="A71" s="3" t="s">
        <v>92</v>
      </c>
      <c r="B71" s="3" t="s">
        <v>22</v>
      </c>
      <c r="C71" s="3">
        <v>1074961</v>
      </c>
      <c r="D71" s="3">
        <v>167600</v>
      </c>
      <c r="E71" s="3" t="s">
        <v>23</v>
      </c>
    </row>
    <row r="72" spans="1:5">
      <c r="A72" s="3" t="s">
        <v>93</v>
      </c>
      <c r="B72" s="3" t="s">
        <v>22</v>
      </c>
      <c r="C72" s="3">
        <v>985672</v>
      </c>
      <c r="D72" s="3">
        <v>158592</v>
      </c>
      <c r="E72" s="3" t="s">
        <v>23</v>
      </c>
    </row>
    <row r="73" spans="1:5">
      <c r="A73" s="3" t="s">
        <v>94</v>
      </c>
      <c r="B73" s="3" t="s">
        <v>22</v>
      </c>
      <c r="C73" s="3">
        <v>742263</v>
      </c>
      <c r="D73" s="3">
        <v>55763</v>
      </c>
      <c r="E73" s="3" t="s">
        <v>23</v>
      </c>
    </row>
    <row r="74" spans="1:5">
      <c r="A74" s="3" t="s">
        <v>95</v>
      </c>
      <c r="B74" s="3" t="s">
        <v>22</v>
      </c>
      <c r="C74" s="3">
        <v>1023034</v>
      </c>
      <c r="D74" s="3">
        <v>98314</v>
      </c>
      <c r="E74" s="3" t="s">
        <v>23</v>
      </c>
    </row>
    <row r="75" spans="1:5">
      <c r="A75" s="3" t="s">
        <v>96</v>
      </c>
      <c r="B75" s="3" t="s">
        <v>22</v>
      </c>
      <c r="C75" s="3">
        <v>1462824</v>
      </c>
      <c r="D75" s="3">
        <v>295276</v>
      </c>
      <c r="E75" s="3" t="s">
        <v>23</v>
      </c>
    </row>
    <row r="76" spans="1:5">
      <c r="A76" s="3" t="s">
        <v>97</v>
      </c>
      <c r="B76" s="3" t="s">
        <v>22</v>
      </c>
      <c r="C76" s="3">
        <v>344497</v>
      </c>
      <c r="D76" s="3">
        <v>35856</v>
      </c>
      <c r="E76" s="3" t="s">
        <v>23</v>
      </c>
    </row>
    <row r="77" spans="1:5">
      <c r="A77" s="3" t="s">
        <v>98</v>
      </c>
      <c r="B77" s="3" t="s">
        <v>22</v>
      </c>
      <c r="C77" s="3">
        <v>1558617</v>
      </c>
      <c r="D77" s="3">
        <v>423055</v>
      </c>
      <c r="E77" s="3" t="s">
        <v>23</v>
      </c>
    </row>
    <row r="78" spans="1:5">
      <c r="A78" s="3" t="s">
        <v>99</v>
      </c>
      <c r="B78" s="3" t="s">
        <v>22</v>
      </c>
      <c r="C78" s="3">
        <v>1416598</v>
      </c>
      <c r="D78" s="3">
        <v>313550</v>
      </c>
      <c r="E78" s="3" t="s">
        <v>23</v>
      </c>
    </row>
    <row r="79" spans="1:5">
      <c r="A79" s="3" t="s">
        <v>100</v>
      </c>
      <c r="B79" s="3" t="s">
        <v>22</v>
      </c>
      <c r="C79" s="3">
        <v>1040063</v>
      </c>
      <c r="D79" s="3">
        <v>173258</v>
      </c>
      <c r="E79" s="3" t="s">
        <v>23</v>
      </c>
    </row>
    <row r="80" spans="1:5">
      <c r="A80" s="3" t="s">
        <v>101</v>
      </c>
      <c r="B80" s="3" t="s">
        <v>22</v>
      </c>
      <c r="C80" s="3">
        <v>1924443</v>
      </c>
      <c r="D80" s="3">
        <v>496418</v>
      </c>
      <c r="E80" s="3" t="s">
        <v>23</v>
      </c>
    </row>
    <row r="81" spans="1:5">
      <c r="A81" s="3" t="s">
        <v>102</v>
      </c>
      <c r="B81" s="3" t="s">
        <v>22</v>
      </c>
      <c r="C81" s="3">
        <v>1689643</v>
      </c>
      <c r="D81" s="3">
        <v>428209</v>
      </c>
      <c r="E81" s="3" t="s">
        <v>23</v>
      </c>
    </row>
    <row r="82" spans="1:5">
      <c r="A82" s="3" t="s">
        <v>103</v>
      </c>
      <c r="B82" s="3" t="s">
        <v>22</v>
      </c>
      <c r="C82" s="3">
        <v>1276983</v>
      </c>
      <c r="D82" s="3">
        <v>178129</v>
      </c>
      <c r="E82" s="3" t="s">
        <v>23</v>
      </c>
    </row>
    <row r="83" spans="1:5">
      <c r="A83" s="3" t="s">
        <v>104</v>
      </c>
      <c r="B83" s="3" t="s">
        <v>22</v>
      </c>
      <c r="C83" s="3">
        <v>1251026</v>
      </c>
      <c r="D83" s="3">
        <v>289874</v>
      </c>
      <c r="E83" s="3" t="s">
        <v>23</v>
      </c>
    </row>
    <row r="84" spans="1:5">
      <c r="A84" s="3" t="s">
        <v>105</v>
      </c>
      <c r="B84" s="3" t="s">
        <v>22</v>
      </c>
      <c r="C84" s="3">
        <v>1523228</v>
      </c>
      <c r="D84" s="3">
        <v>334026</v>
      </c>
      <c r="E84" s="3" t="s">
        <v>23</v>
      </c>
    </row>
    <row r="85" spans="1:5">
      <c r="A85" s="3" t="s">
        <v>106</v>
      </c>
      <c r="B85" s="3" t="s">
        <v>22</v>
      </c>
      <c r="C85" s="3">
        <v>803654</v>
      </c>
      <c r="D85" s="3">
        <v>50014</v>
      </c>
      <c r="E85" s="3" t="s">
        <v>23</v>
      </c>
    </row>
    <row r="86" spans="1:5">
      <c r="A86" s="3" t="s">
        <v>107</v>
      </c>
      <c r="B86" s="3" t="s">
        <v>22</v>
      </c>
      <c r="C86" s="3">
        <v>1558759</v>
      </c>
      <c r="D86" s="3">
        <v>416893</v>
      </c>
      <c r="E86" s="3" t="s">
        <v>23</v>
      </c>
    </row>
    <row r="87" spans="1:5">
      <c r="A87" s="3" t="s">
        <v>108</v>
      </c>
      <c r="B87" s="3" t="s">
        <v>22</v>
      </c>
      <c r="C87" s="3">
        <v>1383609</v>
      </c>
      <c r="D87" s="3">
        <v>353139</v>
      </c>
      <c r="E87" s="3" t="s">
        <v>23</v>
      </c>
    </row>
    <row r="88" spans="1:5">
      <c r="A88" s="3" t="s">
        <v>109</v>
      </c>
      <c r="B88" s="3" t="s">
        <v>22</v>
      </c>
      <c r="C88" s="3">
        <v>543883</v>
      </c>
      <c r="D88" s="3">
        <v>9190</v>
      </c>
      <c r="E88" s="3" t="s">
        <v>23</v>
      </c>
    </row>
    <row r="89" spans="1:5">
      <c r="A89" s="3" t="s">
        <v>110</v>
      </c>
      <c r="B89" s="3" t="s">
        <v>22</v>
      </c>
      <c r="C89" s="3">
        <v>1717686</v>
      </c>
      <c r="D89" s="3">
        <v>494787</v>
      </c>
      <c r="E89" s="3" t="s">
        <v>23</v>
      </c>
    </row>
    <row r="90" spans="1:5">
      <c r="A90" s="3" t="s">
        <v>111</v>
      </c>
      <c r="B90" s="3" t="s">
        <v>22</v>
      </c>
      <c r="C90" s="3">
        <v>1082634</v>
      </c>
      <c r="D90" s="3">
        <v>94555</v>
      </c>
      <c r="E90" s="3" t="s">
        <v>23</v>
      </c>
    </row>
    <row r="91" spans="1:5">
      <c r="A91" s="3" t="s">
        <v>112</v>
      </c>
      <c r="B91" s="3" t="s">
        <v>22</v>
      </c>
      <c r="C91" s="3">
        <v>721423</v>
      </c>
      <c r="D91" s="3">
        <v>78697</v>
      </c>
      <c r="E91" s="3" t="s">
        <v>23</v>
      </c>
    </row>
    <row r="92" spans="1:5">
      <c r="A92" s="3" t="s">
        <v>113</v>
      </c>
      <c r="B92" s="3" t="s">
        <v>22</v>
      </c>
      <c r="C92" s="3">
        <v>502346</v>
      </c>
      <c r="D92" s="3">
        <v>11400</v>
      </c>
      <c r="E92" s="3" t="s">
        <v>23</v>
      </c>
    </row>
    <row r="93" spans="1:5">
      <c r="A93" s="3" t="s">
        <v>114</v>
      </c>
      <c r="B93" s="3" t="s">
        <v>22</v>
      </c>
      <c r="C93" s="3">
        <v>1684700</v>
      </c>
      <c r="D93" s="3">
        <v>439636</v>
      </c>
      <c r="E93" s="3" t="s">
        <v>23</v>
      </c>
    </row>
    <row r="94" spans="1:5">
      <c r="A94" s="3" t="s">
        <v>115</v>
      </c>
      <c r="B94" s="3" t="s">
        <v>22</v>
      </c>
      <c r="C94" s="3">
        <v>1071234</v>
      </c>
      <c r="D94" s="3">
        <v>130426</v>
      </c>
      <c r="E94" s="3" t="s">
        <v>23</v>
      </c>
    </row>
    <row r="95" spans="1:5">
      <c r="A95" s="3" t="s">
        <v>116</v>
      </c>
      <c r="B95" s="3" t="s">
        <v>22</v>
      </c>
      <c r="C95" s="3">
        <v>675341</v>
      </c>
      <c r="D95" s="3">
        <v>7439</v>
      </c>
      <c r="E95" s="3" t="s">
        <v>23</v>
      </c>
    </row>
    <row r="96" spans="1:5">
      <c r="A96" s="3" t="s">
        <v>117</v>
      </c>
      <c r="B96" s="3" t="s">
        <v>22</v>
      </c>
      <c r="C96" s="3">
        <v>1519579</v>
      </c>
      <c r="D96" s="3">
        <v>476825</v>
      </c>
      <c r="E96" s="3" t="s">
        <v>23</v>
      </c>
    </row>
    <row r="97" spans="1:5">
      <c r="A97" s="3" t="s">
        <v>118</v>
      </c>
      <c r="B97" s="3" t="s">
        <v>22</v>
      </c>
      <c r="C97" s="3">
        <v>1393607</v>
      </c>
      <c r="D97" s="3">
        <v>369149</v>
      </c>
      <c r="E97" s="3" t="s">
        <v>23</v>
      </c>
    </row>
    <row r="98" spans="1:5">
      <c r="A98" s="3" t="s">
        <v>119</v>
      </c>
      <c r="B98" s="3" t="s">
        <v>22</v>
      </c>
      <c r="C98" s="3">
        <v>752334</v>
      </c>
      <c r="D98" s="3">
        <v>38579</v>
      </c>
      <c r="E98" s="3" t="s">
        <v>23</v>
      </c>
    </row>
    <row r="99" spans="1:5">
      <c r="A99" s="3" t="s">
        <v>120</v>
      </c>
      <c r="B99" s="3" t="s">
        <v>22</v>
      </c>
      <c r="C99" s="3">
        <v>586774</v>
      </c>
      <c r="D99" s="3">
        <v>64620</v>
      </c>
      <c r="E99" s="3" t="s">
        <v>23</v>
      </c>
    </row>
    <row r="100" spans="1:5">
      <c r="A100" s="3" t="s">
        <v>121</v>
      </c>
      <c r="B100" s="3" t="s">
        <v>22</v>
      </c>
      <c r="C100" s="3">
        <v>2132630</v>
      </c>
      <c r="D100" s="3">
        <v>746168</v>
      </c>
      <c r="E100" s="3" t="s">
        <v>23</v>
      </c>
    </row>
    <row r="101" spans="1:5">
      <c r="A101" s="3" t="s">
        <v>122</v>
      </c>
      <c r="B101" s="3" t="s">
        <v>22</v>
      </c>
      <c r="C101" s="3">
        <v>1707164</v>
      </c>
      <c r="D101" s="3">
        <v>521451</v>
      </c>
      <c r="E101" s="3" t="s">
        <v>23</v>
      </c>
    </row>
    <row r="102" spans="1:5">
      <c r="A102" s="3" t="s">
        <v>123</v>
      </c>
      <c r="B102" s="3" t="s">
        <v>22</v>
      </c>
      <c r="C102" s="3">
        <v>471239</v>
      </c>
      <c r="D102" s="3">
        <v>26313</v>
      </c>
      <c r="E102" s="3" t="s">
        <v>23</v>
      </c>
    </row>
    <row r="103" spans="1:5">
      <c r="A103" s="3" t="s">
        <v>124</v>
      </c>
      <c r="B103" s="3" t="s">
        <v>22</v>
      </c>
      <c r="C103" s="3">
        <v>537609</v>
      </c>
      <c r="D103" s="3">
        <v>13658</v>
      </c>
      <c r="E103" s="3" t="s">
        <v>23</v>
      </c>
    </row>
    <row r="104" spans="1:5">
      <c r="A104" s="3" t="s">
        <v>125</v>
      </c>
      <c r="B104" s="3" t="s">
        <v>22</v>
      </c>
      <c r="C104" s="3">
        <v>1911838</v>
      </c>
      <c r="D104" s="3">
        <v>692776</v>
      </c>
      <c r="E104" s="3" t="s">
        <v>23</v>
      </c>
    </row>
    <row r="105" spans="1:5">
      <c r="A105" s="3" t="s">
        <v>126</v>
      </c>
      <c r="B105" s="3" t="s">
        <v>22</v>
      </c>
      <c r="C105" s="3">
        <v>1928046</v>
      </c>
      <c r="D105" s="3">
        <v>489318</v>
      </c>
      <c r="E105" s="3" t="s">
        <v>23</v>
      </c>
    </row>
    <row r="106" spans="1:5">
      <c r="A106" s="3" t="s">
        <v>127</v>
      </c>
      <c r="B106" s="3" t="s">
        <v>22</v>
      </c>
      <c r="C106" s="3">
        <v>659487</v>
      </c>
      <c r="D106" s="3">
        <v>153208</v>
      </c>
      <c r="E106" s="3" t="s">
        <v>23</v>
      </c>
    </row>
    <row r="107" spans="1:5">
      <c r="A107" s="3" t="s">
        <v>128</v>
      </c>
      <c r="B107" s="3" t="s">
        <v>22</v>
      </c>
      <c r="C107" s="3">
        <v>769157</v>
      </c>
      <c r="D107" s="3">
        <v>55973</v>
      </c>
      <c r="E107" s="3" t="s">
        <v>23</v>
      </c>
    </row>
    <row r="108" spans="1:5">
      <c r="A108" s="3" t="s">
        <v>129</v>
      </c>
      <c r="B108" s="3" t="s">
        <v>22</v>
      </c>
      <c r="C108" s="3">
        <v>1963326</v>
      </c>
      <c r="D108" s="3">
        <v>538045</v>
      </c>
      <c r="E108" s="3" t="s">
        <v>23</v>
      </c>
    </row>
    <row r="109" spans="1:5">
      <c r="A109" s="3" t="s">
        <v>130</v>
      </c>
      <c r="B109" s="3" t="s">
        <v>22</v>
      </c>
      <c r="C109" s="3">
        <v>406810</v>
      </c>
      <c r="D109" s="3">
        <v>491</v>
      </c>
      <c r="E109" s="3" t="s">
        <v>23</v>
      </c>
    </row>
    <row r="110" spans="1:5">
      <c r="A110" s="3" t="s">
        <v>131</v>
      </c>
      <c r="B110" s="3" t="s">
        <v>22</v>
      </c>
      <c r="C110" s="3">
        <v>799394</v>
      </c>
      <c r="D110" s="3">
        <v>4032</v>
      </c>
      <c r="E110" s="3" t="s">
        <v>23</v>
      </c>
    </row>
    <row r="111" spans="1:5">
      <c r="A111" s="3" t="s">
        <v>132</v>
      </c>
      <c r="B111" s="3" t="s">
        <v>22</v>
      </c>
      <c r="C111" s="3">
        <v>1824223</v>
      </c>
      <c r="D111" s="3">
        <v>495729</v>
      </c>
      <c r="E111" s="3" t="s">
        <v>23</v>
      </c>
    </row>
    <row r="112" spans="1:5">
      <c r="A112" s="3" t="s">
        <v>133</v>
      </c>
      <c r="B112" s="3" t="s">
        <v>22</v>
      </c>
      <c r="C112" s="3">
        <v>1948751</v>
      </c>
      <c r="D112" s="3">
        <v>667050</v>
      </c>
      <c r="E112" s="3" t="s">
        <v>23</v>
      </c>
    </row>
    <row r="113" spans="1:5">
      <c r="A113" s="3" t="s">
        <v>134</v>
      </c>
      <c r="B113" s="3" t="s">
        <v>22</v>
      </c>
      <c r="C113" s="3">
        <v>1882161</v>
      </c>
      <c r="D113" s="3">
        <v>663990</v>
      </c>
      <c r="E113" s="3" t="s">
        <v>23</v>
      </c>
    </row>
    <row r="114" spans="1:5">
      <c r="A114" s="3" t="s">
        <v>135</v>
      </c>
      <c r="B114" s="3" t="s">
        <v>22</v>
      </c>
      <c r="C114" s="3">
        <v>408366</v>
      </c>
      <c r="D114" s="3">
        <v>1300</v>
      </c>
      <c r="E114" s="3" t="s">
        <v>23</v>
      </c>
    </row>
    <row r="115" spans="1:5">
      <c r="A115" s="3" t="s">
        <v>136</v>
      </c>
      <c r="B115" s="3" t="s">
        <v>22</v>
      </c>
      <c r="C115" s="3">
        <v>2087796</v>
      </c>
      <c r="D115" s="3">
        <v>698525</v>
      </c>
      <c r="E115" s="3" t="s">
        <v>23</v>
      </c>
    </row>
    <row r="116" spans="1:5">
      <c r="A116" s="3" t="s">
        <v>137</v>
      </c>
      <c r="B116" s="3" t="s">
        <v>22</v>
      </c>
      <c r="C116" s="3">
        <v>1559392</v>
      </c>
      <c r="D116" s="3">
        <v>396775</v>
      </c>
      <c r="E116" s="3" t="s">
        <v>23</v>
      </c>
    </row>
    <row r="117" spans="1:5">
      <c r="A117" s="3" t="s">
        <v>138</v>
      </c>
      <c r="B117" s="3" t="s">
        <v>22</v>
      </c>
      <c r="C117" s="3">
        <v>1493041</v>
      </c>
      <c r="D117" s="3">
        <v>426488</v>
      </c>
      <c r="E117" s="3" t="s">
        <v>23</v>
      </c>
    </row>
    <row r="118" spans="1:5">
      <c r="A118" s="3" t="s">
        <v>139</v>
      </c>
      <c r="B118" s="3" t="s">
        <v>22</v>
      </c>
      <c r="C118" s="3">
        <v>817293</v>
      </c>
      <c r="D118" s="3">
        <v>38711</v>
      </c>
      <c r="E118" s="3" t="s">
        <v>23</v>
      </c>
    </row>
    <row r="119" spans="1:5">
      <c r="A119" s="3" t="s">
        <v>140</v>
      </c>
      <c r="B119" s="3" t="s">
        <v>22</v>
      </c>
      <c r="C119" s="3">
        <v>1477714</v>
      </c>
      <c r="D119" s="3">
        <v>406375</v>
      </c>
      <c r="E119" s="3" t="s">
        <v>23</v>
      </c>
    </row>
    <row r="120" spans="1:5">
      <c r="A120" s="3" t="s">
        <v>141</v>
      </c>
      <c r="B120" s="3" t="s">
        <v>22</v>
      </c>
      <c r="C120" s="3">
        <v>842366</v>
      </c>
      <c r="D120" s="3">
        <v>43376</v>
      </c>
      <c r="E120" s="3" t="s">
        <v>23</v>
      </c>
    </row>
    <row r="121" spans="1:5">
      <c r="A121" s="3" t="s">
        <v>142</v>
      </c>
      <c r="B121" s="3" t="s">
        <v>22</v>
      </c>
      <c r="C121" s="3">
        <v>794128</v>
      </c>
      <c r="D121" s="3">
        <v>179636</v>
      </c>
      <c r="E121" s="3" t="s">
        <v>23</v>
      </c>
    </row>
    <row r="122" spans="1:5">
      <c r="A122" s="3" t="s">
        <v>143</v>
      </c>
      <c r="B122" s="3" t="s">
        <v>22</v>
      </c>
      <c r="C122" s="3">
        <v>1528787</v>
      </c>
      <c r="D122" s="3">
        <v>418817</v>
      </c>
      <c r="E122" s="3" t="s">
        <v>23</v>
      </c>
    </row>
    <row r="123" spans="1:5">
      <c r="A123" s="3" t="s">
        <v>144</v>
      </c>
      <c r="B123" s="3" t="s">
        <v>22</v>
      </c>
      <c r="C123" s="3">
        <v>2007471</v>
      </c>
      <c r="D123" s="3">
        <v>660938</v>
      </c>
      <c r="E123" s="3" t="s">
        <v>23</v>
      </c>
    </row>
    <row r="124" spans="1:5">
      <c r="A124" s="3" t="s">
        <v>145</v>
      </c>
      <c r="B124" s="3" t="s">
        <v>22</v>
      </c>
      <c r="C124" s="3">
        <v>1914651</v>
      </c>
      <c r="D124" s="3">
        <v>555412</v>
      </c>
      <c r="E124" s="3" t="s">
        <v>23</v>
      </c>
    </row>
    <row r="125" spans="1:5">
      <c r="A125" s="3" t="s">
        <v>146</v>
      </c>
      <c r="B125" s="3" t="s">
        <v>22</v>
      </c>
      <c r="C125" s="3">
        <v>624813</v>
      </c>
      <c r="D125" s="3">
        <v>10580</v>
      </c>
      <c r="E125" s="3" t="s">
        <v>23</v>
      </c>
    </row>
    <row r="126" spans="1:5">
      <c r="A126" s="3" t="s">
        <v>147</v>
      </c>
      <c r="B126" s="3" t="s">
        <v>22</v>
      </c>
      <c r="C126" s="3">
        <v>810126</v>
      </c>
      <c r="D126" s="3">
        <v>57350</v>
      </c>
      <c r="E126" s="3" t="s">
        <v>23</v>
      </c>
    </row>
    <row r="127" spans="1:5">
      <c r="A127" s="3" t="s">
        <v>148</v>
      </c>
      <c r="B127" s="3" t="s">
        <v>22</v>
      </c>
      <c r="C127" s="3">
        <v>1093926</v>
      </c>
      <c r="D127" s="3">
        <v>109934</v>
      </c>
      <c r="E127" s="3" t="s">
        <v>23</v>
      </c>
    </row>
    <row r="128" spans="1:5">
      <c r="A128" s="3" t="s">
        <v>149</v>
      </c>
      <c r="B128" s="3" t="s">
        <v>22</v>
      </c>
      <c r="C128" s="3">
        <v>1359057</v>
      </c>
      <c r="D128" s="3">
        <v>199938</v>
      </c>
      <c r="E128" s="3" t="s">
        <v>23</v>
      </c>
    </row>
    <row r="129" spans="1:5">
      <c r="A129" s="3" t="s">
        <v>150</v>
      </c>
      <c r="B129" s="3" t="s">
        <v>22</v>
      </c>
      <c r="C129" s="3">
        <v>1370502</v>
      </c>
      <c r="D129" s="3">
        <v>142107</v>
      </c>
      <c r="E129" s="3" t="s">
        <v>23</v>
      </c>
    </row>
    <row r="130" spans="1:5">
      <c r="A130" s="3" t="s">
        <v>151</v>
      </c>
      <c r="B130" s="3" t="s">
        <v>22</v>
      </c>
      <c r="C130" s="3">
        <v>1440285</v>
      </c>
      <c r="D130" s="3">
        <v>298104</v>
      </c>
      <c r="E130" s="3" t="s">
        <v>23</v>
      </c>
    </row>
    <row r="131" spans="1:5">
      <c r="A131" s="3" t="s">
        <v>152</v>
      </c>
      <c r="B131" s="3" t="s">
        <v>22</v>
      </c>
      <c r="C131" s="3">
        <v>1657059</v>
      </c>
      <c r="D131" s="3">
        <v>338833</v>
      </c>
      <c r="E131" s="3" t="s">
        <v>23</v>
      </c>
    </row>
    <row r="132" spans="1:5">
      <c r="A132" s="3" t="s">
        <v>153</v>
      </c>
      <c r="B132" s="3" t="s">
        <v>22</v>
      </c>
      <c r="C132" s="3">
        <v>1295506</v>
      </c>
      <c r="D132" s="3">
        <v>141827</v>
      </c>
      <c r="E132" s="3" t="s">
        <v>23</v>
      </c>
    </row>
    <row r="133" spans="1:5">
      <c r="A133" s="3" t="s">
        <v>154</v>
      </c>
      <c r="B133" s="3" t="s">
        <v>22</v>
      </c>
      <c r="C133" s="3">
        <v>88900</v>
      </c>
      <c r="D133" s="3">
        <v>3265</v>
      </c>
      <c r="E133" s="3" t="s">
        <v>23</v>
      </c>
    </row>
    <row r="134" spans="1:5">
      <c r="A134" s="3" t="s">
        <v>155</v>
      </c>
      <c r="B134" s="3" t="s">
        <v>22</v>
      </c>
      <c r="C134" s="3">
        <v>1164558</v>
      </c>
      <c r="D134" s="3">
        <v>117999</v>
      </c>
      <c r="E134" s="3" t="s">
        <v>23</v>
      </c>
    </row>
    <row r="135" spans="1:5">
      <c r="A135" s="3" t="s">
        <v>156</v>
      </c>
      <c r="B135" s="3" t="s">
        <v>22</v>
      </c>
      <c r="C135" s="3">
        <v>1173195</v>
      </c>
      <c r="D135" s="3">
        <v>222546</v>
      </c>
      <c r="E135" s="3" t="s">
        <v>23</v>
      </c>
    </row>
    <row r="136" spans="1:5">
      <c r="A136" s="3" t="s">
        <v>157</v>
      </c>
      <c r="B136" s="3" t="s">
        <v>22</v>
      </c>
      <c r="C136" s="3">
        <v>1880757</v>
      </c>
      <c r="D136" s="3">
        <v>459608</v>
      </c>
      <c r="E136" s="3" t="s">
        <v>23</v>
      </c>
    </row>
    <row r="137" spans="1:5">
      <c r="A137" s="3" t="s">
        <v>158</v>
      </c>
      <c r="B137" s="3" t="s">
        <v>22</v>
      </c>
      <c r="C137" s="3">
        <v>2202295</v>
      </c>
      <c r="D137" s="3">
        <v>529760</v>
      </c>
      <c r="E137" s="3" t="s">
        <v>23</v>
      </c>
    </row>
    <row r="138" spans="1:5">
      <c r="A138" s="3" t="s">
        <v>159</v>
      </c>
      <c r="B138" s="3" t="s">
        <v>22</v>
      </c>
      <c r="C138" s="3">
        <v>1038588</v>
      </c>
      <c r="D138" s="3">
        <v>178800</v>
      </c>
      <c r="E138" s="3" t="s">
        <v>23</v>
      </c>
    </row>
    <row r="139" spans="1:5">
      <c r="A139" s="3" t="s">
        <v>160</v>
      </c>
      <c r="B139" s="3" t="s">
        <v>22</v>
      </c>
      <c r="C139" s="3">
        <v>2065091</v>
      </c>
      <c r="D139" s="3">
        <v>551950</v>
      </c>
      <c r="E139" s="3" t="s">
        <v>23</v>
      </c>
    </row>
    <row r="140" spans="1:5">
      <c r="A140" s="3" t="s">
        <v>161</v>
      </c>
      <c r="B140" s="3" t="s">
        <v>22</v>
      </c>
      <c r="C140" s="3">
        <v>1700068</v>
      </c>
      <c r="D140" s="3">
        <v>322624</v>
      </c>
      <c r="E140" s="3" t="s">
        <v>23</v>
      </c>
    </row>
    <row r="141" spans="1:5">
      <c r="A141" s="3" t="s">
        <v>162</v>
      </c>
      <c r="B141" s="3" t="s">
        <v>22</v>
      </c>
      <c r="C141" s="3">
        <v>1309085</v>
      </c>
      <c r="D141" s="3">
        <v>171572</v>
      </c>
      <c r="E141" s="3" t="s">
        <v>23</v>
      </c>
    </row>
    <row r="142" spans="1:5">
      <c r="A142" s="3" t="s">
        <v>163</v>
      </c>
      <c r="B142" s="3" t="s">
        <v>22</v>
      </c>
      <c r="C142" s="3">
        <v>1242222</v>
      </c>
      <c r="D142" s="3">
        <v>109096</v>
      </c>
      <c r="E142" s="3" t="s">
        <v>23</v>
      </c>
    </row>
    <row r="143" spans="1:5">
      <c r="A143" s="3" t="s">
        <v>164</v>
      </c>
      <c r="B143" s="3" t="s">
        <v>22</v>
      </c>
      <c r="C143" s="3">
        <v>1006192</v>
      </c>
      <c r="D143" s="3">
        <v>176676</v>
      </c>
      <c r="E143" s="3" t="s">
        <v>23</v>
      </c>
    </row>
    <row r="144" spans="1:5">
      <c r="A144" s="3" t="s">
        <v>165</v>
      </c>
      <c r="B144" s="3" t="s">
        <v>22</v>
      </c>
      <c r="C144" s="3">
        <v>1585533</v>
      </c>
      <c r="D144" s="3">
        <v>250949</v>
      </c>
      <c r="E144" s="3" t="s">
        <v>23</v>
      </c>
    </row>
    <row r="145" spans="1:5">
      <c r="A145" s="3" t="s">
        <v>166</v>
      </c>
      <c r="B145" s="3" t="s">
        <v>22</v>
      </c>
      <c r="C145" s="3">
        <v>1988813</v>
      </c>
      <c r="D145" s="3">
        <v>507810</v>
      </c>
      <c r="E145" s="3" t="s">
        <v>23</v>
      </c>
    </row>
    <row r="146" spans="1:5">
      <c r="A146" s="3" t="s">
        <v>167</v>
      </c>
      <c r="B146" s="3" t="s">
        <v>22</v>
      </c>
      <c r="C146" s="3">
        <v>1622091</v>
      </c>
      <c r="D146" s="3">
        <v>343460</v>
      </c>
      <c r="E146" s="3" t="s">
        <v>23</v>
      </c>
    </row>
    <row r="147" spans="1:5">
      <c r="A147" s="3" t="s">
        <v>168</v>
      </c>
      <c r="B147" s="3" t="s">
        <v>22</v>
      </c>
      <c r="C147" s="3">
        <v>1533717</v>
      </c>
      <c r="D147" s="3">
        <v>310375</v>
      </c>
      <c r="E147" s="3" t="s">
        <v>23</v>
      </c>
    </row>
    <row r="148" spans="1:5">
      <c r="A148" s="3" t="s">
        <v>169</v>
      </c>
      <c r="B148" s="3" t="s">
        <v>22</v>
      </c>
      <c r="C148" s="3">
        <v>2255345</v>
      </c>
      <c r="D148" s="3">
        <v>599611</v>
      </c>
      <c r="E148" s="3" t="s">
        <v>23</v>
      </c>
    </row>
    <row r="149" spans="1:5">
      <c r="A149" s="3" t="s">
        <v>170</v>
      </c>
      <c r="B149" s="3" t="s">
        <v>22</v>
      </c>
      <c r="C149" s="3">
        <v>1708543</v>
      </c>
      <c r="D149" s="3">
        <v>395525</v>
      </c>
      <c r="E149" s="3" t="s">
        <v>23</v>
      </c>
    </row>
    <row r="150" spans="1:5">
      <c r="A150" s="3" t="s">
        <v>171</v>
      </c>
      <c r="B150" s="3" t="s">
        <v>22</v>
      </c>
      <c r="C150" s="3">
        <v>1122838</v>
      </c>
      <c r="D150" s="3">
        <v>198702</v>
      </c>
      <c r="E150" s="3" t="s">
        <v>23</v>
      </c>
    </row>
    <row r="151" spans="1:5">
      <c r="A151" s="3" t="s">
        <v>172</v>
      </c>
      <c r="B151" s="3" t="s">
        <v>22</v>
      </c>
      <c r="C151" s="3">
        <v>2565795</v>
      </c>
      <c r="D151" s="3">
        <v>720989</v>
      </c>
      <c r="E151" s="3" t="s">
        <v>23</v>
      </c>
    </row>
    <row r="152" spans="1:5">
      <c r="A152" s="3" t="s">
        <v>173</v>
      </c>
      <c r="B152" s="3" t="s">
        <v>22</v>
      </c>
      <c r="C152" s="3">
        <v>1803397</v>
      </c>
      <c r="D152" s="3">
        <v>413281</v>
      </c>
      <c r="E152" s="3" t="s">
        <v>23</v>
      </c>
    </row>
    <row r="153" spans="1:5">
      <c r="A153" s="3" t="s">
        <v>174</v>
      </c>
      <c r="B153" s="3" t="s">
        <v>22</v>
      </c>
      <c r="C153" s="3">
        <v>519142</v>
      </c>
      <c r="D153" s="3">
        <v>4112</v>
      </c>
      <c r="E153" s="3" t="s">
        <v>23</v>
      </c>
    </row>
    <row r="154" spans="1:5">
      <c r="A154" s="3" t="s">
        <v>175</v>
      </c>
      <c r="B154" s="3" t="s">
        <v>22</v>
      </c>
      <c r="C154" s="3">
        <v>539902</v>
      </c>
      <c r="D154" s="3">
        <v>4036</v>
      </c>
      <c r="E154" s="3" t="s">
        <v>23</v>
      </c>
    </row>
    <row r="155" spans="1:5">
      <c r="A155" s="3" t="s">
        <v>176</v>
      </c>
      <c r="B155" s="3" t="s">
        <v>22</v>
      </c>
      <c r="C155" s="3">
        <v>2224252</v>
      </c>
      <c r="D155" s="3">
        <v>652652</v>
      </c>
      <c r="E155" s="3" t="s">
        <v>23</v>
      </c>
    </row>
    <row r="156" spans="1:5">
      <c r="A156" s="3" t="s">
        <v>177</v>
      </c>
      <c r="B156" s="3" t="s">
        <v>22</v>
      </c>
      <c r="C156" s="3">
        <v>1247480</v>
      </c>
      <c r="D156" s="3">
        <v>218443</v>
      </c>
      <c r="E156" s="3" t="s">
        <v>23</v>
      </c>
    </row>
    <row r="157" spans="1:5">
      <c r="A157" s="3" t="s">
        <v>178</v>
      </c>
      <c r="B157" s="3" t="s">
        <v>22</v>
      </c>
      <c r="C157" s="3">
        <v>1342175</v>
      </c>
      <c r="D157" s="3">
        <v>230679</v>
      </c>
      <c r="E157" s="3" t="s">
        <v>23</v>
      </c>
    </row>
    <row r="158" spans="1:5">
      <c r="A158" s="3" t="s">
        <v>179</v>
      </c>
      <c r="B158" s="3" t="s">
        <v>22</v>
      </c>
      <c r="C158" s="3">
        <v>989856</v>
      </c>
      <c r="D158" s="3">
        <v>94731</v>
      </c>
      <c r="E158" s="3" t="s">
        <v>23</v>
      </c>
    </row>
    <row r="159" spans="1:5">
      <c r="A159" s="3" t="s">
        <v>180</v>
      </c>
      <c r="B159" s="3" t="s">
        <v>22</v>
      </c>
      <c r="C159" s="3">
        <v>1068563</v>
      </c>
      <c r="D159" s="3">
        <v>94202</v>
      </c>
      <c r="E159" s="3" t="s">
        <v>23</v>
      </c>
    </row>
    <row r="160" spans="1:5">
      <c r="A160" s="3" t="s">
        <v>181</v>
      </c>
      <c r="B160" s="3" t="s">
        <v>22</v>
      </c>
      <c r="C160" s="3">
        <v>818878</v>
      </c>
      <c r="D160" s="3">
        <v>7212</v>
      </c>
      <c r="E160" s="3" t="s">
        <v>23</v>
      </c>
    </row>
    <row r="161" spans="1:5">
      <c r="A161" s="3" t="s">
        <v>182</v>
      </c>
      <c r="B161" s="3" t="s">
        <v>22</v>
      </c>
      <c r="C161" s="3">
        <v>901404</v>
      </c>
      <c r="D161" s="3">
        <v>132859</v>
      </c>
      <c r="E161" s="3" t="s">
        <v>23</v>
      </c>
    </row>
    <row r="162" spans="1:5">
      <c r="A162" s="3" t="s">
        <v>183</v>
      </c>
      <c r="B162" s="3" t="s">
        <v>22</v>
      </c>
      <c r="C162" s="3">
        <v>1401029</v>
      </c>
      <c r="D162" s="3">
        <v>181990</v>
      </c>
      <c r="E162" s="3" t="s">
        <v>23</v>
      </c>
    </row>
    <row r="163" spans="1:5">
      <c r="A163" s="3" t="s">
        <v>184</v>
      </c>
      <c r="B163" s="3" t="s">
        <v>22</v>
      </c>
      <c r="C163" s="3">
        <v>1873408</v>
      </c>
      <c r="D163" s="3">
        <v>505410</v>
      </c>
      <c r="E163" s="3" t="s">
        <v>23</v>
      </c>
    </row>
    <row r="164" spans="1:5">
      <c r="A164" s="3" t="s">
        <v>185</v>
      </c>
      <c r="B164" s="3" t="s">
        <v>22</v>
      </c>
      <c r="C164" s="3">
        <v>1816865</v>
      </c>
      <c r="D164" s="3">
        <v>487813</v>
      </c>
      <c r="E164" s="3" t="s">
        <v>23</v>
      </c>
    </row>
    <row r="165" spans="1:5">
      <c r="A165" s="3" t="s">
        <v>186</v>
      </c>
      <c r="B165" s="3" t="s">
        <v>22</v>
      </c>
      <c r="C165" s="3">
        <v>1189370</v>
      </c>
      <c r="D165" s="3">
        <v>90502</v>
      </c>
      <c r="E165" s="3" t="s">
        <v>23</v>
      </c>
    </row>
    <row r="166" spans="1:5">
      <c r="A166" s="3" t="s">
        <v>187</v>
      </c>
      <c r="B166" s="3" t="s">
        <v>22</v>
      </c>
      <c r="C166" s="3">
        <v>791467</v>
      </c>
      <c r="D166" s="3">
        <v>93409</v>
      </c>
      <c r="E166" s="3" t="s">
        <v>23</v>
      </c>
    </row>
    <row r="167" spans="1:5">
      <c r="A167" s="3" t="s">
        <v>188</v>
      </c>
      <c r="B167" s="3" t="s">
        <v>22</v>
      </c>
      <c r="C167" s="3">
        <v>1572654</v>
      </c>
      <c r="D167" s="3">
        <v>356780</v>
      </c>
      <c r="E167" s="3" t="s">
        <v>23</v>
      </c>
    </row>
    <row r="168" spans="1:5">
      <c r="A168" s="3" t="s">
        <v>189</v>
      </c>
      <c r="B168" s="3" t="s">
        <v>22</v>
      </c>
      <c r="C168" s="3">
        <v>2002389</v>
      </c>
      <c r="D168" s="3">
        <v>527314</v>
      </c>
      <c r="E168" s="3" t="s">
        <v>23</v>
      </c>
    </row>
    <row r="169" spans="1:5">
      <c r="A169" s="3" t="s">
        <v>190</v>
      </c>
      <c r="B169" s="3" t="s">
        <v>22</v>
      </c>
      <c r="C169" s="3">
        <v>1578823</v>
      </c>
      <c r="D169" s="3">
        <v>317756</v>
      </c>
      <c r="E169" s="3" t="s">
        <v>23</v>
      </c>
    </row>
    <row r="170" spans="1:5">
      <c r="A170" s="3" t="s">
        <v>191</v>
      </c>
      <c r="B170" s="3" t="s">
        <v>22</v>
      </c>
      <c r="C170" s="3">
        <v>2196986</v>
      </c>
      <c r="D170" s="3">
        <v>575223</v>
      </c>
      <c r="E170" s="3" t="s">
        <v>23</v>
      </c>
    </row>
    <row r="171" spans="1:5">
      <c r="A171" s="3" t="s">
        <v>192</v>
      </c>
      <c r="B171" s="3" t="s">
        <v>22</v>
      </c>
      <c r="C171" s="3">
        <v>1865966</v>
      </c>
      <c r="D171" s="3">
        <v>524131</v>
      </c>
      <c r="E171" s="3" t="s">
        <v>23</v>
      </c>
    </row>
    <row r="172" spans="1:5">
      <c r="A172" s="3" t="s">
        <v>193</v>
      </c>
      <c r="B172" s="3" t="s">
        <v>22</v>
      </c>
      <c r="C172" s="3">
        <v>1615346</v>
      </c>
      <c r="D172" s="3">
        <v>370551</v>
      </c>
      <c r="E172" s="3" t="s">
        <v>23</v>
      </c>
    </row>
    <row r="173" spans="1:5">
      <c r="A173" s="3" t="s">
        <v>194</v>
      </c>
      <c r="B173" s="3" t="s">
        <v>22</v>
      </c>
      <c r="C173" s="3">
        <v>1110905</v>
      </c>
      <c r="D173" s="3">
        <v>191595</v>
      </c>
      <c r="E173" s="3" t="s">
        <v>23</v>
      </c>
    </row>
    <row r="174" spans="1:5">
      <c r="A174" s="3" t="s">
        <v>195</v>
      </c>
      <c r="B174" s="3" t="s">
        <v>22</v>
      </c>
      <c r="C174" s="3">
        <v>1757675</v>
      </c>
      <c r="D174" s="3">
        <v>297646</v>
      </c>
      <c r="E174" s="3" t="s">
        <v>23</v>
      </c>
    </row>
    <row r="175" spans="1:5">
      <c r="A175" s="3" t="s">
        <v>196</v>
      </c>
      <c r="B175" s="3" t="s">
        <v>22</v>
      </c>
      <c r="C175" s="3">
        <v>1701918</v>
      </c>
      <c r="D175" s="3">
        <v>301109</v>
      </c>
      <c r="E175" s="3" t="s">
        <v>23</v>
      </c>
    </row>
    <row r="176" spans="1:5">
      <c r="A176" s="3" t="s">
        <v>197</v>
      </c>
      <c r="B176" s="3" t="s">
        <v>22</v>
      </c>
      <c r="C176" s="3">
        <v>1769689</v>
      </c>
      <c r="D176" s="3">
        <v>413204</v>
      </c>
      <c r="E176" s="3" t="s">
        <v>23</v>
      </c>
    </row>
    <row r="177" spans="1:5">
      <c r="A177" s="3" t="s">
        <v>198</v>
      </c>
      <c r="B177" s="3" t="s">
        <v>22</v>
      </c>
      <c r="C177" s="3">
        <v>1843863</v>
      </c>
      <c r="D177" s="3">
        <v>430185</v>
      </c>
      <c r="E177" s="3" t="s">
        <v>23</v>
      </c>
    </row>
    <row r="178" spans="1:5">
      <c r="A178" s="3" t="s">
        <v>199</v>
      </c>
      <c r="B178" s="3" t="s">
        <v>22</v>
      </c>
      <c r="C178" s="3">
        <v>539376</v>
      </c>
      <c r="D178" s="3">
        <v>6109</v>
      </c>
      <c r="E178" s="3" t="s">
        <v>23</v>
      </c>
    </row>
    <row r="179" spans="1:5">
      <c r="A179" s="3" t="s">
        <v>200</v>
      </c>
      <c r="B179" s="3" t="s">
        <v>22</v>
      </c>
      <c r="C179" s="3">
        <v>1036132</v>
      </c>
      <c r="D179" s="3">
        <v>20016</v>
      </c>
      <c r="E179" s="3" t="s">
        <v>23</v>
      </c>
    </row>
    <row r="180" spans="1:5">
      <c r="A180" s="3" t="s">
        <v>201</v>
      </c>
      <c r="B180" s="3" t="s">
        <v>22</v>
      </c>
      <c r="C180" s="3">
        <v>1734067</v>
      </c>
      <c r="D180" s="3">
        <v>390227</v>
      </c>
      <c r="E180" s="3" t="s">
        <v>23</v>
      </c>
    </row>
    <row r="181" spans="1:5">
      <c r="A181" s="3" t="s">
        <v>202</v>
      </c>
      <c r="B181" s="3" t="s">
        <v>22</v>
      </c>
      <c r="C181" s="3">
        <v>1151961</v>
      </c>
      <c r="D181" s="3">
        <v>200042</v>
      </c>
      <c r="E181" s="3" t="s">
        <v>23</v>
      </c>
    </row>
    <row r="182" spans="1:5">
      <c r="A182" s="3" t="s">
        <v>203</v>
      </c>
      <c r="B182" s="3" t="s">
        <v>22</v>
      </c>
      <c r="C182" s="3">
        <v>2516555</v>
      </c>
      <c r="D182" s="3">
        <v>773802</v>
      </c>
      <c r="E182" s="3" t="s">
        <v>23</v>
      </c>
    </row>
    <row r="183" spans="1:5">
      <c r="A183" s="3" t="s">
        <v>204</v>
      </c>
      <c r="B183" s="3" t="s">
        <v>22</v>
      </c>
      <c r="C183" s="3">
        <v>1070978</v>
      </c>
      <c r="D183" s="3">
        <v>110687</v>
      </c>
      <c r="E183" s="3" t="s">
        <v>23</v>
      </c>
    </row>
    <row r="184" spans="1:5">
      <c r="A184" s="3" t="s">
        <v>205</v>
      </c>
      <c r="B184" s="3" t="s">
        <v>22</v>
      </c>
      <c r="C184" s="3">
        <v>788416</v>
      </c>
      <c r="D184" s="3">
        <v>56156</v>
      </c>
      <c r="E184" s="3" t="s">
        <v>23</v>
      </c>
    </row>
    <row r="185" spans="1:5">
      <c r="A185" s="3" t="s">
        <v>206</v>
      </c>
      <c r="B185" s="3" t="s">
        <v>22</v>
      </c>
      <c r="C185" s="3">
        <v>760882</v>
      </c>
      <c r="D185" s="3">
        <v>26876</v>
      </c>
      <c r="E185" s="3" t="s">
        <v>23</v>
      </c>
    </row>
    <row r="186" spans="1:5">
      <c r="A186" s="3" t="s">
        <v>207</v>
      </c>
      <c r="B186" s="3" t="s">
        <v>22</v>
      </c>
      <c r="C186" s="3">
        <v>2175275</v>
      </c>
      <c r="D186" s="3">
        <v>613578</v>
      </c>
      <c r="E186" s="3" t="s">
        <v>23</v>
      </c>
    </row>
    <row r="187" spans="1:5">
      <c r="A187" s="3" t="s">
        <v>208</v>
      </c>
      <c r="B187" s="3" t="s">
        <v>22</v>
      </c>
      <c r="C187" s="3">
        <v>1209830</v>
      </c>
      <c r="D187" s="3">
        <v>119234</v>
      </c>
      <c r="E187" s="3" t="s">
        <v>23</v>
      </c>
    </row>
    <row r="188" spans="1:5">
      <c r="A188" s="3" t="s">
        <v>209</v>
      </c>
      <c r="B188" s="3" t="s">
        <v>22</v>
      </c>
      <c r="C188" s="3">
        <v>647729</v>
      </c>
      <c r="D188" s="3">
        <v>111643</v>
      </c>
      <c r="E188" s="3" t="s">
        <v>23</v>
      </c>
    </row>
    <row r="189" spans="1:5">
      <c r="A189" s="3" t="s">
        <v>210</v>
      </c>
      <c r="B189" s="3" t="s">
        <v>22</v>
      </c>
      <c r="C189" s="3">
        <v>1107499</v>
      </c>
      <c r="D189" s="3">
        <v>279120</v>
      </c>
      <c r="E189" s="3" t="s">
        <v>23</v>
      </c>
    </row>
    <row r="190" spans="1:5">
      <c r="A190" s="3" t="s">
        <v>211</v>
      </c>
      <c r="B190" s="3" t="s">
        <v>22</v>
      </c>
      <c r="C190" s="3">
        <v>1161678</v>
      </c>
      <c r="D190" s="3">
        <v>305664</v>
      </c>
      <c r="E190" s="3" t="s">
        <v>23</v>
      </c>
    </row>
    <row r="191" spans="1:5">
      <c r="A191" s="3" t="s">
        <v>212</v>
      </c>
      <c r="B191" s="3" t="s">
        <v>22</v>
      </c>
      <c r="C191" s="3">
        <v>714354</v>
      </c>
      <c r="D191" s="3">
        <v>47402</v>
      </c>
      <c r="E191" s="3" t="s">
        <v>23</v>
      </c>
    </row>
    <row r="192" spans="1:5">
      <c r="A192" s="3" t="s">
        <v>213</v>
      </c>
      <c r="B192" s="3" t="s">
        <v>22</v>
      </c>
      <c r="C192" s="3">
        <v>358905</v>
      </c>
      <c r="D192" s="3">
        <v>12946</v>
      </c>
      <c r="E192" s="3" t="s">
        <v>23</v>
      </c>
    </row>
    <row r="193" spans="1:5">
      <c r="A193" s="3" t="s">
        <v>214</v>
      </c>
      <c r="B193" s="3" t="s">
        <v>22</v>
      </c>
      <c r="C193" s="3">
        <v>853247</v>
      </c>
      <c r="D193" s="3">
        <v>159474</v>
      </c>
      <c r="E193" s="3" t="s">
        <v>23</v>
      </c>
    </row>
    <row r="194" spans="1:5">
      <c r="A194" s="3" t="s">
        <v>215</v>
      </c>
      <c r="B194" s="3" t="s">
        <v>22</v>
      </c>
      <c r="C194" s="3">
        <v>1226385</v>
      </c>
      <c r="D194" s="3">
        <v>300828</v>
      </c>
      <c r="E194" s="3" t="s">
        <v>23</v>
      </c>
    </row>
    <row r="195" spans="1:5">
      <c r="A195" s="3" t="s">
        <v>216</v>
      </c>
      <c r="B195" s="3" t="s">
        <v>22</v>
      </c>
      <c r="C195" s="3">
        <v>313832</v>
      </c>
      <c r="D195" s="3">
        <v>2608</v>
      </c>
      <c r="E195" s="3" t="s">
        <v>23</v>
      </c>
    </row>
    <row r="196" spans="1:5">
      <c r="A196" s="3" t="s">
        <v>217</v>
      </c>
      <c r="B196" s="3" t="s">
        <v>22</v>
      </c>
      <c r="C196" s="3">
        <v>318434</v>
      </c>
      <c r="D196" s="3">
        <v>2176</v>
      </c>
      <c r="E196" s="3" t="s">
        <v>23</v>
      </c>
    </row>
    <row r="197" spans="1:5">
      <c r="A197" s="3" t="s">
        <v>218</v>
      </c>
      <c r="B197" s="3" t="s">
        <v>22</v>
      </c>
      <c r="C197" s="3">
        <v>1066125</v>
      </c>
      <c r="D197" s="3">
        <v>275375</v>
      </c>
      <c r="E197" s="3" t="s">
        <v>23</v>
      </c>
    </row>
    <row r="198" spans="1:5">
      <c r="A198" s="3" t="s">
        <v>219</v>
      </c>
      <c r="B198" s="3" t="s">
        <v>22</v>
      </c>
      <c r="C198" s="3">
        <v>334310</v>
      </c>
      <c r="D198" s="3">
        <v>12653</v>
      </c>
      <c r="E198" s="3" t="s">
        <v>23</v>
      </c>
    </row>
    <row r="199" spans="1:5">
      <c r="A199" s="3" t="s">
        <v>220</v>
      </c>
      <c r="B199" s="3" t="s">
        <v>22</v>
      </c>
      <c r="C199" s="3">
        <v>1227375</v>
      </c>
      <c r="D199" s="3">
        <v>357572</v>
      </c>
      <c r="E199" s="3" t="s">
        <v>23</v>
      </c>
    </row>
    <row r="200" spans="1:5">
      <c r="A200" s="3" t="s">
        <v>221</v>
      </c>
      <c r="B200" s="3" t="s">
        <v>22</v>
      </c>
      <c r="C200" s="3">
        <v>790702</v>
      </c>
      <c r="D200" s="3">
        <v>139974</v>
      </c>
      <c r="E200" s="3" t="s">
        <v>23</v>
      </c>
    </row>
    <row r="201" spans="1:5">
      <c r="A201" s="3" t="s">
        <v>222</v>
      </c>
      <c r="B201" s="3" t="s">
        <v>22</v>
      </c>
      <c r="C201" s="3">
        <v>1229248</v>
      </c>
      <c r="D201" s="3">
        <v>301235</v>
      </c>
      <c r="E201" s="3" t="s">
        <v>23</v>
      </c>
    </row>
    <row r="202" spans="1:5">
      <c r="A202" s="3" t="s">
        <v>223</v>
      </c>
      <c r="B202" s="3" t="s">
        <v>22</v>
      </c>
      <c r="C202" s="3">
        <v>261920</v>
      </c>
      <c r="D202" s="3">
        <v>592</v>
      </c>
      <c r="E202" s="3" t="s">
        <v>23</v>
      </c>
    </row>
    <row r="203" spans="1:5">
      <c r="A203" s="3" t="s">
        <v>224</v>
      </c>
      <c r="B203" s="3" t="s">
        <v>22</v>
      </c>
      <c r="C203" s="3">
        <v>617427</v>
      </c>
      <c r="D203" s="3">
        <v>50171</v>
      </c>
      <c r="E203" s="3" t="s">
        <v>23</v>
      </c>
    </row>
    <row r="204" spans="1:5">
      <c r="A204" s="3" t="s">
        <v>225</v>
      </c>
      <c r="B204" s="3" t="s">
        <v>22</v>
      </c>
      <c r="C204" s="3">
        <v>972463</v>
      </c>
      <c r="D204" s="3">
        <v>235564</v>
      </c>
      <c r="E204" s="3" t="s">
        <v>23</v>
      </c>
    </row>
    <row r="205" spans="1:5">
      <c r="A205" s="3" t="s">
        <v>226</v>
      </c>
      <c r="B205" s="3" t="s">
        <v>22</v>
      </c>
      <c r="C205" s="3">
        <v>1246432</v>
      </c>
      <c r="D205" s="3">
        <v>328758</v>
      </c>
      <c r="E205" s="3" t="s">
        <v>23</v>
      </c>
    </row>
    <row r="206" spans="1:5">
      <c r="A206" s="3" t="s">
        <v>227</v>
      </c>
      <c r="B206" s="3" t="s">
        <v>22</v>
      </c>
      <c r="C206" s="3">
        <v>1011881</v>
      </c>
      <c r="D206" s="3">
        <v>202885</v>
      </c>
      <c r="E206" s="3" t="s">
        <v>23</v>
      </c>
    </row>
    <row r="207" spans="1:5">
      <c r="A207" s="3" t="s">
        <v>228</v>
      </c>
      <c r="B207" s="3" t="s">
        <v>22</v>
      </c>
      <c r="C207" s="3">
        <v>261142</v>
      </c>
      <c r="D207" s="3">
        <v>191</v>
      </c>
      <c r="E207" s="3" t="s">
        <v>23</v>
      </c>
    </row>
    <row r="208" spans="1:5">
      <c r="A208" s="3" t="s">
        <v>229</v>
      </c>
      <c r="B208" s="3" t="s">
        <v>22</v>
      </c>
      <c r="C208" s="3">
        <v>1311261</v>
      </c>
      <c r="D208" s="3">
        <v>357098</v>
      </c>
      <c r="E208" s="3" t="s">
        <v>23</v>
      </c>
    </row>
    <row r="209" spans="1:5">
      <c r="A209" s="3" t="s">
        <v>230</v>
      </c>
      <c r="B209" s="3" t="s">
        <v>22</v>
      </c>
      <c r="C209" s="3">
        <v>1052079</v>
      </c>
      <c r="D209" s="3">
        <v>282382</v>
      </c>
      <c r="E209" s="3" t="s">
        <v>23</v>
      </c>
    </row>
    <row r="210" spans="1:5">
      <c r="A210" s="3" t="s">
        <v>231</v>
      </c>
      <c r="B210" s="3" t="s">
        <v>22</v>
      </c>
      <c r="C210" s="3">
        <v>1224692</v>
      </c>
      <c r="D210" s="3">
        <v>327784</v>
      </c>
      <c r="E210" s="3" t="s">
        <v>23</v>
      </c>
    </row>
    <row r="211" spans="1:5">
      <c r="A211" s="3" t="s">
        <v>232</v>
      </c>
      <c r="B211" s="3" t="s">
        <v>22</v>
      </c>
      <c r="C211" s="3">
        <v>510143</v>
      </c>
      <c r="D211" s="3">
        <v>5007</v>
      </c>
      <c r="E211" s="3" t="s">
        <v>23</v>
      </c>
    </row>
    <row r="212" spans="1:5">
      <c r="A212" s="3" t="s">
        <v>233</v>
      </c>
      <c r="B212" s="3" t="s">
        <v>22</v>
      </c>
      <c r="C212" s="3">
        <v>1157402</v>
      </c>
      <c r="D212" s="3">
        <v>287843</v>
      </c>
      <c r="E212" s="3" t="s">
        <v>23</v>
      </c>
    </row>
    <row r="213" spans="1:5">
      <c r="A213" s="3" t="s">
        <v>234</v>
      </c>
      <c r="B213" s="3" t="s">
        <v>22</v>
      </c>
      <c r="C213" s="3">
        <v>789280</v>
      </c>
      <c r="D213" s="3">
        <v>138629</v>
      </c>
      <c r="E213" s="3" t="s">
        <v>23</v>
      </c>
    </row>
    <row r="214" spans="1:5">
      <c r="A214" s="3" t="s">
        <v>235</v>
      </c>
      <c r="B214" s="3" t="s">
        <v>22</v>
      </c>
      <c r="C214" s="3">
        <v>760595</v>
      </c>
      <c r="D214" s="3">
        <v>154027</v>
      </c>
      <c r="E214" s="3" t="s">
        <v>23</v>
      </c>
    </row>
    <row r="215" spans="1:5">
      <c r="A215" s="3" t="s">
        <v>236</v>
      </c>
      <c r="B215" s="3" t="s">
        <v>22</v>
      </c>
      <c r="C215" s="3">
        <v>973838</v>
      </c>
      <c r="D215" s="3">
        <v>180298</v>
      </c>
      <c r="E215" s="3" t="s">
        <v>23</v>
      </c>
    </row>
    <row r="216" spans="1:5">
      <c r="A216" s="3" t="s">
        <v>237</v>
      </c>
      <c r="B216" s="3" t="s">
        <v>22</v>
      </c>
      <c r="C216" s="3">
        <v>1148719</v>
      </c>
      <c r="D216" s="3">
        <v>298827</v>
      </c>
      <c r="E216" s="3" t="s">
        <v>23</v>
      </c>
    </row>
    <row r="217" spans="1:5">
      <c r="A217" s="3" t="s">
        <v>238</v>
      </c>
      <c r="B217" s="3" t="s">
        <v>22</v>
      </c>
      <c r="C217" s="3">
        <v>1237367</v>
      </c>
      <c r="D217" s="3">
        <v>345994</v>
      </c>
      <c r="E217" s="3" t="s">
        <v>23</v>
      </c>
    </row>
    <row r="218" spans="1:5">
      <c r="A218" s="3" t="s">
        <v>239</v>
      </c>
      <c r="B218" s="3" t="s">
        <v>22</v>
      </c>
      <c r="C218" s="3">
        <v>433272</v>
      </c>
      <c r="D218" s="3">
        <v>7602</v>
      </c>
      <c r="E218" s="3" t="s">
        <v>23</v>
      </c>
    </row>
    <row r="219" spans="1:5">
      <c r="A219" s="3" t="s">
        <v>240</v>
      </c>
      <c r="B219" s="3" t="s">
        <v>22</v>
      </c>
      <c r="C219" s="3">
        <v>1120642</v>
      </c>
      <c r="D219" s="3">
        <v>264585</v>
      </c>
      <c r="E219" s="3" t="s">
        <v>23</v>
      </c>
    </row>
    <row r="220" spans="1:5">
      <c r="A220" s="3" t="s">
        <v>241</v>
      </c>
      <c r="B220" s="3" t="s">
        <v>22</v>
      </c>
      <c r="C220" s="3">
        <v>609318</v>
      </c>
      <c r="D220" s="3">
        <v>19523</v>
      </c>
      <c r="E220" s="3" t="s">
        <v>23</v>
      </c>
    </row>
    <row r="221" spans="1:5">
      <c r="A221" s="3" t="s">
        <v>242</v>
      </c>
      <c r="B221" s="3" t="s">
        <v>22</v>
      </c>
      <c r="C221" s="3">
        <v>510105</v>
      </c>
      <c r="D221" s="3">
        <v>26639</v>
      </c>
      <c r="E221" s="3" t="s">
        <v>23</v>
      </c>
    </row>
    <row r="222" spans="1:5">
      <c r="A222" s="3" t="s">
        <v>243</v>
      </c>
      <c r="B222" s="3" t="s">
        <v>22</v>
      </c>
      <c r="C222" s="3">
        <v>1179729</v>
      </c>
      <c r="D222" s="3">
        <v>266165</v>
      </c>
      <c r="E222" s="3" t="s">
        <v>23</v>
      </c>
    </row>
    <row r="223" spans="1:5">
      <c r="A223" s="3" t="s">
        <v>244</v>
      </c>
      <c r="B223" s="3" t="s">
        <v>22</v>
      </c>
      <c r="C223" s="3">
        <v>1054475</v>
      </c>
      <c r="D223" s="3">
        <v>220894</v>
      </c>
      <c r="E223" s="3" t="s">
        <v>23</v>
      </c>
    </row>
    <row r="224" spans="1:5">
      <c r="A224" s="3" t="s">
        <v>245</v>
      </c>
      <c r="B224" s="3" t="s">
        <v>22</v>
      </c>
      <c r="C224" s="3">
        <v>1270804</v>
      </c>
      <c r="D224" s="3">
        <v>297298</v>
      </c>
      <c r="E224" s="3" t="s">
        <v>23</v>
      </c>
    </row>
    <row r="225" spans="1:5">
      <c r="A225" s="3" t="s">
        <v>246</v>
      </c>
      <c r="B225" s="3" t="s">
        <v>22</v>
      </c>
      <c r="C225" s="3">
        <v>716244</v>
      </c>
      <c r="D225" s="3">
        <v>104690</v>
      </c>
      <c r="E225" s="3" t="s">
        <v>23</v>
      </c>
    </row>
    <row r="226" spans="1:5">
      <c r="A226" s="3" t="s">
        <v>247</v>
      </c>
      <c r="B226" s="3" t="s">
        <v>22</v>
      </c>
      <c r="C226" s="3">
        <v>837142</v>
      </c>
      <c r="D226" s="3">
        <v>137930</v>
      </c>
      <c r="E226" s="3" t="s">
        <v>23</v>
      </c>
    </row>
    <row r="227" spans="1:5">
      <c r="A227" s="3" t="s">
        <v>248</v>
      </c>
      <c r="B227" s="3" t="s">
        <v>22</v>
      </c>
      <c r="C227" s="3">
        <v>696099</v>
      </c>
      <c r="D227" s="3">
        <v>87403</v>
      </c>
      <c r="E227" s="3" t="s">
        <v>23</v>
      </c>
    </row>
    <row r="228" spans="1:5">
      <c r="A228" s="3" t="s">
        <v>249</v>
      </c>
      <c r="B228" s="3" t="s">
        <v>22</v>
      </c>
      <c r="C228" s="3">
        <v>696085</v>
      </c>
      <c r="D228" s="3">
        <v>102444</v>
      </c>
      <c r="E228" s="3" t="s">
        <v>23</v>
      </c>
    </row>
    <row r="229" spans="1:5">
      <c r="A229" s="3" t="s">
        <v>250</v>
      </c>
      <c r="B229" s="3" t="s">
        <v>22</v>
      </c>
      <c r="C229" s="3">
        <v>548285</v>
      </c>
      <c r="D229" s="3">
        <v>51446</v>
      </c>
      <c r="E229" s="3" t="s">
        <v>23</v>
      </c>
    </row>
    <row r="230" spans="1:5">
      <c r="A230" s="3" t="s">
        <v>251</v>
      </c>
      <c r="B230" s="3" t="s">
        <v>22</v>
      </c>
      <c r="C230" s="3">
        <v>935638</v>
      </c>
      <c r="D230" s="3">
        <v>209544</v>
      </c>
      <c r="E230" s="3" t="s">
        <v>23</v>
      </c>
    </row>
    <row r="231" spans="1:5">
      <c r="A231" s="3" t="s">
        <v>252</v>
      </c>
      <c r="B231" s="3" t="s">
        <v>22</v>
      </c>
      <c r="C231" s="3">
        <v>794297</v>
      </c>
      <c r="D231" s="3">
        <v>138839</v>
      </c>
      <c r="E231" s="3" t="s">
        <v>23</v>
      </c>
    </row>
    <row r="232" spans="1:5">
      <c r="A232" s="3" t="s">
        <v>253</v>
      </c>
      <c r="B232" s="3" t="s">
        <v>22</v>
      </c>
      <c r="C232" s="3">
        <v>1300188</v>
      </c>
      <c r="D232" s="3">
        <v>338337</v>
      </c>
      <c r="E232" s="3" t="s">
        <v>23</v>
      </c>
    </row>
    <row r="233" spans="1:5">
      <c r="A233" s="3" t="s">
        <v>254</v>
      </c>
      <c r="B233" s="3" t="s">
        <v>22</v>
      </c>
      <c r="C233" s="3">
        <v>702027</v>
      </c>
      <c r="D233" s="3">
        <v>79548</v>
      </c>
      <c r="E233" s="3" t="s">
        <v>23</v>
      </c>
    </row>
    <row r="234" spans="1:5">
      <c r="A234" s="3" t="s">
        <v>255</v>
      </c>
      <c r="B234" s="3" t="s">
        <v>22</v>
      </c>
      <c r="C234" s="3">
        <v>811649</v>
      </c>
      <c r="D234" s="3">
        <v>93410</v>
      </c>
      <c r="E234" s="3" t="s">
        <v>23</v>
      </c>
    </row>
    <row r="235" spans="1:5">
      <c r="A235" s="3" t="s">
        <v>256</v>
      </c>
      <c r="B235" s="3" t="s">
        <v>22</v>
      </c>
      <c r="C235" s="3">
        <v>177680</v>
      </c>
      <c r="D235" s="3">
        <v>2889</v>
      </c>
      <c r="E235" s="3" t="s">
        <v>23</v>
      </c>
    </row>
    <row r="236" spans="1:5">
      <c r="A236" s="3" t="s">
        <v>257</v>
      </c>
      <c r="B236" s="3" t="s">
        <v>22</v>
      </c>
      <c r="C236" s="3">
        <v>1085934</v>
      </c>
      <c r="D236" s="3">
        <v>221336</v>
      </c>
      <c r="E236" s="3" t="s">
        <v>23</v>
      </c>
    </row>
    <row r="237" spans="1:5">
      <c r="A237" s="3" t="s">
        <v>258</v>
      </c>
      <c r="B237" s="3" t="s">
        <v>22</v>
      </c>
      <c r="C237" s="3">
        <v>750596</v>
      </c>
      <c r="D237" s="3">
        <v>74088</v>
      </c>
      <c r="E237" s="3" t="s">
        <v>23</v>
      </c>
    </row>
    <row r="238" spans="1:5">
      <c r="A238" s="3" t="s">
        <v>259</v>
      </c>
      <c r="B238" s="3" t="s">
        <v>22</v>
      </c>
      <c r="C238" s="3">
        <v>1096834</v>
      </c>
      <c r="D238" s="3">
        <v>244336</v>
      </c>
      <c r="E238" s="3" t="s">
        <v>23</v>
      </c>
    </row>
    <row r="239" spans="1:5">
      <c r="A239" s="3" t="s">
        <v>260</v>
      </c>
      <c r="B239" s="3" t="s">
        <v>22</v>
      </c>
      <c r="C239" s="3">
        <v>987743</v>
      </c>
      <c r="D239" s="3">
        <v>214419</v>
      </c>
      <c r="E239" s="3" t="s">
        <v>23</v>
      </c>
    </row>
    <row r="240" spans="1:5">
      <c r="A240" s="3" t="s">
        <v>261</v>
      </c>
      <c r="B240" s="3" t="s">
        <v>22</v>
      </c>
      <c r="C240" s="3">
        <v>783847</v>
      </c>
      <c r="D240" s="3">
        <v>136154</v>
      </c>
      <c r="E240" s="3" t="s">
        <v>23</v>
      </c>
    </row>
    <row r="241" spans="1:5">
      <c r="A241" s="3" t="s">
        <v>262</v>
      </c>
      <c r="B241" s="3" t="s">
        <v>22</v>
      </c>
      <c r="C241" s="3">
        <v>698868</v>
      </c>
      <c r="D241" s="3">
        <v>87447</v>
      </c>
      <c r="E241" s="3" t="s">
        <v>23</v>
      </c>
    </row>
    <row r="242" spans="1:5">
      <c r="A242" s="3" t="s">
        <v>263</v>
      </c>
      <c r="B242" s="3" t="s">
        <v>22</v>
      </c>
      <c r="C242" s="3">
        <v>1109773</v>
      </c>
      <c r="D242" s="3">
        <v>297604</v>
      </c>
      <c r="E242" s="3" t="s">
        <v>23</v>
      </c>
    </row>
    <row r="243" spans="1:5">
      <c r="A243" s="3" t="s">
        <v>264</v>
      </c>
      <c r="B243" s="3" t="s">
        <v>22</v>
      </c>
      <c r="C243" s="3">
        <v>511172</v>
      </c>
      <c r="D243" s="3">
        <v>34016</v>
      </c>
      <c r="E243" s="3" t="s">
        <v>23</v>
      </c>
    </row>
    <row r="244" spans="1:5">
      <c r="A244" s="3" t="s">
        <v>265</v>
      </c>
      <c r="B244" s="3" t="s">
        <v>22</v>
      </c>
      <c r="C244" s="3">
        <v>886609</v>
      </c>
      <c r="D244" s="3">
        <v>176429</v>
      </c>
      <c r="E244" s="3" t="s">
        <v>23</v>
      </c>
    </row>
    <row r="245" spans="1:5">
      <c r="A245" s="3" t="s">
        <v>266</v>
      </c>
      <c r="B245" s="3" t="s">
        <v>22</v>
      </c>
      <c r="C245" s="3">
        <v>1147566</v>
      </c>
      <c r="D245" s="3">
        <v>256363</v>
      </c>
      <c r="E245" s="3" t="s">
        <v>23</v>
      </c>
    </row>
    <row r="246" spans="1:5">
      <c r="A246" s="3" t="s">
        <v>267</v>
      </c>
      <c r="B246" s="3" t="s">
        <v>22</v>
      </c>
      <c r="C246" s="3">
        <v>346678</v>
      </c>
      <c r="D246" s="3">
        <v>2707</v>
      </c>
      <c r="E246" s="3" t="s">
        <v>23</v>
      </c>
    </row>
    <row r="247" spans="1:5">
      <c r="A247" s="3" t="s">
        <v>268</v>
      </c>
      <c r="B247" s="3" t="s">
        <v>22</v>
      </c>
      <c r="C247" s="3">
        <v>278589</v>
      </c>
      <c r="D247" s="3">
        <v>275</v>
      </c>
      <c r="E247" s="3" t="s">
        <v>23</v>
      </c>
    </row>
    <row r="248" spans="1:5">
      <c r="A248" s="3" t="s">
        <v>269</v>
      </c>
      <c r="B248" s="3" t="s">
        <v>22</v>
      </c>
      <c r="C248" s="3">
        <v>1221751</v>
      </c>
      <c r="D248" s="3">
        <v>293745</v>
      </c>
      <c r="E248" s="3" t="s">
        <v>23</v>
      </c>
    </row>
    <row r="249" spans="1:5">
      <c r="A249" s="3" t="s">
        <v>270</v>
      </c>
      <c r="B249" s="3" t="s">
        <v>22</v>
      </c>
      <c r="C249" s="3">
        <v>595756</v>
      </c>
      <c r="D249" s="3">
        <v>63868</v>
      </c>
      <c r="E249" s="3" t="s">
        <v>23</v>
      </c>
    </row>
    <row r="250" spans="1:5">
      <c r="A250" s="3" t="s">
        <v>271</v>
      </c>
      <c r="B250" s="3" t="s">
        <v>22</v>
      </c>
      <c r="C250" s="3">
        <v>804725</v>
      </c>
      <c r="D250" s="3">
        <v>151347</v>
      </c>
      <c r="E250" s="3" t="s">
        <v>23</v>
      </c>
    </row>
    <row r="251" spans="1:5">
      <c r="A251" s="3" t="s">
        <v>272</v>
      </c>
      <c r="B251" s="3" t="s">
        <v>22</v>
      </c>
      <c r="C251" s="3">
        <v>543354</v>
      </c>
      <c r="D251" s="3">
        <v>4419</v>
      </c>
      <c r="E251" s="3" t="s">
        <v>23</v>
      </c>
    </row>
    <row r="252" spans="1:5">
      <c r="A252" s="3" t="s">
        <v>273</v>
      </c>
      <c r="B252" s="3" t="s">
        <v>22</v>
      </c>
      <c r="C252" s="3">
        <v>928111</v>
      </c>
      <c r="D252" s="3">
        <v>164229</v>
      </c>
      <c r="E252" s="3" t="s">
        <v>23</v>
      </c>
    </row>
    <row r="253" spans="1:5">
      <c r="A253" s="3" t="s">
        <v>274</v>
      </c>
      <c r="B253" s="3" t="s">
        <v>22</v>
      </c>
      <c r="C253" s="3">
        <v>463914</v>
      </c>
      <c r="D253" s="3">
        <v>21437</v>
      </c>
      <c r="E253" s="3" t="s">
        <v>23</v>
      </c>
    </row>
    <row r="254" spans="1:5">
      <c r="A254" s="3" t="s">
        <v>275</v>
      </c>
      <c r="B254" s="3" t="s">
        <v>22</v>
      </c>
      <c r="C254" s="3">
        <v>368545</v>
      </c>
      <c r="D254" s="3">
        <v>6843</v>
      </c>
      <c r="E254" s="3" t="s">
        <v>23</v>
      </c>
    </row>
    <row r="255" spans="1:5">
      <c r="A255" s="3" t="s">
        <v>276</v>
      </c>
      <c r="B255" s="3" t="s">
        <v>22</v>
      </c>
      <c r="C255" s="3">
        <v>910222</v>
      </c>
      <c r="D255" s="3">
        <v>177039</v>
      </c>
      <c r="E255" s="3" t="s">
        <v>23</v>
      </c>
    </row>
    <row r="256" spans="1:5">
      <c r="A256" s="3" t="s">
        <v>277</v>
      </c>
      <c r="B256" s="3" t="s">
        <v>22</v>
      </c>
      <c r="C256" s="3">
        <v>750854</v>
      </c>
      <c r="D256" s="3">
        <v>98373</v>
      </c>
      <c r="E256" s="3" t="s">
        <v>23</v>
      </c>
    </row>
    <row r="257" spans="1:5">
      <c r="A257" s="3" t="s">
        <v>278</v>
      </c>
      <c r="B257" s="3" t="s">
        <v>22</v>
      </c>
      <c r="C257" s="3">
        <v>1145823</v>
      </c>
      <c r="D257" s="3">
        <v>186824</v>
      </c>
      <c r="E257" s="3" t="s">
        <v>23</v>
      </c>
    </row>
    <row r="258" spans="1:5">
      <c r="A258" s="3" t="s">
        <v>279</v>
      </c>
      <c r="B258" s="3" t="s">
        <v>22</v>
      </c>
      <c r="C258" s="3">
        <v>486597</v>
      </c>
      <c r="D258" s="3">
        <v>15771</v>
      </c>
      <c r="E258" s="3" t="s">
        <v>23</v>
      </c>
    </row>
    <row r="259" spans="1:5">
      <c r="A259" s="3" t="s">
        <v>280</v>
      </c>
      <c r="B259" s="3" t="s">
        <v>22</v>
      </c>
      <c r="C259" s="3">
        <v>465650</v>
      </c>
      <c r="D259" s="3">
        <v>38815</v>
      </c>
      <c r="E259" s="3" t="s">
        <v>23</v>
      </c>
    </row>
    <row r="260" spans="1:5">
      <c r="A260" s="3" t="s">
        <v>281</v>
      </c>
      <c r="B260" s="3" t="s">
        <v>22</v>
      </c>
      <c r="C260" s="3">
        <v>758266</v>
      </c>
      <c r="D260" s="3">
        <v>136247</v>
      </c>
      <c r="E260" s="3" t="s">
        <v>23</v>
      </c>
    </row>
    <row r="261" spans="1:5">
      <c r="A261" s="3" t="s">
        <v>282</v>
      </c>
      <c r="B261" s="3" t="s">
        <v>22</v>
      </c>
      <c r="C261" s="3">
        <v>1452315</v>
      </c>
      <c r="D261" s="3">
        <v>378608</v>
      </c>
      <c r="E261" s="3" t="s">
        <v>23</v>
      </c>
    </row>
    <row r="262" spans="1:5">
      <c r="A262" s="3" t="s">
        <v>283</v>
      </c>
      <c r="B262" s="3" t="s">
        <v>22</v>
      </c>
      <c r="C262" s="3">
        <v>572797</v>
      </c>
      <c r="D262" s="3">
        <v>67386</v>
      </c>
      <c r="E262" s="3" t="s">
        <v>23</v>
      </c>
    </row>
    <row r="263" spans="1:5">
      <c r="A263" s="3" t="s">
        <v>284</v>
      </c>
      <c r="B263" s="3" t="s">
        <v>22</v>
      </c>
      <c r="C263" s="3">
        <v>1388331</v>
      </c>
      <c r="D263" s="3">
        <v>336219</v>
      </c>
      <c r="E263" s="3" t="s">
        <v>23</v>
      </c>
    </row>
    <row r="264" spans="1:5">
      <c r="A264" s="3" t="s">
        <v>285</v>
      </c>
      <c r="B264" s="3" t="s">
        <v>22</v>
      </c>
      <c r="C264" s="3">
        <v>1038360</v>
      </c>
      <c r="D264" s="3">
        <v>240079</v>
      </c>
      <c r="E264" s="3" t="s">
        <v>23</v>
      </c>
    </row>
    <row r="265" spans="1:5">
      <c r="A265" s="3" t="s">
        <v>286</v>
      </c>
      <c r="B265" s="3" t="s">
        <v>22</v>
      </c>
      <c r="C265" s="3">
        <v>606587</v>
      </c>
      <c r="D265" s="3">
        <v>72292</v>
      </c>
      <c r="E265" s="3" t="s">
        <v>23</v>
      </c>
    </row>
    <row r="266" spans="1:5">
      <c r="A266" s="3" t="s">
        <v>287</v>
      </c>
      <c r="B266" s="3" t="s">
        <v>22</v>
      </c>
      <c r="C266" s="3">
        <v>582129</v>
      </c>
      <c r="D266" s="3">
        <v>72039</v>
      </c>
      <c r="E266" s="3" t="s">
        <v>23</v>
      </c>
    </row>
    <row r="267" spans="1:5">
      <c r="A267" s="3" t="s">
        <v>288</v>
      </c>
      <c r="B267" s="3" t="s">
        <v>22</v>
      </c>
      <c r="C267" s="3">
        <v>1047477</v>
      </c>
      <c r="D267" s="3">
        <v>243453</v>
      </c>
      <c r="E267" s="3" t="s">
        <v>23</v>
      </c>
    </row>
    <row r="268" spans="1:5">
      <c r="A268" s="3" t="s">
        <v>289</v>
      </c>
      <c r="B268" s="3" t="s">
        <v>22</v>
      </c>
      <c r="C268" s="3">
        <v>916066</v>
      </c>
      <c r="D268" s="3">
        <v>176963</v>
      </c>
      <c r="E268" s="3" t="s">
        <v>23</v>
      </c>
    </row>
    <row r="269" spans="1:5">
      <c r="A269" s="3" t="s">
        <v>290</v>
      </c>
      <c r="B269" s="3" t="s">
        <v>22</v>
      </c>
      <c r="C269" s="3">
        <v>982118</v>
      </c>
      <c r="D269" s="3">
        <v>217006</v>
      </c>
      <c r="E269" s="3" t="s">
        <v>23</v>
      </c>
    </row>
    <row r="270" spans="1:5">
      <c r="A270" s="3" t="s">
        <v>291</v>
      </c>
      <c r="B270" s="3" t="s">
        <v>22</v>
      </c>
      <c r="C270" s="3">
        <v>1068782</v>
      </c>
      <c r="D270" s="3">
        <v>194775</v>
      </c>
      <c r="E270" s="3" t="s">
        <v>23</v>
      </c>
    </row>
    <row r="271" spans="1:5">
      <c r="A271" s="3" t="s">
        <v>292</v>
      </c>
      <c r="B271" s="3" t="s">
        <v>22</v>
      </c>
      <c r="C271" s="3">
        <v>900451</v>
      </c>
      <c r="D271" s="3">
        <v>169002</v>
      </c>
      <c r="E271" s="3" t="s">
        <v>23</v>
      </c>
    </row>
    <row r="272" spans="1:5">
      <c r="A272" s="3" t="s">
        <v>293</v>
      </c>
      <c r="B272" s="3" t="s">
        <v>22</v>
      </c>
      <c r="C272" s="3">
        <v>854436</v>
      </c>
      <c r="D272" s="3">
        <v>142711</v>
      </c>
      <c r="E272" s="3" t="s">
        <v>23</v>
      </c>
    </row>
    <row r="273" spans="1:5">
      <c r="A273" s="3" t="s">
        <v>294</v>
      </c>
      <c r="B273" s="3" t="s">
        <v>22</v>
      </c>
      <c r="C273" s="3">
        <v>1153012</v>
      </c>
      <c r="D273" s="3">
        <v>253502</v>
      </c>
      <c r="E273" s="3" t="s">
        <v>23</v>
      </c>
    </row>
    <row r="274" spans="1:5">
      <c r="A274" s="3" t="s">
        <v>295</v>
      </c>
      <c r="B274" s="3" t="s">
        <v>22</v>
      </c>
      <c r="C274" s="3">
        <v>639512</v>
      </c>
      <c r="D274" s="3">
        <v>42361</v>
      </c>
      <c r="E274" s="3" t="s">
        <v>23</v>
      </c>
    </row>
    <row r="275" spans="1:5">
      <c r="A275" s="3" t="s">
        <v>296</v>
      </c>
      <c r="B275" s="3" t="s">
        <v>22</v>
      </c>
      <c r="C275" s="3">
        <v>1367380</v>
      </c>
      <c r="D275" s="3">
        <v>328338</v>
      </c>
      <c r="E275" s="3" t="s">
        <v>23</v>
      </c>
    </row>
    <row r="276" spans="1:5">
      <c r="A276" s="3" t="s">
        <v>297</v>
      </c>
      <c r="B276" s="3" t="s">
        <v>22</v>
      </c>
      <c r="C276" s="3">
        <v>1051975</v>
      </c>
      <c r="D276" s="3">
        <v>215689</v>
      </c>
      <c r="E276" s="3" t="s">
        <v>23</v>
      </c>
    </row>
    <row r="277" spans="1:5">
      <c r="A277" s="3" t="s">
        <v>298</v>
      </c>
      <c r="B277" s="3" t="s">
        <v>22</v>
      </c>
      <c r="C277" s="3">
        <v>392530</v>
      </c>
      <c r="D277" s="3">
        <v>26300</v>
      </c>
      <c r="E277" s="3" t="s">
        <v>23</v>
      </c>
    </row>
    <row r="278" spans="1:5">
      <c r="A278" s="3" t="s">
        <v>299</v>
      </c>
      <c r="B278" s="3" t="s">
        <v>22</v>
      </c>
      <c r="C278" s="3">
        <v>313581</v>
      </c>
      <c r="D278" s="3">
        <v>3447</v>
      </c>
      <c r="E278" s="3" t="s">
        <v>23</v>
      </c>
    </row>
    <row r="279" spans="1:5">
      <c r="A279" s="3" t="s">
        <v>300</v>
      </c>
      <c r="B279" s="3" t="s">
        <v>22</v>
      </c>
      <c r="C279" s="3">
        <v>713448</v>
      </c>
      <c r="D279" s="3">
        <v>105769</v>
      </c>
      <c r="E279" s="3" t="s">
        <v>23</v>
      </c>
    </row>
    <row r="280" spans="1:5">
      <c r="A280" s="3" t="s">
        <v>301</v>
      </c>
      <c r="B280" s="3" t="s">
        <v>22</v>
      </c>
      <c r="C280" s="3">
        <v>447885</v>
      </c>
      <c r="D280" s="3">
        <v>37841</v>
      </c>
      <c r="E280" s="3" t="s">
        <v>23</v>
      </c>
    </row>
    <row r="281" spans="1:5">
      <c r="A281" s="3" t="s">
        <v>302</v>
      </c>
      <c r="B281" s="3" t="s">
        <v>22</v>
      </c>
      <c r="C281" s="3">
        <v>541622</v>
      </c>
      <c r="D281" s="3">
        <v>9141</v>
      </c>
      <c r="E281" s="3" t="s">
        <v>23</v>
      </c>
    </row>
    <row r="282" spans="1:5">
      <c r="A282" s="3" t="s">
        <v>303</v>
      </c>
      <c r="B282" s="3" t="s">
        <v>22</v>
      </c>
      <c r="C282" s="3">
        <v>1664453</v>
      </c>
      <c r="D282" s="3">
        <v>484097</v>
      </c>
      <c r="E282" s="3" t="s">
        <v>23</v>
      </c>
    </row>
    <row r="283" spans="1:5">
      <c r="A283" s="3" t="s">
        <v>304</v>
      </c>
      <c r="B283" s="3" t="s">
        <v>22</v>
      </c>
      <c r="C283" s="3">
        <v>1263133</v>
      </c>
      <c r="D283" s="3">
        <v>336864</v>
      </c>
      <c r="E283" s="3" t="s">
        <v>23</v>
      </c>
    </row>
    <row r="284" spans="1:5">
      <c r="A284" s="3" t="s">
        <v>305</v>
      </c>
      <c r="B284" s="3" t="s">
        <v>22</v>
      </c>
      <c r="C284" s="3">
        <v>953606</v>
      </c>
      <c r="D284" s="3">
        <v>161750</v>
      </c>
      <c r="E284" s="3" t="s">
        <v>23</v>
      </c>
    </row>
    <row r="285" spans="1:5">
      <c r="A285" s="3" t="s">
        <v>306</v>
      </c>
      <c r="B285" s="3" t="s">
        <v>22</v>
      </c>
      <c r="C285" s="3">
        <v>376760</v>
      </c>
      <c r="D285" s="3">
        <v>8014</v>
      </c>
      <c r="E285" s="3" t="s">
        <v>23</v>
      </c>
    </row>
    <row r="286" spans="1:5">
      <c r="A286" s="3" t="s">
        <v>307</v>
      </c>
      <c r="B286" s="3" t="s">
        <v>22</v>
      </c>
      <c r="C286" s="3">
        <v>1214497</v>
      </c>
      <c r="D286" s="3">
        <v>325266</v>
      </c>
      <c r="E286" s="3" t="s">
        <v>23</v>
      </c>
    </row>
    <row r="287" spans="1:5">
      <c r="A287" s="3" t="s">
        <v>308</v>
      </c>
      <c r="B287" s="3" t="s">
        <v>22</v>
      </c>
      <c r="C287" s="3">
        <v>1487773</v>
      </c>
      <c r="D287" s="3">
        <v>368506</v>
      </c>
      <c r="E287" s="3" t="s">
        <v>23</v>
      </c>
    </row>
    <row r="288" spans="1:5">
      <c r="A288" s="3" t="s">
        <v>309</v>
      </c>
      <c r="B288" s="3" t="s">
        <v>22</v>
      </c>
      <c r="C288" s="3">
        <v>429726</v>
      </c>
      <c r="D288" s="3">
        <v>9233</v>
      </c>
      <c r="E288" s="3" t="s">
        <v>23</v>
      </c>
    </row>
    <row r="289" spans="1:5">
      <c r="A289" s="3" t="s">
        <v>310</v>
      </c>
      <c r="B289" s="3" t="s">
        <v>22</v>
      </c>
      <c r="C289" s="3">
        <v>433698</v>
      </c>
      <c r="D289" s="3">
        <v>4727</v>
      </c>
      <c r="E289" s="3" t="s">
        <v>23</v>
      </c>
    </row>
    <row r="290" spans="1:5">
      <c r="A290" s="3" t="s">
        <v>311</v>
      </c>
      <c r="B290" s="3" t="s">
        <v>22</v>
      </c>
      <c r="C290" s="3">
        <v>1084219</v>
      </c>
      <c r="D290" s="3">
        <v>235423</v>
      </c>
      <c r="E290" s="3" t="s">
        <v>23</v>
      </c>
    </row>
    <row r="291" spans="1:5">
      <c r="A291" s="3" t="s">
        <v>312</v>
      </c>
      <c r="B291" s="3" t="s">
        <v>22</v>
      </c>
      <c r="C291" s="3">
        <v>696410</v>
      </c>
      <c r="D291" s="3">
        <v>69047</v>
      </c>
      <c r="E291" s="3" t="s">
        <v>23</v>
      </c>
    </row>
    <row r="292" spans="1:5">
      <c r="A292" s="3" t="s">
        <v>313</v>
      </c>
      <c r="B292" s="3" t="s">
        <v>22</v>
      </c>
      <c r="C292" s="3">
        <v>929496</v>
      </c>
      <c r="D292" s="3">
        <v>179403</v>
      </c>
      <c r="E292" s="3" t="s">
        <v>23</v>
      </c>
    </row>
    <row r="293" spans="1:5">
      <c r="A293" s="3" t="s">
        <v>314</v>
      </c>
      <c r="B293" s="3" t="s">
        <v>22</v>
      </c>
      <c r="C293" s="3">
        <v>611194</v>
      </c>
      <c r="D293" s="3">
        <v>74430</v>
      </c>
      <c r="E293" s="3" t="s">
        <v>23</v>
      </c>
    </row>
    <row r="294" spans="1:5">
      <c r="A294" s="3" t="s">
        <v>315</v>
      </c>
      <c r="B294" s="3" t="s">
        <v>22</v>
      </c>
      <c r="C294" s="3">
        <v>974304</v>
      </c>
      <c r="D294" s="3">
        <v>226939</v>
      </c>
      <c r="E294" s="3" t="s">
        <v>23</v>
      </c>
    </row>
    <row r="295" spans="1:5">
      <c r="A295" s="3" t="s">
        <v>316</v>
      </c>
      <c r="B295" s="3" t="s">
        <v>22</v>
      </c>
      <c r="C295" s="3">
        <v>360722</v>
      </c>
      <c r="D295" s="3">
        <v>1642</v>
      </c>
      <c r="E295" s="3" t="s">
        <v>23</v>
      </c>
    </row>
    <row r="296" spans="1:5">
      <c r="A296" s="3" t="s">
        <v>317</v>
      </c>
      <c r="B296" s="3" t="s">
        <v>22</v>
      </c>
      <c r="C296" s="3">
        <v>790283</v>
      </c>
      <c r="D296" s="3">
        <v>62806</v>
      </c>
      <c r="E296" s="3" t="s">
        <v>23</v>
      </c>
    </row>
    <row r="297" spans="1:5">
      <c r="A297" s="3" t="s">
        <v>318</v>
      </c>
      <c r="B297" s="3" t="s">
        <v>22</v>
      </c>
      <c r="C297" s="3">
        <v>1590193</v>
      </c>
      <c r="D297" s="3">
        <v>478009</v>
      </c>
      <c r="E297" s="3" t="s">
        <v>23</v>
      </c>
    </row>
    <row r="298" spans="1:5">
      <c r="A298" s="3" t="s">
        <v>319</v>
      </c>
      <c r="B298" s="3" t="s">
        <v>22</v>
      </c>
      <c r="C298" s="3">
        <v>1575056</v>
      </c>
      <c r="D298" s="3">
        <v>481845</v>
      </c>
      <c r="E298" s="3" t="s">
        <v>23</v>
      </c>
    </row>
    <row r="299" spans="1:5">
      <c r="A299" s="3" t="s">
        <v>320</v>
      </c>
      <c r="B299" s="3" t="s">
        <v>22</v>
      </c>
      <c r="C299" s="3">
        <v>1509371</v>
      </c>
      <c r="D299" s="3">
        <v>393412</v>
      </c>
      <c r="E299" s="3" t="s">
        <v>23</v>
      </c>
    </row>
    <row r="300" spans="1:5">
      <c r="A300" s="3" t="s">
        <v>321</v>
      </c>
      <c r="B300" s="3" t="s">
        <v>22</v>
      </c>
      <c r="C300" s="3">
        <v>342335</v>
      </c>
      <c r="D300" s="3">
        <v>651</v>
      </c>
      <c r="E300" s="3" t="s">
        <v>23</v>
      </c>
    </row>
    <row r="301" spans="1:5">
      <c r="A301" s="3" t="s">
        <v>322</v>
      </c>
      <c r="B301" s="3" t="s">
        <v>22</v>
      </c>
      <c r="C301" s="3">
        <v>1890631</v>
      </c>
      <c r="D301" s="3">
        <v>591001</v>
      </c>
      <c r="E301" s="3" t="s">
        <v>23</v>
      </c>
    </row>
    <row r="302" spans="1:5">
      <c r="A302" s="3" t="s">
        <v>323</v>
      </c>
      <c r="B302" s="3" t="s">
        <v>22</v>
      </c>
      <c r="C302" s="3">
        <v>1307110</v>
      </c>
      <c r="D302" s="3">
        <v>298982</v>
      </c>
      <c r="E302" s="3" t="s">
        <v>23</v>
      </c>
    </row>
    <row r="303" spans="1:5">
      <c r="A303" s="3" t="s">
        <v>324</v>
      </c>
      <c r="B303" s="3" t="s">
        <v>22</v>
      </c>
      <c r="C303" s="3">
        <v>512594</v>
      </c>
      <c r="D303" s="3">
        <v>95813</v>
      </c>
      <c r="E303" s="3" t="s">
        <v>23</v>
      </c>
    </row>
    <row r="304" spans="1:5">
      <c r="A304" s="3" t="s">
        <v>325</v>
      </c>
      <c r="B304" s="3" t="s">
        <v>22</v>
      </c>
      <c r="C304" s="3">
        <v>582134</v>
      </c>
      <c r="D304" s="3">
        <v>14302</v>
      </c>
      <c r="E304" s="3" t="s">
        <v>23</v>
      </c>
    </row>
    <row r="305" spans="1:5">
      <c r="A305" s="3" t="s">
        <v>326</v>
      </c>
      <c r="B305" s="3" t="s">
        <v>22</v>
      </c>
      <c r="C305" s="3">
        <v>2054</v>
      </c>
      <c r="D305" s="3">
        <v>624</v>
      </c>
      <c r="E305" s="3" t="s">
        <v>23</v>
      </c>
    </row>
    <row r="306" spans="1:5">
      <c r="A306" s="3" t="s">
        <v>327</v>
      </c>
      <c r="B306" s="3" t="s">
        <v>22</v>
      </c>
      <c r="C306" s="3">
        <v>746178</v>
      </c>
      <c r="D306" s="3">
        <v>82342</v>
      </c>
      <c r="E306" s="3" t="s">
        <v>23</v>
      </c>
    </row>
    <row r="307" spans="1:5">
      <c r="A307" s="3" t="s">
        <v>328</v>
      </c>
      <c r="B307" s="3" t="s">
        <v>22</v>
      </c>
      <c r="C307" s="3">
        <v>1056961</v>
      </c>
      <c r="D307" s="3">
        <v>173945</v>
      </c>
      <c r="E307" s="3" t="s">
        <v>23</v>
      </c>
    </row>
    <row r="308" spans="1:5">
      <c r="A308" s="3" t="s">
        <v>329</v>
      </c>
      <c r="B308" s="3" t="s">
        <v>22</v>
      </c>
      <c r="C308" s="3">
        <v>1312102</v>
      </c>
      <c r="D308" s="3">
        <v>305987</v>
      </c>
      <c r="E308" s="3" t="s">
        <v>23</v>
      </c>
    </row>
    <row r="309" spans="1:5">
      <c r="A309" s="3" t="s">
        <v>330</v>
      </c>
      <c r="B309" s="3" t="s">
        <v>22</v>
      </c>
      <c r="C309" s="3">
        <v>1303644</v>
      </c>
      <c r="D309" s="3">
        <v>307826</v>
      </c>
      <c r="E309" s="3" t="s">
        <v>23</v>
      </c>
    </row>
    <row r="310" spans="1:5">
      <c r="A310" s="3" t="s">
        <v>331</v>
      </c>
      <c r="B310" s="3" t="s">
        <v>22</v>
      </c>
      <c r="C310" s="3">
        <v>1498306</v>
      </c>
      <c r="D310" s="3">
        <v>488457</v>
      </c>
      <c r="E310" s="3" t="s">
        <v>23</v>
      </c>
    </row>
    <row r="311" spans="1:5">
      <c r="A311" s="3" t="s">
        <v>332</v>
      </c>
      <c r="B311" s="3" t="s">
        <v>22</v>
      </c>
      <c r="C311" s="3">
        <v>506222</v>
      </c>
      <c r="D311" s="3">
        <v>2283</v>
      </c>
      <c r="E311" s="3" t="s">
        <v>23</v>
      </c>
    </row>
    <row r="312" spans="1:5">
      <c r="A312" s="3" t="s">
        <v>333</v>
      </c>
      <c r="B312" s="3" t="s">
        <v>22</v>
      </c>
      <c r="C312" s="3">
        <v>781566</v>
      </c>
      <c r="D312" s="3">
        <v>206544</v>
      </c>
      <c r="E312" s="3" t="s">
        <v>23</v>
      </c>
    </row>
    <row r="313" spans="1:5">
      <c r="A313" s="3" t="s">
        <v>334</v>
      </c>
      <c r="B313" s="3" t="s">
        <v>22</v>
      </c>
      <c r="C313" s="3">
        <v>893127</v>
      </c>
      <c r="D313" s="3">
        <v>27767</v>
      </c>
      <c r="E313" s="3" t="s">
        <v>23</v>
      </c>
    </row>
    <row r="314" spans="1:5">
      <c r="A314" s="3" t="s">
        <v>335</v>
      </c>
      <c r="B314" s="3" t="s">
        <v>22</v>
      </c>
      <c r="C314" s="3">
        <v>913213</v>
      </c>
      <c r="D314" s="3">
        <v>15813</v>
      </c>
      <c r="E314" s="3" t="s">
        <v>23</v>
      </c>
    </row>
    <row r="315" spans="1:5">
      <c r="A315" s="3" t="s">
        <v>336</v>
      </c>
      <c r="B315" s="3" t="s">
        <v>22</v>
      </c>
      <c r="C315" s="3">
        <v>728693</v>
      </c>
      <c r="D315" s="3">
        <v>42282</v>
      </c>
      <c r="E315" s="3" t="s">
        <v>23</v>
      </c>
    </row>
    <row r="316" spans="1:5">
      <c r="A316" s="3" t="s">
        <v>337</v>
      </c>
      <c r="B316" s="3" t="s">
        <v>22</v>
      </c>
      <c r="C316" s="3">
        <v>1228425</v>
      </c>
      <c r="D316" s="3">
        <v>249552</v>
      </c>
      <c r="E316" s="3" t="s">
        <v>23</v>
      </c>
    </row>
    <row r="317" spans="1:5">
      <c r="A317" s="3" t="s">
        <v>338</v>
      </c>
      <c r="B317" s="3" t="s">
        <v>22</v>
      </c>
      <c r="C317" s="3">
        <v>1040090</v>
      </c>
      <c r="D317" s="3">
        <v>72065</v>
      </c>
      <c r="E317" s="3" t="s">
        <v>23</v>
      </c>
    </row>
    <row r="318" spans="1:5">
      <c r="A318" s="3" t="s">
        <v>339</v>
      </c>
      <c r="B318" s="3" t="s">
        <v>22</v>
      </c>
      <c r="C318" s="3">
        <v>1002095</v>
      </c>
      <c r="D318" s="3">
        <v>128912</v>
      </c>
      <c r="E318" s="3" t="s">
        <v>23</v>
      </c>
    </row>
    <row r="319" spans="1:5">
      <c r="A319" s="3" t="s">
        <v>340</v>
      </c>
      <c r="B319" s="3" t="s">
        <v>22</v>
      </c>
      <c r="C319" s="3">
        <v>1695040</v>
      </c>
      <c r="D319" s="3">
        <v>381050</v>
      </c>
      <c r="E319" s="3" t="s">
        <v>23</v>
      </c>
    </row>
    <row r="320" spans="1:5">
      <c r="A320" s="3" t="s">
        <v>341</v>
      </c>
      <c r="B320" s="3" t="s">
        <v>22</v>
      </c>
      <c r="C320" s="3">
        <v>802027</v>
      </c>
      <c r="D320" s="3">
        <v>45850</v>
      </c>
      <c r="E320" s="3" t="s">
        <v>23</v>
      </c>
    </row>
    <row r="321" spans="1:5">
      <c r="A321" s="3" t="s">
        <v>342</v>
      </c>
      <c r="B321" s="3" t="s">
        <v>22</v>
      </c>
      <c r="C321" s="3">
        <v>1167967</v>
      </c>
      <c r="D321" s="3">
        <v>225738</v>
      </c>
      <c r="E321" s="3" t="s">
        <v>23</v>
      </c>
    </row>
    <row r="322" spans="1:5">
      <c r="A322" s="3" t="s">
        <v>343</v>
      </c>
      <c r="B322" s="3" t="s">
        <v>22</v>
      </c>
      <c r="C322" s="3">
        <v>962257</v>
      </c>
      <c r="D322" s="3">
        <v>110334</v>
      </c>
      <c r="E322" s="3" t="s">
        <v>23</v>
      </c>
    </row>
    <row r="323" spans="1:5">
      <c r="A323" s="3" t="s">
        <v>344</v>
      </c>
      <c r="B323" s="3" t="s">
        <v>22</v>
      </c>
      <c r="C323" s="3">
        <v>1201151</v>
      </c>
      <c r="D323" s="3">
        <v>139034</v>
      </c>
      <c r="E323" s="3" t="s">
        <v>23</v>
      </c>
    </row>
    <row r="324" spans="1:5">
      <c r="A324" s="3" t="s">
        <v>345</v>
      </c>
      <c r="B324" s="3" t="s">
        <v>22</v>
      </c>
      <c r="C324" s="3">
        <v>1315814</v>
      </c>
      <c r="D324" s="3">
        <v>174494</v>
      </c>
      <c r="E324" s="3" t="s">
        <v>23</v>
      </c>
    </row>
    <row r="325" spans="1:5">
      <c r="A325" s="3" t="s">
        <v>346</v>
      </c>
      <c r="B325" s="3" t="s">
        <v>22</v>
      </c>
      <c r="C325" s="3">
        <v>1418890</v>
      </c>
      <c r="D325" s="3">
        <v>328308</v>
      </c>
      <c r="E325" s="3" t="s">
        <v>23</v>
      </c>
    </row>
    <row r="326" spans="1:5">
      <c r="A326" s="3" t="s">
        <v>347</v>
      </c>
      <c r="B326" s="3" t="s">
        <v>22</v>
      </c>
      <c r="C326" s="3">
        <v>1178961</v>
      </c>
      <c r="D326" s="3">
        <v>97770</v>
      </c>
      <c r="E326" s="3" t="s">
        <v>23</v>
      </c>
    </row>
    <row r="327" spans="1:5">
      <c r="A327" s="3" t="s">
        <v>348</v>
      </c>
      <c r="B327" s="3" t="s">
        <v>22</v>
      </c>
      <c r="C327" s="3">
        <v>151392</v>
      </c>
      <c r="D327" s="3">
        <v>4453</v>
      </c>
      <c r="E327" s="3" t="s">
        <v>23</v>
      </c>
    </row>
    <row r="328" spans="1:5">
      <c r="A328" s="3" t="s">
        <v>349</v>
      </c>
      <c r="B328" s="3" t="s">
        <v>22</v>
      </c>
      <c r="C328" s="3">
        <v>1007740</v>
      </c>
      <c r="D328" s="3">
        <v>66217</v>
      </c>
      <c r="E328" s="3" t="s">
        <v>23</v>
      </c>
    </row>
    <row r="329" spans="1:5">
      <c r="A329" s="3" t="s">
        <v>350</v>
      </c>
      <c r="B329" s="3" t="s">
        <v>22</v>
      </c>
      <c r="C329" s="3">
        <v>1223537</v>
      </c>
      <c r="D329" s="3">
        <v>165653</v>
      </c>
      <c r="E329" s="3" t="s">
        <v>23</v>
      </c>
    </row>
    <row r="330" spans="1:5">
      <c r="A330" s="3" t="s">
        <v>351</v>
      </c>
      <c r="B330" s="3" t="s">
        <v>22</v>
      </c>
      <c r="C330" s="3">
        <v>1667641</v>
      </c>
      <c r="D330" s="3">
        <v>338365</v>
      </c>
      <c r="E330" s="3" t="s">
        <v>23</v>
      </c>
    </row>
    <row r="331" spans="1:5">
      <c r="A331" s="3" t="s">
        <v>352</v>
      </c>
      <c r="B331" s="3" t="s">
        <v>22</v>
      </c>
      <c r="C331" s="3">
        <v>1060171</v>
      </c>
      <c r="D331" s="3">
        <v>161846</v>
      </c>
      <c r="E331" s="3" t="s">
        <v>23</v>
      </c>
    </row>
    <row r="332" spans="1:5">
      <c r="A332" s="3" t="s">
        <v>353</v>
      </c>
      <c r="B332" s="3" t="s">
        <v>22</v>
      </c>
      <c r="C332" s="3">
        <v>1494275</v>
      </c>
      <c r="D332" s="3">
        <v>294353</v>
      </c>
      <c r="E332" s="3" t="s">
        <v>23</v>
      </c>
    </row>
    <row r="333" spans="1:5">
      <c r="A333" s="3" t="s">
        <v>354</v>
      </c>
      <c r="B333" s="3" t="s">
        <v>22</v>
      </c>
      <c r="C333" s="3">
        <v>762318</v>
      </c>
      <c r="D333" s="3">
        <v>79783</v>
      </c>
      <c r="E333" s="3" t="s">
        <v>23</v>
      </c>
    </row>
    <row r="334" spans="1:5">
      <c r="A334" s="3" t="s">
        <v>355</v>
      </c>
      <c r="B334" s="3" t="s">
        <v>22</v>
      </c>
      <c r="C334" s="3">
        <v>357994</v>
      </c>
      <c r="D334" s="3">
        <v>12311</v>
      </c>
      <c r="E334" s="3" t="s">
        <v>23</v>
      </c>
    </row>
    <row r="335" spans="1:5">
      <c r="A335" s="3" t="s">
        <v>356</v>
      </c>
      <c r="B335" s="3" t="s">
        <v>22</v>
      </c>
      <c r="C335" s="3">
        <v>1245118</v>
      </c>
      <c r="D335" s="3">
        <v>216198</v>
      </c>
      <c r="E335" s="3" t="s">
        <v>23</v>
      </c>
    </row>
    <row r="336" spans="1:5">
      <c r="A336" s="3" t="s">
        <v>357</v>
      </c>
      <c r="B336" s="3" t="s">
        <v>22</v>
      </c>
      <c r="C336" s="3">
        <v>704486</v>
      </c>
      <c r="D336" s="3">
        <v>47087</v>
      </c>
      <c r="E336" s="3" t="s">
        <v>23</v>
      </c>
    </row>
    <row r="337" spans="1:5">
      <c r="A337" s="3" t="s">
        <v>358</v>
      </c>
      <c r="B337" s="3" t="s">
        <v>22</v>
      </c>
      <c r="C337" s="3">
        <v>1714474</v>
      </c>
      <c r="D337" s="3">
        <v>434227</v>
      </c>
      <c r="E337" s="3" t="s">
        <v>23</v>
      </c>
    </row>
    <row r="338" spans="1:5">
      <c r="A338" s="3" t="s">
        <v>359</v>
      </c>
      <c r="B338" s="3" t="s">
        <v>22</v>
      </c>
      <c r="C338" s="3">
        <v>1899869</v>
      </c>
      <c r="D338" s="3">
        <v>501896</v>
      </c>
      <c r="E338" s="3" t="s">
        <v>23</v>
      </c>
    </row>
    <row r="339" spans="1:5">
      <c r="A339" s="3" t="s">
        <v>360</v>
      </c>
      <c r="B339" s="3" t="s">
        <v>22</v>
      </c>
      <c r="C339" s="3">
        <v>494998</v>
      </c>
      <c r="D339" s="3">
        <v>18179</v>
      </c>
      <c r="E339" s="3" t="s">
        <v>23</v>
      </c>
    </row>
    <row r="340" spans="1:5">
      <c r="A340" s="3" t="s">
        <v>361</v>
      </c>
      <c r="B340" s="3" t="s">
        <v>22</v>
      </c>
      <c r="C340" s="3">
        <v>403463</v>
      </c>
      <c r="D340" s="3">
        <v>81</v>
      </c>
      <c r="E340" s="3" t="s">
        <v>23</v>
      </c>
    </row>
    <row r="341" spans="1:5">
      <c r="A341" s="3" t="s">
        <v>362</v>
      </c>
      <c r="B341" s="3" t="s">
        <v>22</v>
      </c>
      <c r="C341" s="3">
        <v>1409673</v>
      </c>
      <c r="D341" s="3">
        <v>329484</v>
      </c>
      <c r="E341" s="3" t="s">
        <v>23</v>
      </c>
    </row>
    <row r="342" spans="1:5">
      <c r="A342" s="3" t="s">
        <v>363</v>
      </c>
      <c r="B342" s="3" t="s">
        <v>22</v>
      </c>
      <c r="C342" s="3">
        <v>1291855</v>
      </c>
      <c r="D342" s="3">
        <v>239028</v>
      </c>
      <c r="E342" s="3" t="s">
        <v>23</v>
      </c>
    </row>
    <row r="343" spans="1:5">
      <c r="A343" s="3" t="s">
        <v>364</v>
      </c>
      <c r="B343" s="3" t="s">
        <v>22</v>
      </c>
      <c r="C343" s="3">
        <v>888575</v>
      </c>
      <c r="D343" s="3">
        <v>75078</v>
      </c>
      <c r="E343" s="3" t="s">
        <v>23</v>
      </c>
    </row>
    <row r="344" spans="1:5">
      <c r="A344" s="3" t="s">
        <v>365</v>
      </c>
      <c r="B344" s="3" t="s">
        <v>22</v>
      </c>
      <c r="C344" s="3">
        <v>1213211</v>
      </c>
      <c r="D344" s="3">
        <v>161306</v>
      </c>
      <c r="E344" s="3" t="s">
        <v>23</v>
      </c>
    </row>
    <row r="345" spans="1:5">
      <c r="A345" s="3" t="s">
        <v>366</v>
      </c>
      <c r="B345" s="3" t="s">
        <v>22</v>
      </c>
      <c r="C345" s="3">
        <v>905956</v>
      </c>
      <c r="D345" s="3">
        <v>61418</v>
      </c>
      <c r="E345" s="3" t="s">
        <v>23</v>
      </c>
    </row>
    <row r="346" spans="1:5">
      <c r="A346" s="3" t="s">
        <v>367</v>
      </c>
      <c r="B346" s="3" t="s">
        <v>22</v>
      </c>
      <c r="C346" s="3">
        <v>613451</v>
      </c>
      <c r="D346" s="3">
        <v>14066</v>
      </c>
      <c r="E346" s="3" t="s">
        <v>23</v>
      </c>
    </row>
    <row r="347" spans="1:5">
      <c r="A347" s="3" t="s">
        <v>368</v>
      </c>
      <c r="B347" s="3" t="s">
        <v>22</v>
      </c>
      <c r="C347" s="3">
        <v>445650</v>
      </c>
      <c r="D347" s="3">
        <v>1823</v>
      </c>
      <c r="E347" s="3" t="s">
        <v>23</v>
      </c>
    </row>
    <row r="348" spans="1:5">
      <c r="A348" s="3" t="s">
        <v>369</v>
      </c>
      <c r="B348" s="3" t="s">
        <v>22</v>
      </c>
      <c r="C348" s="3">
        <v>1632737</v>
      </c>
      <c r="D348" s="3">
        <v>372677</v>
      </c>
      <c r="E348" s="3" t="s">
        <v>23</v>
      </c>
    </row>
    <row r="349" spans="1:5">
      <c r="A349" s="3" t="s">
        <v>370</v>
      </c>
      <c r="B349" s="3" t="s">
        <v>22</v>
      </c>
      <c r="C349" s="3">
        <v>916976</v>
      </c>
      <c r="D349" s="3">
        <v>69787</v>
      </c>
      <c r="E349" s="3" t="s">
        <v>23</v>
      </c>
    </row>
    <row r="350" spans="1:5">
      <c r="A350" s="3" t="s">
        <v>371</v>
      </c>
      <c r="B350" s="3" t="s">
        <v>22</v>
      </c>
      <c r="C350" s="3">
        <v>1208003</v>
      </c>
      <c r="D350" s="3">
        <v>238909</v>
      </c>
      <c r="E350" s="3" t="s">
        <v>23</v>
      </c>
    </row>
    <row r="351" spans="1:5">
      <c r="A351" s="3" t="s">
        <v>372</v>
      </c>
      <c r="B351" s="3" t="s">
        <v>22</v>
      </c>
      <c r="C351" s="3">
        <v>874630</v>
      </c>
      <c r="D351" s="3">
        <v>46378</v>
      </c>
      <c r="E351" s="3" t="s">
        <v>23</v>
      </c>
    </row>
    <row r="352" spans="1:5">
      <c r="A352" s="3" t="s">
        <v>373</v>
      </c>
      <c r="B352" s="3" t="s">
        <v>22</v>
      </c>
      <c r="C352" s="3">
        <v>943203</v>
      </c>
      <c r="D352" s="3">
        <v>86623</v>
      </c>
      <c r="E352" s="3" t="s">
        <v>23</v>
      </c>
    </row>
    <row r="353" spans="1:5">
      <c r="A353" s="3" t="s">
        <v>374</v>
      </c>
      <c r="B353" s="3" t="s">
        <v>22</v>
      </c>
      <c r="C353" s="3">
        <v>1136117</v>
      </c>
      <c r="D353" s="3">
        <v>164352</v>
      </c>
      <c r="E353" s="3" t="s">
        <v>23</v>
      </c>
    </row>
    <row r="354" spans="1:5">
      <c r="A354" s="3" t="s">
        <v>375</v>
      </c>
      <c r="B354" s="3" t="s">
        <v>22</v>
      </c>
      <c r="C354" s="3">
        <v>1707246</v>
      </c>
      <c r="D354" s="3">
        <v>424083</v>
      </c>
      <c r="E354" s="3" t="s">
        <v>23</v>
      </c>
    </row>
    <row r="355" spans="1:5">
      <c r="A355" s="3" t="s">
        <v>376</v>
      </c>
      <c r="B355" s="3" t="s">
        <v>22</v>
      </c>
      <c r="C355" s="3">
        <v>1237291</v>
      </c>
      <c r="D355" s="3">
        <v>190767</v>
      </c>
      <c r="E355" s="3" t="s">
        <v>23</v>
      </c>
    </row>
    <row r="356" spans="1:5">
      <c r="A356" s="3" t="s">
        <v>377</v>
      </c>
      <c r="B356" s="3" t="s">
        <v>22</v>
      </c>
      <c r="C356" s="3">
        <v>1914</v>
      </c>
      <c r="D356" s="3">
        <v>550</v>
      </c>
      <c r="E356" s="3" t="s">
        <v>23</v>
      </c>
    </row>
    <row r="357" spans="1:5">
      <c r="A357" s="3" t="s">
        <v>378</v>
      </c>
      <c r="B357" s="3" t="s">
        <v>22</v>
      </c>
      <c r="C357" s="3">
        <v>1496149</v>
      </c>
      <c r="D357" s="3">
        <v>339956</v>
      </c>
      <c r="E357" s="3" t="s">
        <v>23</v>
      </c>
    </row>
    <row r="358" spans="1:5">
      <c r="A358" s="3" t="s">
        <v>379</v>
      </c>
      <c r="B358" s="3" t="s">
        <v>22</v>
      </c>
      <c r="C358" s="3">
        <v>947234</v>
      </c>
      <c r="D358" s="3">
        <v>73789</v>
      </c>
      <c r="E358" s="3" t="s">
        <v>23</v>
      </c>
    </row>
    <row r="359" spans="1:5">
      <c r="A359" s="3" t="s">
        <v>380</v>
      </c>
      <c r="B359" s="3" t="s">
        <v>22</v>
      </c>
      <c r="C359" s="3">
        <v>772686</v>
      </c>
      <c r="D359" s="3">
        <v>57765</v>
      </c>
      <c r="E359" s="3" t="s">
        <v>23</v>
      </c>
    </row>
    <row r="360" spans="1:5">
      <c r="A360" s="3" t="s">
        <v>381</v>
      </c>
      <c r="B360" s="3" t="s">
        <v>22</v>
      </c>
      <c r="C360" s="3">
        <v>1442140</v>
      </c>
      <c r="D360" s="3">
        <v>334693</v>
      </c>
      <c r="E360" s="3" t="s">
        <v>23</v>
      </c>
    </row>
    <row r="361" spans="1:5">
      <c r="A361" s="3" t="s">
        <v>382</v>
      </c>
      <c r="B361" s="3" t="s">
        <v>22</v>
      </c>
      <c r="C361" s="3">
        <v>1151175</v>
      </c>
      <c r="D361" s="3">
        <v>156266</v>
      </c>
      <c r="E361" s="3" t="s">
        <v>23</v>
      </c>
    </row>
    <row r="362" spans="1:5">
      <c r="A362" s="3" t="s">
        <v>383</v>
      </c>
      <c r="B362" s="3" t="s">
        <v>22</v>
      </c>
      <c r="C362" s="3">
        <v>1354513</v>
      </c>
      <c r="D362" s="3">
        <v>194177</v>
      </c>
      <c r="E362" s="3" t="s">
        <v>23</v>
      </c>
    </row>
    <row r="363" spans="1:5">
      <c r="A363" s="3" t="s">
        <v>384</v>
      </c>
      <c r="B363" s="3" t="s">
        <v>22</v>
      </c>
      <c r="C363" s="3">
        <v>1366431</v>
      </c>
      <c r="D363" s="3">
        <v>251046</v>
      </c>
      <c r="E363" s="3" t="s">
        <v>23</v>
      </c>
    </row>
    <row r="364" spans="1:5">
      <c r="A364" s="3" t="s">
        <v>385</v>
      </c>
      <c r="B364" s="3" t="s">
        <v>22</v>
      </c>
      <c r="C364" s="3">
        <v>1013088</v>
      </c>
      <c r="D364" s="3">
        <v>238312</v>
      </c>
      <c r="E364" s="3" t="s">
        <v>23</v>
      </c>
    </row>
    <row r="365" spans="1:5">
      <c r="A365" s="3" t="s">
        <v>386</v>
      </c>
      <c r="B365" s="3" t="s">
        <v>22</v>
      </c>
      <c r="C365" s="3">
        <v>1621537</v>
      </c>
      <c r="D365" s="3">
        <v>351058</v>
      </c>
      <c r="E365" s="3" t="s">
        <v>23</v>
      </c>
    </row>
    <row r="366" spans="1:5">
      <c r="A366" s="3" t="s">
        <v>387</v>
      </c>
      <c r="B366" s="3" t="s">
        <v>22</v>
      </c>
      <c r="C366" s="3">
        <v>1343113</v>
      </c>
      <c r="D366" s="3">
        <v>244210</v>
      </c>
      <c r="E366" s="3" t="s">
        <v>23</v>
      </c>
    </row>
    <row r="367" spans="1:5">
      <c r="A367" s="3" t="s">
        <v>388</v>
      </c>
      <c r="B367" s="3" t="s">
        <v>22</v>
      </c>
      <c r="C367" s="3">
        <v>1801780</v>
      </c>
      <c r="D367" s="3">
        <v>184505</v>
      </c>
      <c r="E367" s="3" t="s">
        <v>23</v>
      </c>
    </row>
    <row r="368" spans="1:5">
      <c r="A368" s="3" t="s">
        <v>389</v>
      </c>
      <c r="B368" s="3" t="s">
        <v>22</v>
      </c>
      <c r="C368" s="3">
        <v>2030794</v>
      </c>
      <c r="D368" s="3">
        <v>552897</v>
      </c>
      <c r="E368" s="3" t="s">
        <v>23</v>
      </c>
    </row>
    <row r="369" spans="1:5">
      <c r="A369" s="3" t="s">
        <v>390</v>
      </c>
      <c r="B369" s="3" t="s">
        <v>22</v>
      </c>
      <c r="C369" s="3">
        <v>1477123</v>
      </c>
      <c r="D369" s="3">
        <v>326375</v>
      </c>
      <c r="E369" s="3" t="s">
        <v>23</v>
      </c>
    </row>
    <row r="370" spans="1:5">
      <c r="A370" s="3" t="s">
        <v>391</v>
      </c>
      <c r="B370" s="3" t="s">
        <v>22</v>
      </c>
      <c r="C370" s="3">
        <v>506140</v>
      </c>
      <c r="D370" s="3">
        <v>13208</v>
      </c>
      <c r="E370" s="3" t="s">
        <v>23</v>
      </c>
    </row>
    <row r="371" spans="1:5">
      <c r="A371" s="3" t="s">
        <v>392</v>
      </c>
      <c r="B371" s="3" t="s">
        <v>22</v>
      </c>
      <c r="C371" s="3">
        <v>656700</v>
      </c>
      <c r="D371" s="3">
        <v>10914</v>
      </c>
      <c r="E371" s="3" t="s">
        <v>23</v>
      </c>
    </row>
    <row r="372" spans="1:5">
      <c r="A372" s="3" t="s">
        <v>393</v>
      </c>
      <c r="B372" s="3" t="s">
        <v>22</v>
      </c>
      <c r="C372" s="3">
        <v>1741454</v>
      </c>
      <c r="D372" s="3">
        <v>374826</v>
      </c>
      <c r="E372" s="3" t="s">
        <v>23</v>
      </c>
    </row>
    <row r="373" spans="1:5">
      <c r="A373" s="3" t="s">
        <v>394</v>
      </c>
      <c r="B373" s="3" t="s">
        <v>22</v>
      </c>
      <c r="C373" s="3">
        <v>769153</v>
      </c>
      <c r="D373" s="3">
        <v>10756</v>
      </c>
      <c r="E373" s="3" t="s">
        <v>23</v>
      </c>
    </row>
    <row r="374" spans="1:5">
      <c r="A374" s="3" t="s">
        <v>395</v>
      </c>
      <c r="B374" s="3" t="s">
        <v>22</v>
      </c>
      <c r="C374" s="3">
        <v>957641</v>
      </c>
      <c r="D374" s="3">
        <v>169380</v>
      </c>
      <c r="E374" s="3" t="s">
        <v>23</v>
      </c>
    </row>
    <row r="375" spans="1:5">
      <c r="A375" s="3" t="s">
        <v>396</v>
      </c>
      <c r="B375" s="3" t="s">
        <v>22</v>
      </c>
      <c r="C375" s="3">
        <v>42768</v>
      </c>
      <c r="D375" s="3">
        <v>10450</v>
      </c>
      <c r="E375" s="3" t="s">
        <v>23</v>
      </c>
    </row>
    <row r="376" spans="1:5">
      <c r="A376" s="3" t="s">
        <v>397</v>
      </c>
      <c r="B376" s="3" t="s">
        <v>22</v>
      </c>
      <c r="C376" s="3">
        <v>1616207</v>
      </c>
      <c r="D376" s="3">
        <v>350249</v>
      </c>
      <c r="E376" s="3" t="s">
        <v>23</v>
      </c>
    </row>
    <row r="377" spans="1:5">
      <c r="A377" s="3" t="s">
        <v>398</v>
      </c>
      <c r="B377" s="3" t="s">
        <v>22</v>
      </c>
      <c r="C377" s="3">
        <v>1060922</v>
      </c>
      <c r="D377" s="3">
        <v>117250</v>
      </c>
      <c r="E377" s="3" t="s">
        <v>23</v>
      </c>
    </row>
    <row r="378" spans="1:5">
      <c r="A378" s="3" t="s">
        <v>399</v>
      </c>
      <c r="B378" s="3" t="s">
        <v>22</v>
      </c>
      <c r="C378" s="3">
        <v>498640</v>
      </c>
      <c r="D378" s="3">
        <v>3310</v>
      </c>
      <c r="E378" s="3" t="s">
        <v>23</v>
      </c>
    </row>
    <row r="379" spans="1:5">
      <c r="A379" s="3" t="s">
        <v>400</v>
      </c>
      <c r="B379" s="3" t="s">
        <v>22</v>
      </c>
      <c r="C379" s="3">
        <v>1753893</v>
      </c>
      <c r="D379" s="3">
        <v>474827</v>
      </c>
      <c r="E379" s="3" t="s">
        <v>23</v>
      </c>
    </row>
    <row r="380" spans="1:5">
      <c r="A380" s="3" t="s">
        <v>401</v>
      </c>
      <c r="B380" s="3" t="s">
        <v>22</v>
      </c>
      <c r="C380" s="3">
        <v>1713458</v>
      </c>
      <c r="D380" s="3">
        <v>508197</v>
      </c>
      <c r="E380" s="3" t="s">
        <v>23</v>
      </c>
    </row>
    <row r="381" spans="1:5">
      <c r="A381" s="3" t="s">
        <v>402</v>
      </c>
      <c r="B381" s="3" t="s">
        <v>22</v>
      </c>
      <c r="C381" s="3">
        <v>511004</v>
      </c>
      <c r="D381" s="3">
        <v>20867</v>
      </c>
      <c r="E381" s="3" t="s">
        <v>23</v>
      </c>
    </row>
    <row r="382" spans="1:5">
      <c r="A382" s="3" t="s">
        <v>403</v>
      </c>
      <c r="B382" s="3" t="s">
        <v>22</v>
      </c>
      <c r="C382" s="3">
        <v>878364</v>
      </c>
      <c r="D382" s="3">
        <v>81595</v>
      </c>
      <c r="E382" s="3" t="s">
        <v>23</v>
      </c>
    </row>
    <row r="383" spans="1:5">
      <c r="A383" s="3" t="s">
        <v>404</v>
      </c>
      <c r="B383" s="3" t="s">
        <v>22</v>
      </c>
      <c r="C383" s="3">
        <v>1253238</v>
      </c>
      <c r="D383" s="3">
        <v>267402</v>
      </c>
      <c r="E383" s="3" t="s">
        <v>23</v>
      </c>
    </row>
    <row r="384" spans="1:5">
      <c r="A384" s="3" t="s">
        <v>405</v>
      </c>
      <c r="B384" s="3" t="s">
        <v>22</v>
      </c>
      <c r="C384" s="3">
        <v>1529524</v>
      </c>
      <c r="D384" s="3">
        <v>406427</v>
      </c>
      <c r="E384" s="3" t="s">
        <v>23</v>
      </c>
    </row>
    <row r="385" spans="1:5">
      <c r="A385" s="3" t="s">
        <v>406</v>
      </c>
      <c r="B385" s="3" t="s">
        <v>22</v>
      </c>
      <c r="C385" s="3">
        <v>1437718</v>
      </c>
      <c r="D385" s="3">
        <v>299115</v>
      </c>
      <c r="E385" s="3" t="s">
        <v>23</v>
      </c>
    </row>
    <row r="386" spans="1:5">
      <c r="A386" s="3" t="s">
        <v>407</v>
      </c>
      <c r="B386" s="3" t="s">
        <v>22</v>
      </c>
      <c r="C386" s="3">
        <v>1515037</v>
      </c>
      <c r="D386" s="3">
        <v>400420</v>
      </c>
      <c r="E386" s="3" t="s">
        <v>23</v>
      </c>
    </row>
    <row r="387" spans="1:5">
      <c r="A387" s="3" t="s">
        <v>408</v>
      </c>
      <c r="B387" s="3" t="s">
        <v>22</v>
      </c>
      <c r="C387" s="3">
        <v>1518310</v>
      </c>
      <c r="D387" s="3">
        <v>341252</v>
      </c>
      <c r="E387" s="3" t="s">
        <v>23</v>
      </c>
    </row>
    <row r="388" spans="1:5">
      <c r="A388" s="3" t="s">
        <v>409</v>
      </c>
      <c r="B388" s="3" t="s">
        <v>22</v>
      </c>
      <c r="C388" s="3">
        <v>722476</v>
      </c>
      <c r="D388" s="3">
        <v>2933</v>
      </c>
      <c r="E388" s="3" t="s">
        <v>23</v>
      </c>
    </row>
    <row r="389" spans="1:5">
      <c r="A389" s="3" t="s">
        <v>410</v>
      </c>
      <c r="B389" s="3" t="s">
        <v>22</v>
      </c>
      <c r="C389" s="3">
        <v>1108768</v>
      </c>
      <c r="D389" s="3">
        <v>184167</v>
      </c>
      <c r="E389" s="3" t="s">
        <v>23</v>
      </c>
    </row>
    <row r="390" spans="1:5">
      <c r="A390" s="3" t="s">
        <v>411</v>
      </c>
      <c r="B390" s="3" t="s">
        <v>22</v>
      </c>
      <c r="C390" s="3">
        <v>1485165</v>
      </c>
      <c r="D390" s="3">
        <v>391605</v>
      </c>
      <c r="E390" s="3" t="s">
        <v>23</v>
      </c>
    </row>
    <row r="391" spans="1:5">
      <c r="A391" s="3" t="s">
        <v>412</v>
      </c>
      <c r="B391" s="3" t="s">
        <v>22</v>
      </c>
      <c r="C391" s="3">
        <v>1223942</v>
      </c>
      <c r="D391" s="3">
        <v>312050</v>
      </c>
      <c r="E391" s="3" t="s">
        <v>23</v>
      </c>
    </row>
    <row r="392" spans="1:5">
      <c r="A392" s="3" t="s">
        <v>413</v>
      </c>
      <c r="B392" s="3" t="s">
        <v>22</v>
      </c>
      <c r="C392" s="3">
        <v>1567479</v>
      </c>
      <c r="D392" s="3">
        <v>375295</v>
      </c>
      <c r="E392" s="3" t="s">
        <v>23</v>
      </c>
    </row>
    <row r="393" spans="1:5">
      <c r="A393" s="3" t="s">
        <v>414</v>
      </c>
      <c r="B393" s="3" t="s">
        <v>22</v>
      </c>
      <c r="C393" s="3">
        <v>401896</v>
      </c>
      <c r="D393" s="3">
        <v>420</v>
      </c>
      <c r="E393" s="3" t="s">
        <v>23</v>
      </c>
    </row>
    <row r="394" spans="1:5">
      <c r="A394" s="3" t="s">
        <v>415</v>
      </c>
      <c r="B394" s="3" t="s">
        <v>22</v>
      </c>
      <c r="C394" s="3">
        <v>1903471</v>
      </c>
      <c r="D394" s="3">
        <v>567225</v>
      </c>
      <c r="E394" s="3" t="s">
        <v>23</v>
      </c>
    </row>
    <row r="395" spans="1:5">
      <c r="A395" s="3" t="s">
        <v>416</v>
      </c>
      <c r="B395" s="3" t="s">
        <v>22</v>
      </c>
      <c r="C395" s="3">
        <v>1310968</v>
      </c>
      <c r="D395" s="3">
        <v>251876</v>
      </c>
      <c r="E395" s="3" t="s">
        <v>23</v>
      </c>
    </row>
    <row r="396" spans="1:5">
      <c r="A396" s="3" t="s">
        <v>417</v>
      </c>
      <c r="B396" s="3" t="s">
        <v>22</v>
      </c>
      <c r="C396" s="3">
        <v>1347467</v>
      </c>
      <c r="D396" s="3">
        <v>275033</v>
      </c>
      <c r="E396" s="3" t="s">
        <v>23</v>
      </c>
    </row>
    <row r="397" spans="1:5">
      <c r="A397" s="3" t="s">
        <v>418</v>
      </c>
      <c r="B397" s="3" t="s">
        <v>22</v>
      </c>
      <c r="C397" s="3">
        <v>814788</v>
      </c>
      <c r="D397" s="3">
        <v>13588</v>
      </c>
      <c r="E397" s="3" t="s">
        <v>23</v>
      </c>
    </row>
    <row r="398" spans="1:5">
      <c r="A398" s="3" t="s">
        <v>419</v>
      </c>
      <c r="B398" s="3" t="s">
        <v>22</v>
      </c>
      <c r="C398" s="3">
        <v>1727782</v>
      </c>
      <c r="D398" s="3">
        <v>421134</v>
      </c>
      <c r="E398" s="3" t="s">
        <v>23</v>
      </c>
    </row>
    <row r="399" spans="1:5">
      <c r="A399" s="3" t="s">
        <v>420</v>
      </c>
      <c r="B399" s="3" t="s">
        <v>22</v>
      </c>
      <c r="C399" s="3">
        <v>604364</v>
      </c>
      <c r="D399" s="3">
        <v>61752</v>
      </c>
      <c r="E399" s="3" t="s">
        <v>23</v>
      </c>
    </row>
    <row r="400" spans="1:5">
      <c r="A400" s="3" t="s">
        <v>421</v>
      </c>
      <c r="B400" s="3" t="s">
        <v>22</v>
      </c>
      <c r="C400" s="3">
        <v>1169022</v>
      </c>
      <c r="D400" s="3">
        <v>175544</v>
      </c>
      <c r="E400" s="3" t="s">
        <v>23</v>
      </c>
    </row>
    <row r="401" spans="1:5">
      <c r="A401" s="3" t="s">
        <v>422</v>
      </c>
      <c r="B401" s="3" t="s">
        <v>22</v>
      </c>
      <c r="C401" s="3">
        <v>1620541</v>
      </c>
      <c r="D401" s="3">
        <v>403791</v>
      </c>
      <c r="E401" s="3" t="s">
        <v>23</v>
      </c>
    </row>
    <row r="402" spans="1:5">
      <c r="A402" s="3" t="s">
        <v>423</v>
      </c>
      <c r="B402" s="3" t="s">
        <v>22</v>
      </c>
      <c r="C402" s="3">
        <v>1706571</v>
      </c>
      <c r="D402" s="3">
        <v>476571</v>
      </c>
      <c r="E402" s="3" t="s">
        <v>23</v>
      </c>
    </row>
    <row r="403" spans="1:5">
      <c r="A403" s="3" t="s">
        <v>424</v>
      </c>
      <c r="B403" s="3" t="s">
        <v>22</v>
      </c>
      <c r="C403" s="3">
        <v>903136</v>
      </c>
      <c r="D403" s="3">
        <v>198910</v>
      </c>
      <c r="E403" s="3" t="s">
        <v>23</v>
      </c>
    </row>
    <row r="404" spans="1:5">
      <c r="A404" s="3" t="s">
        <v>425</v>
      </c>
      <c r="B404" s="3" t="s">
        <v>22</v>
      </c>
      <c r="C404" s="3">
        <v>124327</v>
      </c>
      <c r="D404" s="3">
        <v>9713</v>
      </c>
      <c r="E404" s="3" t="s">
        <v>23</v>
      </c>
    </row>
    <row r="405" spans="1:5">
      <c r="A405" s="3" t="s">
        <v>426</v>
      </c>
      <c r="B405" s="3" t="s">
        <v>22</v>
      </c>
      <c r="C405" s="3">
        <v>1325840</v>
      </c>
      <c r="D405" s="3">
        <v>225291</v>
      </c>
      <c r="E405" s="3" t="s">
        <v>23</v>
      </c>
    </row>
    <row r="406" spans="1:5">
      <c r="A406" s="3" t="s">
        <v>427</v>
      </c>
      <c r="B406" s="3" t="s">
        <v>22</v>
      </c>
      <c r="C406" s="3">
        <v>1091477</v>
      </c>
      <c r="D406" s="3">
        <v>45288</v>
      </c>
      <c r="E406" s="3" t="s">
        <v>23</v>
      </c>
    </row>
    <row r="407" spans="1:5">
      <c r="A407" s="3" t="s">
        <v>428</v>
      </c>
      <c r="B407" s="3" t="s">
        <v>22</v>
      </c>
      <c r="C407" s="3">
        <v>1019137</v>
      </c>
      <c r="D407" s="3">
        <v>32386</v>
      </c>
      <c r="E407" s="3" t="s">
        <v>23</v>
      </c>
    </row>
    <row r="408" spans="1:5">
      <c r="A408" s="3" t="s">
        <v>429</v>
      </c>
      <c r="B408" s="3" t="s">
        <v>22</v>
      </c>
      <c r="C408" s="3">
        <v>1612232</v>
      </c>
      <c r="D408" s="3">
        <v>366354</v>
      </c>
      <c r="E408" s="3" t="s">
        <v>23</v>
      </c>
    </row>
    <row r="409" spans="1:5">
      <c r="A409" s="3" t="s">
        <v>430</v>
      </c>
      <c r="B409" s="3" t="s">
        <v>22</v>
      </c>
      <c r="C409" s="3">
        <v>519607</v>
      </c>
      <c r="D409" s="3">
        <v>486</v>
      </c>
      <c r="E409" s="3" t="s">
        <v>23</v>
      </c>
    </row>
    <row r="410" spans="1:5">
      <c r="A410" s="3" t="s">
        <v>431</v>
      </c>
      <c r="B410" s="3" t="s">
        <v>22</v>
      </c>
      <c r="C410" s="3">
        <v>1517317</v>
      </c>
      <c r="D410" s="3">
        <v>247511</v>
      </c>
      <c r="E410" s="3" t="s">
        <v>23</v>
      </c>
    </row>
    <row r="411" spans="1:5">
      <c r="A411" s="3" t="s">
        <v>432</v>
      </c>
      <c r="B411" s="3" t="s">
        <v>22</v>
      </c>
      <c r="C411" s="3">
        <v>1179792</v>
      </c>
      <c r="D411" s="3">
        <v>76680</v>
      </c>
      <c r="E411" s="3" t="s">
        <v>23</v>
      </c>
    </row>
    <row r="412" spans="1:5">
      <c r="A412" s="3" t="s">
        <v>433</v>
      </c>
      <c r="B412" s="3" t="s">
        <v>22</v>
      </c>
      <c r="C412" s="3">
        <v>2223953</v>
      </c>
      <c r="D412" s="3">
        <v>482031</v>
      </c>
      <c r="E412" s="3" t="s">
        <v>23</v>
      </c>
    </row>
    <row r="413" spans="1:5">
      <c r="A413" s="3" t="s">
        <v>434</v>
      </c>
      <c r="B413" s="3" t="s">
        <v>22</v>
      </c>
      <c r="C413" s="3">
        <v>1362552</v>
      </c>
      <c r="D413" s="3">
        <v>205622</v>
      </c>
      <c r="E413" s="3" t="s">
        <v>23</v>
      </c>
    </row>
    <row r="414" spans="1:5">
      <c r="A414" s="3" t="s">
        <v>435</v>
      </c>
      <c r="B414" s="3" t="s">
        <v>22</v>
      </c>
      <c r="C414" s="3">
        <v>1071884</v>
      </c>
      <c r="D414" s="3">
        <v>48839</v>
      </c>
      <c r="E414" s="3" t="s">
        <v>23</v>
      </c>
    </row>
    <row r="415" spans="1:5">
      <c r="A415" s="3" t="s">
        <v>436</v>
      </c>
      <c r="B415" s="3" t="s">
        <v>22</v>
      </c>
      <c r="C415" s="3">
        <v>1365665</v>
      </c>
      <c r="D415" s="3">
        <v>287860</v>
      </c>
      <c r="E415" s="3" t="s">
        <v>23</v>
      </c>
    </row>
    <row r="416" spans="1:5">
      <c r="A416" s="3" t="s">
        <v>437</v>
      </c>
      <c r="B416" s="3" t="s">
        <v>22</v>
      </c>
      <c r="C416" s="3">
        <v>2596297</v>
      </c>
      <c r="D416" s="3">
        <v>813316</v>
      </c>
      <c r="E416" s="3" t="s">
        <v>23</v>
      </c>
    </row>
    <row r="417" spans="1:5">
      <c r="A417" s="3" t="s">
        <v>438</v>
      </c>
      <c r="B417" s="3" t="s">
        <v>22</v>
      </c>
      <c r="C417" s="3">
        <v>1651278</v>
      </c>
      <c r="D417" s="3">
        <v>336906</v>
      </c>
      <c r="E417" s="3" t="s">
        <v>23</v>
      </c>
    </row>
    <row r="418" spans="1:5">
      <c r="A418" s="3" t="s">
        <v>439</v>
      </c>
      <c r="B418" s="3" t="s">
        <v>22</v>
      </c>
      <c r="C418" s="3">
        <v>1369344</v>
      </c>
      <c r="D418" s="3">
        <v>221082</v>
      </c>
      <c r="E418" s="3" t="s">
        <v>23</v>
      </c>
    </row>
    <row r="419" spans="1:5">
      <c r="A419" s="3" t="s">
        <v>440</v>
      </c>
      <c r="B419" s="3" t="s">
        <v>22</v>
      </c>
      <c r="C419" s="3">
        <v>1962911</v>
      </c>
      <c r="D419" s="3">
        <v>458510</v>
      </c>
      <c r="E419" s="3" t="s">
        <v>23</v>
      </c>
    </row>
    <row r="420" spans="1:5">
      <c r="A420" s="3" t="s">
        <v>441</v>
      </c>
      <c r="B420" s="3" t="s">
        <v>22</v>
      </c>
      <c r="C420" s="3">
        <v>804857</v>
      </c>
      <c r="D420" s="3">
        <v>9183</v>
      </c>
      <c r="E420" s="3" t="s">
        <v>23</v>
      </c>
    </row>
    <row r="421" spans="1:5">
      <c r="A421" s="3" t="s">
        <v>442</v>
      </c>
      <c r="B421" s="3" t="s">
        <v>22</v>
      </c>
      <c r="C421" s="3">
        <v>1401836</v>
      </c>
      <c r="D421" s="3">
        <v>237052</v>
      </c>
      <c r="E421" s="3" t="s">
        <v>23</v>
      </c>
    </row>
    <row r="422" spans="1:5">
      <c r="A422" s="3" t="s">
        <v>443</v>
      </c>
      <c r="B422" s="3" t="s">
        <v>22</v>
      </c>
      <c r="C422" s="3">
        <v>166434</v>
      </c>
      <c r="D422" s="3">
        <v>6866</v>
      </c>
      <c r="E422" s="3" t="s">
        <v>23</v>
      </c>
    </row>
    <row r="423" spans="1:5">
      <c r="A423" s="3" t="s">
        <v>444</v>
      </c>
      <c r="B423" s="3" t="s">
        <v>22</v>
      </c>
      <c r="C423" s="3">
        <v>1158305</v>
      </c>
      <c r="D423" s="3">
        <v>201677</v>
      </c>
      <c r="E423" s="3" t="s">
        <v>23</v>
      </c>
    </row>
    <row r="424" spans="1:5">
      <c r="A424" s="3" t="s">
        <v>445</v>
      </c>
      <c r="B424" s="3" t="s">
        <v>22</v>
      </c>
      <c r="C424" s="3">
        <v>2071405</v>
      </c>
      <c r="D424" s="3">
        <v>522355</v>
      </c>
      <c r="E424" s="3" t="s">
        <v>23</v>
      </c>
    </row>
    <row r="425" spans="1:5">
      <c r="A425" s="3" t="s">
        <v>446</v>
      </c>
      <c r="B425" s="3" t="s">
        <v>22</v>
      </c>
      <c r="C425" s="3">
        <v>2216548</v>
      </c>
      <c r="D425" s="3">
        <v>553815</v>
      </c>
      <c r="E425" s="3" t="s">
        <v>23</v>
      </c>
    </row>
    <row r="426" spans="1:5">
      <c r="A426" s="3" t="s">
        <v>447</v>
      </c>
      <c r="B426" s="3" t="s">
        <v>22</v>
      </c>
      <c r="C426" s="3">
        <v>885968</v>
      </c>
      <c r="D426" s="3">
        <v>27631</v>
      </c>
      <c r="E426" s="3" t="s">
        <v>23</v>
      </c>
    </row>
    <row r="427" spans="1:5">
      <c r="A427" s="3" t="s">
        <v>448</v>
      </c>
      <c r="B427" s="3" t="s">
        <v>22</v>
      </c>
      <c r="C427" s="3">
        <v>2133309</v>
      </c>
      <c r="D427" s="3">
        <v>580014</v>
      </c>
      <c r="E427" s="3" t="s">
        <v>23</v>
      </c>
    </row>
    <row r="428" spans="1:5">
      <c r="A428" s="3" t="s">
        <v>449</v>
      </c>
      <c r="B428" s="3" t="s">
        <v>22</v>
      </c>
      <c r="C428" s="3">
        <v>1855582</v>
      </c>
      <c r="D428" s="3">
        <v>418087</v>
      </c>
      <c r="E428" s="3" t="s">
        <v>23</v>
      </c>
    </row>
    <row r="429" spans="1:5">
      <c r="A429" s="3" t="s">
        <v>450</v>
      </c>
      <c r="B429" s="3" t="s">
        <v>22</v>
      </c>
      <c r="C429" s="3">
        <v>1278072</v>
      </c>
      <c r="D429" s="3">
        <v>188957</v>
      </c>
      <c r="E429" s="3" t="s">
        <v>23</v>
      </c>
    </row>
    <row r="430" spans="1:5">
      <c r="A430" s="3" t="s">
        <v>451</v>
      </c>
      <c r="B430" s="3" t="s">
        <v>22</v>
      </c>
      <c r="C430" s="3">
        <v>1416700</v>
      </c>
      <c r="D430" s="3">
        <v>197804</v>
      </c>
      <c r="E430" s="3" t="s">
        <v>23</v>
      </c>
    </row>
    <row r="431" spans="1:5">
      <c r="A431" s="3" t="s">
        <v>452</v>
      </c>
      <c r="B431" s="3" t="s">
        <v>22</v>
      </c>
      <c r="C431" s="3">
        <v>1607269</v>
      </c>
      <c r="D431" s="3">
        <v>298452</v>
      </c>
      <c r="E431" s="3" t="s">
        <v>23</v>
      </c>
    </row>
    <row r="432" spans="1:5">
      <c r="A432" s="3" t="s">
        <v>453</v>
      </c>
      <c r="B432" s="3" t="s">
        <v>22</v>
      </c>
      <c r="C432" s="3">
        <v>1042077</v>
      </c>
      <c r="D432" s="3">
        <v>19289</v>
      </c>
      <c r="E432" s="3" t="s">
        <v>23</v>
      </c>
    </row>
    <row r="433" spans="1:5">
      <c r="A433" s="3" t="s">
        <v>454</v>
      </c>
      <c r="B433" s="3" t="s">
        <v>22</v>
      </c>
      <c r="C433" s="3">
        <v>504756</v>
      </c>
      <c r="D433" s="3">
        <v>1289</v>
      </c>
      <c r="E433" s="3" t="s">
        <v>23</v>
      </c>
    </row>
    <row r="434" spans="1:5">
      <c r="A434" s="3" t="s">
        <v>455</v>
      </c>
      <c r="B434" s="3" t="s">
        <v>22</v>
      </c>
      <c r="C434" s="3">
        <v>2218274</v>
      </c>
      <c r="D434" s="3">
        <v>473676</v>
      </c>
      <c r="E434" s="3" t="s">
        <v>23</v>
      </c>
    </row>
    <row r="435" spans="1:5">
      <c r="A435" s="3" t="s">
        <v>456</v>
      </c>
      <c r="B435" s="3" t="s">
        <v>22</v>
      </c>
      <c r="C435" s="3">
        <v>732761</v>
      </c>
      <c r="D435" s="3">
        <v>48268</v>
      </c>
      <c r="E435" s="3" t="s">
        <v>23</v>
      </c>
    </row>
    <row r="436" spans="1:5">
      <c r="A436" s="3" t="s">
        <v>457</v>
      </c>
      <c r="B436" s="3" t="s">
        <v>22</v>
      </c>
      <c r="C436" s="3">
        <v>1060150</v>
      </c>
      <c r="D436" s="3">
        <v>225352</v>
      </c>
      <c r="E436" s="3" t="s">
        <v>23</v>
      </c>
    </row>
    <row r="437" spans="1:5">
      <c r="A437" s="3" t="s">
        <v>458</v>
      </c>
      <c r="B437" s="3" t="s">
        <v>22</v>
      </c>
      <c r="C437" s="3">
        <v>1511673</v>
      </c>
      <c r="D437" s="3">
        <v>257578</v>
      </c>
      <c r="E437" s="3" t="s">
        <v>23</v>
      </c>
    </row>
    <row r="438" spans="1:5">
      <c r="A438" s="3" t="s">
        <v>459</v>
      </c>
      <c r="B438" s="3" t="s">
        <v>22</v>
      </c>
      <c r="C438" s="3">
        <v>962414</v>
      </c>
      <c r="D438" s="3">
        <v>79339</v>
      </c>
      <c r="E438" s="3" t="s">
        <v>23</v>
      </c>
    </row>
    <row r="439" spans="1:5">
      <c r="A439" s="3" t="s">
        <v>460</v>
      </c>
      <c r="B439" s="3" t="s">
        <v>22</v>
      </c>
      <c r="C439" s="3">
        <v>917193</v>
      </c>
      <c r="D439" s="3">
        <v>80362</v>
      </c>
      <c r="E439" s="3" t="s">
        <v>23</v>
      </c>
    </row>
    <row r="440" spans="1:5">
      <c r="A440" s="3" t="s">
        <v>461</v>
      </c>
      <c r="B440" s="3" t="s">
        <v>22</v>
      </c>
      <c r="C440" s="3">
        <v>577532</v>
      </c>
      <c r="D440" s="3">
        <v>12679</v>
      </c>
      <c r="E440" s="3" t="s">
        <v>23</v>
      </c>
    </row>
    <row r="441" spans="1:5">
      <c r="A441" s="3" t="s">
        <v>462</v>
      </c>
      <c r="B441" s="3" t="s">
        <v>22</v>
      </c>
      <c r="C441" s="3">
        <v>2066506</v>
      </c>
      <c r="D441" s="3">
        <v>438484</v>
      </c>
      <c r="E441" s="3" t="s">
        <v>23</v>
      </c>
    </row>
    <row r="442" spans="1:5">
      <c r="A442" s="3" t="s">
        <v>463</v>
      </c>
      <c r="B442" s="3" t="s">
        <v>22</v>
      </c>
      <c r="C442" s="3">
        <v>1368106</v>
      </c>
      <c r="D442" s="3">
        <v>232259</v>
      </c>
      <c r="E442" s="3" t="s">
        <v>23</v>
      </c>
    </row>
    <row r="443" spans="1:5">
      <c r="A443" s="3" t="s">
        <v>464</v>
      </c>
      <c r="B443" s="3" t="s">
        <v>22</v>
      </c>
      <c r="C443" s="3">
        <v>1082818</v>
      </c>
      <c r="D443" s="3">
        <v>147277</v>
      </c>
      <c r="E443" s="3" t="s">
        <v>23</v>
      </c>
    </row>
    <row r="444" spans="1:5">
      <c r="A444" s="3" t="s">
        <v>465</v>
      </c>
      <c r="B444" s="3" t="s">
        <v>22</v>
      </c>
      <c r="C444" s="3">
        <v>1059357</v>
      </c>
      <c r="D444" s="3">
        <v>97478</v>
      </c>
      <c r="E444" s="3" t="s">
        <v>23</v>
      </c>
    </row>
    <row r="445" spans="1:5">
      <c r="A445" s="3" t="s">
        <v>466</v>
      </c>
      <c r="B445" s="3" t="s">
        <v>22</v>
      </c>
      <c r="C445" s="3">
        <v>1542610</v>
      </c>
      <c r="D445" s="3">
        <v>220891</v>
      </c>
      <c r="E445" s="3" t="s">
        <v>23</v>
      </c>
    </row>
    <row r="446" spans="1:5">
      <c r="A446" s="3" t="s">
        <v>467</v>
      </c>
      <c r="B446" s="3" t="s">
        <v>22</v>
      </c>
      <c r="C446" s="3">
        <v>1235925</v>
      </c>
      <c r="D446" s="3">
        <v>163864</v>
      </c>
      <c r="E446" s="3" t="s">
        <v>23</v>
      </c>
    </row>
    <row r="447" spans="1:5">
      <c r="A447" s="3" t="s">
        <v>468</v>
      </c>
      <c r="B447" s="3" t="s">
        <v>22</v>
      </c>
      <c r="C447" s="3">
        <v>1672032</v>
      </c>
      <c r="D447" s="3">
        <v>379848</v>
      </c>
      <c r="E447" s="3" t="s">
        <v>23</v>
      </c>
    </row>
    <row r="448" spans="1:5">
      <c r="A448" s="3" t="s">
        <v>469</v>
      </c>
      <c r="B448" s="3" t="s">
        <v>22</v>
      </c>
      <c r="C448" s="3">
        <v>409649</v>
      </c>
      <c r="D448" s="3">
        <v>57835</v>
      </c>
      <c r="E448" s="3" t="s">
        <v>23</v>
      </c>
    </row>
    <row r="449" spans="1:5">
      <c r="A449" s="3" t="s">
        <v>470</v>
      </c>
      <c r="B449" s="3" t="s">
        <v>22</v>
      </c>
      <c r="C449" s="3">
        <v>949548</v>
      </c>
      <c r="D449" s="3">
        <v>132084</v>
      </c>
      <c r="E449" s="3" t="s">
        <v>23</v>
      </c>
    </row>
    <row r="450" spans="1:5">
      <c r="A450" s="3" t="s">
        <v>471</v>
      </c>
      <c r="B450" s="3" t="s">
        <v>22</v>
      </c>
      <c r="C450" s="3">
        <v>1802824</v>
      </c>
      <c r="D450" s="3">
        <v>462500</v>
      </c>
      <c r="E450" s="3" t="s">
        <v>23</v>
      </c>
    </row>
    <row r="451" spans="1:5">
      <c r="A451" s="3" t="s">
        <v>472</v>
      </c>
      <c r="B451" s="3" t="s">
        <v>22</v>
      </c>
      <c r="C451" s="3">
        <v>1350066</v>
      </c>
      <c r="D451" s="3">
        <v>263529</v>
      </c>
      <c r="E451" s="3" t="s">
        <v>23</v>
      </c>
    </row>
    <row r="452" spans="1:5">
      <c r="A452" s="3" t="s">
        <v>473</v>
      </c>
      <c r="B452" s="3" t="s">
        <v>22</v>
      </c>
      <c r="C452" s="3">
        <v>1151245</v>
      </c>
      <c r="D452" s="3">
        <v>178209</v>
      </c>
      <c r="E452" s="3" t="s">
        <v>23</v>
      </c>
    </row>
    <row r="453" spans="1:5">
      <c r="A453" s="3" t="s">
        <v>474</v>
      </c>
      <c r="B453" s="3" t="s">
        <v>22</v>
      </c>
      <c r="C453" s="3">
        <v>1618032</v>
      </c>
      <c r="D453" s="3">
        <v>277222</v>
      </c>
      <c r="E453" s="3" t="s">
        <v>23</v>
      </c>
    </row>
    <row r="454" spans="1:5">
      <c r="A454" s="3" t="s">
        <v>475</v>
      </c>
      <c r="B454" s="3" t="s">
        <v>22</v>
      </c>
      <c r="C454" s="3">
        <v>1077314</v>
      </c>
      <c r="D454" s="3">
        <v>67122</v>
      </c>
      <c r="E454" s="3" t="s">
        <v>23</v>
      </c>
    </row>
    <row r="455" spans="1:5">
      <c r="A455" s="3" t="s">
        <v>476</v>
      </c>
      <c r="B455" s="3" t="s">
        <v>22</v>
      </c>
      <c r="C455" s="3">
        <v>1618356</v>
      </c>
      <c r="D455" s="3">
        <v>318829</v>
      </c>
      <c r="E455" s="3" t="s">
        <v>23</v>
      </c>
    </row>
    <row r="456" spans="1:5">
      <c r="A456" s="3" t="s">
        <v>477</v>
      </c>
      <c r="B456" s="3" t="s">
        <v>22</v>
      </c>
      <c r="C456" s="3">
        <v>1615106</v>
      </c>
      <c r="D456" s="3">
        <v>349579</v>
      </c>
      <c r="E456" s="3" t="s">
        <v>23</v>
      </c>
    </row>
    <row r="457" spans="1:5">
      <c r="A457" s="3" t="s">
        <v>478</v>
      </c>
      <c r="B457" s="3" t="s">
        <v>22</v>
      </c>
      <c r="C457" s="3">
        <v>528756</v>
      </c>
      <c r="D457" s="3">
        <v>3880</v>
      </c>
      <c r="E457" s="3" t="s">
        <v>23</v>
      </c>
    </row>
    <row r="458" spans="1:5">
      <c r="A458" s="3" t="s">
        <v>479</v>
      </c>
      <c r="B458" s="3" t="s">
        <v>22</v>
      </c>
      <c r="C458" s="3">
        <v>1764829</v>
      </c>
      <c r="D458" s="3">
        <v>391644</v>
      </c>
      <c r="E458" s="3" t="s">
        <v>23</v>
      </c>
    </row>
    <row r="459" spans="1:5">
      <c r="A459" s="3" t="s">
        <v>480</v>
      </c>
      <c r="B459" s="3" t="s">
        <v>22</v>
      </c>
      <c r="C459" s="3">
        <v>1118364</v>
      </c>
      <c r="D459" s="3">
        <v>161168</v>
      </c>
      <c r="E459" s="3" t="s">
        <v>23</v>
      </c>
    </row>
    <row r="460" spans="1:5">
      <c r="A460" s="3" t="s">
        <v>481</v>
      </c>
      <c r="B460" s="3" t="s">
        <v>22</v>
      </c>
      <c r="C460" s="3">
        <v>1190611</v>
      </c>
      <c r="D460" s="3">
        <v>149460</v>
      </c>
      <c r="E460" s="3" t="s">
        <v>23</v>
      </c>
    </row>
    <row r="461" spans="1:5">
      <c r="A461" s="3" t="s">
        <v>482</v>
      </c>
      <c r="B461" s="3" t="s">
        <v>22</v>
      </c>
      <c r="C461" s="3">
        <v>1776954</v>
      </c>
      <c r="D461" s="3">
        <v>362469</v>
      </c>
      <c r="E461" s="3" t="s">
        <v>23</v>
      </c>
    </row>
    <row r="462" spans="1:5">
      <c r="A462" s="3" t="s">
        <v>483</v>
      </c>
      <c r="B462" s="3" t="s">
        <v>22</v>
      </c>
      <c r="C462" s="3">
        <v>1664057</v>
      </c>
      <c r="D462" s="3">
        <v>313106</v>
      </c>
      <c r="E462" s="3" t="s">
        <v>23</v>
      </c>
    </row>
    <row r="463" spans="1:5">
      <c r="A463" s="3" t="s">
        <v>484</v>
      </c>
      <c r="B463" s="3" t="s">
        <v>22</v>
      </c>
      <c r="C463" s="3">
        <v>176209</v>
      </c>
      <c r="D463" s="3">
        <v>31489</v>
      </c>
      <c r="E463" s="3" t="s">
        <v>23</v>
      </c>
    </row>
    <row r="464" spans="1:5">
      <c r="A464" s="3" t="s">
        <v>485</v>
      </c>
      <c r="B464" s="3" t="s">
        <v>22</v>
      </c>
      <c r="C464" s="3">
        <v>531706</v>
      </c>
      <c r="D464" s="3">
        <v>2397</v>
      </c>
      <c r="E464" s="3" t="s">
        <v>23</v>
      </c>
    </row>
    <row r="465" spans="1:5">
      <c r="A465" s="3" t="s">
        <v>486</v>
      </c>
      <c r="B465" s="3" t="s">
        <v>22</v>
      </c>
      <c r="C465" s="3">
        <v>2097458</v>
      </c>
      <c r="D465" s="3">
        <v>487221</v>
      </c>
      <c r="E465" s="3" t="s">
        <v>23</v>
      </c>
    </row>
    <row r="466" spans="1:5">
      <c r="A466" s="3" t="s">
        <v>487</v>
      </c>
      <c r="B466" s="3" t="s">
        <v>22</v>
      </c>
      <c r="C466" s="3">
        <v>998501</v>
      </c>
      <c r="D466" s="3">
        <v>67767</v>
      </c>
      <c r="E466" s="3" t="s">
        <v>23</v>
      </c>
    </row>
    <row r="467" spans="1:5">
      <c r="A467" s="3" t="s">
        <v>488</v>
      </c>
      <c r="B467" s="3" t="s">
        <v>22</v>
      </c>
      <c r="C467" s="3">
        <v>657887</v>
      </c>
      <c r="D467" s="3">
        <v>105765</v>
      </c>
      <c r="E467" s="3" t="s">
        <v>23</v>
      </c>
    </row>
    <row r="468" spans="1:5">
      <c r="A468" s="3" t="s">
        <v>489</v>
      </c>
      <c r="B468" s="3" t="s">
        <v>22</v>
      </c>
      <c r="C468" s="3">
        <v>934847</v>
      </c>
      <c r="D468" s="3">
        <v>213439</v>
      </c>
      <c r="E468" s="3" t="s">
        <v>23</v>
      </c>
    </row>
    <row r="469" spans="1:5">
      <c r="A469" s="3" t="s">
        <v>490</v>
      </c>
      <c r="B469" s="3" t="s">
        <v>22</v>
      </c>
      <c r="C469" s="3">
        <v>1038658</v>
      </c>
      <c r="D469" s="3">
        <v>262587</v>
      </c>
      <c r="E469" s="3" t="s">
        <v>23</v>
      </c>
    </row>
    <row r="470" spans="1:5">
      <c r="A470" s="3" t="s">
        <v>491</v>
      </c>
      <c r="B470" s="3" t="s">
        <v>22</v>
      </c>
      <c r="C470" s="3">
        <v>620838</v>
      </c>
      <c r="D470" s="3">
        <v>62051</v>
      </c>
      <c r="E470" s="3" t="s">
        <v>23</v>
      </c>
    </row>
    <row r="471" spans="1:5">
      <c r="A471" s="3" t="s">
        <v>492</v>
      </c>
      <c r="B471" s="3" t="s">
        <v>22</v>
      </c>
      <c r="C471" s="3">
        <v>516444</v>
      </c>
      <c r="D471" s="3">
        <v>17586</v>
      </c>
      <c r="E471" s="3" t="s">
        <v>23</v>
      </c>
    </row>
    <row r="472" spans="1:5">
      <c r="A472" s="3" t="s">
        <v>493</v>
      </c>
      <c r="B472" s="3" t="s">
        <v>22</v>
      </c>
      <c r="C472" s="3">
        <v>1018447</v>
      </c>
      <c r="D472" s="3">
        <v>204343</v>
      </c>
      <c r="E472" s="3" t="s">
        <v>23</v>
      </c>
    </row>
    <row r="473" spans="1:5">
      <c r="A473" s="3" t="s">
        <v>494</v>
      </c>
      <c r="B473" s="3" t="s">
        <v>22</v>
      </c>
      <c r="C473" s="3">
        <v>1137961</v>
      </c>
      <c r="D473" s="3">
        <v>304428</v>
      </c>
      <c r="E473" s="3" t="s">
        <v>23</v>
      </c>
    </row>
    <row r="474" spans="1:5">
      <c r="A474" s="3" t="s">
        <v>495</v>
      </c>
      <c r="B474" s="3" t="s">
        <v>22</v>
      </c>
      <c r="C474" s="3">
        <v>310840</v>
      </c>
      <c r="D474" s="3">
        <v>2512</v>
      </c>
      <c r="E474" s="3" t="s">
        <v>23</v>
      </c>
    </row>
    <row r="475" spans="1:5">
      <c r="A475" s="3" t="s">
        <v>496</v>
      </c>
      <c r="B475" s="3" t="s">
        <v>22</v>
      </c>
      <c r="C475" s="3">
        <v>335996</v>
      </c>
      <c r="D475" s="3">
        <v>2726</v>
      </c>
      <c r="E475" s="3" t="s">
        <v>23</v>
      </c>
    </row>
    <row r="476" spans="1:5">
      <c r="A476" s="3" t="s">
        <v>497</v>
      </c>
      <c r="B476" s="3" t="s">
        <v>22</v>
      </c>
      <c r="C476" s="3">
        <v>1238600</v>
      </c>
      <c r="D476" s="3">
        <v>343379</v>
      </c>
      <c r="E476" s="3" t="s">
        <v>23</v>
      </c>
    </row>
    <row r="477" spans="1:5">
      <c r="A477" s="3" t="s">
        <v>498</v>
      </c>
      <c r="B477" s="3" t="s">
        <v>22</v>
      </c>
      <c r="C477" s="3">
        <v>590863</v>
      </c>
      <c r="D477" s="3">
        <v>23017</v>
      </c>
      <c r="E477" s="3" t="s">
        <v>23</v>
      </c>
    </row>
    <row r="478" spans="1:5">
      <c r="A478" s="3" t="s">
        <v>499</v>
      </c>
      <c r="B478" s="3" t="s">
        <v>22</v>
      </c>
      <c r="C478" s="3">
        <v>526892</v>
      </c>
      <c r="D478" s="3">
        <v>130523</v>
      </c>
      <c r="E478" s="3" t="s">
        <v>23</v>
      </c>
    </row>
    <row r="479" spans="1:5">
      <c r="A479" s="3" t="s">
        <v>500</v>
      </c>
      <c r="B479" s="3" t="s">
        <v>22</v>
      </c>
      <c r="C479" s="3">
        <v>878746</v>
      </c>
      <c r="D479" s="3">
        <v>183388</v>
      </c>
      <c r="E479" s="3" t="s">
        <v>23</v>
      </c>
    </row>
    <row r="480" spans="1:5">
      <c r="A480" s="3" t="s">
        <v>501</v>
      </c>
      <c r="B480" s="3" t="s">
        <v>22</v>
      </c>
      <c r="C480" s="3">
        <v>1097191</v>
      </c>
      <c r="D480" s="3">
        <v>218915</v>
      </c>
      <c r="E480" s="3" t="s">
        <v>23</v>
      </c>
    </row>
    <row r="481" spans="1:5">
      <c r="A481" s="3" t="s">
        <v>502</v>
      </c>
      <c r="B481" s="3" t="s">
        <v>22</v>
      </c>
      <c r="C481" s="3">
        <v>272812</v>
      </c>
      <c r="D481" s="3">
        <v>4141</v>
      </c>
      <c r="E481" s="3" t="s">
        <v>23</v>
      </c>
    </row>
    <row r="482" spans="1:5">
      <c r="A482" s="3" t="s">
        <v>503</v>
      </c>
      <c r="B482" s="3" t="s">
        <v>22</v>
      </c>
      <c r="C482" s="3">
        <v>355697</v>
      </c>
      <c r="D482" s="3">
        <v>35552</v>
      </c>
      <c r="E482" s="3" t="s">
        <v>23</v>
      </c>
    </row>
    <row r="483" spans="1:5">
      <c r="A483" s="3" t="s">
        <v>504</v>
      </c>
      <c r="B483" s="3" t="s">
        <v>22</v>
      </c>
      <c r="C483" s="3">
        <v>1168503</v>
      </c>
      <c r="D483" s="3">
        <v>299728</v>
      </c>
      <c r="E483" s="3" t="s">
        <v>23</v>
      </c>
    </row>
    <row r="484" spans="1:5">
      <c r="A484" s="3" t="s">
        <v>505</v>
      </c>
      <c r="B484" s="3" t="s">
        <v>22</v>
      </c>
      <c r="C484" s="3">
        <v>927386</v>
      </c>
      <c r="D484" s="3">
        <v>181465</v>
      </c>
      <c r="E484" s="3" t="s">
        <v>23</v>
      </c>
    </row>
    <row r="485" spans="1:5">
      <c r="A485" s="3" t="s">
        <v>506</v>
      </c>
      <c r="B485" s="3" t="s">
        <v>22</v>
      </c>
      <c r="C485" s="3">
        <v>1073242</v>
      </c>
      <c r="D485" s="3">
        <v>246451</v>
      </c>
      <c r="E485" s="3" t="s">
        <v>23</v>
      </c>
    </row>
    <row r="486" spans="1:5">
      <c r="A486" s="3" t="s">
        <v>507</v>
      </c>
      <c r="B486" s="3" t="s">
        <v>22</v>
      </c>
      <c r="C486" s="3">
        <v>259814</v>
      </c>
      <c r="D486" s="3">
        <v>218</v>
      </c>
      <c r="E486" s="3" t="s">
        <v>23</v>
      </c>
    </row>
    <row r="487" spans="1:5">
      <c r="A487" s="3" t="s">
        <v>508</v>
      </c>
      <c r="B487" s="3" t="s">
        <v>22</v>
      </c>
      <c r="C487" s="3">
        <v>1281203</v>
      </c>
      <c r="D487" s="3">
        <v>327967</v>
      </c>
      <c r="E487" s="3" t="s">
        <v>23</v>
      </c>
    </row>
    <row r="488" spans="1:5">
      <c r="A488" s="3" t="s">
        <v>509</v>
      </c>
      <c r="B488" s="3" t="s">
        <v>22</v>
      </c>
      <c r="C488" s="3">
        <v>812710</v>
      </c>
      <c r="D488" s="3">
        <v>150723</v>
      </c>
      <c r="E488" s="3" t="s">
        <v>23</v>
      </c>
    </row>
    <row r="489" spans="1:5">
      <c r="A489" s="3" t="s">
        <v>510</v>
      </c>
      <c r="B489" s="3" t="s">
        <v>22</v>
      </c>
      <c r="C489" s="3">
        <v>1010857</v>
      </c>
      <c r="D489" s="3">
        <v>227326</v>
      </c>
      <c r="E489" s="3" t="s">
        <v>23</v>
      </c>
    </row>
    <row r="490" spans="1:5">
      <c r="A490" s="3" t="s">
        <v>511</v>
      </c>
      <c r="B490" s="3" t="s">
        <v>22</v>
      </c>
      <c r="C490" s="3">
        <v>384866</v>
      </c>
      <c r="D490" s="3">
        <v>21944</v>
      </c>
      <c r="E490" s="3" t="s">
        <v>23</v>
      </c>
    </row>
    <row r="491" spans="1:5">
      <c r="A491" s="3" t="s">
        <v>512</v>
      </c>
      <c r="B491" s="3" t="s">
        <v>22</v>
      </c>
      <c r="C491" s="3">
        <v>849240</v>
      </c>
      <c r="D491" s="3">
        <v>170426</v>
      </c>
      <c r="E491" s="3" t="s">
        <v>23</v>
      </c>
    </row>
    <row r="492" spans="1:5">
      <c r="A492" s="3" t="s">
        <v>513</v>
      </c>
      <c r="B492" s="3" t="s">
        <v>22</v>
      </c>
      <c r="C492" s="3">
        <v>614268</v>
      </c>
      <c r="D492" s="3">
        <v>101393</v>
      </c>
      <c r="E492" s="3" t="s">
        <v>23</v>
      </c>
    </row>
    <row r="493" spans="1:5">
      <c r="A493" s="3" t="s">
        <v>514</v>
      </c>
      <c r="B493" s="3" t="s">
        <v>22</v>
      </c>
      <c r="C493" s="3">
        <v>610696</v>
      </c>
      <c r="D493" s="3">
        <v>83421</v>
      </c>
      <c r="E493" s="3" t="s">
        <v>23</v>
      </c>
    </row>
    <row r="494" spans="1:5">
      <c r="A494" s="3" t="s">
        <v>515</v>
      </c>
      <c r="B494" s="3" t="s">
        <v>22</v>
      </c>
      <c r="C494" s="3">
        <v>941086</v>
      </c>
      <c r="D494" s="3">
        <v>163954</v>
      </c>
      <c r="E494" s="3" t="s">
        <v>23</v>
      </c>
    </row>
    <row r="495" spans="1:5">
      <c r="A495" s="3" t="s">
        <v>516</v>
      </c>
      <c r="B495" s="3" t="s">
        <v>22</v>
      </c>
      <c r="C495" s="3">
        <v>876105</v>
      </c>
      <c r="D495" s="3">
        <v>179827</v>
      </c>
      <c r="E495" s="3" t="s">
        <v>23</v>
      </c>
    </row>
    <row r="496" spans="1:5">
      <c r="A496" s="3" t="s">
        <v>517</v>
      </c>
      <c r="B496" s="3" t="s">
        <v>22</v>
      </c>
      <c r="C496" s="3">
        <v>1042449</v>
      </c>
      <c r="D496" s="3">
        <v>221976</v>
      </c>
      <c r="E496" s="3" t="s">
        <v>23</v>
      </c>
    </row>
    <row r="497" spans="1:5">
      <c r="A497" s="3" t="s">
        <v>518</v>
      </c>
      <c r="B497" s="3" t="s">
        <v>22</v>
      </c>
      <c r="C497" s="3">
        <v>431237</v>
      </c>
      <c r="D497" s="3">
        <v>5573</v>
      </c>
      <c r="E497" s="3" t="s">
        <v>23</v>
      </c>
    </row>
    <row r="498" spans="1:5">
      <c r="A498" s="3" t="s">
        <v>519</v>
      </c>
      <c r="B498" s="3" t="s">
        <v>22</v>
      </c>
      <c r="C498" s="3">
        <v>539998</v>
      </c>
      <c r="D498" s="3">
        <v>51505</v>
      </c>
      <c r="E498" s="3" t="s">
        <v>23</v>
      </c>
    </row>
    <row r="499" spans="1:5">
      <c r="A499" s="3" t="s">
        <v>520</v>
      </c>
      <c r="B499" s="3" t="s">
        <v>22</v>
      </c>
      <c r="C499" s="3">
        <v>702063</v>
      </c>
      <c r="D499" s="3">
        <v>41538</v>
      </c>
      <c r="E499" s="3" t="s">
        <v>23</v>
      </c>
    </row>
    <row r="500" spans="1:5">
      <c r="A500" s="3" t="s">
        <v>521</v>
      </c>
      <c r="B500" s="3" t="s">
        <v>22</v>
      </c>
      <c r="C500" s="3">
        <v>748351</v>
      </c>
      <c r="D500" s="3">
        <v>90939</v>
      </c>
      <c r="E500" s="3" t="s">
        <v>23</v>
      </c>
    </row>
    <row r="501" spans="1:5">
      <c r="A501" s="3" t="s">
        <v>522</v>
      </c>
      <c r="B501" s="3" t="s">
        <v>22</v>
      </c>
      <c r="C501" s="3">
        <v>554082</v>
      </c>
      <c r="D501" s="3">
        <v>41966</v>
      </c>
      <c r="E501" s="3" t="s">
        <v>23</v>
      </c>
    </row>
    <row r="502" spans="1:5">
      <c r="A502" s="3" t="s">
        <v>523</v>
      </c>
      <c r="B502" s="3" t="s">
        <v>22</v>
      </c>
      <c r="C502" s="3">
        <v>811300</v>
      </c>
      <c r="D502" s="3">
        <v>169481</v>
      </c>
      <c r="E502" s="3" t="s">
        <v>23</v>
      </c>
    </row>
    <row r="503" spans="1:5">
      <c r="A503" s="3" t="s">
        <v>524</v>
      </c>
      <c r="B503" s="3" t="s">
        <v>22</v>
      </c>
      <c r="C503" s="3">
        <v>946000</v>
      </c>
      <c r="D503" s="3">
        <v>164825</v>
      </c>
      <c r="E503" s="3" t="s">
        <v>23</v>
      </c>
    </row>
    <row r="504" spans="1:5">
      <c r="A504" s="3" t="s">
        <v>525</v>
      </c>
      <c r="B504" s="3" t="s">
        <v>22</v>
      </c>
      <c r="C504" s="3">
        <v>551434</v>
      </c>
      <c r="D504" s="3">
        <v>44498</v>
      </c>
      <c r="E504" s="3" t="s">
        <v>23</v>
      </c>
    </row>
    <row r="505" spans="1:5">
      <c r="A505" s="3" t="s">
        <v>526</v>
      </c>
      <c r="B505" s="3" t="s">
        <v>22</v>
      </c>
      <c r="C505" s="3">
        <v>1034136</v>
      </c>
      <c r="D505" s="3">
        <v>197509</v>
      </c>
      <c r="E505" s="3" t="s">
        <v>23</v>
      </c>
    </row>
    <row r="506" spans="1:5">
      <c r="A506" s="3" t="s">
        <v>527</v>
      </c>
      <c r="B506" s="3" t="s">
        <v>22</v>
      </c>
      <c r="C506" s="3">
        <v>553614</v>
      </c>
      <c r="D506" s="3">
        <v>27830</v>
      </c>
      <c r="E506" s="3" t="s">
        <v>23</v>
      </c>
    </row>
    <row r="507" spans="1:5">
      <c r="A507" s="3" t="s">
        <v>528</v>
      </c>
      <c r="B507" s="3" t="s">
        <v>22</v>
      </c>
      <c r="C507" s="3">
        <v>636164</v>
      </c>
      <c r="D507" s="3">
        <v>74265</v>
      </c>
      <c r="E507" s="3" t="s">
        <v>23</v>
      </c>
    </row>
    <row r="508" spans="1:5">
      <c r="A508" s="3" t="s">
        <v>529</v>
      </c>
      <c r="B508" s="3" t="s">
        <v>22</v>
      </c>
      <c r="C508" s="3">
        <v>651638</v>
      </c>
      <c r="D508" s="3">
        <v>75649</v>
      </c>
      <c r="E508" s="3" t="s">
        <v>23</v>
      </c>
    </row>
    <row r="509" spans="1:5">
      <c r="A509" s="3" t="s">
        <v>530</v>
      </c>
      <c r="B509" s="3" t="s">
        <v>22</v>
      </c>
      <c r="C509" s="3">
        <v>763994</v>
      </c>
      <c r="D509" s="3">
        <v>110275</v>
      </c>
      <c r="E509" s="3" t="s">
        <v>23</v>
      </c>
    </row>
    <row r="510" spans="1:5">
      <c r="A510" s="3" t="s">
        <v>531</v>
      </c>
      <c r="B510" s="3" t="s">
        <v>22</v>
      </c>
      <c r="C510" s="3">
        <v>711792</v>
      </c>
      <c r="D510" s="3">
        <v>73652</v>
      </c>
      <c r="E510" s="3" t="s">
        <v>23</v>
      </c>
    </row>
    <row r="511" spans="1:5">
      <c r="A511" s="3" t="s">
        <v>532</v>
      </c>
      <c r="B511" s="3" t="s">
        <v>22</v>
      </c>
      <c r="C511" s="3">
        <v>1045305</v>
      </c>
      <c r="D511" s="3">
        <v>169764</v>
      </c>
      <c r="E511" s="3" t="s">
        <v>23</v>
      </c>
    </row>
    <row r="512" spans="1:5">
      <c r="A512" s="3" t="s">
        <v>533</v>
      </c>
      <c r="B512" s="3" t="s">
        <v>22</v>
      </c>
      <c r="C512" s="3">
        <v>824868</v>
      </c>
      <c r="D512" s="3">
        <v>126757</v>
      </c>
      <c r="E512" s="3" t="s">
        <v>23</v>
      </c>
    </row>
    <row r="513" spans="1:5">
      <c r="A513" s="3" t="s">
        <v>534</v>
      </c>
      <c r="B513" s="3" t="s">
        <v>22</v>
      </c>
      <c r="C513" s="3">
        <v>489459</v>
      </c>
      <c r="D513" s="3">
        <v>19033</v>
      </c>
      <c r="E513" s="3" t="s">
        <v>23</v>
      </c>
    </row>
    <row r="514" spans="1:5">
      <c r="A514" s="3" t="s">
        <v>535</v>
      </c>
      <c r="B514" s="3" t="s">
        <v>22</v>
      </c>
      <c r="C514" s="3">
        <v>381414</v>
      </c>
      <c r="D514" s="3">
        <v>4534</v>
      </c>
      <c r="E514" s="3" t="s">
        <v>23</v>
      </c>
    </row>
    <row r="515" spans="1:5">
      <c r="A515" s="3" t="s">
        <v>536</v>
      </c>
      <c r="B515" s="3" t="s">
        <v>22</v>
      </c>
      <c r="C515" s="3">
        <v>877380</v>
      </c>
      <c r="D515" s="3">
        <v>139492</v>
      </c>
      <c r="E515" s="3" t="s">
        <v>23</v>
      </c>
    </row>
    <row r="516" spans="1:5">
      <c r="A516" s="3" t="s">
        <v>537</v>
      </c>
      <c r="B516" s="3" t="s">
        <v>22</v>
      </c>
      <c r="C516" s="3">
        <v>973291</v>
      </c>
      <c r="D516" s="3">
        <v>214632</v>
      </c>
      <c r="E516" s="3" t="s">
        <v>23</v>
      </c>
    </row>
    <row r="517" spans="1:5">
      <c r="A517" s="3" t="s">
        <v>538</v>
      </c>
      <c r="B517" s="3" t="s">
        <v>22</v>
      </c>
      <c r="C517" s="3">
        <v>1020157</v>
      </c>
      <c r="D517" s="3">
        <v>196412</v>
      </c>
      <c r="E517" s="3" t="s">
        <v>23</v>
      </c>
    </row>
    <row r="518" spans="1:5">
      <c r="A518" s="3" t="s">
        <v>539</v>
      </c>
      <c r="B518" s="3" t="s">
        <v>22</v>
      </c>
      <c r="C518" s="3">
        <v>1078175</v>
      </c>
      <c r="D518" s="3">
        <v>211152</v>
      </c>
      <c r="E518" s="3" t="s">
        <v>23</v>
      </c>
    </row>
    <row r="519" spans="1:5">
      <c r="A519" s="3" t="s">
        <v>540</v>
      </c>
      <c r="B519" s="3" t="s">
        <v>22</v>
      </c>
      <c r="C519" s="3">
        <v>824339</v>
      </c>
      <c r="D519" s="3">
        <v>125423</v>
      </c>
      <c r="E519" s="3" t="s">
        <v>23</v>
      </c>
    </row>
    <row r="520" spans="1:5">
      <c r="A520" s="3" t="s">
        <v>541</v>
      </c>
      <c r="B520" s="3" t="s">
        <v>22</v>
      </c>
      <c r="C520" s="3">
        <v>658287</v>
      </c>
      <c r="D520" s="3">
        <v>55855</v>
      </c>
      <c r="E520" s="3" t="s">
        <v>23</v>
      </c>
    </row>
    <row r="521" spans="1:5">
      <c r="A521" s="3" t="s">
        <v>542</v>
      </c>
      <c r="B521" s="3" t="s">
        <v>22</v>
      </c>
      <c r="C521" s="3">
        <v>864706</v>
      </c>
      <c r="D521" s="3">
        <v>185359</v>
      </c>
      <c r="E521" s="3" t="s">
        <v>23</v>
      </c>
    </row>
    <row r="522" spans="1:5">
      <c r="A522" s="3" t="s">
        <v>543</v>
      </c>
      <c r="B522" s="3" t="s">
        <v>22</v>
      </c>
      <c r="C522" s="3">
        <v>535666</v>
      </c>
      <c r="D522" s="3">
        <v>29848</v>
      </c>
      <c r="E522" s="3" t="s">
        <v>23</v>
      </c>
    </row>
    <row r="523" spans="1:5">
      <c r="A523" s="3" t="s">
        <v>544</v>
      </c>
      <c r="B523" s="3" t="s">
        <v>22</v>
      </c>
      <c r="C523" s="3">
        <v>938346</v>
      </c>
      <c r="D523" s="3">
        <v>157275</v>
      </c>
      <c r="E523" s="3" t="s">
        <v>23</v>
      </c>
    </row>
    <row r="524" spans="1:5">
      <c r="A524" s="3" t="s">
        <v>545</v>
      </c>
      <c r="B524" s="3" t="s">
        <v>22</v>
      </c>
      <c r="C524" s="3">
        <v>917214</v>
      </c>
      <c r="D524" s="3">
        <v>183659</v>
      </c>
      <c r="E524" s="3" t="s">
        <v>23</v>
      </c>
    </row>
    <row r="525" spans="1:5">
      <c r="A525" s="3" t="s">
        <v>546</v>
      </c>
      <c r="B525" s="3" t="s">
        <v>22</v>
      </c>
      <c r="C525" s="3">
        <v>430364</v>
      </c>
      <c r="D525" s="3">
        <v>21789</v>
      </c>
      <c r="E525" s="3" t="s">
        <v>23</v>
      </c>
    </row>
    <row r="526" spans="1:5">
      <c r="A526" s="3" t="s">
        <v>547</v>
      </c>
      <c r="B526" s="3" t="s">
        <v>22</v>
      </c>
      <c r="C526" s="3">
        <v>627353</v>
      </c>
      <c r="D526" s="3">
        <v>71211</v>
      </c>
      <c r="E526" s="3" t="s">
        <v>23</v>
      </c>
    </row>
    <row r="527" spans="1:5">
      <c r="A527" s="3" t="s">
        <v>548</v>
      </c>
      <c r="B527" s="3" t="s">
        <v>22</v>
      </c>
      <c r="C527" s="3">
        <v>1266839</v>
      </c>
      <c r="D527" s="3">
        <v>298529</v>
      </c>
      <c r="E527" s="3" t="s">
        <v>23</v>
      </c>
    </row>
    <row r="528" spans="1:5">
      <c r="A528" s="3" t="s">
        <v>549</v>
      </c>
      <c r="B528" s="3" t="s">
        <v>22</v>
      </c>
      <c r="C528" s="3">
        <v>702078</v>
      </c>
      <c r="D528" s="3">
        <v>75271</v>
      </c>
      <c r="E528" s="3" t="s">
        <v>23</v>
      </c>
    </row>
    <row r="529" spans="1:5">
      <c r="A529" s="3" t="s">
        <v>550</v>
      </c>
      <c r="B529" s="3" t="s">
        <v>22</v>
      </c>
      <c r="C529" s="3">
        <v>639158</v>
      </c>
      <c r="D529" s="3">
        <v>101462</v>
      </c>
      <c r="E529" s="3" t="s">
        <v>23</v>
      </c>
    </row>
    <row r="530" spans="1:5">
      <c r="A530" s="3" t="s">
        <v>551</v>
      </c>
      <c r="B530" s="3" t="s">
        <v>22</v>
      </c>
      <c r="C530" s="3">
        <v>586138</v>
      </c>
      <c r="D530" s="3">
        <v>16960</v>
      </c>
      <c r="E530" s="3" t="s">
        <v>23</v>
      </c>
    </row>
    <row r="531" spans="1:5">
      <c r="A531" s="3" t="s">
        <v>552</v>
      </c>
      <c r="B531" s="3" t="s">
        <v>22</v>
      </c>
      <c r="C531" s="3">
        <v>599598</v>
      </c>
      <c r="D531" s="3">
        <v>33932</v>
      </c>
      <c r="E531" s="3" t="s">
        <v>23</v>
      </c>
    </row>
    <row r="532" spans="1:5">
      <c r="A532" s="3" t="s">
        <v>553</v>
      </c>
      <c r="B532" s="3" t="s">
        <v>22</v>
      </c>
      <c r="C532" s="3">
        <v>529472</v>
      </c>
      <c r="D532" s="3">
        <v>49997</v>
      </c>
      <c r="E532" s="3" t="s">
        <v>23</v>
      </c>
    </row>
    <row r="533" spans="1:5">
      <c r="A533" s="3" t="s">
        <v>554</v>
      </c>
      <c r="B533" s="3" t="s">
        <v>22</v>
      </c>
      <c r="C533" s="3">
        <v>553479</v>
      </c>
      <c r="D533" s="3">
        <v>51951</v>
      </c>
      <c r="E533" s="3" t="s">
        <v>23</v>
      </c>
    </row>
    <row r="534" spans="1:5">
      <c r="A534" s="3" t="s">
        <v>555</v>
      </c>
      <c r="B534" s="3" t="s">
        <v>22</v>
      </c>
      <c r="C534" s="3">
        <v>895419</v>
      </c>
      <c r="D534" s="3">
        <v>157333</v>
      </c>
      <c r="E534" s="3" t="s">
        <v>23</v>
      </c>
    </row>
    <row r="535" spans="1:5">
      <c r="A535" s="3" t="s">
        <v>556</v>
      </c>
      <c r="B535" s="3" t="s">
        <v>22</v>
      </c>
      <c r="C535" s="3">
        <v>577114</v>
      </c>
      <c r="D535" s="3">
        <v>32624</v>
      </c>
      <c r="E535" s="3" t="s">
        <v>23</v>
      </c>
    </row>
    <row r="536" spans="1:5">
      <c r="A536" s="3" t="s">
        <v>557</v>
      </c>
      <c r="B536" s="3" t="s">
        <v>22</v>
      </c>
      <c r="C536" s="3">
        <v>779284</v>
      </c>
      <c r="D536" s="3">
        <v>174344</v>
      </c>
      <c r="E536" s="3" t="s">
        <v>23</v>
      </c>
    </row>
    <row r="537" spans="1:5">
      <c r="A537" s="3" t="s">
        <v>558</v>
      </c>
      <c r="B537" s="3" t="s">
        <v>22</v>
      </c>
      <c r="C537" s="3">
        <v>737585</v>
      </c>
      <c r="D537" s="3">
        <v>105072</v>
      </c>
      <c r="E537" s="3" t="s">
        <v>23</v>
      </c>
    </row>
    <row r="538" spans="1:5">
      <c r="A538" s="3" t="s">
        <v>559</v>
      </c>
      <c r="B538" s="3" t="s">
        <v>22</v>
      </c>
      <c r="C538" s="3">
        <v>671463</v>
      </c>
      <c r="D538" s="3">
        <v>93137</v>
      </c>
      <c r="E538" s="3" t="s">
        <v>23</v>
      </c>
    </row>
    <row r="539" spans="1:5">
      <c r="A539" s="3" t="s">
        <v>560</v>
      </c>
      <c r="B539" s="3" t="s">
        <v>22</v>
      </c>
      <c r="C539" s="3">
        <v>738748</v>
      </c>
      <c r="D539" s="3">
        <v>132249</v>
      </c>
      <c r="E539" s="3" t="s">
        <v>23</v>
      </c>
    </row>
    <row r="540" spans="1:5">
      <c r="A540" s="3" t="s">
        <v>561</v>
      </c>
      <c r="B540" s="3" t="s">
        <v>22</v>
      </c>
      <c r="C540" s="3">
        <v>1169269</v>
      </c>
      <c r="D540" s="3">
        <v>261079</v>
      </c>
      <c r="E540" s="3" t="s">
        <v>23</v>
      </c>
    </row>
    <row r="541" spans="1:5">
      <c r="A541" s="3" t="s">
        <v>562</v>
      </c>
      <c r="B541" s="3" t="s">
        <v>22</v>
      </c>
      <c r="C541" s="3">
        <v>1049335</v>
      </c>
      <c r="D541" s="3">
        <v>170668</v>
      </c>
      <c r="E541" s="3" t="s">
        <v>23</v>
      </c>
    </row>
    <row r="542" spans="1:5">
      <c r="A542" s="3" t="s">
        <v>563</v>
      </c>
      <c r="B542" s="3" t="s">
        <v>22</v>
      </c>
      <c r="C542" s="3">
        <v>996136</v>
      </c>
      <c r="D542" s="3">
        <v>213323</v>
      </c>
      <c r="E542" s="3" t="s">
        <v>23</v>
      </c>
    </row>
    <row r="543" spans="1:5">
      <c r="A543" s="3" t="s">
        <v>564</v>
      </c>
      <c r="B543" s="3" t="s">
        <v>22</v>
      </c>
      <c r="C543" s="3">
        <v>630244</v>
      </c>
      <c r="D543" s="3">
        <v>55292</v>
      </c>
      <c r="E543" s="3" t="s">
        <v>23</v>
      </c>
    </row>
    <row r="544" spans="1:5">
      <c r="A544" s="3" t="s">
        <v>565</v>
      </c>
      <c r="B544" s="3" t="s">
        <v>22</v>
      </c>
      <c r="C544" s="3">
        <v>498997</v>
      </c>
      <c r="D544" s="3">
        <v>10399</v>
      </c>
      <c r="E544" s="3" t="s">
        <v>23</v>
      </c>
    </row>
    <row r="545" spans="1:5">
      <c r="A545" s="3" t="s">
        <v>566</v>
      </c>
      <c r="B545" s="3" t="s">
        <v>22</v>
      </c>
      <c r="C545" s="3">
        <v>690864</v>
      </c>
      <c r="D545" s="3">
        <v>62956</v>
      </c>
      <c r="E545" s="3" t="s">
        <v>23</v>
      </c>
    </row>
    <row r="546" spans="1:5">
      <c r="A546" s="3" t="s">
        <v>567</v>
      </c>
      <c r="B546" s="3" t="s">
        <v>22</v>
      </c>
      <c r="C546" s="3">
        <v>928416</v>
      </c>
      <c r="D546" s="3">
        <v>149016</v>
      </c>
      <c r="E546" s="3" t="s">
        <v>23</v>
      </c>
    </row>
    <row r="547" spans="1:5">
      <c r="A547" s="3" t="s">
        <v>568</v>
      </c>
      <c r="B547" s="3" t="s">
        <v>22</v>
      </c>
      <c r="C547" s="3">
        <v>748445</v>
      </c>
      <c r="D547" s="3">
        <v>77016</v>
      </c>
      <c r="E547" s="3" t="s">
        <v>23</v>
      </c>
    </row>
    <row r="548" spans="1:5">
      <c r="A548" s="3" t="s">
        <v>569</v>
      </c>
      <c r="B548" s="3" t="s">
        <v>22</v>
      </c>
      <c r="C548" s="3">
        <v>1084323</v>
      </c>
      <c r="D548" s="3">
        <v>186746</v>
      </c>
      <c r="E548" s="3" t="s">
        <v>23</v>
      </c>
    </row>
    <row r="549" spans="1:5">
      <c r="A549" s="3" t="s">
        <v>570</v>
      </c>
      <c r="B549" s="3" t="s">
        <v>22</v>
      </c>
      <c r="C549" s="3">
        <v>1001162</v>
      </c>
      <c r="D549" s="3">
        <v>187102</v>
      </c>
      <c r="E549" s="3" t="s">
        <v>23</v>
      </c>
    </row>
    <row r="550" spans="1:5">
      <c r="A550" s="3" t="s">
        <v>571</v>
      </c>
      <c r="B550" s="3" t="s">
        <v>22</v>
      </c>
      <c r="C550" s="3">
        <v>498965</v>
      </c>
      <c r="D550" s="3">
        <v>18799</v>
      </c>
      <c r="E550" s="3" t="s">
        <v>23</v>
      </c>
    </row>
    <row r="551" spans="1:5">
      <c r="A551" s="3" t="s">
        <v>572</v>
      </c>
      <c r="B551" s="3" t="s">
        <v>22</v>
      </c>
      <c r="C551" s="3">
        <v>763390</v>
      </c>
      <c r="D551" s="3">
        <v>83888</v>
      </c>
      <c r="E551" s="3" t="s">
        <v>23</v>
      </c>
    </row>
    <row r="552" spans="1:5">
      <c r="A552" s="3" t="s">
        <v>573</v>
      </c>
      <c r="B552" s="3" t="s">
        <v>22</v>
      </c>
      <c r="C552" s="3">
        <v>882985</v>
      </c>
      <c r="D552" s="3">
        <v>181075</v>
      </c>
      <c r="E552" s="3" t="s">
        <v>23</v>
      </c>
    </row>
    <row r="553" spans="1:5">
      <c r="A553" s="3" t="s">
        <v>574</v>
      </c>
      <c r="B553" s="3" t="s">
        <v>22</v>
      </c>
      <c r="C553" s="3">
        <v>561199</v>
      </c>
      <c r="D553" s="3">
        <v>19813</v>
      </c>
      <c r="E553" s="3" t="s">
        <v>23</v>
      </c>
    </row>
    <row r="554" spans="1:5">
      <c r="A554" s="3" t="s">
        <v>575</v>
      </c>
      <c r="B554" s="3" t="s">
        <v>22</v>
      </c>
      <c r="C554" s="3">
        <v>1224573</v>
      </c>
      <c r="D554" s="3">
        <v>288899</v>
      </c>
      <c r="E554" s="3" t="s">
        <v>23</v>
      </c>
    </row>
    <row r="555" spans="1:5">
      <c r="A555" s="3" t="s">
        <v>576</v>
      </c>
      <c r="B555" s="3" t="s">
        <v>22</v>
      </c>
      <c r="C555" s="3">
        <v>878297</v>
      </c>
      <c r="D555" s="3">
        <v>134591</v>
      </c>
      <c r="E555" s="3" t="s">
        <v>23</v>
      </c>
    </row>
    <row r="556" spans="1:5">
      <c r="A556" s="3" t="s">
        <v>577</v>
      </c>
      <c r="B556" s="3" t="s">
        <v>22</v>
      </c>
      <c r="C556" s="3">
        <v>492898</v>
      </c>
      <c r="D556" s="3">
        <v>31293</v>
      </c>
      <c r="E556" s="3" t="s">
        <v>23</v>
      </c>
    </row>
    <row r="557" spans="1:5">
      <c r="A557" s="3" t="s">
        <v>578</v>
      </c>
      <c r="B557" s="3" t="s">
        <v>22</v>
      </c>
      <c r="C557" s="3">
        <v>363764</v>
      </c>
      <c r="D557" s="3">
        <v>16755</v>
      </c>
      <c r="E557" s="3" t="s">
        <v>23</v>
      </c>
    </row>
    <row r="558" spans="1:5">
      <c r="A558" s="3" t="s">
        <v>579</v>
      </c>
      <c r="B558" s="3" t="s">
        <v>22</v>
      </c>
      <c r="C558" s="3">
        <v>1215755</v>
      </c>
      <c r="D558" s="3">
        <v>259274</v>
      </c>
      <c r="E558" s="3" t="s">
        <v>23</v>
      </c>
    </row>
    <row r="559" spans="1:5">
      <c r="A559" s="3" t="s">
        <v>580</v>
      </c>
      <c r="B559" s="3" t="s">
        <v>22</v>
      </c>
      <c r="C559" s="3">
        <v>490141</v>
      </c>
      <c r="D559" s="3">
        <v>11763</v>
      </c>
      <c r="E559" s="3" t="s">
        <v>23</v>
      </c>
    </row>
    <row r="560" spans="1:5">
      <c r="A560" s="3" t="s">
        <v>581</v>
      </c>
      <c r="B560" s="3" t="s">
        <v>22</v>
      </c>
      <c r="C560" s="3">
        <v>540655</v>
      </c>
      <c r="D560" s="3">
        <v>14585</v>
      </c>
      <c r="E560" s="3" t="s">
        <v>23</v>
      </c>
    </row>
    <row r="561" spans="1:5">
      <c r="A561" s="3" t="s">
        <v>582</v>
      </c>
      <c r="B561" s="3" t="s">
        <v>22</v>
      </c>
      <c r="C561" s="3">
        <v>1424833</v>
      </c>
      <c r="D561" s="3">
        <v>382211</v>
      </c>
      <c r="E561" s="3" t="s">
        <v>23</v>
      </c>
    </row>
    <row r="562" spans="1:5">
      <c r="A562" s="3" t="s">
        <v>583</v>
      </c>
      <c r="B562" s="3" t="s">
        <v>22</v>
      </c>
      <c r="C562" s="3">
        <v>1301887</v>
      </c>
      <c r="D562" s="3">
        <v>284658</v>
      </c>
      <c r="E562" s="3" t="s">
        <v>23</v>
      </c>
    </row>
    <row r="563" spans="1:5">
      <c r="A563" s="3" t="s">
        <v>584</v>
      </c>
      <c r="B563" s="3" t="s">
        <v>22</v>
      </c>
      <c r="C563" s="3">
        <v>738264</v>
      </c>
      <c r="D563" s="3">
        <v>16868</v>
      </c>
      <c r="E563" s="3" t="s">
        <v>23</v>
      </c>
    </row>
    <row r="564" spans="1:5">
      <c r="A564" s="3" t="s">
        <v>585</v>
      </c>
      <c r="B564" s="3" t="s">
        <v>22</v>
      </c>
      <c r="C564" s="3">
        <v>439897</v>
      </c>
      <c r="D564" s="3">
        <v>3195</v>
      </c>
      <c r="E564" s="3" t="s">
        <v>23</v>
      </c>
    </row>
    <row r="565" spans="1:5">
      <c r="A565" s="3" t="s">
        <v>586</v>
      </c>
      <c r="B565" s="3" t="s">
        <v>22</v>
      </c>
      <c r="C565" s="3">
        <v>1016769</v>
      </c>
      <c r="D565" s="3">
        <v>177323</v>
      </c>
      <c r="E565" s="3" t="s">
        <v>23</v>
      </c>
    </row>
    <row r="566" spans="1:5">
      <c r="A566" s="3" t="s">
        <v>587</v>
      </c>
      <c r="B566" s="3" t="s">
        <v>22</v>
      </c>
      <c r="C566" s="3">
        <v>1552578</v>
      </c>
      <c r="D566" s="3">
        <v>385446</v>
      </c>
      <c r="E566" s="3" t="s">
        <v>23</v>
      </c>
    </row>
    <row r="567" spans="1:5">
      <c r="A567" s="3" t="s">
        <v>588</v>
      </c>
      <c r="B567" s="3" t="s">
        <v>22</v>
      </c>
      <c r="C567" s="3">
        <v>437491</v>
      </c>
      <c r="D567" s="3">
        <v>15193</v>
      </c>
      <c r="E567" s="3" t="s">
        <v>23</v>
      </c>
    </row>
    <row r="568" spans="1:5">
      <c r="A568" s="3" t="s">
        <v>589</v>
      </c>
      <c r="B568" s="3" t="s">
        <v>22</v>
      </c>
      <c r="C568" s="3">
        <v>428609</v>
      </c>
      <c r="D568" s="3">
        <v>7448</v>
      </c>
      <c r="E568" s="3" t="s">
        <v>23</v>
      </c>
    </row>
    <row r="569" spans="1:5">
      <c r="A569" s="3" t="s">
        <v>590</v>
      </c>
      <c r="B569" s="3" t="s">
        <v>22</v>
      </c>
      <c r="C569" s="3">
        <v>667282</v>
      </c>
      <c r="D569" s="3">
        <v>140939</v>
      </c>
      <c r="E569" s="3" t="s">
        <v>23</v>
      </c>
    </row>
    <row r="570" spans="1:5">
      <c r="A570" s="3" t="s">
        <v>591</v>
      </c>
      <c r="B570" s="3" t="s">
        <v>22</v>
      </c>
      <c r="C570" s="3">
        <v>1432298</v>
      </c>
      <c r="D570" s="3">
        <v>384787</v>
      </c>
      <c r="E570" s="3" t="s">
        <v>23</v>
      </c>
    </row>
    <row r="571" spans="1:5">
      <c r="A571" s="3" t="s">
        <v>592</v>
      </c>
      <c r="B571" s="3" t="s">
        <v>22</v>
      </c>
      <c r="C571" s="3">
        <v>959710</v>
      </c>
      <c r="D571" s="3">
        <v>210121</v>
      </c>
      <c r="E571" s="3" t="s">
        <v>23</v>
      </c>
    </row>
    <row r="572" spans="1:5">
      <c r="A572" s="3" t="s">
        <v>593</v>
      </c>
      <c r="B572" s="3" t="s">
        <v>22</v>
      </c>
      <c r="C572" s="3">
        <v>898401</v>
      </c>
      <c r="D572" s="3">
        <v>137428</v>
      </c>
      <c r="E572" s="3" t="s">
        <v>23</v>
      </c>
    </row>
    <row r="573" spans="1:5">
      <c r="A573" s="3" t="s">
        <v>594</v>
      </c>
      <c r="B573" s="3" t="s">
        <v>22</v>
      </c>
      <c r="C573" s="3">
        <v>993937</v>
      </c>
      <c r="D573" s="3">
        <v>191183</v>
      </c>
      <c r="E573" s="3" t="s">
        <v>23</v>
      </c>
    </row>
    <row r="574" spans="1:5">
      <c r="A574" s="3" t="s">
        <v>595</v>
      </c>
      <c r="B574" s="3" t="s">
        <v>22</v>
      </c>
      <c r="C574" s="3">
        <v>348816</v>
      </c>
      <c r="D574" s="3">
        <v>656</v>
      </c>
      <c r="E574" s="3" t="s">
        <v>23</v>
      </c>
    </row>
    <row r="575" spans="1:5">
      <c r="A575" s="3" t="s">
        <v>596</v>
      </c>
      <c r="B575" s="3" t="s">
        <v>22</v>
      </c>
      <c r="C575" s="3">
        <v>702602</v>
      </c>
      <c r="D575" s="3">
        <v>32215</v>
      </c>
      <c r="E575" s="3" t="s">
        <v>23</v>
      </c>
    </row>
    <row r="576" spans="1:5">
      <c r="A576" s="3" t="s">
        <v>597</v>
      </c>
      <c r="B576" s="3" t="s">
        <v>22</v>
      </c>
      <c r="C576" s="3">
        <v>1215810</v>
      </c>
      <c r="D576" s="3">
        <v>276862</v>
      </c>
      <c r="E576" s="3" t="s">
        <v>23</v>
      </c>
    </row>
    <row r="577" spans="1:5">
      <c r="A577" s="3" t="s">
        <v>598</v>
      </c>
      <c r="B577" s="3" t="s">
        <v>22</v>
      </c>
      <c r="C577" s="3">
        <v>16749</v>
      </c>
      <c r="D577" s="3">
        <v>4841</v>
      </c>
      <c r="E577" s="3" t="s">
        <v>23</v>
      </c>
    </row>
    <row r="578" spans="1:5">
      <c r="A578" s="3" t="s">
        <v>599</v>
      </c>
      <c r="B578" s="3" t="s">
        <v>22</v>
      </c>
      <c r="C578" s="3">
        <v>1593556</v>
      </c>
      <c r="D578" s="3">
        <v>445656</v>
      </c>
      <c r="E578" s="3" t="s">
        <v>23</v>
      </c>
    </row>
    <row r="579" spans="1:5">
      <c r="A579" s="3" t="s">
        <v>600</v>
      </c>
      <c r="B579" s="3" t="s">
        <v>22</v>
      </c>
      <c r="C579" s="3">
        <v>349009</v>
      </c>
      <c r="D579" s="3">
        <v>3891</v>
      </c>
      <c r="E579" s="3" t="s">
        <v>23</v>
      </c>
    </row>
    <row r="580" spans="1:5">
      <c r="A580" s="3" t="s">
        <v>601</v>
      </c>
      <c r="B580" s="3" t="s">
        <v>22</v>
      </c>
      <c r="C580" s="3">
        <v>1667967</v>
      </c>
      <c r="D580" s="3">
        <v>322232</v>
      </c>
      <c r="E580" s="3" t="s">
        <v>23</v>
      </c>
    </row>
    <row r="581" spans="1:5">
      <c r="A581" s="3" t="s">
        <v>602</v>
      </c>
      <c r="B581" s="3" t="s">
        <v>22</v>
      </c>
      <c r="C581" s="3">
        <v>943996</v>
      </c>
      <c r="D581" s="3">
        <v>171975</v>
      </c>
      <c r="E581" s="3" t="s">
        <v>23</v>
      </c>
    </row>
    <row r="582" spans="1:5">
      <c r="A582" s="3" t="s">
        <v>603</v>
      </c>
      <c r="B582" s="3" t="s">
        <v>22</v>
      </c>
      <c r="C582" s="3">
        <v>1095935</v>
      </c>
      <c r="D582" s="3">
        <v>201617</v>
      </c>
      <c r="E582" s="3" t="s">
        <v>23</v>
      </c>
    </row>
    <row r="583" spans="1:5">
      <c r="A583" s="3" t="s">
        <v>604</v>
      </c>
      <c r="B583" s="3" t="s">
        <v>22</v>
      </c>
      <c r="C583" s="3">
        <v>2790057</v>
      </c>
      <c r="D583" s="3">
        <v>55171</v>
      </c>
      <c r="E583" s="3" t="s">
        <v>23</v>
      </c>
    </row>
    <row r="584" spans="1:5">
      <c r="A584" s="3" t="s">
        <v>605</v>
      </c>
      <c r="B584" s="3" t="s">
        <v>22</v>
      </c>
      <c r="C584" s="3">
        <v>1213311</v>
      </c>
      <c r="D584" s="3">
        <v>232567</v>
      </c>
      <c r="E584" s="3" t="s">
        <v>23</v>
      </c>
    </row>
    <row r="585" spans="1:5">
      <c r="A585" s="3" t="s">
        <v>606</v>
      </c>
      <c r="B585" s="3" t="s">
        <v>22</v>
      </c>
      <c r="C585" s="3">
        <v>749437</v>
      </c>
      <c r="D585" s="3">
        <v>31306</v>
      </c>
      <c r="E585" s="3" t="s">
        <v>23</v>
      </c>
    </row>
    <row r="586" spans="1:5">
      <c r="A586" s="3" t="s">
        <v>607</v>
      </c>
      <c r="B586" s="3" t="s">
        <v>22</v>
      </c>
      <c r="C586" s="3">
        <v>196920</v>
      </c>
      <c r="D586" s="3">
        <v>40677</v>
      </c>
      <c r="E586" s="3" t="s">
        <v>23</v>
      </c>
    </row>
    <row r="587" spans="1:5">
      <c r="A587" s="3" t="s">
        <v>608</v>
      </c>
      <c r="B587" s="3" t="s">
        <v>22</v>
      </c>
      <c r="C587" s="3">
        <v>993671</v>
      </c>
      <c r="D587" s="3">
        <v>165284</v>
      </c>
      <c r="E587" s="3" t="s">
        <v>23</v>
      </c>
    </row>
    <row r="588" spans="1:5">
      <c r="A588" s="3" t="s">
        <v>609</v>
      </c>
      <c r="B588" s="3" t="s">
        <v>22</v>
      </c>
      <c r="C588" s="3">
        <v>986695</v>
      </c>
      <c r="D588" s="3">
        <v>149731</v>
      </c>
      <c r="E588" s="3" t="s">
        <v>23</v>
      </c>
    </row>
    <row r="589" spans="1:5">
      <c r="A589" s="3" t="s">
        <v>610</v>
      </c>
      <c r="B589" s="3" t="s">
        <v>22</v>
      </c>
      <c r="C589" s="3">
        <v>1285712</v>
      </c>
      <c r="D589" s="3">
        <v>276032</v>
      </c>
      <c r="E589" s="3" t="s">
        <v>23</v>
      </c>
    </row>
    <row r="590" spans="1:5">
      <c r="A590" s="3" t="s">
        <v>611</v>
      </c>
      <c r="B590" s="3" t="s">
        <v>22</v>
      </c>
      <c r="C590" s="3">
        <v>503951</v>
      </c>
      <c r="D590" s="3">
        <v>8211</v>
      </c>
      <c r="E590" s="3" t="s">
        <v>23</v>
      </c>
    </row>
    <row r="591" spans="1:5">
      <c r="A591" s="3" t="s">
        <v>612</v>
      </c>
      <c r="B591" s="3" t="s">
        <v>22</v>
      </c>
      <c r="C591" s="3">
        <v>790997</v>
      </c>
      <c r="D591" s="3">
        <v>87940</v>
      </c>
      <c r="E591" s="3" t="s">
        <v>23</v>
      </c>
    </row>
    <row r="592" spans="1:5">
      <c r="A592" s="3" t="s">
        <v>613</v>
      </c>
      <c r="B592" s="3" t="s">
        <v>22</v>
      </c>
      <c r="C592" s="3">
        <v>737078</v>
      </c>
      <c r="D592" s="3">
        <v>26799</v>
      </c>
      <c r="E592" s="3" t="s">
        <v>23</v>
      </c>
    </row>
    <row r="593" spans="1:5">
      <c r="A593" s="3" t="s">
        <v>614</v>
      </c>
      <c r="B593" s="3" t="s">
        <v>22</v>
      </c>
      <c r="C593" s="3">
        <v>22477</v>
      </c>
      <c r="D593" s="3">
        <v>3190</v>
      </c>
      <c r="E593" s="3" t="s">
        <v>23</v>
      </c>
    </row>
    <row r="594" spans="1:5">
      <c r="A594" s="3" t="s">
        <v>615</v>
      </c>
      <c r="B594" s="3" t="s">
        <v>22</v>
      </c>
      <c r="C594" s="3">
        <v>922627</v>
      </c>
      <c r="D594" s="3">
        <v>57887</v>
      </c>
      <c r="E594" s="3" t="s">
        <v>23</v>
      </c>
    </row>
    <row r="595" spans="1:5">
      <c r="A595" s="3" t="s">
        <v>616</v>
      </c>
      <c r="B595" s="3" t="s">
        <v>22</v>
      </c>
      <c r="C595" s="3">
        <v>1291199</v>
      </c>
      <c r="D595" s="3">
        <v>225764</v>
      </c>
      <c r="E595" s="3" t="s">
        <v>23</v>
      </c>
    </row>
    <row r="596" spans="1:5">
      <c r="A596" s="3" t="s">
        <v>617</v>
      </c>
      <c r="B596" s="3" t="s">
        <v>22</v>
      </c>
      <c r="C596" s="3">
        <v>1267075</v>
      </c>
      <c r="D596" s="3">
        <v>182430</v>
      </c>
      <c r="E596" s="3" t="s">
        <v>23</v>
      </c>
    </row>
    <row r="597" spans="1:5">
      <c r="A597" s="3" t="s">
        <v>618</v>
      </c>
      <c r="B597" s="3" t="s">
        <v>22</v>
      </c>
      <c r="C597" s="3">
        <v>773330</v>
      </c>
      <c r="D597" s="3">
        <v>29773</v>
      </c>
      <c r="E597" s="3" t="s">
        <v>23</v>
      </c>
    </row>
    <row r="598" spans="1:5">
      <c r="A598" s="3" t="s">
        <v>619</v>
      </c>
      <c r="B598" s="3" t="s">
        <v>22</v>
      </c>
      <c r="C598" s="3">
        <v>904174</v>
      </c>
      <c r="D598" s="3">
        <v>105323</v>
      </c>
      <c r="E598" s="3" t="s">
        <v>23</v>
      </c>
    </row>
    <row r="599" spans="1:5">
      <c r="A599" s="3" t="s">
        <v>620</v>
      </c>
      <c r="B599" s="3" t="s">
        <v>22</v>
      </c>
      <c r="C599" s="3">
        <v>803803</v>
      </c>
      <c r="D599" s="3">
        <v>9506</v>
      </c>
      <c r="E599" s="3" t="s">
        <v>23</v>
      </c>
    </row>
    <row r="600" spans="1:5">
      <c r="A600" s="3" t="s">
        <v>621</v>
      </c>
      <c r="B600" s="3" t="s">
        <v>22</v>
      </c>
      <c r="C600" s="3">
        <v>110299</v>
      </c>
      <c r="D600" s="3">
        <v>11775</v>
      </c>
      <c r="E600" s="3" t="s">
        <v>23</v>
      </c>
    </row>
    <row r="601" spans="1:5">
      <c r="A601" s="3" t="s">
        <v>622</v>
      </c>
      <c r="B601" s="3" t="s">
        <v>22</v>
      </c>
      <c r="C601" s="3">
        <v>999206</v>
      </c>
      <c r="D601" s="3">
        <v>153203</v>
      </c>
      <c r="E601" s="3" t="s">
        <v>23</v>
      </c>
    </row>
    <row r="602" spans="1:5">
      <c r="A602" s="3" t="s">
        <v>623</v>
      </c>
      <c r="B602" s="3" t="s">
        <v>22</v>
      </c>
      <c r="C602" s="3">
        <v>1330994</v>
      </c>
      <c r="D602" s="3">
        <v>190411</v>
      </c>
      <c r="E602" s="3" t="s">
        <v>23</v>
      </c>
    </row>
    <row r="603" spans="1:5">
      <c r="A603" s="3" t="s">
        <v>624</v>
      </c>
      <c r="B603" s="3" t="s">
        <v>22</v>
      </c>
      <c r="C603" s="3">
        <v>764698</v>
      </c>
      <c r="D603" s="3">
        <v>32307</v>
      </c>
      <c r="E603" s="3" t="s">
        <v>23</v>
      </c>
    </row>
    <row r="604" spans="1:5">
      <c r="A604" s="3" t="s">
        <v>625</v>
      </c>
      <c r="B604" s="3" t="s">
        <v>22</v>
      </c>
      <c r="C604" s="3">
        <v>1702045</v>
      </c>
      <c r="D604" s="3">
        <v>440065</v>
      </c>
      <c r="E604" s="3" t="s">
        <v>23</v>
      </c>
    </row>
    <row r="605" spans="1:5">
      <c r="A605" s="3" t="s">
        <v>626</v>
      </c>
      <c r="B605" s="3" t="s">
        <v>22</v>
      </c>
      <c r="C605" s="3">
        <v>804743</v>
      </c>
      <c r="D605" s="3">
        <v>82675</v>
      </c>
      <c r="E605" s="3" t="s">
        <v>23</v>
      </c>
    </row>
    <row r="606" spans="1:5">
      <c r="A606" s="3" t="s">
        <v>627</v>
      </c>
      <c r="B606" s="3" t="s">
        <v>22</v>
      </c>
      <c r="C606" s="3">
        <v>1015472</v>
      </c>
      <c r="D606" s="3">
        <v>106525</v>
      </c>
      <c r="E606" s="3" t="s">
        <v>23</v>
      </c>
    </row>
    <row r="607" spans="1:5">
      <c r="A607" s="3" t="s">
        <v>628</v>
      </c>
      <c r="B607" s="3" t="s">
        <v>22</v>
      </c>
      <c r="C607" s="3">
        <v>846548</v>
      </c>
      <c r="D607" s="3">
        <v>97888</v>
      </c>
      <c r="E607" s="3" t="s">
        <v>23</v>
      </c>
    </row>
    <row r="608" spans="1:5">
      <c r="A608" s="3" t="s">
        <v>629</v>
      </c>
      <c r="B608" s="3" t="s">
        <v>22</v>
      </c>
      <c r="C608" s="3">
        <v>1521146</v>
      </c>
      <c r="D608" s="3">
        <v>277005</v>
      </c>
      <c r="E608" s="3" t="s">
        <v>23</v>
      </c>
    </row>
    <row r="609" spans="1:5">
      <c r="A609" s="3" t="s">
        <v>630</v>
      </c>
      <c r="B609" s="3" t="s">
        <v>22</v>
      </c>
      <c r="C609" s="3">
        <v>1689615</v>
      </c>
      <c r="D609" s="3">
        <v>370239</v>
      </c>
      <c r="E609" s="3" t="s">
        <v>23</v>
      </c>
    </row>
    <row r="610" spans="1:5">
      <c r="A610" s="3" t="s">
        <v>631</v>
      </c>
      <c r="B610" s="3" t="s">
        <v>22</v>
      </c>
      <c r="C610" s="3">
        <v>1280574</v>
      </c>
      <c r="D610" s="3">
        <v>220506</v>
      </c>
      <c r="E610" s="3" t="s">
        <v>23</v>
      </c>
    </row>
    <row r="611" spans="1:5">
      <c r="A611" s="3" t="s">
        <v>632</v>
      </c>
      <c r="B611" s="3" t="s">
        <v>22</v>
      </c>
      <c r="C611" s="3">
        <v>1433024</v>
      </c>
      <c r="D611" s="3">
        <v>257660</v>
      </c>
      <c r="E611" s="3" t="s">
        <v>23</v>
      </c>
    </row>
    <row r="612" spans="1:5">
      <c r="A612" s="3" t="s">
        <v>633</v>
      </c>
      <c r="B612" s="3" t="s">
        <v>22</v>
      </c>
      <c r="C612" s="3">
        <v>1019984</v>
      </c>
      <c r="D612" s="3">
        <v>127956</v>
      </c>
      <c r="E612" s="3" t="s">
        <v>23</v>
      </c>
    </row>
    <row r="613" spans="1:5">
      <c r="A613" s="3" t="s">
        <v>634</v>
      </c>
      <c r="B613" s="3" t="s">
        <v>22</v>
      </c>
      <c r="C613" s="3">
        <v>1396682</v>
      </c>
      <c r="D613" s="3">
        <v>234074</v>
      </c>
      <c r="E613" s="3" t="s">
        <v>23</v>
      </c>
    </row>
    <row r="614" spans="1:5">
      <c r="A614" s="3" t="s">
        <v>635</v>
      </c>
      <c r="B614" s="3" t="s">
        <v>22</v>
      </c>
      <c r="C614" s="3">
        <v>1176942</v>
      </c>
      <c r="D614" s="3">
        <v>163138</v>
      </c>
      <c r="E614" s="3" t="s">
        <v>23</v>
      </c>
    </row>
    <row r="615" spans="1:5">
      <c r="A615" s="3" t="s">
        <v>636</v>
      </c>
      <c r="B615" s="3" t="s">
        <v>22</v>
      </c>
      <c r="C615" s="3">
        <v>924417</v>
      </c>
      <c r="D615" s="3">
        <v>131475</v>
      </c>
      <c r="E615" s="3" t="s">
        <v>23</v>
      </c>
    </row>
    <row r="616" spans="1:5">
      <c r="A616" s="3" t="s">
        <v>637</v>
      </c>
      <c r="B616" s="3" t="s">
        <v>22</v>
      </c>
      <c r="C616" s="3">
        <v>1399557</v>
      </c>
      <c r="D616" s="3">
        <v>269586</v>
      </c>
      <c r="E616" s="3" t="s">
        <v>23</v>
      </c>
    </row>
    <row r="617" spans="1:5">
      <c r="A617" s="3" t="s">
        <v>638</v>
      </c>
      <c r="B617" s="3" t="s">
        <v>22</v>
      </c>
      <c r="C617" s="3">
        <v>1764312</v>
      </c>
      <c r="D617" s="3">
        <v>387341</v>
      </c>
      <c r="E617" s="3" t="s">
        <v>23</v>
      </c>
    </row>
    <row r="618" spans="1:5">
      <c r="A618" s="3" t="s">
        <v>639</v>
      </c>
      <c r="B618" s="3" t="s">
        <v>22</v>
      </c>
      <c r="C618" s="3">
        <v>497246</v>
      </c>
      <c r="D618" s="3">
        <v>23131</v>
      </c>
      <c r="E618" s="3" t="s">
        <v>23</v>
      </c>
    </row>
    <row r="619" spans="1:5">
      <c r="A619" s="3" t="s">
        <v>640</v>
      </c>
      <c r="B619" s="3" t="s">
        <v>22</v>
      </c>
      <c r="C619" s="3">
        <v>409686</v>
      </c>
      <c r="D619" s="3">
        <v>964</v>
      </c>
      <c r="E619" s="3" t="s">
        <v>23</v>
      </c>
    </row>
    <row r="620" spans="1:5">
      <c r="A620" s="3" t="s">
        <v>641</v>
      </c>
      <c r="B620" s="3" t="s">
        <v>22</v>
      </c>
      <c r="C620" s="3">
        <v>1181531</v>
      </c>
      <c r="D620" s="3">
        <v>244726</v>
      </c>
      <c r="E620" s="3" t="s">
        <v>23</v>
      </c>
    </row>
    <row r="621" spans="1:5">
      <c r="A621" s="3" t="s">
        <v>642</v>
      </c>
      <c r="B621" s="3" t="s">
        <v>22</v>
      </c>
      <c r="C621" s="3">
        <v>763333</v>
      </c>
      <c r="D621" s="3">
        <v>55242</v>
      </c>
      <c r="E621" s="3" t="s">
        <v>23</v>
      </c>
    </row>
    <row r="622" spans="1:5">
      <c r="A622" s="3" t="s">
        <v>643</v>
      </c>
      <c r="B622" s="3" t="s">
        <v>22</v>
      </c>
      <c r="C622" s="3">
        <v>19692</v>
      </c>
      <c r="D622" s="3">
        <v>3944</v>
      </c>
      <c r="E622" s="3" t="s">
        <v>23</v>
      </c>
    </row>
    <row r="623" spans="1:5">
      <c r="A623" s="3" t="s">
        <v>644</v>
      </c>
      <c r="B623" s="3" t="s">
        <v>22</v>
      </c>
      <c r="C623" s="3">
        <v>1060661</v>
      </c>
      <c r="D623" s="3">
        <v>154454</v>
      </c>
      <c r="E623" s="3" t="s">
        <v>23</v>
      </c>
    </row>
    <row r="624" spans="1:5">
      <c r="A624" s="3" t="s">
        <v>645</v>
      </c>
      <c r="B624" s="3" t="s">
        <v>22</v>
      </c>
      <c r="C624" s="3">
        <v>854769</v>
      </c>
      <c r="D624" s="3">
        <v>39518</v>
      </c>
      <c r="E624" s="3" t="s">
        <v>23</v>
      </c>
    </row>
    <row r="625" spans="1:5">
      <c r="A625" s="3" t="s">
        <v>646</v>
      </c>
      <c r="B625" s="3" t="s">
        <v>22</v>
      </c>
      <c r="C625" s="3">
        <v>725602</v>
      </c>
      <c r="D625" s="3">
        <v>14798</v>
      </c>
      <c r="E625" s="3" t="s">
        <v>23</v>
      </c>
    </row>
    <row r="626" spans="1:5">
      <c r="A626" s="3" t="s">
        <v>647</v>
      </c>
      <c r="B626" s="3" t="s">
        <v>22</v>
      </c>
      <c r="C626" s="3">
        <v>464474</v>
      </c>
      <c r="D626" s="3">
        <v>2730</v>
      </c>
      <c r="E626" s="3" t="s">
        <v>23</v>
      </c>
    </row>
    <row r="627" spans="1:5">
      <c r="A627" s="3" t="s">
        <v>648</v>
      </c>
      <c r="B627" s="3" t="s">
        <v>22</v>
      </c>
      <c r="C627" s="3">
        <v>1040132</v>
      </c>
      <c r="D627" s="3">
        <v>120527</v>
      </c>
      <c r="E627" s="3" t="s">
        <v>23</v>
      </c>
    </row>
    <row r="628" spans="1:5">
      <c r="A628" s="3" t="s">
        <v>649</v>
      </c>
      <c r="B628" s="3" t="s">
        <v>22</v>
      </c>
      <c r="C628" s="3">
        <v>1035504</v>
      </c>
      <c r="D628" s="3">
        <v>121781</v>
      </c>
      <c r="E628" s="3" t="s">
        <v>23</v>
      </c>
    </row>
    <row r="629" spans="1:5">
      <c r="A629" s="3" t="s">
        <v>650</v>
      </c>
      <c r="B629" s="3" t="s">
        <v>22</v>
      </c>
      <c r="C629" s="3">
        <v>1683651</v>
      </c>
      <c r="D629" s="3">
        <v>323125</v>
      </c>
      <c r="E629" s="3" t="s">
        <v>23</v>
      </c>
    </row>
    <row r="630" spans="1:5">
      <c r="A630" s="3" t="s">
        <v>651</v>
      </c>
      <c r="B630" s="3" t="s">
        <v>22</v>
      </c>
      <c r="C630" s="3">
        <v>759542</v>
      </c>
      <c r="D630" s="3">
        <v>44879</v>
      </c>
      <c r="E630" s="3" t="s">
        <v>23</v>
      </c>
    </row>
    <row r="631" spans="1:5">
      <c r="A631" s="3" t="s">
        <v>652</v>
      </c>
      <c r="B631" s="3" t="s">
        <v>22</v>
      </c>
      <c r="C631" s="3">
        <v>763766</v>
      </c>
      <c r="D631" s="3">
        <v>92618</v>
      </c>
      <c r="E631" s="3" t="s">
        <v>23</v>
      </c>
    </row>
    <row r="632" spans="1:5">
      <c r="A632" s="3" t="s">
        <v>653</v>
      </c>
      <c r="B632" s="3" t="s">
        <v>22</v>
      </c>
      <c r="C632" s="3">
        <v>1046550</v>
      </c>
      <c r="D632" s="3">
        <v>97170</v>
      </c>
      <c r="E632" s="3" t="s">
        <v>23</v>
      </c>
    </row>
    <row r="633" spans="1:5">
      <c r="A633" s="3" t="s">
        <v>654</v>
      </c>
      <c r="B633" s="3" t="s">
        <v>22</v>
      </c>
      <c r="C633" s="3">
        <v>23866</v>
      </c>
      <c r="D633" s="3">
        <v>5939</v>
      </c>
      <c r="E633" s="3" t="s">
        <v>23</v>
      </c>
    </row>
    <row r="634" spans="1:5">
      <c r="A634" s="3" t="s">
        <v>655</v>
      </c>
      <c r="B634" s="3" t="s">
        <v>22</v>
      </c>
      <c r="C634" s="3">
        <v>1004744</v>
      </c>
      <c r="D634" s="3">
        <v>155737</v>
      </c>
      <c r="E634" s="3" t="s">
        <v>23</v>
      </c>
    </row>
    <row r="635" spans="1:5">
      <c r="A635" s="3" t="s">
        <v>656</v>
      </c>
      <c r="B635" s="3" t="s">
        <v>22</v>
      </c>
      <c r="C635" s="3">
        <v>1309926</v>
      </c>
      <c r="D635" s="3">
        <v>276164</v>
      </c>
      <c r="E635" s="3" t="s">
        <v>23</v>
      </c>
    </row>
    <row r="636" spans="1:5">
      <c r="A636" s="3" t="s">
        <v>657</v>
      </c>
      <c r="B636" s="3" t="s">
        <v>22</v>
      </c>
      <c r="C636" s="3">
        <v>1207382</v>
      </c>
      <c r="D636" s="3">
        <v>158601</v>
      </c>
      <c r="E636" s="3" t="s">
        <v>23</v>
      </c>
    </row>
    <row r="637" spans="1:5">
      <c r="A637" s="3" t="s">
        <v>658</v>
      </c>
      <c r="B637" s="3" t="s">
        <v>22</v>
      </c>
      <c r="C637" s="3">
        <v>623454</v>
      </c>
      <c r="D637" s="3">
        <v>13475</v>
      </c>
      <c r="E637" s="3" t="s">
        <v>23</v>
      </c>
    </row>
    <row r="638" spans="1:5">
      <c r="A638" s="3" t="s">
        <v>659</v>
      </c>
      <c r="B638" s="3" t="s">
        <v>22</v>
      </c>
      <c r="C638" s="3">
        <v>946713</v>
      </c>
      <c r="D638" s="3">
        <v>70739</v>
      </c>
      <c r="E638" s="3" t="s">
        <v>23</v>
      </c>
    </row>
    <row r="639" spans="1:5">
      <c r="A639" s="3" t="s">
        <v>660</v>
      </c>
      <c r="B639" s="3" t="s">
        <v>22</v>
      </c>
      <c r="C639" s="3">
        <v>806443</v>
      </c>
      <c r="D639" s="3">
        <v>69455</v>
      </c>
      <c r="E639" s="3" t="s">
        <v>23</v>
      </c>
    </row>
    <row r="640" spans="1:5">
      <c r="A640" s="3" t="s">
        <v>661</v>
      </c>
      <c r="B640" s="3" t="s">
        <v>22</v>
      </c>
      <c r="C640" s="3">
        <v>1323140</v>
      </c>
      <c r="D640" s="3">
        <v>185120</v>
      </c>
      <c r="E640" s="3" t="s">
        <v>23</v>
      </c>
    </row>
    <row r="641" spans="1:5">
      <c r="A641" s="3" t="s">
        <v>662</v>
      </c>
      <c r="B641" s="3" t="s">
        <v>22</v>
      </c>
      <c r="C641" s="3">
        <v>1438516</v>
      </c>
      <c r="D641" s="3">
        <v>264653</v>
      </c>
      <c r="E641" s="3" t="s">
        <v>23</v>
      </c>
    </row>
    <row r="642" spans="1:5">
      <c r="A642" s="3" t="s">
        <v>663</v>
      </c>
      <c r="B642" s="3" t="s">
        <v>22</v>
      </c>
      <c r="C642" s="3">
        <v>1192855</v>
      </c>
      <c r="D642" s="3">
        <v>141720</v>
      </c>
      <c r="E642" s="3" t="s">
        <v>23</v>
      </c>
    </row>
    <row r="643" spans="1:5">
      <c r="A643" s="3" t="s">
        <v>664</v>
      </c>
      <c r="B643" s="3" t="s">
        <v>22</v>
      </c>
      <c r="C643" s="3">
        <v>505514</v>
      </c>
      <c r="D643" s="3">
        <v>13507</v>
      </c>
      <c r="E643" s="3" t="s">
        <v>23</v>
      </c>
    </row>
    <row r="644" spans="1:5">
      <c r="A644" s="3" t="s">
        <v>665</v>
      </c>
      <c r="B644" s="3" t="s">
        <v>22</v>
      </c>
      <c r="C644" s="3">
        <v>964486</v>
      </c>
      <c r="D644" s="3">
        <v>79296</v>
      </c>
      <c r="E644" s="3" t="s">
        <v>23</v>
      </c>
    </row>
    <row r="645" spans="1:5">
      <c r="A645" s="3" t="s">
        <v>666</v>
      </c>
      <c r="B645" s="3" t="s">
        <v>22</v>
      </c>
      <c r="C645" s="3">
        <v>1135415</v>
      </c>
      <c r="D645" s="3">
        <v>179616</v>
      </c>
      <c r="E645" s="3" t="s">
        <v>23</v>
      </c>
    </row>
    <row r="646" spans="1:5">
      <c r="A646" s="3" t="s">
        <v>667</v>
      </c>
      <c r="B646" s="3" t="s">
        <v>22</v>
      </c>
      <c r="C646" s="3">
        <v>707163</v>
      </c>
      <c r="D646" s="3">
        <v>8936</v>
      </c>
      <c r="E646" s="3" t="s">
        <v>23</v>
      </c>
    </row>
    <row r="647" spans="1:5">
      <c r="A647" s="3" t="s">
        <v>668</v>
      </c>
      <c r="B647" s="3" t="s">
        <v>22</v>
      </c>
      <c r="C647" s="3">
        <v>1658099</v>
      </c>
      <c r="D647" s="3">
        <v>337489</v>
      </c>
      <c r="E647" s="3" t="s">
        <v>23</v>
      </c>
    </row>
    <row r="648" spans="1:5">
      <c r="A648" s="3" t="s">
        <v>669</v>
      </c>
      <c r="B648" s="3" t="s">
        <v>22</v>
      </c>
      <c r="C648" s="3">
        <v>1093194</v>
      </c>
      <c r="D648" s="3">
        <v>114799</v>
      </c>
      <c r="E648" s="3" t="s">
        <v>23</v>
      </c>
    </row>
    <row r="649" spans="1:5">
      <c r="A649" s="3" t="s">
        <v>670</v>
      </c>
      <c r="B649" s="3" t="s">
        <v>22</v>
      </c>
      <c r="C649" s="3">
        <v>691445</v>
      </c>
      <c r="D649" s="3">
        <v>22378</v>
      </c>
      <c r="E649" s="3" t="s">
        <v>23</v>
      </c>
    </row>
    <row r="650" spans="1:5">
      <c r="A650" s="3" t="s">
        <v>671</v>
      </c>
      <c r="B650" s="3" t="s">
        <v>22</v>
      </c>
      <c r="C650" s="3">
        <v>904785</v>
      </c>
      <c r="D650" s="3">
        <v>34551</v>
      </c>
      <c r="E650" s="3" t="s">
        <v>23</v>
      </c>
    </row>
    <row r="651" spans="1:5">
      <c r="A651" s="3" t="s">
        <v>672</v>
      </c>
      <c r="B651" s="3" t="s">
        <v>22</v>
      </c>
      <c r="C651" s="3">
        <v>1585613</v>
      </c>
      <c r="D651" s="3">
        <v>304962</v>
      </c>
      <c r="E651" s="3" t="s">
        <v>23</v>
      </c>
    </row>
    <row r="652" spans="1:5">
      <c r="A652" s="3" t="s">
        <v>673</v>
      </c>
      <c r="B652" s="3" t="s">
        <v>22</v>
      </c>
      <c r="C652" s="3">
        <v>801484</v>
      </c>
      <c r="D652" s="3">
        <v>18119</v>
      </c>
      <c r="E652" s="3" t="s">
        <v>23</v>
      </c>
    </row>
    <row r="653" spans="1:5">
      <c r="A653" s="3" t="s">
        <v>674</v>
      </c>
      <c r="B653" s="3" t="s">
        <v>22</v>
      </c>
      <c r="C653" s="3">
        <v>864503</v>
      </c>
      <c r="D653" s="3">
        <v>110169</v>
      </c>
      <c r="E653" s="3" t="s">
        <v>23</v>
      </c>
    </row>
    <row r="654" spans="1:5">
      <c r="A654" s="3" t="s">
        <v>675</v>
      </c>
      <c r="B654" s="3" t="s">
        <v>22</v>
      </c>
      <c r="C654" s="3">
        <v>1279044</v>
      </c>
      <c r="D654" s="3">
        <v>275951</v>
      </c>
      <c r="E654" s="3" t="s">
        <v>23</v>
      </c>
    </row>
    <row r="655" spans="1:5">
      <c r="A655" s="3" t="s">
        <v>676</v>
      </c>
      <c r="B655" s="3" t="s">
        <v>22</v>
      </c>
      <c r="C655" s="3">
        <v>1066549</v>
      </c>
      <c r="D655" s="3">
        <v>131269</v>
      </c>
      <c r="E655" s="3" t="s">
        <v>23</v>
      </c>
    </row>
    <row r="656" spans="1:5">
      <c r="A656" s="3" t="s">
        <v>677</v>
      </c>
      <c r="B656" s="3" t="s">
        <v>22</v>
      </c>
      <c r="C656" s="3">
        <v>1002237</v>
      </c>
      <c r="D656" s="3">
        <v>70504</v>
      </c>
      <c r="E656" s="3" t="s">
        <v>23</v>
      </c>
    </row>
    <row r="657" spans="1:5">
      <c r="A657" s="3" t="s">
        <v>678</v>
      </c>
      <c r="B657" s="3" t="s">
        <v>22</v>
      </c>
      <c r="C657" s="3">
        <v>687763</v>
      </c>
      <c r="D657" s="3">
        <v>16285</v>
      </c>
      <c r="E657" s="3" t="s">
        <v>23</v>
      </c>
    </row>
    <row r="658" spans="1:5">
      <c r="A658" s="3" t="s">
        <v>679</v>
      </c>
      <c r="B658" s="3" t="s">
        <v>22</v>
      </c>
      <c r="C658" s="3">
        <v>644892</v>
      </c>
      <c r="D658" s="3">
        <v>130215</v>
      </c>
      <c r="E658" s="3" t="s">
        <v>23</v>
      </c>
    </row>
    <row r="659" spans="1:5">
      <c r="A659" s="3" t="s">
        <v>680</v>
      </c>
      <c r="B659" s="3" t="s">
        <v>22</v>
      </c>
      <c r="C659" s="3">
        <v>935392</v>
      </c>
      <c r="D659" s="3">
        <v>51541</v>
      </c>
      <c r="E659" s="3" t="s">
        <v>23</v>
      </c>
    </row>
    <row r="660" spans="1:5">
      <c r="A660" s="3" t="s">
        <v>681</v>
      </c>
      <c r="B660" s="3" t="s">
        <v>22</v>
      </c>
      <c r="C660" s="3">
        <v>459948</v>
      </c>
      <c r="D660" s="3">
        <v>3031</v>
      </c>
      <c r="E660" s="3" t="s">
        <v>23</v>
      </c>
    </row>
    <row r="661" spans="1:5">
      <c r="A661" s="3" t="s">
        <v>682</v>
      </c>
      <c r="B661" s="3" t="s">
        <v>22</v>
      </c>
      <c r="C661" s="3">
        <v>542967</v>
      </c>
      <c r="D661" s="3">
        <v>7669</v>
      </c>
      <c r="E661" s="3" t="s">
        <v>23</v>
      </c>
    </row>
    <row r="662" spans="1:5">
      <c r="A662" s="3" t="s">
        <v>683</v>
      </c>
      <c r="B662" s="3" t="s">
        <v>22</v>
      </c>
      <c r="C662" s="3">
        <v>1348765</v>
      </c>
      <c r="D662" s="3">
        <v>259564</v>
      </c>
      <c r="E662" s="3" t="s">
        <v>23</v>
      </c>
    </row>
    <row r="663" spans="1:5">
      <c r="A663" s="3" t="s">
        <v>684</v>
      </c>
      <c r="B663" s="3" t="s">
        <v>22</v>
      </c>
      <c r="C663" s="3">
        <v>1074758</v>
      </c>
      <c r="D663" s="3">
        <v>154317</v>
      </c>
      <c r="E663" s="3" t="s">
        <v>23</v>
      </c>
    </row>
    <row r="664" spans="1:5">
      <c r="A664" s="3" t="s">
        <v>685</v>
      </c>
      <c r="B664" s="3" t="s">
        <v>22</v>
      </c>
      <c r="C664" s="3">
        <v>978218</v>
      </c>
      <c r="D664" s="3">
        <v>171294</v>
      </c>
      <c r="E664" s="3" t="s">
        <v>23</v>
      </c>
    </row>
    <row r="665" spans="1:5">
      <c r="A665" s="3" t="s">
        <v>686</v>
      </c>
      <c r="B665" s="3" t="s">
        <v>22</v>
      </c>
      <c r="C665" s="3">
        <v>715745</v>
      </c>
      <c r="D665" s="3">
        <v>14732</v>
      </c>
      <c r="E665" s="3" t="s">
        <v>23</v>
      </c>
    </row>
    <row r="666" spans="1:5">
      <c r="A666" s="3" t="s">
        <v>687</v>
      </c>
      <c r="B666" s="3" t="s">
        <v>22</v>
      </c>
      <c r="C666" s="3">
        <v>1488428</v>
      </c>
      <c r="D666" s="3">
        <v>316040</v>
      </c>
      <c r="E666" s="3" t="s">
        <v>23</v>
      </c>
    </row>
    <row r="667" spans="1:5">
      <c r="A667" s="3" t="s">
        <v>688</v>
      </c>
      <c r="B667" s="3" t="s">
        <v>22</v>
      </c>
      <c r="C667" s="3">
        <v>418167</v>
      </c>
      <c r="D667" s="3">
        <v>3518</v>
      </c>
      <c r="E667" s="3" t="s">
        <v>23</v>
      </c>
    </row>
    <row r="668" spans="1:5">
      <c r="A668" s="3" t="s">
        <v>689</v>
      </c>
      <c r="B668" s="3" t="s">
        <v>22</v>
      </c>
      <c r="C668" s="3">
        <v>881726</v>
      </c>
      <c r="D668" s="3">
        <v>51389</v>
      </c>
      <c r="E668" s="3" t="s">
        <v>23</v>
      </c>
    </row>
    <row r="669" spans="1:5">
      <c r="A669" s="3" t="s">
        <v>690</v>
      </c>
      <c r="B669" s="3" t="s">
        <v>22</v>
      </c>
      <c r="C669" s="3">
        <v>1879049</v>
      </c>
      <c r="D669" s="3">
        <v>544046</v>
      </c>
      <c r="E669" s="3" t="s">
        <v>23</v>
      </c>
    </row>
    <row r="670" spans="1:5">
      <c r="A670" s="3" t="s">
        <v>691</v>
      </c>
      <c r="B670" s="3" t="s">
        <v>22</v>
      </c>
      <c r="C670" s="3">
        <v>1565641</v>
      </c>
      <c r="D670" s="3">
        <v>418499</v>
      </c>
      <c r="E670" s="3" t="s">
        <v>23</v>
      </c>
    </row>
    <row r="671" spans="1:5">
      <c r="A671" s="3" t="s">
        <v>692</v>
      </c>
      <c r="B671" s="3" t="s">
        <v>22</v>
      </c>
      <c r="C671" s="3">
        <v>1425581</v>
      </c>
      <c r="D671" s="3">
        <v>310943</v>
      </c>
      <c r="E671" s="3" t="s">
        <v>23</v>
      </c>
    </row>
    <row r="672" spans="1:5">
      <c r="A672" s="3" t="s">
        <v>693</v>
      </c>
      <c r="B672" s="3" t="s">
        <v>22</v>
      </c>
      <c r="C672" s="3">
        <v>409066</v>
      </c>
      <c r="D672" s="3">
        <v>2279</v>
      </c>
      <c r="E672" s="3" t="s">
        <v>23</v>
      </c>
    </row>
    <row r="673" spans="1:5">
      <c r="A673" s="3" t="s">
        <v>694</v>
      </c>
      <c r="B673" s="3" t="s">
        <v>22</v>
      </c>
      <c r="C673" s="3">
        <v>1968250</v>
      </c>
      <c r="D673" s="3">
        <v>473429</v>
      </c>
      <c r="E673" s="3" t="s">
        <v>23</v>
      </c>
    </row>
    <row r="674" spans="1:5">
      <c r="A674" s="3" t="s">
        <v>695</v>
      </c>
      <c r="B674" s="3" t="s">
        <v>22</v>
      </c>
      <c r="C674" s="3">
        <v>1403705</v>
      </c>
      <c r="D674" s="3">
        <v>210154</v>
      </c>
      <c r="E674" s="3" t="s">
        <v>23</v>
      </c>
    </row>
    <row r="675" spans="1:5">
      <c r="A675" s="3" t="s">
        <v>696</v>
      </c>
      <c r="B675" s="3" t="s">
        <v>22</v>
      </c>
      <c r="C675" s="3">
        <v>1479487</v>
      </c>
      <c r="D675" s="3">
        <v>327362</v>
      </c>
      <c r="E675" s="3" t="s">
        <v>23</v>
      </c>
    </row>
    <row r="676" spans="1:5">
      <c r="A676" s="3" t="s">
        <v>697</v>
      </c>
      <c r="B676" s="3" t="s">
        <v>22</v>
      </c>
      <c r="C676" s="3">
        <v>575703</v>
      </c>
      <c r="D676" s="3">
        <v>26434</v>
      </c>
      <c r="E676" s="3" t="s">
        <v>23</v>
      </c>
    </row>
    <row r="677" spans="1:5">
      <c r="A677" s="3" t="s">
        <v>698</v>
      </c>
      <c r="B677" s="3" t="s">
        <v>22</v>
      </c>
      <c r="C677" s="3">
        <v>1779315</v>
      </c>
      <c r="D677" s="3">
        <v>455606</v>
      </c>
      <c r="E677" s="3" t="s">
        <v>23</v>
      </c>
    </row>
    <row r="678" spans="1:5">
      <c r="A678" s="3" t="s">
        <v>699</v>
      </c>
      <c r="B678" s="3" t="s">
        <v>22</v>
      </c>
      <c r="C678" s="3">
        <v>903488</v>
      </c>
      <c r="D678" s="3">
        <v>107835</v>
      </c>
      <c r="E678" s="3" t="s">
        <v>23</v>
      </c>
    </row>
    <row r="679" spans="1:5">
      <c r="A679" s="3" t="s">
        <v>700</v>
      </c>
      <c r="B679" s="3" t="s">
        <v>22</v>
      </c>
      <c r="C679" s="3">
        <v>1050486</v>
      </c>
      <c r="D679" s="3">
        <v>208988</v>
      </c>
      <c r="E679" s="3" t="s">
        <v>23</v>
      </c>
    </row>
    <row r="680" spans="1:5">
      <c r="A680" s="3" t="s">
        <v>701</v>
      </c>
      <c r="B680" s="3" t="s">
        <v>22</v>
      </c>
      <c r="C680" s="3">
        <v>1609537</v>
      </c>
      <c r="D680" s="3">
        <v>369666</v>
      </c>
      <c r="E680" s="3" t="s">
        <v>23</v>
      </c>
    </row>
    <row r="681" spans="1:5">
      <c r="A681" s="3" t="s">
        <v>702</v>
      </c>
      <c r="B681" s="3" t="s">
        <v>22</v>
      </c>
      <c r="C681" s="3">
        <v>3461739</v>
      </c>
      <c r="D681" s="3">
        <v>294206</v>
      </c>
      <c r="E681" s="3" t="s">
        <v>23</v>
      </c>
    </row>
    <row r="682" spans="1:5">
      <c r="A682" s="3" t="s">
        <v>703</v>
      </c>
      <c r="B682" s="3" t="s">
        <v>22</v>
      </c>
      <c r="C682" s="3">
        <v>418812</v>
      </c>
      <c r="D682" s="3">
        <v>43130</v>
      </c>
      <c r="E682" s="3" t="s">
        <v>23</v>
      </c>
    </row>
    <row r="683" spans="1:5">
      <c r="A683" s="3" t="s">
        <v>704</v>
      </c>
      <c r="B683" s="3" t="s">
        <v>22</v>
      </c>
      <c r="C683" s="3">
        <v>618875</v>
      </c>
      <c r="D683" s="3">
        <v>7869</v>
      </c>
      <c r="E683" s="3" t="s">
        <v>23</v>
      </c>
    </row>
    <row r="684" spans="1:5">
      <c r="A684" s="3" t="s">
        <v>705</v>
      </c>
      <c r="B684" s="3" t="s">
        <v>22</v>
      </c>
      <c r="C684" s="3">
        <v>903116</v>
      </c>
      <c r="D684" s="3">
        <v>64095</v>
      </c>
      <c r="E684" s="3" t="s">
        <v>23</v>
      </c>
    </row>
    <row r="685" spans="1:5">
      <c r="A685" s="3" t="s">
        <v>706</v>
      </c>
      <c r="B685" s="3" t="s">
        <v>22</v>
      </c>
      <c r="C685" s="3">
        <v>939384</v>
      </c>
      <c r="D685" s="3">
        <v>53975</v>
      </c>
      <c r="E685" s="3" t="s">
        <v>23</v>
      </c>
    </row>
    <row r="686" spans="1:5">
      <c r="A686" s="3" t="s">
        <v>707</v>
      </c>
      <c r="B686" s="3" t="s">
        <v>22</v>
      </c>
      <c r="C686" s="3">
        <v>800274</v>
      </c>
      <c r="D686" s="3">
        <v>21015</v>
      </c>
      <c r="E686" s="3" t="s">
        <v>23</v>
      </c>
    </row>
    <row r="687" spans="1:5">
      <c r="A687" s="3" t="s">
        <v>708</v>
      </c>
      <c r="B687" s="3" t="s">
        <v>22</v>
      </c>
      <c r="C687" s="3">
        <v>862146</v>
      </c>
      <c r="D687" s="3">
        <v>15437</v>
      </c>
      <c r="E687" s="3" t="s">
        <v>23</v>
      </c>
    </row>
    <row r="688" spans="1:5">
      <c r="A688" s="3" t="s">
        <v>709</v>
      </c>
      <c r="B688" s="3" t="s">
        <v>22</v>
      </c>
      <c r="C688" s="3">
        <v>1373902</v>
      </c>
      <c r="D688" s="3">
        <v>287123</v>
      </c>
      <c r="E688" s="3" t="s">
        <v>23</v>
      </c>
    </row>
    <row r="689" spans="1:5">
      <c r="A689" s="3" t="s">
        <v>710</v>
      </c>
      <c r="B689" s="3" t="s">
        <v>22</v>
      </c>
      <c r="C689" s="3">
        <v>1515089</v>
      </c>
      <c r="D689" s="3">
        <v>203773</v>
      </c>
      <c r="E689" s="3" t="s">
        <v>23</v>
      </c>
    </row>
    <row r="690" spans="1:5">
      <c r="A690" s="3" t="s">
        <v>711</v>
      </c>
      <c r="B690" s="3" t="s">
        <v>22</v>
      </c>
      <c r="C690" s="3">
        <v>1202451</v>
      </c>
      <c r="D690" s="3">
        <v>113991</v>
      </c>
      <c r="E690" s="3" t="s">
        <v>23</v>
      </c>
    </row>
    <row r="691" spans="1:5">
      <c r="A691" s="3" t="s">
        <v>712</v>
      </c>
      <c r="B691" s="3" t="s">
        <v>22</v>
      </c>
      <c r="C691" s="3">
        <v>1750121</v>
      </c>
      <c r="D691" s="3">
        <v>364971</v>
      </c>
      <c r="E691" s="3" t="s">
        <v>23</v>
      </c>
    </row>
    <row r="692" spans="1:5">
      <c r="A692" s="3" t="s">
        <v>713</v>
      </c>
      <c r="B692" s="3" t="s">
        <v>22</v>
      </c>
      <c r="C692" s="3">
        <v>956489</v>
      </c>
      <c r="D692" s="3">
        <v>58339</v>
      </c>
      <c r="E692" s="3" t="s">
        <v>23</v>
      </c>
    </row>
    <row r="693" spans="1:5">
      <c r="A693" s="3" t="s">
        <v>714</v>
      </c>
      <c r="B693" s="3" t="s">
        <v>22</v>
      </c>
      <c r="C693" s="3">
        <v>951984</v>
      </c>
      <c r="D693" s="3">
        <v>33709</v>
      </c>
      <c r="E693" s="3" t="s">
        <v>23</v>
      </c>
    </row>
    <row r="694" spans="1:5">
      <c r="A694" s="3" t="s">
        <v>715</v>
      </c>
      <c r="B694" s="3" t="s">
        <v>22</v>
      </c>
      <c r="C694" s="3">
        <v>1368117</v>
      </c>
      <c r="D694" s="3">
        <v>189025</v>
      </c>
      <c r="E694" s="3" t="s">
        <v>23</v>
      </c>
    </row>
    <row r="695" spans="1:5">
      <c r="A695" s="3" t="s">
        <v>716</v>
      </c>
      <c r="B695" s="3" t="s">
        <v>22</v>
      </c>
      <c r="C695" s="3">
        <v>1691384</v>
      </c>
      <c r="D695" s="3">
        <v>300487</v>
      </c>
      <c r="E695" s="3" t="s">
        <v>23</v>
      </c>
    </row>
    <row r="696" spans="1:5">
      <c r="A696" s="3" t="s">
        <v>717</v>
      </c>
      <c r="B696" s="3" t="s">
        <v>22</v>
      </c>
      <c r="C696" s="3">
        <v>846942</v>
      </c>
      <c r="D696" s="3">
        <v>72073</v>
      </c>
      <c r="E696" s="3" t="s">
        <v>23</v>
      </c>
    </row>
    <row r="697" spans="1:5">
      <c r="A697" s="3" t="s">
        <v>718</v>
      </c>
      <c r="B697" s="3" t="s">
        <v>22</v>
      </c>
      <c r="C697" s="3">
        <v>1567828</v>
      </c>
      <c r="D697" s="3">
        <v>335266</v>
      </c>
      <c r="E697" s="3" t="s">
        <v>23</v>
      </c>
    </row>
    <row r="698" spans="1:5">
      <c r="A698" s="3" t="s">
        <v>719</v>
      </c>
      <c r="B698" s="3" t="s">
        <v>22</v>
      </c>
      <c r="C698" s="3">
        <v>1091562</v>
      </c>
      <c r="D698" s="3">
        <v>127601</v>
      </c>
      <c r="E698" s="3" t="s">
        <v>23</v>
      </c>
    </row>
    <row r="699" spans="1:5">
      <c r="A699" s="3" t="s">
        <v>720</v>
      </c>
      <c r="B699" s="3" t="s">
        <v>22</v>
      </c>
      <c r="C699" s="3">
        <v>603539</v>
      </c>
      <c r="D699" s="3">
        <v>44060</v>
      </c>
      <c r="E699" s="3" t="s">
        <v>23</v>
      </c>
    </row>
    <row r="700" spans="1:5">
      <c r="A700" s="3" t="s">
        <v>721</v>
      </c>
      <c r="B700" s="3" t="s">
        <v>22</v>
      </c>
      <c r="C700" s="3">
        <v>971395</v>
      </c>
      <c r="D700" s="3">
        <v>39907</v>
      </c>
      <c r="E700" s="3" t="s">
        <v>23</v>
      </c>
    </row>
    <row r="701" spans="1:5">
      <c r="A701" s="3" t="s">
        <v>722</v>
      </c>
      <c r="B701" s="3" t="s">
        <v>22</v>
      </c>
      <c r="C701" s="3">
        <v>978088</v>
      </c>
      <c r="D701" s="3">
        <v>81164</v>
      </c>
      <c r="E701" s="3" t="s">
        <v>23</v>
      </c>
    </row>
    <row r="702" spans="1:5">
      <c r="A702" s="3" t="s">
        <v>723</v>
      </c>
      <c r="B702" s="3" t="s">
        <v>22</v>
      </c>
      <c r="C702" s="3">
        <v>1678545</v>
      </c>
      <c r="D702" s="3">
        <v>238796</v>
      </c>
      <c r="E702" s="3" t="s">
        <v>23</v>
      </c>
    </row>
    <row r="703" spans="1:5">
      <c r="A703" s="3" t="s">
        <v>724</v>
      </c>
      <c r="B703" s="3" t="s">
        <v>22</v>
      </c>
      <c r="C703" s="3">
        <v>1382831</v>
      </c>
      <c r="D703" s="3">
        <v>187424</v>
      </c>
      <c r="E703" s="3" t="s">
        <v>23</v>
      </c>
    </row>
    <row r="704" spans="1:5">
      <c r="A704" s="3" t="s">
        <v>725</v>
      </c>
      <c r="B704" s="3" t="s">
        <v>22</v>
      </c>
      <c r="C704" s="3">
        <v>2201823</v>
      </c>
      <c r="D704" s="3">
        <v>633163</v>
      </c>
      <c r="E704" s="3" t="s">
        <v>23</v>
      </c>
    </row>
    <row r="705" spans="1:5">
      <c r="A705" s="3" t="s">
        <v>726</v>
      </c>
      <c r="B705" s="3" t="s">
        <v>22</v>
      </c>
      <c r="C705" s="3">
        <v>762371</v>
      </c>
      <c r="D705" s="3">
        <v>29078</v>
      </c>
      <c r="E705" s="3" t="s">
        <v>23</v>
      </c>
    </row>
    <row r="706" spans="1:5">
      <c r="A706" s="3" t="s">
        <v>727</v>
      </c>
      <c r="B706" s="3" t="s">
        <v>22</v>
      </c>
      <c r="C706" s="3">
        <v>1432966</v>
      </c>
      <c r="D706" s="3">
        <v>190805</v>
      </c>
      <c r="E706" s="3" t="s">
        <v>23</v>
      </c>
    </row>
    <row r="707" spans="1:5">
      <c r="A707" s="3" t="s">
        <v>728</v>
      </c>
      <c r="B707" s="3" t="s">
        <v>22</v>
      </c>
      <c r="C707" s="3">
        <v>1613625</v>
      </c>
      <c r="D707" s="3">
        <v>326826</v>
      </c>
      <c r="E707" s="3" t="s">
        <v>23</v>
      </c>
    </row>
    <row r="708" spans="1:5">
      <c r="A708" s="3" t="s">
        <v>729</v>
      </c>
      <c r="B708" s="3" t="s">
        <v>22</v>
      </c>
      <c r="C708" s="3">
        <v>913015</v>
      </c>
      <c r="D708" s="3">
        <v>55486</v>
      </c>
      <c r="E708" s="3" t="s">
        <v>23</v>
      </c>
    </row>
    <row r="709" spans="1:5">
      <c r="A709" s="3" t="s">
        <v>730</v>
      </c>
      <c r="B709" s="3" t="s">
        <v>22</v>
      </c>
      <c r="C709" s="3">
        <v>1912690</v>
      </c>
      <c r="D709" s="3">
        <v>412970</v>
      </c>
      <c r="E709" s="3" t="s">
        <v>23</v>
      </c>
    </row>
    <row r="710" spans="1:5">
      <c r="A710" s="3" t="s">
        <v>731</v>
      </c>
      <c r="B710" s="3" t="s">
        <v>22</v>
      </c>
      <c r="C710" s="3">
        <v>1997676</v>
      </c>
      <c r="D710" s="3">
        <v>500545</v>
      </c>
      <c r="E710" s="3" t="s">
        <v>23</v>
      </c>
    </row>
    <row r="711" spans="1:5">
      <c r="A711" s="3" t="s">
        <v>732</v>
      </c>
      <c r="B711" s="3" t="s">
        <v>22</v>
      </c>
      <c r="C711" s="3">
        <v>706947</v>
      </c>
      <c r="D711" s="3">
        <v>28621</v>
      </c>
      <c r="E711" s="3" t="s">
        <v>23</v>
      </c>
    </row>
    <row r="712" spans="1:5">
      <c r="A712" s="3" t="s">
        <v>733</v>
      </c>
      <c r="B712" s="3" t="s">
        <v>22</v>
      </c>
      <c r="C712" s="3">
        <v>501878</v>
      </c>
      <c r="D712" s="3">
        <v>431</v>
      </c>
      <c r="E712" s="3" t="s">
        <v>23</v>
      </c>
    </row>
    <row r="713" spans="1:5">
      <c r="A713" s="3" t="s">
        <v>734</v>
      </c>
      <c r="B713" s="3" t="s">
        <v>22</v>
      </c>
      <c r="C713" s="3">
        <v>1101549</v>
      </c>
      <c r="D713" s="3">
        <v>180047</v>
      </c>
      <c r="E713" s="3" t="s">
        <v>23</v>
      </c>
    </row>
    <row r="714" spans="1:5">
      <c r="A714" s="3" t="s">
        <v>735</v>
      </c>
      <c r="B714" s="3" t="s">
        <v>22</v>
      </c>
      <c r="C714" s="3">
        <v>1084288</v>
      </c>
      <c r="D714" s="3">
        <v>65973</v>
      </c>
      <c r="E714" s="3" t="s">
        <v>23</v>
      </c>
    </row>
    <row r="715" spans="1:5">
      <c r="A715" s="3" t="s">
        <v>736</v>
      </c>
      <c r="B715" s="3" t="s">
        <v>22</v>
      </c>
      <c r="C715" s="3">
        <v>951399</v>
      </c>
      <c r="D715" s="3">
        <v>54612</v>
      </c>
      <c r="E715" s="3" t="s">
        <v>23</v>
      </c>
    </row>
    <row r="716" spans="1:5">
      <c r="A716" s="3" t="s">
        <v>737</v>
      </c>
      <c r="B716" s="3" t="s">
        <v>22</v>
      </c>
      <c r="C716" s="3">
        <v>863124</v>
      </c>
      <c r="D716" s="3">
        <v>35219</v>
      </c>
      <c r="E716" s="3" t="s">
        <v>23</v>
      </c>
    </row>
    <row r="717" spans="1:5">
      <c r="A717" s="3" t="s">
        <v>738</v>
      </c>
      <c r="B717" s="3" t="s">
        <v>22</v>
      </c>
      <c r="C717" s="3">
        <v>1305198</v>
      </c>
      <c r="D717" s="3">
        <v>154006</v>
      </c>
      <c r="E717" s="3" t="s">
        <v>23</v>
      </c>
    </row>
    <row r="718" spans="1:5">
      <c r="A718" s="3" t="s">
        <v>739</v>
      </c>
      <c r="B718" s="3" t="s">
        <v>22</v>
      </c>
      <c r="C718" s="3">
        <v>771768</v>
      </c>
      <c r="D718" s="3">
        <v>11259</v>
      </c>
      <c r="E718" s="3" t="s">
        <v>23</v>
      </c>
    </row>
    <row r="719" spans="1:5">
      <c r="A719" s="3" t="s">
        <v>740</v>
      </c>
      <c r="B719" s="3" t="s">
        <v>22</v>
      </c>
      <c r="C719" s="3">
        <v>1127290</v>
      </c>
      <c r="D719" s="3">
        <v>146132</v>
      </c>
      <c r="E719" s="3" t="s">
        <v>23</v>
      </c>
    </row>
    <row r="720" spans="1:5">
      <c r="A720" s="3" t="s">
        <v>741</v>
      </c>
      <c r="B720" s="3" t="s">
        <v>22</v>
      </c>
      <c r="C720" s="3">
        <v>1307964</v>
      </c>
      <c r="D720" s="3">
        <v>186218</v>
      </c>
      <c r="E720" s="3" t="s">
        <v>23</v>
      </c>
    </row>
    <row r="721" spans="1:5">
      <c r="A721" s="3" t="s">
        <v>742</v>
      </c>
      <c r="B721" s="3" t="s">
        <v>22</v>
      </c>
      <c r="C721" s="3">
        <v>1068046</v>
      </c>
      <c r="D721" s="3">
        <v>41490</v>
      </c>
      <c r="E721" s="3" t="s">
        <v>23</v>
      </c>
    </row>
    <row r="722" spans="1:5">
      <c r="A722" s="3" t="s">
        <v>743</v>
      </c>
      <c r="B722" s="3" t="s">
        <v>22</v>
      </c>
      <c r="C722" s="3">
        <v>1526387</v>
      </c>
      <c r="D722" s="3">
        <v>283545</v>
      </c>
      <c r="E722" s="3" t="s">
        <v>23</v>
      </c>
    </row>
    <row r="723" spans="1:5">
      <c r="A723" s="3" t="s">
        <v>744</v>
      </c>
      <c r="B723" s="3" t="s">
        <v>22</v>
      </c>
      <c r="C723" s="3">
        <v>1155388</v>
      </c>
      <c r="D723" s="3">
        <v>76736</v>
      </c>
      <c r="E723" s="3" t="s">
        <v>23</v>
      </c>
    </row>
    <row r="724" spans="1:5">
      <c r="A724" s="3" t="s">
        <v>745</v>
      </c>
      <c r="B724" s="3" t="s">
        <v>22</v>
      </c>
      <c r="C724" s="3">
        <v>805267</v>
      </c>
      <c r="D724" s="3">
        <v>27326</v>
      </c>
      <c r="E724" s="3" t="s">
        <v>23</v>
      </c>
    </row>
    <row r="725" spans="1:5">
      <c r="A725" s="3" t="s">
        <v>746</v>
      </c>
      <c r="B725" s="3" t="s">
        <v>22</v>
      </c>
      <c r="C725" s="3">
        <v>1476225</v>
      </c>
      <c r="D725" s="3">
        <v>186050</v>
      </c>
      <c r="E725" s="3" t="s">
        <v>23</v>
      </c>
    </row>
    <row r="726" spans="1:5">
      <c r="A726" s="3" t="s">
        <v>747</v>
      </c>
      <c r="B726" s="3" t="s">
        <v>22</v>
      </c>
      <c r="C726" s="3">
        <v>600146</v>
      </c>
      <c r="D726" s="3">
        <v>39673</v>
      </c>
      <c r="E726" s="3" t="s">
        <v>23</v>
      </c>
    </row>
    <row r="727" spans="1:5">
      <c r="A727" s="3" t="s">
        <v>748</v>
      </c>
      <c r="B727" s="3" t="s">
        <v>22</v>
      </c>
      <c r="C727" s="3">
        <v>2317432</v>
      </c>
      <c r="D727" s="3">
        <v>521231</v>
      </c>
      <c r="E727" s="3" t="s">
        <v>23</v>
      </c>
    </row>
    <row r="728" spans="1:5">
      <c r="A728" s="3" t="s">
        <v>749</v>
      </c>
      <c r="B728" s="3" t="s">
        <v>22</v>
      </c>
      <c r="C728" s="3">
        <v>2133525</v>
      </c>
      <c r="D728" s="3">
        <v>439677</v>
      </c>
      <c r="E728" s="3" t="s">
        <v>23</v>
      </c>
    </row>
    <row r="729" spans="1:5">
      <c r="A729" s="3" t="s">
        <v>750</v>
      </c>
      <c r="B729" s="3" t="s">
        <v>22</v>
      </c>
      <c r="C729" s="3">
        <v>1450131</v>
      </c>
      <c r="D729" s="3">
        <v>296275</v>
      </c>
      <c r="E729" s="3" t="s">
        <v>23</v>
      </c>
    </row>
    <row r="730" spans="1:5">
      <c r="A730" s="3" t="s">
        <v>751</v>
      </c>
      <c r="B730" s="3" t="s">
        <v>22</v>
      </c>
      <c r="C730" s="3">
        <v>1019377</v>
      </c>
      <c r="D730" s="3">
        <v>65116</v>
      </c>
      <c r="E730" s="3" t="s">
        <v>23</v>
      </c>
    </row>
    <row r="731" spans="1:5">
      <c r="A731" s="3" t="s">
        <v>752</v>
      </c>
      <c r="B731" s="3" t="s">
        <v>22</v>
      </c>
      <c r="C731" s="3">
        <v>987403</v>
      </c>
      <c r="D731" s="3">
        <v>46885</v>
      </c>
      <c r="E731" s="3" t="s">
        <v>23</v>
      </c>
    </row>
    <row r="732" spans="1:5">
      <c r="A732" s="3" t="s">
        <v>753</v>
      </c>
      <c r="B732" s="3" t="s">
        <v>22</v>
      </c>
      <c r="C732" s="3">
        <v>1593933</v>
      </c>
      <c r="D732" s="3">
        <v>291538</v>
      </c>
      <c r="E732" s="3" t="s">
        <v>23</v>
      </c>
    </row>
    <row r="733" spans="1:5">
      <c r="A733" s="3" t="s">
        <v>754</v>
      </c>
      <c r="B733" s="3" t="s">
        <v>22</v>
      </c>
      <c r="C733" s="3">
        <v>1511833</v>
      </c>
      <c r="D733" s="3">
        <v>218373</v>
      </c>
      <c r="E733" s="3" t="s">
        <v>23</v>
      </c>
    </row>
    <row r="734" spans="1:5">
      <c r="A734" s="3" t="s">
        <v>755</v>
      </c>
      <c r="B734" s="3" t="s">
        <v>22</v>
      </c>
      <c r="C734" s="3">
        <v>1119336</v>
      </c>
      <c r="D734" s="3">
        <v>147950</v>
      </c>
      <c r="E734" s="3" t="s">
        <v>23</v>
      </c>
    </row>
    <row r="735" spans="1:5">
      <c r="A735" s="3" t="s">
        <v>756</v>
      </c>
      <c r="B735" s="3" t="s">
        <v>22</v>
      </c>
      <c r="C735" s="3">
        <v>2403915</v>
      </c>
      <c r="D735" s="3">
        <v>727390</v>
      </c>
      <c r="E735" s="3" t="s">
        <v>23</v>
      </c>
    </row>
    <row r="736" spans="1:5">
      <c r="A736" s="3" t="s">
        <v>757</v>
      </c>
      <c r="B736" s="3" t="s">
        <v>22</v>
      </c>
      <c r="C736" s="3">
        <v>632986</v>
      </c>
      <c r="D736" s="3">
        <v>9223</v>
      </c>
      <c r="E736" s="3" t="s">
        <v>23</v>
      </c>
    </row>
    <row r="737" spans="1:5">
      <c r="A737" s="3" t="s">
        <v>758</v>
      </c>
      <c r="B737" s="3" t="s">
        <v>22</v>
      </c>
      <c r="C737" s="3">
        <v>1859690</v>
      </c>
      <c r="D737" s="3">
        <v>449270</v>
      </c>
      <c r="E737" s="3" t="s">
        <v>23</v>
      </c>
    </row>
    <row r="738" spans="1:5">
      <c r="A738" s="3" t="s">
        <v>759</v>
      </c>
      <c r="B738" s="3" t="s">
        <v>22</v>
      </c>
      <c r="C738" s="3">
        <v>1385858</v>
      </c>
      <c r="D738" s="3">
        <v>246261</v>
      </c>
      <c r="E738" s="3" t="s">
        <v>23</v>
      </c>
    </row>
    <row r="739" spans="1:5">
      <c r="A739" s="3" t="s">
        <v>760</v>
      </c>
      <c r="B739" s="3" t="s">
        <v>22</v>
      </c>
      <c r="C739" s="3">
        <v>1106636</v>
      </c>
      <c r="D739" s="3">
        <v>126874</v>
      </c>
      <c r="E739" s="3" t="s">
        <v>23</v>
      </c>
    </row>
    <row r="740" spans="1:5">
      <c r="A740" s="3" t="s">
        <v>761</v>
      </c>
      <c r="B740" s="3" t="s">
        <v>22</v>
      </c>
      <c r="C740" s="3">
        <v>1956994</v>
      </c>
      <c r="D740" s="3">
        <v>461050</v>
      </c>
      <c r="E740" s="3" t="s">
        <v>23</v>
      </c>
    </row>
    <row r="741" spans="1:5">
      <c r="A741" s="3" t="s">
        <v>762</v>
      </c>
      <c r="B741" s="3" t="s">
        <v>22</v>
      </c>
      <c r="C741" s="3">
        <v>1652130</v>
      </c>
      <c r="D741" s="3">
        <v>286208</v>
      </c>
      <c r="E741" s="3" t="s">
        <v>23</v>
      </c>
    </row>
    <row r="742" spans="1:5">
      <c r="A742" s="3" t="s">
        <v>763</v>
      </c>
      <c r="B742" s="3" t="s">
        <v>22</v>
      </c>
      <c r="C742" s="3">
        <v>711078</v>
      </c>
      <c r="D742" s="3">
        <v>58351</v>
      </c>
      <c r="E742" s="3" t="s">
        <v>23</v>
      </c>
    </row>
    <row r="743" spans="1:5">
      <c r="A743" s="3" t="s">
        <v>764</v>
      </c>
      <c r="B743" s="3" t="s">
        <v>22</v>
      </c>
      <c r="C743" s="3">
        <v>524391</v>
      </c>
      <c r="D743" s="3">
        <v>14016</v>
      </c>
      <c r="E743" s="3" t="s">
        <v>23</v>
      </c>
    </row>
    <row r="744" spans="1:5">
      <c r="A744" s="3" t="s">
        <v>765</v>
      </c>
      <c r="B744" s="3" t="s">
        <v>22</v>
      </c>
      <c r="C744" s="3">
        <v>1607477</v>
      </c>
      <c r="D744" s="3">
        <v>327509</v>
      </c>
      <c r="E744" s="3" t="s">
        <v>23</v>
      </c>
    </row>
    <row r="745" spans="1:5">
      <c r="A745" s="3" t="s">
        <v>766</v>
      </c>
      <c r="B745" s="3" t="s">
        <v>22</v>
      </c>
      <c r="C745" s="3">
        <v>1443379</v>
      </c>
      <c r="D745" s="3">
        <v>201665</v>
      </c>
      <c r="E745" s="3" t="s">
        <v>23</v>
      </c>
    </row>
    <row r="746" spans="1:5">
      <c r="A746" s="3" t="s">
        <v>767</v>
      </c>
      <c r="B746" s="3" t="s">
        <v>22</v>
      </c>
      <c r="C746" s="3">
        <v>512415</v>
      </c>
      <c r="D746" s="3">
        <v>52092</v>
      </c>
      <c r="E746" s="3" t="s">
        <v>23</v>
      </c>
    </row>
    <row r="747" spans="1:5">
      <c r="A747" s="3" t="s">
        <v>768</v>
      </c>
      <c r="B747" s="3" t="s">
        <v>22</v>
      </c>
      <c r="C747" s="3">
        <v>707781</v>
      </c>
      <c r="D747" s="3">
        <v>84111</v>
      </c>
      <c r="E747" s="3" t="s">
        <v>23</v>
      </c>
    </row>
    <row r="748" spans="1:5">
      <c r="A748" s="3" t="s">
        <v>769</v>
      </c>
      <c r="B748" s="3" t="s">
        <v>22</v>
      </c>
      <c r="C748" s="3">
        <v>1108273</v>
      </c>
      <c r="D748" s="3">
        <v>226740</v>
      </c>
      <c r="E748" s="3" t="s">
        <v>23</v>
      </c>
    </row>
    <row r="749" spans="1:5">
      <c r="A749" s="3" t="s">
        <v>770</v>
      </c>
      <c r="B749" s="3" t="s">
        <v>22</v>
      </c>
      <c r="C749" s="3">
        <v>575835</v>
      </c>
      <c r="D749" s="3">
        <v>33430</v>
      </c>
      <c r="E749" s="3" t="s">
        <v>23</v>
      </c>
    </row>
    <row r="750" spans="1:5">
      <c r="A750" s="3" t="s">
        <v>771</v>
      </c>
      <c r="B750" s="3" t="s">
        <v>22</v>
      </c>
      <c r="C750" s="3">
        <v>460101</v>
      </c>
      <c r="D750" s="3">
        <v>943</v>
      </c>
      <c r="E750" s="3" t="s">
        <v>23</v>
      </c>
    </row>
    <row r="751" spans="1:5">
      <c r="A751" s="3" t="s">
        <v>772</v>
      </c>
      <c r="B751" s="3" t="s">
        <v>22</v>
      </c>
      <c r="C751" s="3">
        <v>1063869</v>
      </c>
      <c r="D751" s="3">
        <v>221020</v>
      </c>
      <c r="E751" s="3" t="s">
        <v>23</v>
      </c>
    </row>
    <row r="752" spans="1:5">
      <c r="A752" s="3" t="s">
        <v>773</v>
      </c>
      <c r="B752" s="3" t="s">
        <v>22</v>
      </c>
      <c r="C752" s="3">
        <v>1052760</v>
      </c>
      <c r="D752" s="3">
        <v>233176</v>
      </c>
      <c r="E752" s="3" t="s">
        <v>23</v>
      </c>
    </row>
    <row r="753" spans="1:5">
      <c r="A753" s="3" t="s">
        <v>774</v>
      </c>
      <c r="B753" s="3" t="s">
        <v>22</v>
      </c>
      <c r="C753" s="3">
        <v>333576</v>
      </c>
      <c r="D753" s="3">
        <v>15018</v>
      </c>
      <c r="E753" s="3" t="s">
        <v>23</v>
      </c>
    </row>
    <row r="754" spans="1:5">
      <c r="A754" s="3" t="s">
        <v>775</v>
      </c>
      <c r="B754" s="3" t="s">
        <v>22</v>
      </c>
      <c r="C754" s="3">
        <v>328773</v>
      </c>
      <c r="D754" s="3">
        <v>5369</v>
      </c>
      <c r="E754" s="3" t="s">
        <v>23</v>
      </c>
    </row>
    <row r="755" spans="1:5">
      <c r="A755" s="3" t="s">
        <v>776</v>
      </c>
      <c r="B755" s="3" t="s">
        <v>22</v>
      </c>
      <c r="C755" s="3">
        <v>857545</v>
      </c>
      <c r="D755" s="3">
        <v>137599</v>
      </c>
      <c r="E755" s="3" t="s">
        <v>23</v>
      </c>
    </row>
    <row r="756" spans="1:5">
      <c r="A756" s="3" t="s">
        <v>777</v>
      </c>
      <c r="B756" s="3" t="s">
        <v>22</v>
      </c>
      <c r="C756" s="3">
        <v>883536</v>
      </c>
      <c r="D756" s="3">
        <v>175821</v>
      </c>
      <c r="E756" s="3" t="s">
        <v>23</v>
      </c>
    </row>
    <row r="757" spans="1:5">
      <c r="A757" s="3" t="s">
        <v>778</v>
      </c>
      <c r="B757" s="3" t="s">
        <v>22</v>
      </c>
      <c r="C757" s="3">
        <v>920971</v>
      </c>
      <c r="D757" s="3">
        <v>192859</v>
      </c>
      <c r="E757" s="3" t="s">
        <v>23</v>
      </c>
    </row>
    <row r="758" spans="1:5">
      <c r="A758" s="3" t="s">
        <v>779</v>
      </c>
      <c r="B758" s="3" t="s">
        <v>22</v>
      </c>
      <c r="C758" s="3">
        <v>589268</v>
      </c>
      <c r="D758" s="3">
        <v>60905</v>
      </c>
      <c r="E758" s="3" t="s">
        <v>23</v>
      </c>
    </row>
    <row r="759" spans="1:5">
      <c r="A759" s="3" t="s">
        <v>780</v>
      </c>
      <c r="B759" s="3" t="s">
        <v>22</v>
      </c>
      <c r="C759" s="3">
        <v>845531</v>
      </c>
      <c r="D759" s="3">
        <v>175772</v>
      </c>
      <c r="E759" s="3" t="s">
        <v>23</v>
      </c>
    </row>
    <row r="760" spans="1:5">
      <c r="A760" s="3" t="s">
        <v>781</v>
      </c>
      <c r="B760" s="3" t="s">
        <v>22</v>
      </c>
      <c r="C760" s="3">
        <v>267571</v>
      </c>
      <c r="D760" s="3">
        <v>558</v>
      </c>
      <c r="E760" s="3" t="s">
        <v>23</v>
      </c>
    </row>
    <row r="761" spans="1:5">
      <c r="A761" s="3" t="s">
        <v>782</v>
      </c>
      <c r="B761" s="3" t="s">
        <v>22</v>
      </c>
      <c r="C761" s="3">
        <v>411324</v>
      </c>
      <c r="D761" s="3">
        <v>16525</v>
      </c>
      <c r="E761" s="3" t="s">
        <v>23</v>
      </c>
    </row>
    <row r="762" spans="1:5">
      <c r="A762" s="3" t="s">
        <v>783</v>
      </c>
      <c r="B762" s="3" t="s">
        <v>22</v>
      </c>
      <c r="C762" s="3">
        <v>729255</v>
      </c>
      <c r="D762" s="3">
        <v>117149</v>
      </c>
      <c r="E762" s="3" t="s">
        <v>23</v>
      </c>
    </row>
    <row r="763" spans="1:5">
      <c r="A763" s="3" t="s">
        <v>784</v>
      </c>
      <c r="B763" s="3" t="s">
        <v>22</v>
      </c>
      <c r="C763" s="3">
        <v>1006025</v>
      </c>
      <c r="D763" s="3">
        <v>178869</v>
      </c>
      <c r="E763" s="3" t="s">
        <v>23</v>
      </c>
    </row>
    <row r="764" spans="1:5">
      <c r="A764" s="3" t="s">
        <v>785</v>
      </c>
      <c r="B764" s="3" t="s">
        <v>22</v>
      </c>
      <c r="C764" s="3">
        <v>993197</v>
      </c>
      <c r="D764" s="3">
        <v>193851</v>
      </c>
      <c r="E764" s="3" t="s">
        <v>23</v>
      </c>
    </row>
    <row r="765" spans="1:5">
      <c r="A765" s="3" t="s">
        <v>786</v>
      </c>
      <c r="B765" s="3" t="s">
        <v>22</v>
      </c>
      <c r="C765" s="3">
        <v>259948</v>
      </c>
      <c r="D765" s="3">
        <v>342</v>
      </c>
      <c r="E765" s="3" t="s">
        <v>23</v>
      </c>
    </row>
    <row r="766" spans="1:5">
      <c r="A766" s="3" t="s">
        <v>787</v>
      </c>
      <c r="B766" s="3" t="s">
        <v>22</v>
      </c>
      <c r="C766" s="3">
        <v>1038366</v>
      </c>
      <c r="D766" s="3">
        <v>207557</v>
      </c>
      <c r="E766" s="3" t="s">
        <v>23</v>
      </c>
    </row>
    <row r="767" spans="1:5">
      <c r="A767" s="3" t="s">
        <v>788</v>
      </c>
      <c r="B767" s="3" t="s">
        <v>22</v>
      </c>
      <c r="C767" s="3">
        <v>846175</v>
      </c>
      <c r="D767" s="3">
        <v>156205</v>
      </c>
      <c r="E767" s="3" t="s">
        <v>23</v>
      </c>
    </row>
    <row r="768" spans="1:5">
      <c r="A768" s="3" t="s">
        <v>789</v>
      </c>
      <c r="B768" s="3" t="s">
        <v>22</v>
      </c>
      <c r="C768" s="3">
        <v>627568</v>
      </c>
      <c r="D768" s="3">
        <v>74899</v>
      </c>
      <c r="E768" s="3" t="s">
        <v>23</v>
      </c>
    </row>
    <row r="769" spans="1:5">
      <c r="A769" s="3" t="s">
        <v>790</v>
      </c>
      <c r="B769" s="3" t="s">
        <v>22</v>
      </c>
      <c r="C769" s="3">
        <v>361264</v>
      </c>
      <c r="D769" s="3">
        <v>3032</v>
      </c>
      <c r="E769" s="3" t="s">
        <v>23</v>
      </c>
    </row>
    <row r="770" spans="1:5">
      <c r="A770" s="3" t="s">
        <v>791</v>
      </c>
      <c r="B770" s="3" t="s">
        <v>22</v>
      </c>
      <c r="C770" s="3">
        <v>768195</v>
      </c>
      <c r="D770" s="3">
        <v>113194</v>
      </c>
      <c r="E770" s="3" t="s">
        <v>23</v>
      </c>
    </row>
    <row r="771" spans="1:5">
      <c r="A771" s="3" t="s">
        <v>792</v>
      </c>
      <c r="B771" s="3" t="s">
        <v>22</v>
      </c>
      <c r="C771" s="3">
        <v>434971</v>
      </c>
      <c r="D771" s="3">
        <v>7044</v>
      </c>
      <c r="E771" s="3" t="s">
        <v>23</v>
      </c>
    </row>
    <row r="772" spans="1:5">
      <c r="A772" s="3" t="s">
        <v>793</v>
      </c>
      <c r="B772" s="3" t="s">
        <v>22</v>
      </c>
      <c r="C772" s="3">
        <v>640774</v>
      </c>
      <c r="D772" s="3">
        <v>80019</v>
      </c>
      <c r="E772" s="3" t="s">
        <v>23</v>
      </c>
    </row>
    <row r="773" spans="1:5">
      <c r="A773" s="3" t="s">
        <v>794</v>
      </c>
      <c r="B773" s="3" t="s">
        <v>22</v>
      </c>
      <c r="C773" s="3">
        <v>731004</v>
      </c>
      <c r="D773" s="3">
        <v>111944</v>
      </c>
      <c r="E773" s="3" t="s">
        <v>23</v>
      </c>
    </row>
    <row r="774" spans="1:5">
      <c r="A774" s="3" t="s">
        <v>795</v>
      </c>
      <c r="B774" s="3" t="s">
        <v>22</v>
      </c>
      <c r="C774" s="3">
        <v>927739</v>
      </c>
      <c r="D774" s="3">
        <v>165123</v>
      </c>
      <c r="E774" s="3" t="s">
        <v>23</v>
      </c>
    </row>
    <row r="775" spans="1:5">
      <c r="A775" s="3" t="s">
        <v>796</v>
      </c>
      <c r="B775" s="3" t="s">
        <v>22</v>
      </c>
      <c r="C775" s="3">
        <v>1087741</v>
      </c>
      <c r="D775" s="3">
        <v>249420</v>
      </c>
      <c r="E775" s="3" t="s">
        <v>23</v>
      </c>
    </row>
    <row r="776" spans="1:5">
      <c r="A776" s="3" t="s">
        <v>797</v>
      </c>
      <c r="B776" s="3" t="s">
        <v>22</v>
      </c>
      <c r="C776" s="3">
        <v>557077</v>
      </c>
      <c r="D776" s="3">
        <v>17254</v>
      </c>
      <c r="E776" s="3" t="s">
        <v>23</v>
      </c>
    </row>
    <row r="777" spans="1:5">
      <c r="A777" s="3" t="s">
        <v>798</v>
      </c>
      <c r="B777" s="3" t="s">
        <v>22</v>
      </c>
      <c r="C777" s="3">
        <v>926717</v>
      </c>
      <c r="D777" s="3">
        <v>116068</v>
      </c>
      <c r="E777" s="3" t="s">
        <v>23</v>
      </c>
    </row>
    <row r="778" spans="1:5">
      <c r="A778" s="3" t="s">
        <v>799</v>
      </c>
      <c r="B778" s="3" t="s">
        <v>22</v>
      </c>
      <c r="C778" s="3">
        <v>743464</v>
      </c>
      <c r="D778" s="3">
        <v>64488</v>
      </c>
      <c r="E778" s="3" t="s">
        <v>23</v>
      </c>
    </row>
    <row r="779" spans="1:5">
      <c r="A779" s="3" t="s">
        <v>800</v>
      </c>
      <c r="B779" s="3" t="s">
        <v>22</v>
      </c>
      <c r="C779" s="3">
        <v>587428</v>
      </c>
      <c r="D779" s="3">
        <v>10249</v>
      </c>
      <c r="E779" s="3" t="s">
        <v>23</v>
      </c>
    </row>
    <row r="780" spans="1:5">
      <c r="A780" s="3" t="s">
        <v>801</v>
      </c>
      <c r="B780" s="3" t="s">
        <v>22</v>
      </c>
      <c r="C780" s="3">
        <v>723571</v>
      </c>
      <c r="D780" s="3">
        <v>102822</v>
      </c>
      <c r="E780" s="3" t="s">
        <v>23</v>
      </c>
    </row>
    <row r="781" spans="1:5">
      <c r="A781" s="3" t="s">
        <v>802</v>
      </c>
      <c r="B781" s="3" t="s">
        <v>22</v>
      </c>
      <c r="C781" s="3">
        <v>115812</v>
      </c>
      <c r="D781" s="3">
        <v>404</v>
      </c>
      <c r="E781" s="3" t="s">
        <v>23</v>
      </c>
    </row>
    <row r="782" spans="1:5">
      <c r="A782" s="3" t="s">
        <v>803</v>
      </c>
      <c r="B782" s="3" t="s">
        <v>22</v>
      </c>
      <c r="C782" s="3">
        <v>735997</v>
      </c>
      <c r="D782" s="3">
        <v>82472</v>
      </c>
      <c r="E782" s="3" t="s">
        <v>23</v>
      </c>
    </row>
    <row r="783" spans="1:5">
      <c r="A783" s="3" t="s">
        <v>804</v>
      </c>
      <c r="B783" s="3" t="s">
        <v>22</v>
      </c>
      <c r="C783" s="3">
        <v>719309</v>
      </c>
      <c r="D783" s="3">
        <v>40133</v>
      </c>
      <c r="E783" s="3" t="s">
        <v>23</v>
      </c>
    </row>
    <row r="784" spans="1:5">
      <c r="A784" s="3" t="s">
        <v>805</v>
      </c>
      <c r="B784" s="3" t="s">
        <v>22</v>
      </c>
      <c r="C784" s="3">
        <v>983568</v>
      </c>
      <c r="D784" s="3">
        <v>188761</v>
      </c>
      <c r="E784" s="3" t="s">
        <v>23</v>
      </c>
    </row>
    <row r="785" spans="1:5">
      <c r="A785" s="3" t="s">
        <v>806</v>
      </c>
      <c r="B785" s="3" t="s">
        <v>22</v>
      </c>
      <c r="C785" s="3">
        <v>554567</v>
      </c>
      <c r="D785" s="3">
        <v>31817</v>
      </c>
      <c r="E785" s="3" t="s">
        <v>23</v>
      </c>
    </row>
    <row r="786" spans="1:5">
      <c r="A786" s="3" t="s">
        <v>807</v>
      </c>
      <c r="B786" s="3" t="s">
        <v>22</v>
      </c>
      <c r="C786" s="3">
        <v>670176</v>
      </c>
      <c r="D786" s="3">
        <v>75250</v>
      </c>
      <c r="E786" s="3" t="s">
        <v>23</v>
      </c>
    </row>
    <row r="787" spans="1:5">
      <c r="A787" s="3" t="s">
        <v>808</v>
      </c>
      <c r="B787" s="3" t="s">
        <v>22</v>
      </c>
      <c r="C787" s="3">
        <v>614769</v>
      </c>
      <c r="D787" s="3">
        <v>71495</v>
      </c>
      <c r="E787" s="3" t="s">
        <v>23</v>
      </c>
    </row>
    <row r="788" spans="1:5">
      <c r="A788" s="3" t="s">
        <v>809</v>
      </c>
      <c r="B788" s="3" t="s">
        <v>22</v>
      </c>
      <c r="C788" s="3">
        <v>871447</v>
      </c>
      <c r="D788" s="3">
        <v>126874</v>
      </c>
      <c r="E788" s="3" t="s">
        <v>23</v>
      </c>
    </row>
    <row r="789" spans="1:5">
      <c r="A789" s="3" t="s">
        <v>810</v>
      </c>
      <c r="B789" s="3" t="s">
        <v>22</v>
      </c>
      <c r="C789" s="3">
        <v>627480</v>
      </c>
      <c r="D789" s="3">
        <v>69260</v>
      </c>
      <c r="E789" s="3" t="s">
        <v>23</v>
      </c>
    </row>
    <row r="790" spans="1:5">
      <c r="A790" s="3" t="s">
        <v>811</v>
      </c>
      <c r="B790" s="3" t="s">
        <v>22</v>
      </c>
      <c r="C790" s="3">
        <v>939726</v>
      </c>
      <c r="D790" s="3">
        <v>145555</v>
      </c>
      <c r="E790" s="3" t="s">
        <v>23</v>
      </c>
    </row>
    <row r="791" spans="1:5">
      <c r="A791" s="3" t="s">
        <v>812</v>
      </c>
      <c r="B791" s="3" t="s">
        <v>22</v>
      </c>
      <c r="C791" s="3">
        <v>508393</v>
      </c>
      <c r="D791" s="3">
        <v>27158</v>
      </c>
      <c r="E791" s="3" t="s">
        <v>23</v>
      </c>
    </row>
    <row r="792" spans="1:5">
      <c r="A792" s="3" t="s">
        <v>813</v>
      </c>
      <c r="B792" s="3" t="s">
        <v>22</v>
      </c>
      <c r="C792" s="3">
        <v>730894</v>
      </c>
      <c r="D792" s="3">
        <v>79505</v>
      </c>
      <c r="E792" s="3" t="s">
        <v>23</v>
      </c>
    </row>
    <row r="793" spans="1:5">
      <c r="A793" s="3" t="s">
        <v>814</v>
      </c>
      <c r="B793" s="3" t="s">
        <v>22</v>
      </c>
      <c r="C793" s="3">
        <v>780787</v>
      </c>
      <c r="D793" s="3">
        <v>121433</v>
      </c>
      <c r="E793" s="3" t="s">
        <v>23</v>
      </c>
    </row>
    <row r="794" spans="1:5">
      <c r="A794" s="3" t="s">
        <v>815</v>
      </c>
      <c r="B794" s="3" t="s">
        <v>22</v>
      </c>
      <c r="C794" s="3">
        <v>649540</v>
      </c>
      <c r="D794" s="3">
        <v>63922</v>
      </c>
      <c r="E794" s="3" t="s">
        <v>23</v>
      </c>
    </row>
    <row r="795" spans="1:5">
      <c r="A795" s="3" t="s">
        <v>816</v>
      </c>
      <c r="B795" s="3" t="s">
        <v>22</v>
      </c>
      <c r="C795" s="3">
        <v>767944</v>
      </c>
      <c r="D795" s="3">
        <v>99868</v>
      </c>
      <c r="E795" s="3" t="s">
        <v>23</v>
      </c>
    </row>
    <row r="796" spans="1:5">
      <c r="A796" s="3" t="s">
        <v>817</v>
      </c>
      <c r="B796" s="3" t="s">
        <v>22</v>
      </c>
      <c r="C796" s="3">
        <v>870924</v>
      </c>
      <c r="D796" s="3">
        <v>103345</v>
      </c>
      <c r="E796" s="3" t="s">
        <v>23</v>
      </c>
    </row>
    <row r="797" spans="1:5">
      <c r="A797" s="3" t="s">
        <v>818</v>
      </c>
      <c r="B797" s="3" t="s">
        <v>22</v>
      </c>
      <c r="C797" s="3">
        <v>921400</v>
      </c>
      <c r="D797" s="3">
        <v>142496</v>
      </c>
      <c r="E797" s="3" t="s">
        <v>23</v>
      </c>
    </row>
    <row r="798" spans="1:5">
      <c r="A798" s="3" t="s">
        <v>819</v>
      </c>
      <c r="B798" s="3" t="s">
        <v>22</v>
      </c>
      <c r="C798" s="3">
        <v>820427</v>
      </c>
      <c r="D798" s="3">
        <v>101536</v>
      </c>
      <c r="E798" s="3" t="s">
        <v>23</v>
      </c>
    </row>
    <row r="799" spans="1:5">
      <c r="A799" s="3" t="s">
        <v>820</v>
      </c>
      <c r="B799" s="3" t="s">
        <v>22</v>
      </c>
      <c r="C799" s="3">
        <v>724846</v>
      </c>
      <c r="D799" s="3">
        <v>85058</v>
      </c>
      <c r="E799" s="3" t="s">
        <v>23</v>
      </c>
    </row>
    <row r="800" spans="1:5">
      <c r="A800" s="3" t="s">
        <v>821</v>
      </c>
      <c r="B800" s="3" t="s">
        <v>22</v>
      </c>
      <c r="C800" s="3">
        <v>943803</v>
      </c>
      <c r="D800" s="3">
        <v>157064</v>
      </c>
      <c r="E800" s="3" t="s">
        <v>23</v>
      </c>
    </row>
    <row r="801" spans="1:5">
      <c r="A801" s="3" t="s">
        <v>822</v>
      </c>
      <c r="B801" s="3" t="s">
        <v>22</v>
      </c>
      <c r="C801" s="3">
        <v>565569</v>
      </c>
      <c r="D801" s="3">
        <v>44885</v>
      </c>
      <c r="E801" s="3" t="s">
        <v>23</v>
      </c>
    </row>
    <row r="802" spans="1:5">
      <c r="A802" s="3" t="s">
        <v>823</v>
      </c>
      <c r="B802" s="3" t="s">
        <v>22</v>
      </c>
      <c r="C802" s="3">
        <v>891704</v>
      </c>
      <c r="D802" s="3">
        <v>137137</v>
      </c>
      <c r="E802" s="3" t="s">
        <v>23</v>
      </c>
    </row>
    <row r="803" spans="1:5">
      <c r="A803" s="3" t="s">
        <v>824</v>
      </c>
      <c r="B803" s="3" t="s">
        <v>22</v>
      </c>
      <c r="C803" s="3">
        <v>608793</v>
      </c>
      <c r="D803" s="3">
        <v>66624</v>
      </c>
      <c r="E803" s="3" t="s">
        <v>23</v>
      </c>
    </row>
    <row r="804" spans="1:5">
      <c r="A804" s="3" t="s">
        <v>825</v>
      </c>
      <c r="B804" s="3" t="s">
        <v>22</v>
      </c>
      <c r="C804" s="3">
        <v>321485</v>
      </c>
      <c r="D804" s="3">
        <v>3837</v>
      </c>
      <c r="E804" s="3" t="s">
        <v>23</v>
      </c>
    </row>
    <row r="805" spans="1:5">
      <c r="A805" s="3" t="s">
        <v>826</v>
      </c>
      <c r="B805" s="3" t="s">
        <v>22</v>
      </c>
      <c r="C805" s="3">
        <v>594954</v>
      </c>
      <c r="D805" s="3">
        <v>12828</v>
      </c>
      <c r="E805" s="3" t="s">
        <v>23</v>
      </c>
    </row>
    <row r="806" spans="1:5">
      <c r="A806" s="3" t="s">
        <v>827</v>
      </c>
      <c r="B806" s="3" t="s">
        <v>22</v>
      </c>
      <c r="C806" s="3">
        <v>1396958</v>
      </c>
      <c r="D806" s="3">
        <v>336400</v>
      </c>
      <c r="E806" s="3" t="s">
        <v>23</v>
      </c>
    </row>
    <row r="807" spans="1:5">
      <c r="A807" s="3" t="s">
        <v>828</v>
      </c>
      <c r="B807" s="3" t="s">
        <v>22</v>
      </c>
      <c r="C807" s="3">
        <v>471839</v>
      </c>
      <c r="D807" s="3">
        <v>37375</v>
      </c>
      <c r="E807" s="3" t="s">
        <v>23</v>
      </c>
    </row>
    <row r="808" spans="1:5">
      <c r="A808" s="3" t="s">
        <v>829</v>
      </c>
      <c r="B808" s="3" t="s">
        <v>22</v>
      </c>
      <c r="C808" s="3">
        <v>845762</v>
      </c>
      <c r="D808" s="3">
        <v>154396</v>
      </c>
      <c r="E808" s="3" t="s">
        <v>23</v>
      </c>
    </row>
    <row r="809" spans="1:5">
      <c r="A809" s="3" t="s">
        <v>830</v>
      </c>
      <c r="B809" s="3" t="s">
        <v>22</v>
      </c>
      <c r="C809" s="3">
        <v>843588</v>
      </c>
      <c r="D809" s="3">
        <v>104799</v>
      </c>
      <c r="E809" s="3" t="s">
        <v>23</v>
      </c>
    </row>
    <row r="810" spans="1:5">
      <c r="A810" s="3" t="s">
        <v>831</v>
      </c>
      <c r="B810" s="3" t="s">
        <v>22</v>
      </c>
      <c r="C810" s="3">
        <v>670022</v>
      </c>
      <c r="D810" s="3">
        <v>54913</v>
      </c>
      <c r="E810" s="3" t="s">
        <v>23</v>
      </c>
    </row>
    <row r="811" spans="1:5">
      <c r="A811" s="3" t="s">
        <v>832</v>
      </c>
      <c r="B811" s="3" t="s">
        <v>22</v>
      </c>
      <c r="C811" s="3">
        <v>528819</v>
      </c>
      <c r="D811" s="3">
        <v>41691</v>
      </c>
      <c r="E811" s="3" t="s">
        <v>23</v>
      </c>
    </row>
    <row r="812" spans="1:5">
      <c r="A812" s="3" t="s">
        <v>833</v>
      </c>
      <c r="B812" s="3" t="s">
        <v>22</v>
      </c>
      <c r="C812" s="3">
        <v>413854</v>
      </c>
      <c r="D812" s="3">
        <v>31468</v>
      </c>
      <c r="E812" s="3" t="s">
        <v>23</v>
      </c>
    </row>
    <row r="813" spans="1:5">
      <c r="A813" s="3" t="s">
        <v>834</v>
      </c>
      <c r="B813" s="3" t="s">
        <v>22</v>
      </c>
      <c r="C813" s="3">
        <v>977109</v>
      </c>
      <c r="D813" s="3">
        <v>175796</v>
      </c>
      <c r="E813" s="3" t="s">
        <v>23</v>
      </c>
    </row>
    <row r="814" spans="1:5">
      <c r="A814" s="3" t="s">
        <v>835</v>
      </c>
      <c r="B814" s="3" t="s">
        <v>22</v>
      </c>
      <c r="C814" s="3">
        <v>622831</v>
      </c>
      <c r="D814" s="3">
        <v>84771</v>
      </c>
      <c r="E814" s="3" t="s">
        <v>23</v>
      </c>
    </row>
    <row r="815" spans="1:5">
      <c r="A815" s="3" t="s">
        <v>836</v>
      </c>
      <c r="B815" s="3" t="s">
        <v>22</v>
      </c>
      <c r="C815" s="3">
        <v>763662</v>
      </c>
      <c r="D815" s="3">
        <v>111605</v>
      </c>
      <c r="E815" s="3" t="s">
        <v>23</v>
      </c>
    </row>
    <row r="816" spans="1:5">
      <c r="A816" s="3" t="s">
        <v>837</v>
      </c>
      <c r="B816" s="3" t="s">
        <v>22</v>
      </c>
      <c r="C816" s="3">
        <v>516586</v>
      </c>
      <c r="D816" s="3">
        <v>25171</v>
      </c>
      <c r="E816" s="3" t="s">
        <v>23</v>
      </c>
    </row>
    <row r="817" spans="1:5">
      <c r="A817" s="3" t="s">
        <v>838</v>
      </c>
      <c r="B817" s="3" t="s">
        <v>22</v>
      </c>
      <c r="C817" s="3">
        <v>572845</v>
      </c>
      <c r="D817" s="3">
        <v>56980</v>
      </c>
      <c r="E817" s="3" t="s">
        <v>23</v>
      </c>
    </row>
    <row r="818" spans="1:5">
      <c r="A818" s="3" t="s">
        <v>839</v>
      </c>
      <c r="B818" s="3" t="s">
        <v>22</v>
      </c>
      <c r="C818" s="3">
        <v>466496</v>
      </c>
      <c r="D818" s="3">
        <v>16920</v>
      </c>
      <c r="E818" s="3" t="s">
        <v>23</v>
      </c>
    </row>
    <row r="819" spans="1:5">
      <c r="A819" s="3" t="s">
        <v>840</v>
      </c>
      <c r="B819" s="3" t="s">
        <v>22</v>
      </c>
      <c r="C819" s="3">
        <v>1023840</v>
      </c>
      <c r="D819" s="3">
        <v>178269</v>
      </c>
      <c r="E819" s="3" t="s">
        <v>23</v>
      </c>
    </row>
    <row r="820" spans="1:5">
      <c r="A820" s="3" t="s">
        <v>841</v>
      </c>
      <c r="B820" s="3" t="s">
        <v>22</v>
      </c>
      <c r="C820" s="3">
        <v>1169180</v>
      </c>
      <c r="D820" s="3">
        <v>244656</v>
      </c>
      <c r="E820" s="3" t="s">
        <v>23</v>
      </c>
    </row>
    <row r="821" spans="1:5">
      <c r="A821" s="3" t="s">
        <v>842</v>
      </c>
      <c r="B821" s="3" t="s">
        <v>22</v>
      </c>
      <c r="C821" s="3">
        <v>796407</v>
      </c>
      <c r="D821" s="3">
        <v>151712</v>
      </c>
      <c r="E821" s="3" t="s">
        <v>23</v>
      </c>
    </row>
    <row r="822" spans="1:5">
      <c r="A822" s="3" t="s">
        <v>843</v>
      </c>
      <c r="B822" s="3" t="s">
        <v>22</v>
      </c>
      <c r="C822" s="3">
        <v>819353</v>
      </c>
      <c r="D822" s="3">
        <v>100951</v>
      </c>
      <c r="E822" s="3" t="s">
        <v>23</v>
      </c>
    </row>
    <row r="823" spans="1:5">
      <c r="A823" s="3" t="s">
        <v>844</v>
      </c>
      <c r="B823" s="3" t="s">
        <v>22</v>
      </c>
      <c r="C823" s="3">
        <v>632678</v>
      </c>
      <c r="D823" s="3">
        <v>43825</v>
      </c>
      <c r="E823" s="3" t="s">
        <v>23</v>
      </c>
    </row>
    <row r="824" spans="1:5">
      <c r="A824" s="3" t="s">
        <v>845</v>
      </c>
      <c r="B824" s="3" t="s">
        <v>22</v>
      </c>
      <c r="C824" s="3">
        <v>626569</v>
      </c>
      <c r="D824" s="3">
        <v>62975</v>
      </c>
      <c r="E824" s="3" t="s">
        <v>23</v>
      </c>
    </row>
    <row r="825" spans="1:5">
      <c r="A825" s="3" t="s">
        <v>846</v>
      </c>
      <c r="B825" s="3" t="s">
        <v>22</v>
      </c>
      <c r="C825" s="3">
        <v>649464</v>
      </c>
      <c r="D825" s="3">
        <v>74256</v>
      </c>
      <c r="E825" s="3" t="s">
        <v>23</v>
      </c>
    </row>
    <row r="826" spans="1:5">
      <c r="A826" s="3" t="s">
        <v>847</v>
      </c>
      <c r="B826" s="3" t="s">
        <v>22</v>
      </c>
      <c r="C826" s="3">
        <v>780336</v>
      </c>
      <c r="D826" s="3">
        <v>109591</v>
      </c>
      <c r="E826" s="3" t="s">
        <v>23</v>
      </c>
    </row>
    <row r="827" spans="1:5">
      <c r="A827" s="3" t="s">
        <v>848</v>
      </c>
      <c r="B827" s="3" t="s">
        <v>22</v>
      </c>
      <c r="C827" s="3">
        <v>700374</v>
      </c>
      <c r="D827" s="3">
        <v>111637</v>
      </c>
      <c r="E827" s="3" t="s">
        <v>23</v>
      </c>
    </row>
    <row r="828" spans="1:5">
      <c r="A828" s="3" t="s">
        <v>849</v>
      </c>
      <c r="B828" s="3" t="s">
        <v>22</v>
      </c>
      <c r="C828" s="3">
        <v>881015</v>
      </c>
      <c r="D828" s="3">
        <v>93501</v>
      </c>
      <c r="E828" s="3" t="s">
        <v>23</v>
      </c>
    </row>
    <row r="829" spans="1:5">
      <c r="A829" s="3" t="s">
        <v>850</v>
      </c>
      <c r="B829" s="3" t="s">
        <v>22</v>
      </c>
      <c r="C829" s="3">
        <v>435231</v>
      </c>
      <c r="D829" s="3">
        <v>44034</v>
      </c>
      <c r="E829" s="3" t="s">
        <v>23</v>
      </c>
    </row>
    <row r="830" spans="1:5">
      <c r="A830" s="3" t="s">
        <v>851</v>
      </c>
      <c r="B830" s="3" t="s">
        <v>22</v>
      </c>
      <c r="C830" s="3">
        <v>689023</v>
      </c>
      <c r="D830" s="3">
        <v>80981</v>
      </c>
      <c r="E830" s="3" t="s">
        <v>23</v>
      </c>
    </row>
    <row r="831" spans="1:5">
      <c r="A831" s="3" t="s">
        <v>852</v>
      </c>
      <c r="B831" s="3" t="s">
        <v>22</v>
      </c>
      <c r="C831" s="3">
        <v>1246075</v>
      </c>
      <c r="D831" s="3">
        <v>172573</v>
      </c>
      <c r="E831" s="3" t="s">
        <v>23</v>
      </c>
    </row>
    <row r="832" spans="1:5">
      <c r="A832" s="3" t="s">
        <v>853</v>
      </c>
      <c r="B832" s="3" t="s">
        <v>22</v>
      </c>
      <c r="C832" s="3">
        <v>547933</v>
      </c>
      <c r="D832" s="3">
        <v>42516</v>
      </c>
      <c r="E832" s="3" t="s">
        <v>23</v>
      </c>
    </row>
    <row r="833" spans="1:5">
      <c r="A833" s="3" t="s">
        <v>854</v>
      </c>
      <c r="B833" s="3" t="s">
        <v>22</v>
      </c>
      <c r="C833" s="3">
        <v>1016564</v>
      </c>
      <c r="D833" s="3">
        <v>155031</v>
      </c>
      <c r="E833" s="3" t="s">
        <v>23</v>
      </c>
    </row>
    <row r="834" spans="1:5">
      <c r="A834" s="3" t="s">
        <v>855</v>
      </c>
      <c r="B834" s="3" t="s">
        <v>22</v>
      </c>
      <c r="C834" s="3">
        <v>856675</v>
      </c>
      <c r="D834" s="3">
        <v>81460</v>
      </c>
      <c r="E834" s="3" t="s">
        <v>23</v>
      </c>
    </row>
    <row r="835" spans="1:5">
      <c r="A835" s="3" t="s">
        <v>856</v>
      </c>
      <c r="B835" s="3" t="s">
        <v>22</v>
      </c>
      <c r="C835" s="3">
        <v>441021</v>
      </c>
      <c r="D835" s="3">
        <v>8499</v>
      </c>
      <c r="E835" s="3" t="s">
        <v>23</v>
      </c>
    </row>
    <row r="836" spans="1:5">
      <c r="A836" s="3" t="s">
        <v>857</v>
      </c>
      <c r="B836" s="3" t="s">
        <v>22</v>
      </c>
      <c r="C836" s="3">
        <v>322749</v>
      </c>
      <c r="D836" s="3">
        <v>2355</v>
      </c>
      <c r="E836" s="3" t="s">
        <v>23</v>
      </c>
    </row>
    <row r="837" spans="1:5">
      <c r="A837" s="3" t="s">
        <v>858</v>
      </c>
      <c r="B837" s="3" t="s">
        <v>22</v>
      </c>
      <c r="C837" s="3">
        <v>1169758</v>
      </c>
      <c r="D837" s="3">
        <v>231218</v>
      </c>
      <c r="E837" s="3" t="s">
        <v>23</v>
      </c>
    </row>
    <row r="838" spans="1:5">
      <c r="A838" s="3" t="s">
        <v>859</v>
      </c>
      <c r="B838" s="3" t="s">
        <v>22</v>
      </c>
      <c r="C838" s="3">
        <v>583524</v>
      </c>
      <c r="D838" s="3">
        <v>42677</v>
      </c>
      <c r="E838" s="3" t="s">
        <v>23</v>
      </c>
    </row>
    <row r="839" spans="1:5">
      <c r="A839" s="3" t="s">
        <v>860</v>
      </c>
      <c r="B839" s="3" t="s">
        <v>22</v>
      </c>
      <c r="C839" s="3">
        <v>708531</v>
      </c>
      <c r="D839" s="3">
        <v>78400</v>
      </c>
      <c r="E839" s="3" t="s">
        <v>23</v>
      </c>
    </row>
    <row r="840" spans="1:5">
      <c r="A840" s="3" t="s">
        <v>861</v>
      </c>
      <c r="B840" s="3" t="s">
        <v>22</v>
      </c>
      <c r="C840" s="3">
        <v>977889</v>
      </c>
      <c r="D840" s="3">
        <v>129796</v>
      </c>
      <c r="E840" s="3" t="s">
        <v>23</v>
      </c>
    </row>
    <row r="841" spans="1:5">
      <c r="A841" s="3" t="s">
        <v>862</v>
      </c>
      <c r="B841" s="3" t="s">
        <v>22</v>
      </c>
      <c r="C841" s="3">
        <v>1150426</v>
      </c>
      <c r="D841" s="3">
        <v>217296</v>
      </c>
      <c r="E841" s="3" t="s">
        <v>23</v>
      </c>
    </row>
    <row r="842" spans="1:5">
      <c r="A842" s="3" t="s">
        <v>863</v>
      </c>
      <c r="B842" s="3" t="s">
        <v>22</v>
      </c>
      <c r="C842" s="3">
        <v>723135</v>
      </c>
      <c r="D842" s="3">
        <v>45889</v>
      </c>
      <c r="E842" s="3" t="s">
        <v>23</v>
      </c>
    </row>
    <row r="843" spans="1:5">
      <c r="A843" s="3" t="s">
        <v>864</v>
      </c>
      <c r="B843" s="3" t="s">
        <v>22</v>
      </c>
      <c r="C843" s="3">
        <v>661509</v>
      </c>
      <c r="D843" s="3">
        <v>10208</v>
      </c>
      <c r="E843" s="3" t="s">
        <v>23</v>
      </c>
    </row>
    <row r="844" spans="1:5">
      <c r="A844" s="3" t="s">
        <v>865</v>
      </c>
      <c r="B844" s="3" t="s">
        <v>22</v>
      </c>
      <c r="C844" s="3">
        <v>1152744</v>
      </c>
      <c r="D844" s="3">
        <v>260509</v>
      </c>
      <c r="E844" s="3" t="s">
        <v>23</v>
      </c>
    </row>
    <row r="845" spans="1:5">
      <c r="A845" s="3" t="s">
        <v>866</v>
      </c>
      <c r="B845" s="3" t="s">
        <v>22</v>
      </c>
      <c r="C845" s="3">
        <v>1217334</v>
      </c>
      <c r="D845" s="3">
        <v>199541</v>
      </c>
      <c r="E845" s="3" t="s">
        <v>23</v>
      </c>
    </row>
    <row r="846" spans="1:5">
      <c r="A846" s="3" t="s">
        <v>867</v>
      </c>
      <c r="B846" s="3" t="s">
        <v>22</v>
      </c>
      <c r="C846" s="3">
        <v>403834</v>
      </c>
      <c r="D846" s="3">
        <v>5391</v>
      </c>
      <c r="E846" s="3" t="s">
        <v>23</v>
      </c>
    </row>
    <row r="847" spans="1:5">
      <c r="A847" s="3" t="s">
        <v>868</v>
      </c>
      <c r="B847" s="3" t="s">
        <v>22</v>
      </c>
      <c r="C847" s="3">
        <v>519928</v>
      </c>
      <c r="D847" s="3">
        <v>36381</v>
      </c>
      <c r="E847" s="3" t="s">
        <v>23</v>
      </c>
    </row>
    <row r="848" spans="1:5">
      <c r="A848" s="3" t="s">
        <v>869</v>
      </c>
      <c r="B848" s="3" t="s">
        <v>22</v>
      </c>
      <c r="C848" s="3">
        <v>793192</v>
      </c>
      <c r="D848" s="3">
        <v>92062</v>
      </c>
      <c r="E848" s="3" t="s">
        <v>23</v>
      </c>
    </row>
    <row r="849" spans="1:5">
      <c r="A849" s="3" t="s">
        <v>870</v>
      </c>
      <c r="B849" s="3" t="s">
        <v>22</v>
      </c>
      <c r="C849" s="3">
        <v>1041494</v>
      </c>
      <c r="D849" s="3">
        <v>163894</v>
      </c>
      <c r="E849" s="3" t="s">
        <v>23</v>
      </c>
    </row>
    <row r="850" spans="1:5">
      <c r="A850" s="3" t="s">
        <v>871</v>
      </c>
      <c r="B850" s="3" t="s">
        <v>22</v>
      </c>
      <c r="C850" s="3">
        <v>1093523</v>
      </c>
      <c r="D850" s="3">
        <v>208817</v>
      </c>
      <c r="E850" s="3" t="s">
        <v>23</v>
      </c>
    </row>
    <row r="851" spans="1:5">
      <c r="A851" s="3" t="s">
        <v>872</v>
      </c>
      <c r="B851" s="3" t="s">
        <v>22</v>
      </c>
      <c r="C851" s="3">
        <v>913739</v>
      </c>
      <c r="D851" s="3">
        <v>107004</v>
      </c>
      <c r="E851" s="3" t="s">
        <v>23</v>
      </c>
    </row>
    <row r="852" spans="1:5">
      <c r="A852" s="3" t="s">
        <v>873</v>
      </c>
      <c r="B852" s="3" t="s">
        <v>22</v>
      </c>
      <c r="C852" s="3">
        <v>1115980</v>
      </c>
      <c r="D852" s="3">
        <v>207571</v>
      </c>
      <c r="E852" s="3" t="s">
        <v>23</v>
      </c>
    </row>
    <row r="853" spans="1:5">
      <c r="A853" s="3" t="s">
        <v>874</v>
      </c>
      <c r="B853" s="3" t="s">
        <v>22</v>
      </c>
      <c r="C853" s="3">
        <v>334307</v>
      </c>
      <c r="D853" s="3">
        <v>34</v>
      </c>
      <c r="E853" s="3" t="s">
        <v>23</v>
      </c>
    </row>
    <row r="854" spans="1:5">
      <c r="A854" s="3" t="s">
        <v>875</v>
      </c>
      <c r="B854" s="3" t="s">
        <v>22</v>
      </c>
      <c r="C854" s="3">
        <v>693454</v>
      </c>
      <c r="D854" s="3">
        <v>18125</v>
      </c>
      <c r="E854" s="3" t="s">
        <v>23</v>
      </c>
    </row>
    <row r="855" spans="1:5">
      <c r="A855" s="3" t="s">
        <v>876</v>
      </c>
      <c r="B855" s="3" t="s">
        <v>22</v>
      </c>
      <c r="C855" s="3">
        <v>1112617</v>
      </c>
      <c r="D855" s="3">
        <v>254356</v>
      </c>
      <c r="E855" s="3" t="s">
        <v>23</v>
      </c>
    </row>
    <row r="856" spans="1:5">
      <c r="A856" s="3" t="s">
        <v>877</v>
      </c>
      <c r="B856" s="3" t="s">
        <v>22</v>
      </c>
      <c r="C856" s="3">
        <v>1235841</v>
      </c>
      <c r="D856" s="3">
        <v>280619</v>
      </c>
      <c r="E856" s="3" t="s">
        <v>23</v>
      </c>
    </row>
    <row r="857" spans="1:5">
      <c r="A857" s="3" t="s">
        <v>878</v>
      </c>
      <c r="B857" s="3" t="s">
        <v>22</v>
      </c>
      <c r="C857" s="3">
        <v>1225940</v>
      </c>
      <c r="D857" s="3">
        <v>225546</v>
      </c>
      <c r="E857" s="3" t="s">
        <v>23</v>
      </c>
    </row>
    <row r="858" spans="1:5">
      <c r="A858" s="3" t="s">
        <v>879</v>
      </c>
      <c r="B858" s="3" t="s">
        <v>22</v>
      </c>
      <c r="C858" s="3">
        <v>347800</v>
      </c>
      <c r="D858" s="3">
        <v>669</v>
      </c>
      <c r="E858" s="3" t="s">
        <v>23</v>
      </c>
    </row>
    <row r="859" spans="1:5">
      <c r="A859" s="3" t="s">
        <v>880</v>
      </c>
      <c r="B859" s="3" t="s">
        <v>22</v>
      </c>
      <c r="C859" s="3">
        <v>1467794</v>
      </c>
      <c r="D859" s="3">
        <v>318599</v>
      </c>
      <c r="E859" s="3" t="s">
        <v>23</v>
      </c>
    </row>
    <row r="860" spans="1:5">
      <c r="A860" s="3" t="s">
        <v>881</v>
      </c>
      <c r="B860" s="3" t="s">
        <v>22</v>
      </c>
      <c r="C860" s="3">
        <v>877838</v>
      </c>
      <c r="D860" s="3">
        <v>91381</v>
      </c>
      <c r="E860" s="3" t="s">
        <v>23</v>
      </c>
    </row>
    <row r="861" spans="1:5">
      <c r="A861" s="3" t="s">
        <v>882</v>
      </c>
      <c r="B861" s="3" t="s">
        <v>22</v>
      </c>
      <c r="C861" s="3">
        <v>1142147</v>
      </c>
      <c r="D861" s="3">
        <v>202540</v>
      </c>
      <c r="E861" s="3" t="s">
        <v>23</v>
      </c>
    </row>
    <row r="862" spans="1:5">
      <c r="A862" s="3" t="s">
        <v>883</v>
      </c>
      <c r="B862" s="3" t="s">
        <v>22</v>
      </c>
      <c r="C862" s="3">
        <v>50971</v>
      </c>
      <c r="D862" s="3">
        <v>5754</v>
      </c>
      <c r="E862" s="3" t="s">
        <v>23</v>
      </c>
    </row>
    <row r="863" spans="1:5">
      <c r="A863" s="3" t="s">
        <v>884</v>
      </c>
      <c r="B863" s="3" t="s">
        <v>22</v>
      </c>
      <c r="C863" s="3">
        <v>1337665</v>
      </c>
      <c r="D863" s="3">
        <v>257529</v>
      </c>
      <c r="E863" s="3" t="s">
        <v>23</v>
      </c>
    </row>
    <row r="864" spans="1:5">
      <c r="A864" s="3" t="s">
        <v>885</v>
      </c>
      <c r="B864" s="3" t="s">
        <v>22</v>
      </c>
      <c r="C864" s="3">
        <v>806080</v>
      </c>
      <c r="D864" s="3">
        <v>36691</v>
      </c>
      <c r="E864" s="3" t="s">
        <v>23</v>
      </c>
    </row>
    <row r="865" spans="1:5">
      <c r="A865" s="3" t="s">
        <v>886</v>
      </c>
      <c r="B865" s="3" t="s">
        <v>22</v>
      </c>
      <c r="C865" s="3">
        <v>816566</v>
      </c>
      <c r="D865" s="3">
        <v>58271</v>
      </c>
      <c r="E865" s="3" t="s">
        <v>23</v>
      </c>
    </row>
    <row r="866" spans="1:5">
      <c r="A866" s="3" t="s">
        <v>887</v>
      </c>
      <c r="B866" s="3" t="s">
        <v>22</v>
      </c>
      <c r="C866" s="3">
        <v>836625</v>
      </c>
      <c r="D866" s="3">
        <v>67860</v>
      </c>
      <c r="E866" s="3" t="s">
        <v>23</v>
      </c>
    </row>
    <row r="867" spans="1:5">
      <c r="A867" s="3" t="s">
        <v>888</v>
      </c>
      <c r="B867" s="3" t="s">
        <v>22</v>
      </c>
      <c r="C867" s="3">
        <v>1538120</v>
      </c>
      <c r="D867" s="3">
        <v>282745</v>
      </c>
      <c r="E867" s="3" t="s">
        <v>23</v>
      </c>
    </row>
    <row r="868" spans="1:5">
      <c r="A868" s="3" t="s">
        <v>889</v>
      </c>
      <c r="B868" s="3" t="s">
        <v>22</v>
      </c>
      <c r="C868" s="3">
        <v>1383448</v>
      </c>
      <c r="D868" s="3">
        <v>278204</v>
      </c>
      <c r="E868" s="3" t="s">
        <v>23</v>
      </c>
    </row>
    <row r="869" spans="1:5">
      <c r="A869" s="3" t="s">
        <v>890</v>
      </c>
      <c r="B869" s="3" t="s">
        <v>22</v>
      </c>
      <c r="C869" s="3">
        <v>681685</v>
      </c>
      <c r="D869" s="3">
        <v>12542</v>
      </c>
      <c r="E869" s="3" t="s">
        <v>23</v>
      </c>
    </row>
    <row r="870" spans="1:5">
      <c r="A870" s="3" t="s">
        <v>891</v>
      </c>
      <c r="B870" s="3" t="s">
        <v>22</v>
      </c>
      <c r="C870" s="3">
        <v>1131874</v>
      </c>
      <c r="D870" s="3">
        <v>233171</v>
      </c>
      <c r="E870" s="3" t="s">
        <v>23</v>
      </c>
    </row>
    <row r="871" spans="1:5">
      <c r="A871" s="3" t="s">
        <v>892</v>
      </c>
      <c r="B871" s="3" t="s">
        <v>22</v>
      </c>
      <c r="C871" s="3">
        <v>965405</v>
      </c>
      <c r="D871" s="3">
        <v>40499</v>
      </c>
      <c r="E871" s="3" t="s">
        <v>23</v>
      </c>
    </row>
    <row r="872" spans="1:5">
      <c r="A872" s="3" t="s">
        <v>893</v>
      </c>
      <c r="B872" s="3" t="s">
        <v>22</v>
      </c>
      <c r="C872" s="3">
        <v>1188618</v>
      </c>
      <c r="D872" s="3">
        <v>155000</v>
      </c>
      <c r="E872" s="3" t="s">
        <v>23</v>
      </c>
    </row>
    <row r="873" spans="1:5">
      <c r="A873" s="3" t="s">
        <v>894</v>
      </c>
      <c r="B873" s="3" t="s">
        <v>22</v>
      </c>
      <c r="C873" s="3">
        <v>745128</v>
      </c>
      <c r="D873" s="3">
        <v>17015</v>
      </c>
      <c r="E873" s="3" t="s">
        <v>23</v>
      </c>
    </row>
    <row r="874" spans="1:5">
      <c r="A874" s="3" t="s">
        <v>895</v>
      </c>
      <c r="B874" s="3" t="s">
        <v>22</v>
      </c>
      <c r="C874" s="3">
        <v>642438</v>
      </c>
      <c r="D874" s="3">
        <v>51047</v>
      </c>
      <c r="E874" s="3" t="s">
        <v>23</v>
      </c>
    </row>
    <row r="875" spans="1:5">
      <c r="A875" s="3" t="s">
        <v>896</v>
      </c>
      <c r="B875" s="3" t="s">
        <v>22</v>
      </c>
      <c r="C875" s="3">
        <v>1565699</v>
      </c>
      <c r="D875" s="3">
        <v>297058</v>
      </c>
      <c r="E875" s="3" t="s">
        <v>23</v>
      </c>
    </row>
    <row r="876" spans="1:5">
      <c r="A876" s="3" t="s">
        <v>897</v>
      </c>
      <c r="B876" s="3" t="s">
        <v>22</v>
      </c>
      <c r="C876" s="3">
        <v>437153</v>
      </c>
      <c r="D876" s="3">
        <v>3506</v>
      </c>
      <c r="E876" s="3" t="s">
        <v>23</v>
      </c>
    </row>
    <row r="877" spans="1:5">
      <c r="A877" s="3" t="s">
        <v>898</v>
      </c>
      <c r="B877" s="3" t="s">
        <v>22</v>
      </c>
      <c r="C877" s="3">
        <v>1488119</v>
      </c>
      <c r="D877" s="3">
        <v>304968</v>
      </c>
      <c r="E877" s="3" t="s">
        <v>23</v>
      </c>
    </row>
    <row r="878" spans="1:5">
      <c r="A878" s="3" t="s">
        <v>899</v>
      </c>
      <c r="B878" s="3" t="s">
        <v>22</v>
      </c>
      <c r="C878" s="3">
        <v>1398906</v>
      </c>
      <c r="D878" s="3">
        <v>192808</v>
      </c>
      <c r="E878" s="3" t="s">
        <v>23</v>
      </c>
    </row>
    <row r="879" spans="1:5">
      <c r="A879" s="3" t="s">
        <v>900</v>
      </c>
      <c r="B879" s="3" t="s">
        <v>22</v>
      </c>
      <c r="C879" s="3">
        <v>1219109</v>
      </c>
      <c r="D879" s="3">
        <v>153153</v>
      </c>
      <c r="E879" s="3" t="s">
        <v>23</v>
      </c>
    </row>
    <row r="880" spans="1:5">
      <c r="A880" s="3" t="s">
        <v>901</v>
      </c>
      <c r="B880" s="3" t="s">
        <v>22</v>
      </c>
      <c r="C880" s="3">
        <v>925771</v>
      </c>
      <c r="D880" s="3">
        <v>69798</v>
      </c>
      <c r="E880" s="3" t="s">
        <v>23</v>
      </c>
    </row>
    <row r="881" spans="1:5">
      <c r="A881" s="3" t="s">
        <v>902</v>
      </c>
      <c r="B881" s="3" t="s">
        <v>22</v>
      </c>
      <c r="C881" s="3">
        <v>1522670</v>
      </c>
      <c r="D881" s="3">
        <v>268813</v>
      </c>
      <c r="E881" s="3" t="s">
        <v>23</v>
      </c>
    </row>
    <row r="882" spans="1:5">
      <c r="A882" s="3" t="s">
        <v>903</v>
      </c>
      <c r="B882" s="3" t="s">
        <v>22</v>
      </c>
      <c r="C882" s="3">
        <v>890080</v>
      </c>
      <c r="D882" s="3">
        <v>34759</v>
      </c>
      <c r="E882" s="3" t="s">
        <v>23</v>
      </c>
    </row>
    <row r="883" spans="1:5">
      <c r="A883" s="3" t="s">
        <v>904</v>
      </c>
      <c r="B883" s="3" t="s">
        <v>22</v>
      </c>
      <c r="C883" s="3">
        <v>1137614</v>
      </c>
      <c r="D883" s="3">
        <v>180614</v>
      </c>
      <c r="E883" s="3" t="s">
        <v>23</v>
      </c>
    </row>
    <row r="884" spans="1:5">
      <c r="A884" s="3" t="s">
        <v>905</v>
      </c>
      <c r="B884" s="3" t="s">
        <v>22</v>
      </c>
      <c r="C884" s="3">
        <v>1071831</v>
      </c>
      <c r="D884" s="3">
        <v>85686</v>
      </c>
      <c r="E884" s="3" t="s">
        <v>23</v>
      </c>
    </row>
    <row r="885" spans="1:5">
      <c r="A885" s="3" t="s">
        <v>906</v>
      </c>
      <c r="B885" s="3" t="s">
        <v>22</v>
      </c>
      <c r="C885" s="3">
        <v>1024139</v>
      </c>
      <c r="D885" s="3">
        <v>112244</v>
      </c>
      <c r="E885" s="3" t="s">
        <v>23</v>
      </c>
    </row>
    <row r="886" spans="1:5">
      <c r="A886" s="3" t="s">
        <v>907</v>
      </c>
      <c r="B886" s="3" t="s">
        <v>22</v>
      </c>
      <c r="C886" s="3">
        <v>599832</v>
      </c>
      <c r="D886" s="3">
        <v>12051</v>
      </c>
      <c r="E886" s="3" t="s">
        <v>23</v>
      </c>
    </row>
    <row r="887" spans="1:5">
      <c r="A887" s="3" t="s">
        <v>908</v>
      </c>
      <c r="B887" s="3" t="s">
        <v>22</v>
      </c>
      <c r="C887" s="3">
        <v>987903</v>
      </c>
      <c r="D887" s="3">
        <v>110366</v>
      </c>
      <c r="E887" s="3" t="s">
        <v>23</v>
      </c>
    </row>
    <row r="888" spans="1:5">
      <c r="A888" s="3" t="s">
        <v>909</v>
      </c>
      <c r="B888" s="3" t="s">
        <v>22</v>
      </c>
      <c r="C888" s="3">
        <v>1165703</v>
      </c>
      <c r="D888" s="3">
        <v>135935</v>
      </c>
      <c r="E888" s="3" t="s">
        <v>23</v>
      </c>
    </row>
    <row r="889" spans="1:5">
      <c r="A889" s="3" t="s">
        <v>910</v>
      </c>
      <c r="B889" s="3" t="s">
        <v>22</v>
      </c>
      <c r="C889" s="3">
        <v>1366706</v>
      </c>
      <c r="D889" s="3">
        <v>223253</v>
      </c>
      <c r="E889" s="3" t="s">
        <v>23</v>
      </c>
    </row>
    <row r="890" spans="1:5">
      <c r="A890" s="3" t="s">
        <v>911</v>
      </c>
      <c r="B890" s="3" t="s">
        <v>22</v>
      </c>
      <c r="C890" s="3">
        <v>1023155</v>
      </c>
      <c r="D890" s="3">
        <v>109779</v>
      </c>
      <c r="E890" s="3" t="s">
        <v>23</v>
      </c>
    </row>
    <row r="891" spans="1:5">
      <c r="A891" s="3" t="s">
        <v>912</v>
      </c>
      <c r="B891" s="3" t="s">
        <v>22</v>
      </c>
      <c r="C891" s="3">
        <v>906682</v>
      </c>
      <c r="D891" s="3">
        <v>96929</v>
      </c>
      <c r="E891" s="3" t="s">
        <v>23</v>
      </c>
    </row>
    <row r="892" spans="1:5">
      <c r="A892" s="3" t="s">
        <v>913</v>
      </c>
      <c r="B892" s="3" t="s">
        <v>22</v>
      </c>
      <c r="C892" s="3">
        <v>999108</v>
      </c>
      <c r="D892" s="3">
        <v>129143</v>
      </c>
      <c r="E892" s="3" t="s">
        <v>23</v>
      </c>
    </row>
    <row r="893" spans="1:5">
      <c r="A893" s="3" t="s">
        <v>914</v>
      </c>
      <c r="B893" s="3" t="s">
        <v>22</v>
      </c>
      <c r="C893" s="3">
        <v>595508</v>
      </c>
      <c r="D893" s="3">
        <v>31644</v>
      </c>
      <c r="E893" s="3" t="s">
        <v>23</v>
      </c>
    </row>
    <row r="894" spans="1:5">
      <c r="A894" s="3" t="s">
        <v>915</v>
      </c>
      <c r="B894" s="3" t="s">
        <v>22</v>
      </c>
      <c r="C894" s="3">
        <v>1029533</v>
      </c>
      <c r="D894" s="3">
        <v>63418</v>
      </c>
      <c r="E894" s="3" t="s">
        <v>23</v>
      </c>
    </row>
    <row r="895" spans="1:5">
      <c r="A895" s="3" t="s">
        <v>916</v>
      </c>
      <c r="B895" s="3" t="s">
        <v>22</v>
      </c>
      <c r="C895" s="3">
        <v>1898824</v>
      </c>
      <c r="D895" s="3">
        <v>512018</v>
      </c>
      <c r="E895" s="3" t="s">
        <v>23</v>
      </c>
    </row>
    <row r="896" spans="1:5">
      <c r="A896" s="3" t="s">
        <v>917</v>
      </c>
      <c r="B896" s="3" t="s">
        <v>22</v>
      </c>
      <c r="C896" s="3">
        <v>1300518</v>
      </c>
      <c r="D896" s="3">
        <v>230275</v>
      </c>
      <c r="E896" s="3" t="s">
        <v>23</v>
      </c>
    </row>
    <row r="897" spans="1:5">
      <c r="A897" s="3" t="s">
        <v>918</v>
      </c>
      <c r="B897" s="3" t="s">
        <v>22</v>
      </c>
      <c r="C897" s="3">
        <v>639409</v>
      </c>
      <c r="D897" s="3">
        <v>4178</v>
      </c>
      <c r="E897" s="3" t="s">
        <v>23</v>
      </c>
    </row>
    <row r="898" spans="1:5">
      <c r="A898" s="3" t="s">
        <v>919</v>
      </c>
      <c r="B898" s="3" t="s">
        <v>22</v>
      </c>
      <c r="C898" s="3">
        <v>519594</v>
      </c>
      <c r="D898" s="3">
        <v>2071</v>
      </c>
      <c r="E898" s="3" t="s">
        <v>23</v>
      </c>
    </row>
    <row r="899" spans="1:5">
      <c r="A899" s="3" t="s">
        <v>920</v>
      </c>
      <c r="B899" s="3" t="s">
        <v>22</v>
      </c>
      <c r="C899" s="3">
        <v>1280162</v>
      </c>
      <c r="D899" s="3">
        <v>202430</v>
      </c>
      <c r="E899" s="3" t="s">
        <v>23</v>
      </c>
    </row>
    <row r="900" spans="1:5">
      <c r="A900" s="3" t="s">
        <v>921</v>
      </c>
      <c r="B900" s="3" t="s">
        <v>22</v>
      </c>
      <c r="C900" s="3">
        <v>931241</v>
      </c>
      <c r="D900" s="3">
        <v>61361</v>
      </c>
      <c r="E900" s="3" t="s">
        <v>23</v>
      </c>
    </row>
    <row r="901" spans="1:5">
      <c r="A901" s="3" t="s">
        <v>922</v>
      </c>
      <c r="B901" s="3" t="s">
        <v>22</v>
      </c>
      <c r="C901" s="3">
        <v>1284783</v>
      </c>
      <c r="D901" s="3">
        <v>210282</v>
      </c>
      <c r="E901" s="3" t="s">
        <v>23</v>
      </c>
    </row>
    <row r="902" spans="1:5">
      <c r="A902" s="3" t="s">
        <v>923</v>
      </c>
      <c r="B902" s="3" t="s">
        <v>22</v>
      </c>
      <c r="C902" s="3">
        <v>1017262</v>
      </c>
      <c r="D902" s="3">
        <v>74189</v>
      </c>
      <c r="E902" s="3" t="s">
        <v>23</v>
      </c>
    </row>
    <row r="903" spans="1:5">
      <c r="A903" s="3" t="s">
        <v>924</v>
      </c>
      <c r="B903" s="3" t="s">
        <v>22</v>
      </c>
      <c r="C903" s="3">
        <v>841175</v>
      </c>
      <c r="D903" s="3">
        <v>97160</v>
      </c>
      <c r="E903" s="3" t="s">
        <v>23</v>
      </c>
    </row>
    <row r="904" spans="1:5">
      <c r="A904" s="3" t="s">
        <v>925</v>
      </c>
      <c r="B904" s="3" t="s">
        <v>22</v>
      </c>
      <c r="C904" s="3">
        <v>727356</v>
      </c>
      <c r="D904" s="3">
        <v>19198</v>
      </c>
      <c r="E904" s="3" t="s">
        <v>23</v>
      </c>
    </row>
    <row r="905" spans="1:5">
      <c r="A905" s="3" t="s">
        <v>926</v>
      </c>
      <c r="B905" s="3" t="s">
        <v>22</v>
      </c>
      <c r="C905" s="3">
        <v>1054375</v>
      </c>
      <c r="D905" s="3">
        <v>145372</v>
      </c>
      <c r="E905" s="3" t="s">
        <v>23</v>
      </c>
    </row>
    <row r="906" spans="1:5">
      <c r="A906" s="3" t="s">
        <v>927</v>
      </c>
      <c r="B906" s="3" t="s">
        <v>22</v>
      </c>
      <c r="C906" s="3">
        <v>1123685</v>
      </c>
      <c r="D906" s="3">
        <v>94716</v>
      </c>
      <c r="E906" s="3" t="s">
        <v>23</v>
      </c>
    </row>
    <row r="907" spans="1:5">
      <c r="A907" s="3" t="s">
        <v>928</v>
      </c>
      <c r="B907" s="3" t="s">
        <v>22</v>
      </c>
      <c r="C907" s="3">
        <v>872302</v>
      </c>
      <c r="D907" s="3">
        <v>43801</v>
      </c>
      <c r="E907" s="3" t="s">
        <v>23</v>
      </c>
    </row>
    <row r="908" spans="1:5">
      <c r="A908" s="3" t="s">
        <v>929</v>
      </c>
      <c r="B908" s="3" t="s">
        <v>22</v>
      </c>
      <c r="C908" s="3">
        <v>1306193</v>
      </c>
      <c r="D908" s="3">
        <v>214785</v>
      </c>
      <c r="E908" s="3" t="s">
        <v>23</v>
      </c>
    </row>
    <row r="909" spans="1:5">
      <c r="A909" s="3" t="s">
        <v>930</v>
      </c>
      <c r="B909" s="3" t="s">
        <v>22</v>
      </c>
      <c r="C909" s="3">
        <v>755263</v>
      </c>
      <c r="D909" s="3">
        <v>49147</v>
      </c>
      <c r="E909" s="3" t="s">
        <v>23</v>
      </c>
    </row>
    <row r="910" spans="1:5">
      <c r="A910" s="3" t="s">
        <v>931</v>
      </c>
      <c r="B910" s="3" t="s">
        <v>22</v>
      </c>
      <c r="C910" s="3">
        <v>762733</v>
      </c>
      <c r="D910" s="3">
        <v>85206</v>
      </c>
      <c r="E910" s="3" t="s">
        <v>23</v>
      </c>
    </row>
    <row r="911" spans="1:5">
      <c r="A911" s="3" t="s">
        <v>932</v>
      </c>
      <c r="B911" s="3" t="s">
        <v>22</v>
      </c>
      <c r="C911" s="3">
        <v>1130021</v>
      </c>
      <c r="D911" s="3">
        <v>148514</v>
      </c>
      <c r="E911" s="3" t="s">
        <v>23</v>
      </c>
    </row>
    <row r="912" spans="1:5">
      <c r="A912" s="3" t="s">
        <v>933</v>
      </c>
      <c r="B912" s="3" t="s">
        <v>22</v>
      </c>
      <c r="C912" s="3">
        <v>655194</v>
      </c>
      <c r="D912" s="3">
        <v>89300</v>
      </c>
      <c r="E912" s="3" t="s">
        <v>23</v>
      </c>
    </row>
    <row r="913" spans="1:5">
      <c r="A913" s="3" t="s">
        <v>934</v>
      </c>
      <c r="B913" s="3" t="s">
        <v>22</v>
      </c>
      <c r="C913" s="3">
        <v>1077114</v>
      </c>
      <c r="D913" s="3">
        <v>95491</v>
      </c>
      <c r="E913" s="3" t="s">
        <v>23</v>
      </c>
    </row>
    <row r="914" spans="1:5">
      <c r="A914" s="3" t="s">
        <v>935</v>
      </c>
      <c r="B914" s="3" t="s">
        <v>22</v>
      </c>
      <c r="C914" s="3">
        <v>1121176</v>
      </c>
      <c r="D914" s="3">
        <v>176887</v>
      </c>
      <c r="E914" s="3" t="s">
        <v>23</v>
      </c>
    </row>
    <row r="915" spans="1:5">
      <c r="A915" s="3" t="s">
        <v>936</v>
      </c>
      <c r="B915" s="3" t="s">
        <v>22</v>
      </c>
      <c r="C915" s="3">
        <v>1051897</v>
      </c>
      <c r="D915" s="3">
        <v>126615</v>
      </c>
      <c r="E915" s="3" t="s">
        <v>23</v>
      </c>
    </row>
    <row r="916" spans="1:5">
      <c r="A916" s="3" t="s">
        <v>937</v>
      </c>
      <c r="B916" s="3" t="s">
        <v>22</v>
      </c>
      <c r="C916" s="3">
        <v>959044</v>
      </c>
      <c r="D916" s="3">
        <v>118923</v>
      </c>
      <c r="E916" s="3" t="s">
        <v>23</v>
      </c>
    </row>
    <row r="917" spans="1:5">
      <c r="A917" s="3" t="s">
        <v>938</v>
      </c>
      <c r="B917" s="3" t="s">
        <v>22</v>
      </c>
      <c r="C917" s="3">
        <v>659049</v>
      </c>
      <c r="D917" s="3">
        <v>35324</v>
      </c>
      <c r="E917" s="3" t="s">
        <v>23</v>
      </c>
    </row>
    <row r="918" spans="1:5">
      <c r="A918" s="3" t="s">
        <v>939</v>
      </c>
      <c r="B918" s="3" t="s">
        <v>22</v>
      </c>
      <c r="C918" s="3">
        <v>1364122</v>
      </c>
      <c r="D918" s="3">
        <v>270094</v>
      </c>
      <c r="E918" s="3" t="s">
        <v>23</v>
      </c>
    </row>
    <row r="919" spans="1:5">
      <c r="A919" s="3" t="s">
        <v>940</v>
      </c>
      <c r="B919" s="3" t="s">
        <v>22</v>
      </c>
      <c r="C919" s="3">
        <v>1153006</v>
      </c>
      <c r="D919" s="3">
        <v>143966</v>
      </c>
      <c r="E919" s="3" t="s">
        <v>23</v>
      </c>
    </row>
    <row r="920" spans="1:5">
      <c r="A920" s="3" t="s">
        <v>941</v>
      </c>
      <c r="B920" s="3" t="s">
        <v>22</v>
      </c>
      <c r="C920" s="3">
        <v>1238710</v>
      </c>
      <c r="D920" s="3">
        <v>191154</v>
      </c>
      <c r="E920" s="3" t="s">
        <v>23</v>
      </c>
    </row>
    <row r="921" spans="1:5">
      <c r="A921" s="3" t="s">
        <v>942</v>
      </c>
      <c r="B921" s="3" t="s">
        <v>22</v>
      </c>
      <c r="C921" s="3">
        <v>1307482</v>
      </c>
      <c r="D921" s="3">
        <v>166363</v>
      </c>
      <c r="E921" s="3" t="s">
        <v>23</v>
      </c>
    </row>
    <row r="922" spans="1:5">
      <c r="A922" s="3" t="s">
        <v>943</v>
      </c>
      <c r="B922" s="3" t="s">
        <v>22</v>
      </c>
      <c r="C922" s="3">
        <v>748101</v>
      </c>
      <c r="D922" s="3">
        <v>58548</v>
      </c>
      <c r="E922" s="3" t="s">
        <v>23</v>
      </c>
    </row>
    <row r="923" spans="1:5">
      <c r="A923" s="3" t="s">
        <v>944</v>
      </c>
      <c r="B923" s="3" t="s">
        <v>22</v>
      </c>
      <c r="C923" s="3">
        <v>1023922</v>
      </c>
      <c r="D923" s="3">
        <v>97441</v>
      </c>
      <c r="E923" s="3" t="s">
        <v>23</v>
      </c>
    </row>
    <row r="924" spans="1:5">
      <c r="A924" s="3" t="s">
        <v>945</v>
      </c>
      <c r="B924" s="3" t="s">
        <v>22</v>
      </c>
      <c r="C924" s="3">
        <v>1044519</v>
      </c>
      <c r="D924" s="3">
        <v>133704</v>
      </c>
      <c r="E924" s="3" t="s">
        <v>23</v>
      </c>
    </row>
    <row r="925" spans="1:5">
      <c r="A925" s="3" t="s">
        <v>946</v>
      </c>
      <c r="B925" s="3" t="s">
        <v>22</v>
      </c>
      <c r="C925" s="3">
        <v>728452</v>
      </c>
      <c r="D925" s="3">
        <v>45534</v>
      </c>
      <c r="E925" s="3" t="s">
        <v>23</v>
      </c>
    </row>
    <row r="926" spans="1:5">
      <c r="A926" s="3" t="s">
        <v>947</v>
      </c>
      <c r="B926" s="3" t="s">
        <v>22</v>
      </c>
      <c r="C926" s="3">
        <v>1487723</v>
      </c>
      <c r="D926" s="3">
        <v>234482</v>
      </c>
      <c r="E926" s="3" t="s">
        <v>23</v>
      </c>
    </row>
    <row r="927" spans="1:5">
      <c r="A927" s="3" t="s">
        <v>948</v>
      </c>
      <c r="B927" s="3" t="s">
        <v>22</v>
      </c>
      <c r="C927" s="3">
        <v>1079858</v>
      </c>
      <c r="D927" s="3">
        <v>126026</v>
      </c>
      <c r="E927" s="3" t="s">
        <v>23</v>
      </c>
    </row>
    <row r="928" spans="1:5">
      <c r="A928" s="3" t="s">
        <v>949</v>
      </c>
      <c r="B928" s="3" t="s">
        <v>22</v>
      </c>
      <c r="C928" s="3">
        <v>752844</v>
      </c>
      <c r="D928" s="3">
        <v>75317</v>
      </c>
      <c r="E928" s="3" t="s">
        <v>23</v>
      </c>
    </row>
    <row r="929" spans="1:5">
      <c r="A929" s="3" t="s">
        <v>950</v>
      </c>
      <c r="B929" s="3" t="s">
        <v>22</v>
      </c>
      <c r="C929" s="3">
        <v>467546</v>
      </c>
      <c r="D929" s="3">
        <v>6672</v>
      </c>
      <c r="E929" s="3" t="s">
        <v>23</v>
      </c>
    </row>
    <row r="930" spans="1:5">
      <c r="A930" s="3" t="s">
        <v>951</v>
      </c>
      <c r="B930" s="3" t="s">
        <v>22</v>
      </c>
      <c r="C930" s="3">
        <v>1596443</v>
      </c>
      <c r="D930" s="3">
        <v>458425</v>
      </c>
      <c r="E930" s="3" t="s">
        <v>23</v>
      </c>
    </row>
    <row r="931" spans="1:5">
      <c r="A931" s="3" t="s">
        <v>952</v>
      </c>
      <c r="B931" s="3" t="s">
        <v>22</v>
      </c>
      <c r="C931" s="3">
        <v>581795</v>
      </c>
      <c r="D931" s="3">
        <v>8775</v>
      </c>
      <c r="E931" s="3" t="s">
        <v>23</v>
      </c>
    </row>
    <row r="932" spans="1:5">
      <c r="A932" s="3" t="s">
        <v>953</v>
      </c>
      <c r="B932" s="3" t="s">
        <v>22</v>
      </c>
      <c r="C932" s="3">
        <v>630835</v>
      </c>
      <c r="D932" s="3">
        <v>40645</v>
      </c>
      <c r="E932" s="3" t="s">
        <v>23</v>
      </c>
    </row>
    <row r="933" spans="1:5">
      <c r="A933" s="3" t="s">
        <v>954</v>
      </c>
      <c r="B933" s="3" t="s">
        <v>22</v>
      </c>
      <c r="C933" s="3">
        <v>2272997</v>
      </c>
      <c r="D933" s="3">
        <v>421910</v>
      </c>
      <c r="E933" s="3" t="s">
        <v>23</v>
      </c>
    </row>
    <row r="934" spans="1:5">
      <c r="A934" s="3" t="s">
        <v>955</v>
      </c>
      <c r="B934" s="3" t="s">
        <v>22</v>
      </c>
      <c r="C934" s="3">
        <v>1297808</v>
      </c>
      <c r="D934" s="3">
        <v>252815</v>
      </c>
      <c r="E934" s="3" t="s">
        <v>23</v>
      </c>
    </row>
    <row r="935" spans="1:5">
      <c r="A935" s="3" t="s">
        <v>956</v>
      </c>
      <c r="B935" s="3" t="s">
        <v>22</v>
      </c>
      <c r="C935" s="3">
        <v>440918</v>
      </c>
      <c r="D935" s="3">
        <v>36340</v>
      </c>
      <c r="E935" s="3" t="s">
        <v>23</v>
      </c>
    </row>
    <row r="936" spans="1:5">
      <c r="A936" s="3" t="s">
        <v>957</v>
      </c>
      <c r="B936" s="3" t="s">
        <v>22</v>
      </c>
      <c r="C936" s="3">
        <v>616425</v>
      </c>
      <c r="D936" s="3">
        <v>10588</v>
      </c>
      <c r="E936" s="3" t="s">
        <v>23</v>
      </c>
    </row>
    <row r="937" spans="1:5">
      <c r="A937" s="3" t="s">
        <v>958</v>
      </c>
      <c r="B937" s="3" t="s">
        <v>22</v>
      </c>
      <c r="C937" s="3">
        <v>1408914</v>
      </c>
      <c r="D937" s="3">
        <v>313100</v>
      </c>
      <c r="E937" s="3" t="s">
        <v>23</v>
      </c>
    </row>
    <row r="938" spans="1:5">
      <c r="A938" s="3" t="s">
        <v>959</v>
      </c>
      <c r="B938" s="3" t="s">
        <v>22</v>
      </c>
      <c r="C938" s="3">
        <v>1238279</v>
      </c>
      <c r="D938" s="3">
        <v>183191</v>
      </c>
      <c r="E938" s="3" t="s">
        <v>23</v>
      </c>
    </row>
    <row r="939" spans="1:5">
      <c r="A939" s="3" t="s">
        <v>960</v>
      </c>
      <c r="B939" s="3" t="s">
        <v>22</v>
      </c>
      <c r="C939" s="3">
        <v>450561</v>
      </c>
      <c r="D939" s="3">
        <v>9457</v>
      </c>
      <c r="E939" s="3" t="s">
        <v>23</v>
      </c>
    </row>
    <row r="940" spans="1:5">
      <c r="A940" s="3" t="s">
        <v>961</v>
      </c>
      <c r="B940" s="3" t="s">
        <v>22</v>
      </c>
      <c r="C940" s="3">
        <v>498167</v>
      </c>
      <c r="D940" s="3">
        <v>2777</v>
      </c>
      <c r="E940" s="3" t="s">
        <v>23</v>
      </c>
    </row>
    <row r="941" spans="1:5">
      <c r="A941" s="3" t="s">
        <v>962</v>
      </c>
      <c r="B941" s="3" t="s">
        <v>22</v>
      </c>
      <c r="C941" s="3">
        <v>1554680</v>
      </c>
      <c r="D941" s="3">
        <v>323859</v>
      </c>
      <c r="E941" s="3" t="s">
        <v>23</v>
      </c>
    </row>
    <row r="942" spans="1:5">
      <c r="A942" s="3" t="s">
        <v>963</v>
      </c>
      <c r="B942" s="3" t="s">
        <v>22</v>
      </c>
      <c r="C942" s="3">
        <v>105986</v>
      </c>
      <c r="D942" s="3">
        <v>18601</v>
      </c>
      <c r="E942" s="3" t="s">
        <v>23</v>
      </c>
    </row>
    <row r="943" spans="1:5">
      <c r="A943" s="3" t="s">
        <v>964</v>
      </c>
      <c r="B943" s="3" t="s">
        <v>22</v>
      </c>
      <c r="C943" s="3">
        <v>1279103</v>
      </c>
      <c r="D943" s="3">
        <v>251785</v>
      </c>
      <c r="E943" s="3" t="s">
        <v>23</v>
      </c>
    </row>
    <row r="944" spans="1:5">
      <c r="A944" s="3" t="s">
        <v>965</v>
      </c>
      <c r="B944" s="3" t="s">
        <v>22</v>
      </c>
      <c r="C944" s="3">
        <v>1345065</v>
      </c>
      <c r="D944" s="3">
        <v>266020</v>
      </c>
      <c r="E944" s="3" t="s">
        <v>23</v>
      </c>
    </row>
    <row r="945" spans="1:5">
      <c r="A945" s="3" t="s">
        <v>966</v>
      </c>
      <c r="B945" s="3" t="s">
        <v>22</v>
      </c>
      <c r="C945" s="3">
        <v>1347611</v>
      </c>
      <c r="D945" s="3">
        <v>268874</v>
      </c>
      <c r="E945" s="3" t="s">
        <v>23</v>
      </c>
    </row>
    <row r="946" spans="1:5">
      <c r="A946" s="3" t="s">
        <v>967</v>
      </c>
      <c r="B946" s="3" t="s">
        <v>22</v>
      </c>
      <c r="C946" s="3">
        <v>758282</v>
      </c>
      <c r="D946" s="3">
        <v>1758</v>
      </c>
      <c r="E946" s="3" t="s">
        <v>23</v>
      </c>
    </row>
    <row r="947" spans="1:5">
      <c r="A947" s="3" t="s">
        <v>968</v>
      </c>
      <c r="B947" s="3" t="s">
        <v>22</v>
      </c>
      <c r="C947" s="3">
        <v>863867</v>
      </c>
      <c r="D947" s="3">
        <v>54793</v>
      </c>
      <c r="E947" s="3" t="s">
        <v>23</v>
      </c>
    </row>
    <row r="948" spans="1:5">
      <c r="A948" s="3" t="s">
        <v>969</v>
      </c>
      <c r="B948" s="3" t="s">
        <v>22</v>
      </c>
      <c r="C948" s="3">
        <v>1578905</v>
      </c>
      <c r="D948" s="3">
        <v>358389</v>
      </c>
      <c r="E948" s="3" t="s">
        <v>23</v>
      </c>
    </row>
    <row r="949" spans="1:5">
      <c r="A949" s="3" t="s">
        <v>970</v>
      </c>
      <c r="B949" s="3" t="s">
        <v>22</v>
      </c>
      <c r="C949" s="3">
        <v>23931</v>
      </c>
      <c r="D949" s="3">
        <v>6167</v>
      </c>
      <c r="E949" s="3" t="s">
        <v>23</v>
      </c>
    </row>
    <row r="950" spans="1:5">
      <c r="A950" s="3" t="s">
        <v>971</v>
      </c>
      <c r="B950" s="3" t="s">
        <v>22</v>
      </c>
      <c r="C950" s="3">
        <v>1516328</v>
      </c>
      <c r="D950" s="3">
        <v>295758</v>
      </c>
      <c r="E950" s="3" t="s">
        <v>23</v>
      </c>
    </row>
    <row r="951" spans="1:5">
      <c r="A951" s="3" t="s">
        <v>972</v>
      </c>
      <c r="B951" s="3" t="s">
        <v>22</v>
      </c>
      <c r="C951" s="3">
        <v>763658</v>
      </c>
      <c r="D951" s="3">
        <v>4587</v>
      </c>
      <c r="E951" s="3" t="s">
        <v>23</v>
      </c>
    </row>
    <row r="952" spans="1:5">
      <c r="A952" s="3" t="s">
        <v>973</v>
      </c>
      <c r="B952" s="3" t="s">
        <v>22</v>
      </c>
      <c r="C952" s="3">
        <v>1780123</v>
      </c>
      <c r="D952" s="3">
        <v>375819</v>
      </c>
      <c r="E952" s="3" t="s">
        <v>23</v>
      </c>
    </row>
    <row r="953" spans="1:5">
      <c r="A953" s="3" t="s">
        <v>974</v>
      </c>
      <c r="B953" s="3" t="s">
        <v>22</v>
      </c>
      <c r="C953" s="3">
        <v>1082840</v>
      </c>
      <c r="D953" s="3">
        <v>151495</v>
      </c>
      <c r="E953" s="3" t="s">
        <v>23</v>
      </c>
    </row>
    <row r="954" spans="1:5">
      <c r="A954" s="3" t="s">
        <v>975</v>
      </c>
      <c r="B954" s="3" t="s">
        <v>22</v>
      </c>
      <c r="C954" s="3">
        <v>921484</v>
      </c>
      <c r="D954" s="3">
        <v>28895</v>
      </c>
      <c r="E954" s="3" t="s">
        <v>23</v>
      </c>
    </row>
    <row r="955" spans="1:5">
      <c r="A955" s="3" t="s">
        <v>976</v>
      </c>
      <c r="B955" s="3" t="s">
        <v>22</v>
      </c>
      <c r="C955" s="3">
        <v>426597</v>
      </c>
      <c r="D955" s="3">
        <v>2617</v>
      </c>
      <c r="E955" s="3" t="s">
        <v>23</v>
      </c>
    </row>
    <row r="956" spans="1:5">
      <c r="A956" s="3" t="s">
        <v>977</v>
      </c>
      <c r="B956" s="3" t="s">
        <v>22</v>
      </c>
      <c r="C956" s="3">
        <v>1564611</v>
      </c>
      <c r="D956" s="3">
        <v>346786</v>
      </c>
      <c r="E956" s="3" t="s">
        <v>23</v>
      </c>
    </row>
    <row r="957" spans="1:5">
      <c r="A957" s="3" t="s">
        <v>978</v>
      </c>
      <c r="B957" s="3" t="s">
        <v>22</v>
      </c>
      <c r="C957" s="3">
        <v>704811</v>
      </c>
      <c r="D957" s="3">
        <v>23303</v>
      </c>
      <c r="E957" s="3" t="s">
        <v>23</v>
      </c>
    </row>
    <row r="958" spans="1:5">
      <c r="A958" s="3" t="s">
        <v>979</v>
      </c>
      <c r="B958" s="3" t="s">
        <v>22</v>
      </c>
      <c r="C958" s="3">
        <v>729869</v>
      </c>
      <c r="D958" s="3">
        <v>46172</v>
      </c>
      <c r="E958" s="3" t="s">
        <v>23</v>
      </c>
    </row>
    <row r="959" spans="1:5">
      <c r="A959" s="3" t="s">
        <v>980</v>
      </c>
      <c r="B959" s="3" t="s">
        <v>22</v>
      </c>
      <c r="C959" s="3">
        <v>1044833</v>
      </c>
      <c r="D959" s="3">
        <v>126589</v>
      </c>
      <c r="E959" s="3" t="s">
        <v>23</v>
      </c>
    </row>
    <row r="960" spans="1:5">
      <c r="A960" s="3" t="s">
        <v>981</v>
      </c>
      <c r="B960" s="3" t="s">
        <v>22</v>
      </c>
      <c r="C960" s="3">
        <v>1307111</v>
      </c>
      <c r="D960" s="3">
        <v>242247</v>
      </c>
      <c r="E960" s="3" t="s">
        <v>23</v>
      </c>
    </row>
    <row r="961" spans="1:5">
      <c r="A961" s="3" t="s">
        <v>982</v>
      </c>
      <c r="B961" s="3" t="s">
        <v>22</v>
      </c>
      <c r="C961" s="3">
        <v>945619</v>
      </c>
      <c r="D961" s="3">
        <v>183027</v>
      </c>
      <c r="E961" s="3" t="s">
        <v>23</v>
      </c>
    </row>
    <row r="962" spans="1:5">
      <c r="A962" s="3" t="s">
        <v>983</v>
      </c>
      <c r="B962" s="3" t="s">
        <v>22</v>
      </c>
      <c r="C962" s="3">
        <v>871202</v>
      </c>
      <c r="D962" s="3">
        <v>57903</v>
      </c>
      <c r="E962" s="3" t="s">
        <v>23</v>
      </c>
    </row>
    <row r="963" spans="1:5">
      <c r="A963" s="3" t="s">
        <v>984</v>
      </c>
      <c r="B963" s="3" t="s">
        <v>22</v>
      </c>
      <c r="C963" s="3">
        <v>1488095</v>
      </c>
      <c r="D963" s="3">
        <v>212192</v>
      </c>
      <c r="E963" s="3" t="s">
        <v>23</v>
      </c>
    </row>
    <row r="964" spans="1:5">
      <c r="A964" s="3" t="s">
        <v>985</v>
      </c>
      <c r="B964" s="3" t="s">
        <v>22</v>
      </c>
      <c r="C964" s="3">
        <v>1185626</v>
      </c>
      <c r="D964" s="3">
        <v>97475</v>
      </c>
      <c r="E964" s="3" t="s">
        <v>23</v>
      </c>
    </row>
    <row r="965" spans="1:5">
      <c r="A965" s="3" t="s">
        <v>986</v>
      </c>
      <c r="B965" s="3" t="s">
        <v>22</v>
      </c>
      <c r="C965" s="3">
        <v>1106162</v>
      </c>
      <c r="D965" s="3">
        <v>40224</v>
      </c>
      <c r="E965" s="3" t="s">
        <v>23</v>
      </c>
    </row>
    <row r="966" spans="1:5">
      <c r="A966" s="3" t="s">
        <v>987</v>
      </c>
      <c r="B966" s="3" t="s">
        <v>22</v>
      </c>
      <c r="C966" s="3">
        <v>810806</v>
      </c>
      <c r="D966" s="3">
        <v>22889</v>
      </c>
      <c r="E966" s="3" t="s">
        <v>23</v>
      </c>
    </row>
    <row r="967" spans="1:5">
      <c r="A967" s="3" t="s">
        <v>988</v>
      </c>
      <c r="B967" s="3" t="s">
        <v>22</v>
      </c>
      <c r="C967" s="3">
        <v>555761</v>
      </c>
      <c r="D967" s="3">
        <v>2571</v>
      </c>
      <c r="E967" s="3" t="s">
        <v>23</v>
      </c>
    </row>
    <row r="968" spans="1:5">
      <c r="A968" s="3" t="s">
        <v>989</v>
      </c>
      <c r="B968" s="3" t="s">
        <v>22</v>
      </c>
      <c r="C968" s="3">
        <v>1458874</v>
      </c>
      <c r="D968" s="3">
        <v>273360</v>
      </c>
      <c r="E968" s="3" t="s">
        <v>23</v>
      </c>
    </row>
    <row r="969" spans="1:5">
      <c r="A969" s="3" t="s">
        <v>990</v>
      </c>
      <c r="B969" s="3" t="s">
        <v>22</v>
      </c>
      <c r="C969" s="3">
        <v>1805685</v>
      </c>
      <c r="D969" s="3">
        <v>133438</v>
      </c>
      <c r="E969" s="3" t="s">
        <v>23</v>
      </c>
    </row>
    <row r="970" spans="1:5">
      <c r="A970" s="3" t="s">
        <v>991</v>
      </c>
      <c r="B970" s="3" t="s">
        <v>22</v>
      </c>
      <c r="C970" s="3">
        <v>2081615</v>
      </c>
      <c r="D970" s="3">
        <v>513974</v>
      </c>
      <c r="E970" s="3" t="s">
        <v>23</v>
      </c>
    </row>
    <row r="971" spans="1:5">
      <c r="A971" s="3" t="s">
        <v>992</v>
      </c>
      <c r="B971" s="3" t="s">
        <v>22</v>
      </c>
      <c r="C971" s="3">
        <v>17515</v>
      </c>
      <c r="D971" s="3">
        <v>315</v>
      </c>
      <c r="E971" s="3" t="s">
        <v>23</v>
      </c>
    </row>
    <row r="972" spans="1:5">
      <c r="A972" s="3" t="s">
        <v>993</v>
      </c>
      <c r="B972" s="3" t="s">
        <v>22</v>
      </c>
      <c r="C972" s="3">
        <v>802085</v>
      </c>
      <c r="D972" s="3">
        <v>87300</v>
      </c>
      <c r="E972" s="3" t="s">
        <v>23</v>
      </c>
    </row>
    <row r="973" spans="1:5">
      <c r="A973" s="3" t="s">
        <v>994</v>
      </c>
      <c r="B973" s="3" t="s">
        <v>22</v>
      </c>
      <c r="C973" s="3">
        <v>1016290</v>
      </c>
      <c r="D973" s="3">
        <v>121345</v>
      </c>
      <c r="E973" s="3" t="s">
        <v>23</v>
      </c>
    </row>
    <row r="974" spans="1:5">
      <c r="A974" s="3" t="s">
        <v>995</v>
      </c>
      <c r="B974" s="3" t="s">
        <v>22</v>
      </c>
      <c r="C974" s="3">
        <v>2134480</v>
      </c>
      <c r="D974" s="3">
        <v>540182</v>
      </c>
      <c r="E974" s="3" t="s">
        <v>23</v>
      </c>
    </row>
    <row r="975" spans="1:5">
      <c r="A975" s="3" t="s">
        <v>996</v>
      </c>
      <c r="B975" s="3" t="s">
        <v>22</v>
      </c>
      <c r="C975" s="3">
        <v>890474</v>
      </c>
      <c r="D975" s="3">
        <v>67821</v>
      </c>
      <c r="E975" s="3" t="s">
        <v>23</v>
      </c>
    </row>
    <row r="976" spans="1:5">
      <c r="A976" s="3" t="s">
        <v>997</v>
      </c>
      <c r="B976" s="3" t="s">
        <v>22</v>
      </c>
      <c r="C976" s="3">
        <v>1666239</v>
      </c>
      <c r="D976" s="3">
        <v>346391</v>
      </c>
      <c r="E976" s="3" t="s">
        <v>23</v>
      </c>
    </row>
    <row r="977" spans="1:5">
      <c r="A977" s="3" t="s">
        <v>998</v>
      </c>
      <c r="B977" s="3" t="s">
        <v>22</v>
      </c>
      <c r="C977" s="3">
        <v>1759933</v>
      </c>
      <c r="D977" s="3">
        <v>349564</v>
      </c>
      <c r="E977" s="3" t="s">
        <v>23</v>
      </c>
    </row>
    <row r="978" spans="1:5">
      <c r="A978" s="3" t="s">
        <v>999</v>
      </c>
      <c r="B978" s="3" t="s">
        <v>22</v>
      </c>
      <c r="C978" s="3">
        <v>1111007</v>
      </c>
      <c r="D978" s="3">
        <v>109020</v>
      </c>
      <c r="E978" s="3" t="s">
        <v>23</v>
      </c>
    </row>
    <row r="979" spans="1:5">
      <c r="A979" s="3" t="s">
        <v>1000</v>
      </c>
      <c r="B979" s="3" t="s">
        <v>22</v>
      </c>
      <c r="C979" s="3">
        <v>1291259</v>
      </c>
      <c r="D979" s="3">
        <v>223194</v>
      </c>
      <c r="E979" s="3" t="s">
        <v>23</v>
      </c>
    </row>
    <row r="980" spans="1:5">
      <c r="A980" s="3" t="s">
        <v>1001</v>
      </c>
      <c r="B980" s="3" t="s">
        <v>22</v>
      </c>
      <c r="C980" s="3">
        <v>666664</v>
      </c>
      <c r="D980" s="3">
        <v>57675</v>
      </c>
      <c r="E980" s="3" t="s">
        <v>23</v>
      </c>
    </row>
    <row r="981" spans="1:5">
      <c r="A981" s="3" t="s">
        <v>1002</v>
      </c>
      <c r="B981" s="3" t="s">
        <v>22</v>
      </c>
      <c r="C981" s="3">
        <v>1370974</v>
      </c>
      <c r="D981" s="3">
        <v>180497</v>
      </c>
      <c r="E981" s="3" t="s">
        <v>23</v>
      </c>
    </row>
    <row r="982" spans="1:5">
      <c r="A982" s="3" t="s">
        <v>1003</v>
      </c>
      <c r="B982" s="3" t="s">
        <v>22</v>
      </c>
      <c r="C982" s="3">
        <v>1555427</v>
      </c>
      <c r="D982" s="3">
        <v>217764</v>
      </c>
      <c r="E982" s="3" t="s">
        <v>23</v>
      </c>
    </row>
    <row r="983" spans="1:5">
      <c r="A983" s="3" t="s">
        <v>1004</v>
      </c>
      <c r="B983" s="3" t="s">
        <v>22</v>
      </c>
      <c r="C983" s="3">
        <v>1019470</v>
      </c>
      <c r="D983" s="3">
        <v>116877</v>
      </c>
      <c r="E983" s="3" t="s">
        <v>23</v>
      </c>
    </row>
    <row r="984" spans="1:5">
      <c r="A984" s="3" t="s">
        <v>1005</v>
      </c>
      <c r="B984" s="3" t="s">
        <v>22</v>
      </c>
      <c r="C984" s="3">
        <v>806873</v>
      </c>
      <c r="D984" s="3">
        <v>33157</v>
      </c>
      <c r="E984" s="3" t="s">
        <v>23</v>
      </c>
    </row>
    <row r="985" spans="1:5">
      <c r="A985" s="3" t="s">
        <v>1006</v>
      </c>
      <c r="B985" s="3" t="s">
        <v>22</v>
      </c>
      <c r="C985" s="3">
        <v>1241210</v>
      </c>
      <c r="D985" s="3">
        <v>151304</v>
      </c>
      <c r="E985" s="3" t="s">
        <v>23</v>
      </c>
    </row>
    <row r="986" spans="1:5">
      <c r="A986" s="3" t="s">
        <v>1007</v>
      </c>
      <c r="B986" s="3" t="s">
        <v>22</v>
      </c>
      <c r="C986" s="3">
        <v>1244252</v>
      </c>
      <c r="D986" s="3">
        <v>198562</v>
      </c>
      <c r="E986" s="3" t="s">
        <v>23</v>
      </c>
    </row>
    <row r="987" spans="1:5">
      <c r="A987" s="3" t="s">
        <v>1008</v>
      </c>
      <c r="B987" s="3" t="s">
        <v>22</v>
      </c>
      <c r="C987" s="3">
        <v>648027</v>
      </c>
      <c r="D987" s="3">
        <v>5357</v>
      </c>
      <c r="E987" s="3" t="s">
        <v>23</v>
      </c>
    </row>
    <row r="988" spans="1:5">
      <c r="A988" s="3" t="s">
        <v>1009</v>
      </c>
      <c r="B988" s="3" t="s">
        <v>22</v>
      </c>
      <c r="C988" s="3">
        <v>25649</v>
      </c>
      <c r="D988" s="3">
        <v>5927</v>
      </c>
      <c r="E988" s="3" t="s">
        <v>23</v>
      </c>
    </row>
    <row r="989" spans="1:5">
      <c r="A989" s="3" t="s">
        <v>1010</v>
      </c>
      <c r="B989" s="3" t="s">
        <v>22</v>
      </c>
      <c r="C989" s="3">
        <v>1245702</v>
      </c>
      <c r="D989" s="3">
        <v>129732</v>
      </c>
      <c r="E989" s="3" t="s">
        <v>23</v>
      </c>
    </row>
    <row r="990" spans="1:5">
      <c r="A990" s="3" t="s">
        <v>1011</v>
      </c>
      <c r="B990" s="3" t="s">
        <v>22</v>
      </c>
      <c r="C990" s="3">
        <v>789528</v>
      </c>
      <c r="D990" s="3">
        <v>28487</v>
      </c>
      <c r="E990" s="3" t="s">
        <v>23</v>
      </c>
    </row>
    <row r="991" spans="1:5">
      <c r="A991" s="3" t="s">
        <v>1012</v>
      </c>
      <c r="B991" s="3" t="s">
        <v>22</v>
      </c>
      <c r="C991" s="3">
        <v>483696</v>
      </c>
      <c r="D991" s="3">
        <v>1924</v>
      </c>
      <c r="E991" s="3" t="s">
        <v>23</v>
      </c>
    </row>
    <row r="992" spans="1:5">
      <c r="A992" s="3" t="s">
        <v>1013</v>
      </c>
      <c r="B992" s="3" t="s">
        <v>22</v>
      </c>
      <c r="C992" s="3">
        <v>1534174</v>
      </c>
      <c r="D992" s="3">
        <v>244092</v>
      </c>
      <c r="E992" s="3" t="s">
        <v>23</v>
      </c>
    </row>
    <row r="993" spans="1:5">
      <c r="A993" s="3" t="s">
        <v>1014</v>
      </c>
      <c r="B993" s="3" t="s">
        <v>22</v>
      </c>
      <c r="C993" s="3">
        <v>1138323</v>
      </c>
      <c r="D993" s="3">
        <v>97549</v>
      </c>
      <c r="E993" s="3" t="s">
        <v>23</v>
      </c>
    </row>
    <row r="994" spans="1:5">
      <c r="A994" s="3" t="s">
        <v>1015</v>
      </c>
      <c r="B994" s="3" t="s">
        <v>22</v>
      </c>
      <c r="C994" s="3">
        <v>1282407</v>
      </c>
      <c r="D994" s="3">
        <v>175842</v>
      </c>
      <c r="E994" s="3" t="s">
        <v>23</v>
      </c>
    </row>
    <row r="995" spans="1:5">
      <c r="A995" s="3" t="s">
        <v>1016</v>
      </c>
      <c r="B995" s="3" t="s">
        <v>22</v>
      </c>
      <c r="C995" s="3">
        <v>1083007</v>
      </c>
      <c r="D995" s="3">
        <v>61577</v>
      </c>
      <c r="E995" s="3" t="s">
        <v>23</v>
      </c>
    </row>
    <row r="996" spans="1:5">
      <c r="A996" s="3" t="s">
        <v>1017</v>
      </c>
      <c r="B996" s="3" t="s">
        <v>22</v>
      </c>
      <c r="C996" s="3">
        <v>1153825</v>
      </c>
      <c r="D996" s="3">
        <v>56228</v>
      </c>
      <c r="E996" s="3" t="s">
        <v>23</v>
      </c>
    </row>
    <row r="997" spans="1:5">
      <c r="A997" s="3" t="s">
        <v>1018</v>
      </c>
      <c r="B997" s="3" t="s">
        <v>22</v>
      </c>
      <c r="C997" s="3">
        <v>676193</v>
      </c>
      <c r="D997" s="3">
        <v>7648</v>
      </c>
      <c r="E997" s="3" t="s">
        <v>23</v>
      </c>
    </row>
    <row r="998" spans="1:5">
      <c r="A998" s="3" t="s">
        <v>1019</v>
      </c>
      <c r="B998" s="3" t="s">
        <v>22</v>
      </c>
      <c r="C998" s="3">
        <v>544682</v>
      </c>
      <c r="D998" s="3">
        <v>2014</v>
      </c>
      <c r="E998" s="3" t="s">
        <v>23</v>
      </c>
    </row>
    <row r="999" spans="1:5">
      <c r="A999" s="3" t="s">
        <v>1020</v>
      </c>
      <c r="B999" s="3" t="s">
        <v>22</v>
      </c>
      <c r="C999" s="3">
        <v>1572512</v>
      </c>
      <c r="D999" s="3">
        <v>214084</v>
      </c>
      <c r="E999" s="3" t="s">
        <v>23</v>
      </c>
    </row>
    <row r="1000" spans="1:5">
      <c r="A1000" s="3" t="s">
        <v>1021</v>
      </c>
      <c r="B1000" s="3" t="s">
        <v>22</v>
      </c>
      <c r="C1000" s="3">
        <v>1409178</v>
      </c>
      <c r="D1000" s="3">
        <v>170794</v>
      </c>
      <c r="E1000" s="3" t="s">
        <v>23</v>
      </c>
    </row>
    <row r="1001" spans="1:5">
      <c r="A1001" s="3" t="s">
        <v>1022</v>
      </c>
      <c r="B1001" s="3" t="s">
        <v>22</v>
      </c>
      <c r="C1001" s="3">
        <v>1220742</v>
      </c>
      <c r="D1001" s="3">
        <v>195441</v>
      </c>
      <c r="E1001" s="3" t="s">
        <v>23</v>
      </c>
    </row>
    <row r="1002" spans="1:5">
      <c r="A1002" s="3" t="s">
        <v>1023</v>
      </c>
      <c r="B1002" s="3" t="s">
        <v>22</v>
      </c>
      <c r="C1002" s="3">
        <v>1000474</v>
      </c>
      <c r="D1002" s="3">
        <v>52024</v>
      </c>
      <c r="E1002" s="3" t="s">
        <v>23</v>
      </c>
    </row>
    <row r="1003" spans="1:5">
      <c r="A1003" s="3" t="s">
        <v>1024</v>
      </c>
      <c r="B1003" s="3" t="s">
        <v>22</v>
      </c>
      <c r="C1003" s="3">
        <v>620903</v>
      </c>
      <c r="D1003" s="3">
        <v>21391</v>
      </c>
      <c r="E1003" s="3" t="s">
        <v>23</v>
      </c>
    </row>
    <row r="1004" spans="1:5">
      <c r="A1004" s="3" t="s">
        <v>1025</v>
      </c>
      <c r="B1004" s="3" t="s">
        <v>22</v>
      </c>
      <c r="C1004" s="3">
        <v>907392</v>
      </c>
      <c r="D1004" s="3">
        <v>106140</v>
      </c>
      <c r="E1004" s="3" t="s">
        <v>23</v>
      </c>
    </row>
    <row r="1005" spans="1:5">
      <c r="A1005" s="3" t="s">
        <v>1026</v>
      </c>
      <c r="B1005" s="3" t="s">
        <v>22</v>
      </c>
      <c r="C1005" s="3">
        <v>2103493</v>
      </c>
      <c r="D1005" s="3">
        <v>407231</v>
      </c>
      <c r="E1005" s="3" t="s">
        <v>23</v>
      </c>
    </row>
    <row r="1006" spans="1:5">
      <c r="A1006" s="3" t="s">
        <v>1027</v>
      </c>
      <c r="B1006" s="3" t="s">
        <v>22</v>
      </c>
      <c r="C1006" s="3">
        <v>906058</v>
      </c>
      <c r="D1006" s="3">
        <v>89683</v>
      </c>
      <c r="E1006" s="3" t="s">
        <v>23</v>
      </c>
    </row>
    <row r="1007" spans="1:5">
      <c r="A1007" s="3" t="s">
        <v>1028</v>
      </c>
      <c r="B1007" s="3" t="s">
        <v>22</v>
      </c>
      <c r="C1007" s="3">
        <v>1582311</v>
      </c>
      <c r="D1007" s="3">
        <v>279904</v>
      </c>
      <c r="E1007" s="3" t="s">
        <v>23</v>
      </c>
    </row>
    <row r="1008" spans="1:5">
      <c r="A1008" s="3" t="s">
        <v>1029</v>
      </c>
      <c r="B1008" s="3" t="s">
        <v>22</v>
      </c>
      <c r="C1008" s="3">
        <v>1508945</v>
      </c>
      <c r="D1008" s="3">
        <v>265352</v>
      </c>
      <c r="E1008" s="3" t="s">
        <v>23</v>
      </c>
    </row>
    <row r="1009" spans="1:5">
      <c r="A1009" s="3" t="s">
        <v>1030</v>
      </c>
      <c r="B1009" s="3" t="s">
        <v>22</v>
      </c>
      <c r="C1009" s="3">
        <v>1554716</v>
      </c>
      <c r="D1009" s="3">
        <v>300752</v>
      </c>
      <c r="E1009" s="3" t="s">
        <v>23</v>
      </c>
    </row>
    <row r="1010" spans="1:5">
      <c r="A1010" s="3" t="s">
        <v>1031</v>
      </c>
      <c r="B1010" s="3" t="s">
        <v>22</v>
      </c>
      <c r="C1010" s="3">
        <v>1456496</v>
      </c>
      <c r="D1010" s="3">
        <v>191262</v>
      </c>
      <c r="E1010" s="3" t="s">
        <v>23</v>
      </c>
    </row>
    <row r="1011" spans="1:5">
      <c r="A1011" s="3" t="s">
        <v>1032</v>
      </c>
      <c r="B1011" s="3" t="s">
        <v>22</v>
      </c>
      <c r="C1011" s="3">
        <v>1288805</v>
      </c>
      <c r="D1011" s="3">
        <v>156542</v>
      </c>
      <c r="E1011" s="3" t="s">
        <v>23</v>
      </c>
    </row>
    <row r="1012" spans="1:5">
      <c r="A1012" s="3" t="s">
        <v>1033</v>
      </c>
      <c r="B1012" s="3" t="s">
        <v>22</v>
      </c>
      <c r="C1012" s="3">
        <v>1578880</v>
      </c>
      <c r="D1012" s="3">
        <v>287927</v>
      </c>
      <c r="E1012" s="3" t="s">
        <v>23</v>
      </c>
    </row>
    <row r="1013" spans="1:5">
      <c r="A1013" s="3" t="s">
        <v>1034</v>
      </c>
      <c r="B1013" s="3" t="s">
        <v>22</v>
      </c>
      <c r="C1013" s="3">
        <v>1794800</v>
      </c>
      <c r="D1013" s="3">
        <v>333958</v>
      </c>
      <c r="E1013" s="3" t="s">
        <v>23</v>
      </c>
    </row>
    <row r="1014" spans="1:5">
      <c r="A1014" s="3" t="s">
        <v>1035</v>
      </c>
      <c r="B1014" s="3" t="s">
        <v>22</v>
      </c>
      <c r="C1014" s="3">
        <v>1654102</v>
      </c>
      <c r="D1014" s="3">
        <v>247805</v>
      </c>
      <c r="E1014" s="3" t="s">
        <v>23</v>
      </c>
    </row>
    <row r="1015" spans="1:5">
      <c r="A1015" s="3" t="s">
        <v>1036</v>
      </c>
      <c r="B1015" s="3" t="s">
        <v>22</v>
      </c>
      <c r="C1015" s="3">
        <v>931434</v>
      </c>
      <c r="D1015" s="3">
        <v>25204</v>
      </c>
      <c r="E1015" s="3" t="s">
        <v>23</v>
      </c>
    </row>
    <row r="1016" spans="1:5">
      <c r="A1016" s="3" t="s">
        <v>1037</v>
      </c>
      <c r="B1016" s="3" t="s">
        <v>22</v>
      </c>
      <c r="C1016" s="3">
        <v>1408250</v>
      </c>
      <c r="D1016" s="3">
        <v>207861</v>
      </c>
      <c r="E1016" s="3" t="s">
        <v>23</v>
      </c>
    </row>
    <row r="1017" spans="1:5">
      <c r="A1017" s="3" t="s">
        <v>1038</v>
      </c>
      <c r="B1017" s="3" t="s">
        <v>22</v>
      </c>
      <c r="C1017" s="3">
        <v>1191284</v>
      </c>
      <c r="D1017" s="3">
        <v>143937</v>
      </c>
      <c r="E1017" s="3" t="s">
        <v>23</v>
      </c>
    </row>
    <row r="1018" spans="1:5">
      <c r="A1018" s="3" t="s">
        <v>1039</v>
      </c>
      <c r="B1018" s="3" t="s">
        <v>22</v>
      </c>
      <c r="C1018" s="3">
        <v>1035470</v>
      </c>
      <c r="D1018" s="3">
        <v>116706</v>
      </c>
      <c r="E1018" s="3" t="s">
        <v>23</v>
      </c>
    </row>
    <row r="1019" spans="1:5">
      <c r="A1019" s="3" t="s">
        <v>1040</v>
      </c>
      <c r="B1019" s="3" t="s">
        <v>22</v>
      </c>
      <c r="C1019" s="3">
        <v>1286809</v>
      </c>
      <c r="D1019" s="3">
        <v>206436</v>
      </c>
      <c r="E1019" s="3" t="s">
        <v>23</v>
      </c>
    </row>
    <row r="1020" spans="1:5">
      <c r="A1020" s="3" t="s">
        <v>1041</v>
      </c>
      <c r="B1020" s="3" t="s">
        <v>22</v>
      </c>
      <c r="C1020" s="3">
        <v>1470078</v>
      </c>
      <c r="D1020" s="3">
        <v>139203</v>
      </c>
      <c r="E1020" s="3" t="s">
        <v>23</v>
      </c>
    </row>
    <row r="1021" spans="1:5">
      <c r="A1021" s="3" t="s">
        <v>1042</v>
      </c>
      <c r="B1021" s="3" t="s">
        <v>22</v>
      </c>
      <c r="C1021" s="3">
        <v>845792</v>
      </c>
      <c r="D1021" s="3">
        <v>60021</v>
      </c>
      <c r="E1021" s="3" t="s">
        <v>23</v>
      </c>
    </row>
    <row r="1022" spans="1:5">
      <c r="A1022" s="3" t="s">
        <v>1043</v>
      </c>
      <c r="B1022" s="3" t="s">
        <v>22</v>
      </c>
      <c r="C1022" s="3">
        <v>572804</v>
      </c>
      <c r="D1022" s="3">
        <v>14451</v>
      </c>
      <c r="E1022" s="3" t="s">
        <v>23</v>
      </c>
    </row>
    <row r="1023" spans="1:5">
      <c r="A1023" s="3" t="s">
        <v>1044</v>
      </c>
      <c r="B1023" s="3" t="s">
        <v>22</v>
      </c>
      <c r="C1023" s="3">
        <v>1694941</v>
      </c>
      <c r="D1023" s="3">
        <v>359059</v>
      </c>
      <c r="E1023" s="3" t="s">
        <v>23</v>
      </c>
    </row>
    <row r="1024" spans="1:5">
      <c r="A1024" s="3" t="s">
        <v>1045</v>
      </c>
      <c r="B1024" s="3" t="s">
        <v>22</v>
      </c>
      <c r="C1024" s="3">
        <v>889814</v>
      </c>
      <c r="D1024" s="3">
        <v>51689</v>
      </c>
      <c r="E1024" s="3" t="s">
        <v>23</v>
      </c>
    </row>
    <row r="1025" spans="1:5">
      <c r="A1025" s="3" t="s">
        <v>1046</v>
      </c>
      <c r="B1025" s="3" t="s">
        <v>22</v>
      </c>
      <c r="C1025" s="3">
        <v>450952</v>
      </c>
      <c r="D1025" s="3">
        <v>17722</v>
      </c>
      <c r="E1025" s="3" t="s">
        <v>23</v>
      </c>
    </row>
    <row r="1026" spans="1:5">
      <c r="A1026" s="3" t="s">
        <v>1047</v>
      </c>
      <c r="B1026" s="3" t="s">
        <v>22</v>
      </c>
      <c r="C1026" s="3">
        <v>838189</v>
      </c>
      <c r="D1026" s="3">
        <v>103605</v>
      </c>
      <c r="E1026" s="3" t="s">
        <v>23</v>
      </c>
    </row>
    <row r="1027" spans="1:5">
      <c r="A1027" s="3" t="s">
        <v>1048</v>
      </c>
      <c r="B1027" s="3" t="s">
        <v>22</v>
      </c>
      <c r="C1027" s="3">
        <v>773947</v>
      </c>
      <c r="D1027" s="3">
        <v>144087</v>
      </c>
      <c r="E1027" s="3" t="s">
        <v>23</v>
      </c>
    </row>
    <row r="1028" spans="1:5">
      <c r="A1028" s="3" t="s">
        <v>1049</v>
      </c>
      <c r="B1028" s="3" t="s">
        <v>22</v>
      </c>
      <c r="C1028" s="3">
        <v>495107</v>
      </c>
      <c r="D1028" s="3">
        <v>18911</v>
      </c>
      <c r="E1028" s="3" t="s">
        <v>23</v>
      </c>
    </row>
    <row r="1029" spans="1:5">
      <c r="A1029" s="3" t="s">
        <v>1050</v>
      </c>
      <c r="B1029" s="3" t="s">
        <v>22</v>
      </c>
      <c r="C1029" s="3">
        <v>364848</v>
      </c>
      <c r="D1029" s="3">
        <v>15966</v>
      </c>
      <c r="E1029" s="3" t="s">
        <v>23</v>
      </c>
    </row>
    <row r="1030" spans="1:5">
      <c r="A1030" s="3" t="s">
        <v>1051</v>
      </c>
      <c r="B1030" s="3" t="s">
        <v>22</v>
      </c>
      <c r="C1030" s="3">
        <v>870492</v>
      </c>
      <c r="D1030" s="3">
        <v>155284</v>
      </c>
      <c r="E1030" s="3" t="s">
        <v>23</v>
      </c>
    </row>
    <row r="1031" spans="1:5">
      <c r="A1031" s="3" t="s">
        <v>1052</v>
      </c>
      <c r="B1031" s="3" t="s">
        <v>22</v>
      </c>
      <c r="C1031" s="3">
        <v>952950</v>
      </c>
      <c r="D1031" s="3">
        <v>175639</v>
      </c>
      <c r="E1031" s="3" t="s">
        <v>23</v>
      </c>
    </row>
    <row r="1032" spans="1:5">
      <c r="A1032" s="3" t="s">
        <v>1053</v>
      </c>
      <c r="B1032" s="3" t="s">
        <v>22</v>
      </c>
      <c r="C1032" s="3">
        <v>341457</v>
      </c>
      <c r="D1032" s="3">
        <v>16576</v>
      </c>
      <c r="E1032" s="3" t="s">
        <v>23</v>
      </c>
    </row>
    <row r="1033" spans="1:5">
      <c r="A1033" s="3" t="s">
        <v>1054</v>
      </c>
      <c r="B1033" s="3" t="s">
        <v>22</v>
      </c>
      <c r="C1033" s="3">
        <v>344930</v>
      </c>
      <c r="D1033" s="3">
        <v>11058</v>
      </c>
      <c r="E1033" s="3" t="s">
        <v>23</v>
      </c>
    </row>
    <row r="1034" spans="1:5">
      <c r="A1034" s="3" t="s">
        <v>1055</v>
      </c>
      <c r="B1034" s="3" t="s">
        <v>22</v>
      </c>
      <c r="C1034" s="3">
        <v>923099</v>
      </c>
      <c r="D1034" s="3">
        <v>165450</v>
      </c>
      <c r="E1034" s="3" t="s">
        <v>23</v>
      </c>
    </row>
    <row r="1035" spans="1:5">
      <c r="A1035" s="3" t="s">
        <v>1056</v>
      </c>
      <c r="B1035" s="3" t="s">
        <v>22</v>
      </c>
      <c r="C1035" s="3">
        <v>587222</v>
      </c>
      <c r="D1035" s="3">
        <v>40506</v>
      </c>
      <c r="E1035" s="3" t="s">
        <v>23</v>
      </c>
    </row>
    <row r="1036" spans="1:5">
      <c r="A1036" s="3" t="s">
        <v>1057</v>
      </c>
      <c r="B1036" s="3" t="s">
        <v>22</v>
      </c>
      <c r="C1036" s="3">
        <v>653349</v>
      </c>
      <c r="D1036" s="3">
        <v>114958</v>
      </c>
      <c r="E1036" s="3" t="s">
        <v>23</v>
      </c>
    </row>
    <row r="1037" spans="1:5">
      <c r="A1037" s="3" t="s">
        <v>1058</v>
      </c>
      <c r="B1037" s="3" t="s">
        <v>22</v>
      </c>
      <c r="C1037" s="3">
        <v>681227</v>
      </c>
      <c r="D1037" s="3">
        <v>85967</v>
      </c>
      <c r="E1037" s="3" t="s">
        <v>23</v>
      </c>
    </row>
    <row r="1038" spans="1:5">
      <c r="A1038" s="3" t="s">
        <v>1059</v>
      </c>
      <c r="B1038" s="3" t="s">
        <v>22</v>
      </c>
      <c r="C1038" s="3">
        <v>972616</v>
      </c>
      <c r="D1038" s="3">
        <v>162939</v>
      </c>
      <c r="E1038" s="3" t="s">
        <v>23</v>
      </c>
    </row>
    <row r="1039" spans="1:5">
      <c r="A1039" s="3" t="s">
        <v>1060</v>
      </c>
      <c r="B1039" s="3" t="s">
        <v>22</v>
      </c>
      <c r="C1039" s="3">
        <v>262413</v>
      </c>
      <c r="D1039" s="3">
        <v>427</v>
      </c>
      <c r="E1039" s="3" t="s">
        <v>23</v>
      </c>
    </row>
    <row r="1040" spans="1:5">
      <c r="A1040" s="3" t="s">
        <v>1061</v>
      </c>
      <c r="B1040" s="3" t="s">
        <v>22</v>
      </c>
      <c r="C1040" s="3">
        <v>350904</v>
      </c>
      <c r="D1040" s="3">
        <v>3906</v>
      </c>
      <c r="E1040" s="3" t="s">
        <v>23</v>
      </c>
    </row>
    <row r="1041" spans="1:5">
      <c r="A1041" s="3" t="s">
        <v>1062</v>
      </c>
      <c r="B1041" s="3" t="s">
        <v>22</v>
      </c>
      <c r="C1041" s="3">
        <v>980906</v>
      </c>
      <c r="D1041" s="3">
        <v>195804</v>
      </c>
      <c r="E1041" s="3" t="s">
        <v>23</v>
      </c>
    </row>
    <row r="1042" spans="1:5">
      <c r="A1042" s="3" t="s">
        <v>1063</v>
      </c>
      <c r="B1042" s="3" t="s">
        <v>22</v>
      </c>
      <c r="C1042" s="3">
        <v>1177896</v>
      </c>
      <c r="D1042" s="3">
        <v>252831</v>
      </c>
      <c r="E1042" s="3" t="s">
        <v>23</v>
      </c>
    </row>
    <row r="1043" spans="1:5">
      <c r="A1043" s="3" t="s">
        <v>1064</v>
      </c>
      <c r="B1043" s="3" t="s">
        <v>22</v>
      </c>
      <c r="C1043" s="3">
        <v>829048</v>
      </c>
      <c r="D1043" s="3">
        <v>114273</v>
      </c>
      <c r="E1043" s="3" t="s">
        <v>23</v>
      </c>
    </row>
    <row r="1044" spans="1:5">
      <c r="A1044" s="3" t="s">
        <v>1065</v>
      </c>
      <c r="B1044" s="3" t="s">
        <v>22</v>
      </c>
      <c r="C1044" s="3">
        <v>263049</v>
      </c>
      <c r="D1044" s="3">
        <v>282</v>
      </c>
      <c r="E1044" s="3" t="s">
        <v>23</v>
      </c>
    </row>
    <row r="1045" spans="1:5">
      <c r="A1045" s="3" t="s">
        <v>1066</v>
      </c>
      <c r="B1045" s="3" t="s">
        <v>22</v>
      </c>
      <c r="C1045" s="3">
        <v>1157776</v>
      </c>
      <c r="D1045" s="3">
        <v>239639</v>
      </c>
      <c r="E1045" s="3" t="s">
        <v>23</v>
      </c>
    </row>
    <row r="1046" spans="1:5">
      <c r="A1046" s="3" t="s">
        <v>1067</v>
      </c>
      <c r="B1046" s="3" t="s">
        <v>22</v>
      </c>
      <c r="C1046" s="3">
        <v>723313</v>
      </c>
      <c r="D1046" s="3">
        <v>92756</v>
      </c>
      <c r="E1046" s="3" t="s">
        <v>23</v>
      </c>
    </row>
    <row r="1047" spans="1:5">
      <c r="A1047" s="3" t="s">
        <v>1068</v>
      </c>
      <c r="B1047" s="3" t="s">
        <v>22</v>
      </c>
      <c r="C1047" s="3">
        <v>648290</v>
      </c>
      <c r="D1047" s="3">
        <v>87939</v>
      </c>
      <c r="E1047" s="3" t="s">
        <v>23</v>
      </c>
    </row>
    <row r="1048" spans="1:5">
      <c r="A1048" s="3" t="s">
        <v>1069</v>
      </c>
      <c r="B1048" s="3" t="s">
        <v>22</v>
      </c>
      <c r="C1048" s="3">
        <v>482053</v>
      </c>
      <c r="D1048" s="3">
        <v>605</v>
      </c>
      <c r="E1048" s="3" t="s">
        <v>23</v>
      </c>
    </row>
    <row r="1049" spans="1:5">
      <c r="A1049" s="3" t="s">
        <v>1070</v>
      </c>
      <c r="B1049" s="3" t="s">
        <v>22</v>
      </c>
      <c r="C1049" s="3">
        <v>949944</v>
      </c>
      <c r="D1049" s="3">
        <v>174632</v>
      </c>
      <c r="E1049" s="3" t="s">
        <v>23</v>
      </c>
    </row>
    <row r="1050" spans="1:5">
      <c r="A1050" s="3" t="s">
        <v>1071</v>
      </c>
      <c r="B1050" s="3" t="s">
        <v>22</v>
      </c>
      <c r="C1050" s="3">
        <v>505937</v>
      </c>
      <c r="D1050" s="3">
        <v>29037</v>
      </c>
      <c r="E1050" s="3" t="s">
        <v>23</v>
      </c>
    </row>
    <row r="1051" spans="1:5">
      <c r="A1051" s="3" t="s">
        <v>1072</v>
      </c>
      <c r="B1051" s="3" t="s">
        <v>22</v>
      </c>
      <c r="C1051" s="3">
        <v>693091</v>
      </c>
      <c r="D1051" s="3">
        <v>89534</v>
      </c>
      <c r="E1051" s="3" t="s">
        <v>23</v>
      </c>
    </row>
    <row r="1052" spans="1:5">
      <c r="A1052" s="3" t="s">
        <v>1073</v>
      </c>
      <c r="B1052" s="3" t="s">
        <v>22</v>
      </c>
      <c r="C1052" s="3">
        <v>854209</v>
      </c>
      <c r="D1052" s="3">
        <v>137236</v>
      </c>
      <c r="E1052" s="3" t="s">
        <v>23</v>
      </c>
    </row>
    <row r="1053" spans="1:5">
      <c r="A1053" s="3" t="s">
        <v>1074</v>
      </c>
      <c r="B1053" s="3" t="s">
        <v>22</v>
      </c>
      <c r="C1053" s="3">
        <v>158025</v>
      </c>
      <c r="D1053" s="3">
        <v>23515</v>
      </c>
      <c r="E1053" s="3" t="s">
        <v>23</v>
      </c>
    </row>
    <row r="1054" spans="1:5">
      <c r="A1054" s="3" t="s">
        <v>1075</v>
      </c>
      <c r="B1054" s="3" t="s">
        <v>22</v>
      </c>
      <c r="C1054" s="3">
        <v>759560</v>
      </c>
      <c r="D1054" s="3">
        <v>131002</v>
      </c>
      <c r="E1054" s="3" t="s">
        <v>23</v>
      </c>
    </row>
    <row r="1055" spans="1:5">
      <c r="A1055" s="3" t="s">
        <v>1076</v>
      </c>
      <c r="B1055" s="3" t="s">
        <v>22</v>
      </c>
      <c r="C1055" s="3">
        <v>500921</v>
      </c>
      <c r="D1055" s="3">
        <v>7819</v>
      </c>
      <c r="E1055" s="3" t="s">
        <v>23</v>
      </c>
    </row>
    <row r="1056" spans="1:5">
      <c r="A1056" s="3" t="s">
        <v>1077</v>
      </c>
      <c r="B1056" s="3" t="s">
        <v>22</v>
      </c>
      <c r="C1056" s="3">
        <v>803888</v>
      </c>
      <c r="D1056" s="3">
        <v>117025</v>
      </c>
      <c r="E1056" s="3" t="s">
        <v>23</v>
      </c>
    </row>
    <row r="1057" spans="1:5">
      <c r="A1057" s="3" t="s">
        <v>1078</v>
      </c>
      <c r="B1057" s="3" t="s">
        <v>22</v>
      </c>
      <c r="C1057" s="3">
        <v>530129</v>
      </c>
      <c r="D1057" s="3">
        <v>24305</v>
      </c>
      <c r="E1057" s="3" t="s">
        <v>23</v>
      </c>
    </row>
    <row r="1058" spans="1:5">
      <c r="A1058" s="3" t="s">
        <v>1079</v>
      </c>
      <c r="B1058" s="3" t="s">
        <v>22</v>
      </c>
      <c r="C1058" s="3">
        <v>595150</v>
      </c>
      <c r="D1058" s="3">
        <v>73677</v>
      </c>
      <c r="E1058" s="3" t="s">
        <v>23</v>
      </c>
    </row>
    <row r="1059" spans="1:5">
      <c r="A1059" s="3" t="s">
        <v>1080</v>
      </c>
      <c r="B1059" s="3" t="s">
        <v>22</v>
      </c>
      <c r="C1059" s="3">
        <v>831303</v>
      </c>
      <c r="D1059" s="3">
        <v>126550</v>
      </c>
      <c r="E1059" s="3" t="s">
        <v>23</v>
      </c>
    </row>
    <row r="1060" spans="1:5">
      <c r="A1060" s="3" t="s">
        <v>1081</v>
      </c>
      <c r="B1060" s="3" t="s">
        <v>22</v>
      </c>
      <c r="C1060" s="3">
        <v>629906</v>
      </c>
      <c r="D1060" s="3">
        <v>85939</v>
      </c>
      <c r="E1060" s="3" t="s">
        <v>23</v>
      </c>
    </row>
    <row r="1061" spans="1:5">
      <c r="A1061" s="3" t="s">
        <v>1082</v>
      </c>
      <c r="B1061" s="3" t="s">
        <v>22</v>
      </c>
      <c r="C1061" s="3">
        <v>807076</v>
      </c>
      <c r="D1061" s="3">
        <v>85911</v>
      </c>
      <c r="E1061" s="3" t="s">
        <v>23</v>
      </c>
    </row>
    <row r="1062" spans="1:5">
      <c r="A1062" s="3" t="s">
        <v>1083</v>
      </c>
      <c r="B1062" s="3" t="s">
        <v>22</v>
      </c>
      <c r="C1062" s="3">
        <v>444048</v>
      </c>
      <c r="D1062" s="3">
        <v>17517</v>
      </c>
      <c r="E1062" s="3" t="s">
        <v>23</v>
      </c>
    </row>
    <row r="1063" spans="1:5">
      <c r="A1063" s="3" t="s">
        <v>1084</v>
      </c>
      <c r="B1063" s="3" t="s">
        <v>22</v>
      </c>
      <c r="C1063" s="3">
        <v>708681</v>
      </c>
      <c r="D1063" s="3">
        <v>100033</v>
      </c>
      <c r="E1063" s="3" t="s">
        <v>23</v>
      </c>
    </row>
    <row r="1064" spans="1:5">
      <c r="A1064" s="3" t="s">
        <v>1085</v>
      </c>
      <c r="B1064" s="3" t="s">
        <v>22</v>
      </c>
      <c r="C1064" s="3">
        <v>680167</v>
      </c>
      <c r="D1064" s="3">
        <v>67791</v>
      </c>
      <c r="E1064" s="3" t="s">
        <v>23</v>
      </c>
    </row>
    <row r="1065" spans="1:5">
      <c r="A1065" s="3" t="s">
        <v>1086</v>
      </c>
      <c r="B1065" s="3" t="s">
        <v>22</v>
      </c>
      <c r="C1065" s="3">
        <v>465089</v>
      </c>
      <c r="D1065" s="3">
        <v>17957</v>
      </c>
      <c r="E1065" s="3" t="s">
        <v>23</v>
      </c>
    </row>
    <row r="1066" spans="1:5">
      <c r="A1066" s="3" t="s">
        <v>1087</v>
      </c>
      <c r="B1066" s="3" t="s">
        <v>22</v>
      </c>
      <c r="C1066" s="3">
        <v>590936</v>
      </c>
      <c r="D1066" s="3">
        <v>91594</v>
      </c>
      <c r="E1066" s="3" t="s">
        <v>23</v>
      </c>
    </row>
    <row r="1067" spans="1:5">
      <c r="A1067" s="3" t="s">
        <v>1088</v>
      </c>
      <c r="B1067" s="3" t="s">
        <v>22</v>
      </c>
      <c r="C1067" s="3">
        <v>892843</v>
      </c>
      <c r="D1067" s="3">
        <v>120897</v>
      </c>
      <c r="E1067" s="3" t="s">
        <v>23</v>
      </c>
    </row>
    <row r="1068" spans="1:5">
      <c r="A1068" s="3" t="s">
        <v>1089</v>
      </c>
      <c r="B1068" s="3" t="s">
        <v>22</v>
      </c>
      <c r="C1068" s="3">
        <v>525440</v>
      </c>
      <c r="D1068" s="3">
        <v>62740</v>
      </c>
      <c r="E1068" s="3" t="s">
        <v>23</v>
      </c>
    </row>
    <row r="1069" spans="1:5">
      <c r="A1069" s="3" t="s">
        <v>1090</v>
      </c>
      <c r="B1069" s="3" t="s">
        <v>22</v>
      </c>
      <c r="C1069" s="3">
        <v>870665</v>
      </c>
      <c r="D1069" s="3">
        <v>173500</v>
      </c>
      <c r="E1069" s="3" t="s">
        <v>23</v>
      </c>
    </row>
    <row r="1070" spans="1:5">
      <c r="A1070" s="3" t="s">
        <v>1091</v>
      </c>
      <c r="B1070" s="3" t="s">
        <v>22</v>
      </c>
      <c r="C1070" s="3">
        <v>603106</v>
      </c>
      <c r="D1070" s="3">
        <v>60664</v>
      </c>
      <c r="E1070" s="3" t="s">
        <v>23</v>
      </c>
    </row>
    <row r="1071" spans="1:5">
      <c r="A1071" s="3" t="s">
        <v>1092</v>
      </c>
      <c r="B1071" s="3" t="s">
        <v>22</v>
      </c>
      <c r="C1071" s="3">
        <v>674576</v>
      </c>
      <c r="D1071" s="3">
        <v>61577</v>
      </c>
      <c r="E1071" s="3" t="s">
        <v>23</v>
      </c>
    </row>
    <row r="1072" spans="1:5">
      <c r="A1072" s="3" t="s">
        <v>1093</v>
      </c>
      <c r="B1072" s="3" t="s">
        <v>22</v>
      </c>
      <c r="C1072" s="3">
        <v>442720</v>
      </c>
      <c r="D1072" s="3">
        <v>21694</v>
      </c>
      <c r="E1072" s="3" t="s">
        <v>23</v>
      </c>
    </row>
    <row r="1073" spans="1:5">
      <c r="A1073" s="3" t="s">
        <v>1094</v>
      </c>
      <c r="B1073" s="3" t="s">
        <v>22</v>
      </c>
      <c r="C1073" s="3">
        <v>650048</v>
      </c>
      <c r="D1073" s="3">
        <v>80546</v>
      </c>
      <c r="E1073" s="3" t="s">
        <v>23</v>
      </c>
    </row>
    <row r="1074" spans="1:5">
      <c r="A1074" s="3" t="s">
        <v>1095</v>
      </c>
      <c r="B1074" s="3" t="s">
        <v>22</v>
      </c>
      <c r="C1074" s="3">
        <v>901657</v>
      </c>
      <c r="D1074" s="3">
        <v>117468</v>
      </c>
      <c r="E1074" s="3" t="s">
        <v>23</v>
      </c>
    </row>
    <row r="1075" spans="1:5">
      <c r="A1075" s="3" t="s">
        <v>1096</v>
      </c>
      <c r="B1075" s="3" t="s">
        <v>22</v>
      </c>
      <c r="C1075" s="3">
        <v>1218353</v>
      </c>
      <c r="D1075" s="3">
        <v>197727</v>
      </c>
      <c r="E1075" s="3" t="s">
        <v>23</v>
      </c>
    </row>
    <row r="1076" spans="1:5">
      <c r="A1076" s="3" t="s">
        <v>1097</v>
      </c>
      <c r="B1076" s="3" t="s">
        <v>22</v>
      </c>
      <c r="C1076" s="3">
        <v>897690</v>
      </c>
      <c r="D1076" s="3">
        <v>88633</v>
      </c>
      <c r="E1076" s="3" t="s">
        <v>23</v>
      </c>
    </row>
    <row r="1077" spans="1:5">
      <c r="A1077" s="3" t="s">
        <v>1098</v>
      </c>
      <c r="B1077" s="3" t="s">
        <v>22</v>
      </c>
      <c r="C1077" s="3">
        <v>699837</v>
      </c>
      <c r="D1077" s="3">
        <v>57111</v>
      </c>
      <c r="E1077" s="3" t="s">
        <v>23</v>
      </c>
    </row>
    <row r="1078" spans="1:5">
      <c r="A1078" s="3" t="s">
        <v>1099</v>
      </c>
      <c r="B1078" s="3" t="s">
        <v>22</v>
      </c>
      <c r="C1078" s="3">
        <v>788782</v>
      </c>
      <c r="D1078" s="3">
        <v>87380</v>
      </c>
      <c r="E1078" s="3" t="s">
        <v>23</v>
      </c>
    </row>
    <row r="1079" spans="1:5">
      <c r="A1079" s="3" t="s">
        <v>1100</v>
      </c>
      <c r="B1079" s="3" t="s">
        <v>22</v>
      </c>
      <c r="C1079" s="3">
        <v>818276</v>
      </c>
      <c r="D1079" s="3">
        <v>119355</v>
      </c>
      <c r="E1079" s="3" t="s">
        <v>23</v>
      </c>
    </row>
    <row r="1080" spans="1:5">
      <c r="A1080" s="3" t="s">
        <v>1101</v>
      </c>
      <c r="B1080" s="3" t="s">
        <v>22</v>
      </c>
      <c r="C1080" s="3">
        <v>568424</v>
      </c>
      <c r="D1080" s="3">
        <v>20821</v>
      </c>
      <c r="E1080" s="3" t="s">
        <v>23</v>
      </c>
    </row>
    <row r="1081" spans="1:5">
      <c r="A1081" s="3" t="s">
        <v>1102</v>
      </c>
      <c r="B1081" s="3" t="s">
        <v>22</v>
      </c>
      <c r="C1081" s="3">
        <v>1171108</v>
      </c>
      <c r="D1081" s="3">
        <v>223079</v>
      </c>
      <c r="E1081" s="3" t="s">
        <v>23</v>
      </c>
    </row>
    <row r="1082" spans="1:5">
      <c r="A1082" s="3" t="s">
        <v>1103</v>
      </c>
      <c r="B1082" s="3" t="s">
        <v>22</v>
      </c>
      <c r="C1082" s="3">
        <v>680743</v>
      </c>
      <c r="D1082" s="3">
        <v>91867</v>
      </c>
      <c r="E1082" s="3" t="s">
        <v>23</v>
      </c>
    </row>
    <row r="1083" spans="1:5">
      <c r="A1083" s="3" t="s">
        <v>1104</v>
      </c>
      <c r="B1083" s="3" t="s">
        <v>22</v>
      </c>
      <c r="C1083" s="3">
        <v>554736</v>
      </c>
      <c r="D1083" s="3">
        <v>14951</v>
      </c>
      <c r="E1083" s="3" t="s">
        <v>23</v>
      </c>
    </row>
    <row r="1084" spans="1:5">
      <c r="A1084" s="3" t="s">
        <v>1105</v>
      </c>
      <c r="B1084" s="3" t="s">
        <v>22</v>
      </c>
      <c r="C1084" s="3">
        <v>283728</v>
      </c>
      <c r="D1084" s="3">
        <v>272</v>
      </c>
      <c r="E1084" s="3" t="s">
        <v>23</v>
      </c>
    </row>
    <row r="1085" spans="1:5">
      <c r="A1085" s="3" t="s">
        <v>1106</v>
      </c>
      <c r="B1085" s="3" t="s">
        <v>22</v>
      </c>
      <c r="C1085" s="3">
        <v>1038519</v>
      </c>
      <c r="D1085" s="3">
        <v>175885</v>
      </c>
      <c r="E1085" s="3" t="s">
        <v>23</v>
      </c>
    </row>
    <row r="1086" spans="1:5">
      <c r="A1086" s="3" t="s">
        <v>1107</v>
      </c>
      <c r="B1086" s="3" t="s">
        <v>22</v>
      </c>
      <c r="C1086" s="3">
        <v>731217</v>
      </c>
      <c r="D1086" s="3">
        <v>72598</v>
      </c>
      <c r="E1086" s="3" t="s">
        <v>23</v>
      </c>
    </row>
    <row r="1087" spans="1:5">
      <c r="A1087" s="3" t="s">
        <v>1108</v>
      </c>
      <c r="B1087" s="3" t="s">
        <v>22</v>
      </c>
      <c r="C1087" s="3">
        <v>809107</v>
      </c>
      <c r="D1087" s="3">
        <v>118662</v>
      </c>
      <c r="E1087" s="3" t="s">
        <v>23</v>
      </c>
    </row>
    <row r="1088" spans="1:5">
      <c r="A1088" s="3" t="s">
        <v>1109</v>
      </c>
      <c r="B1088" s="3" t="s">
        <v>22</v>
      </c>
      <c r="C1088" s="3">
        <v>610714</v>
      </c>
      <c r="D1088" s="3">
        <v>52832</v>
      </c>
      <c r="E1088" s="3" t="s">
        <v>23</v>
      </c>
    </row>
    <row r="1089" spans="1:5">
      <c r="A1089" s="3" t="s">
        <v>1110</v>
      </c>
      <c r="B1089" s="3" t="s">
        <v>22</v>
      </c>
      <c r="C1089" s="3">
        <v>597849</v>
      </c>
      <c r="D1089" s="3">
        <v>7718</v>
      </c>
      <c r="E1089" s="3" t="s">
        <v>23</v>
      </c>
    </row>
    <row r="1090" spans="1:5">
      <c r="A1090" s="3" t="s">
        <v>1111</v>
      </c>
      <c r="B1090" s="3" t="s">
        <v>22</v>
      </c>
      <c r="C1090" s="3">
        <v>731402</v>
      </c>
      <c r="D1090" s="3">
        <v>99466</v>
      </c>
      <c r="E1090" s="3" t="s">
        <v>23</v>
      </c>
    </row>
    <row r="1091" spans="1:5">
      <c r="A1091" s="3" t="s">
        <v>1112</v>
      </c>
      <c r="B1091" s="3" t="s">
        <v>22</v>
      </c>
      <c r="C1091" s="3">
        <v>396859</v>
      </c>
      <c r="D1091" s="3">
        <v>21112</v>
      </c>
      <c r="E1091" s="3" t="s">
        <v>23</v>
      </c>
    </row>
    <row r="1092" spans="1:5">
      <c r="A1092" s="3" t="s">
        <v>1113</v>
      </c>
      <c r="B1092" s="3" t="s">
        <v>22</v>
      </c>
      <c r="C1092" s="3">
        <v>792591</v>
      </c>
      <c r="D1092" s="3">
        <v>100340</v>
      </c>
      <c r="E1092" s="3" t="s">
        <v>23</v>
      </c>
    </row>
    <row r="1093" spans="1:5">
      <c r="A1093" s="3" t="s">
        <v>1114</v>
      </c>
      <c r="B1093" s="3" t="s">
        <v>22</v>
      </c>
      <c r="C1093" s="3">
        <v>696515</v>
      </c>
      <c r="D1093" s="3">
        <v>47289</v>
      </c>
      <c r="E1093" s="3" t="s">
        <v>23</v>
      </c>
    </row>
    <row r="1094" spans="1:5">
      <c r="A1094" s="3" t="s">
        <v>1115</v>
      </c>
      <c r="B1094" s="3" t="s">
        <v>22</v>
      </c>
      <c r="C1094" s="3">
        <v>826019</v>
      </c>
      <c r="D1094" s="3">
        <v>114632</v>
      </c>
      <c r="E1094" s="3" t="s">
        <v>23</v>
      </c>
    </row>
    <row r="1095" spans="1:5">
      <c r="A1095" s="3" t="s">
        <v>1116</v>
      </c>
      <c r="B1095" s="3" t="s">
        <v>22</v>
      </c>
      <c r="C1095" s="3">
        <v>576697</v>
      </c>
      <c r="D1095" s="3">
        <v>39399</v>
      </c>
      <c r="E1095" s="3" t="s">
        <v>23</v>
      </c>
    </row>
    <row r="1096" spans="1:5">
      <c r="A1096" s="3" t="s">
        <v>1117</v>
      </c>
      <c r="B1096" s="3" t="s">
        <v>22</v>
      </c>
      <c r="C1096" s="3">
        <v>678755</v>
      </c>
      <c r="D1096" s="3">
        <v>75350</v>
      </c>
      <c r="E1096" s="3" t="s">
        <v>23</v>
      </c>
    </row>
    <row r="1097" spans="1:5">
      <c r="A1097" s="3" t="s">
        <v>1118</v>
      </c>
      <c r="B1097" s="3" t="s">
        <v>22</v>
      </c>
      <c r="C1097" s="3">
        <v>699652</v>
      </c>
      <c r="D1097" s="3">
        <v>71171</v>
      </c>
      <c r="E1097" s="3" t="s">
        <v>23</v>
      </c>
    </row>
    <row r="1098" spans="1:5">
      <c r="A1098" s="3" t="s">
        <v>1119</v>
      </c>
      <c r="B1098" s="3" t="s">
        <v>22</v>
      </c>
      <c r="C1098" s="3">
        <v>1003660</v>
      </c>
      <c r="D1098" s="3">
        <v>134834</v>
      </c>
      <c r="E1098" s="3" t="s">
        <v>23</v>
      </c>
    </row>
    <row r="1099" spans="1:5">
      <c r="A1099" s="3" t="s">
        <v>1120</v>
      </c>
      <c r="B1099" s="3" t="s">
        <v>22</v>
      </c>
      <c r="C1099" s="3">
        <v>602525</v>
      </c>
      <c r="D1099" s="3">
        <v>52451</v>
      </c>
      <c r="E1099" s="3" t="s">
        <v>23</v>
      </c>
    </row>
    <row r="1100" spans="1:5">
      <c r="A1100" s="3" t="s">
        <v>1121</v>
      </c>
      <c r="B1100" s="3" t="s">
        <v>22</v>
      </c>
      <c r="C1100" s="3">
        <v>1019677</v>
      </c>
      <c r="D1100" s="3">
        <v>178660</v>
      </c>
      <c r="E1100" s="3" t="s">
        <v>23</v>
      </c>
    </row>
    <row r="1101" spans="1:5">
      <c r="A1101" s="3" t="s">
        <v>1122</v>
      </c>
      <c r="B1101" s="3" t="s">
        <v>22</v>
      </c>
      <c r="C1101" s="3">
        <v>644414</v>
      </c>
      <c r="D1101" s="3">
        <v>66974</v>
      </c>
      <c r="E1101" s="3" t="s">
        <v>23</v>
      </c>
    </row>
    <row r="1102" spans="1:5">
      <c r="A1102" s="3" t="s">
        <v>1123</v>
      </c>
      <c r="B1102" s="3" t="s">
        <v>22</v>
      </c>
      <c r="C1102" s="3">
        <v>589030</v>
      </c>
      <c r="D1102" s="3">
        <v>26836</v>
      </c>
      <c r="E1102" s="3" t="s">
        <v>23</v>
      </c>
    </row>
    <row r="1103" spans="1:5">
      <c r="A1103" s="3" t="s">
        <v>1124</v>
      </c>
      <c r="B1103" s="3" t="s">
        <v>22</v>
      </c>
      <c r="C1103" s="3">
        <v>549180</v>
      </c>
      <c r="D1103" s="3">
        <v>40063</v>
      </c>
      <c r="E1103" s="3" t="s">
        <v>23</v>
      </c>
    </row>
    <row r="1104" spans="1:5">
      <c r="A1104" s="3" t="s">
        <v>1125</v>
      </c>
      <c r="B1104" s="3" t="s">
        <v>22</v>
      </c>
      <c r="C1104" s="3">
        <v>919854</v>
      </c>
      <c r="D1104" s="3">
        <v>123342</v>
      </c>
      <c r="E1104" s="3" t="s">
        <v>23</v>
      </c>
    </row>
    <row r="1105" spans="1:5">
      <c r="A1105" s="3" t="s">
        <v>1126</v>
      </c>
      <c r="B1105" s="3" t="s">
        <v>22</v>
      </c>
      <c r="C1105" s="3">
        <v>657142</v>
      </c>
      <c r="D1105" s="3">
        <v>79902</v>
      </c>
      <c r="E1105" s="3" t="s">
        <v>23</v>
      </c>
    </row>
    <row r="1106" spans="1:5">
      <c r="A1106" s="3" t="s">
        <v>1127</v>
      </c>
      <c r="B1106" s="3" t="s">
        <v>22</v>
      </c>
      <c r="C1106" s="3">
        <v>830042</v>
      </c>
      <c r="D1106" s="3">
        <v>103619</v>
      </c>
      <c r="E1106" s="3" t="s">
        <v>23</v>
      </c>
    </row>
    <row r="1107" spans="1:5">
      <c r="A1107" s="3" t="s">
        <v>1128</v>
      </c>
      <c r="B1107" s="3" t="s">
        <v>22</v>
      </c>
      <c r="C1107" s="3">
        <v>821519</v>
      </c>
      <c r="D1107" s="3">
        <v>85259</v>
      </c>
      <c r="E1107" s="3" t="s">
        <v>23</v>
      </c>
    </row>
    <row r="1108" spans="1:5">
      <c r="A1108" s="3" t="s">
        <v>1129</v>
      </c>
      <c r="B1108" s="3" t="s">
        <v>22</v>
      </c>
      <c r="C1108" s="3">
        <v>719698</v>
      </c>
      <c r="D1108" s="3">
        <v>111092</v>
      </c>
      <c r="E1108" s="3" t="s">
        <v>23</v>
      </c>
    </row>
    <row r="1109" spans="1:5">
      <c r="A1109" s="3" t="s">
        <v>1130</v>
      </c>
      <c r="B1109" s="3" t="s">
        <v>22</v>
      </c>
      <c r="C1109" s="3">
        <v>662554</v>
      </c>
      <c r="D1109" s="3">
        <v>62246</v>
      </c>
      <c r="E1109" s="3" t="s">
        <v>23</v>
      </c>
    </row>
    <row r="1110" spans="1:5">
      <c r="A1110" s="3" t="s">
        <v>1131</v>
      </c>
      <c r="B1110" s="3" t="s">
        <v>22</v>
      </c>
      <c r="C1110" s="3">
        <v>681154</v>
      </c>
      <c r="D1110" s="3">
        <v>83794</v>
      </c>
      <c r="E1110" s="3" t="s">
        <v>23</v>
      </c>
    </row>
    <row r="1111" spans="1:5">
      <c r="A1111" s="3" t="s">
        <v>1132</v>
      </c>
      <c r="B1111" s="3" t="s">
        <v>22</v>
      </c>
      <c r="C1111" s="3">
        <v>587985</v>
      </c>
      <c r="D1111" s="3">
        <v>58440</v>
      </c>
      <c r="E1111" s="3" t="s">
        <v>23</v>
      </c>
    </row>
    <row r="1112" spans="1:5">
      <c r="A1112" s="3" t="s">
        <v>1133</v>
      </c>
      <c r="B1112" s="3" t="s">
        <v>22</v>
      </c>
      <c r="C1112" s="3">
        <v>1224359</v>
      </c>
      <c r="D1112" s="3">
        <v>283916</v>
      </c>
      <c r="E1112" s="3" t="s">
        <v>23</v>
      </c>
    </row>
    <row r="1113" spans="1:5">
      <c r="A1113" s="3" t="s">
        <v>1134</v>
      </c>
      <c r="B1113" s="3" t="s">
        <v>22</v>
      </c>
      <c r="C1113" s="3">
        <v>695680</v>
      </c>
      <c r="D1113" s="3">
        <v>77099</v>
      </c>
      <c r="E1113" s="3" t="s">
        <v>23</v>
      </c>
    </row>
    <row r="1114" spans="1:5">
      <c r="A1114" s="3" t="s">
        <v>1135</v>
      </c>
      <c r="B1114" s="3" t="s">
        <v>22</v>
      </c>
      <c r="C1114" s="3">
        <v>608920</v>
      </c>
      <c r="D1114" s="3">
        <v>64782</v>
      </c>
      <c r="E1114" s="3" t="s">
        <v>23</v>
      </c>
    </row>
    <row r="1115" spans="1:5">
      <c r="A1115" s="3" t="s">
        <v>1136</v>
      </c>
      <c r="B1115" s="3" t="s">
        <v>22</v>
      </c>
      <c r="C1115" s="3">
        <v>401476</v>
      </c>
      <c r="D1115" s="3">
        <v>14386</v>
      </c>
      <c r="E1115" s="3" t="s">
        <v>23</v>
      </c>
    </row>
    <row r="1116" spans="1:5">
      <c r="A1116" s="3" t="s">
        <v>1137</v>
      </c>
      <c r="B1116" s="3" t="s">
        <v>22</v>
      </c>
      <c r="C1116" s="3">
        <v>1245835</v>
      </c>
      <c r="D1116" s="3">
        <v>247228</v>
      </c>
      <c r="E1116" s="3" t="s">
        <v>23</v>
      </c>
    </row>
    <row r="1117" spans="1:5">
      <c r="A1117" s="3" t="s">
        <v>1138</v>
      </c>
      <c r="B1117" s="3" t="s">
        <v>22</v>
      </c>
      <c r="C1117" s="3">
        <v>555287</v>
      </c>
      <c r="D1117" s="3">
        <v>14320</v>
      </c>
      <c r="E1117" s="3" t="s">
        <v>23</v>
      </c>
    </row>
    <row r="1118" spans="1:5">
      <c r="A1118" s="3" t="s">
        <v>1139</v>
      </c>
      <c r="B1118" s="3" t="s">
        <v>22</v>
      </c>
      <c r="C1118" s="3">
        <v>674269</v>
      </c>
      <c r="D1118" s="3">
        <v>88041</v>
      </c>
      <c r="E1118" s="3" t="s">
        <v>23</v>
      </c>
    </row>
    <row r="1119" spans="1:5">
      <c r="A1119" s="3" t="s">
        <v>1140</v>
      </c>
      <c r="B1119" s="3" t="s">
        <v>22</v>
      </c>
      <c r="C1119" s="3">
        <v>1430887</v>
      </c>
      <c r="D1119" s="3">
        <v>610513</v>
      </c>
      <c r="E1119" s="3" t="s">
        <v>23</v>
      </c>
    </row>
    <row r="1120" spans="1:5">
      <c r="A1120" s="3" t="s">
        <v>1141</v>
      </c>
      <c r="B1120" s="3" t="s">
        <v>22</v>
      </c>
      <c r="C1120" s="3">
        <v>1449544</v>
      </c>
      <c r="D1120" s="3">
        <v>565746</v>
      </c>
      <c r="E1120" s="3" t="s">
        <v>23</v>
      </c>
    </row>
    <row r="1121" spans="1:5">
      <c r="A1121" s="3" t="s">
        <v>1142</v>
      </c>
      <c r="B1121" s="3" t="s">
        <v>22</v>
      </c>
      <c r="C1121" s="3">
        <v>1481691</v>
      </c>
      <c r="D1121" s="3">
        <v>653960</v>
      </c>
      <c r="E1121" s="3" t="s">
        <v>23</v>
      </c>
    </row>
    <row r="1122" spans="1:5">
      <c r="A1122" s="3" t="s">
        <v>1143</v>
      </c>
      <c r="B1122" s="3" t="s">
        <v>22</v>
      </c>
      <c r="C1122" s="3">
        <v>402681</v>
      </c>
      <c r="D1122" s="3">
        <v>1624</v>
      </c>
      <c r="E1122" s="3" t="s">
        <v>23</v>
      </c>
    </row>
    <row r="1123" spans="1:5">
      <c r="A1123" s="3" t="s">
        <v>1144</v>
      </c>
      <c r="B1123" s="3" t="s">
        <v>22</v>
      </c>
      <c r="C1123" s="3">
        <v>1196320</v>
      </c>
      <c r="D1123" s="3">
        <v>373593</v>
      </c>
      <c r="E1123" s="3" t="s">
        <v>23</v>
      </c>
    </row>
    <row r="1124" spans="1:5">
      <c r="A1124" s="3" t="s">
        <v>1145</v>
      </c>
      <c r="B1124" s="3" t="s">
        <v>22</v>
      </c>
      <c r="C1124" s="3">
        <v>1410973</v>
      </c>
      <c r="D1124" s="3">
        <v>595830</v>
      </c>
      <c r="E1124" s="3" t="s">
        <v>23</v>
      </c>
    </row>
    <row r="1125" spans="1:5">
      <c r="A1125" s="3" t="s">
        <v>1146</v>
      </c>
      <c r="B1125" s="3" t="s">
        <v>22</v>
      </c>
      <c r="C1125" s="3">
        <v>400160</v>
      </c>
      <c r="D1125" s="3">
        <v>6486</v>
      </c>
      <c r="E1125" s="3" t="s">
        <v>23</v>
      </c>
    </row>
    <row r="1126" spans="1:5">
      <c r="A1126" s="3" t="s">
        <v>1147</v>
      </c>
      <c r="B1126" s="3" t="s">
        <v>22</v>
      </c>
      <c r="C1126" s="3">
        <v>548560</v>
      </c>
      <c r="D1126" s="3">
        <v>78465</v>
      </c>
      <c r="E1126" s="3" t="s">
        <v>23</v>
      </c>
    </row>
    <row r="1127" spans="1:5">
      <c r="A1127" s="3" t="s">
        <v>1148</v>
      </c>
      <c r="B1127" s="3" t="s">
        <v>22</v>
      </c>
      <c r="C1127" s="3">
        <v>1630522</v>
      </c>
      <c r="D1127" s="3">
        <v>644704</v>
      </c>
      <c r="E1127" s="3" t="s">
        <v>23</v>
      </c>
    </row>
    <row r="1128" spans="1:5">
      <c r="A1128" s="3" t="s">
        <v>1149</v>
      </c>
      <c r="B1128" s="3" t="s">
        <v>22</v>
      </c>
      <c r="C1128" s="3">
        <v>1556077</v>
      </c>
      <c r="D1128" s="3">
        <v>668214</v>
      </c>
      <c r="E1128" s="3" t="s">
        <v>23</v>
      </c>
    </row>
    <row r="1129" spans="1:5">
      <c r="A1129" s="3" t="s">
        <v>1150</v>
      </c>
      <c r="B1129" s="3" t="s">
        <v>22</v>
      </c>
      <c r="C1129" s="3">
        <v>995685</v>
      </c>
      <c r="D1129" s="3">
        <v>291073</v>
      </c>
      <c r="E1129" s="3" t="s">
        <v>23</v>
      </c>
    </row>
    <row r="1130" spans="1:5">
      <c r="A1130" s="3" t="s">
        <v>1151</v>
      </c>
      <c r="B1130" s="3" t="s">
        <v>22</v>
      </c>
      <c r="C1130" s="3">
        <v>1143839</v>
      </c>
      <c r="D1130" s="3">
        <v>370589</v>
      </c>
      <c r="E1130" s="3" t="s">
        <v>23</v>
      </c>
    </row>
    <row r="1131" spans="1:5">
      <c r="A1131" s="3" t="s">
        <v>1152</v>
      </c>
      <c r="B1131" s="3" t="s">
        <v>22</v>
      </c>
      <c r="C1131" s="3">
        <v>1680084</v>
      </c>
      <c r="D1131" s="3">
        <v>754527</v>
      </c>
      <c r="E1131" s="3" t="s">
        <v>23</v>
      </c>
    </row>
    <row r="1132" spans="1:5">
      <c r="A1132" s="3" t="s">
        <v>1153</v>
      </c>
      <c r="B1132" s="3" t="s">
        <v>22</v>
      </c>
      <c r="C1132" s="3">
        <v>356205</v>
      </c>
      <c r="D1132" s="3">
        <v>844</v>
      </c>
      <c r="E1132" s="3" t="s">
        <v>23</v>
      </c>
    </row>
    <row r="1133" spans="1:5">
      <c r="A1133" s="3" t="s">
        <v>1154</v>
      </c>
      <c r="B1133" s="3" t="s">
        <v>22</v>
      </c>
      <c r="C1133" s="3">
        <v>941831</v>
      </c>
      <c r="D1133" s="3">
        <v>197250</v>
      </c>
      <c r="E1133" s="3" t="s">
        <v>23</v>
      </c>
    </row>
    <row r="1134" spans="1:5">
      <c r="A1134" s="3" t="s">
        <v>1155</v>
      </c>
      <c r="B1134" s="3" t="s">
        <v>22</v>
      </c>
      <c r="C1134" s="3">
        <v>1160878</v>
      </c>
      <c r="D1134" s="3">
        <v>339441</v>
      </c>
      <c r="E1134" s="3" t="s">
        <v>23</v>
      </c>
    </row>
    <row r="1135" spans="1:5">
      <c r="A1135" s="3" t="s">
        <v>1156</v>
      </c>
      <c r="B1135" s="3" t="s">
        <v>22</v>
      </c>
      <c r="C1135" s="3">
        <v>1671807</v>
      </c>
      <c r="D1135" s="3">
        <v>775571</v>
      </c>
      <c r="E1135" s="3" t="s">
        <v>23</v>
      </c>
    </row>
    <row r="1136" spans="1:5">
      <c r="A1136" s="3" t="s">
        <v>1157</v>
      </c>
      <c r="B1136" s="3" t="s">
        <v>22</v>
      </c>
      <c r="C1136" s="3">
        <v>1297589</v>
      </c>
      <c r="D1136" s="3">
        <v>484579</v>
      </c>
      <c r="E1136" s="3" t="s">
        <v>23</v>
      </c>
    </row>
    <row r="1137" spans="1:5">
      <c r="A1137" s="3" t="s">
        <v>1158</v>
      </c>
      <c r="B1137" s="3" t="s">
        <v>22</v>
      </c>
      <c r="C1137" s="3">
        <v>342230</v>
      </c>
      <c r="D1137" s="3">
        <v>341</v>
      </c>
      <c r="E1137" s="3" t="s">
        <v>23</v>
      </c>
    </row>
    <row r="1138" spans="1:5">
      <c r="A1138" s="3" t="s">
        <v>1159</v>
      </c>
      <c r="B1138" s="3" t="s">
        <v>22</v>
      </c>
      <c r="C1138" s="3">
        <v>1453010</v>
      </c>
      <c r="D1138" s="3">
        <v>506385</v>
      </c>
      <c r="E1138" s="3" t="s">
        <v>23</v>
      </c>
    </row>
    <row r="1139" spans="1:5">
      <c r="A1139" s="3" t="s">
        <v>1160</v>
      </c>
      <c r="B1139" s="3" t="s">
        <v>22</v>
      </c>
      <c r="C1139" s="3">
        <v>1423323</v>
      </c>
      <c r="D1139" s="3">
        <v>609326</v>
      </c>
      <c r="E1139" s="3" t="s">
        <v>23</v>
      </c>
    </row>
    <row r="1140" spans="1:5">
      <c r="A1140" s="3" t="s">
        <v>1161</v>
      </c>
      <c r="B1140" s="3" t="s">
        <v>22</v>
      </c>
      <c r="C1140" s="3">
        <v>1286969</v>
      </c>
      <c r="D1140" s="3">
        <v>505429</v>
      </c>
      <c r="E1140" s="3" t="s">
        <v>23</v>
      </c>
    </row>
    <row r="1141" spans="1:5">
      <c r="A1141" s="3" t="s">
        <v>1162</v>
      </c>
      <c r="B1141" s="3" t="s">
        <v>22</v>
      </c>
      <c r="C1141" s="3">
        <v>646412</v>
      </c>
      <c r="D1141" s="3">
        <v>1911</v>
      </c>
      <c r="E1141" s="3" t="s">
        <v>23</v>
      </c>
    </row>
    <row r="1142" spans="1:5">
      <c r="A1142" s="3" t="s">
        <v>1163</v>
      </c>
      <c r="B1142" s="3" t="s">
        <v>22</v>
      </c>
      <c r="C1142" s="3">
        <v>1404698</v>
      </c>
      <c r="D1142" s="3">
        <v>589890</v>
      </c>
      <c r="E1142" s="3" t="s">
        <v>23</v>
      </c>
    </row>
    <row r="1143" spans="1:5">
      <c r="A1143" s="3" t="s">
        <v>1164</v>
      </c>
      <c r="B1143" s="3" t="s">
        <v>22</v>
      </c>
      <c r="C1143" s="3">
        <v>798132</v>
      </c>
      <c r="D1143" s="3">
        <v>141535</v>
      </c>
      <c r="E1143" s="3" t="s">
        <v>23</v>
      </c>
    </row>
    <row r="1144" spans="1:5">
      <c r="A1144" s="3" t="s">
        <v>1165</v>
      </c>
      <c r="B1144" s="3" t="s">
        <v>22</v>
      </c>
      <c r="C1144" s="3">
        <v>1377183</v>
      </c>
      <c r="D1144" s="3">
        <v>603941</v>
      </c>
      <c r="E1144" s="3" t="s">
        <v>23</v>
      </c>
    </row>
    <row r="1145" spans="1:5">
      <c r="A1145" s="3" t="s">
        <v>1166</v>
      </c>
      <c r="B1145" s="3" t="s">
        <v>22</v>
      </c>
      <c r="C1145" s="3">
        <v>1493090</v>
      </c>
      <c r="D1145" s="3">
        <v>672106</v>
      </c>
      <c r="E1145" s="3" t="s">
        <v>23</v>
      </c>
    </row>
    <row r="1146" spans="1:5">
      <c r="A1146" s="3" t="s">
        <v>1167</v>
      </c>
      <c r="B1146" s="3" t="s">
        <v>22</v>
      </c>
      <c r="C1146" s="3">
        <v>1703373</v>
      </c>
      <c r="D1146" s="3">
        <v>703275</v>
      </c>
      <c r="E1146" s="3" t="s">
        <v>23</v>
      </c>
    </row>
    <row r="1147" spans="1:5">
      <c r="A1147" s="3" t="s">
        <v>1168</v>
      </c>
      <c r="B1147" s="3" t="s">
        <v>22</v>
      </c>
      <c r="C1147" s="3">
        <v>1662476</v>
      </c>
      <c r="D1147" s="3">
        <v>785425</v>
      </c>
      <c r="E1147" s="3" t="s">
        <v>23</v>
      </c>
    </row>
    <row r="1148" spans="1:5">
      <c r="A1148" s="3" t="s">
        <v>1169</v>
      </c>
      <c r="B1148" s="3" t="s">
        <v>22</v>
      </c>
      <c r="C1148" s="3">
        <v>1082800</v>
      </c>
      <c r="D1148" s="3">
        <v>317010</v>
      </c>
      <c r="E1148" s="3" t="s">
        <v>23</v>
      </c>
    </row>
    <row r="1149" spans="1:5">
      <c r="A1149" s="3" t="s">
        <v>1170</v>
      </c>
      <c r="B1149" s="3" t="s">
        <v>22</v>
      </c>
      <c r="C1149" s="3">
        <v>1288411</v>
      </c>
      <c r="D1149" s="3">
        <v>402854</v>
      </c>
      <c r="E1149" s="3" t="s">
        <v>23</v>
      </c>
    </row>
    <row r="1150" spans="1:5">
      <c r="A1150" s="3" t="s">
        <v>1171</v>
      </c>
      <c r="B1150" s="3" t="s">
        <v>22</v>
      </c>
      <c r="C1150" s="3">
        <v>1702410</v>
      </c>
      <c r="D1150" s="3">
        <v>582667</v>
      </c>
      <c r="E1150" s="3" t="s">
        <v>23</v>
      </c>
    </row>
    <row r="1151" spans="1:5">
      <c r="A1151" s="3" t="s">
        <v>1172</v>
      </c>
      <c r="B1151" s="3" t="s">
        <v>22</v>
      </c>
      <c r="C1151" s="3">
        <v>16409</v>
      </c>
      <c r="D1151" s="3">
        <v>2109</v>
      </c>
      <c r="E1151" s="3" t="s">
        <v>23</v>
      </c>
    </row>
    <row r="1152" spans="1:5">
      <c r="A1152" s="3" t="s">
        <v>1173</v>
      </c>
      <c r="B1152" s="3" t="s">
        <v>22</v>
      </c>
      <c r="C1152" s="3">
        <v>737547</v>
      </c>
      <c r="D1152" s="3">
        <v>78998</v>
      </c>
      <c r="E1152" s="3" t="s">
        <v>23</v>
      </c>
    </row>
    <row r="1153" spans="1:5">
      <c r="A1153" s="3" t="s">
        <v>1174</v>
      </c>
      <c r="B1153" s="3" t="s">
        <v>22</v>
      </c>
      <c r="C1153" s="3">
        <v>1374273</v>
      </c>
      <c r="D1153" s="3">
        <v>450919</v>
      </c>
      <c r="E1153" s="3" t="s">
        <v>23</v>
      </c>
    </row>
    <row r="1154" spans="1:5">
      <c r="A1154" s="3" t="s">
        <v>1175</v>
      </c>
      <c r="B1154" s="3" t="s">
        <v>22</v>
      </c>
      <c r="C1154" s="3">
        <v>1238884</v>
      </c>
      <c r="D1154" s="3">
        <v>381484</v>
      </c>
      <c r="E1154" s="3" t="s">
        <v>23</v>
      </c>
    </row>
    <row r="1155" spans="1:5">
      <c r="A1155" s="3" t="s">
        <v>1176</v>
      </c>
      <c r="B1155" s="3" t="s">
        <v>22</v>
      </c>
      <c r="C1155" s="3">
        <v>1390841</v>
      </c>
      <c r="D1155" s="3">
        <v>600755</v>
      </c>
      <c r="E1155" s="3" t="s">
        <v>23</v>
      </c>
    </row>
    <row r="1156" spans="1:5">
      <c r="A1156" s="3" t="s">
        <v>1177</v>
      </c>
      <c r="B1156" s="3" t="s">
        <v>22</v>
      </c>
      <c r="C1156" s="3">
        <v>1725883</v>
      </c>
      <c r="D1156" s="3">
        <v>627913</v>
      </c>
      <c r="E1156" s="3" t="s">
        <v>23</v>
      </c>
    </row>
    <row r="1157" spans="1:5">
      <c r="A1157" s="3" t="s">
        <v>1178</v>
      </c>
      <c r="B1157" s="3" t="s">
        <v>22</v>
      </c>
      <c r="C1157" s="3">
        <v>2215</v>
      </c>
      <c r="D1157" s="3">
        <v>355</v>
      </c>
      <c r="E1157" s="3" t="s">
        <v>23</v>
      </c>
    </row>
    <row r="1158" spans="1:5">
      <c r="A1158" s="3" t="s">
        <v>1179</v>
      </c>
      <c r="B1158" s="3" t="s">
        <v>22</v>
      </c>
      <c r="C1158" s="3">
        <v>1332344</v>
      </c>
      <c r="D1158" s="3">
        <v>451032</v>
      </c>
      <c r="E1158" s="3" t="s">
        <v>23</v>
      </c>
    </row>
    <row r="1159" spans="1:5">
      <c r="A1159" s="3" t="s">
        <v>1180</v>
      </c>
      <c r="B1159" s="3" t="s">
        <v>22</v>
      </c>
      <c r="C1159" s="3">
        <v>1945718</v>
      </c>
      <c r="D1159" s="3">
        <v>854529</v>
      </c>
      <c r="E1159" s="3" t="s">
        <v>23</v>
      </c>
    </row>
    <row r="1160" spans="1:5">
      <c r="A1160" s="3" t="s">
        <v>1181</v>
      </c>
      <c r="B1160" s="3" t="s">
        <v>22</v>
      </c>
      <c r="C1160" s="3">
        <v>1506160</v>
      </c>
      <c r="D1160" s="3">
        <v>573780</v>
      </c>
      <c r="E1160" s="3" t="s">
        <v>23</v>
      </c>
    </row>
    <row r="1161" spans="1:5">
      <c r="A1161" s="3" t="s">
        <v>1182</v>
      </c>
      <c r="B1161" s="3" t="s">
        <v>22</v>
      </c>
      <c r="C1161" s="3">
        <v>1885839</v>
      </c>
      <c r="D1161" s="3">
        <v>708159</v>
      </c>
      <c r="E1161" s="3" t="s">
        <v>23</v>
      </c>
    </row>
    <row r="1162" spans="1:5">
      <c r="A1162" s="3" t="s">
        <v>1183</v>
      </c>
      <c r="B1162" s="3" t="s">
        <v>22</v>
      </c>
      <c r="C1162" s="3">
        <v>1916826</v>
      </c>
      <c r="D1162" s="3">
        <v>858363</v>
      </c>
      <c r="E1162" s="3" t="s">
        <v>23</v>
      </c>
    </row>
    <row r="1163" spans="1:5">
      <c r="A1163" s="3" t="s">
        <v>1184</v>
      </c>
      <c r="B1163" s="3" t="s">
        <v>22</v>
      </c>
      <c r="C1163" s="3">
        <v>1944636</v>
      </c>
      <c r="D1163" s="3">
        <v>941313</v>
      </c>
      <c r="E1163" s="3" t="s">
        <v>23</v>
      </c>
    </row>
    <row r="1164" spans="1:5">
      <c r="A1164" s="3" t="s">
        <v>1185</v>
      </c>
      <c r="B1164" s="3" t="s">
        <v>22</v>
      </c>
      <c r="C1164" s="3">
        <v>1775752</v>
      </c>
      <c r="D1164" s="3">
        <v>792417</v>
      </c>
      <c r="E1164" s="3" t="s">
        <v>23</v>
      </c>
    </row>
    <row r="1165" spans="1:5">
      <c r="A1165" s="3" t="s">
        <v>1186</v>
      </c>
      <c r="B1165" s="3" t="s">
        <v>22</v>
      </c>
      <c r="C1165" s="3">
        <v>1588574</v>
      </c>
      <c r="D1165" s="3">
        <v>708043</v>
      </c>
      <c r="E1165" s="3" t="s">
        <v>23</v>
      </c>
    </row>
    <row r="1166" spans="1:5">
      <c r="A1166" s="3" t="s">
        <v>1187</v>
      </c>
      <c r="B1166" s="3" t="s">
        <v>22</v>
      </c>
      <c r="C1166" s="3">
        <v>1246025</v>
      </c>
      <c r="D1166" s="3">
        <v>398836</v>
      </c>
      <c r="E1166" s="3" t="s">
        <v>23</v>
      </c>
    </row>
    <row r="1167" spans="1:5">
      <c r="A1167" s="3" t="s">
        <v>1188</v>
      </c>
      <c r="B1167" s="3" t="s">
        <v>22</v>
      </c>
      <c r="C1167" s="3">
        <v>1539092</v>
      </c>
      <c r="D1167" s="3">
        <v>537175</v>
      </c>
      <c r="E1167" s="3" t="s">
        <v>23</v>
      </c>
    </row>
    <row r="1168" spans="1:5">
      <c r="A1168" s="3" t="s">
        <v>1189</v>
      </c>
      <c r="B1168" s="3" t="s">
        <v>22</v>
      </c>
      <c r="C1168" s="3">
        <v>1356503</v>
      </c>
      <c r="D1168" s="3">
        <v>531985</v>
      </c>
      <c r="E1168" s="3" t="s">
        <v>23</v>
      </c>
    </row>
    <row r="1169" spans="1:5">
      <c r="A1169" s="3" t="s">
        <v>1190</v>
      </c>
      <c r="B1169" s="3" t="s">
        <v>22</v>
      </c>
      <c r="C1169" s="3">
        <v>2006663</v>
      </c>
      <c r="D1169" s="3">
        <v>917947</v>
      </c>
      <c r="E1169" s="3" t="s">
        <v>23</v>
      </c>
    </row>
    <row r="1170" spans="1:5">
      <c r="A1170" s="3" t="s">
        <v>1191</v>
      </c>
      <c r="B1170" s="3" t="s">
        <v>22</v>
      </c>
      <c r="C1170" s="3">
        <v>1458999</v>
      </c>
      <c r="D1170" s="3">
        <v>537109</v>
      </c>
      <c r="E1170" s="3" t="s">
        <v>23</v>
      </c>
    </row>
    <row r="1171" spans="1:5">
      <c r="A1171" s="3" t="s">
        <v>1192</v>
      </c>
      <c r="B1171" s="3" t="s">
        <v>22</v>
      </c>
      <c r="C1171" s="3">
        <v>1702231</v>
      </c>
      <c r="D1171" s="3">
        <v>646730</v>
      </c>
      <c r="E1171" s="3" t="s">
        <v>23</v>
      </c>
    </row>
    <row r="1172" spans="1:5">
      <c r="A1172" s="3" t="s">
        <v>1193</v>
      </c>
      <c r="B1172" s="3" t="s">
        <v>22</v>
      </c>
      <c r="C1172" s="3">
        <v>1665281</v>
      </c>
      <c r="D1172" s="3">
        <v>589124</v>
      </c>
      <c r="E1172" s="3" t="s">
        <v>23</v>
      </c>
    </row>
    <row r="1173" spans="1:5">
      <c r="A1173" s="3" t="s">
        <v>1194</v>
      </c>
      <c r="B1173" s="3" t="s">
        <v>22</v>
      </c>
      <c r="C1173" s="3">
        <v>778520</v>
      </c>
      <c r="D1173" s="3">
        <v>44764</v>
      </c>
      <c r="E1173" s="3" t="s">
        <v>23</v>
      </c>
    </row>
    <row r="1174" spans="1:5">
      <c r="A1174" s="3" t="s">
        <v>1195</v>
      </c>
      <c r="B1174" s="3" t="s">
        <v>22</v>
      </c>
      <c r="C1174" s="3">
        <v>2236809</v>
      </c>
      <c r="D1174" s="3">
        <v>942269</v>
      </c>
      <c r="E1174" s="3" t="s">
        <v>23</v>
      </c>
    </row>
    <row r="1175" spans="1:5">
      <c r="A1175" s="3" t="s">
        <v>1196</v>
      </c>
      <c r="B1175" s="3" t="s">
        <v>22</v>
      </c>
      <c r="C1175" s="3">
        <v>1711457</v>
      </c>
      <c r="D1175" s="3">
        <v>712109</v>
      </c>
      <c r="E1175" s="3" t="s">
        <v>23</v>
      </c>
    </row>
    <row r="1176" spans="1:5">
      <c r="A1176" s="3" t="s">
        <v>1197</v>
      </c>
      <c r="B1176" s="3" t="s">
        <v>22</v>
      </c>
      <c r="C1176" s="3">
        <v>545527</v>
      </c>
      <c r="D1176" s="3">
        <v>1624</v>
      </c>
      <c r="E1176" s="3" t="s">
        <v>23</v>
      </c>
    </row>
    <row r="1177" spans="1:5">
      <c r="A1177" s="3" t="s">
        <v>1198</v>
      </c>
      <c r="B1177" s="3" t="s">
        <v>22</v>
      </c>
      <c r="C1177" s="3">
        <v>453926</v>
      </c>
      <c r="D1177" s="3">
        <v>2064</v>
      </c>
      <c r="E1177" s="3" t="s">
        <v>23</v>
      </c>
    </row>
    <row r="1178" spans="1:5">
      <c r="A1178" s="3" t="s">
        <v>1199</v>
      </c>
      <c r="B1178" s="3" t="s">
        <v>22</v>
      </c>
      <c r="C1178" s="3">
        <v>1827411</v>
      </c>
      <c r="D1178" s="3">
        <v>779177</v>
      </c>
      <c r="E1178" s="3" t="s">
        <v>23</v>
      </c>
    </row>
    <row r="1179" spans="1:5">
      <c r="A1179" s="3" t="s">
        <v>1200</v>
      </c>
      <c r="B1179" s="3" t="s">
        <v>22</v>
      </c>
      <c r="C1179" s="3">
        <v>1990559</v>
      </c>
      <c r="D1179" s="3">
        <v>872985</v>
      </c>
      <c r="E1179" s="3" t="s">
        <v>23</v>
      </c>
    </row>
    <row r="1180" spans="1:5">
      <c r="A1180" s="3" t="s">
        <v>1201</v>
      </c>
      <c r="B1180" s="3" t="s">
        <v>22</v>
      </c>
      <c r="C1180" s="3">
        <v>1049609</v>
      </c>
      <c r="D1180" s="3">
        <v>192841</v>
      </c>
      <c r="E1180" s="3" t="s">
        <v>23</v>
      </c>
    </row>
    <row r="1181" spans="1:5">
      <c r="A1181" s="3" t="s">
        <v>1202</v>
      </c>
      <c r="B1181" s="3" t="s">
        <v>22</v>
      </c>
      <c r="C1181" s="3">
        <v>1682816</v>
      </c>
      <c r="D1181" s="3">
        <v>705082</v>
      </c>
      <c r="E1181" s="3" t="s">
        <v>23</v>
      </c>
    </row>
    <row r="1182" spans="1:5">
      <c r="A1182" s="3" t="s">
        <v>1203</v>
      </c>
      <c r="B1182" s="3" t="s">
        <v>22</v>
      </c>
      <c r="C1182" s="3">
        <v>1691906</v>
      </c>
      <c r="D1182" s="3">
        <v>661603</v>
      </c>
      <c r="E1182" s="3" t="s">
        <v>23</v>
      </c>
    </row>
    <row r="1183" spans="1:5">
      <c r="A1183" s="3" t="s">
        <v>1204</v>
      </c>
      <c r="B1183" s="3" t="s">
        <v>22</v>
      </c>
      <c r="C1183" s="3">
        <v>609443</v>
      </c>
      <c r="D1183" s="3">
        <v>13444</v>
      </c>
      <c r="E1183" s="3" t="s">
        <v>23</v>
      </c>
    </row>
    <row r="1184" spans="1:5">
      <c r="A1184" s="3" t="s">
        <v>1205</v>
      </c>
      <c r="B1184" s="3" t="s">
        <v>22</v>
      </c>
      <c r="C1184" s="3">
        <v>843268</v>
      </c>
      <c r="D1184" s="3">
        <v>183005</v>
      </c>
      <c r="E1184" s="3" t="s">
        <v>23</v>
      </c>
    </row>
    <row r="1185" spans="1:5">
      <c r="A1185" s="3" t="s">
        <v>1206</v>
      </c>
      <c r="B1185" s="3" t="s">
        <v>22</v>
      </c>
      <c r="C1185" s="3">
        <v>1778828</v>
      </c>
      <c r="D1185" s="3">
        <v>855788</v>
      </c>
      <c r="E1185" s="3" t="s">
        <v>23</v>
      </c>
    </row>
    <row r="1186" spans="1:5">
      <c r="A1186" s="3" t="s">
        <v>1207</v>
      </c>
      <c r="B1186" s="3" t="s">
        <v>22</v>
      </c>
      <c r="C1186" s="3">
        <v>1959716</v>
      </c>
      <c r="D1186" s="3">
        <v>888567</v>
      </c>
      <c r="E1186" s="3" t="s">
        <v>23</v>
      </c>
    </row>
    <row r="1187" spans="1:5">
      <c r="A1187" s="3" t="s">
        <v>1208</v>
      </c>
      <c r="B1187" s="3" t="s">
        <v>22</v>
      </c>
      <c r="C1187" s="3">
        <v>1545910</v>
      </c>
      <c r="D1187" s="3">
        <v>543691</v>
      </c>
      <c r="E1187" s="3" t="s">
        <v>23</v>
      </c>
    </row>
    <row r="1188" spans="1:5">
      <c r="A1188" s="3" t="s">
        <v>1209</v>
      </c>
      <c r="B1188" s="3" t="s">
        <v>22</v>
      </c>
      <c r="C1188" s="3">
        <v>1891000</v>
      </c>
      <c r="D1188" s="3">
        <v>889308</v>
      </c>
      <c r="E1188" s="3" t="s">
        <v>23</v>
      </c>
    </row>
    <row r="1189" spans="1:5">
      <c r="A1189" s="3" t="s">
        <v>1210</v>
      </c>
      <c r="B1189" s="3" t="s">
        <v>22</v>
      </c>
      <c r="C1189" s="3">
        <v>1297589</v>
      </c>
      <c r="D1189" s="3">
        <v>419048</v>
      </c>
      <c r="E1189" s="3" t="s">
        <v>23</v>
      </c>
    </row>
    <row r="1190" spans="1:5">
      <c r="A1190" s="3" t="s">
        <v>1211</v>
      </c>
      <c r="B1190" s="3" t="s">
        <v>22</v>
      </c>
      <c r="C1190" s="3">
        <v>1609329</v>
      </c>
      <c r="D1190" s="3">
        <v>679956</v>
      </c>
      <c r="E1190" s="3" t="s">
        <v>23</v>
      </c>
    </row>
    <row r="1191" spans="1:5">
      <c r="A1191" s="3" t="s">
        <v>1212</v>
      </c>
      <c r="B1191" s="3" t="s">
        <v>22</v>
      </c>
      <c r="C1191" s="3">
        <v>1849227</v>
      </c>
      <c r="D1191" s="3">
        <v>767234</v>
      </c>
      <c r="E1191" s="3" t="s">
        <v>23</v>
      </c>
    </row>
    <row r="1192" spans="1:5">
      <c r="A1192" s="3" t="s">
        <v>1213</v>
      </c>
      <c r="B1192" s="3" t="s">
        <v>22</v>
      </c>
      <c r="C1192" s="3">
        <v>1847570</v>
      </c>
      <c r="D1192" s="3">
        <v>775725</v>
      </c>
      <c r="E1192" s="3" t="s">
        <v>23</v>
      </c>
    </row>
    <row r="1193" spans="1:5">
      <c r="A1193" s="3" t="s">
        <v>1214</v>
      </c>
      <c r="B1193" s="3" t="s">
        <v>22</v>
      </c>
      <c r="C1193" s="3">
        <v>1913846</v>
      </c>
      <c r="D1193" s="3">
        <v>654996</v>
      </c>
      <c r="E1193" s="3" t="s">
        <v>23</v>
      </c>
    </row>
    <row r="1194" spans="1:5">
      <c r="A1194" s="3" t="s">
        <v>1215</v>
      </c>
      <c r="B1194" s="3" t="s">
        <v>22</v>
      </c>
      <c r="C1194" s="3">
        <v>1725077</v>
      </c>
      <c r="D1194" s="3">
        <v>604684</v>
      </c>
      <c r="E1194" s="3" t="s">
        <v>23</v>
      </c>
    </row>
    <row r="1195" spans="1:5">
      <c r="A1195" s="3" t="s">
        <v>1216</v>
      </c>
      <c r="B1195" s="3" t="s">
        <v>22</v>
      </c>
      <c r="C1195" s="3">
        <v>1193986</v>
      </c>
      <c r="D1195" s="3">
        <v>344998</v>
      </c>
      <c r="E1195" s="3" t="s">
        <v>23</v>
      </c>
    </row>
    <row r="1196" spans="1:5">
      <c r="A1196" s="3" t="s">
        <v>1217</v>
      </c>
      <c r="B1196" s="3" t="s">
        <v>22</v>
      </c>
      <c r="C1196" s="3">
        <v>1759518</v>
      </c>
      <c r="D1196" s="3">
        <v>768464</v>
      </c>
      <c r="E1196" s="3" t="s">
        <v>23</v>
      </c>
    </row>
    <row r="1197" spans="1:5">
      <c r="A1197" s="3" t="s">
        <v>1218</v>
      </c>
      <c r="B1197" s="3" t="s">
        <v>22</v>
      </c>
      <c r="C1197" s="3">
        <v>1965096</v>
      </c>
      <c r="D1197" s="3">
        <v>872598</v>
      </c>
      <c r="E1197" s="3" t="s">
        <v>23</v>
      </c>
    </row>
    <row r="1198" spans="1:5">
      <c r="A1198" s="3" t="s">
        <v>1219</v>
      </c>
      <c r="B1198" s="3" t="s">
        <v>22</v>
      </c>
      <c r="C1198" s="3">
        <v>1713537</v>
      </c>
      <c r="D1198" s="3">
        <v>588879</v>
      </c>
      <c r="E1198" s="3" t="s">
        <v>23</v>
      </c>
    </row>
    <row r="1199" spans="1:5">
      <c r="A1199" s="3" t="s">
        <v>1220</v>
      </c>
      <c r="B1199" s="3" t="s">
        <v>22</v>
      </c>
      <c r="C1199" s="3">
        <v>1192094</v>
      </c>
      <c r="D1199" s="3">
        <v>367929</v>
      </c>
      <c r="E1199" s="3" t="s">
        <v>23</v>
      </c>
    </row>
    <row r="1200" spans="1:5">
      <c r="A1200" s="3" t="s">
        <v>1221</v>
      </c>
      <c r="B1200" s="3" t="s">
        <v>22</v>
      </c>
      <c r="C1200" s="3">
        <v>1602695</v>
      </c>
      <c r="D1200" s="3">
        <v>656014</v>
      </c>
      <c r="E1200" s="3" t="s">
        <v>23</v>
      </c>
    </row>
    <row r="1201" spans="1:5">
      <c r="A1201" s="3" t="s">
        <v>1222</v>
      </c>
      <c r="B1201" s="3" t="s">
        <v>22</v>
      </c>
      <c r="C1201" s="3">
        <v>653286</v>
      </c>
      <c r="D1201" s="3">
        <v>39372</v>
      </c>
      <c r="E1201" s="3" t="s">
        <v>23</v>
      </c>
    </row>
    <row r="1202" spans="1:5">
      <c r="A1202" s="3" t="s">
        <v>1223</v>
      </c>
      <c r="B1202" s="3" t="s">
        <v>22</v>
      </c>
      <c r="C1202" s="3">
        <v>1597730</v>
      </c>
      <c r="D1202" s="3">
        <v>647494</v>
      </c>
      <c r="E1202" s="3" t="s">
        <v>23</v>
      </c>
    </row>
    <row r="1203" spans="1:5">
      <c r="A1203" s="3" t="s">
        <v>1224</v>
      </c>
      <c r="B1203" s="3" t="s">
        <v>22</v>
      </c>
      <c r="C1203" s="3">
        <v>1230061</v>
      </c>
      <c r="D1203" s="3">
        <v>401250</v>
      </c>
      <c r="E1203" s="3" t="s">
        <v>23</v>
      </c>
    </row>
    <row r="1204" spans="1:5">
      <c r="A1204" s="3" t="s">
        <v>1225</v>
      </c>
      <c r="B1204" s="3" t="s">
        <v>22</v>
      </c>
      <c r="C1204" s="3">
        <v>760183</v>
      </c>
      <c r="D1204" s="3">
        <v>45060</v>
      </c>
      <c r="E1204" s="3" t="s">
        <v>23</v>
      </c>
    </row>
    <row r="1205" spans="1:5">
      <c r="A1205" s="3" t="s">
        <v>1226</v>
      </c>
      <c r="B1205" s="3" t="s">
        <v>22</v>
      </c>
      <c r="C1205" s="3">
        <v>2043023</v>
      </c>
      <c r="D1205" s="3">
        <v>964627</v>
      </c>
      <c r="E1205" s="3" t="s">
        <v>23</v>
      </c>
    </row>
    <row r="1206" spans="1:5">
      <c r="A1206" s="3" t="s">
        <v>1227</v>
      </c>
      <c r="B1206" s="3" t="s">
        <v>22</v>
      </c>
      <c r="C1206" s="3">
        <v>1105970</v>
      </c>
      <c r="D1206" s="3">
        <v>200146</v>
      </c>
      <c r="E1206" s="3" t="s">
        <v>23</v>
      </c>
    </row>
    <row r="1207" spans="1:5">
      <c r="A1207" s="3" t="s">
        <v>1228</v>
      </c>
      <c r="B1207" s="3" t="s">
        <v>22</v>
      </c>
      <c r="C1207" s="3">
        <v>700580</v>
      </c>
      <c r="D1207" s="3">
        <v>18395</v>
      </c>
      <c r="E1207" s="3" t="s">
        <v>23</v>
      </c>
    </row>
    <row r="1208" spans="1:5">
      <c r="A1208" s="3" t="s">
        <v>1229</v>
      </c>
      <c r="B1208" s="3" t="s">
        <v>22</v>
      </c>
      <c r="C1208" s="3">
        <v>505497</v>
      </c>
      <c r="D1208" s="3">
        <v>20606</v>
      </c>
      <c r="E1208" s="3" t="s">
        <v>23</v>
      </c>
    </row>
    <row r="1209" spans="1:5">
      <c r="A1209" s="3" t="s">
        <v>1230</v>
      </c>
      <c r="B1209" s="3" t="s">
        <v>22</v>
      </c>
      <c r="C1209" s="3">
        <v>2063992</v>
      </c>
      <c r="D1209" s="3">
        <v>929076</v>
      </c>
      <c r="E1209" s="3" t="s">
        <v>23</v>
      </c>
    </row>
    <row r="1210" spans="1:5">
      <c r="A1210" s="3" t="s">
        <v>1231</v>
      </c>
      <c r="B1210" s="3" t="s">
        <v>22</v>
      </c>
      <c r="C1210" s="3">
        <v>1367048</v>
      </c>
      <c r="D1210" s="3">
        <v>401887</v>
      </c>
      <c r="E1210" s="3" t="s">
        <v>23</v>
      </c>
    </row>
    <row r="1211" spans="1:5">
      <c r="A1211" s="3" t="s">
        <v>1232</v>
      </c>
      <c r="B1211" s="3" t="s">
        <v>22</v>
      </c>
      <c r="C1211" s="3">
        <v>657603</v>
      </c>
      <c r="D1211" s="3">
        <v>17855</v>
      </c>
      <c r="E1211" s="3" t="s">
        <v>23</v>
      </c>
    </row>
    <row r="1212" spans="1:5">
      <c r="A1212" s="3" t="s">
        <v>1233</v>
      </c>
      <c r="B1212" s="3" t="s">
        <v>22</v>
      </c>
      <c r="C1212" s="3">
        <v>1796310</v>
      </c>
      <c r="D1212" s="3">
        <v>858874</v>
      </c>
      <c r="E1212" s="3" t="s">
        <v>23</v>
      </c>
    </row>
    <row r="1213" spans="1:5">
      <c r="A1213" s="3" t="s">
        <v>1234</v>
      </c>
      <c r="B1213" s="3" t="s">
        <v>22</v>
      </c>
      <c r="C1213" s="3">
        <v>1710894</v>
      </c>
      <c r="D1213" s="3">
        <v>739588</v>
      </c>
      <c r="E1213" s="3" t="s">
        <v>23</v>
      </c>
    </row>
    <row r="1214" spans="1:5">
      <c r="A1214" s="3" t="s">
        <v>1235</v>
      </c>
      <c r="B1214" s="3" t="s">
        <v>22</v>
      </c>
      <c r="C1214" s="3">
        <v>1317955</v>
      </c>
      <c r="D1214" s="3">
        <v>371461</v>
      </c>
      <c r="E1214" s="3" t="s">
        <v>23</v>
      </c>
    </row>
    <row r="1215" spans="1:5">
      <c r="A1215" s="3" t="s">
        <v>1236</v>
      </c>
      <c r="B1215" s="3" t="s">
        <v>22</v>
      </c>
      <c r="C1215" s="3">
        <v>894097</v>
      </c>
      <c r="D1215" s="3">
        <v>183244</v>
      </c>
      <c r="E1215" s="3" t="s">
        <v>23</v>
      </c>
    </row>
    <row r="1216" spans="1:5">
      <c r="A1216" s="3" t="s">
        <v>1237</v>
      </c>
      <c r="B1216" s="3" t="s">
        <v>22</v>
      </c>
      <c r="C1216" s="3">
        <v>1590176</v>
      </c>
      <c r="D1216" s="3">
        <v>672160</v>
      </c>
      <c r="E1216" s="3" t="s">
        <v>23</v>
      </c>
    </row>
    <row r="1217" spans="1:5">
      <c r="A1217" s="3" t="s">
        <v>1238</v>
      </c>
      <c r="B1217" s="3" t="s">
        <v>22</v>
      </c>
      <c r="C1217" s="3">
        <v>1721980</v>
      </c>
      <c r="D1217" s="3">
        <v>705277</v>
      </c>
      <c r="E1217" s="3" t="s">
        <v>23</v>
      </c>
    </row>
    <row r="1218" spans="1:5">
      <c r="A1218" s="3" t="s">
        <v>1239</v>
      </c>
      <c r="B1218" s="3" t="s">
        <v>22</v>
      </c>
      <c r="C1218" s="3">
        <v>441767</v>
      </c>
      <c r="D1218" s="3">
        <v>16305</v>
      </c>
      <c r="E1218" s="3" t="s">
        <v>23</v>
      </c>
    </row>
    <row r="1219" spans="1:5">
      <c r="A1219" s="3" t="s">
        <v>1240</v>
      </c>
      <c r="B1219" s="3" t="s">
        <v>22</v>
      </c>
      <c r="C1219" s="3">
        <v>709883</v>
      </c>
      <c r="D1219" s="3">
        <v>156937</v>
      </c>
      <c r="E1219" s="3" t="s">
        <v>23</v>
      </c>
    </row>
    <row r="1220" spans="1:5">
      <c r="A1220" s="3" t="s">
        <v>1241</v>
      </c>
      <c r="B1220" s="3" t="s">
        <v>22</v>
      </c>
      <c r="C1220" s="3">
        <v>1588962</v>
      </c>
      <c r="D1220" s="3">
        <v>736264</v>
      </c>
      <c r="E1220" s="3" t="s">
        <v>23</v>
      </c>
    </row>
    <row r="1221" spans="1:5">
      <c r="A1221" s="3" t="s">
        <v>1242</v>
      </c>
      <c r="B1221" s="3" t="s">
        <v>22</v>
      </c>
      <c r="C1221" s="3">
        <v>1430518</v>
      </c>
      <c r="D1221" s="3">
        <v>596231</v>
      </c>
      <c r="E1221" s="3" t="s">
        <v>23</v>
      </c>
    </row>
    <row r="1222" spans="1:5">
      <c r="A1222" s="3" t="s">
        <v>1243</v>
      </c>
      <c r="B1222" s="3" t="s">
        <v>22</v>
      </c>
      <c r="C1222" s="3">
        <v>1366563</v>
      </c>
      <c r="D1222" s="3">
        <v>506051</v>
      </c>
      <c r="E1222" s="3" t="s">
        <v>23</v>
      </c>
    </row>
    <row r="1223" spans="1:5">
      <c r="A1223" s="3" t="s">
        <v>1244</v>
      </c>
      <c r="B1223" s="3" t="s">
        <v>22</v>
      </c>
      <c r="C1223" s="3">
        <v>1622789</v>
      </c>
      <c r="D1223" s="3">
        <v>808426</v>
      </c>
      <c r="E1223" s="3" t="s">
        <v>23</v>
      </c>
    </row>
    <row r="1224" spans="1:5">
      <c r="A1224" s="3" t="s">
        <v>1245</v>
      </c>
      <c r="B1224" s="3" t="s">
        <v>22</v>
      </c>
      <c r="C1224" s="3">
        <v>932917</v>
      </c>
      <c r="D1224" s="3">
        <v>248293</v>
      </c>
      <c r="E1224" s="3" t="s">
        <v>23</v>
      </c>
    </row>
    <row r="1225" spans="1:5">
      <c r="A1225" s="3" t="s">
        <v>1246</v>
      </c>
      <c r="B1225" s="3" t="s">
        <v>22</v>
      </c>
      <c r="C1225" s="3">
        <v>406810</v>
      </c>
      <c r="D1225" s="3">
        <v>491</v>
      </c>
      <c r="E1225" s="3" t="s">
        <v>23</v>
      </c>
    </row>
    <row r="1226" spans="1:5">
      <c r="A1226" s="3" t="s">
        <v>1247</v>
      </c>
      <c r="B1226" s="3" t="s">
        <v>22</v>
      </c>
      <c r="C1226" s="3">
        <v>1165901</v>
      </c>
      <c r="D1226" s="3">
        <v>462555</v>
      </c>
      <c r="E1226" s="3" t="s">
        <v>23</v>
      </c>
    </row>
    <row r="1227" spans="1:5">
      <c r="A1227" s="3" t="s">
        <v>1248</v>
      </c>
      <c r="B1227" s="3" t="s">
        <v>22</v>
      </c>
      <c r="C1227" s="3">
        <v>1611354</v>
      </c>
      <c r="D1227" s="3">
        <v>667801</v>
      </c>
      <c r="E1227" s="3" t="s">
        <v>23</v>
      </c>
    </row>
    <row r="1228" spans="1:5">
      <c r="A1228" s="3" t="s">
        <v>1249</v>
      </c>
      <c r="B1228" s="3" t="s">
        <v>22</v>
      </c>
      <c r="C1228" s="3">
        <v>1789490</v>
      </c>
      <c r="D1228" s="3">
        <v>825215</v>
      </c>
      <c r="E1228" s="3" t="s">
        <v>23</v>
      </c>
    </row>
    <row r="1229" spans="1:5">
      <c r="A1229" s="3" t="s">
        <v>1250</v>
      </c>
      <c r="B1229" s="3" t="s">
        <v>22</v>
      </c>
      <c r="C1229" s="3">
        <v>1746112</v>
      </c>
      <c r="D1229" s="3">
        <v>889999</v>
      </c>
      <c r="E1229" s="3" t="s">
        <v>23</v>
      </c>
    </row>
    <row r="1230" spans="1:5">
      <c r="A1230" s="3" t="s">
        <v>1251</v>
      </c>
      <c r="B1230" s="3" t="s">
        <v>22</v>
      </c>
      <c r="C1230" s="3">
        <v>408366</v>
      </c>
      <c r="D1230" s="3">
        <v>1300</v>
      </c>
      <c r="E1230" s="3" t="s">
        <v>23</v>
      </c>
    </row>
    <row r="1231" spans="1:5">
      <c r="A1231" s="3" t="s">
        <v>1252</v>
      </c>
      <c r="B1231" s="3" t="s">
        <v>22</v>
      </c>
      <c r="C1231" s="3">
        <v>1762089</v>
      </c>
      <c r="D1231" s="3">
        <v>827171</v>
      </c>
      <c r="E1231" s="3" t="s">
        <v>23</v>
      </c>
    </row>
    <row r="1232" spans="1:5">
      <c r="A1232" s="3" t="s">
        <v>1253</v>
      </c>
      <c r="B1232" s="3" t="s">
        <v>22</v>
      </c>
      <c r="C1232" s="3">
        <v>1713643</v>
      </c>
      <c r="D1232" s="3">
        <v>806811</v>
      </c>
      <c r="E1232" s="3" t="s">
        <v>23</v>
      </c>
    </row>
    <row r="1233" spans="1:5">
      <c r="A1233" s="3" t="s">
        <v>1254</v>
      </c>
      <c r="B1233" s="3" t="s">
        <v>22</v>
      </c>
      <c r="C1233" s="3">
        <v>1478595</v>
      </c>
      <c r="D1233" s="3">
        <v>580189</v>
      </c>
      <c r="E1233" s="3" t="s">
        <v>23</v>
      </c>
    </row>
    <row r="1234" spans="1:5">
      <c r="A1234" s="3" t="s">
        <v>1255</v>
      </c>
      <c r="B1234" s="3" t="s">
        <v>22</v>
      </c>
      <c r="C1234" s="3">
        <v>983366</v>
      </c>
      <c r="D1234" s="3">
        <v>267010</v>
      </c>
      <c r="E1234" s="3" t="s">
        <v>23</v>
      </c>
    </row>
    <row r="1235" spans="1:5">
      <c r="A1235" s="3" t="s">
        <v>1256</v>
      </c>
      <c r="B1235" s="3" t="s">
        <v>22</v>
      </c>
      <c r="C1235" s="3">
        <v>1364388</v>
      </c>
      <c r="D1235" s="3">
        <v>617738</v>
      </c>
      <c r="E1235" s="3" t="s">
        <v>23</v>
      </c>
    </row>
    <row r="1236" spans="1:5">
      <c r="A1236" s="3" t="s">
        <v>1257</v>
      </c>
      <c r="B1236" s="3" t="s">
        <v>22</v>
      </c>
      <c r="C1236" s="3">
        <v>1701576</v>
      </c>
      <c r="D1236" s="3">
        <v>829508</v>
      </c>
      <c r="E1236" s="3" t="s">
        <v>23</v>
      </c>
    </row>
    <row r="1237" spans="1:5">
      <c r="A1237" s="3" t="s">
        <v>1258</v>
      </c>
      <c r="B1237" s="3" t="s">
        <v>22</v>
      </c>
      <c r="C1237" s="3">
        <v>1450968</v>
      </c>
      <c r="D1237" s="3">
        <v>561642</v>
      </c>
      <c r="E1237" s="3" t="s">
        <v>23</v>
      </c>
    </row>
    <row r="1238" spans="1:5">
      <c r="A1238" s="3" t="s">
        <v>1259</v>
      </c>
      <c r="B1238" s="3" t="s">
        <v>22</v>
      </c>
      <c r="C1238" s="3">
        <v>1827455</v>
      </c>
      <c r="D1238" s="3">
        <v>769806</v>
      </c>
      <c r="E1238" s="3" t="s">
        <v>23</v>
      </c>
    </row>
    <row r="1239" spans="1:5">
      <c r="A1239" s="3" t="s">
        <v>1260</v>
      </c>
      <c r="B1239" s="3" t="s">
        <v>22</v>
      </c>
      <c r="C1239" s="3">
        <v>1806467</v>
      </c>
      <c r="D1239" s="3">
        <v>842526</v>
      </c>
      <c r="E1239" s="3" t="s">
        <v>23</v>
      </c>
    </row>
    <row r="1240" spans="1:5">
      <c r="A1240" s="3" t="s">
        <v>1261</v>
      </c>
      <c r="B1240" s="3" t="s">
        <v>22</v>
      </c>
      <c r="C1240" s="3">
        <v>1300185</v>
      </c>
      <c r="D1240" s="3">
        <v>418704</v>
      </c>
      <c r="E1240" s="3" t="s">
        <v>23</v>
      </c>
    </row>
    <row r="1241" spans="1:5">
      <c r="A1241" s="3" t="s">
        <v>1262</v>
      </c>
      <c r="B1241" s="3" t="s">
        <v>22</v>
      </c>
      <c r="C1241" s="3">
        <v>624813</v>
      </c>
      <c r="D1241" s="3">
        <v>10580</v>
      </c>
      <c r="E1241" s="3" t="s">
        <v>23</v>
      </c>
    </row>
    <row r="1242" spans="1:5">
      <c r="A1242" s="3" t="s">
        <v>1263</v>
      </c>
      <c r="B1242" s="3" t="s">
        <v>22</v>
      </c>
      <c r="C1242" s="3">
        <v>2178231</v>
      </c>
      <c r="D1242" s="3">
        <v>1161020</v>
      </c>
      <c r="E1242" s="3" t="s">
        <v>23</v>
      </c>
    </row>
    <row r="1243" spans="1:5">
      <c r="A1243" s="3" t="s">
        <v>1264</v>
      </c>
      <c r="B1243" s="3" t="s">
        <v>22</v>
      </c>
      <c r="C1243" s="3">
        <v>2251399</v>
      </c>
      <c r="D1243" s="3">
        <v>1248271</v>
      </c>
      <c r="E1243" s="3" t="s">
        <v>23</v>
      </c>
    </row>
    <row r="1244" spans="1:5">
      <c r="A1244" s="3" t="s">
        <v>1265</v>
      </c>
      <c r="B1244" s="3" t="s">
        <v>22</v>
      </c>
      <c r="C1244" s="3">
        <v>1777114</v>
      </c>
      <c r="D1244" s="3">
        <v>847034</v>
      </c>
      <c r="E1244" s="3" t="s">
        <v>23</v>
      </c>
    </row>
    <row r="1245" spans="1:5">
      <c r="A1245" s="3" t="s">
        <v>1266</v>
      </c>
      <c r="B1245" s="3" t="s">
        <v>22</v>
      </c>
      <c r="C1245" s="3">
        <v>1720041</v>
      </c>
      <c r="D1245" s="3">
        <v>767025</v>
      </c>
      <c r="E1245" s="3" t="s">
        <v>23</v>
      </c>
    </row>
    <row r="1246" spans="1:5">
      <c r="A1246" s="3" t="s">
        <v>1267</v>
      </c>
      <c r="B1246" s="3" t="s">
        <v>22</v>
      </c>
      <c r="C1246" s="3">
        <v>1328922</v>
      </c>
      <c r="D1246" s="3">
        <v>438708</v>
      </c>
      <c r="E1246" s="3" t="s">
        <v>23</v>
      </c>
    </row>
    <row r="1247" spans="1:5">
      <c r="A1247" s="3" t="s">
        <v>1268</v>
      </c>
      <c r="B1247" s="3" t="s">
        <v>22</v>
      </c>
      <c r="C1247" s="3">
        <v>1975907</v>
      </c>
      <c r="D1247" s="3">
        <v>378843</v>
      </c>
      <c r="E1247" s="3" t="s">
        <v>23</v>
      </c>
    </row>
    <row r="1248" spans="1:5">
      <c r="A1248" s="3" t="s">
        <v>1269</v>
      </c>
      <c r="B1248" s="3" t="s">
        <v>22</v>
      </c>
      <c r="C1248" s="3">
        <v>1774401</v>
      </c>
      <c r="D1248" s="3">
        <v>769550</v>
      </c>
      <c r="E1248" s="3" t="s">
        <v>23</v>
      </c>
    </row>
    <row r="1249" spans="1:5">
      <c r="A1249" s="3" t="s">
        <v>1270</v>
      </c>
      <c r="B1249" s="3" t="s">
        <v>22</v>
      </c>
      <c r="C1249" s="3">
        <v>88900</v>
      </c>
      <c r="D1249" s="3">
        <v>3265</v>
      </c>
      <c r="E1249" s="3" t="s">
        <v>23</v>
      </c>
    </row>
    <row r="1250" spans="1:5">
      <c r="A1250" s="3" t="s">
        <v>1271</v>
      </c>
      <c r="B1250" s="3" t="s">
        <v>22</v>
      </c>
      <c r="C1250" s="3">
        <v>1228767</v>
      </c>
      <c r="D1250" s="3">
        <v>453701</v>
      </c>
      <c r="E1250" s="3" t="s">
        <v>23</v>
      </c>
    </row>
    <row r="1251" spans="1:5">
      <c r="A1251" s="3" t="s">
        <v>1272</v>
      </c>
      <c r="B1251" s="3" t="s">
        <v>22</v>
      </c>
      <c r="C1251" s="3">
        <v>2145144</v>
      </c>
      <c r="D1251" s="3">
        <v>896581</v>
      </c>
      <c r="E1251" s="3" t="s">
        <v>23</v>
      </c>
    </row>
    <row r="1252" spans="1:5">
      <c r="A1252" s="3" t="s">
        <v>1273</v>
      </c>
      <c r="B1252" s="3" t="s">
        <v>22</v>
      </c>
      <c r="C1252" s="3">
        <v>2115455</v>
      </c>
      <c r="D1252" s="3">
        <v>920313</v>
      </c>
      <c r="E1252" s="3" t="s">
        <v>23</v>
      </c>
    </row>
    <row r="1253" spans="1:5">
      <c r="A1253" s="3" t="s">
        <v>1274</v>
      </c>
      <c r="B1253" s="3" t="s">
        <v>22</v>
      </c>
      <c r="C1253" s="3">
        <v>1857736</v>
      </c>
      <c r="D1253" s="3">
        <v>923720</v>
      </c>
      <c r="E1253" s="3" t="s">
        <v>23</v>
      </c>
    </row>
    <row r="1254" spans="1:5">
      <c r="A1254" s="3" t="s">
        <v>1275</v>
      </c>
      <c r="B1254" s="3" t="s">
        <v>22</v>
      </c>
      <c r="C1254" s="3">
        <v>2267546</v>
      </c>
      <c r="D1254" s="3">
        <v>1034872</v>
      </c>
      <c r="E1254" s="3" t="s">
        <v>23</v>
      </c>
    </row>
    <row r="1255" spans="1:5">
      <c r="A1255" s="3" t="s">
        <v>1276</v>
      </c>
      <c r="B1255" s="3" t="s">
        <v>22</v>
      </c>
      <c r="C1255" s="3">
        <v>1934417</v>
      </c>
      <c r="D1255" s="3">
        <v>954501</v>
      </c>
      <c r="E1255" s="3" t="s">
        <v>23</v>
      </c>
    </row>
    <row r="1256" spans="1:5">
      <c r="A1256" s="3" t="s">
        <v>1277</v>
      </c>
      <c r="B1256" s="3" t="s">
        <v>22</v>
      </c>
      <c r="C1256" s="3">
        <v>1567258</v>
      </c>
      <c r="D1256" s="3">
        <v>677655</v>
      </c>
      <c r="E1256" s="3" t="s">
        <v>23</v>
      </c>
    </row>
    <row r="1257" spans="1:5">
      <c r="A1257" s="3" t="s">
        <v>1278</v>
      </c>
      <c r="B1257" s="3" t="s">
        <v>22</v>
      </c>
      <c r="C1257" s="3">
        <v>2107573</v>
      </c>
      <c r="D1257" s="3">
        <v>1059343</v>
      </c>
      <c r="E1257" s="3" t="s">
        <v>23</v>
      </c>
    </row>
    <row r="1258" spans="1:5">
      <c r="A1258" s="3" t="s">
        <v>1279</v>
      </c>
      <c r="B1258" s="3" t="s">
        <v>22</v>
      </c>
      <c r="C1258" s="3">
        <v>865957</v>
      </c>
      <c r="D1258" s="3">
        <v>50542</v>
      </c>
      <c r="E1258" s="3" t="s">
        <v>23</v>
      </c>
    </row>
    <row r="1259" spans="1:5">
      <c r="A1259" s="3" t="s">
        <v>1280</v>
      </c>
      <c r="B1259" s="3" t="s">
        <v>22</v>
      </c>
      <c r="C1259" s="3">
        <v>1210949</v>
      </c>
      <c r="D1259" s="3">
        <v>307157</v>
      </c>
      <c r="E1259" s="3" t="s">
        <v>23</v>
      </c>
    </row>
    <row r="1260" spans="1:5">
      <c r="A1260" s="3" t="s">
        <v>1281</v>
      </c>
      <c r="B1260" s="3" t="s">
        <v>22</v>
      </c>
      <c r="C1260" s="3">
        <v>1645125</v>
      </c>
      <c r="D1260" s="3">
        <v>499214</v>
      </c>
      <c r="E1260" s="3" t="s">
        <v>23</v>
      </c>
    </row>
    <row r="1261" spans="1:5">
      <c r="A1261" s="3" t="s">
        <v>1282</v>
      </c>
      <c r="B1261" s="3" t="s">
        <v>22</v>
      </c>
      <c r="C1261" s="3">
        <v>2150575</v>
      </c>
      <c r="D1261" s="3">
        <v>1050807</v>
      </c>
      <c r="E1261" s="3" t="s">
        <v>23</v>
      </c>
    </row>
    <row r="1262" spans="1:5">
      <c r="A1262" s="3" t="s">
        <v>1283</v>
      </c>
      <c r="B1262" s="3" t="s">
        <v>22</v>
      </c>
      <c r="C1262" s="3">
        <v>1282634</v>
      </c>
      <c r="D1262" s="3">
        <v>410139</v>
      </c>
      <c r="E1262" s="3" t="s">
        <v>23</v>
      </c>
    </row>
    <row r="1263" spans="1:5">
      <c r="A1263" s="3" t="s">
        <v>1284</v>
      </c>
      <c r="B1263" s="3" t="s">
        <v>22</v>
      </c>
      <c r="C1263" s="3">
        <v>1654096</v>
      </c>
      <c r="D1263" s="3">
        <v>702390</v>
      </c>
      <c r="E1263" s="3" t="s">
        <v>23</v>
      </c>
    </row>
    <row r="1264" spans="1:5">
      <c r="A1264" s="3" t="s">
        <v>1285</v>
      </c>
      <c r="B1264" s="3" t="s">
        <v>22</v>
      </c>
      <c r="C1264" s="3">
        <v>1410455</v>
      </c>
      <c r="D1264" s="3">
        <v>349588</v>
      </c>
      <c r="E1264" s="3" t="s">
        <v>23</v>
      </c>
    </row>
    <row r="1265" spans="1:5">
      <c r="A1265" s="3" t="s">
        <v>1286</v>
      </c>
      <c r="B1265" s="3" t="s">
        <v>22</v>
      </c>
      <c r="C1265" s="3">
        <v>1741510</v>
      </c>
      <c r="D1265" s="3">
        <v>827459</v>
      </c>
      <c r="E1265" s="3" t="s">
        <v>23</v>
      </c>
    </row>
    <row r="1266" spans="1:5">
      <c r="A1266" s="3" t="s">
        <v>1287</v>
      </c>
      <c r="B1266" s="3" t="s">
        <v>22</v>
      </c>
      <c r="C1266" s="3">
        <v>2211231</v>
      </c>
      <c r="D1266" s="3">
        <v>1035328</v>
      </c>
      <c r="E1266" s="3" t="s">
        <v>23</v>
      </c>
    </row>
    <row r="1267" spans="1:5">
      <c r="A1267" s="3" t="s">
        <v>1288</v>
      </c>
      <c r="B1267" s="3" t="s">
        <v>22</v>
      </c>
      <c r="C1267" s="3">
        <v>1597246</v>
      </c>
      <c r="D1267" s="3">
        <v>627723</v>
      </c>
      <c r="E1267" s="3" t="s">
        <v>23</v>
      </c>
    </row>
    <row r="1268" spans="1:5">
      <c r="A1268" s="3" t="s">
        <v>1289</v>
      </c>
      <c r="B1268" s="3" t="s">
        <v>22</v>
      </c>
      <c r="C1268" s="3">
        <v>710153</v>
      </c>
      <c r="D1268" s="3">
        <v>3904</v>
      </c>
      <c r="E1268" s="3" t="s">
        <v>23</v>
      </c>
    </row>
    <row r="1269" spans="1:5">
      <c r="A1269" s="3" t="s">
        <v>1290</v>
      </c>
      <c r="B1269" s="3" t="s">
        <v>22</v>
      </c>
      <c r="C1269" s="3">
        <v>619510</v>
      </c>
      <c r="D1269" s="3">
        <v>7411</v>
      </c>
      <c r="E1269" s="3" t="s">
        <v>23</v>
      </c>
    </row>
    <row r="1270" spans="1:5">
      <c r="A1270" s="3" t="s">
        <v>1291</v>
      </c>
      <c r="B1270" s="3" t="s">
        <v>22</v>
      </c>
      <c r="C1270" s="3">
        <v>2196978</v>
      </c>
      <c r="D1270" s="3">
        <v>986121</v>
      </c>
      <c r="E1270" s="3" t="s">
        <v>23</v>
      </c>
    </row>
    <row r="1271" spans="1:5">
      <c r="A1271" s="3" t="s">
        <v>1292</v>
      </c>
      <c r="B1271" s="3" t="s">
        <v>22</v>
      </c>
      <c r="C1271" s="3">
        <v>2180634</v>
      </c>
      <c r="D1271" s="3">
        <v>1094395</v>
      </c>
      <c r="E1271" s="3" t="s">
        <v>23</v>
      </c>
    </row>
    <row r="1272" spans="1:5">
      <c r="A1272" s="3" t="s">
        <v>1293</v>
      </c>
      <c r="B1272" s="3" t="s">
        <v>22</v>
      </c>
      <c r="C1272" s="3">
        <v>2156408</v>
      </c>
      <c r="D1272" s="3">
        <v>950574</v>
      </c>
      <c r="E1272" s="3" t="s">
        <v>23</v>
      </c>
    </row>
    <row r="1273" spans="1:5">
      <c r="A1273" s="3" t="s">
        <v>1294</v>
      </c>
      <c r="B1273" s="3" t="s">
        <v>22</v>
      </c>
      <c r="C1273" s="3">
        <v>2058009</v>
      </c>
      <c r="D1273" s="3">
        <v>1000200</v>
      </c>
      <c r="E1273" s="3" t="s">
        <v>23</v>
      </c>
    </row>
    <row r="1274" spans="1:5">
      <c r="A1274" s="3" t="s">
        <v>1295</v>
      </c>
      <c r="B1274" s="3" t="s">
        <v>22</v>
      </c>
      <c r="C1274" s="3">
        <v>2227336</v>
      </c>
      <c r="D1274" s="3">
        <v>1083380</v>
      </c>
      <c r="E1274" s="3" t="s">
        <v>23</v>
      </c>
    </row>
    <row r="1275" spans="1:5">
      <c r="A1275" s="3" t="s">
        <v>1296</v>
      </c>
      <c r="B1275" s="3" t="s">
        <v>22</v>
      </c>
      <c r="C1275" s="3">
        <v>818878</v>
      </c>
      <c r="D1275" s="3">
        <v>7212</v>
      </c>
      <c r="E1275" s="3" t="s">
        <v>23</v>
      </c>
    </row>
    <row r="1276" spans="1:5">
      <c r="A1276" s="3" t="s">
        <v>1297</v>
      </c>
      <c r="B1276" s="3" t="s">
        <v>22</v>
      </c>
      <c r="C1276" s="3">
        <v>774868</v>
      </c>
      <c r="D1276" s="3">
        <v>92689</v>
      </c>
      <c r="E1276" s="3" t="s">
        <v>23</v>
      </c>
    </row>
    <row r="1277" spans="1:5">
      <c r="A1277" s="3" t="s">
        <v>1298</v>
      </c>
      <c r="B1277" s="3" t="s">
        <v>22</v>
      </c>
      <c r="C1277" s="3">
        <v>1559215</v>
      </c>
      <c r="D1277" s="3">
        <v>410087</v>
      </c>
      <c r="E1277" s="3" t="s">
        <v>23</v>
      </c>
    </row>
    <row r="1278" spans="1:5">
      <c r="A1278" s="3" t="s">
        <v>1299</v>
      </c>
      <c r="B1278" s="3" t="s">
        <v>22</v>
      </c>
      <c r="C1278" s="3">
        <v>2179314</v>
      </c>
      <c r="D1278" s="3">
        <v>1111193</v>
      </c>
      <c r="E1278" s="3" t="s">
        <v>23</v>
      </c>
    </row>
    <row r="1279" spans="1:5">
      <c r="A1279" s="3" t="s">
        <v>1300</v>
      </c>
      <c r="B1279" s="3" t="s">
        <v>22</v>
      </c>
      <c r="C1279" s="3">
        <v>1773793</v>
      </c>
      <c r="D1279" s="3">
        <v>743599</v>
      </c>
      <c r="E1279" s="3" t="s">
        <v>23</v>
      </c>
    </row>
    <row r="1280" spans="1:5">
      <c r="A1280" s="3" t="s">
        <v>1301</v>
      </c>
      <c r="B1280" s="3" t="s">
        <v>22</v>
      </c>
      <c r="C1280" s="3">
        <v>2060823</v>
      </c>
      <c r="D1280" s="3">
        <v>929466</v>
      </c>
      <c r="E1280" s="3" t="s">
        <v>23</v>
      </c>
    </row>
    <row r="1281" spans="1:5">
      <c r="A1281" s="3" t="s">
        <v>1302</v>
      </c>
      <c r="B1281" s="3" t="s">
        <v>22</v>
      </c>
      <c r="C1281" s="3">
        <v>1785174</v>
      </c>
      <c r="D1281" s="3">
        <v>675293</v>
      </c>
      <c r="E1281" s="3" t="s">
        <v>23</v>
      </c>
    </row>
    <row r="1282" spans="1:5">
      <c r="A1282" s="3" t="s">
        <v>1303</v>
      </c>
      <c r="B1282" s="3" t="s">
        <v>22</v>
      </c>
      <c r="C1282" s="3">
        <v>2172217</v>
      </c>
      <c r="D1282" s="3">
        <v>1003210</v>
      </c>
      <c r="E1282" s="3" t="s">
        <v>23</v>
      </c>
    </row>
    <row r="1283" spans="1:5">
      <c r="A1283" s="3" t="s">
        <v>1304</v>
      </c>
      <c r="B1283" s="3" t="s">
        <v>22</v>
      </c>
      <c r="C1283" s="3">
        <v>1919387</v>
      </c>
      <c r="D1283" s="3">
        <v>784284</v>
      </c>
      <c r="E1283" s="3" t="s">
        <v>23</v>
      </c>
    </row>
    <row r="1284" spans="1:5">
      <c r="A1284" s="3" t="s">
        <v>1305</v>
      </c>
      <c r="B1284" s="3" t="s">
        <v>22</v>
      </c>
      <c r="C1284" s="3">
        <v>1741903</v>
      </c>
      <c r="D1284" s="3">
        <v>814501</v>
      </c>
      <c r="E1284" s="3" t="s">
        <v>23</v>
      </c>
    </row>
    <row r="1285" spans="1:5">
      <c r="A1285" s="3" t="s">
        <v>1306</v>
      </c>
      <c r="B1285" s="3" t="s">
        <v>22</v>
      </c>
      <c r="C1285" s="3">
        <v>1809045</v>
      </c>
      <c r="D1285" s="3">
        <v>599877</v>
      </c>
      <c r="E1285" s="3" t="s">
        <v>23</v>
      </c>
    </row>
    <row r="1286" spans="1:5">
      <c r="A1286" s="3" t="s">
        <v>1307</v>
      </c>
      <c r="B1286" s="3" t="s">
        <v>22</v>
      </c>
      <c r="C1286" s="3">
        <v>1525642</v>
      </c>
      <c r="D1286" s="3">
        <v>649730</v>
      </c>
      <c r="E1286" s="3" t="s">
        <v>23</v>
      </c>
    </row>
    <row r="1287" spans="1:5">
      <c r="A1287" s="3" t="s">
        <v>1308</v>
      </c>
      <c r="B1287" s="3" t="s">
        <v>22</v>
      </c>
      <c r="C1287" s="3">
        <v>1325139</v>
      </c>
      <c r="D1287" s="3">
        <v>540481</v>
      </c>
      <c r="E1287" s="3" t="s">
        <v>23</v>
      </c>
    </row>
    <row r="1288" spans="1:5">
      <c r="A1288" s="3" t="s">
        <v>1309</v>
      </c>
      <c r="B1288" s="3" t="s">
        <v>22</v>
      </c>
      <c r="C1288" s="3">
        <v>1681845</v>
      </c>
      <c r="D1288" s="3">
        <v>628764</v>
      </c>
      <c r="E1288" s="3" t="s">
        <v>23</v>
      </c>
    </row>
    <row r="1289" spans="1:5">
      <c r="A1289" s="3" t="s">
        <v>1310</v>
      </c>
      <c r="B1289" s="3" t="s">
        <v>22</v>
      </c>
      <c r="C1289" s="3">
        <v>2241810</v>
      </c>
      <c r="D1289" s="3">
        <v>1206228</v>
      </c>
      <c r="E1289" s="3" t="s">
        <v>23</v>
      </c>
    </row>
    <row r="1290" spans="1:5">
      <c r="A1290" s="3" t="s">
        <v>1311</v>
      </c>
      <c r="B1290" s="3" t="s">
        <v>22</v>
      </c>
      <c r="C1290" s="3">
        <v>1386036</v>
      </c>
      <c r="D1290" s="3">
        <v>312477</v>
      </c>
      <c r="E1290" s="3" t="s">
        <v>23</v>
      </c>
    </row>
    <row r="1291" spans="1:5">
      <c r="A1291" s="3" t="s">
        <v>1312</v>
      </c>
      <c r="B1291" s="3" t="s">
        <v>22</v>
      </c>
      <c r="C1291" s="3">
        <v>1998379</v>
      </c>
      <c r="D1291" s="3">
        <v>803250</v>
      </c>
      <c r="E1291" s="3" t="s">
        <v>23</v>
      </c>
    </row>
    <row r="1292" spans="1:5">
      <c r="A1292" s="3" t="s">
        <v>1313</v>
      </c>
      <c r="B1292" s="3" t="s">
        <v>22</v>
      </c>
      <c r="C1292" s="3">
        <v>1746891</v>
      </c>
      <c r="D1292" s="3">
        <v>764531</v>
      </c>
      <c r="E1292" s="3" t="s">
        <v>23</v>
      </c>
    </row>
    <row r="1293" spans="1:5">
      <c r="A1293" s="3" t="s">
        <v>1314</v>
      </c>
      <c r="B1293" s="3" t="s">
        <v>22</v>
      </c>
      <c r="C1293" s="3">
        <v>541662</v>
      </c>
      <c r="D1293" s="3">
        <v>7364</v>
      </c>
      <c r="E1293" s="3" t="s">
        <v>23</v>
      </c>
    </row>
    <row r="1294" spans="1:5">
      <c r="A1294" s="3" t="s">
        <v>1315</v>
      </c>
      <c r="B1294" s="3" t="s">
        <v>22</v>
      </c>
      <c r="C1294" s="3">
        <v>1162874</v>
      </c>
      <c r="D1294" s="3">
        <v>45924</v>
      </c>
      <c r="E1294" s="3" t="s">
        <v>23</v>
      </c>
    </row>
    <row r="1295" spans="1:5">
      <c r="A1295" s="3" t="s">
        <v>1316</v>
      </c>
      <c r="B1295" s="3" t="s">
        <v>22</v>
      </c>
      <c r="C1295" s="3">
        <v>1902385</v>
      </c>
      <c r="D1295" s="3">
        <v>859640</v>
      </c>
      <c r="E1295" s="3" t="s">
        <v>23</v>
      </c>
    </row>
    <row r="1296" spans="1:5">
      <c r="A1296" s="3" t="s">
        <v>1317</v>
      </c>
      <c r="B1296" s="3" t="s">
        <v>22</v>
      </c>
      <c r="C1296" s="3">
        <v>1871797</v>
      </c>
      <c r="D1296" s="3">
        <v>987891</v>
      </c>
      <c r="E1296" s="3" t="s">
        <v>23</v>
      </c>
    </row>
    <row r="1297" spans="1:5">
      <c r="A1297" s="3" t="s">
        <v>1318</v>
      </c>
      <c r="B1297" s="3" t="s">
        <v>22</v>
      </c>
      <c r="C1297" s="3">
        <v>2182567</v>
      </c>
      <c r="D1297" s="3">
        <v>1067979</v>
      </c>
      <c r="E1297" s="3" t="s">
        <v>23</v>
      </c>
    </row>
    <row r="1298" spans="1:5">
      <c r="A1298" s="3" t="s">
        <v>1319</v>
      </c>
      <c r="B1298" s="3" t="s">
        <v>22</v>
      </c>
      <c r="C1298" s="3">
        <v>1914103</v>
      </c>
      <c r="D1298" s="3">
        <v>819594</v>
      </c>
      <c r="E1298" s="3" t="s">
        <v>23</v>
      </c>
    </row>
    <row r="1299" spans="1:5">
      <c r="A1299" s="3" t="s">
        <v>1320</v>
      </c>
      <c r="B1299" s="3" t="s">
        <v>22</v>
      </c>
      <c r="C1299" s="3">
        <v>528040</v>
      </c>
      <c r="D1299" s="3">
        <v>6901</v>
      </c>
      <c r="E1299" s="3" t="s">
        <v>23</v>
      </c>
    </row>
    <row r="1300" spans="1:5">
      <c r="A1300" s="3" t="s">
        <v>1321</v>
      </c>
      <c r="B1300" s="3" t="s">
        <v>22</v>
      </c>
      <c r="C1300" s="3">
        <v>665002</v>
      </c>
      <c r="D1300" s="3">
        <v>8971</v>
      </c>
      <c r="E1300" s="3" t="s">
        <v>23</v>
      </c>
    </row>
    <row r="1301" spans="1:5">
      <c r="A1301" s="3" t="s">
        <v>1322</v>
      </c>
      <c r="B1301" s="3" t="s">
        <v>22</v>
      </c>
      <c r="C1301" s="3">
        <v>1967808</v>
      </c>
      <c r="D1301" s="3">
        <v>766923</v>
      </c>
      <c r="E1301" s="3" t="s">
        <v>23</v>
      </c>
    </row>
    <row r="1302" spans="1:5">
      <c r="A1302" s="3" t="s">
        <v>1323</v>
      </c>
      <c r="B1302" s="3" t="s">
        <v>22</v>
      </c>
      <c r="C1302" s="3">
        <v>1207283</v>
      </c>
      <c r="D1302" s="3">
        <v>193316</v>
      </c>
      <c r="E1302" s="3" t="s">
        <v>23</v>
      </c>
    </row>
    <row r="1303" spans="1:5">
      <c r="A1303" s="3" t="s">
        <v>1324</v>
      </c>
      <c r="B1303" s="3" t="s">
        <v>22</v>
      </c>
      <c r="C1303" s="3">
        <v>733698</v>
      </c>
      <c r="D1303" s="3">
        <v>208586</v>
      </c>
      <c r="E1303" s="3" t="s">
        <v>23</v>
      </c>
    </row>
    <row r="1304" spans="1:5">
      <c r="A1304" s="3" t="s">
        <v>1325</v>
      </c>
      <c r="B1304" s="3" t="s">
        <v>22</v>
      </c>
      <c r="C1304" s="3">
        <v>1092488</v>
      </c>
      <c r="D1304" s="3">
        <v>314083</v>
      </c>
      <c r="E1304" s="3" t="s">
        <v>23</v>
      </c>
    </row>
    <row r="1305" spans="1:5">
      <c r="A1305" s="3" t="s">
        <v>1326</v>
      </c>
      <c r="B1305" s="3" t="s">
        <v>22</v>
      </c>
      <c r="C1305" s="3">
        <v>1271352</v>
      </c>
      <c r="D1305" s="3">
        <v>438660</v>
      </c>
      <c r="E1305" s="3" t="s">
        <v>23</v>
      </c>
    </row>
    <row r="1306" spans="1:5">
      <c r="A1306" s="3" t="s">
        <v>1327</v>
      </c>
      <c r="B1306" s="3" t="s">
        <v>22</v>
      </c>
      <c r="C1306" s="3">
        <v>1108932</v>
      </c>
      <c r="D1306" s="3">
        <v>357555</v>
      </c>
      <c r="E1306" s="3" t="s">
        <v>23</v>
      </c>
    </row>
    <row r="1307" spans="1:5">
      <c r="A1307" s="3" t="s">
        <v>1328</v>
      </c>
      <c r="B1307" s="3" t="s">
        <v>22</v>
      </c>
      <c r="C1307" s="3">
        <v>578543</v>
      </c>
      <c r="D1307" s="3">
        <v>131266</v>
      </c>
      <c r="E1307" s="3" t="s">
        <v>23</v>
      </c>
    </row>
    <row r="1308" spans="1:5">
      <c r="A1308" s="3" t="s">
        <v>1329</v>
      </c>
      <c r="B1308" s="3" t="s">
        <v>22</v>
      </c>
      <c r="C1308" s="3">
        <v>1163453</v>
      </c>
      <c r="D1308" s="3">
        <v>384174</v>
      </c>
      <c r="E1308" s="3" t="s">
        <v>23</v>
      </c>
    </row>
    <row r="1309" spans="1:5">
      <c r="A1309" s="3" t="s">
        <v>1330</v>
      </c>
      <c r="B1309" s="3" t="s">
        <v>22</v>
      </c>
      <c r="C1309" s="3">
        <v>1172064</v>
      </c>
      <c r="D1309" s="3">
        <v>403580</v>
      </c>
      <c r="E1309" s="3" t="s">
        <v>23</v>
      </c>
    </row>
    <row r="1310" spans="1:5">
      <c r="A1310" s="3" t="s">
        <v>1331</v>
      </c>
      <c r="B1310" s="3" t="s">
        <v>22</v>
      </c>
      <c r="C1310" s="3">
        <v>375756</v>
      </c>
      <c r="D1310" s="3">
        <v>34194</v>
      </c>
      <c r="E1310" s="3" t="s">
        <v>23</v>
      </c>
    </row>
    <row r="1311" spans="1:5">
      <c r="A1311" s="3" t="s">
        <v>1332</v>
      </c>
      <c r="B1311" s="3" t="s">
        <v>22</v>
      </c>
      <c r="C1311" s="3">
        <v>318434</v>
      </c>
      <c r="D1311" s="3">
        <v>2176</v>
      </c>
      <c r="E1311" s="3" t="s">
        <v>23</v>
      </c>
    </row>
    <row r="1312" spans="1:5">
      <c r="A1312" s="3" t="s">
        <v>1333</v>
      </c>
      <c r="B1312" s="3" t="s">
        <v>22</v>
      </c>
      <c r="C1312" s="3">
        <v>1299362</v>
      </c>
      <c r="D1312" s="3">
        <v>460785</v>
      </c>
      <c r="E1312" s="3" t="s">
        <v>23</v>
      </c>
    </row>
    <row r="1313" spans="1:5">
      <c r="A1313" s="3" t="s">
        <v>1334</v>
      </c>
      <c r="B1313" s="3" t="s">
        <v>22</v>
      </c>
      <c r="C1313" s="3">
        <v>750263</v>
      </c>
      <c r="D1313" s="3">
        <v>246053</v>
      </c>
      <c r="E1313" s="3" t="s">
        <v>23</v>
      </c>
    </row>
    <row r="1314" spans="1:5">
      <c r="A1314" s="3" t="s">
        <v>1335</v>
      </c>
      <c r="B1314" s="3" t="s">
        <v>22</v>
      </c>
      <c r="C1314" s="3">
        <v>1451156</v>
      </c>
      <c r="D1314" s="3">
        <v>510455</v>
      </c>
      <c r="E1314" s="3" t="s">
        <v>23</v>
      </c>
    </row>
    <row r="1315" spans="1:5">
      <c r="A1315" s="3" t="s">
        <v>1336</v>
      </c>
      <c r="B1315" s="3" t="s">
        <v>22</v>
      </c>
      <c r="C1315" s="3">
        <v>774599</v>
      </c>
      <c r="D1315" s="3">
        <v>189374</v>
      </c>
      <c r="E1315" s="3" t="s">
        <v>23</v>
      </c>
    </row>
    <row r="1316" spans="1:5">
      <c r="A1316" s="3" t="s">
        <v>1337</v>
      </c>
      <c r="B1316" s="3" t="s">
        <v>22</v>
      </c>
      <c r="C1316" s="3">
        <v>1232833</v>
      </c>
      <c r="D1316" s="3">
        <v>423564</v>
      </c>
      <c r="E1316" s="3" t="s">
        <v>23</v>
      </c>
    </row>
    <row r="1317" spans="1:5">
      <c r="A1317" s="3" t="s">
        <v>1338</v>
      </c>
      <c r="B1317" s="3" t="s">
        <v>22</v>
      </c>
      <c r="C1317" s="3">
        <v>261920</v>
      </c>
      <c r="D1317" s="3">
        <v>592</v>
      </c>
      <c r="E1317" s="3" t="s">
        <v>23</v>
      </c>
    </row>
    <row r="1318" spans="1:5">
      <c r="A1318" s="3" t="s">
        <v>1339</v>
      </c>
      <c r="B1318" s="3" t="s">
        <v>22</v>
      </c>
      <c r="C1318" s="3">
        <v>574638</v>
      </c>
      <c r="D1318" s="3">
        <v>122016</v>
      </c>
      <c r="E1318" s="3" t="s">
        <v>23</v>
      </c>
    </row>
    <row r="1319" spans="1:5">
      <c r="A1319" s="3" t="s">
        <v>1340</v>
      </c>
      <c r="B1319" s="3" t="s">
        <v>22</v>
      </c>
      <c r="C1319" s="3">
        <v>1342997</v>
      </c>
      <c r="D1319" s="3">
        <v>497820</v>
      </c>
      <c r="E1319" s="3" t="s">
        <v>23</v>
      </c>
    </row>
    <row r="1320" spans="1:5">
      <c r="A1320" s="3" t="s">
        <v>1341</v>
      </c>
      <c r="B1320" s="3" t="s">
        <v>22</v>
      </c>
      <c r="C1320" s="3">
        <v>1313199</v>
      </c>
      <c r="D1320" s="3">
        <v>525172</v>
      </c>
      <c r="E1320" s="3" t="s">
        <v>23</v>
      </c>
    </row>
    <row r="1321" spans="1:5">
      <c r="A1321" s="3" t="s">
        <v>1342</v>
      </c>
      <c r="B1321" s="3" t="s">
        <v>22</v>
      </c>
      <c r="C1321" s="3">
        <v>1222824</v>
      </c>
      <c r="D1321" s="3">
        <v>365374</v>
      </c>
      <c r="E1321" s="3" t="s">
        <v>23</v>
      </c>
    </row>
    <row r="1322" spans="1:5">
      <c r="A1322" s="3" t="s">
        <v>1343</v>
      </c>
      <c r="B1322" s="3" t="s">
        <v>22</v>
      </c>
      <c r="C1322" s="3">
        <v>261142</v>
      </c>
      <c r="D1322" s="3">
        <v>191</v>
      </c>
      <c r="E1322" s="3" t="s">
        <v>23</v>
      </c>
    </row>
    <row r="1323" spans="1:5">
      <c r="A1323" s="3" t="s">
        <v>1344</v>
      </c>
      <c r="B1323" s="3" t="s">
        <v>22</v>
      </c>
      <c r="C1323" s="3">
        <v>1362039</v>
      </c>
      <c r="D1323" s="3">
        <v>492377</v>
      </c>
      <c r="E1323" s="3" t="s">
        <v>23</v>
      </c>
    </row>
    <row r="1324" spans="1:5">
      <c r="A1324" s="3" t="s">
        <v>1345</v>
      </c>
      <c r="B1324" s="3" t="s">
        <v>22</v>
      </c>
      <c r="C1324" s="3">
        <v>1240969</v>
      </c>
      <c r="D1324" s="3">
        <v>465436</v>
      </c>
      <c r="E1324" s="3" t="s">
        <v>23</v>
      </c>
    </row>
    <row r="1325" spans="1:5">
      <c r="A1325" s="3" t="s">
        <v>1346</v>
      </c>
      <c r="B1325" s="3" t="s">
        <v>22</v>
      </c>
      <c r="C1325" s="3">
        <v>1280935</v>
      </c>
      <c r="D1325" s="3">
        <v>480143</v>
      </c>
      <c r="E1325" s="3" t="s">
        <v>23</v>
      </c>
    </row>
    <row r="1326" spans="1:5">
      <c r="A1326" s="3" t="s">
        <v>1347</v>
      </c>
      <c r="B1326" s="3" t="s">
        <v>22</v>
      </c>
      <c r="C1326" s="3">
        <v>484889</v>
      </c>
      <c r="D1326" s="3">
        <v>7935</v>
      </c>
      <c r="E1326" s="3" t="s">
        <v>23</v>
      </c>
    </row>
    <row r="1327" spans="1:5">
      <c r="A1327" s="3" t="s">
        <v>1348</v>
      </c>
      <c r="B1327" s="3" t="s">
        <v>22</v>
      </c>
      <c r="C1327" s="3">
        <v>1211277</v>
      </c>
      <c r="D1327" s="3">
        <v>450191</v>
      </c>
      <c r="E1327" s="3" t="s">
        <v>23</v>
      </c>
    </row>
    <row r="1328" spans="1:5">
      <c r="A1328" s="3" t="s">
        <v>1349</v>
      </c>
      <c r="B1328" s="3" t="s">
        <v>22</v>
      </c>
      <c r="C1328" s="3">
        <v>1092762</v>
      </c>
      <c r="D1328" s="3">
        <v>389359</v>
      </c>
      <c r="E1328" s="3" t="s">
        <v>23</v>
      </c>
    </row>
    <row r="1329" spans="1:5">
      <c r="A1329" s="3" t="s">
        <v>1350</v>
      </c>
      <c r="B1329" s="3" t="s">
        <v>22</v>
      </c>
      <c r="C1329" s="3">
        <v>994553</v>
      </c>
      <c r="D1329" s="3">
        <v>269836</v>
      </c>
      <c r="E1329" s="3" t="s">
        <v>23</v>
      </c>
    </row>
    <row r="1330" spans="1:5">
      <c r="A1330" s="3" t="s">
        <v>1351</v>
      </c>
      <c r="B1330" s="3" t="s">
        <v>22</v>
      </c>
      <c r="C1330" s="3">
        <v>1246393</v>
      </c>
      <c r="D1330" s="3">
        <v>460466</v>
      </c>
      <c r="E1330" s="3" t="s">
        <v>23</v>
      </c>
    </row>
    <row r="1331" spans="1:5">
      <c r="A1331" s="3" t="s">
        <v>1352</v>
      </c>
      <c r="B1331" s="3" t="s">
        <v>22</v>
      </c>
      <c r="C1331" s="3">
        <v>1523952</v>
      </c>
      <c r="D1331" s="3">
        <v>631465</v>
      </c>
      <c r="E1331" s="3" t="s">
        <v>23</v>
      </c>
    </row>
    <row r="1332" spans="1:5">
      <c r="A1332" s="3" t="s">
        <v>1353</v>
      </c>
      <c r="B1332" s="3" t="s">
        <v>22</v>
      </c>
      <c r="C1332" s="3">
        <v>1411309</v>
      </c>
      <c r="D1332" s="3">
        <v>511514</v>
      </c>
      <c r="E1332" s="3" t="s">
        <v>23</v>
      </c>
    </row>
    <row r="1333" spans="1:5">
      <c r="A1333" s="3" t="s">
        <v>1354</v>
      </c>
      <c r="B1333" s="3" t="s">
        <v>22</v>
      </c>
      <c r="C1333" s="3">
        <v>1149672</v>
      </c>
      <c r="D1333" s="3">
        <v>361827</v>
      </c>
      <c r="E1333" s="3" t="s">
        <v>23</v>
      </c>
    </row>
    <row r="1334" spans="1:5">
      <c r="A1334" s="3" t="s">
        <v>1355</v>
      </c>
      <c r="B1334" s="3" t="s">
        <v>22</v>
      </c>
      <c r="C1334" s="3">
        <v>1145550</v>
      </c>
      <c r="D1334" s="3">
        <v>291815</v>
      </c>
      <c r="E1334" s="3" t="s">
        <v>23</v>
      </c>
    </row>
    <row r="1335" spans="1:5">
      <c r="A1335" s="3" t="s">
        <v>1356</v>
      </c>
      <c r="B1335" s="3" t="s">
        <v>22</v>
      </c>
      <c r="C1335" s="3">
        <v>602395</v>
      </c>
      <c r="D1335" s="3">
        <v>29717</v>
      </c>
      <c r="E1335" s="3" t="s">
        <v>23</v>
      </c>
    </row>
    <row r="1336" spans="1:5">
      <c r="A1336" s="3" t="s">
        <v>1357</v>
      </c>
      <c r="B1336" s="3" t="s">
        <v>22</v>
      </c>
      <c r="C1336" s="3">
        <v>518447</v>
      </c>
      <c r="D1336" s="3">
        <v>17227</v>
      </c>
      <c r="E1336" s="3" t="s">
        <v>23</v>
      </c>
    </row>
    <row r="1337" spans="1:5">
      <c r="A1337" s="3" t="s">
        <v>1358</v>
      </c>
      <c r="B1337" s="3" t="s">
        <v>22</v>
      </c>
      <c r="C1337" s="3">
        <v>1461712</v>
      </c>
      <c r="D1337" s="3">
        <v>544142</v>
      </c>
      <c r="E1337" s="3" t="s">
        <v>23</v>
      </c>
    </row>
    <row r="1338" spans="1:5">
      <c r="A1338" s="3" t="s">
        <v>1359</v>
      </c>
      <c r="B1338" s="3" t="s">
        <v>22</v>
      </c>
      <c r="C1338" s="3">
        <v>818931</v>
      </c>
      <c r="D1338" s="3">
        <v>181558</v>
      </c>
      <c r="E1338" s="3" t="s">
        <v>23</v>
      </c>
    </row>
    <row r="1339" spans="1:5">
      <c r="A1339" s="3" t="s">
        <v>1360</v>
      </c>
      <c r="B1339" s="3" t="s">
        <v>22</v>
      </c>
      <c r="C1339" s="3">
        <v>1573211</v>
      </c>
      <c r="D1339" s="3">
        <v>610081</v>
      </c>
      <c r="E1339" s="3" t="s">
        <v>23</v>
      </c>
    </row>
    <row r="1340" spans="1:5">
      <c r="A1340" s="3" t="s">
        <v>1361</v>
      </c>
      <c r="B1340" s="3" t="s">
        <v>22</v>
      </c>
      <c r="C1340" s="3">
        <v>1035367</v>
      </c>
      <c r="D1340" s="3">
        <v>311472</v>
      </c>
      <c r="E1340" s="3" t="s">
        <v>23</v>
      </c>
    </row>
    <row r="1341" spans="1:5">
      <c r="A1341" s="3" t="s">
        <v>1362</v>
      </c>
      <c r="B1341" s="3" t="s">
        <v>22</v>
      </c>
      <c r="C1341" s="3">
        <v>1465339</v>
      </c>
      <c r="D1341" s="3">
        <v>547667</v>
      </c>
      <c r="E1341" s="3" t="s">
        <v>23</v>
      </c>
    </row>
    <row r="1342" spans="1:5">
      <c r="A1342" s="3" t="s">
        <v>1363</v>
      </c>
      <c r="B1342" s="3" t="s">
        <v>22</v>
      </c>
      <c r="C1342" s="3">
        <v>976020</v>
      </c>
      <c r="D1342" s="3">
        <v>246590</v>
      </c>
      <c r="E1342" s="3" t="s">
        <v>23</v>
      </c>
    </row>
    <row r="1343" spans="1:5">
      <c r="A1343" s="3" t="s">
        <v>1364</v>
      </c>
      <c r="B1343" s="3" t="s">
        <v>22</v>
      </c>
      <c r="C1343" s="3">
        <v>608895</v>
      </c>
      <c r="D1343" s="3">
        <v>94163</v>
      </c>
      <c r="E1343" s="3" t="s">
        <v>23</v>
      </c>
    </row>
    <row r="1344" spans="1:5">
      <c r="A1344" s="3" t="s">
        <v>1365</v>
      </c>
      <c r="B1344" s="3" t="s">
        <v>22</v>
      </c>
      <c r="C1344" s="3">
        <v>454685</v>
      </c>
      <c r="D1344" s="3">
        <v>51102</v>
      </c>
      <c r="E1344" s="3" t="s">
        <v>23</v>
      </c>
    </row>
    <row r="1345" spans="1:5">
      <c r="A1345" s="3" t="s">
        <v>1366</v>
      </c>
      <c r="B1345" s="3" t="s">
        <v>22</v>
      </c>
      <c r="C1345" s="3">
        <v>783729</v>
      </c>
      <c r="D1345" s="3">
        <v>130334</v>
      </c>
      <c r="E1345" s="3" t="s">
        <v>23</v>
      </c>
    </row>
    <row r="1346" spans="1:5">
      <c r="A1346" s="3" t="s">
        <v>1367</v>
      </c>
      <c r="B1346" s="3" t="s">
        <v>22</v>
      </c>
      <c r="C1346" s="3">
        <v>1541493</v>
      </c>
      <c r="D1346" s="3">
        <v>591919</v>
      </c>
      <c r="E1346" s="3" t="s">
        <v>23</v>
      </c>
    </row>
    <row r="1347" spans="1:5">
      <c r="A1347" s="3" t="s">
        <v>1368</v>
      </c>
      <c r="B1347" s="3" t="s">
        <v>22</v>
      </c>
      <c r="C1347" s="3">
        <v>1270598</v>
      </c>
      <c r="D1347" s="3">
        <v>392324</v>
      </c>
      <c r="E1347" s="3" t="s">
        <v>23</v>
      </c>
    </row>
    <row r="1348" spans="1:5">
      <c r="A1348" s="3" t="s">
        <v>1369</v>
      </c>
      <c r="B1348" s="3" t="s">
        <v>22</v>
      </c>
      <c r="C1348" s="3">
        <v>840858</v>
      </c>
      <c r="D1348" s="3">
        <v>155683</v>
      </c>
      <c r="E1348" s="3" t="s">
        <v>23</v>
      </c>
    </row>
    <row r="1349" spans="1:5">
      <c r="A1349" s="3" t="s">
        <v>1370</v>
      </c>
      <c r="B1349" s="3" t="s">
        <v>22</v>
      </c>
      <c r="C1349" s="3">
        <v>1156306</v>
      </c>
      <c r="D1349" s="3">
        <v>377574</v>
      </c>
      <c r="E1349" s="3" t="s">
        <v>23</v>
      </c>
    </row>
    <row r="1350" spans="1:5">
      <c r="A1350" s="3" t="s">
        <v>1371</v>
      </c>
      <c r="B1350" s="3" t="s">
        <v>22</v>
      </c>
      <c r="C1350" s="3">
        <v>875592</v>
      </c>
      <c r="D1350" s="3">
        <v>179842</v>
      </c>
      <c r="E1350" s="3" t="s">
        <v>23</v>
      </c>
    </row>
    <row r="1351" spans="1:5">
      <c r="A1351" s="3" t="s">
        <v>1372</v>
      </c>
      <c r="B1351" s="3" t="s">
        <v>22</v>
      </c>
      <c r="C1351" s="3">
        <v>1263866</v>
      </c>
      <c r="D1351" s="3">
        <v>403993</v>
      </c>
      <c r="E1351" s="3" t="s">
        <v>23</v>
      </c>
    </row>
    <row r="1352" spans="1:5">
      <c r="A1352" s="3" t="s">
        <v>1373</v>
      </c>
      <c r="B1352" s="3" t="s">
        <v>22</v>
      </c>
      <c r="C1352" s="3">
        <v>818474</v>
      </c>
      <c r="D1352" s="3">
        <v>136381</v>
      </c>
      <c r="E1352" s="3" t="s">
        <v>23</v>
      </c>
    </row>
    <row r="1353" spans="1:5">
      <c r="A1353" s="3" t="s">
        <v>1374</v>
      </c>
      <c r="B1353" s="3" t="s">
        <v>22</v>
      </c>
      <c r="C1353" s="3">
        <v>1401372</v>
      </c>
      <c r="D1353" s="3">
        <v>471860</v>
      </c>
      <c r="E1353" s="3" t="s">
        <v>23</v>
      </c>
    </row>
    <row r="1354" spans="1:5">
      <c r="A1354" s="3" t="s">
        <v>1375</v>
      </c>
      <c r="B1354" s="3" t="s">
        <v>22</v>
      </c>
      <c r="C1354" s="3">
        <v>1378717</v>
      </c>
      <c r="D1354" s="3">
        <v>501796</v>
      </c>
      <c r="E1354" s="3" t="s">
        <v>23</v>
      </c>
    </row>
    <row r="1355" spans="1:5">
      <c r="A1355" s="3" t="s">
        <v>1376</v>
      </c>
      <c r="B1355" s="3" t="s">
        <v>22</v>
      </c>
      <c r="C1355" s="3">
        <v>888302</v>
      </c>
      <c r="D1355" s="3">
        <v>264568</v>
      </c>
      <c r="E1355" s="3" t="s">
        <v>23</v>
      </c>
    </row>
    <row r="1356" spans="1:5">
      <c r="A1356" s="3" t="s">
        <v>1377</v>
      </c>
      <c r="B1356" s="3" t="s">
        <v>22</v>
      </c>
      <c r="C1356" s="3">
        <v>1441835</v>
      </c>
      <c r="D1356" s="3">
        <v>147851</v>
      </c>
      <c r="E1356" s="3" t="s">
        <v>23</v>
      </c>
    </row>
    <row r="1357" spans="1:5">
      <c r="A1357" s="3" t="s">
        <v>1378</v>
      </c>
      <c r="B1357" s="3" t="s">
        <v>22</v>
      </c>
      <c r="C1357" s="3">
        <v>1047349</v>
      </c>
      <c r="D1357" s="3">
        <v>307741</v>
      </c>
      <c r="E1357" s="3" t="s">
        <v>23</v>
      </c>
    </row>
    <row r="1358" spans="1:5">
      <c r="A1358" s="3" t="s">
        <v>1379</v>
      </c>
      <c r="B1358" s="3" t="s">
        <v>22</v>
      </c>
      <c r="C1358" s="3">
        <v>784417</v>
      </c>
      <c r="D1358" s="3">
        <v>123870</v>
      </c>
      <c r="E1358" s="3" t="s">
        <v>23</v>
      </c>
    </row>
    <row r="1359" spans="1:5">
      <c r="A1359" s="3" t="s">
        <v>1380</v>
      </c>
      <c r="B1359" s="3" t="s">
        <v>22</v>
      </c>
      <c r="C1359" s="3">
        <v>1148710</v>
      </c>
      <c r="D1359" s="3">
        <v>342477</v>
      </c>
      <c r="E1359" s="3" t="s">
        <v>23</v>
      </c>
    </row>
    <row r="1360" spans="1:5">
      <c r="A1360" s="3" t="s">
        <v>1381</v>
      </c>
      <c r="B1360" s="3" t="s">
        <v>22</v>
      </c>
      <c r="C1360" s="3">
        <v>1039225</v>
      </c>
      <c r="D1360" s="3">
        <v>246415</v>
      </c>
      <c r="E1360" s="3" t="s">
        <v>23</v>
      </c>
    </row>
    <row r="1361" spans="1:5">
      <c r="A1361" s="3" t="s">
        <v>1382</v>
      </c>
      <c r="B1361" s="3" t="s">
        <v>22</v>
      </c>
      <c r="C1361" s="3">
        <v>356727</v>
      </c>
      <c r="D1361" s="3">
        <v>3261</v>
      </c>
      <c r="E1361" s="3" t="s">
        <v>23</v>
      </c>
    </row>
    <row r="1362" spans="1:5">
      <c r="A1362" s="3" t="s">
        <v>1383</v>
      </c>
      <c r="B1362" s="3" t="s">
        <v>22</v>
      </c>
      <c r="C1362" s="3">
        <v>278589</v>
      </c>
      <c r="D1362" s="3">
        <v>275</v>
      </c>
      <c r="E1362" s="3" t="s">
        <v>23</v>
      </c>
    </row>
    <row r="1363" spans="1:5">
      <c r="A1363" s="3" t="s">
        <v>1384</v>
      </c>
      <c r="B1363" s="3" t="s">
        <v>22</v>
      </c>
      <c r="C1363" s="3">
        <v>1287826</v>
      </c>
      <c r="D1363" s="3">
        <v>382533</v>
      </c>
      <c r="E1363" s="3" t="s">
        <v>23</v>
      </c>
    </row>
    <row r="1364" spans="1:5">
      <c r="A1364" s="3" t="s">
        <v>1385</v>
      </c>
      <c r="B1364" s="3" t="s">
        <v>22</v>
      </c>
      <c r="C1364" s="3">
        <v>747366</v>
      </c>
      <c r="D1364" s="3">
        <v>179400</v>
      </c>
      <c r="E1364" s="3" t="s">
        <v>23</v>
      </c>
    </row>
    <row r="1365" spans="1:5">
      <c r="A1365" s="3" t="s">
        <v>1386</v>
      </c>
      <c r="B1365" s="3" t="s">
        <v>22</v>
      </c>
      <c r="C1365" s="3">
        <v>1052174</v>
      </c>
      <c r="D1365" s="3">
        <v>332764</v>
      </c>
      <c r="E1365" s="3" t="s">
        <v>23</v>
      </c>
    </row>
    <row r="1366" spans="1:5">
      <c r="A1366" s="3" t="s">
        <v>1387</v>
      </c>
      <c r="B1366" s="3" t="s">
        <v>22</v>
      </c>
      <c r="C1366" s="3">
        <v>540292</v>
      </c>
      <c r="D1366" s="3">
        <v>4137</v>
      </c>
      <c r="E1366" s="3" t="s">
        <v>23</v>
      </c>
    </row>
    <row r="1367" spans="1:5">
      <c r="A1367" s="3" t="s">
        <v>1388</v>
      </c>
      <c r="B1367" s="3" t="s">
        <v>22</v>
      </c>
      <c r="C1367" s="3">
        <v>1292144</v>
      </c>
      <c r="D1367" s="3">
        <v>469865</v>
      </c>
      <c r="E1367" s="3" t="s">
        <v>23</v>
      </c>
    </row>
    <row r="1368" spans="1:5">
      <c r="A1368" s="3" t="s">
        <v>1389</v>
      </c>
      <c r="B1368" s="3" t="s">
        <v>22</v>
      </c>
      <c r="C1368" s="3">
        <v>521892</v>
      </c>
      <c r="D1368" s="3">
        <v>47266</v>
      </c>
      <c r="E1368" s="3" t="s">
        <v>23</v>
      </c>
    </row>
    <row r="1369" spans="1:5">
      <c r="A1369" s="3" t="s">
        <v>1390</v>
      </c>
      <c r="B1369" s="3" t="s">
        <v>22</v>
      </c>
      <c r="C1369" s="3">
        <v>385878</v>
      </c>
      <c r="D1369" s="3">
        <v>7402</v>
      </c>
      <c r="E1369" s="3" t="s">
        <v>23</v>
      </c>
    </row>
    <row r="1370" spans="1:5">
      <c r="A1370" s="3" t="s">
        <v>1391</v>
      </c>
      <c r="B1370" s="3" t="s">
        <v>22</v>
      </c>
      <c r="C1370" s="3">
        <v>1241849</v>
      </c>
      <c r="D1370" s="3">
        <v>405804</v>
      </c>
      <c r="E1370" s="3" t="s">
        <v>23</v>
      </c>
    </row>
    <row r="1371" spans="1:5">
      <c r="A1371" s="3" t="s">
        <v>1392</v>
      </c>
      <c r="B1371" s="3" t="s">
        <v>22</v>
      </c>
      <c r="C1371" s="3">
        <v>1193789</v>
      </c>
      <c r="D1371" s="3">
        <v>397150</v>
      </c>
      <c r="E1371" s="3" t="s">
        <v>23</v>
      </c>
    </row>
    <row r="1372" spans="1:5">
      <c r="A1372" s="3" t="s">
        <v>1393</v>
      </c>
      <c r="B1372" s="3" t="s">
        <v>22</v>
      </c>
      <c r="C1372" s="3">
        <v>804109</v>
      </c>
      <c r="D1372" s="3">
        <v>170884</v>
      </c>
      <c r="E1372" s="3" t="s">
        <v>23</v>
      </c>
    </row>
    <row r="1373" spans="1:5">
      <c r="A1373" s="3" t="s">
        <v>1394</v>
      </c>
      <c r="B1373" s="3" t="s">
        <v>22</v>
      </c>
      <c r="C1373" s="3">
        <v>913065</v>
      </c>
      <c r="D1373" s="3">
        <v>269013</v>
      </c>
      <c r="E1373" s="3" t="s">
        <v>23</v>
      </c>
    </row>
    <row r="1374" spans="1:5">
      <c r="A1374" s="3" t="s">
        <v>1395</v>
      </c>
      <c r="B1374" s="3" t="s">
        <v>22</v>
      </c>
      <c r="C1374" s="3">
        <v>675745</v>
      </c>
      <c r="D1374" s="3">
        <v>130405</v>
      </c>
      <c r="E1374" s="3" t="s">
        <v>23</v>
      </c>
    </row>
    <row r="1375" spans="1:5">
      <c r="A1375" s="3" t="s">
        <v>1396</v>
      </c>
      <c r="B1375" s="3" t="s">
        <v>22</v>
      </c>
      <c r="C1375" s="3">
        <v>932573</v>
      </c>
      <c r="D1375" s="3">
        <v>271082</v>
      </c>
      <c r="E1375" s="3" t="s">
        <v>23</v>
      </c>
    </row>
    <row r="1376" spans="1:5">
      <c r="A1376" s="3" t="s">
        <v>1397</v>
      </c>
      <c r="B1376" s="3" t="s">
        <v>22</v>
      </c>
      <c r="C1376" s="3">
        <v>1118920</v>
      </c>
      <c r="D1376" s="3">
        <v>356409</v>
      </c>
      <c r="E1376" s="3" t="s">
        <v>23</v>
      </c>
    </row>
    <row r="1377" spans="1:5">
      <c r="A1377" s="3" t="s">
        <v>1398</v>
      </c>
      <c r="B1377" s="3" t="s">
        <v>22</v>
      </c>
      <c r="C1377" s="3">
        <v>617823</v>
      </c>
      <c r="D1377" s="3">
        <v>144702</v>
      </c>
      <c r="E1377" s="3" t="s">
        <v>23</v>
      </c>
    </row>
    <row r="1378" spans="1:5">
      <c r="A1378" s="3" t="s">
        <v>1399</v>
      </c>
      <c r="B1378" s="3" t="s">
        <v>22</v>
      </c>
      <c r="C1378" s="3">
        <v>1275471</v>
      </c>
      <c r="D1378" s="3">
        <v>295116</v>
      </c>
      <c r="E1378" s="3" t="s">
        <v>23</v>
      </c>
    </row>
    <row r="1379" spans="1:5">
      <c r="A1379" s="3" t="s">
        <v>1400</v>
      </c>
      <c r="B1379" s="3" t="s">
        <v>22</v>
      </c>
      <c r="C1379" s="3">
        <v>1097352</v>
      </c>
      <c r="D1379" s="3">
        <v>354113</v>
      </c>
      <c r="E1379" s="3" t="s">
        <v>23</v>
      </c>
    </row>
    <row r="1380" spans="1:5">
      <c r="A1380" s="3" t="s">
        <v>1401</v>
      </c>
      <c r="B1380" s="3" t="s">
        <v>22</v>
      </c>
      <c r="C1380" s="3">
        <v>913843</v>
      </c>
      <c r="D1380" s="3">
        <v>240022</v>
      </c>
      <c r="E1380" s="3" t="s">
        <v>23</v>
      </c>
    </row>
    <row r="1381" spans="1:5">
      <c r="A1381" s="3" t="s">
        <v>1402</v>
      </c>
      <c r="B1381" s="3" t="s">
        <v>22</v>
      </c>
      <c r="C1381" s="3">
        <v>682080</v>
      </c>
      <c r="D1381" s="3">
        <v>56444</v>
      </c>
      <c r="E1381" s="3" t="s">
        <v>23</v>
      </c>
    </row>
    <row r="1382" spans="1:5">
      <c r="A1382" s="3" t="s">
        <v>1403</v>
      </c>
      <c r="B1382" s="3" t="s">
        <v>22</v>
      </c>
      <c r="C1382" s="3">
        <v>1167250</v>
      </c>
      <c r="D1382" s="3">
        <v>366520</v>
      </c>
      <c r="E1382" s="3" t="s">
        <v>23</v>
      </c>
    </row>
    <row r="1383" spans="1:5">
      <c r="A1383" s="3" t="s">
        <v>1404</v>
      </c>
      <c r="B1383" s="3" t="s">
        <v>22</v>
      </c>
      <c r="C1383" s="3">
        <v>1505438</v>
      </c>
      <c r="D1383" s="3">
        <v>597714</v>
      </c>
      <c r="E1383" s="3" t="s">
        <v>23</v>
      </c>
    </row>
    <row r="1384" spans="1:5">
      <c r="A1384" s="3" t="s">
        <v>1405</v>
      </c>
      <c r="B1384" s="3" t="s">
        <v>22</v>
      </c>
      <c r="C1384" s="3">
        <v>941033</v>
      </c>
      <c r="D1384" s="3">
        <v>262582</v>
      </c>
      <c r="E1384" s="3" t="s">
        <v>23</v>
      </c>
    </row>
    <row r="1385" spans="1:5">
      <c r="A1385" s="3" t="s">
        <v>1406</v>
      </c>
      <c r="B1385" s="3" t="s">
        <v>22</v>
      </c>
      <c r="C1385" s="3">
        <v>1490090</v>
      </c>
      <c r="D1385" s="3">
        <v>549615</v>
      </c>
      <c r="E1385" s="3" t="s">
        <v>23</v>
      </c>
    </row>
    <row r="1386" spans="1:5">
      <c r="A1386" s="3" t="s">
        <v>1407</v>
      </c>
      <c r="B1386" s="3" t="s">
        <v>22</v>
      </c>
      <c r="C1386" s="3">
        <v>919878</v>
      </c>
      <c r="D1386" s="3">
        <v>237648</v>
      </c>
      <c r="E1386" s="3" t="s">
        <v>23</v>
      </c>
    </row>
    <row r="1387" spans="1:5">
      <c r="A1387" s="3" t="s">
        <v>1408</v>
      </c>
      <c r="B1387" s="3" t="s">
        <v>22</v>
      </c>
      <c r="C1387" s="3">
        <v>1270809</v>
      </c>
      <c r="D1387" s="3">
        <v>397332</v>
      </c>
      <c r="E1387" s="3" t="s">
        <v>23</v>
      </c>
    </row>
    <row r="1388" spans="1:5">
      <c r="A1388" s="3" t="s">
        <v>1409</v>
      </c>
      <c r="B1388" s="3" t="s">
        <v>22</v>
      </c>
      <c r="C1388" s="3">
        <v>1349876</v>
      </c>
      <c r="D1388" s="3">
        <v>498726</v>
      </c>
      <c r="E1388" s="3" t="s">
        <v>23</v>
      </c>
    </row>
    <row r="1389" spans="1:5">
      <c r="A1389" s="3" t="s">
        <v>1410</v>
      </c>
      <c r="B1389" s="3" t="s">
        <v>22</v>
      </c>
      <c r="C1389" s="3">
        <v>519550</v>
      </c>
      <c r="D1389" s="3">
        <v>16403</v>
      </c>
      <c r="E1389" s="3" t="s">
        <v>23</v>
      </c>
    </row>
    <row r="1390" spans="1:5">
      <c r="A1390" s="3" t="s">
        <v>1411</v>
      </c>
      <c r="B1390" s="3" t="s">
        <v>22</v>
      </c>
      <c r="C1390" s="3">
        <v>1286267</v>
      </c>
      <c r="D1390" s="3">
        <v>497044</v>
      </c>
      <c r="E1390" s="3" t="s">
        <v>23</v>
      </c>
    </row>
    <row r="1391" spans="1:5">
      <c r="A1391" s="3" t="s">
        <v>1412</v>
      </c>
      <c r="B1391" s="3" t="s">
        <v>22</v>
      </c>
      <c r="C1391" s="3">
        <v>1125005</v>
      </c>
      <c r="D1391" s="3">
        <v>295084</v>
      </c>
      <c r="E1391" s="3" t="s">
        <v>23</v>
      </c>
    </row>
    <row r="1392" spans="1:5">
      <c r="A1392" s="3" t="s">
        <v>1413</v>
      </c>
      <c r="B1392" s="3" t="s">
        <v>22</v>
      </c>
      <c r="C1392" s="3">
        <v>851852</v>
      </c>
      <c r="D1392" s="3">
        <v>240424</v>
      </c>
      <c r="E1392" s="3" t="s">
        <v>23</v>
      </c>
    </row>
    <row r="1393" spans="1:5">
      <c r="A1393" s="3" t="s">
        <v>1414</v>
      </c>
      <c r="B1393" s="3" t="s">
        <v>22</v>
      </c>
      <c r="C1393" s="3">
        <v>313581</v>
      </c>
      <c r="D1393" s="3">
        <v>3447</v>
      </c>
      <c r="E1393" s="3" t="s">
        <v>23</v>
      </c>
    </row>
    <row r="1394" spans="1:5">
      <c r="A1394" s="3" t="s">
        <v>1415</v>
      </c>
      <c r="B1394" s="3" t="s">
        <v>22</v>
      </c>
      <c r="C1394" s="3">
        <v>1096172</v>
      </c>
      <c r="D1394" s="3">
        <v>328851</v>
      </c>
      <c r="E1394" s="3" t="s">
        <v>23</v>
      </c>
    </row>
    <row r="1395" spans="1:5">
      <c r="A1395" s="3" t="s">
        <v>1416</v>
      </c>
      <c r="B1395" s="3" t="s">
        <v>22</v>
      </c>
      <c r="C1395" s="3">
        <v>738636</v>
      </c>
      <c r="D1395" s="3">
        <v>147882</v>
      </c>
      <c r="E1395" s="3" t="s">
        <v>23</v>
      </c>
    </row>
    <row r="1396" spans="1:5">
      <c r="A1396" s="3" t="s">
        <v>1417</v>
      </c>
      <c r="B1396" s="3" t="s">
        <v>22</v>
      </c>
      <c r="C1396" s="3">
        <v>720682</v>
      </c>
      <c r="D1396" s="3">
        <v>109570</v>
      </c>
      <c r="E1396" s="3" t="s">
        <v>23</v>
      </c>
    </row>
    <row r="1397" spans="1:5">
      <c r="A1397" s="3" t="s">
        <v>1418</v>
      </c>
      <c r="B1397" s="3" t="s">
        <v>22</v>
      </c>
      <c r="C1397" s="3">
        <v>1531271</v>
      </c>
      <c r="D1397" s="3">
        <v>595732</v>
      </c>
      <c r="E1397" s="3" t="s">
        <v>23</v>
      </c>
    </row>
    <row r="1398" spans="1:5">
      <c r="A1398" s="3" t="s">
        <v>1419</v>
      </c>
      <c r="B1398" s="3" t="s">
        <v>22</v>
      </c>
      <c r="C1398" s="3">
        <v>1458933</v>
      </c>
      <c r="D1398" s="3">
        <v>502798</v>
      </c>
      <c r="E1398" s="3" t="s">
        <v>23</v>
      </c>
    </row>
    <row r="1399" spans="1:5">
      <c r="A1399" s="3" t="s">
        <v>1420</v>
      </c>
      <c r="B1399" s="3" t="s">
        <v>22</v>
      </c>
      <c r="C1399" s="3">
        <v>1587442</v>
      </c>
      <c r="D1399" s="3">
        <v>625422</v>
      </c>
      <c r="E1399" s="3" t="s">
        <v>23</v>
      </c>
    </row>
    <row r="1400" spans="1:5">
      <c r="A1400" s="3" t="s">
        <v>1421</v>
      </c>
      <c r="B1400" s="3" t="s">
        <v>22</v>
      </c>
      <c r="C1400" s="3">
        <v>402681</v>
      </c>
      <c r="D1400" s="3">
        <v>1624</v>
      </c>
      <c r="E1400" s="3" t="s">
        <v>23</v>
      </c>
    </row>
    <row r="1401" spans="1:5">
      <c r="A1401" s="3" t="s">
        <v>1422</v>
      </c>
      <c r="B1401" s="3" t="s">
        <v>22</v>
      </c>
      <c r="C1401" s="3">
        <v>1494611</v>
      </c>
      <c r="D1401" s="3">
        <v>606818</v>
      </c>
      <c r="E1401" s="3" t="s">
        <v>23</v>
      </c>
    </row>
    <row r="1402" spans="1:5">
      <c r="A1402" s="3" t="s">
        <v>1423</v>
      </c>
      <c r="B1402" s="3" t="s">
        <v>22</v>
      </c>
      <c r="C1402" s="3">
        <v>1522649</v>
      </c>
      <c r="D1402" s="3">
        <v>551090</v>
      </c>
      <c r="E1402" s="3" t="s">
        <v>23</v>
      </c>
    </row>
    <row r="1403" spans="1:5">
      <c r="A1403" s="3" t="s">
        <v>1424</v>
      </c>
      <c r="B1403" s="3" t="s">
        <v>22</v>
      </c>
      <c r="C1403" s="3">
        <v>415663</v>
      </c>
      <c r="D1403" s="3">
        <v>8104</v>
      </c>
      <c r="E1403" s="3" t="s">
        <v>23</v>
      </c>
    </row>
    <row r="1404" spans="1:5">
      <c r="A1404" s="3" t="s">
        <v>1425</v>
      </c>
      <c r="B1404" s="3" t="s">
        <v>22</v>
      </c>
      <c r="C1404" s="3">
        <v>574671</v>
      </c>
      <c r="D1404" s="3">
        <v>85799</v>
      </c>
      <c r="E1404" s="3" t="s">
        <v>23</v>
      </c>
    </row>
    <row r="1405" spans="1:5">
      <c r="A1405" s="3" t="s">
        <v>1426</v>
      </c>
      <c r="B1405" s="3" t="s">
        <v>22</v>
      </c>
      <c r="C1405" s="3">
        <v>1748996</v>
      </c>
      <c r="D1405" s="3">
        <v>709162</v>
      </c>
      <c r="E1405" s="3" t="s">
        <v>23</v>
      </c>
    </row>
    <row r="1406" spans="1:5">
      <c r="A1406" s="3" t="s">
        <v>1427</v>
      </c>
      <c r="B1406" s="3" t="s">
        <v>22</v>
      </c>
      <c r="C1406" s="3">
        <v>1346561</v>
      </c>
      <c r="D1406" s="3">
        <v>456340</v>
      </c>
      <c r="E1406" s="3" t="s">
        <v>23</v>
      </c>
    </row>
    <row r="1407" spans="1:5">
      <c r="A1407" s="3" t="s">
        <v>1428</v>
      </c>
      <c r="B1407" s="3" t="s">
        <v>22</v>
      </c>
      <c r="C1407" s="3">
        <v>1273092</v>
      </c>
      <c r="D1407" s="3">
        <v>367925</v>
      </c>
      <c r="E1407" s="3" t="s">
        <v>23</v>
      </c>
    </row>
    <row r="1408" spans="1:5">
      <c r="A1408" s="3" t="s">
        <v>1429</v>
      </c>
      <c r="B1408" s="3" t="s">
        <v>22</v>
      </c>
      <c r="C1408" s="3">
        <v>1186370</v>
      </c>
      <c r="D1408" s="3">
        <v>375798</v>
      </c>
      <c r="E1408" s="3" t="s">
        <v>23</v>
      </c>
    </row>
    <row r="1409" spans="1:5">
      <c r="A1409" s="3" t="s">
        <v>1430</v>
      </c>
      <c r="B1409" s="3" t="s">
        <v>22</v>
      </c>
      <c r="C1409" s="3">
        <v>1430211</v>
      </c>
      <c r="D1409" s="3">
        <v>524810</v>
      </c>
      <c r="E1409" s="3" t="s">
        <v>23</v>
      </c>
    </row>
    <row r="1410" spans="1:5">
      <c r="A1410" s="3" t="s">
        <v>1431</v>
      </c>
      <c r="B1410" s="3" t="s">
        <v>22</v>
      </c>
      <c r="C1410" s="3">
        <v>356205</v>
      </c>
      <c r="D1410" s="3">
        <v>844</v>
      </c>
      <c r="E1410" s="3" t="s">
        <v>23</v>
      </c>
    </row>
    <row r="1411" spans="1:5">
      <c r="A1411" s="3" t="s">
        <v>1432</v>
      </c>
      <c r="B1411" s="3" t="s">
        <v>22</v>
      </c>
      <c r="C1411" s="3">
        <v>524837</v>
      </c>
      <c r="D1411" s="3">
        <v>19361</v>
      </c>
      <c r="E1411" s="3" t="s">
        <v>23</v>
      </c>
    </row>
    <row r="1412" spans="1:5">
      <c r="A1412" s="3" t="s">
        <v>1433</v>
      </c>
      <c r="B1412" s="3" t="s">
        <v>22</v>
      </c>
      <c r="C1412" s="3">
        <v>1211298</v>
      </c>
      <c r="D1412" s="3">
        <v>396616</v>
      </c>
      <c r="E1412" s="3" t="s">
        <v>23</v>
      </c>
    </row>
    <row r="1413" spans="1:5">
      <c r="A1413" s="3" t="s">
        <v>1434</v>
      </c>
      <c r="B1413" s="3" t="s">
        <v>22</v>
      </c>
      <c r="C1413" s="3">
        <v>1568675</v>
      </c>
      <c r="D1413" s="3">
        <v>580208</v>
      </c>
      <c r="E1413" s="3" t="s">
        <v>23</v>
      </c>
    </row>
    <row r="1414" spans="1:5">
      <c r="A1414" s="3" t="s">
        <v>1435</v>
      </c>
      <c r="B1414" s="3" t="s">
        <v>22</v>
      </c>
      <c r="C1414" s="3">
        <v>1080843</v>
      </c>
      <c r="D1414" s="3">
        <v>290163</v>
      </c>
      <c r="E1414" s="3" t="s">
        <v>23</v>
      </c>
    </row>
    <row r="1415" spans="1:5">
      <c r="A1415" s="3" t="s">
        <v>1436</v>
      </c>
      <c r="B1415" s="3" t="s">
        <v>22</v>
      </c>
      <c r="C1415" s="3">
        <v>342230</v>
      </c>
      <c r="D1415" s="3">
        <v>341</v>
      </c>
      <c r="E1415" s="3" t="s">
        <v>23</v>
      </c>
    </row>
    <row r="1416" spans="1:5">
      <c r="A1416" s="3" t="s">
        <v>1437</v>
      </c>
      <c r="B1416" s="3" t="s">
        <v>22</v>
      </c>
      <c r="C1416" s="3">
        <v>1596591</v>
      </c>
      <c r="D1416" s="3">
        <v>615947</v>
      </c>
      <c r="E1416" s="3" t="s">
        <v>23</v>
      </c>
    </row>
    <row r="1417" spans="1:5">
      <c r="A1417" s="3" t="s">
        <v>1438</v>
      </c>
      <c r="B1417" s="3" t="s">
        <v>22</v>
      </c>
      <c r="C1417" s="3">
        <v>1149571</v>
      </c>
      <c r="D1417" s="3">
        <v>395236</v>
      </c>
      <c r="E1417" s="3" t="s">
        <v>23</v>
      </c>
    </row>
    <row r="1418" spans="1:5">
      <c r="A1418" s="3" t="s">
        <v>1439</v>
      </c>
      <c r="B1418" s="3" t="s">
        <v>22</v>
      </c>
      <c r="C1418" s="3">
        <v>1452238</v>
      </c>
      <c r="D1418" s="3">
        <v>440492</v>
      </c>
      <c r="E1418" s="3" t="s">
        <v>23</v>
      </c>
    </row>
    <row r="1419" spans="1:5">
      <c r="A1419" s="3" t="s">
        <v>1440</v>
      </c>
      <c r="B1419" s="3" t="s">
        <v>22</v>
      </c>
      <c r="C1419" s="3">
        <v>646412</v>
      </c>
      <c r="D1419" s="3">
        <v>1911</v>
      </c>
      <c r="E1419" s="3" t="s">
        <v>23</v>
      </c>
    </row>
    <row r="1420" spans="1:5">
      <c r="A1420" s="3" t="s">
        <v>1441</v>
      </c>
      <c r="B1420" s="3" t="s">
        <v>22</v>
      </c>
      <c r="C1420" s="3">
        <v>1631958</v>
      </c>
      <c r="D1420" s="3">
        <v>680796</v>
      </c>
      <c r="E1420" s="3" t="s">
        <v>23</v>
      </c>
    </row>
    <row r="1421" spans="1:5">
      <c r="A1421" s="3" t="s">
        <v>1442</v>
      </c>
      <c r="B1421" s="3" t="s">
        <v>22</v>
      </c>
      <c r="C1421" s="3">
        <v>597070</v>
      </c>
      <c r="D1421" s="3">
        <v>7003</v>
      </c>
      <c r="E1421" s="3" t="s">
        <v>23</v>
      </c>
    </row>
    <row r="1422" spans="1:5">
      <c r="A1422" s="3" t="s">
        <v>1443</v>
      </c>
      <c r="B1422" s="3" t="s">
        <v>22</v>
      </c>
      <c r="C1422" s="3">
        <v>1250816</v>
      </c>
      <c r="D1422" s="3">
        <v>393376</v>
      </c>
      <c r="E1422" s="3" t="s">
        <v>23</v>
      </c>
    </row>
    <row r="1423" spans="1:5">
      <c r="A1423" s="3" t="s">
        <v>1444</v>
      </c>
      <c r="B1423" s="3" t="s">
        <v>22</v>
      </c>
      <c r="C1423" s="3">
        <v>1304278</v>
      </c>
      <c r="D1423" s="3">
        <v>423696</v>
      </c>
      <c r="E1423" s="3" t="s">
        <v>23</v>
      </c>
    </row>
    <row r="1424" spans="1:5">
      <c r="A1424" s="3" t="s">
        <v>1445</v>
      </c>
      <c r="B1424" s="3" t="s">
        <v>22</v>
      </c>
      <c r="C1424" s="3">
        <v>1406882</v>
      </c>
      <c r="D1424" s="3">
        <v>443074</v>
      </c>
      <c r="E1424" s="3" t="s">
        <v>23</v>
      </c>
    </row>
    <row r="1425" spans="1:5">
      <c r="A1425" s="3" t="s">
        <v>1446</v>
      </c>
      <c r="B1425" s="3" t="s">
        <v>22</v>
      </c>
      <c r="C1425" s="3">
        <v>1479858</v>
      </c>
      <c r="D1425" s="3">
        <v>553186</v>
      </c>
      <c r="E1425" s="3" t="s">
        <v>23</v>
      </c>
    </row>
    <row r="1426" spans="1:5">
      <c r="A1426" s="3" t="s">
        <v>1447</v>
      </c>
      <c r="B1426" s="3" t="s">
        <v>22</v>
      </c>
      <c r="C1426" s="3">
        <v>527300</v>
      </c>
      <c r="D1426" s="3">
        <v>8129</v>
      </c>
      <c r="E1426" s="3" t="s">
        <v>23</v>
      </c>
    </row>
    <row r="1427" spans="1:5">
      <c r="A1427" s="3" t="s">
        <v>1448</v>
      </c>
      <c r="B1427" s="3" t="s">
        <v>22</v>
      </c>
      <c r="C1427" s="3">
        <v>1170713</v>
      </c>
      <c r="D1427" s="3">
        <v>306843</v>
      </c>
      <c r="E1427" s="3" t="s">
        <v>23</v>
      </c>
    </row>
    <row r="1428" spans="1:5">
      <c r="A1428" s="3" t="s">
        <v>1449</v>
      </c>
      <c r="B1428" s="3" t="s">
        <v>22</v>
      </c>
      <c r="C1428" s="3">
        <v>1026506</v>
      </c>
      <c r="D1428" s="3">
        <v>151076</v>
      </c>
      <c r="E1428" s="3" t="s">
        <v>23</v>
      </c>
    </row>
    <row r="1429" spans="1:5">
      <c r="A1429" s="3" t="s">
        <v>1450</v>
      </c>
      <c r="B1429" s="3" t="s">
        <v>22</v>
      </c>
      <c r="C1429" s="3">
        <v>1482836</v>
      </c>
      <c r="D1429" s="3">
        <v>373450</v>
      </c>
      <c r="E1429" s="3" t="s">
        <v>23</v>
      </c>
    </row>
    <row r="1430" spans="1:5">
      <c r="A1430" s="3" t="s">
        <v>1451</v>
      </c>
      <c r="B1430" s="3" t="s">
        <v>22</v>
      </c>
      <c r="C1430" s="3">
        <v>729825</v>
      </c>
      <c r="D1430" s="3">
        <v>55687</v>
      </c>
      <c r="E1430" s="3" t="s">
        <v>23</v>
      </c>
    </row>
    <row r="1431" spans="1:5">
      <c r="A1431" s="3" t="s">
        <v>1452</v>
      </c>
      <c r="B1431" s="3" t="s">
        <v>22</v>
      </c>
      <c r="C1431" s="3">
        <v>1224940</v>
      </c>
      <c r="D1431" s="3">
        <v>337636</v>
      </c>
      <c r="E1431" s="3" t="s">
        <v>23</v>
      </c>
    </row>
    <row r="1432" spans="1:5">
      <c r="A1432" s="3" t="s">
        <v>1453</v>
      </c>
      <c r="B1432" s="3" t="s">
        <v>22</v>
      </c>
      <c r="C1432" s="3">
        <v>1400052</v>
      </c>
      <c r="D1432" s="3">
        <v>376593</v>
      </c>
      <c r="E1432" s="3" t="s">
        <v>23</v>
      </c>
    </row>
    <row r="1433" spans="1:5">
      <c r="A1433" s="3" t="s">
        <v>1454</v>
      </c>
      <c r="B1433" s="3" t="s">
        <v>22</v>
      </c>
      <c r="C1433" s="3">
        <v>1127978</v>
      </c>
      <c r="D1433" s="3">
        <v>208381</v>
      </c>
      <c r="E1433" s="3" t="s">
        <v>23</v>
      </c>
    </row>
    <row r="1434" spans="1:5">
      <c r="A1434" s="3" t="s">
        <v>1455</v>
      </c>
      <c r="B1434" s="3" t="s">
        <v>22</v>
      </c>
      <c r="C1434" s="3">
        <v>1504906</v>
      </c>
      <c r="D1434" s="3">
        <v>385616</v>
      </c>
      <c r="E1434" s="3" t="s">
        <v>23</v>
      </c>
    </row>
    <row r="1435" spans="1:5">
      <c r="A1435" s="3" t="s">
        <v>1456</v>
      </c>
      <c r="B1435" s="3" t="s">
        <v>22</v>
      </c>
      <c r="C1435" s="3">
        <v>1850478</v>
      </c>
      <c r="D1435" s="3">
        <v>699724</v>
      </c>
      <c r="E1435" s="3" t="s">
        <v>23</v>
      </c>
    </row>
    <row r="1436" spans="1:5">
      <c r="A1436" s="3" t="s">
        <v>1457</v>
      </c>
      <c r="B1436" s="3" t="s">
        <v>22</v>
      </c>
      <c r="C1436" s="3">
        <v>1255508</v>
      </c>
      <c r="D1436" s="3">
        <v>291848</v>
      </c>
      <c r="E1436" s="3" t="s">
        <v>23</v>
      </c>
    </row>
    <row r="1437" spans="1:5">
      <c r="A1437" s="3" t="s">
        <v>1458</v>
      </c>
      <c r="B1437" s="3" t="s">
        <v>22</v>
      </c>
      <c r="C1437" s="3">
        <v>1318661</v>
      </c>
      <c r="D1437" s="3">
        <v>400361</v>
      </c>
      <c r="E1437" s="3" t="s">
        <v>23</v>
      </c>
    </row>
    <row r="1438" spans="1:5">
      <c r="A1438" s="3" t="s">
        <v>1459</v>
      </c>
      <c r="B1438" s="3" t="s">
        <v>22</v>
      </c>
      <c r="C1438" s="3">
        <v>1727252</v>
      </c>
      <c r="D1438" s="3">
        <v>431884</v>
      </c>
      <c r="E1438" s="3" t="s">
        <v>23</v>
      </c>
    </row>
    <row r="1439" spans="1:5">
      <c r="A1439" s="3" t="s">
        <v>1460</v>
      </c>
      <c r="B1439" s="3" t="s">
        <v>22</v>
      </c>
      <c r="C1439" s="3">
        <v>1448516</v>
      </c>
      <c r="D1439" s="3">
        <v>348257</v>
      </c>
      <c r="E1439" s="3" t="s">
        <v>23</v>
      </c>
    </row>
    <row r="1440" spans="1:5">
      <c r="A1440" s="3" t="s">
        <v>1461</v>
      </c>
      <c r="B1440" s="3" t="s">
        <v>22</v>
      </c>
      <c r="C1440" s="3">
        <v>1124647</v>
      </c>
      <c r="D1440" s="3">
        <v>317009</v>
      </c>
      <c r="E1440" s="3" t="s">
        <v>23</v>
      </c>
    </row>
    <row r="1441" spans="1:5">
      <c r="A1441" s="3" t="s">
        <v>1462</v>
      </c>
      <c r="B1441" s="3" t="s">
        <v>22</v>
      </c>
      <c r="C1441" s="3">
        <v>1907090</v>
      </c>
      <c r="D1441" s="3">
        <v>690336</v>
      </c>
      <c r="E1441" s="3" t="s">
        <v>23</v>
      </c>
    </row>
    <row r="1442" spans="1:5">
      <c r="A1442" s="3" t="s">
        <v>1463</v>
      </c>
      <c r="B1442" s="3" t="s">
        <v>22</v>
      </c>
      <c r="C1442" s="3">
        <v>1810246</v>
      </c>
      <c r="D1442" s="3">
        <v>599347</v>
      </c>
      <c r="E1442" s="3" t="s">
        <v>23</v>
      </c>
    </row>
    <row r="1443" spans="1:5">
      <c r="A1443" s="3" t="s">
        <v>1464</v>
      </c>
      <c r="B1443" s="3" t="s">
        <v>22</v>
      </c>
      <c r="C1443" s="3">
        <v>511610</v>
      </c>
      <c r="D1443" s="3">
        <v>14978</v>
      </c>
      <c r="E1443" s="3" t="s">
        <v>23</v>
      </c>
    </row>
    <row r="1444" spans="1:5">
      <c r="A1444" s="3" t="s">
        <v>1465</v>
      </c>
      <c r="B1444" s="3" t="s">
        <v>22</v>
      </c>
      <c r="C1444" s="3">
        <v>1335297</v>
      </c>
      <c r="D1444" s="3">
        <v>305429</v>
      </c>
      <c r="E1444" s="3" t="s">
        <v>23</v>
      </c>
    </row>
    <row r="1445" spans="1:5">
      <c r="A1445" s="3" t="s">
        <v>1466</v>
      </c>
      <c r="B1445" s="3" t="s">
        <v>22</v>
      </c>
      <c r="C1445" s="3">
        <v>1514632</v>
      </c>
      <c r="D1445" s="3">
        <v>424437</v>
      </c>
      <c r="E1445" s="3" t="s">
        <v>23</v>
      </c>
    </row>
    <row r="1446" spans="1:5">
      <c r="A1446" s="3" t="s">
        <v>1467</v>
      </c>
      <c r="B1446" s="3" t="s">
        <v>22</v>
      </c>
      <c r="C1446" s="3">
        <v>1612386</v>
      </c>
      <c r="D1446" s="3">
        <v>593393</v>
      </c>
      <c r="E1446" s="3" t="s">
        <v>23</v>
      </c>
    </row>
    <row r="1447" spans="1:5">
      <c r="A1447" s="3" t="s">
        <v>1468</v>
      </c>
      <c r="B1447" s="3" t="s">
        <v>22</v>
      </c>
      <c r="C1447" s="3">
        <v>2146091</v>
      </c>
      <c r="D1447" s="3">
        <v>818260</v>
      </c>
      <c r="E1447" s="3" t="s">
        <v>23</v>
      </c>
    </row>
    <row r="1448" spans="1:5">
      <c r="A1448" s="3" t="s">
        <v>1469</v>
      </c>
      <c r="B1448" s="3" t="s">
        <v>22</v>
      </c>
      <c r="C1448" s="3">
        <v>1179755</v>
      </c>
      <c r="D1448" s="3">
        <v>302600</v>
      </c>
      <c r="E1448" s="3" t="s">
        <v>23</v>
      </c>
    </row>
    <row r="1449" spans="1:5">
      <c r="A1449" s="3" t="s">
        <v>1470</v>
      </c>
      <c r="B1449" s="3" t="s">
        <v>22</v>
      </c>
      <c r="C1449" s="3">
        <v>1209266</v>
      </c>
      <c r="D1449" s="3">
        <v>166412</v>
      </c>
      <c r="E1449" s="3" t="s">
        <v>23</v>
      </c>
    </row>
    <row r="1450" spans="1:5">
      <c r="A1450" s="3" t="s">
        <v>1471</v>
      </c>
      <c r="B1450" s="3" t="s">
        <v>22</v>
      </c>
      <c r="C1450" s="3">
        <v>1682599</v>
      </c>
      <c r="D1450" s="3">
        <v>554068</v>
      </c>
      <c r="E1450" s="3" t="s">
        <v>23</v>
      </c>
    </row>
    <row r="1451" spans="1:5">
      <c r="A1451" s="3" t="s">
        <v>1472</v>
      </c>
      <c r="B1451" s="3" t="s">
        <v>22</v>
      </c>
      <c r="C1451" s="3">
        <v>1039161</v>
      </c>
      <c r="D1451" s="3">
        <v>212985</v>
      </c>
      <c r="E1451" s="3" t="s">
        <v>23</v>
      </c>
    </row>
    <row r="1452" spans="1:5">
      <c r="A1452" s="3" t="s">
        <v>1473</v>
      </c>
      <c r="B1452" s="3" t="s">
        <v>22</v>
      </c>
      <c r="C1452" s="3">
        <v>1686473</v>
      </c>
      <c r="D1452" s="3">
        <v>609023</v>
      </c>
      <c r="E1452" s="3" t="s">
        <v>23</v>
      </c>
    </row>
    <row r="1453" spans="1:5">
      <c r="A1453" s="3" t="s">
        <v>1474</v>
      </c>
      <c r="B1453" s="3" t="s">
        <v>22</v>
      </c>
      <c r="C1453" s="3">
        <v>1428602</v>
      </c>
      <c r="D1453" s="3">
        <v>419626</v>
      </c>
      <c r="E1453" s="3" t="s">
        <v>23</v>
      </c>
    </row>
    <row r="1454" spans="1:5">
      <c r="A1454" s="3" t="s">
        <v>1475</v>
      </c>
      <c r="B1454" s="3" t="s">
        <v>22</v>
      </c>
      <c r="C1454" s="3">
        <v>545527</v>
      </c>
      <c r="D1454" s="3">
        <v>1624</v>
      </c>
      <c r="E1454" s="3" t="s">
        <v>23</v>
      </c>
    </row>
    <row r="1455" spans="1:5">
      <c r="A1455" s="3" t="s">
        <v>1476</v>
      </c>
      <c r="B1455" s="3" t="s">
        <v>22</v>
      </c>
      <c r="C1455" s="3">
        <v>453926</v>
      </c>
      <c r="D1455" s="3">
        <v>2064</v>
      </c>
      <c r="E1455" s="3" t="s">
        <v>23</v>
      </c>
    </row>
    <row r="1456" spans="1:5">
      <c r="A1456" s="3" t="s">
        <v>1477</v>
      </c>
      <c r="B1456" s="3" t="s">
        <v>22</v>
      </c>
      <c r="C1456" s="3">
        <v>1364820</v>
      </c>
      <c r="D1456" s="3">
        <v>445979</v>
      </c>
      <c r="E1456" s="3" t="s">
        <v>23</v>
      </c>
    </row>
    <row r="1457" spans="1:5">
      <c r="A1457" s="3" t="s">
        <v>1478</v>
      </c>
      <c r="B1457" s="3" t="s">
        <v>22</v>
      </c>
      <c r="C1457" s="3">
        <v>1176071</v>
      </c>
      <c r="D1457" s="3">
        <v>283631</v>
      </c>
      <c r="E1457" s="3" t="s">
        <v>23</v>
      </c>
    </row>
    <row r="1458" spans="1:5">
      <c r="A1458" s="3" t="s">
        <v>1479</v>
      </c>
      <c r="B1458" s="3" t="s">
        <v>22</v>
      </c>
      <c r="C1458" s="3">
        <v>1080432</v>
      </c>
      <c r="D1458" s="3">
        <v>247314</v>
      </c>
      <c r="E1458" s="3" t="s">
        <v>23</v>
      </c>
    </row>
    <row r="1459" spans="1:5">
      <c r="A1459" s="3" t="s">
        <v>1480</v>
      </c>
      <c r="B1459" s="3" t="s">
        <v>22</v>
      </c>
      <c r="C1459" s="3">
        <v>1536200</v>
      </c>
      <c r="D1459" s="3">
        <v>485198</v>
      </c>
      <c r="E1459" s="3" t="s">
        <v>23</v>
      </c>
    </row>
    <row r="1460" spans="1:5">
      <c r="A1460" s="3" t="s">
        <v>1481</v>
      </c>
      <c r="B1460" s="3" t="s">
        <v>22</v>
      </c>
      <c r="C1460" s="3">
        <v>1176318</v>
      </c>
      <c r="D1460" s="3">
        <v>227562</v>
      </c>
      <c r="E1460" s="3" t="s">
        <v>23</v>
      </c>
    </row>
    <row r="1461" spans="1:5">
      <c r="A1461" s="3" t="s">
        <v>1482</v>
      </c>
      <c r="B1461" s="3" t="s">
        <v>22</v>
      </c>
      <c r="C1461" s="3">
        <v>805122</v>
      </c>
      <c r="D1461" s="3">
        <v>31925</v>
      </c>
      <c r="E1461" s="3" t="s">
        <v>23</v>
      </c>
    </row>
    <row r="1462" spans="1:5">
      <c r="A1462" s="3" t="s">
        <v>1483</v>
      </c>
      <c r="B1462" s="3" t="s">
        <v>22</v>
      </c>
      <c r="C1462" s="3">
        <v>738226</v>
      </c>
      <c r="D1462" s="3">
        <v>80063</v>
      </c>
      <c r="E1462" s="3" t="s">
        <v>23</v>
      </c>
    </row>
    <row r="1463" spans="1:5">
      <c r="A1463" s="3" t="s">
        <v>1484</v>
      </c>
      <c r="B1463" s="3" t="s">
        <v>22</v>
      </c>
      <c r="C1463" s="3">
        <v>1764299</v>
      </c>
      <c r="D1463" s="3">
        <v>513561</v>
      </c>
      <c r="E1463" s="3" t="s">
        <v>23</v>
      </c>
    </row>
    <row r="1464" spans="1:5">
      <c r="A1464" s="3" t="s">
        <v>1485</v>
      </c>
      <c r="B1464" s="3" t="s">
        <v>22</v>
      </c>
      <c r="C1464" s="3">
        <v>862758</v>
      </c>
      <c r="D1464" s="3">
        <v>114640</v>
      </c>
      <c r="E1464" s="3" t="s">
        <v>23</v>
      </c>
    </row>
    <row r="1465" spans="1:5">
      <c r="A1465" s="3" t="s">
        <v>1486</v>
      </c>
      <c r="B1465" s="3" t="s">
        <v>22</v>
      </c>
      <c r="C1465" s="3">
        <v>1841583</v>
      </c>
      <c r="D1465" s="3">
        <v>679206</v>
      </c>
      <c r="E1465" s="3" t="s">
        <v>23</v>
      </c>
    </row>
    <row r="1466" spans="1:5">
      <c r="A1466" s="3" t="s">
        <v>1487</v>
      </c>
      <c r="B1466" s="3" t="s">
        <v>22</v>
      </c>
      <c r="C1466" s="3">
        <v>1084340</v>
      </c>
      <c r="D1466" s="3">
        <v>186195</v>
      </c>
      <c r="E1466" s="3" t="s">
        <v>23</v>
      </c>
    </row>
    <row r="1467" spans="1:5">
      <c r="A1467" s="3" t="s">
        <v>1488</v>
      </c>
      <c r="B1467" s="3" t="s">
        <v>22</v>
      </c>
      <c r="C1467" s="3">
        <v>1058982</v>
      </c>
      <c r="D1467" s="3">
        <v>238648</v>
      </c>
      <c r="E1467" s="3" t="s">
        <v>23</v>
      </c>
    </row>
    <row r="1468" spans="1:5">
      <c r="A1468" s="3" t="s">
        <v>1489</v>
      </c>
      <c r="B1468" s="3" t="s">
        <v>22</v>
      </c>
      <c r="C1468" s="3">
        <v>1132759</v>
      </c>
      <c r="D1468" s="3">
        <v>243042</v>
      </c>
      <c r="E1468" s="3" t="s">
        <v>23</v>
      </c>
    </row>
    <row r="1469" spans="1:5">
      <c r="A1469" s="3" t="s">
        <v>1490</v>
      </c>
      <c r="B1469" s="3" t="s">
        <v>22</v>
      </c>
      <c r="C1469" s="3">
        <v>1519491</v>
      </c>
      <c r="D1469" s="3">
        <v>409457</v>
      </c>
      <c r="E1469" s="3" t="s">
        <v>23</v>
      </c>
    </row>
    <row r="1470" spans="1:5">
      <c r="A1470" s="3" t="s">
        <v>1491</v>
      </c>
      <c r="B1470" s="3" t="s">
        <v>22</v>
      </c>
      <c r="C1470" s="3">
        <v>1781113</v>
      </c>
      <c r="D1470" s="3">
        <v>570286</v>
      </c>
      <c r="E1470" s="3" t="s">
        <v>23</v>
      </c>
    </row>
    <row r="1471" spans="1:5">
      <c r="A1471" s="3" t="s">
        <v>1492</v>
      </c>
      <c r="B1471" s="3" t="s">
        <v>22</v>
      </c>
      <c r="C1471" s="3">
        <v>2016615</v>
      </c>
      <c r="D1471" s="3">
        <v>731868</v>
      </c>
      <c r="E1471" s="3" t="s">
        <v>23</v>
      </c>
    </row>
    <row r="1472" spans="1:5">
      <c r="A1472" s="3" t="s">
        <v>1493</v>
      </c>
      <c r="B1472" s="3" t="s">
        <v>22</v>
      </c>
      <c r="C1472" s="3">
        <v>2011815</v>
      </c>
      <c r="D1472" s="3">
        <v>789854</v>
      </c>
      <c r="E1472" s="3" t="s">
        <v>23</v>
      </c>
    </row>
    <row r="1473" spans="1:5">
      <c r="A1473" s="3" t="s">
        <v>1494</v>
      </c>
      <c r="B1473" s="3" t="s">
        <v>22</v>
      </c>
      <c r="C1473" s="3">
        <v>1271606</v>
      </c>
      <c r="D1473" s="3">
        <v>329592</v>
      </c>
      <c r="E1473" s="3" t="s">
        <v>23</v>
      </c>
    </row>
    <row r="1474" spans="1:5">
      <c r="A1474" s="3" t="s">
        <v>1495</v>
      </c>
      <c r="B1474" s="3" t="s">
        <v>22</v>
      </c>
      <c r="C1474" s="3">
        <v>1682586</v>
      </c>
      <c r="D1474" s="3">
        <v>525467</v>
      </c>
      <c r="E1474" s="3" t="s">
        <v>23</v>
      </c>
    </row>
    <row r="1475" spans="1:5">
      <c r="A1475" s="3" t="s">
        <v>1496</v>
      </c>
      <c r="B1475" s="3" t="s">
        <v>22</v>
      </c>
      <c r="C1475" s="3">
        <v>1556407</v>
      </c>
      <c r="D1475" s="3">
        <v>418200</v>
      </c>
      <c r="E1475" s="3" t="s">
        <v>23</v>
      </c>
    </row>
    <row r="1476" spans="1:5">
      <c r="A1476" s="3" t="s">
        <v>1497</v>
      </c>
      <c r="B1476" s="3" t="s">
        <v>22</v>
      </c>
      <c r="C1476" s="3">
        <v>1392367</v>
      </c>
      <c r="D1476" s="3">
        <v>291990</v>
      </c>
      <c r="E1476" s="3" t="s">
        <v>23</v>
      </c>
    </row>
    <row r="1477" spans="1:5">
      <c r="A1477" s="3" t="s">
        <v>1498</v>
      </c>
      <c r="B1477" s="3" t="s">
        <v>22</v>
      </c>
      <c r="C1477" s="3">
        <v>1430760</v>
      </c>
      <c r="D1477" s="3">
        <v>432322</v>
      </c>
      <c r="E1477" s="3" t="s">
        <v>23</v>
      </c>
    </row>
    <row r="1478" spans="1:5">
      <c r="A1478" s="3" t="s">
        <v>1499</v>
      </c>
      <c r="B1478" s="3" t="s">
        <v>22</v>
      </c>
      <c r="C1478" s="3">
        <v>1966630</v>
      </c>
      <c r="D1478" s="3">
        <v>664862</v>
      </c>
      <c r="E1478" s="3" t="s">
        <v>23</v>
      </c>
    </row>
    <row r="1479" spans="1:5">
      <c r="A1479" s="3" t="s">
        <v>1500</v>
      </c>
      <c r="B1479" s="3" t="s">
        <v>22</v>
      </c>
      <c r="C1479" s="3">
        <v>888553</v>
      </c>
      <c r="D1479" s="3">
        <v>59100</v>
      </c>
      <c r="E1479" s="3" t="s">
        <v>23</v>
      </c>
    </row>
    <row r="1480" spans="1:5">
      <c r="A1480" s="3" t="s">
        <v>1501</v>
      </c>
      <c r="B1480" s="3" t="s">
        <v>22</v>
      </c>
      <c r="C1480" s="3">
        <v>1875619</v>
      </c>
      <c r="D1480" s="3">
        <v>704515</v>
      </c>
      <c r="E1480" s="3" t="s">
        <v>23</v>
      </c>
    </row>
    <row r="1481" spans="1:5">
      <c r="A1481" s="3" t="s">
        <v>1502</v>
      </c>
      <c r="B1481" s="3" t="s">
        <v>22</v>
      </c>
      <c r="C1481" s="3">
        <v>1618451</v>
      </c>
      <c r="D1481" s="3">
        <v>530838</v>
      </c>
      <c r="E1481" s="3" t="s">
        <v>23</v>
      </c>
    </row>
    <row r="1482" spans="1:5">
      <c r="A1482" s="3" t="s">
        <v>1503</v>
      </c>
      <c r="B1482" s="3" t="s">
        <v>22</v>
      </c>
      <c r="C1482" s="3">
        <v>660463</v>
      </c>
      <c r="D1482" s="3">
        <v>11496</v>
      </c>
      <c r="E1482" s="3" t="s">
        <v>23</v>
      </c>
    </row>
    <row r="1483" spans="1:5">
      <c r="A1483" s="3" t="s">
        <v>1504</v>
      </c>
      <c r="B1483" s="3" t="s">
        <v>22</v>
      </c>
      <c r="C1483" s="3">
        <v>1803169</v>
      </c>
      <c r="D1483" s="3">
        <v>599765</v>
      </c>
      <c r="E1483" s="3" t="s">
        <v>23</v>
      </c>
    </row>
    <row r="1484" spans="1:5">
      <c r="A1484" s="3" t="s">
        <v>1505</v>
      </c>
      <c r="B1484" s="3" t="s">
        <v>22</v>
      </c>
      <c r="C1484" s="3">
        <v>1082518</v>
      </c>
      <c r="D1484" s="3">
        <v>93465</v>
      </c>
      <c r="E1484" s="3" t="s">
        <v>23</v>
      </c>
    </row>
    <row r="1485" spans="1:5">
      <c r="A1485" s="3" t="s">
        <v>1506</v>
      </c>
      <c r="B1485" s="3" t="s">
        <v>22</v>
      </c>
      <c r="C1485" s="3">
        <v>794098</v>
      </c>
      <c r="D1485" s="3">
        <v>112829</v>
      </c>
      <c r="E1485" s="3" t="s">
        <v>23</v>
      </c>
    </row>
    <row r="1486" spans="1:5">
      <c r="A1486" s="3" t="s">
        <v>1507</v>
      </c>
      <c r="B1486" s="3" t="s">
        <v>22</v>
      </c>
      <c r="C1486" s="3">
        <v>678714</v>
      </c>
      <c r="D1486" s="3">
        <v>41553</v>
      </c>
      <c r="E1486" s="3" t="s">
        <v>23</v>
      </c>
    </row>
    <row r="1487" spans="1:5">
      <c r="A1487" s="3" t="s">
        <v>1508</v>
      </c>
      <c r="B1487" s="3" t="s">
        <v>22</v>
      </c>
      <c r="C1487" s="3">
        <v>1745576</v>
      </c>
      <c r="D1487" s="3">
        <v>586881</v>
      </c>
      <c r="E1487" s="3" t="s">
        <v>23</v>
      </c>
    </row>
    <row r="1488" spans="1:5">
      <c r="A1488" s="3" t="s">
        <v>1509</v>
      </c>
      <c r="B1488" s="3" t="s">
        <v>22</v>
      </c>
      <c r="C1488" s="3">
        <v>1419583</v>
      </c>
      <c r="D1488" s="3">
        <v>384458</v>
      </c>
      <c r="E1488" s="3" t="s">
        <v>23</v>
      </c>
    </row>
    <row r="1489" spans="1:5">
      <c r="A1489" s="3" t="s">
        <v>1510</v>
      </c>
      <c r="B1489" s="3" t="s">
        <v>22</v>
      </c>
      <c r="C1489" s="3">
        <v>675341</v>
      </c>
      <c r="D1489" s="3">
        <v>7439</v>
      </c>
      <c r="E1489" s="3" t="s">
        <v>23</v>
      </c>
    </row>
    <row r="1490" spans="1:5">
      <c r="A1490" s="3" t="s">
        <v>1511</v>
      </c>
      <c r="B1490" s="3" t="s">
        <v>22</v>
      </c>
      <c r="C1490" s="3">
        <v>1642984</v>
      </c>
      <c r="D1490" s="3">
        <v>609842</v>
      </c>
      <c r="E1490" s="3" t="s">
        <v>23</v>
      </c>
    </row>
    <row r="1491" spans="1:5">
      <c r="A1491" s="3" t="s">
        <v>1512</v>
      </c>
      <c r="B1491" s="3" t="s">
        <v>22</v>
      </c>
      <c r="C1491" s="3">
        <v>1265182</v>
      </c>
      <c r="D1491" s="3">
        <v>397726</v>
      </c>
      <c r="E1491" s="3" t="s">
        <v>23</v>
      </c>
    </row>
    <row r="1492" spans="1:5">
      <c r="A1492" s="3" t="s">
        <v>1513</v>
      </c>
      <c r="B1492" s="3" t="s">
        <v>22</v>
      </c>
      <c r="C1492" s="3">
        <v>1084352</v>
      </c>
      <c r="D1492" s="3">
        <v>188372</v>
      </c>
      <c r="E1492" s="3" t="s">
        <v>23</v>
      </c>
    </row>
    <row r="1493" spans="1:5">
      <c r="A1493" s="3" t="s">
        <v>1514</v>
      </c>
      <c r="B1493" s="3" t="s">
        <v>22</v>
      </c>
      <c r="C1493" s="3">
        <v>280299</v>
      </c>
      <c r="D1493" s="3">
        <v>82239</v>
      </c>
      <c r="E1493" s="3" t="s">
        <v>23</v>
      </c>
    </row>
    <row r="1494" spans="1:5">
      <c r="A1494" s="3" t="s">
        <v>1515</v>
      </c>
      <c r="B1494" s="3" t="s">
        <v>22</v>
      </c>
      <c r="C1494" s="3">
        <v>1735577</v>
      </c>
      <c r="D1494" s="3">
        <v>647893</v>
      </c>
      <c r="E1494" s="3" t="s">
        <v>23</v>
      </c>
    </row>
    <row r="1495" spans="1:5">
      <c r="A1495" s="3" t="s">
        <v>1516</v>
      </c>
      <c r="B1495" s="3" t="s">
        <v>22</v>
      </c>
      <c r="C1495" s="3">
        <v>1775711</v>
      </c>
      <c r="D1495" s="3">
        <v>703148</v>
      </c>
      <c r="E1495" s="3" t="s">
        <v>23</v>
      </c>
    </row>
    <row r="1496" spans="1:5">
      <c r="A1496" s="3" t="s">
        <v>1517</v>
      </c>
      <c r="B1496" s="3" t="s">
        <v>22</v>
      </c>
      <c r="C1496" s="3">
        <v>458672</v>
      </c>
      <c r="D1496" s="3">
        <v>15487</v>
      </c>
      <c r="E1496" s="3" t="s">
        <v>23</v>
      </c>
    </row>
    <row r="1497" spans="1:5">
      <c r="A1497" s="3" t="s">
        <v>1518</v>
      </c>
      <c r="B1497" s="3" t="s">
        <v>22</v>
      </c>
      <c r="C1497" s="3">
        <v>650458</v>
      </c>
      <c r="D1497" s="3">
        <v>64916</v>
      </c>
      <c r="E1497" s="3" t="s">
        <v>23</v>
      </c>
    </row>
    <row r="1498" spans="1:5">
      <c r="A1498" s="3" t="s">
        <v>1519</v>
      </c>
      <c r="B1498" s="3" t="s">
        <v>22</v>
      </c>
      <c r="C1498" s="3">
        <v>1983726</v>
      </c>
      <c r="D1498" s="3">
        <v>878615</v>
      </c>
      <c r="E1498" s="3" t="s">
        <v>23</v>
      </c>
    </row>
    <row r="1499" spans="1:5">
      <c r="A1499" s="3" t="s">
        <v>1520</v>
      </c>
      <c r="B1499" s="3" t="s">
        <v>22</v>
      </c>
      <c r="C1499" s="3">
        <v>1624687</v>
      </c>
      <c r="D1499" s="3">
        <v>661567</v>
      </c>
      <c r="E1499" s="3" t="s">
        <v>23</v>
      </c>
    </row>
    <row r="1500" spans="1:5">
      <c r="A1500" s="3" t="s">
        <v>1521</v>
      </c>
      <c r="B1500" s="3" t="s">
        <v>22</v>
      </c>
      <c r="C1500" s="3">
        <v>410123</v>
      </c>
      <c r="D1500" s="3">
        <v>139126</v>
      </c>
      <c r="E1500" s="3" t="s">
        <v>23</v>
      </c>
    </row>
    <row r="1501" spans="1:5">
      <c r="A1501" s="3" t="s">
        <v>1522</v>
      </c>
      <c r="B1501" s="3" t="s">
        <v>22</v>
      </c>
      <c r="C1501" s="3">
        <v>1611701</v>
      </c>
      <c r="D1501" s="3">
        <v>664524</v>
      </c>
      <c r="E1501" s="3" t="s">
        <v>23</v>
      </c>
    </row>
    <row r="1502" spans="1:5">
      <c r="A1502" s="3" t="s">
        <v>1523</v>
      </c>
      <c r="B1502" s="3" t="s">
        <v>22</v>
      </c>
      <c r="C1502" s="3">
        <v>1965652</v>
      </c>
      <c r="D1502" s="3">
        <v>867864</v>
      </c>
      <c r="E1502" s="3" t="s">
        <v>23</v>
      </c>
    </row>
    <row r="1503" spans="1:5">
      <c r="A1503" s="3" t="s">
        <v>1524</v>
      </c>
      <c r="B1503" s="3" t="s">
        <v>22</v>
      </c>
      <c r="C1503" s="3">
        <v>406810</v>
      </c>
      <c r="D1503" s="3">
        <v>491</v>
      </c>
      <c r="E1503" s="3" t="s">
        <v>23</v>
      </c>
    </row>
    <row r="1504" spans="1:5">
      <c r="A1504" s="3" t="s">
        <v>1525</v>
      </c>
      <c r="B1504" s="3" t="s">
        <v>22</v>
      </c>
      <c r="C1504" s="3">
        <v>940725</v>
      </c>
      <c r="D1504" s="3">
        <v>259886</v>
      </c>
      <c r="E1504" s="3" t="s">
        <v>23</v>
      </c>
    </row>
    <row r="1505" spans="1:5">
      <c r="A1505" s="3" t="s">
        <v>1526</v>
      </c>
      <c r="B1505" s="3" t="s">
        <v>22</v>
      </c>
      <c r="C1505" s="3">
        <v>1706552</v>
      </c>
      <c r="D1505" s="3">
        <v>595452</v>
      </c>
      <c r="E1505" s="3" t="s">
        <v>23</v>
      </c>
    </row>
    <row r="1506" spans="1:5">
      <c r="A1506" s="3" t="s">
        <v>1527</v>
      </c>
      <c r="B1506" s="3" t="s">
        <v>22</v>
      </c>
      <c r="C1506" s="3">
        <v>1657524</v>
      </c>
      <c r="D1506" s="3">
        <v>651721</v>
      </c>
      <c r="E1506" s="3" t="s">
        <v>23</v>
      </c>
    </row>
    <row r="1507" spans="1:5">
      <c r="A1507" s="3" t="s">
        <v>1528</v>
      </c>
      <c r="B1507" s="3" t="s">
        <v>22</v>
      </c>
      <c r="C1507" s="3">
        <v>1984032</v>
      </c>
      <c r="D1507" s="3">
        <v>891908</v>
      </c>
      <c r="E1507" s="3" t="s">
        <v>23</v>
      </c>
    </row>
    <row r="1508" spans="1:5">
      <c r="A1508" s="3" t="s">
        <v>1529</v>
      </c>
      <c r="B1508" s="3" t="s">
        <v>22</v>
      </c>
      <c r="C1508" s="3">
        <v>408366</v>
      </c>
      <c r="D1508" s="3">
        <v>1300</v>
      </c>
      <c r="E1508" s="3" t="s">
        <v>23</v>
      </c>
    </row>
    <row r="1509" spans="1:5">
      <c r="A1509" s="3" t="s">
        <v>1530</v>
      </c>
      <c r="B1509" s="3" t="s">
        <v>22</v>
      </c>
      <c r="C1509" s="3">
        <v>1798581</v>
      </c>
      <c r="D1509" s="3">
        <v>715929</v>
      </c>
      <c r="E1509" s="3" t="s">
        <v>23</v>
      </c>
    </row>
    <row r="1510" spans="1:5">
      <c r="A1510" s="3" t="s">
        <v>1531</v>
      </c>
      <c r="B1510" s="3" t="s">
        <v>22</v>
      </c>
      <c r="C1510" s="3">
        <v>1584335</v>
      </c>
      <c r="D1510" s="3">
        <v>572669</v>
      </c>
      <c r="E1510" s="3" t="s">
        <v>23</v>
      </c>
    </row>
    <row r="1511" spans="1:5">
      <c r="A1511" s="3" t="s">
        <v>1532</v>
      </c>
      <c r="B1511" s="3" t="s">
        <v>22</v>
      </c>
      <c r="C1511" s="3">
        <v>1774571</v>
      </c>
      <c r="D1511" s="3">
        <v>710322</v>
      </c>
      <c r="E1511" s="3" t="s">
        <v>23</v>
      </c>
    </row>
    <row r="1512" spans="1:5">
      <c r="A1512" s="3" t="s">
        <v>1533</v>
      </c>
      <c r="B1512" s="3" t="s">
        <v>22</v>
      </c>
      <c r="C1512" s="3">
        <v>813343</v>
      </c>
      <c r="D1512" s="3">
        <v>68372</v>
      </c>
      <c r="E1512" s="3" t="s">
        <v>23</v>
      </c>
    </row>
    <row r="1513" spans="1:5">
      <c r="A1513" s="3" t="s">
        <v>1534</v>
      </c>
      <c r="B1513" s="3" t="s">
        <v>22</v>
      </c>
      <c r="C1513" s="3">
        <v>1593293</v>
      </c>
      <c r="D1513" s="3">
        <v>592317</v>
      </c>
      <c r="E1513" s="3" t="s">
        <v>23</v>
      </c>
    </row>
    <row r="1514" spans="1:5">
      <c r="A1514" s="3" t="s">
        <v>1535</v>
      </c>
      <c r="B1514" s="3" t="s">
        <v>22</v>
      </c>
      <c r="C1514" s="3">
        <v>1301793</v>
      </c>
      <c r="D1514" s="3">
        <v>413800</v>
      </c>
      <c r="E1514" s="3" t="s">
        <v>23</v>
      </c>
    </row>
    <row r="1515" spans="1:5">
      <c r="A1515" s="3" t="s">
        <v>1536</v>
      </c>
      <c r="B1515" s="3" t="s">
        <v>22</v>
      </c>
      <c r="C1515" s="3">
        <v>1583129</v>
      </c>
      <c r="D1515" s="3">
        <v>610701</v>
      </c>
      <c r="E1515" s="3" t="s">
        <v>23</v>
      </c>
    </row>
    <row r="1516" spans="1:5">
      <c r="A1516" s="3" t="s">
        <v>1537</v>
      </c>
      <c r="B1516" s="3" t="s">
        <v>22</v>
      </c>
      <c r="C1516" s="3">
        <v>8230</v>
      </c>
      <c r="D1516" s="3">
        <v>1999</v>
      </c>
      <c r="E1516" s="3" t="s">
        <v>23</v>
      </c>
    </row>
    <row r="1517" spans="1:5">
      <c r="A1517" s="3" t="s">
        <v>1538</v>
      </c>
      <c r="B1517" s="3" t="s">
        <v>22</v>
      </c>
      <c r="C1517" s="3">
        <v>1770029</v>
      </c>
      <c r="D1517" s="3">
        <v>715831</v>
      </c>
      <c r="E1517" s="3" t="s">
        <v>23</v>
      </c>
    </row>
    <row r="1518" spans="1:5">
      <c r="A1518" s="3" t="s">
        <v>1539</v>
      </c>
      <c r="B1518" s="3" t="s">
        <v>22</v>
      </c>
      <c r="C1518" s="3">
        <v>1799196</v>
      </c>
      <c r="D1518" s="3">
        <v>681149</v>
      </c>
      <c r="E1518" s="3" t="s">
        <v>23</v>
      </c>
    </row>
    <row r="1519" spans="1:5">
      <c r="A1519" s="3" t="s">
        <v>1540</v>
      </c>
      <c r="B1519" s="3" t="s">
        <v>22</v>
      </c>
      <c r="C1519" s="3">
        <v>624813</v>
      </c>
      <c r="D1519" s="3">
        <v>10580</v>
      </c>
      <c r="E1519" s="3" t="s">
        <v>23</v>
      </c>
    </row>
    <row r="1520" spans="1:5">
      <c r="A1520" s="3" t="s">
        <v>1541</v>
      </c>
      <c r="B1520" s="3" t="s">
        <v>22</v>
      </c>
      <c r="C1520" s="3">
        <v>966903</v>
      </c>
      <c r="D1520" s="3">
        <v>150238</v>
      </c>
      <c r="E1520" s="3" t="s">
        <v>23</v>
      </c>
    </row>
    <row r="1521" spans="1:5">
      <c r="A1521" s="3" t="s">
        <v>1542</v>
      </c>
      <c r="B1521" s="3" t="s">
        <v>22</v>
      </c>
      <c r="C1521" s="3">
        <v>1869281</v>
      </c>
      <c r="D1521" s="3">
        <v>668331</v>
      </c>
      <c r="E1521" s="3" t="s">
        <v>23</v>
      </c>
    </row>
    <row r="1522" spans="1:5">
      <c r="A1522" s="3" t="s">
        <v>1543</v>
      </c>
      <c r="B1522" s="3" t="s">
        <v>22</v>
      </c>
      <c r="C1522" s="3">
        <v>1938884</v>
      </c>
      <c r="D1522" s="3">
        <v>669219</v>
      </c>
      <c r="E1522" s="3" t="s">
        <v>23</v>
      </c>
    </row>
    <row r="1523" spans="1:5">
      <c r="A1523" s="3" t="s">
        <v>1544</v>
      </c>
      <c r="B1523" s="3" t="s">
        <v>22</v>
      </c>
      <c r="C1523" s="3">
        <v>1703605</v>
      </c>
      <c r="D1523" s="3">
        <v>606655</v>
      </c>
      <c r="E1523" s="3" t="s">
        <v>23</v>
      </c>
    </row>
    <row r="1524" spans="1:5">
      <c r="A1524" s="3" t="s">
        <v>1545</v>
      </c>
      <c r="B1524" s="3" t="s">
        <v>22</v>
      </c>
      <c r="C1524" s="3">
        <v>1083379</v>
      </c>
      <c r="D1524" s="3">
        <v>223410</v>
      </c>
      <c r="E1524" s="3" t="s">
        <v>23</v>
      </c>
    </row>
    <row r="1525" spans="1:5">
      <c r="A1525" s="3" t="s">
        <v>1546</v>
      </c>
      <c r="B1525" s="3" t="s">
        <v>22</v>
      </c>
      <c r="C1525" s="3">
        <v>2052384</v>
      </c>
      <c r="D1525" s="3">
        <v>746904</v>
      </c>
      <c r="E1525" s="3" t="s">
        <v>23</v>
      </c>
    </row>
    <row r="1526" spans="1:5">
      <c r="A1526" s="3" t="s">
        <v>1547</v>
      </c>
      <c r="B1526" s="3" t="s">
        <v>22</v>
      </c>
      <c r="C1526" s="3">
        <v>1139515</v>
      </c>
      <c r="D1526" s="3">
        <v>216141</v>
      </c>
      <c r="E1526" s="3" t="s">
        <v>23</v>
      </c>
    </row>
    <row r="1527" spans="1:5">
      <c r="A1527" s="3" t="s">
        <v>1548</v>
      </c>
      <c r="B1527" s="3" t="s">
        <v>22</v>
      </c>
      <c r="C1527" s="3">
        <v>88900</v>
      </c>
      <c r="D1527" s="3">
        <v>3265</v>
      </c>
      <c r="E1527" s="3" t="s">
        <v>23</v>
      </c>
    </row>
    <row r="1528" spans="1:5">
      <c r="A1528" s="3" t="s">
        <v>1549</v>
      </c>
      <c r="B1528" s="3" t="s">
        <v>22</v>
      </c>
      <c r="C1528" s="3">
        <v>1880073</v>
      </c>
      <c r="D1528" s="3">
        <v>663980</v>
      </c>
      <c r="E1528" s="3" t="s">
        <v>23</v>
      </c>
    </row>
    <row r="1529" spans="1:5">
      <c r="A1529" s="3" t="s">
        <v>1550</v>
      </c>
      <c r="B1529" s="3" t="s">
        <v>22</v>
      </c>
      <c r="C1529" s="3">
        <v>1423263</v>
      </c>
      <c r="D1529" s="3">
        <v>293878</v>
      </c>
      <c r="E1529" s="3" t="s">
        <v>23</v>
      </c>
    </row>
    <row r="1530" spans="1:5">
      <c r="A1530" s="3" t="s">
        <v>1551</v>
      </c>
      <c r="B1530" s="3" t="s">
        <v>22</v>
      </c>
      <c r="C1530" s="3">
        <v>1823103</v>
      </c>
      <c r="D1530" s="3">
        <v>525378</v>
      </c>
      <c r="E1530" s="3" t="s">
        <v>23</v>
      </c>
    </row>
    <row r="1531" spans="1:5">
      <c r="A1531" s="3" t="s">
        <v>1552</v>
      </c>
      <c r="B1531" s="3" t="s">
        <v>22</v>
      </c>
      <c r="C1531" s="3">
        <v>1776709</v>
      </c>
      <c r="D1531" s="3">
        <v>463269</v>
      </c>
      <c r="E1531" s="3" t="s">
        <v>23</v>
      </c>
    </row>
    <row r="1532" spans="1:5">
      <c r="A1532" s="3" t="s">
        <v>1553</v>
      </c>
      <c r="B1532" s="3" t="s">
        <v>22</v>
      </c>
      <c r="C1532" s="3">
        <v>1091228</v>
      </c>
      <c r="D1532" s="3">
        <v>225718</v>
      </c>
      <c r="E1532" s="3" t="s">
        <v>23</v>
      </c>
    </row>
    <row r="1533" spans="1:5">
      <c r="A1533" s="3" t="s">
        <v>1554</v>
      </c>
      <c r="B1533" s="3" t="s">
        <v>22</v>
      </c>
      <c r="C1533" s="3">
        <v>1839546</v>
      </c>
      <c r="D1533" s="3">
        <v>638902</v>
      </c>
      <c r="E1533" s="3" t="s">
        <v>23</v>
      </c>
    </row>
    <row r="1534" spans="1:5">
      <c r="A1534" s="3" t="s">
        <v>1555</v>
      </c>
      <c r="B1534" s="3" t="s">
        <v>22</v>
      </c>
      <c r="C1534" s="3">
        <v>1819968</v>
      </c>
      <c r="D1534" s="3">
        <v>671319</v>
      </c>
      <c r="E1534" s="3" t="s">
        <v>23</v>
      </c>
    </row>
    <row r="1535" spans="1:5">
      <c r="A1535" s="3" t="s">
        <v>1556</v>
      </c>
      <c r="B1535" s="3" t="s">
        <v>22</v>
      </c>
      <c r="C1535" s="3">
        <v>2068082</v>
      </c>
      <c r="D1535" s="3">
        <v>788937</v>
      </c>
      <c r="E1535" s="3" t="s">
        <v>23</v>
      </c>
    </row>
    <row r="1536" spans="1:5">
      <c r="A1536" s="3" t="s">
        <v>1557</v>
      </c>
      <c r="B1536" s="3" t="s">
        <v>22</v>
      </c>
      <c r="C1536" s="3">
        <v>1443148</v>
      </c>
      <c r="D1536" s="3">
        <v>376893</v>
      </c>
      <c r="E1536" s="3" t="s">
        <v>23</v>
      </c>
    </row>
    <row r="1537" spans="1:5">
      <c r="A1537" s="3" t="s">
        <v>1558</v>
      </c>
      <c r="B1537" s="3" t="s">
        <v>22</v>
      </c>
      <c r="C1537" s="3">
        <v>1241291</v>
      </c>
      <c r="D1537" s="3">
        <v>307209</v>
      </c>
      <c r="E1537" s="3" t="s">
        <v>23</v>
      </c>
    </row>
    <row r="1538" spans="1:5">
      <c r="A1538" s="3" t="s">
        <v>1559</v>
      </c>
      <c r="B1538" s="3" t="s">
        <v>22</v>
      </c>
      <c r="C1538" s="3">
        <v>1275980</v>
      </c>
      <c r="D1538" s="3">
        <v>314530</v>
      </c>
      <c r="E1538" s="3" t="s">
        <v>23</v>
      </c>
    </row>
    <row r="1539" spans="1:5">
      <c r="A1539" s="3" t="s">
        <v>1560</v>
      </c>
      <c r="B1539" s="3" t="s">
        <v>22</v>
      </c>
      <c r="C1539" s="3">
        <v>1909547</v>
      </c>
      <c r="D1539" s="3">
        <v>601288</v>
      </c>
      <c r="E1539" s="3" t="s">
        <v>23</v>
      </c>
    </row>
    <row r="1540" spans="1:5">
      <c r="A1540" s="3" t="s">
        <v>1561</v>
      </c>
      <c r="B1540" s="3" t="s">
        <v>22</v>
      </c>
      <c r="C1540" s="3">
        <v>1726586</v>
      </c>
      <c r="D1540" s="3">
        <v>586096</v>
      </c>
      <c r="E1540" s="3" t="s">
        <v>23</v>
      </c>
    </row>
    <row r="1541" spans="1:5">
      <c r="A1541" s="3" t="s">
        <v>1562</v>
      </c>
      <c r="B1541" s="3" t="s">
        <v>22</v>
      </c>
      <c r="C1541" s="3">
        <v>1325888</v>
      </c>
      <c r="D1541" s="3">
        <v>412461</v>
      </c>
      <c r="E1541" s="3" t="s">
        <v>23</v>
      </c>
    </row>
    <row r="1542" spans="1:5">
      <c r="A1542" s="3" t="s">
        <v>1563</v>
      </c>
      <c r="B1542" s="3" t="s">
        <v>22</v>
      </c>
      <c r="C1542" s="3">
        <v>2021644</v>
      </c>
      <c r="D1542" s="3">
        <v>760439</v>
      </c>
      <c r="E1542" s="3" t="s">
        <v>23</v>
      </c>
    </row>
    <row r="1543" spans="1:5">
      <c r="A1543" s="3" t="s">
        <v>1564</v>
      </c>
      <c r="B1543" s="3" t="s">
        <v>22</v>
      </c>
      <c r="C1543" s="3">
        <v>1653405</v>
      </c>
      <c r="D1543" s="3">
        <v>535530</v>
      </c>
      <c r="E1543" s="3" t="s">
        <v>23</v>
      </c>
    </row>
    <row r="1544" spans="1:5">
      <c r="A1544" s="3" t="s">
        <v>1565</v>
      </c>
      <c r="B1544" s="3" t="s">
        <v>22</v>
      </c>
      <c r="C1544" s="3">
        <v>1961131</v>
      </c>
      <c r="D1544" s="3">
        <v>771361</v>
      </c>
      <c r="E1544" s="3" t="s">
        <v>23</v>
      </c>
    </row>
    <row r="1545" spans="1:5">
      <c r="A1545" s="3" t="s">
        <v>1566</v>
      </c>
      <c r="B1545" s="3" t="s">
        <v>22</v>
      </c>
      <c r="C1545" s="3">
        <v>2366716</v>
      </c>
      <c r="D1545" s="3">
        <v>913179</v>
      </c>
      <c r="E1545" s="3" t="s">
        <v>23</v>
      </c>
    </row>
    <row r="1546" spans="1:5">
      <c r="A1546" s="3" t="s">
        <v>1567</v>
      </c>
      <c r="B1546" s="3" t="s">
        <v>22</v>
      </c>
      <c r="C1546" s="3">
        <v>1879204</v>
      </c>
      <c r="D1546" s="3">
        <v>629641</v>
      </c>
      <c r="E1546" s="3" t="s">
        <v>23</v>
      </c>
    </row>
    <row r="1547" spans="1:5">
      <c r="A1547" s="3" t="s">
        <v>1568</v>
      </c>
      <c r="B1547" s="3" t="s">
        <v>22</v>
      </c>
      <c r="C1547" s="3">
        <v>710153</v>
      </c>
      <c r="D1547" s="3">
        <v>3904</v>
      </c>
      <c r="E1547" s="3" t="s">
        <v>23</v>
      </c>
    </row>
    <row r="1548" spans="1:5">
      <c r="A1548" s="3" t="s">
        <v>1569</v>
      </c>
      <c r="B1548" s="3" t="s">
        <v>22</v>
      </c>
      <c r="C1548" s="3">
        <v>969249</v>
      </c>
      <c r="D1548" s="3">
        <v>16674</v>
      </c>
      <c r="E1548" s="3" t="s">
        <v>23</v>
      </c>
    </row>
    <row r="1549" spans="1:5">
      <c r="A1549" s="3" t="s">
        <v>1570</v>
      </c>
      <c r="B1549" s="3" t="s">
        <v>22</v>
      </c>
      <c r="C1549" s="3">
        <v>2364851</v>
      </c>
      <c r="D1549" s="3">
        <v>943326</v>
      </c>
      <c r="E1549" s="3" t="s">
        <v>23</v>
      </c>
    </row>
    <row r="1550" spans="1:5">
      <c r="A1550" s="3" t="s">
        <v>1571</v>
      </c>
      <c r="B1550" s="3" t="s">
        <v>22</v>
      </c>
      <c r="C1550" s="3">
        <v>1048077</v>
      </c>
      <c r="D1550" s="3">
        <v>136713</v>
      </c>
      <c r="E1550" s="3" t="s">
        <v>23</v>
      </c>
    </row>
    <row r="1551" spans="1:5">
      <c r="A1551" s="3" t="s">
        <v>1572</v>
      </c>
      <c r="B1551" s="3" t="s">
        <v>22</v>
      </c>
      <c r="C1551" s="3">
        <v>1756502</v>
      </c>
      <c r="D1551" s="3">
        <v>641800</v>
      </c>
      <c r="E1551" s="3" t="s">
        <v>23</v>
      </c>
    </row>
    <row r="1552" spans="1:5">
      <c r="A1552" s="3" t="s">
        <v>1573</v>
      </c>
      <c r="B1552" s="3" t="s">
        <v>22</v>
      </c>
      <c r="C1552" s="3">
        <v>2122695</v>
      </c>
      <c r="D1552" s="3">
        <v>836933</v>
      </c>
      <c r="E1552" s="3" t="s">
        <v>23</v>
      </c>
    </row>
    <row r="1553" spans="1:5">
      <c r="A1553" s="3" t="s">
        <v>1574</v>
      </c>
      <c r="B1553" s="3" t="s">
        <v>22</v>
      </c>
      <c r="C1553" s="3">
        <v>1845856</v>
      </c>
      <c r="D1553" s="3">
        <v>660096</v>
      </c>
      <c r="E1553" s="3" t="s">
        <v>23</v>
      </c>
    </row>
    <row r="1554" spans="1:5">
      <c r="A1554" s="3" t="s">
        <v>1575</v>
      </c>
      <c r="B1554" s="3" t="s">
        <v>22</v>
      </c>
      <c r="C1554" s="3">
        <v>818878</v>
      </c>
      <c r="D1554" s="3">
        <v>7212</v>
      </c>
      <c r="E1554" s="3" t="s">
        <v>23</v>
      </c>
    </row>
    <row r="1555" spans="1:5">
      <c r="A1555" s="3" t="s">
        <v>1576</v>
      </c>
      <c r="B1555" s="3" t="s">
        <v>22</v>
      </c>
      <c r="C1555" s="3">
        <v>745193</v>
      </c>
      <c r="D1555" s="3">
        <v>85987</v>
      </c>
      <c r="E1555" s="3" t="s">
        <v>23</v>
      </c>
    </row>
    <row r="1556" spans="1:5">
      <c r="A1556" s="3" t="s">
        <v>1577</v>
      </c>
      <c r="B1556" s="3" t="s">
        <v>22</v>
      </c>
      <c r="C1556" s="3">
        <v>1707876</v>
      </c>
      <c r="D1556" s="3">
        <v>356952</v>
      </c>
      <c r="E1556" s="3" t="s">
        <v>23</v>
      </c>
    </row>
    <row r="1557" spans="1:5">
      <c r="A1557" s="3" t="s">
        <v>1578</v>
      </c>
      <c r="B1557" s="3" t="s">
        <v>22</v>
      </c>
      <c r="C1557" s="3">
        <v>2057444</v>
      </c>
      <c r="D1557" s="3">
        <v>691930</v>
      </c>
      <c r="E1557" s="3" t="s">
        <v>23</v>
      </c>
    </row>
    <row r="1558" spans="1:5">
      <c r="A1558" s="3" t="s">
        <v>1579</v>
      </c>
      <c r="B1558" s="3" t="s">
        <v>22</v>
      </c>
      <c r="C1558" s="3">
        <v>1895345</v>
      </c>
      <c r="D1558" s="3">
        <v>658363</v>
      </c>
      <c r="E1558" s="3" t="s">
        <v>23</v>
      </c>
    </row>
    <row r="1559" spans="1:5">
      <c r="A1559" s="3" t="s">
        <v>1580</v>
      </c>
      <c r="B1559" s="3" t="s">
        <v>22</v>
      </c>
      <c r="C1559" s="3">
        <v>2005966</v>
      </c>
      <c r="D1559" s="3">
        <v>745013</v>
      </c>
      <c r="E1559" s="3" t="s">
        <v>23</v>
      </c>
    </row>
    <row r="1560" spans="1:5">
      <c r="A1560" s="3" t="s">
        <v>1581</v>
      </c>
      <c r="B1560" s="3" t="s">
        <v>22</v>
      </c>
      <c r="C1560" s="3">
        <v>1274939</v>
      </c>
      <c r="D1560" s="3">
        <v>251707</v>
      </c>
      <c r="E1560" s="3" t="s">
        <v>23</v>
      </c>
    </row>
    <row r="1561" spans="1:5">
      <c r="A1561" s="3" t="s">
        <v>1582</v>
      </c>
      <c r="B1561" s="3" t="s">
        <v>22</v>
      </c>
      <c r="C1561" s="3">
        <v>1768700</v>
      </c>
      <c r="D1561" s="3">
        <v>636868</v>
      </c>
      <c r="E1561" s="3" t="s">
        <v>23</v>
      </c>
    </row>
    <row r="1562" spans="1:5">
      <c r="A1562" s="3" t="s">
        <v>1583</v>
      </c>
      <c r="B1562" s="3" t="s">
        <v>22</v>
      </c>
      <c r="C1562" s="3">
        <v>2134676</v>
      </c>
      <c r="D1562" s="3">
        <v>816165</v>
      </c>
      <c r="E1562" s="3" t="s">
        <v>23</v>
      </c>
    </row>
    <row r="1563" spans="1:5">
      <c r="A1563" s="3" t="s">
        <v>1584</v>
      </c>
      <c r="B1563" s="3" t="s">
        <v>22</v>
      </c>
      <c r="C1563" s="3">
        <v>2244967</v>
      </c>
      <c r="D1563" s="3">
        <v>895580</v>
      </c>
      <c r="E1563" s="3" t="s">
        <v>23</v>
      </c>
    </row>
    <row r="1564" spans="1:5">
      <c r="A1564" s="3" t="s">
        <v>1585</v>
      </c>
      <c r="B1564" s="3" t="s">
        <v>22</v>
      </c>
      <c r="C1564" s="3">
        <v>2275742</v>
      </c>
      <c r="D1564" s="3">
        <v>795285</v>
      </c>
      <c r="E1564" s="3" t="s">
        <v>23</v>
      </c>
    </row>
    <row r="1565" spans="1:5">
      <c r="A1565" s="3" t="s">
        <v>1586</v>
      </c>
      <c r="B1565" s="3" t="s">
        <v>22</v>
      </c>
      <c r="C1565" s="3">
        <v>1853913</v>
      </c>
      <c r="D1565" s="3">
        <v>617624</v>
      </c>
      <c r="E1565" s="3" t="s">
        <v>23</v>
      </c>
    </row>
    <row r="1566" spans="1:5">
      <c r="A1566" s="3" t="s">
        <v>1587</v>
      </c>
      <c r="B1566" s="3" t="s">
        <v>22</v>
      </c>
      <c r="C1566" s="3">
        <v>1562591</v>
      </c>
      <c r="D1566" s="3">
        <v>474009</v>
      </c>
      <c r="E1566" s="3" t="s">
        <v>23</v>
      </c>
    </row>
    <row r="1567" spans="1:5">
      <c r="A1567" s="3" t="s">
        <v>1588</v>
      </c>
      <c r="B1567" s="3" t="s">
        <v>22</v>
      </c>
      <c r="C1567" s="3">
        <v>1682783</v>
      </c>
      <c r="D1567" s="3">
        <v>564280</v>
      </c>
      <c r="E1567" s="3" t="s">
        <v>23</v>
      </c>
    </row>
    <row r="1568" spans="1:5">
      <c r="A1568" s="3" t="s">
        <v>1589</v>
      </c>
      <c r="B1568" s="3" t="s">
        <v>22</v>
      </c>
      <c r="C1568" s="3">
        <v>1648342</v>
      </c>
      <c r="D1568" s="3">
        <v>389961</v>
      </c>
      <c r="E1568" s="3" t="s">
        <v>23</v>
      </c>
    </row>
    <row r="1569" spans="1:5">
      <c r="A1569" s="3" t="s">
        <v>1590</v>
      </c>
      <c r="B1569" s="3" t="s">
        <v>22</v>
      </c>
      <c r="C1569" s="3">
        <v>2304429</v>
      </c>
      <c r="D1569" s="3">
        <v>943182</v>
      </c>
      <c r="E1569" s="3" t="s">
        <v>23</v>
      </c>
    </row>
    <row r="1570" spans="1:5">
      <c r="A1570" s="3" t="s">
        <v>1591</v>
      </c>
      <c r="B1570" s="3" t="s">
        <v>22</v>
      </c>
      <c r="C1570" s="3">
        <v>2224820</v>
      </c>
      <c r="D1570" s="3">
        <v>870000</v>
      </c>
      <c r="E1570" s="3" t="s">
        <v>23</v>
      </c>
    </row>
    <row r="1571" spans="1:5">
      <c r="A1571" s="3" t="s">
        <v>1592</v>
      </c>
      <c r="B1571" s="3" t="s">
        <v>22</v>
      </c>
      <c r="C1571" s="3">
        <v>1958329</v>
      </c>
      <c r="D1571" s="3">
        <v>686867</v>
      </c>
      <c r="E1571" s="3" t="s">
        <v>23</v>
      </c>
    </row>
    <row r="1572" spans="1:5">
      <c r="A1572" s="3" t="s">
        <v>1593</v>
      </c>
      <c r="B1572" s="3" t="s">
        <v>22</v>
      </c>
      <c r="C1572" s="3">
        <v>539376</v>
      </c>
      <c r="D1572" s="3">
        <v>6109</v>
      </c>
      <c r="E1572" s="3" t="s">
        <v>23</v>
      </c>
    </row>
    <row r="1573" spans="1:5">
      <c r="A1573" s="3" t="s">
        <v>1594</v>
      </c>
      <c r="B1573" s="3" t="s">
        <v>22</v>
      </c>
      <c r="C1573" s="3">
        <v>1036132</v>
      </c>
      <c r="D1573" s="3">
        <v>20016</v>
      </c>
      <c r="E1573" s="3" t="s">
        <v>23</v>
      </c>
    </row>
    <row r="1574" spans="1:5">
      <c r="A1574" s="3" t="s">
        <v>1595</v>
      </c>
      <c r="B1574" s="3" t="s">
        <v>22</v>
      </c>
      <c r="C1574" s="3">
        <v>1849697</v>
      </c>
      <c r="D1574" s="3">
        <v>666687</v>
      </c>
      <c r="E1574" s="3" t="s">
        <v>23</v>
      </c>
    </row>
    <row r="1575" spans="1:5">
      <c r="A1575" s="3" t="s">
        <v>1596</v>
      </c>
      <c r="B1575" s="3" t="s">
        <v>22</v>
      </c>
      <c r="C1575" s="3">
        <v>1422975</v>
      </c>
      <c r="D1575" s="3">
        <v>421387</v>
      </c>
      <c r="E1575" s="3" t="s">
        <v>23</v>
      </c>
    </row>
    <row r="1576" spans="1:5">
      <c r="A1576" s="3" t="s">
        <v>1597</v>
      </c>
      <c r="B1576" s="3" t="s">
        <v>22</v>
      </c>
      <c r="C1576" s="3">
        <v>2094413</v>
      </c>
      <c r="D1576" s="3">
        <v>739803</v>
      </c>
      <c r="E1576" s="3" t="s">
        <v>23</v>
      </c>
    </row>
    <row r="1577" spans="1:5">
      <c r="A1577" s="3" t="s">
        <v>1598</v>
      </c>
      <c r="B1577" s="3" t="s">
        <v>22</v>
      </c>
      <c r="C1577" s="3">
        <v>1970579</v>
      </c>
      <c r="D1577" s="3">
        <v>624006</v>
      </c>
      <c r="E1577" s="3" t="s">
        <v>23</v>
      </c>
    </row>
    <row r="1578" spans="1:5">
      <c r="A1578" s="3" t="s">
        <v>1599</v>
      </c>
      <c r="B1578" s="3" t="s">
        <v>22</v>
      </c>
      <c r="C1578" s="3">
        <v>908198</v>
      </c>
      <c r="D1578" s="3">
        <v>212556</v>
      </c>
      <c r="E1578" s="3" t="s">
        <v>23</v>
      </c>
    </row>
    <row r="1579" spans="1:5">
      <c r="A1579" s="3" t="s">
        <v>1600</v>
      </c>
      <c r="B1579" s="3" t="s">
        <v>22</v>
      </c>
      <c r="C1579" s="3">
        <v>593065</v>
      </c>
      <c r="D1579" s="3">
        <v>12252</v>
      </c>
      <c r="E1579" s="3" t="s">
        <v>23</v>
      </c>
    </row>
    <row r="1580" spans="1:5">
      <c r="A1580" s="3" t="s">
        <v>1601</v>
      </c>
      <c r="B1580" s="3" t="s">
        <v>22</v>
      </c>
      <c r="C1580" s="3">
        <v>1915396</v>
      </c>
      <c r="D1580" s="3">
        <v>692363</v>
      </c>
      <c r="E1580" s="3" t="s">
        <v>23</v>
      </c>
    </row>
    <row r="1581" spans="1:5">
      <c r="A1581" s="3" t="s">
        <v>1602</v>
      </c>
      <c r="B1581" s="3" t="s">
        <v>22</v>
      </c>
      <c r="C1581" s="3">
        <v>1055293</v>
      </c>
      <c r="D1581" s="3">
        <v>56552</v>
      </c>
      <c r="E1581" s="3" t="s">
        <v>23</v>
      </c>
    </row>
    <row r="1582" spans="1:5">
      <c r="A1582" s="3" t="s">
        <v>1603</v>
      </c>
      <c r="B1582" s="3" t="s">
        <v>22</v>
      </c>
      <c r="C1582" s="3">
        <v>569611</v>
      </c>
      <c r="D1582" s="3">
        <v>62984</v>
      </c>
      <c r="E1582" s="3" t="s">
        <v>23</v>
      </c>
    </row>
    <row r="1583" spans="1:5">
      <c r="A1583" s="3" t="s">
        <v>1604</v>
      </c>
      <c r="B1583" s="3" t="s">
        <v>22</v>
      </c>
      <c r="C1583" s="3">
        <v>1169378</v>
      </c>
      <c r="D1583" s="3">
        <v>371802</v>
      </c>
      <c r="E1583" s="3" t="s">
        <v>23</v>
      </c>
    </row>
    <row r="1584" spans="1:5">
      <c r="A1584" s="3" t="s">
        <v>1605</v>
      </c>
      <c r="B1584" s="3" t="s">
        <v>22</v>
      </c>
      <c r="C1584" s="3">
        <v>1186916</v>
      </c>
      <c r="D1584" s="3">
        <v>389444</v>
      </c>
      <c r="E1584" s="3" t="s">
        <v>23</v>
      </c>
    </row>
    <row r="1585" spans="1:5">
      <c r="A1585" s="3" t="s">
        <v>1606</v>
      </c>
      <c r="B1585" s="3" t="s">
        <v>22</v>
      </c>
      <c r="C1585" s="3">
        <v>737029</v>
      </c>
      <c r="D1585" s="3">
        <v>104501</v>
      </c>
      <c r="E1585" s="3" t="s">
        <v>23</v>
      </c>
    </row>
    <row r="1586" spans="1:5">
      <c r="A1586" s="3" t="s">
        <v>1607</v>
      </c>
      <c r="B1586" s="3" t="s">
        <v>22</v>
      </c>
      <c r="C1586" s="3">
        <v>402866</v>
      </c>
      <c r="D1586" s="3">
        <v>39418</v>
      </c>
      <c r="E1586" s="3" t="s">
        <v>23</v>
      </c>
    </row>
    <row r="1587" spans="1:5">
      <c r="A1587" s="3" t="s">
        <v>1608</v>
      </c>
      <c r="B1587" s="3" t="s">
        <v>22</v>
      </c>
      <c r="C1587" s="3">
        <v>1036658</v>
      </c>
      <c r="D1587" s="3">
        <v>276853</v>
      </c>
      <c r="E1587" s="3" t="s">
        <v>23</v>
      </c>
    </row>
    <row r="1588" spans="1:5">
      <c r="A1588" s="3" t="s">
        <v>1609</v>
      </c>
      <c r="B1588" s="3" t="s">
        <v>22</v>
      </c>
      <c r="C1588" s="3">
        <v>1214075</v>
      </c>
      <c r="D1588" s="3">
        <v>392347</v>
      </c>
      <c r="E1588" s="3" t="s">
        <v>23</v>
      </c>
    </row>
    <row r="1589" spans="1:5">
      <c r="A1589" s="3" t="s">
        <v>1610</v>
      </c>
      <c r="B1589" s="3" t="s">
        <v>22</v>
      </c>
      <c r="C1589" s="3">
        <v>331896</v>
      </c>
      <c r="D1589" s="3">
        <v>7793</v>
      </c>
      <c r="E1589" s="3" t="s">
        <v>23</v>
      </c>
    </row>
    <row r="1590" spans="1:5">
      <c r="A1590" s="3" t="s">
        <v>1611</v>
      </c>
      <c r="B1590" s="3" t="s">
        <v>22</v>
      </c>
      <c r="C1590" s="3">
        <v>318434</v>
      </c>
      <c r="D1590" s="3">
        <v>2176</v>
      </c>
      <c r="E1590" s="3" t="s">
        <v>23</v>
      </c>
    </row>
    <row r="1591" spans="1:5">
      <c r="A1591" s="3" t="s">
        <v>1612</v>
      </c>
      <c r="B1591" s="3" t="s">
        <v>22</v>
      </c>
      <c r="C1591" s="3">
        <v>1263000</v>
      </c>
      <c r="D1591" s="3">
        <v>404091</v>
      </c>
      <c r="E1591" s="3" t="s">
        <v>23</v>
      </c>
    </row>
    <row r="1592" spans="1:5">
      <c r="A1592" s="3" t="s">
        <v>1613</v>
      </c>
      <c r="B1592" s="3" t="s">
        <v>22</v>
      </c>
      <c r="C1592" s="3">
        <v>828439</v>
      </c>
      <c r="D1592" s="3">
        <v>177192</v>
      </c>
      <c r="E1592" s="3" t="s">
        <v>23</v>
      </c>
    </row>
    <row r="1593" spans="1:5">
      <c r="A1593" s="3" t="s">
        <v>1614</v>
      </c>
      <c r="B1593" s="3" t="s">
        <v>22</v>
      </c>
      <c r="C1593" s="3">
        <v>1551095</v>
      </c>
      <c r="D1593" s="3">
        <v>367160</v>
      </c>
      <c r="E1593" s="3" t="s">
        <v>23</v>
      </c>
    </row>
    <row r="1594" spans="1:5">
      <c r="A1594" s="3" t="s">
        <v>1615</v>
      </c>
      <c r="B1594" s="3" t="s">
        <v>22</v>
      </c>
      <c r="C1594" s="3">
        <v>844126</v>
      </c>
      <c r="D1594" s="3">
        <v>194466</v>
      </c>
      <c r="E1594" s="3" t="s">
        <v>23</v>
      </c>
    </row>
    <row r="1595" spans="1:5">
      <c r="A1595" s="3" t="s">
        <v>1616</v>
      </c>
      <c r="B1595" s="3" t="s">
        <v>22</v>
      </c>
      <c r="C1595" s="3">
        <v>1166884</v>
      </c>
      <c r="D1595" s="3">
        <v>355106</v>
      </c>
      <c r="E1595" s="3" t="s">
        <v>23</v>
      </c>
    </row>
    <row r="1596" spans="1:5">
      <c r="A1596" s="3" t="s">
        <v>1617</v>
      </c>
      <c r="B1596" s="3" t="s">
        <v>22</v>
      </c>
      <c r="C1596" s="3">
        <v>261920</v>
      </c>
      <c r="D1596" s="3">
        <v>592</v>
      </c>
      <c r="E1596" s="3" t="s">
        <v>23</v>
      </c>
    </row>
    <row r="1597" spans="1:5">
      <c r="A1597" s="3" t="s">
        <v>1618</v>
      </c>
      <c r="B1597" s="3" t="s">
        <v>22</v>
      </c>
      <c r="C1597" s="3">
        <v>611776</v>
      </c>
      <c r="D1597" s="3">
        <v>128532</v>
      </c>
      <c r="E1597" s="3" t="s">
        <v>23</v>
      </c>
    </row>
    <row r="1598" spans="1:5">
      <c r="A1598" s="3" t="s">
        <v>1619</v>
      </c>
      <c r="B1598" s="3" t="s">
        <v>22</v>
      </c>
      <c r="C1598" s="3">
        <v>1214572</v>
      </c>
      <c r="D1598" s="3">
        <v>382913</v>
      </c>
      <c r="E1598" s="3" t="s">
        <v>23</v>
      </c>
    </row>
    <row r="1599" spans="1:5">
      <c r="A1599" s="3" t="s">
        <v>1620</v>
      </c>
      <c r="B1599" s="3" t="s">
        <v>22</v>
      </c>
      <c r="C1599" s="3">
        <v>1220697</v>
      </c>
      <c r="D1599" s="3">
        <v>377101</v>
      </c>
      <c r="E1599" s="3" t="s">
        <v>23</v>
      </c>
    </row>
    <row r="1600" spans="1:5">
      <c r="A1600" s="3" t="s">
        <v>1621</v>
      </c>
      <c r="B1600" s="3" t="s">
        <v>22</v>
      </c>
      <c r="C1600" s="3">
        <v>921105</v>
      </c>
      <c r="D1600" s="3">
        <v>231613</v>
      </c>
      <c r="E1600" s="3" t="s">
        <v>23</v>
      </c>
    </row>
    <row r="1601" spans="1:5">
      <c r="A1601" s="3" t="s">
        <v>1622</v>
      </c>
      <c r="B1601" s="3" t="s">
        <v>22</v>
      </c>
      <c r="C1601" s="3">
        <v>261142</v>
      </c>
      <c r="D1601" s="3">
        <v>191</v>
      </c>
      <c r="E1601" s="3" t="s">
        <v>23</v>
      </c>
    </row>
    <row r="1602" spans="1:5">
      <c r="A1602" s="3" t="s">
        <v>1623</v>
      </c>
      <c r="B1602" s="3" t="s">
        <v>22</v>
      </c>
      <c r="C1602" s="3">
        <v>1257626</v>
      </c>
      <c r="D1602" s="3">
        <v>400273</v>
      </c>
      <c r="E1602" s="3" t="s">
        <v>23</v>
      </c>
    </row>
    <row r="1603" spans="1:5">
      <c r="A1603" s="3" t="s">
        <v>1624</v>
      </c>
      <c r="B1603" s="3" t="s">
        <v>22</v>
      </c>
      <c r="C1603" s="3">
        <v>1177588</v>
      </c>
      <c r="D1603" s="3">
        <v>378047</v>
      </c>
      <c r="E1603" s="3" t="s">
        <v>23</v>
      </c>
    </row>
    <row r="1604" spans="1:5">
      <c r="A1604" s="3" t="s">
        <v>1625</v>
      </c>
      <c r="B1604" s="3" t="s">
        <v>22</v>
      </c>
      <c r="C1604" s="3">
        <v>1062737</v>
      </c>
      <c r="D1604" s="3">
        <v>314056</v>
      </c>
      <c r="E1604" s="3" t="s">
        <v>23</v>
      </c>
    </row>
    <row r="1605" spans="1:5">
      <c r="A1605" s="3" t="s">
        <v>1626</v>
      </c>
      <c r="B1605" s="3" t="s">
        <v>22</v>
      </c>
      <c r="C1605" s="3">
        <v>510532</v>
      </c>
      <c r="D1605" s="3">
        <v>14404</v>
      </c>
      <c r="E1605" s="3" t="s">
        <v>23</v>
      </c>
    </row>
    <row r="1606" spans="1:5">
      <c r="A1606" s="3" t="s">
        <v>1627</v>
      </c>
      <c r="B1606" s="3" t="s">
        <v>22</v>
      </c>
      <c r="C1606" s="3">
        <v>954735</v>
      </c>
      <c r="D1606" s="3">
        <v>234285</v>
      </c>
      <c r="E1606" s="3" t="s">
        <v>23</v>
      </c>
    </row>
    <row r="1607" spans="1:5">
      <c r="A1607" s="3" t="s">
        <v>1628</v>
      </c>
      <c r="B1607" s="3" t="s">
        <v>22</v>
      </c>
      <c r="C1607" s="3">
        <v>792041</v>
      </c>
      <c r="D1607" s="3">
        <v>152843</v>
      </c>
      <c r="E1607" s="3" t="s">
        <v>23</v>
      </c>
    </row>
    <row r="1608" spans="1:5">
      <c r="A1608" s="3" t="s">
        <v>1629</v>
      </c>
      <c r="B1608" s="3" t="s">
        <v>22</v>
      </c>
      <c r="C1608" s="3">
        <v>687280</v>
      </c>
      <c r="D1608" s="3">
        <v>93725</v>
      </c>
      <c r="E1608" s="3" t="s">
        <v>23</v>
      </c>
    </row>
    <row r="1609" spans="1:5">
      <c r="A1609" s="3" t="s">
        <v>1630</v>
      </c>
      <c r="B1609" s="3" t="s">
        <v>22</v>
      </c>
      <c r="C1609" s="3">
        <v>1090920</v>
      </c>
      <c r="D1609" s="3">
        <v>292002</v>
      </c>
      <c r="E1609" s="3" t="s">
        <v>23</v>
      </c>
    </row>
    <row r="1610" spans="1:5">
      <c r="A1610" s="3" t="s">
        <v>1631</v>
      </c>
      <c r="B1610" s="3" t="s">
        <v>22</v>
      </c>
      <c r="C1610" s="3">
        <v>1178971</v>
      </c>
      <c r="D1610" s="3">
        <v>398133</v>
      </c>
      <c r="E1610" s="3" t="s">
        <v>23</v>
      </c>
    </row>
    <row r="1611" spans="1:5">
      <c r="A1611" s="3" t="s">
        <v>1632</v>
      </c>
      <c r="B1611" s="3" t="s">
        <v>22</v>
      </c>
      <c r="C1611" s="3">
        <v>1130789</v>
      </c>
      <c r="D1611" s="3">
        <v>367535</v>
      </c>
      <c r="E1611" s="3" t="s">
        <v>23</v>
      </c>
    </row>
    <row r="1612" spans="1:5">
      <c r="A1612" s="3" t="s">
        <v>1633</v>
      </c>
      <c r="B1612" s="3" t="s">
        <v>22</v>
      </c>
      <c r="C1612" s="3">
        <v>409226</v>
      </c>
      <c r="D1612" s="3">
        <v>9379</v>
      </c>
      <c r="E1612" s="3" t="s">
        <v>23</v>
      </c>
    </row>
    <row r="1613" spans="1:5">
      <c r="A1613" s="3" t="s">
        <v>1634</v>
      </c>
      <c r="B1613" s="3" t="s">
        <v>22</v>
      </c>
      <c r="C1613" s="3">
        <v>874296</v>
      </c>
      <c r="D1613" s="3">
        <v>184795</v>
      </c>
      <c r="E1613" s="3" t="s">
        <v>23</v>
      </c>
    </row>
    <row r="1614" spans="1:5">
      <c r="A1614" s="3" t="s">
        <v>1635</v>
      </c>
      <c r="B1614" s="3" t="s">
        <v>22</v>
      </c>
      <c r="C1614" s="3">
        <v>868894</v>
      </c>
      <c r="D1614" s="3">
        <v>153779</v>
      </c>
      <c r="E1614" s="3" t="s">
        <v>23</v>
      </c>
    </row>
    <row r="1615" spans="1:5">
      <c r="A1615" s="3" t="s">
        <v>1636</v>
      </c>
      <c r="B1615" s="3" t="s">
        <v>22</v>
      </c>
      <c r="C1615" s="3">
        <v>508876</v>
      </c>
      <c r="D1615" s="3">
        <v>7709</v>
      </c>
      <c r="E1615" s="3" t="s">
        <v>23</v>
      </c>
    </row>
    <row r="1616" spans="1:5">
      <c r="A1616" s="3" t="s">
        <v>1637</v>
      </c>
      <c r="B1616" s="3" t="s">
        <v>22</v>
      </c>
      <c r="C1616" s="3">
        <v>1051696</v>
      </c>
      <c r="D1616" s="3">
        <v>280474</v>
      </c>
      <c r="E1616" s="3" t="s">
        <v>23</v>
      </c>
    </row>
    <row r="1617" spans="1:5">
      <c r="A1617" s="3" t="s">
        <v>1638</v>
      </c>
      <c r="B1617" s="3" t="s">
        <v>22</v>
      </c>
      <c r="C1617" s="3">
        <v>853576</v>
      </c>
      <c r="D1617" s="3">
        <v>197379</v>
      </c>
      <c r="E1617" s="3" t="s">
        <v>23</v>
      </c>
    </row>
    <row r="1618" spans="1:5">
      <c r="A1618" s="3" t="s">
        <v>1639</v>
      </c>
      <c r="B1618" s="3" t="s">
        <v>22</v>
      </c>
      <c r="C1618" s="3">
        <v>1224679</v>
      </c>
      <c r="D1618" s="3">
        <v>357523</v>
      </c>
      <c r="E1618" s="3" t="s">
        <v>23</v>
      </c>
    </row>
    <row r="1619" spans="1:5">
      <c r="A1619" s="3" t="s">
        <v>1640</v>
      </c>
      <c r="B1619" s="3" t="s">
        <v>22</v>
      </c>
      <c r="C1619" s="3">
        <v>726501</v>
      </c>
      <c r="D1619" s="3">
        <v>132858</v>
      </c>
      <c r="E1619" s="3" t="s">
        <v>23</v>
      </c>
    </row>
    <row r="1620" spans="1:5">
      <c r="A1620" s="3" t="s">
        <v>1641</v>
      </c>
      <c r="B1620" s="3" t="s">
        <v>22</v>
      </c>
      <c r="C1620" s="3">
        <v>1201182</v>
      </c>
      <c r="D1620" s="3">
        <v>327844</v>
      </c>
      <c r="E1620" s="3" t="s">
        <v>23</v>
      </c>
    </row>
    <row r="1621" spans="1:5">
      <c r="A1621" s="3" t="s">
        <v>1642</v>
      </c>
      <c r="B1621" s="3" t="s">
        <v>22</v>
      </c>
      <c r="C1621" s="3">
        <v>716678</v>
      </c>
      <c r="D1621" s="3">
        <v>112437</v>
      </c>
      <c r="E1621" s="3" t="s">
        <v>23</v>
      </c>
    </row>
    <row r="1622" spans="1:5">
      <c r="A1622" s="3" t="s">
        <v>1643</v>
      </c>
      <c r="B1622" s="3" t="s">
        <v>22</v>
      </c>
      <c r="C1622" s="3">
        <v>686672</v>
      </c>
      <c r="D1622" s="3">
        <v>115792</v>
      </c>
      <c r="E1622" s="3" t="s">
        <v>23</v>
      </c>
    </row>
    <row r="1623" spans="1:5">
      <c r="A1623" s="3" t="s">
        <v>1644</v>
      </c>
      <c r="B1623" s="3" t="s">
        <v>22</v>
      </c>
      <c r="C1623" s="3">
        <v>621925</v>
      </c>
      <c r="D1623" s="3">
        <v>138928</v>
      </c>
      <c r="E1623" s="3" t="s">
        <v>23</v>
      </c>
    </row>
    <row r="1624" spans="1:5">
      <c r="A1624" s="3" t="s">
        <v>1645</v>
      </c>
      <c r="B1624" s="3" t="s">
        <v>22</v>
      </c>
      <c r="C1624" s="3">
        <v>977100</v>
      </c>
      <c r="D1624" s="3">
        <v>220728</v>
      </c>
      <c r="E1624" s="3" t="s">
        <v>23</v>
      </c>
    </row>
    <row r="1625" spans="1:5">
      <c r="A1625" s="3" t="s">
        <v>1646</v>
      </c>
      <c r="B1625" s="3" t="s">
        <v>22</v>
      </c>
      <c r="C1625" s="3">
        <v>824375</v>
      </c>
      <c r="D1625" s="3">
        <v>209893</v>
      </c>
      <c r="E1625" s="3" t="s">
        <v>23</v>
      </c>
    </row>
    <row r="1626" spans="1:5">
      <c r="A1626" s="3" t="s">
        <v>1647</v>
      </c>
      <c r="B1626" s="3" t="s">
        <v>22</v>
      </c>
      <c r="C1626" s="3">
        <v>1255608</v>
      </c>
      <c r="D1626" s="3">
        <v>352605</v>
      </c>
      <c r="E1626" s="3" t="s">
        <v>23</v>
      </c>
    </row>
    <row r="1627" spans="1:5">
      <c r="A1627" s="3" t="s">
        <v>1648</v>
      </c>
      <c r="B1627" s="3" t="s">
        <v>22</v>
      </c>
      <c r="C1627" s="3">
        <v>801769</v>
      </c>
      <c r="D1627" s="3">
        <v>143412</v>
      </c>
      <c r="E1627" s="3" t="s">
        <v>23</v>
      </c>
    </row>
    <row r="1628" spans="1:5">
      <c r="A1628" s="3" t="s">
        <v>1649</v>
      </c>
      <c r="B1628" s="3" t="s">
        <v>22</v>
      </c>
      <c r="C1628" s="3">
        <v>578291</v>
      </c>
      <c r="D1628" s="3">
        <v>38530</v>
      </c>
      <c r="E1628" s="3" t="s">
        <v>23</v>
      </c>
    </row>
    <row r="1629" spans="1:5">
      <c r="A1629" s="3" t="s">
        <v>1650</v>
      </c>
      <c r="B1629" s="3" t="s">
        <v>22</v>
      </c>
      <c r="C1629" s="3">
        <v>957901</v>
      </c>
      <c r="D1629" s="3">
        <v>179587</v>
      </c>
      <c r="E1629" s="3" t="s">
        <v>23</v>
      </c>
    </row>
    <row r="1630" spans="1:5">
      <c r="A1630" s="3" t="s">
        <v>1651</v>
      </c>
      <c r="B1630" s="3" t="s">
        <v>22</v>
      </c>
      <c r="C1630" s="3">
        <v>975569</v>
      </c>
      <c r="D1630" s="3">
        <v>270075</v>
      </c>
      <c r="E1630" s="3" t="s">
        <v>23</v>
      </c>
    </row>
    <row r="1631" spans="1:5">
      <c r="A1631" s="3" t="s">
        <v>1652</v>
      </c>
      <c r="B1631" s="3" t="s">
        <v>22</v>
      </c>
      <c r="C1631" s="3">
        <v>1096675</v>
      </c>
      <c r="D1631" s="3">
        <v>313286</v>
      </c>
      <c r="E1631" s="3" t="s">
        <v>23</v>
      </c>
    </row>
    <row r="1632" spans="1:5">
      <c r="A1632" s="3" t="s">
        <v>1653</v>
      </c>
      <c r="B1632" s="3" t="s">
        <v>22</v>
      </c>
      <c r="C1632" s="3">
        <v>1012145</v>
      </c>
      <c r="D1632" s="3">
        <v>248461</v>
      </c>
      <c r="E1632" s="3" t="s">
        <v>23</v>
      </c>
    </row>
    <row r="1633" spans="1:5">
      <c r="A1633" s="3" t="s">
        <v>1654</v>
      </c>
      <c r="B1633" s="3" t="s">
        <v>22</v>
      </c>
      <c r="C1633" s="3">
        <v>1194557</v>
      </c>
      <c r="D1633" s="3">
        <v>340452</v>
      </c>
      <c r="E1633" s="3" t="s">
        <v>23</v>
      </c>
    </row>
    <row r="1634" spans="1:5">
      <c r="A1634" s="3" t="s">
        <v>1655</v>
      </c>
      <c r="B1634" s="3" t="s">
        <v>22</v>
      </c>
      <c r="C1634" s="3">
        <v>928658</v>
      </c>
      <c r="D1634" s="3">
        <v>224189</v>
      </c>
      <c r="E1634" s="3" t="s">
        <v>23</v>
      </c>
    </row>
    <row r="1635" spans="1:5">
      <c r="A1635" s="3" t="s">
        <v>1656</v>
      </c>
      <c r="B1635" s="3" t="s">
        <v>22</v>
      </c>
      <c r="C1635" s="3">
        <v>874969</v>
      </c>
      <c r="D1635" s="3">
        <v>242691</v>
      </c>
      <c r="E1635" s="3" t="s">
        <v>23</v>
      </c>
    </row>
    <row r="1636" spans="1:5">
      <c r="A1636" s="3" t="s">
        <v>1657</v>
      </c>
      <c r="B1636" s="3" t="s">
        <v>22</v>
      </c>
      <c r="C1636" s="3">
        <v>997801</v>
      </c>
      <c r="D1636" s="3">
        <v>247746</v>
      </c>
      <c r="E1636" s="3" t="s">
        <v>23</v>
      </c>
    </row>
    <row r="1637" spans="1:5">
      <c r="A1637" s="3" t="s">
        <v>1658</v>
      </c>
      <c r="B1637" s="3" t="s">
        <v>22</v>
      </c>
      <c r="C1637" s="3">
        <v>715752</v>
      </c>
      <c r="D1637" s="3">
        <v>116584</v>
      </c>
      <c r="E1637" s="3" t="s">
        <v>23</v>
      </c>
    </row>
    <row r="1638" spans="1:5">
      <c r="A1638" s="3" t="s">
        <v>1659</v>
      </c>
      <c r="B1638" s="3" t="s">
        <v>22</v>
      </c>
      <c r="C1638" s="3">
        <v>1168911</v>
      </c>
      <c r="D1638" s="3">
        <v>326142</v>
      </c>
      <c r="E1638" s="3" t="s">
        <v>23</v>
      </c>
    </row>
    <row r="1639" spans="1:5">
      <c r="A1639" s="3" t="s">
        <v>1660</v>
      </c>
      <c r="B1639" s="3" t="s">
        <v>22</v>
      </c>
      <c r="C1639" s="3">
        <v>1199744</v>
      </c>
      <c r="D1639" s="3">
        <v>314267</v>
      </c>
      <c r="E1639" s="3" t="s">
        <v>23</v>
      </c>
    </row>
    <row r="1640" spans="1:5">
      <c r="A1640" s="3" t="s">
        <v>1661</v>
      </c>
      <c r="B1640" s="3" t="s">
        <v>22</v>
      </c>
      <c r="C1640" s="3">
        <v>356537</v>
      </c>
      <c r="D1640" s="3">
        <v>3185</v>
      </c>
      <c r="E1640" s="3" t="s">
        <v>23</v>
      </c>
    </row>
    <row r="1641" spans="1:5">
      <c r="A1641" s="3" t="s">
        <v>1662</v>
      </c>
      <c r="B1641" s="3" t="s">
        <v>22</v>
      </c>
      <c r="C1641" s="3">
        <v>278589</v>
      </c>
      <c r="D1641" s="3">
        <v>275</v>
      </c>
      <c r="E1641" s="3" t="s">
        <v>23</v>
      </c>
    </row>
    <row r="1642" spans="1:5">
      <c r="A1642" s="3" t="s">
        <v>1663</v>
      </c>
      <c r="B1642" s="3" t="s">
        <v>22</v>
      </c>
      <c r="C1642" s="3">
        <v>1293630</v>
      </c>
      <c r="D1642" s="3">
        <v>387232</v>
      </c>
      <c r="E1642" s="3" t="s">
        <v>23</v>
      </c>
    </row>
    <row r="1643" spans="1:5">
      <c r="A1643" s="3" t="s">
        <v>1664</v>
      </c>
      <c r="B1643" s="3" t="s">
        <v>22</v>
      </c>
      <c r="C1643" s="3">
        <v>562282</v>
      </c>
      <c r="D1643" s="3">
        <v>50182</v>
      </c>
      <c r="E1643" s="3" t="s">
        <v>23</v>
      </c>
    </row>
    <row r="1644" spans="1:5">
      <c r="A1644" s="3" t="s">
        <v>1665</v>
      </c>
      <c r="B1644" s="3" t="s">
        <v>22</v>
      </c>
      <c r="C1644" s="3">
        <v>695547</v>
      </c>
      <c r="D1644" s="3">
        <v>145365</v>
      </c>
      <c r="E1644" s="3" t="s">
        <v>23</v>
      </c>
    </row>
    <row r="1645" spans="1:5">
      <c r="A1645" s="3" t="s">
        <v>1666</v>
      </c>
      <c r="B1645" s="3" t="s">
        <v>22</v>
      </c>
      <c r="C1645" s="3">
        <v>543354</v>
      </c>
      <c r="D1645" s="3">
        <v>4419</v>
      </c>
      <c r="E1645" s="3" t="s">
        <v>23</v>
      </c>
    </row>
    <row r="1646" spans="1:5">
      <c r="A1646" s="3" t="s">
        <v>1667</v>
      </c>
      <c r="B1646" s="3" t="s">
        <v>22</v>
      </c>
      <c r="C1646" s="3">
        <v>1115354</v>
      </c>
      <c r="D1646" s="3">
        <v>286979</v>
      </c>
      <c r="E1646" s="3" t="s">
        <v>23</v>
      </c>
    </row>
    <row r="1647" spans="1:5">
      <c r="A1647" s="3" t="s">
        <v>1668</v>
      </c>
      <c r="B1647" s="3" t="s">
        <v>22</v>
      </c>
      <c r="C1647" s="3">
        <v>510091</v>
      </c>
      <c r="D1647" s="3">
        <v>35860</v>
      </c>
      <c r="E1647" s="3" t="s">
        <v>23</v>
      </c>
    </row>
    <row r="1648" spans="1:5">
      <c r="A1648" s="3" t="s">
        <v>1669</v>
      </c>
      <c r="B1648" s="3" t="s">
        <v>22</v>
      </c>
      <c r="C1648" s="3">
        <v>368545</v>
      </c>
      <c r="D1648" s="3">
        <v>6843</v>
      </c>
      <c r="E1648" s="3" t="s">
        <v>23</v>
      </c>
    </row>
    <row r="1649" spans="1:5">
      <c r="A1649" s="3" t="s">
        <v>1670</v>
      </c>
      <c r="B1649" s="3" t="s">
        <v>22</v>
      </c>
      <c r="C1649" s="3">
        <v>1026410</v>
      </c>
      <c r="D1649" s="3">
        <v>236918</v>
      </c>
      <c r="E1649" s="3" t="s">
        <v>23</v>
      </c>
    </row>
    <row r="1650" spans="1:5">
      <c r="A1650" s="3" t="s">
        <v>1671</v>
      </c>
      <c r="B1650" s="3" t="s">
        <v>22</v>
      </c>
      <c r="C1650" s="3">
        <v>759279</v>
      </c>
      <c r="D1650" s="3">
        <v>143778</v>
      </c>
      <c r="E1650" s="3" t="s">
        <v>23</v>
      </c>
    </row>
    <row r="1651" spans="1:5">
      <c r="A1651" s="3" t="s">
        <v>1672</v>
      </c>
      <c r="B1651" s="3" t="s">
        <v>22</v>
      </c>
      <c r="C1651" s="3">
        <v>1092284</v>
      </c>
      <c r="D1651" s="3">
        <v>282714</v>
      </c>
      <c r="E1651" s="3" t="s">
        <v>23</v>
      </c>
    </row>
    <row r="1652" spans="1:5">
      <c r="A1652" s="3" t="s">
        <v>1673</v>
      </c>
      <c r="B1652" s="3" t="s">
        <v>22</v>
      </c>
      <c r="C1652" s="3">
        <v>627254</v>
      </c>
      <c r="D1652" s="3">
        <v>81796</v>
      </c>
      <c r="E1652" s="3" t="s">
        <v>23</v>
      </c>
    </row>
    <row r="1653" spans="1:5">
      <c r="A1653" s="3" t="s">
        <v>1674</v>
      </c>
      <c r="B1653" s="3" t="s">
        <v>22</v>
      </c>
      <c r="C1653" s="3">
        <v>668238</v>
      </c>
      <c r="D1653" s="3">
        <v>95038</v>
      </c>
      <c r="E1653" s="3" t="s">
        <v>23</v>
      </c>
    </row>
    <row r="1654" spans="1:5">
      <c r="A1654" s="3" t="s">
        <v>1675</v>
      </c>
      <c r="B1654" s="3" t="s">
        <v>22</v>
      </c>
      <c r="C1654" s="3">
        <v>847472</v>
      </c>
      <c r="D1654" s="3">
        <v>199574</v>
      </c>
      <c r="E1654" s="3" t="s">
        <v>23</v>
      </c>
    </row>
    <row r="1655" spans="1:5">
      <c r="A1655" s="3" t="s">
        <v>1676</v>
      </c>
      <c r="B1655" s="3" t="s">
        <v>22</v>
      </c>
      <c r="C1655" s="3">
        <v>1132407</v>
      </c>
      <c r="D1655" s="3">
        <v>275634</v>
      </c>
      <c r="E1655" s="3" t="s">
        <v>23</v>
      </c>
    </row>
    <row r="1656" spans="1:5">
      <c r="A1656" s="3" t="s">
        <v>1677</v>
      </c>
      <c r="B1656" s="3" t="s">
        <v>22</v>
      </c>
      <c r="C1656" s="3">
        <v>989421</v>
      </c>
      <c r="D1656" s="3">
        <v>281847</v>
      </c>
      <c r="E1656" s="3" t="s">
        <v>23</v>
      </c>
    </row>
    <row r="1657" spans="1:5">
      <c r="A1657" s="3" t="s">
        <v>1678</v>
      </c>
      <c r="B1657" s="3" t="s">
        <v>22</v>
      </c>
      <c r="C1657" s="3">
        <v>1117844</v>
      </c>
      <c r="D1657" s="3">
        <v>297364</v>
      </c>
      <c r="E1657" s="3" t="s">
        <v>23</v>
      </c>
    </row>
    <row r="1658" spans="1:5">
      <c r="A1658" s="3" t="s">
        <v>1679</v>
      </c>
      <c r="B1658" s="3" t="s">
        <v>22</v>
      </c>
      <c r="C1658" s="3">
        <v>944479</v>
      </c>
      <c r="D1658" s="3">
        <v>236253</v>
      </c>
      <c r="E1658" s="3" t="s">
        <v>23</v>
      </c>
    </row>
    <row r="1659" spans="1:5">
      <c r="A1659" s="3" t="s">
        <v>1680</v>
      </c>
      <c r="B1659" s="3" t="s">
        <v>22</v>
      </c>
      <c r="C1659" s="3">
        <v>770675</v>
      </c>
      <c r="D1659" s="3">
        <v>146193</v>
      </c>
      <c r="E1659" s="3" t="s">
        <v>23</v>
      </c>
    </row>
    <row r="1660" spans="1:5">
      <c r="A1660" s="3" t="s">
        <v>1681</v>
      </c>
      <c r="B1660" s="3" t="s">
        <v>22</v>
      </c>
      <c r="C1660" s="3">
        <v>678933</v>
      </c>
      <c r="D1660" s="3">
        <v>77735</v>
      </c>
      <c r="E1660" s="3" t="s">
        <v>23</v>
      </c>
    </row>
    <row r="1661" spans="1:5">
      <c r="A1661" s="3" t="s">
        <v>1682</v>
      </c>
      <c r="B1661" s="3" t="s">
        <v>22</v>
      </c>
      <c r="C1661" s="3">
        <v>950944</v>
      </c>
      <c r="D1661" s="3">
        <v>212545</v>
      </c>
      <c r="E1661" s="3" t="s">
        <v>23</v>
      </c>
    </row>
    <row r="1662" spans="1:5">
      <c r="A1662" s="3" t="s">
        <v>1683</v>
      </c>
      <c r="B1662" s="3" t="s">
        <v>22</v>
      </c>
      <c r="C1662" s="3">
        <v>772163</v>
      </c>
      <c r="D1662" s="3">
        <v>88658</v>
      </c>
      <c r="E1662" s="3" t="s">
        <v>23</v>
      </c>
    </row>
    <row r="1663" spans="1:5">
      <c r="A1663" s="3" t="s">
        <v>1684</v>
      </c>
      <c r="B1663" s="3" t="s">
        <v>22</v>
      </c>
      <c r="C1663" s="3">
        <v>743976</v>
      </c>
      <c r="D1663" s="3">
        <v>164352</v>
      </c>
      <c r="E1663" s="3" t="s">
        <v>23</v>
      </c>
    </row>
    <row r="1664" spans="1:5">
      <c r="A1664" s="3" t="s">
        <v>1685</v>
      </c>
      <c r="B1664" s="3" t="s">
        <v>22</v>
      </c>
      <c r="C1664" s="3">
        <v>1213731</v>
      </c>
      <c r="D1664" s="3">
        <v>316574</v>
      </c>
      <c r="E1664" s="3" t="s">
        <v>23</v>
      </c>
    </row>
    <row r="1665" spans="1:5">
      <c r="A1665" s="3" t="s">
        <v>1686</v>
      </c>
      <c r="B1665" s="3" t="s">
        <v>22</v>
      </c>
      <c r="C1665" s="3">
        <v>1046845</v>
      </c>
      <c r="D1665" s="3">
        <v>302969</v>
      </c>
      <c r="E1665" s="3" t="s">
        <v>23</v>
      </c>
    </row>
    <row r="1666" spans="1:5">
      <c r="A1666" s="3" t="s">
        <v>1687</v>
      </c>
      <c r="B1666" s="3" t="s">
        <v>22</v>
      </c>
      <c r="C1666" s="3">
        <v>1012231</v>
      </c>
      <c r="D1666" s="3">
        <v>253884</v>
      </c>
      <c r="E1666" s="3" t="s">
        <v>23</v>
      </c>
    </row>
    <row r="1667" spans="1:5">
      <c r="A1667" s="3" t="s">
        <v>1688</v>
      </c>
      <c r="B1667" s="3" t="s">
        <v>22</v>
      </c>
      <c r="C1667" s="3">
        <v>1184560</v>
      </c>
      <c r="D1667" s="3">
        <v>323778</v>
      </c>
      <c r="E1667" s="3" t="s">
        <v>23</v>
      </c>
    </row>
    <row r="1668" spans="1:5">
      <c r="A1668" s="3" t="s">
        <v>1689</v>
      </c>
      <c r="B1668" s="3" t="s">
        <v>22</v>
      </c>
      <c r="C1668" s="3">
        <v>785859</v>
      </c>
      <c r="D1668" s="3">
        <v>95685</v>
      </c>
      <c r="E1668" s="3" t="s">
        <v>23</v>
      </c>
    </row>
    <row r="1669" spans="1:5">
      <c r="A1669" s="3" t="s">
        <v>1690</v>
      </c>
      <c r="B1669" s="3" t="s">
        <v>22</v>
      </c>
      <c r="C1669" s="3">
        <v>1292833</v>
      </c>
      <c r="D1669" s="3">
        <v>388005</v>
      </c>
      <c r="E1669" s="3" t="s">
        <v>23</v>
      </c>
    </row>
    <row r="1670" spans="1:5">
      <c r="A1670" s="3" t="s">
        <v>1691</v>
      </c>
      <c r="B1670" s="3" t="s">
        <v>22</v>
      </c>
      <c r="C1670" s="3">
        <v>1176470</v>
      </c>
      <c r="D1670" s="3">
        <v>295869</v>
      </c>
      <c r="E1670" s="3" t="s">
        <v>23</v>
      </c>
    </row>
    <row r="1671" spans="1:5">
      <c r="A1671" s="3" t="s">
        <v>1692</v>
      </c>
      <c r="B1671" s="3" t="s">
        <v>22</v>
      </c>
      <c r="C1671" s="3">
        <v>674015</v>
      </c>
      <c r="D1671" s="3">
        <v>48365</v>
      </c>
      <c r="E1671" s="3" t="s">
        <v>23</v>
      </c>
    </row>
    <row r="1672" spans="1:5">
      <c r="A1672" s="3" t="s">
        <v>1693</v>
      </c>
      <c r="B1672" s="3" t="s">
        <v>22</v>
      </c>
      <c r="C1672" s="3">
        <v>313581</v>
      </c>
      <c r="D1672" s="3">
        <v>3447</v>
      </c>
      <c r="E1672" s="3" t="s">
        <v>23</v>
      </c>
    </row>
    <row r="1673" spans="1:5">
      <c r="A1673" s="3" t="s">
        <v>1694</v>
      </c>
      <c r="B1673" s="3" t="s">
        <v>22</v>
      </c>
      <c r="C1673" s="3">
        <v>655782</v>
      </c>
      <c r="D1673" s="3">
        <v>145199</v>
      </c>
      <c r="E1673" s="3" t="s">
        <v>23</v>
      </c>
    </row>
    <row r="1674" spans="1:5">
      <c r="A1674" s="3" t="s">
        <v>1695</v>
      </c>
      <c r="B1674" s="3" t="s">
        <v>22</v>
      </c>
      <c r="C1674" s="3">
        <v>845877</v>
      </c>
      <c r="D1674" s="3">
        <v>219720</v>
      </c>
      <c r="E1674" s="3" t="s">
        <v>23</v>
      </c>
    </row>
    <row r="1675" spans="1:5">
      <c r="A1675" s="3" t="s">
        <v>1696</v>
      </c>
      <c r="B1675" s="3" t="s">
        <v>22</v>
      </c>
      <c r="C1675" s="3">
        <v>596407</v>
      </c>
      <c r="D1675" s="3">
        <v>19002</v>
      </c>
      <c r="E1675" s="3" t="s">
        <v>23</v>
      </c>
    </row>
    <row r="1676" spans="1:5">
      <c r="A1676" s="3" t="s">
        <v>1697</v>
      </c>
      <c r="B1676" s="3" t="s">
        <v>22</v>
      </c>
      <c r="C1676" s="3">
        <v>1764443</v>
      </c>
      <c r="D1676" s="3">
        <v>634397</v>
      </c>
      <c r="E1676" s="3" t="s">
        <v>23</v>
      </c>
    </row>
    <row r="1677" spans="1:5">
      <c r="A1677" s="3" t="s">
        <v>1698</v>
      </c>
      <c r="B1677" s="3" t="s">
        <v>22</v>
      </c>
      <c r="C1677" s="3">
        <v>1534885</v>
      </c>
      <c r="D1677" s="3">
        <v>486670</v>
      </c>
      <c r="E1677" s="3" t="s">
        <v>23</v>
      </c>
    </row>
    <row r="1678" spans="1:5">
      <c r="A1678" s="3" t="s">
        <v>1699</v>
      </c>
      <c r="B1678" s="3" t="s">
        <v>22</v>
      </c>
      <c r="C1678" s="3">
        <v>1015709</v>
      </c>
      <c r="D1678" s="3">
        <v>187196</v>
      </c>
      <c r="E1678" s="3" t="s">
        <v>23</v>
      </c>
    </row>
    <row r="1679" spans="1:5">
      <c r="A1679" s="3" t="s">
        <v>1700</v>
      </c>
      <c r="B1679" s="3" t="s">
        <v>22</v>
      </c>
      <c r="C1679" s="3">
        <v>431858</v>
      </c>
      <c r="D1679" s="3">
        <v>25835</v>
      </c>
      <c r="E1679" s="3" t="s">
        <v>23</v>
      </c>
    </row>
    <row r="1680" spans="1:5">
      <c r="A1680" s="3" t="s">
        <v>1701</v>
      </c>
      <c r="B1680" s="3" t="s">
        <v>22</v>
      </c>
      <c r="C1680" s="3">
        <v>1587352</v>
      </c>
      <c r="D1680" s="3">
        <v>507329</v>
      </c>
      <c r="E1680" s="3" t="s">
        <v>23</v>
      </c>
    </row>
    <row r="1681" spans="1:5">
      <c r="A1681" s="3" t="s">
        <v>1702</v>
      </c>
      <c r="B1681" s="3" t="s">
        <v>22</v>
      </c>
      <c r="C1681" s="3">
        <v>1425651</v>
      </c>
      <c r="D1681" s="3">
        <v>441241</v>
      </c>
      <c r="E1681" s="3" t="s">
        <v>23</v>
      </c>
    </row>
    <row r="1682" spans="1:5">
      <c r="A1682" s="3" t="s">
        <v>1703</v>
      </c>
      <c r="B1682" s="3" t="s">
        <v>22</v>
      </c>
      <c r="C1682" s="3">
        <v>435167</v>
      </c>
      <c r="D1682" s="3">
        <v>14670</v>
      </c>
      <c r="E1682" s="3" t="s">
        <v>23</v>
      </c>
    </row>
    <row r="1683" spans="1:5">
      <c r="A1683" s="3" t="s">
        <v>1704</v>
      </c>
      <c r="B1683" s="3" t="s">
        <v>22</v>
      </c>
      <c r="C1683" s="3">
        <v>433698</v>
      </c>
      <c r="D1683" s="3">
        <v>4727</v>
      </c>
      <c r="E1683" s="3" t="s">
        <v>23</v>
      </c>
    </row>
    <row r="1684" spans="1:5">
      <c r="A1684" s="3" t="s">
        <v>1705</v>
      </c>
      <c r="B1684" s="3" t="s">
        <v>22</v>
      </c>
      <c r="C1684" s="3">
        <v>1854548</v>
      </c>
      <c r="D1684" s="3">
        <v>726679</v>
      </c>
      <c r="E1684" s="3" t="s">
        <v>23</v>
      </c>
    </row>
    <row r="1685" spans="1:5">
      <c r="A1685" s="3" t="s">
        <v>1706</v>
      </c>
      <c r="B1685" s="3" t="s">
        <v>22</v>
      </c>
      <c r="C1685" s="3">
        <v>1250391</v>
      </c>
      <c r="D1685" s="3">
        <v>350895</v>
      </c>
      <c r="E1685" s="3" t="s">
        <v>23</v>
      </c>
    </row>
    <row r="1686" spans="1:5">
      <c r="A1686" s="3" t="s">
        <v>1707</v>
      </c>
      <c r="B1686" s="3" t="s">
        <v>22</v>
      </c>
      <c r="C1686" s="3">
        <v>1723030</v>
      </c>
      <c r="D1686" s="3">
        <v>566370</v>
      </c>
      <c r="E1686" s="3" t="s">
        <v>23</v>
      </c>
    </row>
    <row r="1687" spans="1:5">
      <c r="A1687" s="3" t="s">
        <v>1708</v>
      </c>
      <c r="B1687" s="3" t="s">
        <v>22</v>
      </c>
      <c r="C1687" s="3">
        <v>1095058</v>
      </c>
      <c r="D1687" s="3">
        <v>219472</v>
      </c>
      <c r="E1687" s="3" t="s">
        <v>23</v>
      </c>
    </row>
    <row r="1688" spans="1:5">
      <c r="A1688" s="3" t="s">
        <v>1709</v>
      </c>
      <c r="B1688" s="3" t="s">
        <v>22</v>
      </c>
      <c r="C1688" s="3">
        <v>1418756</v>
      </c>
      <c r="D1688" s="3">
        <v>390369</v>
      </c>
      <c r="E1688" s="3" t="s">
        <v>23</v>
      </c>
    </row>
    <row r="1689" spans="1:5">
      <c r="A1689" s="3" t="s">
        <v>1710</v>
      </c>
      <c r="B1689" s="3" t="s">
        <v>22</v>
      </c>
      <c r="C1689" s="3">
        <v>360722</v>
      </c>
      <c r="D1689" s="3">
        <v>1642</v>
      </c>
      <c r="E1689" s="3" t="s">
        <v>23</v>
      </c>
    </row>
    <row r="1690" spans="1:5">
      <c r="A1690" s="3" t="s">
        <v>1711</v>
      </c>
      <c r="B1690" s="3" t="s">
        <v>22</v>
      </c>
      <c r="C1690" s="3">
        <v>1054965</v>
      </c>
      <c r="D1690" s="3">
        <v>212872</v>
      </c>
      <c r="E1690" s="3" t="s">
        <v>23</v>
      </c>
    </row>
    <row r="1691" spans="1:5">
      <c r="A1691" s="3" t="s">
        <v>1712</v>
      </c>
      <c r="B1691" s="3" t="s">
        <v>22</v>
      </c>
      <c r="C1691" s="3">
        <v>1605145</v>
      </c>
      <c r="D1691" s="3">
        <v>523315</v>
      </c>
      <c r="E1691" s="3" t="s">
        <v>23</v>
      </c>
    </row>
    <row r="1692" spans="1:5">
      <c r="A1692" s="3" t="s">
        <v>1713</v>
      </c>
      <c r="B1692" s="3" t="s">
        <v>22</v>
      </c>
      <c r="C1692" s="3">
        <v>1549939</v>
      </c>
      <c r="D1692" s="3">
        <v>559870</v>
      </c>
      <c r="E1692" s="3" t="s">
        <v>23</v>
      </c>
    </row>
    <row r="1693" spans="1:5">
      <c r="A1693" s="3" t="s">
        <v>1714</v>
      </c>
      <c r="B1693" s="3" t="s">
        <v>22</v>
      </c>
      <c r="C1693" s="3">
        <v>1568912</v>
      </c>
      <c r="D1693" s="3">
        <v>541770</v>
      </c>
      <c r="E1693" s="3" t="s">
        <v>23</v>
      </c>
    </row>
    <row r="1694" spans="1:5">
      <c r="A1694" s="3" t="s">
        <v>1715</v>
      </c>
      <c r="B1694" s="3" t="s">
        <v>22</v>
      </c>
      <c r="C1694" s="3">
        <v>342335</v>
      </c>
      <c r="D1694" s="3">
        <v>651</v>
      </c>
      <c r="E1694" s="3" t="s">
        <v>23</v>
      </c>
    </row>
    <row r="1695" spans="1:5">
      <c r="A1695" s="3" t="s">
        <v>1716</v>
      </c>
      <c r="B1695" s="3" t="s">
        <v>22</v>
      </c>
      <c r="C1695" s="3">
        <v>1582746</v>
      </c>
      <c r="D1695" s="3">
        <v>518896</v>
      </c>
      <c r="E1695" s="3" t="s">
        <v>23</v>
      </c>
    </row>
    <row r="1696" spans="1:5">
      <c r="A1696" s="3" t="s">
        <v>1717</v>
      </c>
      <c r="B1696" s="3" t="s">
        <v>22</v>
      </c>
      <c r="C1696" s="3">
        <v>1595646</v>
      </c>
      <c r="D1696" s="3">
        <v>492782</v>
      </c>
      <c r="E1696" s="3" t="s">
        <v>23</v>
      </c>
    </row>
    <row r="1697" spans="1:5">
      <c r="A1697" s="3" t="s">
        <v>1718</v>
      </c>
      <c r="B1697" s="3" t="s">
        <v>22</v>
      </c>
      <c r="C1697" s="3">
        <v>1593021</v>
      </c>
      <c r="D1697" s="3">
        <v>471783</v>
      </c>
      <c r="E1697" s="3" t="s">
        <v>23</v>
      </c>
    </row>
    <row r="1698" spans="1:5">
      <c r="A1698" s="3" t="s">
        <v>1719</v>
      </c>
      <c r="B1698" s="3" t="s">
        <v>22</v>
      </c>
      <c r="C1698" s="3">
        <v>830247</v>
      </c>
      <c r="D1698" s="3">
        <v>91880</v>
      </c>
      <c r="E1698" s="3" t="s">
        <v>23</v>
      </c>
    </row>
    <row r="1699" spans="1:5">
      <c r="A1699" s="3" t="s">
        <v>1720</v>
      </c>
      <c r="B1699" s="3" t="s">
        <v>22</v>
      </c>
      <c r="C1699" s="3">
        <v>2054</v>
      </c>
      <c r="D1699" s="3">
        <v>624</v>
      </c>
      <c r="E1699" s="3" t="s">
        <v>23</v>
      </c>
    </row>
    <row r="1700" spans="1:5">
      <c r="A1700" s="3" t="s">
        <v>1721</v>
      </c>
      <c r="B1700" s="3" t="s">
        <v>22</v>
      </c>
      <c r="C1700" s="3">
        <v>824623</v>
      </c>
      <c r="D1700" s="3">
        <v>128187</v>
      </c>
      <c r="E1700" s="3" t="s">
        <v>23</v>
      </c>
    </row>
    <row r="1701" spans="1:5">
      <c r="A1701" s="3" t="s">
        <v>1722</v>
      </c>
      <c r="B1701" s="3" t="s">
        <v>22</v>
      </c>
      <c r="C1701" s="3">
        <v>1069825</v>
      </c>
      <c r="D1701" s="3">
        <v>277176</v>
      </c>
      <c r="E1701" s="3" t="s">
        <v>23</v>
      </c>
    </row>
    <row r="1702" spans="1:5">
      <c r="A1702" s="3" t="s">
        <v>1723</v>
      </c>
      <c r="B1702" s="3" t="s">
        <v>22</v>
      </c>
      <c r="C1702" s="3">
        <v>1450994</v>
      </c>
      <c r="D1702" s="3">
        <v>431265</v>
      </c>
      <c r="E1702" s="3" t="s">
        <v>23</v>
      </c>
    </row>
    <row r="1703" spans="1:5">
      <c r="A1703" s="3" t="s">
        <v>1724</v>
      </c>
      <c r="B1703" s="3" t="s">
        <v>22</v>
      </c>
      <c r="C1703" s="3">
        <v>1532130</v>
      </c>
      <c r="D1703" s="3">
        <v>476061</v>
      </c>
      <c r="E1703" s="3" t="s">
        <v>23</v>
      </c>
    </row>
    <row r="1704" spans="1:5">
      <c r="A1704" s="3" t="s">
        <v>1725</v>
      </c>
      <c r="B1704" s="3" t="s">
        <v>22</v>
      </c>
      <c r="C1704" s="3">
        <v>1540082</v>
      </c>
      <c r="D1704" s="3">
        <v>521400</v>
      </c>
      <c r="E1704" s="3" t="s">
        <v>23</v>
      </c>
    </row>
    <row r="1705" spans="1:5">
      <c r="A1705" s="3" t="s">
        <v>1726</v>
      </c>
      <c r="B1705" s="3" t="s">
        <v>22</v>
      </c>
      <c r="C1705" s="3">
        <v>506222</v>
      </c>
      <c r="D1705" s="3">
        <v>2283</v>
      </c>
      <c r="E1705" s="3" t="s">
        <v>23</v>
      </c>
    </row>
    <row r="1706" spans="1:5">
      <c r="A1706" s="3" t="s">
        <v>1727</v>
      </c>
      <c r="B1706" s="3" t="s">
        <v>22</v>
      </c>
      <c r="C1706" s="3">
        <v>1184144</v>
      </c>
      <c r="D1706" s="3">
        <v>260098</v>
      </c>
      <c r="E1706" s="3" t="s">
        <v>23</v>
      </c>
    </row>
    <row r="1707" spans="1:5">
      <c r="A1707" s="3" t="s">
        <v>1728</v>
      </c>
      <c r="B1707" s="3" t="s">
        <v>22</v>
      </c>
      <c r="C1707" s="3">
        <v>1061772</v>
      </c>
      <c r="D1707" s="3">
        <v>202326</v>
      </c>
      <c r="E1707" s="3" t="s">
        <v>23</v>
      </c>
    </row>
    <row r="1708" spans="1:5">
      <c r="A1708" s="3" t="s">
        <v>1729</v>
      </c>
      <c r="B1708" s="3" t="s">
        <v>22</v>
      </c>
      <c r="C1708" s="3">
        <v>833527</v>
      </c>
      <c r="D1708" s="3">
        <v>34575</v>
      </c>
      <c r="E1708" s="3" t="s">
        <v>23</v>
      </c>
    </row>
    <row r="1709" spans="1:5">
      <c r="A1709" s="3" t="s">
        <v>1730</v>
      </c>
      <c r="B1709" s="3" t="s">
        <v>22</v>
      </c>
      <c r="C1709" s="3">
        <v>952556</v>
      </c>
      <c r="D1709" s="3">
        <v>94353</v>
      </c>
      <c r="E1709" s="3" t="s">
        <v>23</v>
      </c>
    </row>
    <row r="1710" spans="1:5">
      <c r="A1710" s="3" t="s">
        <v>1731</v>
      </c>
      <c r="B1710" s="3" t="s">
        <v>22</v>
      </c>
      <c r="C1710" s="3">
        <v>1094925</v>
      </c>
      <c r="D1710" s="3">
        <v>194191</v>
      </c>
      <c r="E1710" s="3" t="s">
        <v>23</v>
      </c>
    </row>
    <row r="1711" spans="1:5">
      <c r="A1711" s="3" t="s">
        <v>1732</v>
      </c>
      <c r="B1711" s="3" t="s">
        <v>22</v>
      </c>
      <c r="C1711" s="3">
        <v>1617093</v>
      </c>
      <c r="D1711" s="3">
        <v>434407</v>
      </c>
      <c r="E1711" s="3" t="s">
        <v>23</v>
      </c>
    </row>
    <row r="1712" spans="1:5">
      <c r="A1712" s="3" t="s">
        <v>1733</v>
      </c>
      <c r="B1712" s="3" t="s">
        <v>22</v>
      </c>
      <c r="C1712" s="3">
        <v>547661</v>
      </c>
      <c r="D1712" s="3">
        <v>76238</v>
      </c>
      <c r="E1712" s="3" t="s">
        <v>23</v>
      </c>
    </row>
    <row r="1713" spans="1:5">
      <c r="A1713" s="3" t="s">
        <v>1734</v>
      </c>
      <c r="B1713" s="3" t="s">
        <v>22</v>
      </c>
      <c r="C1713" s="3">
        <v>1470858</v>
      </c>
      <c r="D1713" s="3">
        <v>321184</v>
      </c>
      <c r="E1713" s="3" t="s">
        <v>23</v>
      </c>
    </row>
    <row r="1714" spans="1:5">
      <c r="A1714" s="3" t="s">
        <v>1735</v>
      </c>
      <c r="B1714" s="3" t="s">
        <v>22</v>
      </c>
      <c r="C1714" s="3">
        <v>1149566</v>
      </c>
      <c r="D1714" s="3">
        <v>164749</v>
      </c>
      <c r="E1714" s="3" t="s">
        <v>23</v>
      </c>
    </row>
    <row r="1715" spans="1:5">
      <c r="A1715" s="3" t="s">
        <v>1736</v>
      </c>
      <c r="B1715" s="3" t="s">
        <v>22</v>
      </c>
      <c r="C1715" s="3">
        <v>1142562</v>
      </c>
      <c r="D1715" s="3">
        <v>184059</v>
      </c>
      <c r="E1715" s="3" t="s">
        <v>23</v>
      </c>
    </row>
    <row r="1716" spans="1:5">
      <c r="A1716" s="3" t="s">
        <v>1737</v>
      </c>
      <c r="B1716" s="3" t="s">
        <v>22</v>
      </c>
      <c r="C1716" s="3">
        <v>1132313</v>
      </c>
      <c r="D1716" s="3">
        <v>160071</v>
      </c>
      <c r="E1716" s="3" t="s">
        <v>23</v>
      </c>
    </row>
    <row r="1717" spans="1:5">
      <c r="A1717" s="3" t="s">
        <v>1738</v>
      </c>
      <c r="B1717" s="3" t="s">
        <v>22</v>
      </c>
      <c r="C1717" s="3">
        <v>988532</v>
      </c>
      <c r="D1717" s="3">
        <v>135079</v>
      </c>
      <c r="E1717" s="3" t="s">
        <v>23</v>
      </c>
    </row>
    <row r="1718" spans="1:5">
      <c r="A1718" s="3" t="s">
        <v>1739</v>
      </c>
      <c r="B1718" s="3" t="s">
        <v>22</v>
      </c>
      <c r="C1718" s="3">
        <v>1139679</v>
      </c>
      <c r="D1718" s="3">
        <v>142959</v>
      </c>
      <c r="E1718" s="3" t="s">
        <v>23</v>
      </c>
    </row>
    <row r="1719" spans="1:5">
      <c r="A1719" s="3" t="s">
        <v>1740</v>
      </c>
      <c r="B1719" s="3" t="s">
        <v>22</v>
      </c>
      <c r="C1719" s="3">
        <v>1909177</v>
      </c>
      <c r="D1719" s="3">
        <v>593049</v>
      </c>
      <c r="E1719" s="3" t="s">
        <v>23</v>
      </c>
    </row>
    <row r="1720" spans="1:5">
      <c r="A1720" s="3" t="s">
        <v>1741</v>
      </c>
      <c r="B1720" s="3" t="s">
        <v>22</v>
      </c>
      <c r="C1720" s="3">
        <v>1594400</v>
      </c>
      <c r="D1720" s="3">
        <v>485607</v>
      </c>
      <c r="E1720" s="3" t="s">
        <v>23</v>
      </c>
    </row>
    <row r="1721" spans="1:5">
      <c r="A1721" s="3" t="s">
        <v>1742</v>
      </c>
      <c r="B1721" s="3" t="s">
        <v>22</v>
      </c>
      <c r="C1721" s="3">
        <v>151392</v>
      </c>
      <c r="D1721" s="3">
        <v>4453</v>
      </c>
      <c r="E1721" s="3" t="s">
        <v>23</v>
      </c>
    </row>
    <row r="1722" spans="1:5">
      <c r="A1722" s="3" t="s">
        <v>1743</v>
      </c>
      <c r="B1722" s="3" t="s">
        <v>22</v>
      </c>
      <c r="C1722" s="3">
        <v>950876</v>
      </c>
      <c r="D1722" s="3">
        <v>83123</v>
      </c>
      <c r="E1722" s="3" t="s">
        <v>23</v>
      </c>
    </row>
    <row r="1723" spans="1:5">
      <c r="A1723" s="3" t="s">
        <v>1744</v>
      </c>
      <c r="B1723" s="3" t="s">
        <v>22</v>
      </c>
      <c r="C1723" s="3">
        <v>1103797</v>
      </c>
      <c r="D1723" s="3">
        <v>215645</v>
      </c>
      <c r="E1723" s="3" t="s">
        <v>23</v>
      </c>
    </row>
    <row r="1724" spans="1:5">
      <c r="A1724" s="3" t="s">
        <v>1745</v>
      </c>
      <c r="B1724" s="3" t="s">
        <v>22</v>
      </c>
      <c r="C1724" s="3">
        <v>1751837</v>
      </c>
      <c r="D1724" s="3">
        <v>473943</v>
      </c>
      <c r="E1724" s="3" t="s">
        <v>23</v>
      </c>
    </row>
    <row r="1725" spans="1:5">
      <c r="A1725" s="3" t="s">
        <v>1746</v>
      </c>
      <c r="B1725" s="3" t="s">
        <v>22</v>
      </c>
      <c r="C1725" s="3">
        <v>1168610</v>
      </c>
      <c r="D1725" s="3">
        <v>172109</v>
      </c>
      <c r="E1725" s="3" t="s">
        <v>23</v>
      </c>
    </row>
    <row r="1726" spans="1:5">
      <c r="A1726" s="3" t="s">
        <v>1747</v>
      </c>
      <c r="B1726" s="3" t="s">
        <v>22</v>
      </c>
      <c r="C1726" s="3">
        <v>1987792</v>
      </c>
      <c r="D1726" s="3">
        <v>598139</v>
      </c>
      <c r="E1726" s="3" t="s">
        <v>23</v>
      </c>
    </row>
    <row r="1727" spans="1:5">
      <c r="A1727" s="3" t="s">
        <v>1748</v>
      </c>
      <c r="B1727" s="3" t="s">
        <v>22</v>
      </c>
      <c r="C1727" s="3">
        <v>1058171</v>
      </c>
      <c r="D1727" s="3">
        <v>218745</v>
      </c>
      <c r="E1727" s="3" t="s">
        <v>23</v>
      </c>
    </row>
    <row r="1728" spans="1:5">
      <c r="A1728" s="3" t="s">
        <v>1749</v>
      </c>
      <c r="B1728" s="3" t="s">
        <v>22</v>
      </c>
      <c r="C1728" s="3">
        <v>357994</v>
      </c>
      <c r="D1728" s="3">
        <v>12311</v>
      </c>
      <c r="E1728" s="3" t="s">
        <v>23</v>
      </c>
    </row>
    <row r="1729" spans="1:5">
      <c r="A1729" s="3" t="s">
        <v>1750</v>
      </c>
      <c r="B1729" s="3" t="s">
        <v>22</v>
      </c>
      <c r="C1729" s="3">
        <v>839408</v>
      </c>
      <c r="D1729" s="3">
        <v>102816</v>
      </c>
      <c r="E1729" s="3" t="s">
        <v>23</v>
      </c>
    </row>
    <row r="1730" spans="1:5">
      <c r="A1730" s="3" t="s">
        <v>1751</v>
      </c>
      <c r="B1730" s="3" t="s">
        <v>22</v>
      </c>
      <c r="C1730" s="3">
        <v>865091</v>
      </c>
      <c r="D1730" s="3">
        <v>107380</v>
      </c>
      <c r="E1730" s="3" t="s">
        <v>23</v>
      </c>
    </row>
    <row r="1731" spans="1:5">
      <c r="A1731" s="3" t="s">
        <v>1752</v>
      </c>
      <c r="B1731" s="3" t="s">
        <v>22</v>
      </c>
      <c r="C1731" s="3">
        <v>2013685</v>
      </c>
      <c r="D1731" s="3">
        <v>622208</v>
      </c>
      <c r="E1731" s="3" t="s">
        <v>23</v>
      </c>
    </row>
    <row r="1732" spans="1:5">
      <c r="A1732" s="3" t="s">
        <v>1753</v>
      </c>
      <c r="B1732" s="3" t="s">
        <v>22</v>
      </c>
      <c r="C1732" s="3">
        <v>1793326</v>
      </c>
      <c r="D1732" s="3">
        <v>476786</v>
      </c>
      <c r="E1732" s="3" t="s">
        <v>23</v>
      </c>
    </row>
    <row r="1733" spans="1:5">
      <c r="A1733" s="3" t="s">
        <v>1754</v>
      </c>
      <c r="B1733" s="3" t="s">
        <v>22</v>
      </c>
      <c r="C1733" s="3">
        <v>613653</v>
      </c>
      <c r="D1733" s="3">
        <v>29388</v>
      </c>
      <c r="E1733" s="3" t="s">
        <v>23</v>
      </c>
    </row>
    <row r="1734" spans="1:5">
      <c r="A1734" s="3" t="s">
        <v>1755</v>
      </c>
      <c r="B1734" s="3" t="s">
        <v>22</v>
      </c>
      <c r="C1734" s="3">
        <v>403463</v>
      </c>
      <c r="D1734" s="3">
        <v>81</v>
      </c>
      <c r="E1734" s="3" t="s">
        <v>23</v>
      </c>
    </row>
    <row r="1735" spans="1:5">
      <c r="A1735" s="3" t="s">
        <v>1756</v>
      </c>
      <c r="B1735" s="3" t="s">
        <v>22</v>
      </c>
      <c r="C1735" s="3">
        <v>1596589</v>
      </c>
      <c r="D1735" s="3">
        <v>396547</v>
      </c>
      <c r="E1735" s="3" t="s">
        <v>23</v>
      </c>
    </row>
    <row r="1736" spans="1:5">
      <c r="A1736" s="3" t="s">
        <v>1757</v>
      </c>
      <c r="B1736" s="3" t="s">
        <v>22</v>
      </c>
      <c r="C1736" s="3">
        <v>1527413</v>
      </c>
      <c r="D1736" s="3">
        <v>350676</v>
      </c>
      <c r="E1736" s="3" t="s">
        <v>23</v>
      </c>
    </row>
    <row r="1737" spans="1:5">
      <c r="A1737" s="3" t="s">
        <v>1758</v>
      </c>
      <c r="B1737" s="3" t="s">
        <v>22</v>
      </c>
      <c r="C1737" s="3">
        <v>1753182</v>
      </c>
      <c r="D1737" s="3">
        <v>513789</v>
      </c>
      <c r="E1737" s="3" t="s">
        <v>23</v>
      </c>
    </row>
    <row r="1738" spans="1:5">
      <c r="A1738" s="3" t="s">
        <v>1759</v>
      </c>
      <c r="B1738" s="3" t="s">
        <v>22</v>
      </c>
      <c r="C1738" s="3">
        <v>692847</v>
      </c>
      <c r="D1738" s="3">
        <v>75255</v>
      </c>
      <c r="E1738" s="3" t="s">
        <v>23</v>
      </c>
    </row>
    <row r="1739" spans="1:5">
      <c r="A1739" s="3" t="s">
        <v>1760</v>
      </c>
      <c r="B1739" s="3" t="s">
        <v>22</v>
      </c>
      <c r="C1739" s="3">
        <v>839071</v>
      </c>
      <c r="D1739" s="3">
        <v>30077</v>
      </c>
      <c r="E1739" s="3" t="s">
        <v>23</v>
      </c>
    </row>
    <row r="1740" spans="1:5">
      <c r="A1740" s="3" t="s">
        <v>1761</v>
      </c>
      <c r="B1740" s="3" t="s">
        <v>22</v>
      </c>
      <c r="C1740" s="3">
        <v>3894227</v>
      </c>
      <c r="D1740" s="3">
        <v>19322</v>
      </c>
      <c r="E1740" s="3" t="s">
        <v>23</v>
      </c>
    </row>
    <row r="1741" spans="1:5">
      <c r="A1741" s="3" t="s">
        <v>1762</v>
      </c>
      <c r="B1741" s="3" t="s">
        <v>22</v>
      </c>
      <c r="C1741" s="3">
        <v>444953</v>
      </c>
      <c r="D1741" s="3">
        <v>1662</v>
      </c>
      <c r="E1741" s="3" t="s">
        <v>23</v>
      </c>
    </row>
    <row r="1742" spans="1:5">
      <c r="A1742" s="3" t="s">
        <v>1763</v>
      </c>
      <c r="B1742" s="3" t="s">
        <v>22</v>
      </c>
      <c r="C1742" s="3">
        <v>1745103</v>
      </c>
      <c r="D1742" s="3">
        <v>479989</v>
      </c>
      <c r="E1742" s="3" t="s">
        <v>23</v>
      </c>
    </row>
    <row r="1743" spans="1:5">
      <c r="A1743" s="3" t="s">
        <v>1764</v>
      </c>
      <c r="B1743" s="3" t="s">
        <v>22</v>
      </c>
      <c r="C1743" s="3">
        <v>971335</v>
      </c>
      <c r="D1743" s="3">
        <v>96095</v>
      </c>
      <c r="E1743" s="3" t="s">
        <v>23</v>
      </c>
    </row>
    <row r="1744" spans="1:5">
      <c r="A1744" s="3" t="s">
        <v>1765</v>
      </c>
      <c r="B1744" s="3" t="s">
        <v>22</v>
      </c>
      <c r="C1744" s="3">
        <v>1987884</v>
      </c>
      <c r="D1744" s="3">
        <v>644289</v>
      </c>
      <c r="E1744" s="3" t="s">
        <v>23</v>
      </c>
    </row>
    <row r="1745" spans="1:5">
      <c r="A1745" s="3" t="s">
        <v>1766</v>
      </c>
      <c r="B1745" s="3" t="s">
        <v>22</v>
      </c>
      <c r="C1745" s="3">
        <v>1424310</v>
      </c>
      <c r="D1745" s="3">
        <v>60432</v>
      </c>
      <c r="E1745" s="3" t="s">
        <v>23</v>
      </c>
    </row>
    <row r="1746" spans="1:5">
      <c r="A1746" s="3" t="s">
        <v>1767</v>
      </c>
      <c r="B1746" s="3" t="s">
        <v>22</v>
      </c>
      <c r="C1746" s="3">
        <v>1039227</v>
      </c>
      <c r="D1746" s="3">
        <v>95363</v>
      </c>
      <c r="E1746" s="3" t="s">
        <v>23</v>
      </c>
    </row>
    <row r="1747" spans="1:5">
      <c r="A1747" s="3" t="s">
        <v>1768</v>
      </c>
      <c r="B1747" s="3" t="s">
        <v>22</v>
      </c>
      <c r="C1747" s="3">
        <v>1348533</v>
      </c>
      <c r="D1747" s="3">
        <v>327321</v>
      </c>
      <c r="E1747" s="3" t="s">
        <v>23</v>
      </c>
    </row>
    <row r="1748" spans="1:5">
      <c r="A1748" s="3" t="s">
        <v>1769</v>
      </c>
      <c r="B1748" s="3" t="s">
        <v>22</v>
      </c>
      <c r="C1748" s="3">
        <v>1748140</v>
      </c>
      <c r="D1748" s="3">
        <v>492738</v>
      </c>
      <c r="E1748" s="3" t="s">
        <v>23</v>
      </c>
    </row>
    <row r="1749" spans="1:5">
      <c r="A1749" s="3" t="s">
        <v>1770</v>
      </c>
      <c r="B1749" s="3" t="s">
        <v>22</v>
      </c>
      <c r="C1749" s="3">
        <v>1528347</v>
      </c>
      <c r="D1749" s="3">
        <v>357405</v>
      </c>
      <c r="E1749" s="3" t="s">
        <v>23</v>
      </c>
    </row>
    <row r="1750" spans="1:5">
      <c r="A1750" s="3" t="s">
        <v>1771</v>
      </c>
      <c r="B1750" s="3" t="s">
        <v>22</v>
      </c>
      <c r="C1750" s="3">
        <v>1914</v>
      </c>
      <c r="D1750" s="3">
        <v>550</v>
      </c>
      <c r="E1750" s="3" t="s">
        <v>23</v>
      </c>
    </row>
    <row r="1751" spans="1:5">
      <c r="A1751" s="3" t="s">
        <v>1772</v>
      </c>
      <c r="B1751" s="3" t="s">
        <v>22</v>
      </c>
      <c r="C1751" s="3">
        <v>1124048</v>
      </c>
      <c r="D1751" s="3">
        <v>141604</v>
      </c>
      <c r="E1751" s="3" t="s">
        <v>23</v>
      </c>
    </row>
    <row r="1752" spans="1:5">
      <c r="A1752" s="3" t="s">
        <v>1773</v>
      </c>
      <c r="B1752" s="3" t="s">
        <v>22</v>
      </c>
      <c r="C1752" s="3">
        <v>1078271</v>
      </c>
      <c r="D1752" s="3">
        <v>135464</v>
      </c>
      <c r="E1752" s="3" t="s">
        <v>23</v>
      </c>
    </row>
    <row r="1753" spans="1:5">
      <c r="A1753" s="3" t="s">
        <v>1774</v>
      </c>
      <c r="B1753" s="3" t="s">
        <v>22</v>
      </c>
      <c r="C1753" s="3">
        <v>1304336</v>
      </c>
      <c r="D1753" s="3">
        <v>268098</v>
      </c>
      <c r="E1753" s="3" t="s">
        <v>23</v>
      </c>
    </row>
    <row r="1754" spans="1:5">
      <c r="A1754" s="3" t="s">
        <v>1775</v>
      </c>
      <c r="B1754" s="3" t="s">
        <v>22</v>
      </c>
      <c r="C1754" s="3">
        <v>847923</v>
      </c>
      <c r="D1754" s="3">
        <v>68186</v>
      </c>
      <c r="E1754" s="3" t="s">
        <v>23</v>
      </c>
    </row>
    <row r="1755" spans="1:5">
      <c r="A1755" s="3" t="s">
        <v>1776</v>
      </c>
      <c r="B1755" s="3" t="s">
        <v>22</v>
      </c>
      <c r="C1755" s="3">
        <v>1326664</v>
      </c>
      <c r="D1755" s="3">
        <v>316791</v>
      </c>
      <c r="E1755" s="3" t="s">
        <v>23</v>
      </c>
    </row>
    <row r="1756" spans="1:5">
      <c r="A1756" s="3" t="s">
        <v>1777</v>
      </c>
      <c r="B1756" s="3" t="s">
        <v>22</v>
      </c>
      <c r="C1756" s="3">
        <v>1622608</v>
      </c>
      <c r="D1756" s="3">
        <v>434314</v>
      </c>
      <c r="E1756" s="3" t="s">
        <v>23</v>
      </c>
    </row>
    <row r="1757" spans="1:5">
      <c r="A1757" s="3" t="s">
        <v>1778</v>
      </c>
      <c r="B1757" s="3" t="s">
        <v>22</v>
      </c>
      <c r="C1757" s="3">
        <v>1367298</v>
      </c>
      <c r="D1757" s="3">
        <v>287294</v>
      </c>
      <c r="E1757" s="3" t="s">
        <v>23</v>
      </c>
    </row>
    <row r="1758" spans="1:5">
      <c r="A1758" s="3" t="s">
        <v>1779</v>
      </c>
      <c r="B1758" s="3" t="s">
        <v>22</v>
      </c>
      <c r="C1758" s="3">
        <v>878385</v>
      </c>
      <c r="D1758" s="3">
        <v>134466</v>
      </c>
      <c r="E1758" s="3" t="s">
        <v>23</v>
      </c>
    </row>
    <row r="1759" spans="1:5">
      <c r="A1759" s="3" t="s">
        <v>1780</v>
      </c>
      <c r="B1759" s="3" t="s">
        <v>22</v>
      </c>
      <c r="C1759" s="3">
        <v>1442166</v>
      </c>
      <c r="D1759" s="3">
        <v>367349</v>
      </c>
      <c r="E1759" s="3" t="s">
        <v>23</v>
      </c>
    </row>
    <row r="1760" spans="1:5">
      <c r="A1760" s="3" t="s">
        <v>1781</v>
      </c>
      <c r="B1760" s="3" t="s">
        <v>22</v>
      </c>
      <c r="C1760" s="3">
        <v>1258988</v>
      </c>
      <c r="D1760" s="3">
        <v>284353</v>
      </c>
      <c r="E1760" s="3" t="s">
        <v>23</v>
      </c>
    </row>
    <row r="1761" spans="1:5">
      <c r="A1761" s="3" t="s">
        <v>1782</v>
      </c>
      <c r="B1761" s="3" t="s">
        <v>22</v>
      </c>
      <c r="C1761" s="3">
        <v>1000818</v>
      </c>
      <c r="D1761" s="3">
        <v>284788</v>
      </c>
      <c r="E1761" s="3" t="s">
        <v>23</v>
      </c>
    </row>
    <row r="1762" spans="1:5">
      <c r="A1762" s="3" t="s">
        <v>1783</v>
      </c>
      <c r="B1762" s="3" t="s">
        <v>22</v>
      </c>
      <c r="C1762" s="3">
        <v>1968208</v>
      </c>
      <c r="D1762" s="3">
        <v>677072</v>
      </c>
      <c r="E1762" s="3" t="s">
        <v>23</v>
      </c>
    </row>
    <row r="1763" spans="1:5">
      <c r="A1763" s="3" t="s">
        <v>1784</v>
      </c>
      <c r="B1763" s="3" t="s">
        <v>22</v>
      </c>
      <c r="C1763" s="3">
        <v>1395091</v>
      </c>
      <c r="D1763" s="3">
        <v>314700</v>
      </c>
      <c r="E1763" s="3" t="s">
        <v>23</v>
      </c>
    </row>
    <row r="1764" spans="1:5">
      <c r="A1764" s="3" t="s">
        <v>1785</v>
      </c>
      <c r="B1764" s="3" t="s">
        <v>22</v>
      </c>
      <c r="C1764" s="3">
        <v>811471</v>
      </c>
      <c r="D1764" s="3">
        <v>47309</v>
      </c>
      <c r="E1764" s="3" t="s">
        <v>23</v>
      </c>
    </row>
    <row r="1765" spans="1:5">
      <c r="A1765" s="3" t="s">
        <v>1786</v>
      </c>
      <c r="B1765" s="3" t="s">
        <v>22</v>
      </c>
      <c r="C1765" s="3">
        <v>656022</v>
      </c>
      <c r="D1765" s="3">
        <v>10931</v>
      </c>
      <c r="E1765" s="3" t="s">
        <v>23</v>
      </c>
    </row>
    <row r="1766" spans="1:5">
      <c r="A1766" s="3" t="s">
        <v>1787</v>
      </c>
      <c r="B1766" s="3" t="s">
        <v>22</v>
      </c>
      <c r="C1766" s="3">
        <v>2192607</v>
      </c>
      <c r="D1766" s="3">
        <v>830775</v>
      </c>
      <c r="E1766" s="3" t="s">
        <v>23</v>
      </c>
    </row>
    <row r="1767" spans="1:5">
      <c r="A1767" s="3" t="s">
        <v>1788</v>
      </c>
      <c r="B1767" s="3" t="s">
        <v>22</v>
      </c>
      <c r="C1767" s="3">
        <v>717650</v>
      </c>
      <c r="D1767" s="3">
        <v>26837</v>
      </c>
      <c r="E1767" s="3" t="s">
        <v>23</v>
      </c>
    </row>
    <row r="1768" spans="1:5">
      <c r="A1768" s="3" t="s">
        <v>1789</v>
      </c>
      <c r="B1768" s="3" t="s">
        <v>22</v>
      </c>
      <c r="C1768" s="3">
        <v>719824</v>
      </c>
      <c r="D1768" s="3">
        <v>58424</v>
      </c>
      <c r="E1768" s="3" t="s">
        <v>23</v>
      </c>
    </row>
    <row r="1769" spans="1:5">
      <c r="A1769" s="3" t="s">
        <v>1790</v>
      </c>
      <c r="B1769" s="3" t="s">
        <v>22</v>
      </c>
      <c r="C1769" s="3">
        <v>42768</v>
      </c>
      <c r="D1769" s="3">
        <v>10450</v>
      </c>
      <c r="E1769" s="3" t="s">
        <v>23</v>
      </c>
    </row>
    <row r="1770" spans="1:5">
      <c r="A1770" s="3" t="s">
        <v>1791</v>
      </c>
      <c r="B1770" s="3" t="s">
        <v>22</v>
      </c>
      <c r="C1770" s="3">
        <v>2254284</v>
      </c>
      <c r="D1770" s="3">
        <v>889385</v>
      </c>
      <c r="E1770" s="3" t="s">
        <v>23</v>
      </c>
    </row>
    <row r="1771" spans="1:5">
      <c r="A1771" s="3" t="s">
        <v>1792</v>
      </c>
      <c r="B1771" s="3" t="s">
        <v>22</v>
      </c>
      <c r="C1771" s="3">
        <v>911621</v>
      </c>
      <c r="D1771" s="3">
        <v>190186</v>
      </c>
      <c r="E1771" s="3" t="s">
        <v>23</v>
      </c>
    </row>
    <row r="1772" spans="1:5">
      <c r="A1772" s="3" t="s">
        <v>1793</v>
      </c>
      <c r="B1772" s="3" t="s">
        <v>22</v>
      </c>
      <c r="C1772" s="3">
        <v>536438</v>
      </c>
      <c r="D1772" s="3">
        <v>35086</v>
      </c>
      <c r="E1772" s="3" t="s">
        <v>23</v>
      </c>
    </row>
    <row r="1773" spans="1:5">
      <c r="A1773" s="3" t="s">
        <v>1794</v>
      </c>
      <c r="B1773" s="3" t="s">
        <v>22</v>
      </c>
      <c r="C1773" s="3">
        <v>1237213</v>
      </c>
      <c r="D1773" s="3">
        <v>350126</v>
      </c>
      <c r="E1773" s="3" t="s">
        <v>23</v>
      </c>
    </row>
    <row r="1774" spans="1:5">
      <c r="A1774" s="3" t="s">
        <v>1795</v>
      </c>
      <c r="B1774" s="3" t="s">
        <v>22</v>
      </c>
      <c r="C1774" s="3">
        <v>2052558</v>
      </c>
      <c r="D1774" s="3">
        <v>677342</v>
      </c>
      <c r="E1774" s="3" t="s">
        <v>23</v>
      </c>
    </row>
    <row r="1775" spans="1:5">
      <c r="A1775" s="3" t="s">
        <v>1796</v>
      </c>
      <c r="B1775" s="3" t="s">
        <v>22</v>
      </c>
      <c r="C1775" s="3">
        <v>484198</v>
      </c>
      <c r="D1775" s="3">
        <v>17256</v>
      </c>
      <c r="E1775" s="3" t="s">
        <v>23</v>
      </c>
    </row>
    <row r="1776" spans="1:5">
      <c r="A1776" s="3" t="s">
        <v>1797</v>
      </c>
      <c r="B1776" s="3" t="s">
        <v>22</v>
      </c>
      <c r="C1776" s="3">
        <v>523122</v>
      </c>
      <c r="D1776" s="3">
        <v>4733</v>
      </c>
      <c r="E1776" s="3" t="s">
        <v>23</v>
      </c>
    </row>
    <row r="1777" spans="1:5">
      <c r="A1777" s="3" t="s">
        <v>1798</v>
      </c>
      <c r="B1777" s="3" t="s">
        <v>22</v>
      </c>
      <c r="C1777" s="3">
        <v>2056302</v>
      </c>
      <c r="D1777" s="3">
        <v>816371</v>
      </c>
      <c r="E1777" s="3" t="s">
        <v>23</v>
      </c>
    </row>
    <row r="1778" spans="1:5">
      <c r="A1778" s="3" t="s">
        <v>1799</v>
      </c>
      <c r="B1778" s="3" t="s">
        <v>22</v>
      </c>
      <c r="C1778" s="3">
        <v>1397747</v>
      </c>
      <c r="D1778" s="3">
        <v>389051</v>
      </c>
      <c r="E1778" s="3" t="s">
        <v>23</v>
      </c>
    </row>
    <row r="1779" spans="1:5">
      <c r="A1779" s="3" t="s">
        <v>1800</v>
      </c>
      <c r="B1779" s="3" t="s">
        <v>22</v>
      </c>
      <c r="C1779" s="3">
        <v>1494381</v>
      </c>
      <c r="D1779" s="3">
        <v>469824</v>
      </c>
      <c r="E1779" s="3" t="s">
        <v>23</v>
      </c>
    </row>
    <row r="1780" spans="1:5">
      <c r="A1780" s="3" t="s">
        <v>1801</v>
      </c>
      <c r="B1780" s="3" t="s">
        <v>22</v>
      </c>
      <c r="C1780" s="3">
        <v>1357752</v>
      </c>
      <c r="D1780" s="3">
        <v>422039</v>
      </c>
      <c r="E1780" s="3" t="s">
        <v>23</v>
      </c>
    </row>
    <row r="1781" spans="1:5">
      <c r="A1781" s="3" t="s">
        <v>1802</v>
      </c>
      <c r="B1781" s="3" t="s">
        <v>22</v>
      </c>
      <c r="C1781" s="3">
        <v>1831836</v>
      </c>
      <c r="D1781" s="3">
        <v>619733</v>
      </c>
      <c r="E1781" s="3" t="s">
        <v>23</v>
      </c>
    </row>
    <row r="1782" spans="1:5">
      <c r="A1782" s="3" t="s">
        <v>1803</v>
      </c>
      <c r="B1782" s="3" t="s">
        <v>22</v>
      </c>
      <c r="C1782" s="3">
        <v>683226</v>
      </c>
      <c r="D1782" s="3">
        <v>4102</v>
      </c>
      <c r="E1782" s="3" t="s">
        <v>23</v>
      </c>
    </row>
    <row r="1783" spans="1:5">
      <c r="A1783" s="3" t="s">
        <v>1804</v>
      </c>
      <c r="B1783" s="3" t="s">
        <v>22</v>
      </c>
      <c r="C1783" s="3">
        <v>1299776</v>
      </c>
      <c r="D1783" s="3">
        <v>309851</v>
      </c>
      <c r="E1783" s="3" t="s">
        <v>23</v>
      </c>
    </row>
    <row r="1784" spans="1:5">
      <c r="A1784" s="3" t="s">
        <v>1805</v>
      </c>
      <c r="B1784" s="3" t="s">
        <v>22</v>
      </c>
      <c r="C1784" s="3">
        <v>1962103</v>
      </c>
      <c r="D1784" s="3">
        <v>727903</v>
      </c>
      <c r="E1784" s="3" t="s">
        <v>23</v>
      </c>
    </row>
    <row r="1785" spans="1:5">
      <c r="A1785" s="3" t="s">
        <v>1806</v>
      </c>
      <c r="B1785" s="3" t="s">
        <v>22</v>
      </c>
      <c r="C1785" s="3">
        <v>1932313</v>
      </c>
      <c r="D1785" s="3">
        <v>770668</v>
      </c>
      <c r="E1785" s="3" t="s">
        <v>23</v>
      </c>
    </row>
    <row r="1786" spans="1:5">
      <c r="A1786" s="3" t="s">
        <v>1807</v>
      </c>
      <c r="B1786" s="3" t="s">
        <v>22</v>
      </c>
      <c r="C1786" s="3">
        <v>1571760</v>
      </c>
      <c r="D1786" s="3">
        <v>529309</v>
      </c>
      <c r="E1786" s="3" t="s">
        <v>23</v>
      </c>
    </row>
    <row r="1787" spans="1:5">
      <c r="A1787" s="3" t="s">
        <v>1808</v>
      </c>
      <c r="B1787" s="3" t="s">
        <v>22</v>
      </c>
      <c r="C1787" s="3">
        <v>401896</v>
      </c>
      <c r="D1787" s="3">
        <v>420</v>
      </c>
      <c r="E1787" s="3" t="s">
        <v>23</v>
      </c>
    </row>
    <row r="1788" spans="1:5">
      <c r="A1788" s="3" t="s">
        <v>1809</v>
      </c>
      <c r="B1788" s="3" t="s">
        <v>22</v>
      </c>
      <c r="C1788" s="3">
        <v>1872334</v>
      </c>
      <c r="D1788" s="3">
        <v>618564</v>
      </c>
      <c r="E1788" s="3" t="s">
        <v>23</v>
      </c>
    </row>
    <row r="1789" spans="1:5">
      <c r="A1789" s="3" t="s">
        <v>1810</v>
      </c>
      <c r="B1789" s="3" t="s">
        <v>22</v>
      </c>
      <c r="C1789" s="3">
        <v>2101647</v>
      </c>
      <c r="D1789" s="3">
        <v>817018</v>
      </c>
      <c r="E1789" s="3" t="s">
        <v>23</v>
      </c>
    </row>
    <row r="1790" spans="1:5">
      <c r="A1790" s="3" t="s">
        <v>1811</v>
      </c>
      <c r="B1790" s="3" t="s">
        <v>22</v>
      </c>
      <c r="C1790" s="3">
        <v>1697919</v>
      </c>
      <c r="D1790" s="3">
        <v>608500</v>
      </c>
      <c r="E1790" s="3" t="s">
        <v>23</v>
      </c>
    </row>
    <row r="1791" spans="1:5">
      <c r="A1791" s="3" t="s">
        <v>1812</v>
      </c>
      <c r="B1791" s="3" t="s">
        <v>22</v>
      </c>
      <c r="C1791" s="3">
        <v>814788</v>
      </c>
      <c r="D1791" s="3">
        <v>13588</v>
      </c>
      <c r="E1791" s="3" t="s">
        <v>23</v>
      </c>
    </row>
    <row r="1792" spans="1:5">
      <c r="A1792" s="3" t="s">
        <v>1813</v>
      </c>
      <c r="B1792" s="3" t="s">
        <v>22</v>
      </c>
      <c r="C1792" s="3">
        <v>1946157</v>
      </c>
      <c r="D1792" s="3">
        <v>764524</v>
      </c>
      <c r="E1792" s="3" t="s">
        <v>23</v>
      </c>
    </row>
    <row r="1793" spans="1:5">
      <c r="A1793" s="3" t="s">
        <v>1814</v>
      </c>
      <c r="B1793" s="3" t="s">
        <v>22</v>
      </c>
      <c r="C1793" s="3">
        <v>1129542</v>
      </c>
      <c r="D1793" s="3">
        <v>215752</v>
      </c>
      <c r="E1793" s="3" t="s">
        <v>23</v>
      </c>
    </row>
    <row r="1794" spans="1:5">
      <c r="A1794" s="3" t="s">
        <v>1815</v>
      </c>
      <c r="B1794" s="3" t="s">
        <v>22</v>
      </c>
      <c r="C1794" s="3">
        <v>1492298</v>
      </c>
      <c r="D1794" s="3">
        <v>438211</v>
      </c>
      <c r="E1794" s="3" t="s">
        <v>23</v>
      </c>
    </row>
    <row r="1795" spans="1:5">
      <c r="A1795" s="3" t="s">
        <v>1816</v>
      </c>
      <c r="B1795" s="3" t="s">
        <v>22</v>
      </c>
      <c r="C1795" s="3">
        <v>1252880</v>
      </c>
      <c r="D1795" s="3">
        <v>247958</v>
      </c>
      <c r="E1795" s="3" t="s">
        <v>23</v>
      </c>
    </row>
    <row r="1796" spans="1:5">
      <c r="A1796" s="3" t="s">
        <v>1817</v>
      </c>
      <c r="B1796" s="3" t="s">
        <v>22</v>
      </c>
      <c r="C1796" s="3">
        <v>1784626</v>
      </c>
      <c r="D1796" s="3">
        <v>600437</v>
      </c>
      <c r="E1796" s="3" t="s">
        <v>23</v>
      </c>
    </row>
    <row r="1797" spans="1:5">
      <c r="A1797" s="3" t="s">
        <v>1818</v>
      </c>
      <c r="B1797" s="3" t="s">
        <v>22</v>
      </c>
      <c r="C1797" s="3">
        <v>1840943</v>
      </c>
      <c r="D1797" s="3">
        <v>692319</v>
      </c>
      <c r="E1797" s="3" t="s">
        <v>23</v>
      </c>
    </row>
    <row r="1798" spans="1:5">
      <c r="A1798" s="3" t="s">
        <v>1819</v>
      </c>
      <c r="B1798" s="3" t="s">
        <v>22</v>
      </c>
      <c r="C1798" s="3">
        <v>685700</v>
      </c>
      <c r="D1798" s="3">
        <v>70313</v>
      </c>
      <c r="E1798" s="3" t="s">
        <v>23</v>
      </c>
    </row>
    <row r="1799" spans="1:5">
      <c r="A1799" s="3" t="s">
        <v>1820</v>
      </c>
      <c r="B1799" s="3" t="s">
        <v>22</v>
      </c>
      <c r="C1799" s="3">
        <v>1854235</v>
      </c>
      <c r="D1799" s="3">
        <v>449641</v>
      </c>
      <c r="E1799" s="3" t="s">
        <v>23</v>
      </c>
    </row>
    <row r="1800" spans="1:5">
      <c r="A1800" s="3" t="s">
        <v>1821</v>
      </c>
      <c r="B1800" s="3" t="s">
        <v>22</v>
      </c>
      <c r="C1800" s="3">
        <v>1040996</v>
      </c>
      <c r="D1800" s="3">
        <v>56258</v>
      </c>
      <c r="E1800" s="3" t="s">
        <v>23</v>
      </c>
    </row>
    <row r="1801" spans="1:5">
      <c r="A1801" s="3" t="s">
        <v>1822</v>
      </c>
      <c r="B1801" s="3" t="s">
        <v>22</v>
      </c>
      <c r="C1801" s="3">
        <v>1030341</v>
      </c>
      <c r="D1801" s="3">
        <v>8481</v>
      </c>
      <c r="E1801" s="3" t="s">
        <v>23</v>
      </c>
    </row>
    <row r="1802" spans="1:5">
      <c r="A1802" s="3" t="s">
        <v>1823</v>
      </c>
      <c r="B1802" s="3" t="s">
        <v>22</v>
      </c>
      <c r="C1802" s="3">
        <v>2074384</v>
      </c>
      <c r="D1802" s="3">
        <v>641443</v>
      </c>
      <c r="E1802" s="3" t="s">
        <v>23</v>
      </c>
    </row>
    <row r="1803" spans="1:5">
      <c r="A1803" s="3" t="s">
        <v>1824</v>
      </c>
      <c r="B1803" s="3" t="s">
        <v>22</v>
      </c>
      <c r="C1803" s="3">
        <v>519607</v>
      </c>
      <c r="D1803" s="3">
        <v>486</v>
      </c>
      <c r="E1803" s="3" t="s">
        <v>23</v>
      </c>
    </row>
    <row r="1804" spans="1:5">
      <c r="A1804" s="3" t="s">
        <v>1825</v>
      </c>
      <c r="B1804" s="3" t="s">
        <v>22</v>
      </c>
      <c r="C1804" s="3">
        <v>1902929</v>
      </c>
      <c r="D1804" s="3">
        <v>523517</v>
      </c>
      <c r="E1804" s="3" t="s">
        <v>23</v>
      </c>
    </row>
    <row r="1805" spans="1:5">
      <c r="A1805" s="3" t="s">
        <v>1826</v>
      </c>
      <c r="B1805" s="3" t="s">
        <v>22</v>
      </c>
      <c r="C1805" s="3">
        <v>1627723</v>
      </c>
      <c r="D1805" s="3">
        <v>325636</v>
      </c>
      <c r="E1805" s="3" t="s">
        <v>23</v>
      </c>
    </row>
    <row r="1806" spans="1:5">
      <c r="A1806" s="3" t="s">
        <v>1827</v>
      </c>
      <c r="B1806" s="3" t="s">
        <v>22</v>
      </c>
      <c r="C1806" s="3">
        <v>1718077</v>
      </c>
      <c r="D1806" s="3">
        <v>397684</v>
      </c>
      <c r="E1806" s="3" t="s">
        <v>23</v>
      </c>
    </row>
    <row r="1807" spans="1:5">
      <c r="A1807" s="3" t="s">
        <v>1828</v>
      </c>
      <c r="B1807" s="3" t="s">
        <v>22</v>
      </c>
      <c r="C1807" s="3">
        <v>1641658</v>
      </c>
      <c r="D1807" s="3">
        <v>421488</v>
      </c>
      <c r="E1807" s="3" t="s">
        <v>23</v>
      </c>
    </row>
    <row r="1808" spans="1:5">
      <c r="A1808" s="3" t="s">
        <v>1829</v>
      </c>
      <c r="B1808" s="3" t="s">
        <v>22</v>
      </c>
      <c r="C1808" s="3">
        <v>993510</v>
      </c>
      <c r="D1808" s="3">
        <v>37484</v>
      </c>
      <c r="E1808" s="3" t="s">
        <v>23</v>
      </c>
    </row>
    <row r="1809" spans="1:5">
      <c r="A1809" s="3" t="s">
        <v>1830</v>
      </c>
      <c r="B1809" s="3" t="s">
        <v>22</v>
      </c>
      <c r="C1809" s="3">
        <v>1426915</v>
      </c>
      <c r="D1809" s="3">
        <v>321905</v>
      </c>
      <c r="E1809" s="3" t="s">
        <v>23</v>
      </c>
    </row>
    <row r="1810" spans="1:5">
      <c r="A1810" s="3" t="s">
        <v>1831</v>
      </c>
      <c r="B1810" s="3" t="s">
        <v>22</v>
      </c>
      <c r="C1810" s="3">
        <v>2160843</v>
      </c>
      <c r="D1810" s="3">
        <v>662906</v>
      </c>
      <c r="E1810" s="3" t="s">
        <v>23</v>
      </c>
    </row>
    <row r="1811" spans="1:5">
      <c r="A1811" s="3" t="s">
        <v>1832</v>
      </c>
      <c r="B1811" s="3" t="s">
        <v>22</v>
      </c>
      <c r="C1811" s="3">
        <v>2340786</v>
      </c>
      <c r="D1811" s="3">
        <v>877770</v>
      </c>
      <c r="E1811" s="3" t="s">
        <v>23</v>
      </c>
    </row>
    <row r="1812" spans="1:5">
      <c r="A1812" s="3" t="s">
        <v>1833</v>
      </c>
      <c r="B1812" s="3" t="s">
        <v>22</v>
      </c>
      <c r="C1812" s="3">
        <v>2356548</v>
      </c>
      <c r="D1812" s="3">
        <v>489072</v>
      </c>
      <c r="E1812" s="3" t="s">
        <v>23</v>
      </c>
    </row>
    <row r="1813" spans="1:5">
      <c r="A1813" s="3" t="s">
        <v>1834</v>
      </c>
      <c r="B1813" s="3" t="s">
        <v>22</v>
      </c>
      <c r="C1813" s="3">
        <v>2249991</v>
      </c>
      <c r="D1813" s="3">
        <v>816733</v>
      </c>
      <c r="E1813" s="3" t="s">
        <v>23</v>
      </c>
    </row>
    <row r="1814" spans="1:5">
      <c r="A1814" s="3" t="s">
        <v>1835</v>
      </c>
      <c r="B1814" s="3" t="s">
        <v>22</v>
      </c>
      <c r="C1814" s="3">
        <v>814732</v>
      </c>
      <c r="D1814" s="3">
        <v>14259</v>
      </c>
      <c r="E1814" s="3" t="s">
        <v>23</v>
      </c>
    </row>
    <row r="1815" spans="1:5">
      <c r="A1815" s="3" t="s">
        <v>1836</v>
      </c>
      <c r="B1815" s="3" t="s">
        <v>22</v>
      </c>
      <c r="C1815" s="3">
        <v>1394438</v>
      </c>
      <c r="D1815" s="3">
        <v>182311</v>
      </c>
      <c r="E1815" s="3" t="s">
        <v>23</v>
      </c>
    </row>
    <row r="1816" spans="1:5">
      <c r="A1816" s="3" t="s">
        <v>1837</v>
      </c>
      <c r="B1816" s="3" t="s">
        <v>22</v>
      </c>
      <c r="C1816" s="3">
        <v>1944481</v>
      </c>
      <c r="D1816" s="3">
        <v>525445</v>
      </c>
      <c r="E1816" s="3" t="s">
        <v>23</v>
      </c>
    </row>
    <row r="1817" spans="1:5">
      <c r="A1817" s="3" t="s">
        <v>1838</v>
      </c>
      <c r="B1817" s="3" t="s">
        <v>22</v>
      </c>
      <c r="C1817" s="3">
        <v>1884541</v>
      </c>
      <c r="D1817" s="3">
        <v>650468</v>
      </c>
      <c r="E1817" s="3" t="s">
        <v>23</v>
      </c>
    </row>
    <row r="1818" spans="1:5">
      <c r="A1818" s="3" t="s">
        <v>1839</v>
      </c>
      <c r="B1818" s="3" t="s">
        <v>22</v>
      </c>
      <c r="C1818" s="3">
        <v>2156539</v>
      </c>
      <c r="D1818" s="3">
        <v>637847</v>
      </c>
      <c r="E1818" s="3" t="s">
        <v>23</v>
      </c>
    </row>
    <row r="1819" spans="1:5">
      <c r="A1819" s="3" t="s">
        <v>1840</v>
      </c>
      <c r="B1819" s="3" t="s">
        <v>22</v>
      </c>
      <c r="C1819" s="3">
        <v>2170089</v>
      </c>
      <c r="D1819" s="3">
        <v>778374</v>
      </c>
      <c r="E1819" s="3" t="s">
        <v>23</v>
      </c>
    </row>
    <row r="1820" spans="1:5">
      <c r="A1820" s="3" t="s">
        <v>1841</v>
      </c>
      <c r="B1820" s="3" t="s">
        <v>22</v>
      </c>
      <c r="C1820" s="3">
        <v>848086</v>
      </c>
      <c r="D1820" s="3">
        <v>20051</v>
      </c>
      <c r="E1820" s="3" t="s">
        <v>23</v>
      </c>
    </row>
    <row r="1821" spans="1:5">
      <c r="A1821" s="3" t="s">
        <v>1842</v>
      </c>
      <c r="B1821" s="3" t="s">
        <v>22</v>
      </c>
      <c r="C1821" s="3">
        <v>1749445</v>
      </c>
      <c r="D1821" s="3">
        <v>386573</v>
      </c>
      <c r="E1821" s="3" t="s">
        <v>23</v>
      </c>
    </row>
    <row r="1822" spans="1:5">
      <c r="A1822" s="3" t="s">
        <v>1843</v>
      </c>
      <c r="B1822" s="3" t="s">
        <v>22</v>
      </c>
      <c r="C1822" s="3">
        <v>2141387</v>
      </c>
      <c r="D1822" s="3">
        <v>643265</v>
      </c>
      <c r="E1822" s="3" t="s">
        <v>23</v>
      </c>
    </row>
    <row r="1823" spans="1:5">
      <c r="A1823" s="3" t="s">
        <v>1844</v>
      </c>
      <c r="B1823" s="3" t="s">
        <v>22</v>
      </c>
      <c r="C1823" s="3">
        <v>951875</v>
      </c>
      <c r="D1823" s="3">
        <v>59322</v>
      </c>
      <c r="E1823" s="3" t="s">
        <v>23</v>
      </c>
    </row>
    <row r="1824" spans="1:5">
      <c r="A1824" s="3" t="s">
        <v>1845</v>
      </c>
      <c r="B1824" s="3" t="s">
        <v>22</v>
      </c>
      <c r="C1824" s="3">
        <v>1896677</v>
      </c>
      <c r="D1824" s="3">
        <v>543781</v>
      </c>
      <c r="E1824" s="3" t="s">
        <v>23</v>
      </c>
    </row>
    <row r="1825" spans="1:5">
      <c r="A1825" s="3" t="s">
        <v>1846</v>
      </c>
      <c r="B1825" s="3" t="s">
        <v>22</v>
      </c>
      <c r="C1825" s="3">
        <v>1895194</v>
      </c>
      <c r="D1825" s="3">
        <v>614028</v>
      </c>
      <c r="E1825" s="3" t="s">
        <v>23</v>
      </c>
    </row>
    <row r="1826" spans="1:5">
      <c r="A1826" s="3" t="s">
        <v>1847</v>
      </c>
      <c r="B1826" s="3" t="s">
        <v>22</v>
      </c>
      <c r="C1826" s="3">
        <v>954494</v>
      </c>
      <c r="D1826" s="3">
        <v>125285</v>
      </c>
      <c r="E1826" s="3" t="s">
        <v>23</v>
      </c>
    </row>
    <row r="1827" spans="1:5">
      <c r="A1827" s="3" t="s">
        <v>1848</v>
      </c>
      <c r="B1827" s="3" t="s">
        <v>22</v>
      </c>
      <c r="C1827" s="3">
        <v>504756</v>
      </c>
      <c r="D1827" s="3">
        <v>1289</v>
      </c>
      <c r="E1827" s="3" t="s">
        <v>23</v>
      </c>
    </row>
    <row r="1828" spans="1:5">
      <c r="A1828" s="3" t="s">
        <v>1849</v>
      </c>
      <c r="B1828" s="3" t="s">
        <v>22</v>
      </c>
      <c r="C1828" s="3">
        <v>2361145</v>
      </c>
      <c r="D1828" s="3">
        <v>866818</v>
      </c>
      <c r="E1828" s="3" t="s">
        <v>23</v>
      </c>
    </row>
    <row r="1829" spans="1:5">
      <c r="A1829" s="3" t="s">
        <v>1850</v>
      </c>
      <c r="B1829" s="3" t="s">
        <v>22</v>
      </c>
      <c r="C1829" s="3">
        <v>817598</v>
      </c>
      <c r="D1829" s="3">
        <v>5850</v>
      </c>
      <c r="E1829" s="3" t="s">
        <v>23</v>
      </c>
    </row>
    <row r="1830" spans="1:5">
      <c r="A1830" s="3" t="s">
        <v>1851</v>
      </c>
      <c r="B1830" s="3" t="s">
        <v>22</v>
      </c>
      <c r="C1830" s="3">
        <v>1931863</v>
      </c>
      <c r="D1830" s="3">
        <v>685143</v>
      </c>
      <c r="E1830" s="3" t="s">
        <v>23</v>
      </c>
    </row>
    <row r="1831" spans="1:5">
      <c r="A1831" s="3" t="s">
        <v>1852</v>
      </c>
      <c r="B1831" s="3" t="s">
        <v>22</v>
      </c>
      <c r="C1831" s="3">
        <v>1424178</v>
      </c>
      <c r="D1831" s="3">
        <v>229124</v>
      </c>
      <c r="E1831" s="3" t="s">
        <v>23</v>
      </c>
    </row>
    <row r="1832" spans="1:5">
      <c r="A1832" s="3" t="s">
        <v>1853</v>
      </c>
      <c r="B1832" s="3" t="s">
        <v>22</v>
      </c>
      <c r="C1832" s="3">
        <v>2034899</v>
      </c>
      <c r="D1832" s="3">
        <v>611621</v>
      </c>
      <c r="E1832" s="3" t="s">
        <v>23</v>
      </c>
    </row>
    <row r="1833" spans="1:5">
      <c r="A1833" s="3" t="s">
        <v>1854</v>
      </c>
      <c r="B1833" s="3" t="s">
        <v>22</v>
      </c>
      <c r="C1833" s="3">
        <v>787544</v>
      </c>
      <c r="D1833" s="3">
        <v>28653</v>
      </c>
      <c r="E1833" s="3" t="s">
        <v>23</v>
      </c>
    </row>
    <row r="1834" spans="1:5">
      <c r="A1834" s="3" t="s">
        <v>1855</v>
      </c>
      <c r="B1834" s="3" t="s">
        <v>22</v>
      </c>
      <c r="C1834" s="3">
        <v>809759</v>
      </c>
      <c r="D1834" s="3">
        <v>52792</v>
      </c>
      <c r="E1834" s="3" t="s">
        <v>23</v>
      </c>
    </row>
    <row r="1835" spans="1:5">
      <c r="A1835" s="3" t="s">
        <v>1856</v>
      </c>
      <c r="B1835" s="3" t="s">
        <v>22</v>
      </c>
      <c r="C1835" s="3">
        <v>2260578</v>
      </c>
      <c r="D1835" s="3">
        <v>780719</v>
      </c>
      <c r="E1835" s="3" t="s">
        <v>23</v>
      </c>
    </row>
    <row r="1836" spans="1:5">
      <c r="A1836" s="3" t="s">
        <v>1857</v>
      </c>
      <c r="B1836" s="3" t="s">
        <v>22</v>
      </c>
      <c r="C1836" s="3">
        <v>1389999</v>
      </c>
      <c r="D1836" s="3">
        <v>230888</v>
      </c>
      <c r="E1836" s="3" t="s">
        <v>23</v>
      </c>
    </row>
    <row r="1837" spans="1:5">
      <c r="A1837" s="3" t="s">
        <v>1858</v>
      </c>
      <c r="B1837" s="3" t="s">
        <v>22</v>
      </c>
      <c r="C1837" s="3">
        <v>1339718</v>
      </c>
      <c r="D1837" s="3">
        <v>278985</v>
      </c>
      <c r="E1837" s="3" t="s">
        <v>23</v>
      </c>
    </row>
    <row r="1838" spans="1:5">
      <c r="A1838" s="3" t="s">
        <v>1859</v>
      </c>
      <c r="B1838" s="3" t="s">
        <v>22</v>
      </c>
      <c r="C1838" s="3">
        <v>1313570</v>
      </c>
      <c r="D1838" s="3">
        <v>198553</v>
      </c>
      <c r="E1838" s="3" t="s">
        <v>23</v>
      </c>
    </row>
    <row r="1839" spans="1:5">
      <c r="A1839" s="3" t="s">
        <v>1860</v>
      </c>
      <c r="B1839" s="3" t="s">
        <v>22</v>
      </c>
      <c r="C1839" s="3">
        <v>1348275</v>
      </c>
      <c r="D1839" s="3">
        <v>353757</v>
      </c>
      <c r="E1839" s="3" t="s">
        <v>23</v>
      </c>
    </row>
    <row r="1840" spans="1:5">
      <c r="A1840" s="3" t="s">
        <v>1861</v>
      </c>
      <c r="B1840" s="3" t="s">
        <v>22</v>
      </c>
      <c r="C1840" s="3">
        <v>1322488</v>
      </c>
      <c r="D1840" s="3">
        <v>293590</v>
      </c>
      <c r="E1840" s="3" t="s">
        <v>23</v>
      </c>
    </row>
    <row r="1841" spans="1:5">
      <c r="A1841" s="3" t="s">
        <v>1862</v>
      </c>
      <c r="B1841" s="3" t="s">
        <v>22</v>
      </c>
      <c r="C1841" s="3">
        <v>2489826</v>
      </c>
      <c r="D1841" s="3">
        <v>975551</v>
      </c>
      <c r="E1841" s="3" t="s">
        <v>23</v>
      </c>
    </row>
    <row r="1842" spans="1:5">
      <c r="A1842" s="3" t="s">
        <v>1863</v>
      </c>
      <c r="B1842" s="3" t="s">
        <v>22</v>
      </c>
      <c r="C1842" s="3">
        <v>394682</v>
      </c>
      <c r="D1842" s="3">
        <v>12524</v>
      </c>
      <c r="E1842" s="3" t="s">
        <v>23</v>
      </c>
    </row>
    <row r="1843" spans="1:5">
      <c r="A1843" s="3" t="s">
        <v>1864</v>
      </c>
      <c r="B1843" s="3" t="s">
        <v>22</v>
      </c>
      <c r="C1843" s="3">
        <v>1979002</v>
      </c>
      <c r="D1843" s="3">
        <v>525192</v>
      </c>
      <c r="E1843" s="3" t="s">
        <v>23</v>
      </c>
    </row>
    <row r="1844" spans="1:5">
      <c r="A1844" s="3" t="s">
        <v>1865</v>
      </c>
      <c r="B1844" s="3" t="s">
        <v>22</v>
      </c>
      <c r="C1844" s="3">
        <v>2092437</v>
      </c>
      <c r="D1844" s="3">
        <v>727334</v>
      </c>
      <c r="E1844" s="3" t="s">
        <v>23</v>
      </c>
    </row>
    <row r="1845" spans="1:5">
      <c r="A1845" s="3" t="s">
        <v>1866</v>
      </c>
      <c r="B1845" s="3" t="s">
        <v>22</v>
      </c>
      <c r="C1845" s="3">
        <v>1174009</v>
      </c>
      <c r="D1845" s="3">
        <v>197890</v>
      </c>
      <c r="E1845" s="3" t="s">
        <v>23</v>
      </c>
    </row>
    <row r="1846" spans="1:5">
      <c r="A1846" s="3" t="s">
        <v>1867</v>
      </c>
      <c r="B1846" s="3" t="s">
        <v>22</v>
      </c>
      <c r="C1846" s="3">
        <v>1592002</v>
      </c>
      <c r="D1846" s="3">
        <v>371185</v>
      </c>
      <c r="E1846" s="3" t="s">
        <v>23</v>
      </c>
    </row>
    <row r="1847" spans="1:5">
      <c r="A1847" s="3" t="s">
        <v>1868</v>
      </c>
      <c r="B1847" s="3" t="s">
        <v>22</v>
      </c>
      <c r="C1847" s="3">
        <v>2043827</v>
      </c>
      <c r="D1847" s="3">
        <v>682250</v>
      </c>
      <c r="E1847" s="3" t="s">
        <v>23</v>
      </c>
    </row>
    <row r="1848" spans="1:5">
      <c r="A1848" s="3" t="s">
        <v>1869</v>
      </c>
      <c r="B1848" s="3" t="s">
        <v>22</v>
      </c>
      <c r="C1848" s="3">
        <v>2106327</v>
      </c>
      <c r="D1848" s="3">
        <v>742509</v>
      </c>
      <c r="E1848" s="3" t="s">
        <v>23</v>
      </c>
    </row>
    <row r="1849" spans="1:5">
      <c r="A1849" s="3" t="s">
        <v>1870</v>
      </c>
      <c r="B1849" s="3" t="s">
        <v>22</v>
      </c>
      <c r="C1849" s="3">
        <v>1751493</v>
      </c>
      <c r="D1849" s="3">
        <v>498974</v>
      </c>
      <c r="E1849" s="3" t="s">
        <v>23</v>
      </c>
    </row>
    <row r="1850" spans="1:5">
      <c r="A1850" s="3" t="s">
        <v>1871</v>
      </c>
      <c r="B1850" s="3" t="s">
        <v>22</v>
      </c>
      <c r="C1850" s="3">
        <v>1880872</v>
      </c>
      <c r="D1850" s="3">
        <v>538748</v>
      </c>
      <c r="E1850" s="3" t="s">
        <v>23</v>
      </c>
    </row>
    <row r="1851" spans="1:5">
      <c r="A1851" s="3" t="s">
        <v>1872</v>
      </c>
      <c r="B1851" s="3" t="s">
        <v>22</v>
      </c>
      <c r="C1851" s="3">
        <v>528756</v>
      </c>
      <c r="D1851" s="3">
        <v>3880</v>
      </c>
      <c r="E1851" s="3" t="s">
        <v>23</v>
      </c>
    </row>
    <row r="1852" spans="1:5">
      <c r="A1852" s="3" t="s">
        <v>1873</v>
      </c>
      <c r="B1852" s="3" t="s">
        <v>22</v>
      </c>
      <c r="C1852" s="3">
        <v>714955</v>
      </c>
      <c r="D1852" s="3">
        <v>67381</v>
      </c>
      <c r="E1852" s="3" t="s">
        <v>23</v>
      </c>
    </row>
    <row r="1853" spans="1:5">
      <c r="A1853" s="3" t="s">
        <v>1874</v>
      </c>
      <c r="B1853" s="3" t="s">
        <v>22</v>
      </c>
      <c r="C1853" s="3">
        <v>1046288</v>
      </c>
      <c r="D1853" s="3">
        <v>214557</v>
      </c>
      <c r="E1853" s="3" t="s">
        <v>23</v>
      </c>
    </row>
    <row r="1854" spans="1:5">
      <c r="A1854" s="3" t="s">
        <v>1875</v>
      </c>
      <c r="B1854" s="3" t="s">
        <v>22</v>
      </c>
      <c r="C1854" s="3">
        <v>1063708</v>
      </c>
      <c r="D1854" s="3">
        <v>102772</v>
      </c>
      <c r="E1854" s="3" t="s">
        <v>23</v>
      </c>
    </row>
    <row r="1855" spans="1:5">
      <c r="A1855" s="3" t="s">
        <v>1876</v>
      </c>
      <c r="B1855" s="3" t="s">
        <v>22</v>
      </c>
      <c r="C1855" s="3">
        <v>2114211</v>
      </c>
      <c r="D1855" s="3">
        <v>672274</v>
      </c>
      <c r="E1855" s="3" t="s">
        <v>23</v>
      </c>
    </row>
    <row r="1856" spans="1:5">
      <c r="A1856" s="3" t="s">
        <v>1877</v>
      </c>
      <c r="B1856" s="3" t="s">
        <v>22</v>
      </c>
      <c r="C1856" s="3">
        <v>1755258</v>
      </c>
      <c r="D1856" s="3">
        <v>509738</v>
      </c>
      <c r="E1856" s="3" t="s">
        <v>23</v>
      </c>
    </row>
    <row r="1857" spans="1:5">
      <c r="A1857" s="3" t="s">
        <v>1878</v>
      </c>
      <c r="B1857" s="3" t="s">
        <v>22</v>
      </c>
      <c r="C1857" s="3">
        <v>1336406</v>
      </c>
      <c r="D1857" s="3">
        <v>214768</v>
      </c>
      <c r="E1857" s="3" t="s">
        <v>23</v>
      </c>
    </row>
    <row r="1858" spans="1:5">
      <c r="A1858" s="3" t="s">
        <v>1879</v>
      </c>
      <c r="B1858" s="3" t="s">
        <v>22</v>
      </c>
      <c r="C1858" s="3">
        <v>531706</v>
      </c>
      <c r="D1858" s="3">
        <v>2397</v>
      </c>
      <c r="E1858" s="3" t="s">
        <v>23</v>
      </c>
    </row>
    <row r="1859" spans="1:5">
      <c r="A1859" s="3" t="s">
        <v>1880</v>
      </c>
      <c r="B1859" s="3" t="s">
        <v>22</v>
      </c>
      <c r="C1859" s="3">
        <v>2433908</v>
      </c>
      <c r="D1859" s="3">
        <v>879838</v>
      </c>
      <c r="E1859" s="3" t="s">
        <v>23</v>
      </c>
    </row>
    <row r="1860" spans="1:5">
      <c r="A1860" s="3" t="s">
        <v>1881</v>
      </c>
      <c r="B1860" s="3" t="s">
        <v>22</v>
      </c>
      <c r="C1860" s="3">
        <v>1572681</v>
      </c>
      <c r="D1860" s="3">
        <v>278386</v>
      </c>
      <c r="E1860" s="3" t="s">
        <v>23</v>
      </c>
    </row>
    <row r="1861" spans="1:5">
      <c r="A1861" s="3" t="s">
        <v>1882</v>
      </c>
      <c r="B1861" s="3" t="s">
        <v>22</v>
      </c>
      <c r="C1861" s="3">
        <v>622771</v>
      </c>
      <c r="D1861" s="3">
        <v>96525</v>
      </c>
      <c r="E1861" s="3" t="s">
        <v>23</v>
      </c>
    </row>
    <row r="1862" spans="1:5">
      <c r="A1862" s="3" t="s">
        <v>1883</v>
      </c>
      <c r="B1862" s="3" t="s">
        <v>22</v>
      </c>
      <c r="C1862" s="3">
        <v>1110214</v>
      </c>
      <c r="D1862" s="3">
        <v>326558</v>
      </c>
      <c r="E1862" s="3" t="s">
        <v>23</v>
      </c>
    </row>
    <row r="1863" spans="1:5">
      <c r="A1863" s="3" t="s">
        <v>1884</v>
      </c>
      <c r="B1863" s="3" t="s">
        <v>22</v>
      </c>
      <c r="C1863" s="3">
        <v>1008115</v>
      </c>
      <c r="D1863" s="3">
        <v>245824</v>
      </c>
      <c r="E1863" s="3" t="s">
        <v>23</v>
      </c>
    </row>
    <row r="1864" spans="1:5">
      <c r="A1864" s="3" t="s">
        <v>1885</v>
      </c>
      <c r="B1864" s="3" t="s">
        <v>22</v>
      </c>
      <c r="C1864" s="3">
        <v>638143</v>
      </c>
      <c r="D1864" s="3">
        <v>94606</v>
      </c>
      <c r="E1864" s="3" t="s">
        <v>23</v>
      </c>
    </row>
    <row r="1865" spans="1:5">
      <c r="A1865" s="3" t="s">
        <v>1886</v>
      </c>
      <c r="B1865" s="3" t="s">
        <v>22</v>
      </c>
      <c r="C1865" s="3">
        <v>610718</v>
      </c>
      <c r="D1865" s="3">
        <v>55263</v>
      </c>
      <c r="E1865" s="3" t="s">
        <v>23</v>
      </c>
    </row>
    <row r="1866" spans="1:5">
      <c r="A1866" s="3" t="s">
        <v>1887</v>
      </c>
      <c r="B1866" s="3" t="s">
        <v>22</v>
      </c>
      <c r="C1866" s="3">
        <v>1323629</v>
      </c>
      <c r="D1866" s="3">
        <v>406015</v>
      </c>
      <c r="E1866" s="3" t="s">
        <v>23</v>
      </c>
    </row>
    <row r="1867" spans="1:5">
      <c r="A1867" s="3" t="s">
        <v>1888</v>
      </c>
      <c r="B1867" s="3" t="s">
        <v>22</v>
      </c>
      <c r="C1867" s="3">
        <v>1182271</v>
      </c>
      <c r="D1867" s="3">
        <v>339602</v>
      </c>
      <c r="E1867" s="3" t="s">
        <v>23</v>
      </c>
    </row>
    <row r="1868" spans="1:5">
      <c r="A1868" s="3" t="s">
        <v>1889</v>
      </c>
      <c r="B1868" s="3" t="s">
        <v>22</v>
      </c>
      <c r="C1868" s="3">
        <v>307155</v>
      </c>
      <c r="D1868" s="3">
        <v>7280</v>
      </c>
      <c r="E1868" s="3" t="s">
        <v>23</v>
      </c>
    </row>
    <row r="1869" spans="1:5">
      <c r="A1869" s="3" t="s">
        <v>1890</v>
      </c>
      <c r="B1869" s="3" t="s">
        <v>22</v>
      </c>
      <c r="C1869" s="3">
        <v>335996</v>
      </c>
      <c r="D1869" s="3">
        <v>2726</v>
      </c>
      <c r="E1869" s="3" t="s">
        <v>23</v>
      </c>
    </row>
    <row r="1870" spans="1:5">
      <c r="A1870" s="3" t="s">
        <v>1891</v>
      </c>
      <c r="B1870" s="3" t="s">
        <v>22</v>
      </c>
      <c r="C1870" s="3">
        <v>1265197</v>
      </c>
      <c r="D1870" s="3">
        <v>369230</v>
      </c>
      <c r="E1870" s="3" t="s">
        <v>23</v>
      </c>
    </row>
    <row r="1871" spans="1:5">
      <c r="A1871" s="3" t="s">
        <v>1892</v>
      </c>
      <c r="B1871" s="3" t="s">
        <v>22</v>
      </c>
      <c r="C1871" s="3">
        <v>913638</v>
      </c>
      <c r="D1871" s="3">
        <v>205033</v>
      </c>
      <c r="E1871" s="3" t="s">
        <v>23</v>
      </c>
    </row>
    <row r="1872" spans="1:5">
      <c r="A1872" s="3" t="s">
        <v>1893</v>
      </c>
      <c r="B1872" s="3" t="s">
        <v>22</v>
      </c>
      <c r="C1872" s="3">
        <v>1107433</v>
      </c>
      <c r="D1872" s="3">
        <v>283154</v>
      </c>
      <c r="E1872" s="3" t="s">
        <v>23</v>
      </c>
    </row>
    <row r="1873" spans="1:5">
      <c r="A1873" s="3" t="s">
        <v>1894</v>
      </c>
      <c r="B1873" s="3" t="s">
        <v>22</v>
      </c>
      <c r="C1873" s="3">
        <v>987942</v>
      </c>
      <c r="D1873" s="3">
        <v>268316</v>
      </c>
      <c r="E1873" s="3" t="s">
        <v>23</v>
      </c>
    </row>
    <row r="1874" spans="1:5">
      <c r="A1874" s="3" t="s">
        <v>1895</v>
      </c>
      <c r="B1874" s="3" t="s">
        <v>22</v>
      </c>
      <c r="C1874" s="3">
        <v>454390</v>
      </c>
      <c r="D1874" s="3">
        <v>44204</v>
      </c>
      <c r="E1874" s="3" t="s">
        <v>23</v>
      </c>
    </row>
    <row r="1875" spans="1:5">
      <c r="A1875" s="3" t="s">
        <v>1896</v>
      </c>
      <c r="B1875" s="3" t="s">
        <v>22</v>
      </c>
      <c r="C1875" s="3">
        <v>521363</v>
      </c>
      <c r="D1875" s="3">
        <v>6551</v>
      </c>
      <c r="E1875" s="3" t="s">
        <v>23</v>
      </c>
    </row>
    <row r="1876" spans="1:5">
      <c r="A1876" s="3" t="s">
        <v>1897</v>
      </c>
      <c r="B1876" s="3" t="s">
        <v>22</v>
      </c>
      <c r="C1876" s="3">
        <v>320410</v>
      </c>
      <c r="D1876" s="3">
        <v>26113</v>
      </c>
      <c r="E1876" s="3" t="s">
        <v>23</v>
      </c>
    </row>
    <row r="1877" spans="1:5">
      <c r="A1877" s="3" t="s">
        <v>1898</v>
      </c>
      <c r="B1877" s="3" t="s">
        <v>22</v>
      </c>
      <c r="C1877" s="3">
        <v>1060988</v>
      </c>
      <c r="D1877" s="3">
        <v>264945</v>
      </c>
      <c r="E1877" s="3" t="s">
        <v>23</v>
      </c>
    </row>
    <row r="1878" spans="1:5">
      <c r="A1878" s="3" t="s">
        <v>1899</v>
      </c>
      <c r="B1878" s="3" t="s">
        <v>22</v>
      </c>
      <c r="C1878" s="3">
        <v>1151567</v>
      </c>
      <c r="D1878" s="3">
        <v>307349</v>
      </c>
      <c r="E1878" s="3" t="s">
        <v>23</v>
      </c>
    </row>
    <row r="1879" spans="1:5">
      <c r="A1879" s="3" t="s">
        <v>1900</v>
      </c>
      <c r="B1879" s="3" t="s">
        <v>22</v>
      </c>
      <c r="C1879" s="3">
        <v>795360</v>
      </c>
      <c r="D1879" s="3">
        <v>142953</v>
      </c>
      <c r="E1879" s="3" t="s">
        <v>23</v>
      </c>
    </row>
    <row r="1880" spans="1:5">
      <c r="A1880" s="3" t="s">
        <v>1901</v>
      </c>
      <c r="B1880" s="3" t="s">
        <v>22</v>
      </c>
      <c r="C1880" s="3">
        <v>259814</v>
      </c>
      <c r="D1880" s="3">
        <v>218</v>
      </c>
      <c r="E1880" s="3" t="s">
        <v>23</v>
      </c>
    </row>
    <row r="1881" spans="1:5">
      <c r="A1881" s="3" t="s">
        <v>1902</v>
      </c>
      <c r="B1881" s="3" t="s">
        <v>22</v>
      </c>
      <c r="C1881" s="3">
        <v>1075281</v>
      </c>
      <c r="D1881" s="3">
        <v>267612</v>
      </c>
      <c r="E1881" s="3" t="s">
        <v>23</v>
      </c>
    </row>
    <row r="1882" spans="1:5">
      <c r="A1882" s="3" t="s">
        <v>1903</v>
      </c>
      <c r="B1882" s="3" t="s">
        <v>22</v>
      </c>
      <c r="C1882" s="3">
        <v>930217</v>
      </c>
      <c r="D1882" s="3">
        <v>210393</v>
      </c>
      <c r="E1882" s="3" t="s">
        <v>23</v>
      </c>
    </row>
    <row r="1883" spans="1:5">
      <c r="A1883" s="3" t="s">
        <v>1904</v>
      </c>
      <c r="B1883" s="3" t="s">
        <v>22</v>
      </c>
      <c r="C1883" s="3">
        <v>1102255</v>
      </c>
      <c r="D1883" s="3">
        <v>285006</v>
      </c>
      <c r="E1883" s="3" t="s">
        <v>23</v>
      </c>
    </row>
    <row r="1884" spans="1:5">
      <c r="A1884" s="3" t="s">
        <v>1905</v>
      </c>
      <c r="B1884" s="3" t="s">
        <v>22</v>
      </c>
      <c r="C1884" s="3">
        <v>333124</v>
      </c>
      <c r="D1884" s="3">
        <v>18546</v>
      </c>
      <c r="E1884" s="3" t="s">
        <v>23</v>
      </c>
    </row>
    <row r="1885" spans="1:5">
      <c r="A1885" s="3" t="s">
        <v>1906</v>
      </c>
      <c r="B1885" s="3" t="s">
        <v>22</v>
      </c>
      <c r="C1885" s="3">
        <v>923934</v>
      </c>
      <c r="D1885" s="3">
        <v>217738</v>
      </c>
      <c r="E1885" s="3" t="s">
        <v>23</v>
      </c>
    </row>
    <row r="1886" spans="1:5">
      <c r="A1886" s="3" t="s">
        <v>1907</v>
      </c>
      <c r="B1886" s="3" t="s">
        <v>22</v>
      </c>
      <c r="C1886" s="3">
        <v>557183</v>
      </c>
      <c r="D1886" s="3">
        <v>93328</v>
      </c>
      <c r="E1886" s="3" t="s">
        <v>23</v>
      </c>
    </row>
    <row r="1887" spans="1:5">
      <c r="A1887" s="3" t="s">
        <v>1908</v>
      </c>
      <c r="B1887" s="3" t="s">
        <v>22</v>
      </c>
      <c r="C1887" s="3">
        <v>671685</v>
      </c>
      <c r="D1887" s="3">
        <v>85791</v>
      </c>
      <c r="E1887" s="3" t="s">
        <v>23</v>
      </c>
    </row>
    <row r="1888" spans="1:5">
      <c r="A1888" s="3" t="s">
        <v>1909</v>
      </c>
      <c r="B1888" s="3" t="s">
        <v>22</v>
      </c>
      <c r="C1888" s="3">
        <v>775083</v>
      </c>
      <c r="D1888" s="3">
        <v>115224</v>
      </c>
      <c r="E1888" s="3" t="s">
        <v>23</v>
      </c>
    </row>
    <row r="1889" spans="1:5">
      <c r="A1889" s="3" t="s">
        <v>1910</v>
      </c>
      <c r="B1889" s="3" t="s">
        <v>22</v>
      </c>
      <c r="C1889" s="3">
        <v>1171055</v>
      </c>
      <c r="D1889" s="3">
        <v>334955</v>
      </c>
      <c r="E1889" s="3" t="s">
        <v>23</v>
      </c>
    </row>
    <row r="1890" spans="1:5">
      <c r="A1890" s="3" t="s">
        <v>1911</v>
      </c>
      <c r="B1890" s="3" t="s">
        <v>22</v>
      </c>
      <c r="C1890" s="3">
        <v>1221832</v>
      </c>
      <c r="D1890" s="3">
        <v>328582</v>
      </c>
      <c r="E1890" s="3" t="s">
        <v>23</v>
      </c>
    </row>
    <row r="1891" spans="1:5">
      <c r="A1891" s="3" t="s">
        <v>1912</v>
      </c>
      <c r="B1891" s="3" t="s">
        <v>22</v>
      </c>
      <c r="C1891" s="3">
        <v>437196</v>
      </c>
      <c r="D1891" s="3">
        <v>5744</v>
      </c>
      <c r="E1891" s="3" t="s">
        <v>23</v>
      </c>
    </row>
    <row r="1892" spans="1:5">
      <c r="A1892" s="3" t="s">
        <v>1913</v>
      </c>
      <c r="B1892" s="3" t="s">
        <v>22</v>
      </c>
      <c r="C1892" s="3">
        <v>709644</v>
      </c>
      <c r="D1892" s="3">
        <v>90577</v>
      </c>
      <c r="E1892" s="3" t="s">
        <v>23</v>
      </c>
    </row>
    <row r="1893" spans="1:5">
      <c r="A1893" s="3" t="s">
        <v>1914</v>
      </c>
      <c r="B1893" s="3" t="s">
        <v>22</v>
      </c>
      <c r="C1893" s="3">
        <v>723980</v>
      </c>
      <c r="D1893" s="3">
        <v>70163</v>
      </c>
      <c r="E1893" s="3" t="s">
        <v>23</v>
      </c>
    </row>
    <row r="1894" spans="1:5">
      <c r="A1894" s="3" t="s">
        <v>1915</v>
      </c>
      <c r="B1894" s="3" t="s">
        <v>22</v>
      </c>
      <c r="C1894" s="3">
        <v>722354</v>
      </c>
      <c r="D1894" s="3">
        <v>116171</v>
      </c>
      <c r="E1894" s="3" t="s">
        <v>23</v>
      </c>
    </row>
    <row r="1895" spans="1:5">
      <c r="A1895" s="3" t="s">
        <v>1916</v>
      </c>
      <c r="B1895" s="3" t="s">
        <v>22</v>
      </c>
      <c r="C1895" s="3">
        <v>741214</v>
      </c>
      <c r="D1895" s="3">
        <v>117135</v>
      </c>
      <c r="E1895" s="3" t="s">
        <v>23</v>
      </c>
    </row>
    <row r="1896" spans="1:5">
      <c r="A1896" s="3" t="s">
        <v>1917</v>
      </c>
      <c r="B1896" s="3" t="s">
        <v>22</v>
      </c>
      <c r="C1896" s="3">
        <v>678692</v>
      </c>
      <c r="D1896" s="3">
        <v>105913</v>
      </c>
      <c r="E1896" s="3" t="s">
        <v>23</v>
      </c>
    </row>
    <row r="1897" spans="1:5">
      <c r="A1897" s="3" t="s">
        <v>1918</v>
      </c>
      <c r="B1897" s="3" t="s">
        <v>22</v>
      </c>
      <c r="C1897" s="3">
        <v>1031198</v>
      </c>
      <c r="D1897" s="3">
        <v>227824</v>
      </c>
      <c r="E1897" s="3" t="s">
        <v>23</v>
      </c>
    </row>
    <row r="1898" spans="1:5">
      <c r="A1898" s="3" t="s">
        <v>1919</v>
      </c>
      <c r="B1898" s="3" t="s">
        <v>22</v>
      </c>
      <c r="C1898" s="3">
        <v>714975</v>
      </c>
      <c r="D1898" s="3">
        <v>131567</v>
      </c>
      <c r="E1898" s="3" t="s">
        <v>23</v>
      </c>
    </row>
    <row r="1899" spans="1:5">
      <c r="A1899" s="3" t="s">
        <v>1920</v>
      </c>
      <c r="B1899" s="3" t="s">
        <v>22</v>
      </c>
      <c r="C1899" s="3">
        <v>1126205</v>
      </c>
      <c r="D1899" s="3">
        <v>288077</v>
      </c>
      <c r="E1899" s="3" t="s">
        <v>23</v>
      </c>
    </row>
    <row r="1900" spans="1:5">
      <c r="A1900" s="3" t="s">
        <v>1921</v>
      </c>
      <c r="B1900" s="3" t="s">
        <v>22</v>
      </c>
      <c r="C1900" s="3">
        <v>548763</v>
      </c>
      <c r="D1900" s="3">
        <v>43799</v>
      </c>
      <c r="E1900" s="3" t="s">
        <v>23</v>
      </c>
    </row>
    <row r="1901" spans="1:5">
      <c r="A1901" s="3" t="s">
        <v>1922</v>
      </c>
      <c r="B1901" s="3" t="s">
        <v>22</v>
      </c>
      <c r="C1901" s="3">
        <v>670291</v>
      </c>
      <c r="D1901" s="3">
        <v>101519</v>
      </c>
      <c r="E1901" s="3" t="s">
        <v>23</v>
      </c>
    </row>
    <row r="1902" spans="1:5">
      <c r="A1902" s="3" t="s">
        <v>1923</v>
      </c>
      <c r="B1902" s="3" t="s">
        <v>22</v>
      </c>
      <c r="C1902" s="3">
        <v>614256</v>
      </c>
      <c r="D1902" s="3">
        <v>31676</v>
      </c>
      <c r="E1902" s="3" t="s">
        <v>23</v>
      </c>
    </row>
    <row r="1903" spans="1:5">
      <c r="A1903" s="3" t="s">
        <v>1924</v>
      </c>
      <c r="B1903" s="3" t="s">
        <v>22</v>
      </c>
      <c r="C1903" s="3">
        <v>1049737</v>
      </c>
      <c r="D1903" s="3">
        <v>274062</v>
      </c>
      <c r="E1903" s="3" t="s">
        <v>23</v>
      </c>
    </row>
    <row r="1904" spans="1:5">
      <c r="A1904" s="3" t="s">
        <v>1925</v>
      </c>
      <c r="B1904" s="3" t="s">
        <v>22</v>
      </c>
      <c r="C1904" s="3">
        <v>903918</v>
      </c>
      <c r="D1904" s="3">
        <v>151173</v>
      </c>
      <c r="E1904" s="3" t="s">
        <v>23</v>
      </c>
    </row>
    <row r="1905" spans="1:5">
      <c r="A1905" s="3" t="s">
        <v>1926</v>
      </c>
      <c r="B1905" s="3" t="s">
        <v>22</v>
      </c>
      <c r="C1905" s="3">
        <v>1495939</v>
      </c>
      <c r="D1905" s="3">
        <v>355665</v>
      </c>
      <c r="E1905" s="3" t="s">
        <v>23</v>
      </c>
    </row>
    <row r="1906" spans="1:5">
      <c r="A1906" s="3" t="s">
        <v>1927</v>
      </c>
      <c r="B1906" s="3" t="s">
        <v>22</v>
      </c>
      <c r="C1906" s="3">
        <v>776591</v>
      </c>
      <c r="D1906" s="3">
        <v>100182</v>
      </c>
      <c r="E1906" s="3" t="s">
        <v>23</v>
      </c>
    </row>
    <row r="1907" spans="1:5">
      <c r="A1907" s="3" t="s">
        <v>1928</v>
      </c>
      <c r="B1907" s="3" t="s">
        <v>22</v>
      </c>
      <c r="C1907" s="3">
        <v>542541</v>
      </c>
      <c r="D1907" s="3">
        <v>15794</v>
      </c>
      <c r="E1907" s="3" t="s">
        <v>23</v>
      </c>
    </row>
    <row r="1908" spans="1:5">
      <c r="A1908" s="3" t="s">
        <v>1929</v>
      </c>
      <c r="B1908" s="3" t="s">
        <v>22</v>
      </c>
      <c r="C1908" s="3">
        <v>381414</v>
      </c>
      <c r="D1908" s="3">
        <v>4534</v>
      </c>
      <c r="E1908" s="3" t="s">
        <v>23</v>
      </c>
    </row>
    <row r="1909" spans="1:5">
      <c r="A1909" s="3" t="s">
        <v>1930</v>
      </c>
      <c r="B1909" s="3" t="s">
        <v>22</v>
      </c>
      <c r="C1909" s="3">
        <v>582491</v>
      </c>
      <c r="D1909" s="3">
        <v>48418</v>
      </c>
      <c r="E1909" s="3" t="s">
        <v>23</v>
      </c>
    </row>
    <row r="1910" spans="1:5">
      <c r="A1910" s="3" t="s">
        <v>1931</v>
      </c>
      <c r="B1910" s="3" t="s">
        <v>22</v>
      </c>
      <c r="C1910" s="3">
        <v>895640</v>
      </c>
      <c r="D1910" s="3">
        <v>138055</v>
      </c>
      <c r="E1910" s="3" t="s">
        <v>23</v>
      </c>
    </row>
    <row r="1911" spans="1:5">
      <c r="A1911" s="3" t="s">
        <v>1932</v>
      </c>
      <c r="B1911" s="3" t="s">
        <v>22</v>
      </c>
      <c r="C1911" s="3">
        <v>525073</v>
      </c>
      <c r="D1911" s="3">
        <v>48138</v>
      </c>
      <c r="E1911" s="3" t="s">
        <v>23</v>
      </c>
    </row>
    <row r="1912" spans="1:5">
      <c r="A1912" s="3" t="s">
        <v>1933</v>
      </c>
      <c r="B1912" s="3" t="s">
        <v>22</v>
      </c>
      <c r="C1912" s="3">
        <v>1433646</v>
      </c>
      <c r="D1912" s="3">
        <v>395068</v>
      </c>
      <c r="E1912" s="3" t="s">
        <v>23</v>
      </c>
    </row>
    <row r="1913" spans="1:5">
      <c r="A1913" s="3" t="s">
        <v>1934</v>
      </c>
      <c r="B1913" s="3" t="s">
        <v>22</v>
      </c>
      <c r="C1913" s="3">
        <v>863128</v>
      </c>
      <c r="D1913" s="3">
        <v>220417</v>
      </c>
      <c r="E1913" s="3" t="s">
        <v>23</v>
      </c>
    </row>
    <row r="1914" spans="1:5">
      <c r="A1914" s="3" t="s">
        <v>1935</v>
      </c>
      <c r="B1914" s="3" t="s">
        <v>22</v>
      </c>
      <c r="C1914" s="3">
        <v>852469</v>
      </c>
      <c r="D1914" s="3">
        <v>136269</v>
      </c>
      <c r="E1914" s="3" t="s">
        <v>23</v>
      </c>
    </row>
    <row r="1915" spans="1:5">
      <c r="A1915" s="3" t="s">
        <v>1936</v>
      </c>
      <c r="B1915" s="3" t="s">
        <v>22</v>
      </c>
      <c r="C1915" s="3">
        <v>1273511</v>
      </c>
      <c r="D1915" s="3">
        <v>408278</v>
      </c>
      <c r="E1915" s="3" t="s">
        <v>23</v>
      </c>
    </row>
    <row r="1916" spans="1:5">
      <c r="A1916" s="3" t="s">
        <v>1937</v>
      </c>
      <c r="B1916" s="3" t="s">
        <v>22</v>
      </c>
      <c r="C1916" s="3">
        <v>496035</v>
      </c>
      <c r="D1916" s="3">
        <v>20874</v>
      </c>
      <c r="E1916" s="3" t="s">
        <v>23</v>
      </c>
    </row>
    <row r="1917" spans="1:5">
      <c r="A1917" s="3" t="s">
        <v>1938</v>
      </c>
      <c r="B1917" s="3" t="s">
        <v>22</v>
      </c>
      <c r="C1917" s="3">
        <v>1221127</v>
      </c>
      <c r="D1917" s="3">
        <v>322163</v>
      </c>
      <c r="E1917" s="3" t="s">
        <v>23</v>
      </c>
    </row>
    <row r="1918" spans="1:5">
      <c r="A1918" s="3" t="s">
        <v>1939</v>
      </c>
      <c r="B1918" s="3" t="s">
        <v>22</v>
      </c>
      <c r="C1918" s="3">
        <v>1013420</v>
      </c>
      <c r="D1918" s="3">
        <v>202550</v>
      </c>
      <c r="E1918" s="3" t="s">
        <v>23</v>
      </c>
    </row>
    <row r="1919" spans="1:5">
      <c r="A1919" s="3" t="s">
        <v>1940</v>
      </c>
      <c r="B1919" s="3" t="s">
        <v>22</v>
      </c>
      <c r="C1919" s="3">
        <v>467779</v>
      </c>
      <c r="D1919" s="3">
        <v>10116</v>
      </c>
      <c r="E1919" s="3" t="s">
        <v>23</v>
      </c>
    </row>
    <row r="1920" spans="1:5">
      <c r="A1920" s="3" t="s">
        <v>1941</v>
      </c>
      <c r="B1920" s="3" t="s">
        <v>22</v>
      </c>
      <c r="C1920" s="3">
        <v>489840</v>
      </c>
      <c r="D1920" s="3">
        <v>38010</v>
      </c>
      <c r="E1920" s="3" t="s">
        <v>23</v>
      </c>
    </row>
    <row r="1921" spans="1:5">
      <c r="A1921" s="3" t="s">
        <v>1942</v>
      </c>
      <c r="B1921" s="3" t="s">
        <v>22</v>
      </c>
      <c r="C1921" s="3">
        <v>1353267</v>
      </c>
      <c r="D1921" s="3">
        <v>434026</v>
      </c>
      <c r="E1921" s="3" t="s">
        <v>23</v>
      </c>
    </row>
    <row r="1922" spans="1:5">
      <c r="A1922" s="3" t="s">
        <v>1943</v>
      </c>
      <c r="B1922" s="3" t="s">
        <v>22</v>
      </c>
      <c r="C1922" s="3">
        <v>802557</v>
      </c>
      <c r="D1922" s="3">
        <v>138466</v>
      </c>
      <c r="E1922" s="3" t="s">
        <v>23</v>
      </c>
    </row>
    <row r="1923" spans="1:5">
      <c r="A1923" s="3" t="s">
        <v>1944</v>
      </c>
      <c r="B1923" s="3" t="s">
        <v>22</v>
      </c>
      <c r="C1923" s="3">
        <v>553817</v>
      </c>
      <c r="D1923" s="3">
        <v>44340</v>
      </c>
      <c r="E1923" s="3" t="s">
        <v>23</v>
      </c>
    </row>
    <row r="1924" spans="1:5">
      <c r="A1924" s="3" t="s">
        <v>1945</v>
      </c>
      <c r="B1924" s="3" t="s">
        <v>22</v>
      </c>
      <c r="C1924" s="3">
        <v>570550</v>
      </c>
      <c r="D1924" s="3">
        <v>30784</v>
      </c>
      <c r="E1924" s="3" t="s">
        <v>23</v>
      </c>
    </row>
    <row r="1925" spans="1:5">
      <c r="A1925" s="3" t="s">
        <v>1946</v>
      </c>
      <c r="B1925" s="3" t="s">
        <v>22</v>
      </c>
      <c r="C1925" s="3">
        <v>625362</v>
      </c>
      <c r="D1925" s="3">
        <v>45149</v>
      </c>
      <c r="E1925" s="3" t="s">
        <v>23</v>
      </c>
    </row>
    <row r="1926" spans="1:5">
      <c r="A1926" s="3" t="s">
        <v>1947</v>
      </c>
      <c r="B1926" s="3" t="s">
        <v>22</v>
      </c>
      <c r="C1926" s="3">
        <v>744305</v>
      </c>
      <c r="D1926" s="3">
        <v>138501</v>
      </c>
      <c r="E1926" s="3" t="s">
        <v>23</v>
      </c>
    </row>
    <row r="1927" spans="1:5">
      <c r="A1927" s="3" t="s">
        <v>1948</v>
      </c>
      <c r="B1927" s="3" t="s">
        <v>22</v>
      </c>
      <c r="C1927" s="3">
        <v>646913</v>
      </c>
      <c r="D1927" s="3">
        <v>92457</v>
      </c>
      <c r="E1927" s="3" t="s">
        <v>23</v>
      </c>
    </row>
    <row r="1928" spans="1:5">
      <c r="A1928" s="3" t="s">
        <v>1949</v>
      </c>
      <c r="B1928" s="3" t="s">
        <v>22</v>
      </c>
      <c r="C1928" s="3">
        <v>968778</v>
      </c>
      <c r="D1928" s="3">
        <v>218403</v>
      </c>
      <c r="E1928" s="3" t="s">
        <v>23</v>
      </c>
    </row>
    <row r="1929" spans="1:5">
      <c r="A1929" s="3" t="s">
        <v>1950</v>
      </c>
      <c r="B1929" s="3" t="s">
        <v>22</v>
      </c>
      <c r="C1929" s="3">
        <v>850269</v>
      </c>
      <c r="D1929" s="3">
        <v>185245</v>
      </c>
      <c r="E1929" s="3" t="s">
        <v>23</v>
      </c>
    </row>
    <row r="1930" spans="1:5">
      <c r="A1930" s="3" t="s">
        <v>1951</v>
      </c>
      <c r="B1930" s="3" t="s">
        <v>22</v>
      </c>
      <c r="C1930" s="3">
        <v>1153790</v>
      </c>
      <c r="D1930" s="3">
        <v>255014</v>
      </c>
      <c r="E1930" s="3" t="s">
        <v>23</v>
      </c>
    </row>
    <row r="1931" spans="1:5">
      <c r="A1931" s="3" t="s">
        <v>1952</v>
      </c>
      <c r="B1931" s="3" t="s">
        <v>22</v>
      </c>
      <c r="C1931" s="3">
        <v>581606</v>
      </c>
      <c r="D1931" s="3">
        <v>53599</v>
      </c>
      <c r="E1931" s="3" t="s">
        <v>23</v>
      </c>
    </row>
    <row r="1932" spans="1:5">
      <c r="A1932" s="3" t="s">
        <v>1953</v>
      </c>
      <c r="B1932" s="3" t="s">
        <v>22</v>
      </c>
      <c r="C1932" s="3">
        <v>665527</v>
      </c>
      <c r="D1932" s="3">
        <v>60954</v>
      </c>
      <c r="E1932" s="3" t="s">
        <v>23</v>
      </c>
    </row>
    <row r="1933" spans="1:5">
      <c r="A1933" s="3" t="s">
        <v>1954</v>
      </c>
      <c r="B1933" s="3" t="s">
        <v>22</v>
      </c>
      <c r="C1933" s="3">
        <v>679286</v>
      </c>
      <c r="D1933" s="3">
        <v>45305</v>
      </c>
      <c r="E1933" s="3" t="s">
        <v>23</v>
      </c>
    </row>
    <row r="1934" spans="1:5">
      <c r="A1934" s="3" t="s">
        <v>1955</v>
      </c>
      <c r="B1934" s="3" t="s">
        <v>22</v>
      </c>
      <c r="C1934" s="3">
        <v>1099363</v>
      </c>
      <c r="D1934" s="3">
        <v>249869</v>
      </c>
      <c r="E1934" s="3" t="s">
        <v>23</v>
      </c>
    </row>
    <row r="1935" spans="1:5">
      <c r="A1935" s="3" t="s">
        <v>1956</v>
      </c>
      <c r="B1935" s="3" t="s">
        <v>22</v>
      </c>
      <c r="C1935" s="3">
        <v>810935</v>
      </c>
      <c r="D1935" s="3">
        <v>117813</v>
      </c>
      <c r="E1935" s="3" t="s">
        <v>23</v>
      </c>
    </row>
    <row r="1936" spans="1:5">
      <c r="A1936" s="3" t="s">
        <v>1957</v>
      </c>
      <c r="B1936" s="3" t="s">
        <v>22</v>
      </c>
      <c r="C1936" s="3">
        <v>1263156</v>
      </c>
      <c r="D1936" s="3">
        <v>282987</v>
      </c>
      <c r="E1936" s="3" t="s">
        <v>23</v>
      </c>
    </row>
    <row r="1937" spans="1:5">
      <c r="A1937" s="3" t="s">
        <v>1958</v>
      </c>
      <c r="B1937" s="3" t="s">
        <v>22</v>
      </c>
      <c r="C1937" s="3">
        <v>815659</v>
      </c>
      <c r="D1937" s="3">
        <v>111969</v>
      </c>
      <c r="E1937" s="3" t="s">
        <v>23</v>
      </c>
    </row>
    <row r="1938" spans="1:5">
      <c r="A1938" s="3" t="s">
        <v>1959</v>
      </c>
      <c r="B1938" s="3" t="s">
        <v>22</v>
      </c>
      <c r="C1938" s="3">
        <v>747741</v>
      </c>
      <c r="D1938" s="3">
        <v>116430</v>
      </c>
      <c r="E1938" s="3" t="s">
        <v>23</v>
      </c>
    </row>
    <row r="1939" spans="1:5">
      <c r="A1939" s="3" t="s">
        <v>1960</v>
      </c>
      <c r="B1939" s="3" t="s">
        <v>22</v>
      </c>
      <c r="C1939" s="3">
        <v>524630</v>
      </c>
      <c r="D1939" s="3">
        <v>53995</v>
      </c>
      <c r="E1939" s="3" t="s">
        <v>23</v>
      </c>
    </row>
    <row r="1940" spans="1:5">
      <c r="A1940" s="3" t="s">
        <v>1961</v>
      </c>
      <c r="B1940" s="3" t="s">
        <v>22</v>
      </c>
      <c r="C1940" s="3">
        <v>961866</v>
      </c>
      <c r="D1940" s="3">
        <v>239161</v>
      </c>
      <c r="E1940" s="3" t="s">
        <v>23</v>
      </c>
    </row>
    <row r="1941" spans="1:5">
      <c r="A1941" s="3" t="s">
        <v>1962</v>
      </c>
      <c r="B1941" s="3" t="s">
        <v>22</v>
      </c>
      <c r="C1941" s="3">
        <v>1056834</v>
      </c>
      <c r="D1941" s="3">
        <v>203597</v>
      </c>
      <c r="E1941" s="3" t="s">
        <v>23</v>
      </c>
    </row>
    <row r="1942" spans="1:5">
      <c r="A1942" s="3" t="s">
        <v>1963</v>
      </c>
      <c r="B1942" s="3" t="s">
        <v>22</v>
      </c>
      <c r="C1942" s="3">
        <v>1088083</v>
      </c>
      <c r="D1942" s="3">
        <v>242823</v>
      </c>
      <c r="E1942" s="3" t="s">
        <v>23</v>
      </c>
    </row>
    <row r="1943" spans="1:5">
      <c r="A1943" s="3" t="s">
        <v>1964</v>
      </c>
      <c r="B1943" s="3" t="s">
        <v>22</v>
      </c>
      <c r="C1943" s="3">
        <v>1130141</v>
      </c>
      <c r="D1943" s="3">
        <v>187424</v>
      </c>
      <c r="E1943" s="3" t="s">
        <v>23</v>
      </c>
    </row>
    <row r="1944" spans="1:5">
      <c r="A1944" s="3" t="s">
        <v>1965</v>
      </c>
      <c r="B1944" s="3" t="s">
        <v>22</v>
      </c>
      <c r="C1944" s="3">
        <v>558785</v>
      </c>
      <c r="D1944" s="3">
        <v>75679</v>
      </c>
      <c r="E1944" s="3" t="s">
        <v>23</v>
      </c>
    </row>
    <row r="1945" spans="1:5">
      <c r="A1945" s="3" t="s">
        <v>1966</v>
      </c>
      <c r="B1945" s="3" t="s">
        <v>22</v>
      </c>
      <c r="C1945" s="3">
        <v>1007332</v>
      </c>
      <c r="D1945" s="3">
        <v>237107</v>
      </c>
      <c r="E1945" s="3" t="s">
        <v>23</v>
      </c>
    </row>
    <row r="1946" spans="1:5">
      <c r="A1946" s="3" t="s">
        <v>1967</v>
      </c>
      <c r="B1946" s="3" t="s">
        <v>22</v>
      </c>
      <c r="C1946" s="3">
        <v>1107797</v>
      </c>
      <c r="D1946" s="3">
        <v>317429</v>
      </c>
      <c r="E1946" s="3" t="s">
        <v>23</v>
      </c>
    </row>
    <row r="1947" spans="1:5">
      <c r="A1947" s="3" t="s">
        <v>1968</v>
      </c>
      <c r="B1947" s="3" t="s">
        <v>22</v>
      </c>
      <c r="C1947" s="3">
        <v>580812</v>
      </c>
      <c r="D1947" s="3">
        <v>71312</v>
      </c>
      <c r="E1947" s="3" t="s">
        <v>23</v>
      </c>
    </row>
    <row r="1948" spans="1:5">
      <c r="A1948" s="3" t="s">
        <v>1969</v>
      </c>
      <c r="B1948" s="3" t="s">
        <v>22</v>
      </c>
      <c r="C1948" s="3">
        <v>1115287</v>
      </c>
      <c r="D1948" s="3">
        <v>257292</v>
      </c>
      <c r="E1948" s="3" t="s">
        <v>23</v>
      </c>
    </row>
    <row r="1949" spans="1:5">
      <c r="A1949" s="3" t="s">
        <v>1970</v>
      </c>
      <c r="B1949" s="3" t="s">
        <v>22</v>
      </c>
      <c r="C1949" s="3">
        <v>1024896</v>
      </c>
      <c r="D1949" s="3">
        <v>217675</v>
      </c>
      <c r="E1949" s="3" t="s">
        <v>23</v>
      </c>
    </row>
    <row r="1950" spans="1:5">
      <c r="A1950" s="3" t="s">
        <v>1971</v>
      </c>
      <c r="B1950" s="3" t="s">
        <v>22</v>
      </c>
      <c r="C1950" s="3">
        <v>440504</v>
      </c>
      <c r="D1950" s="3">
        <v>17731</v>
      </c>
      <c r="E1950" s="3" t="s">
        <v>23</v>
      </c>
    </row>
    <row r="1951" spans="1:5">
      <c r="A1951" s="3" t="s">
        <v>1972</v>
      </c>
      <c r="B1951" s="3" t="s">
        <v>22</v>
      </c>
      <c r="C1951" s="3">
        <v>342489</v>
      </c>
      <c r="D1951" s="3">
        <v>9109</v>
      </c>
      <c r="E1951" s="3" t="s">
        <v>23</v>
      </c>
    </row>
    <row r="1952" spans="1:5">
      <c r="A1952" s="3" t="s">
        <v>1973</v>
      </c>
      <c r="B1952" s="3" t="s">
        <v>22</v>
      </c>
      <c r="C1952" s="3">
        <v>1431427</v>
      </c>
      <c r="D1952" s="3">
        <v>436012</v>
      </c>
      <c r="E1952" s="3" t="s">
        <v>23</v>
      </c>
    </row>
    <row r="1953" spans="1:5">
      <c r="A1953" s="3" t="s">
        <v>1974</v>
      </c>
      <c r="B1953" s="3" t="s">
        <v>22</v>
      </c>
      <c r="C1953" s="3">
        <v>782270</v>
      </c>
      <c r="D1953" s="3">
        <v>66736</v>
      </c>
      <c r="E1953" s="3" t="s">
        <v>23</v>
      </c>
    </row>
    <row r="1954" spans="1:5">
      <c r="A1954" s="3" t="s">
        <v>1975</v>
      </c>
      <c r="B1954" s="3" t="s">
        <v>22</v>
      </c>
      <c r="C1954" s="3">
        <v>609867</v>
      </c>
      <c r="D1954" s="3">
        <v>44018</v>
      </c>
      <c r="E1954" s="3" t="s">
        <v>23</v>
      </c>
    </row>
    <row r="1955" spans="1:5">
      <c r="A1955" s="3" t="s">
        <v>1976</v>
      </c>
      <c r="B1955" s="3" t="s">
        <v>22</v>
      </c>
      <c r="C1955" s="3">
        <v>1052760</v>
      </c>
      <c r="D1955" s="3">
        <v>211412</v>
      </c>
      <c r="E1955" s="3" t="s">
        <v>23</v>
      </c>
    </row>
    <row r="1956" spans="1:5">
      <c r="A1956" s="3" t="s">
        <v>1977</v>
      </c>
      <c r="B1956" s="3" t="s">
        <v>22</v>
      </c>
      <c r="C1956" s="3">
        <v>1526339</v>
      </c>
      <c r="D1956" s="3">
        <v>392812</v>
      </c>
      <c r="E1956" s="3" t="s">
        <v>23</v>
      </c>
    </row>
    <row r="1957" spans="1:5">
      <c r="A1957" s="3" t="s">
        <v>1978</v>
      </c>
      <c r="B1957" s="3" t="s">
        <v>22</v>
      </c>
      <c r="C1957" s="3">
        <v>794698</v>
      </c>
      <c r="D1957" s="3">
        <v>60396</v>
      </c>
      <c r="E1957" s="3" t="s">
        <v>23</v>
      </c>
    </row>
    <row r="1958" spans="1:5">
      <c r="A1958" s="3" t="s">
        <v>1979</v>
      </c>
      <c r="B1958" s="3" t="s">
        <v>22</v>
      </c>
      <c r="C1958" s="3">
        <v>439897</v>
      </c>
      <c r="D1958" s="3">
        <v>3195</v>
      </c>
      <c r="E1958" s="3" t="s">
        <v>23</v>
      </c>
    </row>
    <row r="1959" spans="1:5">
      <c r="A1959" s="3" t="s">
        <v>1980</v>
      </c>
      <c r="B1959" s="3" t="s">
        <v>22</v>
      </c>
      <c r="C1959" s="3">
        <v>1192909</v>
      </c>
      <c r="D1959" s="3">
        <v>262821</v>
      </c>
      <c r="E1959" s="3" t="s">
        <v>23</v>
      </c>
    </row>
    <row r="1960" spans="1:5">
      <c r="A1960" s="3" t="s">
        <v>1981</v>
      </c>
      <c r="B1960" s="3" t="s">
        <v>22</v>
      </c>
      <c r="C1960" s="3">
        <v>1671758</v>
      </c>
      <c r="D1960" s="3">
        <v>502455</v>
      </c>
      <c r="E1960" s="3" t="s">
        <v>23</v>
      </c>
    </row>
    <row r="1961" spans="1:5">
      <c r="A1961" s="3" t="s">
        <v>1982</v>
      </c>
      <c r="B1961" s="3" t="s">
        <v>22</v>
      </c>
      <c r="C1961" s="3">
        <v>432639</v>
      </c>
      <c r="D1961" s="3">
        <v>15558</v>
      </c>
      <c r="E1961" s="3" t="s">
        <v>23</v>
      </c>
    </row>
    <row r="1962" spans="1:5">
      <c r="A1962" s="3" t="s">
        <v>1983</v>
      </c>
      <c r="B1962" s="3" t="s">
        <v>22</v>
      </c>
      <c r="C1962" s="3">
        <v>428609</v>
      </c>
      <c r="D1962" s="3">
        <v>7448</v>
      </c>
      <c r="E1962" s="3" t="s">
        <v>23</v>
      </c>
    </row>
    <row r="1963" spans="1:5">
      <c r="A1963" s="3" t="s">
        <v>1984</v>
      </c>
      <c r="B1963" s="3" t="s">
        <v>22</v>
      </c>
      <c r="C1963" s="3">
        <v>1490763</v>
      </c>
      <c r="D1963" s="3">
        <v>417609</v>
      </c>
      <c r="E1963" s="3" t="s">
        <v>23</v>
      </c>
    </row>
    <row r="1964" spans="1:5">
      <c r="A1964" s="3" t="s">
        <v>1985</v>
      </c>
      <c r="B1964" s="3" t="s">
        <v>22</v>
      </c>
      <c r="C1964" s="3">
        <v>1461946</v>
      </c>
      <c r="D1964" s="3">
        <v>373766</v>
      </c>
      <c r="E1964" s="3" t="s">
        <v>23</v>
      </c>
    </row>
    <row r="1965" spans="1:5">
      <c r="A1965" s="3" t="s">
        <v>1986</v>
      </c>
      <c r="B1965" s="3" t="s">
        <v>22</v>
      </c>
      <c r="C1965" s="3">
        <v>1526169</v>
      </c>
      <c r="D1965" s="3">
        <v>440094</v>
      </c>
      <c r="E1965" s="3" t="s">
        <v>23</v>
      </c>
    </row>
    <row r="1966" spans="1:5">
      <c r="A1966" s="3" t="s">
        <v>1987</v>
      </c>
      <c r="B1966" s="3" t="s">
        <v>22</v>
      </c>
      <c r="C1966" s="3">
        <v>1129385</v>
      </c>
      <c r="D1966" s="3">
        <v>268486</v>
      </c>
      <c r="E1966" s="3" t="s">
        <v>23</v>
      </c>
    </row>
    <row r="1967" spans="1:5">
      <c r="A1967" s="3" t="s">
        <v>1988</v>
      </c>
      <c r="B1967" s="3" t="s">
        <v>22</v>
      </c>
      <c r="C1967" s="3">
        <v>1457818</v>
      </c>
      <c r="D1967" s="3">
        <v>377234</v>
      </c>
      <c r="E1967" s="3" t="s">
        <v>23</v>
      </c>
    </row>
    <row r="1968" spans="1:5">
      <c r="A1968" s="3" t="s">
        <v>1989</v>
      </c>
      <c r="B1968" s="3" t="s">
        <v>22</v>
      </c>
      <c r="C1968" s="3">
        <v>348816</v>
      </c>
      <c r="D1968" s="3">
        <v>656</v>
      </c>
      <c r="E1968" s="3" t="s">
        <v>23</v>
      </c>
    </row>
    <row r="1969" spans="1:5">
      <c r="A1969" s="3" t="s">
        <v>1990</v>
      </c>
      <c r="B1969" s="3" t="s">
        <v>22</v>
      </c>
      <c r="C1969" s="3">
        <v>873634</v>
      </c>
      <c r="D1969" s="3">
        <v>112913</v>
      </c>
      <c r="E1969" s="3" t="s">
        <v>23</v>
      </c>
    </row>
    <row r="1970" spans="1:5">
      <c r="A1970" s="3" t="s">
        <v>1991</v>
      </c>
      <c r="B1970" s="3" t="s">
        <v>22</v>
      </c>
      <c r="C1970" s="3">
        <v>1368197</v>
      </c>
      <c r="D1970" s="3">
        <v>341765</v>
      </c>
      <c r="E1970" s="3" t="s">
        <v>23</v>
      </c>
    </row>
    <row r="1971" spans="1:5">
      <c r="A1971" s="3" t="s">
        <v>1992</v>
      </c>
      <c r="B1971" s="3" t="s">
        <v>22</v>
      </c>
      <c r="C1971" s="3">
        <v>16749</v>
      </c>
      <c r="D1971" s="3">
        <v>4841</v>
      </c>
      <c r="E1971" s="3" t="s">
        <v>23</v>
      </c>
    </row>
    <row r="1972" spans="1:5">
      <c r="A1972" s="3" t="s">
        <v>1993</v>
      </c>
      <c r="B1972" s="3" t="s">
        <v>22</v>
      </c>
      <c r="C1972" s="3">
        <v>1324148</v>
      </c>
      <c r="D1972" s="3">
        <v>205238</v>
      </c>
      <c r="E1972" s="3" t="s">
        <v>23</v>
      </c>
    </row>
    <row r="1973" spans="1:5">
      <c r="A1973" s="3" t="s">
        <v>1994</v>
      </c>
      <c r="B1973" s="3" t="s">
        <v>22</v>
      </c>
      <c r="C1973" s="3">
        <v>614900</v>
      </c>
      <c r="D1973" s="3">
        <v>8869</v>
      </c>
      <c r="E1973" s="3" t="s">
        <v>23</v>
      </c>
    </row>
    <row r="1974" spans="1:5">
      <c r="A1974" s="3" t="s">
        <v>1995</v>
      </c>
      <c r="B1974" s="3" t="s">
        <v>22</v>
      </c>
      <c r="C1974" s="3">
        <v>1497237</v>
      </c>
      <c r="D1974" s="3">
        <v>356745</v>
      </c>
      <c r="E1974" s="3" t="s">
        <v>23</v>
      </c>
    </row>
    <row r="1975" spans="1:5">
      <c r="A1975" s="3" t="s">
        <v>1996</v>
      </c>
      <c r="B1975" s="3" t="s">
        <v>22</v>
      </c>
      <c r="C1975" s="3">
        <v>1219853</v>
      </c>
      <c r="D1975" s="3">
        <v>293329</v>
      </c>
      <c r="E1975" s="3" t="s">
        <v>23</v>
      </c>
    </row>
    <row r="1976" spans="1:5">
      <c r="A1976" s="3" t="s">
        <v>1997</v>
      </c>
      <c r="B1976" s="3" t="s">
        <v>22</v>
      </c>
      <c r="C1976" s="3">
        <v>1326202</v>
      </c>
      <c r="D1976" s="3">
        <v>372420</v>
      </c>
      <c r="E1976" s="3" t="s">
        <v>23</v>
      </c>
    </row>
    <row r="1977" spans="1:5">
      <c r="A1977" s="3" t="s">
        <v>1998</v>
      </c>
      <c r="B1977" s="3" t="s">
        <v>22</v>
      </c>
      <c r="C1977" s="3">
        <v>665549</v>
      </c>
      <c r="D1977" s="3">
        <v>1883</v>
      </c>
      <c r="E1977" s="3" t="s">
        <v>23</v>
      </c>
    </row>
    <row r="1978" spans="1:5">
      <c r="A1978" s="3" t="s">
        <v>1999</v>
      </c>
      <c r="B1978" s="3" t="s">
        <v>22</v>
      </c>
      <c r="C1978" s="3">
        <v>1561752</v>
      </c>
      <c r="D1978" s="3">
        <v>478169</v>
      </c>
      <c r="E1978" s="3" t="s">
        <v>23</v>
      </c>
    </row>
    <row r="1979" spans="1:5">
      <c r="A1979" s="3" t="s">
        <v>2000</v>
      </c>
      <c r="B1979" s="3" t="s">
        <v>22</v>
      </c>
      <c r="C1979" s="3">
        <v>843133</v>
      </c>
      <c r="D1979" s="3">
        <v>100754</v>
      </c>
      <c r="E1979" s="3" t="s">
        <v>23</v>
      </c>
    </row>
    <row r="1980" spans="1:5">
      <c r="A1980" s="3" t="s">
        <v>2001</v>
      </c>
      <c r="B1980" s="3" t="s">
        <v>22</v>
      </c>
      <c r="C1980" s="3">
        <v>594220</v>
      </c>
      <c r="D1980" s="3">
        <v>22027</v>
      </c>
      <c r="E1980" s="3" t="s">
        <v>23</v>
      </c>
    </row>
    <row r="1981" spans="1:5">
      <c r="A1981" s="3" t="s">
        <v>2002</v>
      </c>
      <c r="B1981" s="3" t="s">
        <v>22</v>
      </c>
      <c r="C1981" s="3">
        <v>997174</v>
      </c>
      <c r="D1981" s="3">
        <v>183987</v>
      </c>
      <c r="E1981" s="3" t="s">
        <v>23</v>
      </c>
    </row>
    <row r="1982" spans="1:5">
      <c r="A1982" s="3" t="s">
        <v>2003</v>
      </c>
      <c r="B1982" s="3" t="s">
        <v>22</v>
      </c>
      <c r="C1982" s="3">
        <v>1599368</v>
      </c>
      <c r="D1982" s="3">
        <v>374898</v>
      </c>
      <c r="E1982" s="3" t="s">
        <v>23</v>
      </c>
    </row>
    <row r="1983" spans="1:5">
      <c r="A1983" s="3" t="s">
        <v>2004</v>
      </c>
      <c r="B1983" s="3" t="s">
        <v>22</v>
      </c>
      <c r="C1983" s="3">
        <v>1716909</v>
      </c>
      <c r="D1983" s="3">
        <v>522234</v>
      </c>
      <c r="E1983" s="3" t="s">
        <v>23</v>
      </c>
    </row>
    <row r="1984" spans="1:5">
      <c r="A1984" s="3" t="s">
        <v>2005</v>
      </c>
      <c r="B1984" s="3" t="s">
        <v>22</v>
      </c>
      <c r="C1984" s="3">
        <v>676520</v>
      </c>
      <c r="D1984" s="3">
        <v>5977</v>
      </c>
      <c r="E1984" s="3" t="s">
        <v>23</v>
      </c>
    </row>
    <row r="1985" spans="1:5">
      <c r="A1985" s="3" t="s">
        <v>2006</v>
      </c>
      <c r="B1985" s="3" t="s">
        <v>22</v>
      </c>
      <c r="C1985" s="3">
        <v>741013</v>
      </c>
      <c r="D1985" s="3">
        <v>39438</v>
      </c>
      <c r="E1985" s="3" t="s">
        <v>23</v>
      </c>
    </row>
    <row r="1986" spans="1:5">
      <c r="A1986" s="3" t="s">
        <v>2007</v>
      </c>
      <c r="B1986" s="3" t="s">
        <v>22</v>
      </c>
      <c r="C1986" s="3">
        <v>625028</v>
      </c>
      <c r="D1986" s="3">
        <v>75402</v>
      </c>
      <c r="E1986" s="3" t="s">
        <v>23</v>
      </c>
    </row>
    <row r="1987" spans="1:5">
      <c r="A1987" s="3" t="s">
        <v>2008</v>
      </c>
      <c r="B1987" s="3" t="s">
        <v>22</v>
      </c>
      <c r="C1987" s="3">
        <v>22477</v>
      </c>
      <c r="D1987" s="3">
        <v>3190</v>
      </c>
      <c r="E1987" s="3" t="s">
        <v>23</v>
      </c>
    </row>
    <row r="1988" spans="1:5">
      <c r="A1988" s="3" t="s">
        <v>2009</v>
      </c>
      <c r="B1988" s="3" t="s">
        <v>22</v>
      </c>
      <c r="C1988" s="3">
        <v>559224</v>
      </c>
      <c r="D1988" s="3">
        <v>37843</v>
      </c>
      <c r="E1988" s="3" t="s">
        <v>23</v>
      </c>
    </row>
    <row r="1989" spans="1:5">
      <c r="A1989" s="3" t="s">
        <v>2010</v>
      </c>
      <c r="B1989" s="3" t="s">
        <v>22</v>
      </c>
      <c r="C1989" s="3">
        <v>1038496</v>
      </c>
      <c r="D1989" s="3">
        <v>132805</v>
      </c>
      <c r="E1989" s="3" t="s">
        <v>23</v>
      </c>
    </row>
    <row r="1990" spans="1:5">
      <c r="A1990" s="3" t="s">
        <v>2011</v>
      </c>
      <c r="B1990" s="3" t="s">
        <v>22</v>
      </c>
      <c r="C1990" s="3">
        <v>1576278</v>
      </c>
      <c r="D1990" s="3">
        <v>364786</v>
      </c>
      <c r="E1990" s="3" t="s">
        <v>23</v>
      </c>
    </row>
    <row r="1991" spans="1:5">
      <c r="A1991" s="3" t="s">
        <v>2012</v>
      </c>
      <c r="B1991" s="3" t="s">
        <v>22</v>
      </c>
      <c r="C1991" s="3">
        <v>911867</v>
      </c>
      <c r="D1991" s="3">
        <v>46985</v>
      </c>
      <c r="E1991" s="3" t="s">
        <v>23</v>
      </c>
    </row>
    <row r="1992" spans="1:5">
      <c r="A1992" s="3" t="s">
        <v>2013</v>
      </c>
      <c r="B1992" s="3" t="s">
        <v>22</v>
      </c>
      <c r="C1992" s="3">
        <v>1007548</v>
      </c>
      <c r="D1992" s="3">
        <v>111224</v>
      </c>
      <c r="E1992" s="3" t="s">
        <v>23</v>
      </c>
    </row>
    <row r="1993" spans="1:5">
      <c r="A1993" s="3" t="s">
        <v>2014</v>
      </c>
      <c r="B1993" s="3" t="s">
        <v>22</v>
      </c>
      <c r="C1993" s="3">
        <v>650916</v>
      </c>
      <c r="D1993" s="3">
        <v>25785</v>
      </c>
      <c r="E1993" s="3" t="s">
        <v>23</v>
      </c>
    </row>
    <row r="1994" spans="1:5">
      <c r="A1994" s="3" t="s">
        <v>2015</v>
      </c>
      <c r="B1994" s="3" t="s">
        <v>22</v>
      </c>
      <c r="C1994" s="3">
        <v>1734393</v>
      </c>
      <c r="D1994" s="3">
        <v>410063</v>
      </c>
      <c r="E1994" s="3" t="s">
        <v>23</v>
      </c>
    </row>
    <row r="1995" spans="1:5">
      <c r="A1995" s="3" t="s">
        <v>2016</v>
      </c>
      <c r="B1995" s="3" t="s">
        <v>22</v>
      </c>
      <c r="C1995" s="3">
        <v>1003843</v>
      </c>
      <c r="D1995" s="3">
        <v>182007</v>
      </c>
      <c r="E1995" s="3" t="s">
        <v>23</v>
      </c>
    </row>
    <row r="1996" spans="1:5">
      <c r="A1996" s="3" t="s">
        <v>2017</v>
      </c>
      <c r="B1996" s="3" t="s">
        <v>22</v>
      </c>
      <c r="C1996" s="3">
        <v>1594536</v>
      </c>
      <c r="D1996" s="3">
        <v>391730</v>
      </c>
      <c r="E1996" s="3" t="s">
        <v>23</v>
      </c>
    </row>
    <row r="1997" spans="1:5">
      <c r="A1997" s="3" t="s">
        <v>2018</v>
      </c>
      <c r="B1997" s="3" t="s">
        <v>22</v>
      </c>
      <c r="C1997" s="3">
        <v>737576</v>
      </c>
      <c r="D1997" s="3">
        <v>22897</v>
      </c>
      <c r="E1997" s="3" t="s">
        <v>23</v>
      </c>
    </row>
    <row r="1998" spans="1:5">
      <c r="A1998" s="3" t="s">
        <v>2019</v>
      </c>
      <c r="B1998" s="3" t="s">
        <v>22</v>
      </c>
      <c r="C1998" s="3">
        <v>1287719</v>
      </c>
      <c r="D1998" s="3">
        <v>297675</v>
      </c>
      <c r="E1998" s="3" t="s">
        <v>23</v>
      </c>
    </row>
    <row r="1999" spans="1:5">
      <c r="A1999" s="3" t="s">
        <v>2020</v>
      </c>
      <c r="B1999" s="3" t="s">
        <v>22</v>
      </c>
      <c r="C1999" s="3">
        <v>1053399</v>
      </c>
      <c r="D1999" s="3">
        <v>132413</v>
      </c>
      <c r="E1999" s="3" t="s">
        <v>23</v>
      </c>
    </row>
    <row r="2000" spans="1:5">
      <c r="A2000" s="3" t="s">
        <v>2021</v>
      </c>
      <c r="B2000" s="3" t="s">
        <v>22</v>
      </c>
      <c r="C2000" s="3">
        <v>1202974</v>
      </c>
      <c r="D2000" s="3">
        <v>221650</v>
      </c>
      <c r="E2000" s="3" t="s">
        <v>23</v>
      </c>
    </row>
    <row r="2001" spans="1:5">
      <c r="A2001" s="3" t="s">
        <v>2022</v>
      </c>
      <c r="B2001" s="3" t="s">
        <v>22</v>
      </c>
      <c r="C2001" s="3">
        <v>847477</v>
      </c>
      <c r="D2001" s="3">
        <v>115363</v>
      </c>
      <c r="E2001" s="3" t="s">
        <v>23</v>
      </c>
    </row>
    <row r="2002" spans="1:5">
      <c r="A2002" s="3" t="s">
        <v>2023</v>
      </c>
      <c r="B2002" s="3" t="s">
        <v>22</v>
      </c>
      <c r="C2002" s="3">
        <v>716469</v>
      </c>
      <c r="D2002" s="3">
        <v>71724</v>
      </c>
      <c r="E2002" s="3" t="s">
        <v>23</v>
      </c>
    </row>
    <row r="2003" spans="1:5">
      <c r="A2003" s="3" t="s">
        <v>2024</v>
      </c>
      <c r="B2003" s="3" t="s">
        <v>22</v>
      </c>
      <c r="C2003" s="3">
        <v>1878498</v>
      </c>
      <c r="D2003" s="3">
        <v>514858</v>
      </c>
      <c r="E2003" s="3" t="s">
        <v>23</v>
      </c>
    </row>
    <row r="2004" spans="1:5">
      <c r="A2004" s="3" t="s">
        <v>2025</v>
      </c>
      <c r="B2004" s="3" t="s">
        <v>22</v>
      </c>
      <c r="C2004" s="3">
        <v>1927993</v>
      </c>
      <c r="D2004" s="3">
        <v>582297</v>
      </c>
      <c r="E2004" s="3" t="s">
        <v>23</v>
      </c>
    </row>
    <row r="2005" spans="1:5">
      <c r="A2005" s="3" t="s">
        <v>2026</v>
      </c>
      <c r="B2005" s="3" t="s">
        <v>22</v>
      </c>
      <c r="C2005" s="3">
        <v>2290603</v>
      </c>
      <c r="D2005" s="3">
        <v>733653</v>
      </c>
      <c r="E2005" s="3" t="s">
        <v>23</v>
      </c>
    </row>
    <row r="2006" spans="1:5">
      <c r="A2006" s="3" t="s">
        <v>2027</v>
      </c>
      <c r="B2006" s="3" t="s">
        <v>22</v>
      </c>
      <c r="C2006" s="3">
        <v>1148951</v>
      </c>
      <c r="D2006" s="3">
        <v>236225</v>
      </c>
      <c r="E2006" s="3" t="s">
        <v>23</v>
      </c>
    </row>
    <row r="2007" spans="1:5">
      <c r="A2007" s="3" t="s">
        <v>2028</v>
      </c>
      <c r="B2007" s="3" t="s">
        <v>22</v>
      </c>
      <c r="C2007" s="3">
        <v>1242921</v>
      </c>
      <c r="D2007" s="3">
        <v>153917</v>
      </c>
      <c r="E2007" s="3" t="s">
        <v>23</v>
      </c>
    </row>
    <row r="2008" spans="1:5">
      <c r="A2008" s="3" t="s">
        <v>2029</v>
      </c>
      <c r="B2008" s="3" t="s">
        <v>22</v>
      </c>
      <c r="C2008" s="3">
        <v>1326971</v>
      </c>
      <c r="D2008" s="3">
        <v>268114</v>
      </c>
      <c r="E2008" s="3" t="s">
        <v>23</v>
      </c>
    </row>
    <row r="2009" spans="1:5">
      <c r="A2009" s="3" t="s">
        <v>2030</v>
      </c>
      <c r="B2009" s="3" t="s">
        <v>22</v>
      </c>
      <c r="C2009" s="3">
        <v>842973</v>
      </c>
      <c r="D2009" s="3">
        <v>86044</v>
      </c>
      <c r="E2009" s="3" t="s">
        <v>23</v>
      </c>
    </row>
    <row r="2010" spans="1:5">
      <c r="A2010" s="3" t="s">
        <v>2031</v>
      </c>
      <c r="B2010" s="3" t="s">
        <v>22</v>
      </c>
      <c r="C2010" s="3">
        <v>2138859</v>
      </c>
      <c r="D2010" s="3">
        <v>659622</v>
      </c>
      <c r="E2010" s="3" t="s">
        <v>23</v>
      </c>
    </row>
    <row r="2011" spans="1:5">
      <c r="A2011" s="3" t="s">
        <v>2032</v>
      </c>
      <c r="B2011" s="3" t="s">
        <v>22</v>
      </c>
      <c r="C2011" s="3">
        <v>2135313</v>
      </c>
      <c r="D2011" s="3">
        <v>773542</v>
      </c>
      <c r="E2011" s="3" t="s">
        <v>23</v>
      </c>
    </row>
    <row r="2012" spans="1:5">
      <c r="A2012" s="3" t="s">
        <v>2033</v>
      </c>
      <c r="B2012" s="3" t="s">
        <v>22</v>
      </c>
      <c r="C2012" s="3">
        <v>514875</v>
      </c>
      <c r="D2012" s="3">
        <v>31244</v>
      </c>
      <c r="E2012" s="3" t="s">
        <v>23</v>
      </c>
    </row>
    <row r="2013" spans="1:5">
      <c r="A2013" s="3" t="s">
        <v>2034</v>
      </c>
      <c r="B2013" s="3" t="s">
        <v>22</v>
      </c>
      <c r="C2013" s="3">
        <v>409686</v>
      </c>
      <c r="D2013" s="3">
        <v>964</v>
      </c>
      <c r="E2013" s="3" t="s">
        <v>23</v>
      </c>
    </row>
    <row r="2014" spans="1:5">
      <c r="A2014" s="3" t="s">
        <v>2035</v>
      </c>
      <c r="B2014" s="3" t="s">
        <v>22</v>
      </c>
      <c r="C2014" s="3">
        <v>1648081</v>
      </c>
      <c r="D2014" s="3">
        <v>420358</v>
      </c>
      <c r="E2014" s="3" t="s">
        <v>23</v>
      </c>
    </row>
    <row r="2015" spans="1:5">
      <c r="A2015" s="3" t="s">
        <v>2036</v>
      </c>
      <c r="B2015" s="3" t="s">
        <v>22</v>
      </c>
      <c r="C2015" s="3">
        <v>1338539</v>
      </c>
      <c r="D2015" s="3">
        <v>319017</v>
      </c>
      <c r="E2015" s="3" t="s">
        <v>23</v>
      </c>
    </row>
    <row r="2016" spans="1:5">
      <c r="A2016" s="3" t="s">
        <v>2037</v>
      </c>
      <c r="B2016" s="3" t="s">
        <v>22</v>
      </c>
      <c r="C2016" s="3">
        <v>19692</v>
      </c>
      <c r="D2016" s="3">
        <v>3944</v>
      </c>
      <c r="E2016" s="3" t="s">
        <v>23</v>
      </c>
    </row>
    <row r="2017" spans="1:5">
      <c r="A2017" s="3" t="s">
        <v>2038</v>
      </c>
      <c r="B2017" s="3" t="s">
        <v>22</v>
      </c>
      <c r="C2017" s="3">
        <v>975146</v>
      </c>
      <c r="D2017" s="3">
        <v>135626</v>
      </c>
      <c r="E2017" s="3" t="s">
        <v>23</v>
      </c>
    </row>
    <row r="2018" spans="1:5">
      <c r="A2018" s="3" t="s">
        <v>2039</v>
      </c>
      <c r="B2018" s="3" t="s">
        <v>22</v>
      </c>
      <c r="C2018" s="3">
        <v>799002</v>
      </c>
      <c r="D2018" s="3">
        <v>61813</v>
      </c>
      <c r="E2018" s="3" t="s">
        <v>23</v>
      </c>
    </row>
    <row r="2019" spans="1:5">
      <c r="A2019" s="3" t="s">
        <v>2040</v>
      </c>
      <c r="B2019" s="3" t="s">
        <v>22</v>
      </c>
      <c r="C2019" s="3">
        <v>642091</v>
      </c>
      <c r="D2019" s="3">
        <v>11438</v>
      </c>
      <c r="E2019" s="3" t="s">
        <v>23</v>
      </c>
    </row>
    <row r="2020" spans="1:5">
      <c r="A2020" s="3" t="s">
        <v>2041</v>
      </c>
      <c r="B2020" s="3" t="s">
        <v>22</v>
      </c>
      <c r="C2020" s="3">
        <v>488246</v>
      </c>
      <c r="D2020" s="3">
        <v>9063</v>
      </c>
      <c r="E2020" s="3" t="s">
        <v>23</v>
      </c>
    </row>
    <row r="2021" spans="1:5">
      <c r="A2021" s="3" t="s">
        <v>2042</v>
      </c>
      <c r="B2021" s="3" t="s">
        <v>22</v>
      </c>
      <c r="C2021" s="3">
        <v>1487518</v>
      </c>
      <c r="D2021" s="3">
        <v>314683</v>
      </c>
      <c r="E2021" s="3" t="s">
        <v>23</v>
      </c>
    </row>
    <row r="2022" spans="1:5">
      <c r="A2022" s="3" t="s">
        <v>2043</v>
      </c>
      <c r="B2022" s="3" t="s">
        <v>22</v>
      </c>
      <c r="C2022" s="3">
        <v>1252327</v>
      </c>
      <c r="D2022" s="3">
        <v>152015</v>
      </c>
      <c r="E2022" s="3" t="s">
        <v>23</v>
      </c>
    </row>
    <row r="2023" spans="1:5">
      <c r="A2023" s="3" t="s">
        <v>2044</v>
      </c>
      <c r="B2023" s="3" t="s">
        <v>22</v>
      </c>
      <c r="C2023" s="3">
        <v>1738796</v>
      </c>
      <c r="D2023" s="3">
        <v>446455</v>
      </c>
      <c r="E2023" s="3" t="s">
        <v>23</v>
      </c>
    </row>
    <row r="2024" spans="1:5">
      <c r="A2024" s="3" t="s">
        <v>2045</v>
      </c>
      <c r="B2024" s="3" t="s">
        <v>22</v>
      </c>
      <c r="C2024" s="3">
        <v>592561</v>
      </c>
      <c r="D2024" s="3">
        <v>27515</v>
      </c>
      <c r="E2024" s="3" t="s">
        <v>23</v>
      </c>
    </row>
    <row r="2025" spans="1:5">
      <c r="A2025" s="3" t="s">
        <v>2046</v>
      </c>
      <c r="B2025" s="3" t="s">
        <v>22</v>
      </c>
      <c r="C2025" s="3">
        <v>926527</v>
      </c>
      <c r="D2025" s="3">
        <v>117661</v>
      </c>
      <c r="E2025" s="3" t="s">
        <v>23</v>
      </c>
    </row>
    <row r="2026" spans="1:5">
      <c r="A2026" s="3" t="s">
        <v>2047</v>
      </c>
      <c r="B2026" s="3" t="s">
        <v>22</v>
      </c>
      <c r="C2026" s="3">
        <v>1452957</v>
      </c>
      <c r="D2026" s="3">
        <v>265586</v>
      </c>
      <c r="E2026" s="3" t="s">
        <v>23</v>
      </c>
    </row>
    <row r="2027" spans="1:5">
      <c r="A2027" s="3" t="s">
        <v>2048</v>
      </c>
      <c r="B2027" s="3" t="s">
        <v>22</v>
      </c>
      <c r="C2027" s="3">
        <v>23866</v>
      </c>
      <c r="D2027" s="3">
        <v>5939</v>
      </c>
      <c r="E2027" s="3" t="s">
        <v>23</v>
      </c>
    </row>
    <row r="2028" spans="1:5">
      <c r="A2028" s="3" t="s">
        <v>2049</v>
      </c>
      <c r="B2028" s="3" t="s">
        <v>22</v>
      </c>
      <c r="C2028" s="3">
        <v>983564</v>
      </c>
      <c r="D2028" s="3">
        <v>94952</v>
      </c>
      <c r="E2028" s="3" t="s">
        <v>23</v>
      </c>
    </row>
    <row r="2029" spans="1:5">
      <c r="A2029" s="3" t="s">
        <v>2050</v>
      </c>
      <c r="B2029" s="3" t="s">
        <v>22</v>
      </c>
      <c r="C2029" s="3">
        <v>2111915</v>
      </c>
      <c r="D2029" s="3">
        <v>641376</v>
      </c>
      <c r="E2029" s="3" t="s">
        <v>23</v>
      </c>
    </row>
    <row r="2030" spans="1:5">
      <c r="A2030" s="3" t="s">
        <v>2051</v>
      </c>
      <c r="B2030" s="3" t="s">
        <v>22</v>
      </c>
      <c r="C2030" s="3">
        <v>1116282</v>
      </c>
      <c r="D2030" s="3">
        <v>112470</v>
      </c>
      <c r="E2030" s="3" t="s">
        <v>23</v>
      </c>
    </row>
    <row r="2031" spans="1:5">
      <c r="A2031" s="3" t="s">
        <v>2052</v>
      </c>
      <c r="B2031" s="3" t="s">
        <v>22</v>
      </c>
      <c r="C2031" s="3">
        <v>645643</v>
      </c>
      <c r="D2031" s="3">
        <v>12346</v>
      </c>
      <c r="E2031" s="3" t="s">
        <v>23</v>
      </c>
    </row>
    <row r="2032" spans="1:5">
      <c r="A2032" s="3" t="s">
        <v>2053</v>
      </c>
      <c r="B2032" s="3" t="s">
        <v>22</v>
      </c>
      <c r="C2032" s="3">
        <v>1088811</v>
      </c>
      <c r="D2032" s="3">
        <v>149708</v>
      </c>
      <c r="E2032" s="3" t="s">
        <v>23</v>
      </c>
    </row>
    <row r="2033" spans="1:5">
      <c r="A2033" s="3" t="s">
        <v>2054</v>
      </c>
      <c r="B2033" s="3" t="s">
        <v>22</v>
      </c>
      <c r="C2033" s="3">
        <v>1688623</v>
      </c>
      <c r="D2033" s="3">
        <v>433481</v>
      </c>
      <c r="E2033" s="3" t="s">
        <v>23</v>
      </c>
    </row>
    <row r="2034" spans="1:5">
      <c r="A2034" s="3" t="s">
        <v>2055</v>
      </c>
      <c r="B2034" s="3" t="s">
        <v>22</v>
      </c>
      <c r="C2034" s="3">
        <v>1244865</v>
      </c>
      <c r="D2034" s="3">
        <v>184526</v>
      </c>
      <c r="E2034" s="3" t="s">
        <v>23</v>
      </c>
    </row>
    <row r="2035" spans="1:5">
      <c r="A2035" s="3" t="s">
        <v>2056</v>
      </c>
      <c r="B2035" s="3" t="s">
        <v>22</v>
      </c>
      <c r="C2035" s="3">
        <v>1223863</v>
      </c>
      <c r="D2035" s="3">
        <v>193765</v>
      </c>
      <c r="E2035" s="3" t="s">
        <v>23</v>
      </c>
    </row>
    <row r="2036" spans="1:5">
      <c r="A2036" s="3" t="s">
        <v>2057</v>
      </c>
      <c r="B2036" s="3" t="s">
        <v>22</v>
      </c>
      <c r="C2036" s="3">
        <v>1706615</v>
      </c>
      <c r="D2036" s="3">
        <v>420564</v>
      </c>
      <c r="E2036" s="3" t="s">
        <v>23</v>
      </c>
    </row>
    <row r="2037" spans="1:5">
      <c r="A2037" s="3" t="s">
        <v>2058</v>
      </c>
      <c r="B2037" s="3" t="s">
        <v>22</v>
      </c>
      <c r="C2037" s="3">
        <v>507307</v>
      </c>
      <c r="D2037" s="3">
        <v>12410</v>
      </c>
      <c r="E2037" s="3" t="s">
        <v>23</v>
      </c>
    </row>
    <row r="2038" spans="1:5">
      <c r="A2038" s="3" t="s">
        <v>2059</v>
      </c>
      <c r="B2038" s="3" t="s">
        <v>22</v>
      </c>
      <c r="C2038" s="3">
        <v>1020567</v>
      </c>
      <c r="D2038" s="3">
        <v>82595</v>
      </c>
      <c r="E2038" s="3" t="s">
        <v>23</v>
      </c>
    </row>
    <row r="2039" spans="1:5">
      <c r="A2039" s="3" t="s">
        <v>2060</v>
      </c>
      <c r="B2039" s="3" t="s">
        <v>22</v>
      </c>
      <c r="C2039" s="3">
        <v>1259778</v>
      </c>
      <c r="D2039" s="3">
        <v>197518</v>
      </c>
      <c r="E2039" s="3" t="s">
        <v>23</v>
      </c>
    </row>
    <row r="2040" spans="1:5">
      <c r="A2040" s="3" t="s">
        <v>2061</v>
      </c>
      <c r="B2040" s="3" t="s">
        <v>22</v>
      </c>
      <c r="C2040" s="3">
        <v>778835</v>
      </c>
      <c r="D2040" s="3">
        <v>17749</v>
      </c>
      <c r="E2040" s="3" t="s">
        <v>23</v>
      </c>
    </row>
    <row r="2041" spans="1:5">
      <c r="A2041" s="3" t="s">
        <v>2062</v>
      </c>
      <c r="B2041" s="3" t="s">
        <v>22</v>
      </c>
      <c r="C2041" s="3">
        <v>2060004</v>
      </c>
      <c r="D2041" s="3">
        <v>654349</v>
      </c>
      <c r="E2041" s="3" t="s">
        <v>23</v>
      </c>
    </row>
    <row r="2042" spans="1:5">
      <c r="A2042" s="3" t="s">
        <v>2063</v>
      </c>
      <c r="B2042" s="3" t="s">
        <v>22</v>
      </c>
      <c r="C2042" s="3">
        <v>1033378</v>
      </c>
      <c r="D2042" s="3">
        <v>110764</v>
      </c>
      <c r="E2042" s="3" t="s">
        <v>23</v>
      </c>
    </row>
    <row r="2043" spans="1:5">
      <c r="A2043" s="3" t="s">
        <v>2064</v>
      </c>
      <c r="B2043" s="3" t="s">
        <v>22</v>
      </c>
      <c r="C2043" s="3">
        <v>893454</v>
      </c>
      <c r="D2043" s="3">
        <v>49692</v>
      </c>
      <c r="E2043" s="3" t="s">
        <v>23</v>
      </c>
    </row>
    <row r="2044" spans="1:5">
      <c r="A2044" s="3" t="s">
        <v>2065</v>
      </c>
      <c r="B2044" s="3" t="s">
        <v>22</v>
      </c>
      <c r="C2044" s="3">
        <v>497037</v>
      </c>
      <c r="D2044" s="3">
        <v>6438</v>
      </c>
      <c r="E2044" s="3" t="s">
        <v>23</v>
      </c>
    </row>
    <row r="2045" spans="1:5">
      <c r="A2045" s="3" t="s">
        <v>2066</v>
      </c>
      <c r="B2045" s="3" t="s">
        <v>22</v>
      </c>
      <c r="C2045" s="3">
        <v>946992</v>
      </c>
      <c r="D2045" s="3">
        <v>164673</v>
      </c>
      <c r="E2045" s="3" t="s">
        <v>23</v>
      </c>
    </row>
    <row r="2046" spans="1:5">
      <c r="A2046" s="3" t="s">
        <v>2067</v>
      </c>
      <c r="B2046" s="3" t="s">
        <v>22</v>
      </c>
      <c r="C2046" s="3">
        <v>1099089</v>
      </c>
      <c r="D2046" s="3">
        <v>100210</v>
      </c>
      <c r="E2046" s="3" t="s">
        <v>23</v>
      </c>
    </row>
    <row r="2047" spans="1:5">
      <c r="A2047" s="3" t="s">
        <v>2068</v>
      </c>
      <c r="B2047" s="3" t="s">
        <v>22</v>
      </c>
      <c r="C2047" s="3">
        <v>714778</v>
      </c>
      <c r="D2047" s="3">
        <v>52749</v>
      </c>
      <c r="E2047" s="3" t="s">
        <v>23</v>
      </c>
    </row>
    <row r="2048" spans="1:5">
      <c r="A2048" s="3" t="s">
        <v>2069</v>
      </c>
      <c r="B2048" s="3" t="s">
        <v>22</v>
      </c>
      <c r="C2048" s="3">
        <v>1899465</v>
      </c>
      <c r="D2048" s="3">
        <v>571010</v>
      </c>
      <c r="E2048" s="3" t="s">
        <v>23</v>
      </c>
    </row>
    <row r="2049" spans="1:5">
      <c r="A2049" s="3" t="s">
        <v>2070</v>
      </c>
      <c r="B2049" s="3" t="s">
        <v>22</v>
      </c>
      <c r="C2049" s="3">
        <v>2131525</v>
      </c>
      <c r="D2049" s="3">
        <v>732106</v>
      </c>
      <c r="E2049" s="3" t="s">
        <v>23</v>
      </c>
    </row>
    <row r="2050" spans="1:5">
      <c r="A2050" s="3" t="s">
        <v>2071</v>
      </c>
      <c r="B2050" s="3" t="s">
        <v>22</v>
      </c>
      <c r="C2050" s="3">
        <v>1074270</v>
      </c>
      <c r="D2050" s="3">
        <v>187955</v>
      </c>
      <c r="E2050" s="3" t="s">
        <v>23</v>
      </c>
    </row>
    <row r="2051" spans="1:5">
      <c r="A2051" s="3" t="s">
        <v>2072</v>
      </c>
      <c r="B2051" s="3" t="s">
        <v>22</v>
      </c>
      <c r="C2051" s="3">
        <v>485879</v>
      </c>
      <c r="D2051" s="3">
        <v>19337</v>
      </c>
      <c r="E2051" s="3" t="s">
        <v>23</v>
      </c>
    </row>
    <row r="2052" spans="1:5">
      <c r="A2052" s="3" t="s">
        <v>2073</v>
      </c>
      <c r="B2052" s="3" t="s">
        <v>22</v>
      </c>
      <c r="C2052" s="3">
        <v>1055955</v>
      </c>
      <c r="D2052" s="3">
        <v>197142</v>
      </c>
      <c r="E2052" s="3" t="s">
        <v>23</v>
      </c>
    </row>
    <row r="2053" spans="1:5">
      <c r="A2053" s="3" t="s">
        <v>2074</v>
      </c>
      <c r="B2053" s="3" t="s">
        <v>22</v>
      </c>
      <c r="C2053" s="3">
        <v>1757607</v>
      </c>
      <c r="D2053" s="3">
        <v>384948</v>
      </c>
      <c r="E2053" s="3" t="s">
        <v>23</v>
      </c>
    </row>
    <row r="2054" spans="1:5">
      <c r="A2054" s="3" t="s">
        <v>2075</v>
      </c>
      <c r="B2054" s="3" t="s">
        <v>22</v>
      </c>
      <c r="C2054" s="3">
        <v>459948</v>
      </c>
      <c r="D2054" s="3">
        <v>3031</v>
      </c>
      <c r="E2054" s="3" t="s">
        <v>23</v>
      </c>
    </row>
    <row r="2055" spans="1:5">
      <c r="A2055" s="3" t="s">
        <v>2076</v>
      </c>
      <c r="B2055" s="3" t="s">
        <v>22</v>
      </c>
      <c r="C2055" s="3">
        <v>527509</v>
      </c>
      <c r="D2055" s="3">
        <v>5658</v>
      </c>
      <c r="E2055" s="3" t="s">
        <v>23</v>
      </c>
    </row>
    <row r="2056" spans="1:5">
      <c r="A2056" s="3" t="s">
        <v>2077</v>
      </c>
      <c r="B2056" s="3" t="s">
        <v>22</v>
      </c>
      <c r="C2056" s="3">
        <v>1749980</v>
      </c>
      <c r="D2056" s="3">
        <v>565905</v>
      </c>
      <c r="E2056" s="3" t="s">
        <v>23</v>
      </c>
    </row>
    <row r="2057" spans="1:5">
      <c r="A2057" s="3" t="s">
        <v>2078</v>
      </c>
      <c r="B2057" s="3" t="s">
        <v>22</v>
      </c>
      <c r="C2057" s="3">
        <v>1365864</v>
      </c>
      <c r="D2057" s="3">
        <v>339039</v>
      </c>
      <c r="E2057" s="3" t="s">
        <v>23</v>
      </c>
    </row>
    <row r="2058" spans="1:5">
      <c r="A2058" s="3" t="s">
        <v>2079</v>
      </c>
      <c r="B2058" s="3" t="s">
        <v>22</v>
      </c>
      <c r="C2058" s="3">
        <v>1605303</v>
      </c>
      <c r="D2058" s="3">
        <v>441257</v>
      </c>
      <c r="E2058" s="3" t="s">
        <v>23</v>
      </c>
    </row>
    <row r="2059" spans="1:5">
      <c r="A2059" s="3" t="s">
        <v>2080</v>
      </c>
      <c r="B2059" s="3" t="s">
        <v>22</v>
      </c>
      <c r="C2059" s="3">
        <v>1071577</v>
      </c>
      <c r="D2059" s="3">
        <v>205978</v>
      </c>
      <c r="E2059" s="3" t="s">
        <v>23</v>
      </c>
    </row>
    <row r="2060" spans="1:5">
      <c r="A2060" s="3" t="s">
        <v>2081</v>
      </c>
      <c r="B2060" s="3" t="s">
        <v>22</v>
      </c>
      <c r="C2060" s="3">
        <v>1883088</v>
      </c>
      <c r="D2060" s="3">
        <v>498623</v>
      </c>
      <c r="E2060" s="3" t="s">
        <v>23</v>
      </c>
    </row>
    <row r="2061" spans="1:5">
      <c r="A2061" s="3" t="s">
        <v>2082</v>
      </c>
      <c r="B2061" s="3" t="s">
        <v>22</v>
      </c>
      <c r="C2061" s="3">
        <v>678407</v>
      </c>
      <c r="D2061" s="3">
        <v>4848</v>
      </c>
      <c r="E2061" s="3" t="s">
        <v>23</v>
      </c>
    </row>
    <row r="2062" spans="1:5">
      <c r="A2062" s="3" t="s">
        <v>2083</v>
      </c>
      <c r="B2062" s="3" t="s">
        <v>22</v>
      </c>
      <c r="C2062" s="3">
        <v>1039717</v>
      </c>
      <c r="D2062" s="3">
        <v>99190</v>
      </c>
      <c r="E2062" s="3" t="s">
        <v>23</v>
      </c>
    </row>
    <row r="2063" spans="1:5">
      <c r="A2063" s="3" t="s">
        <v>2084</v>
      </c>
      <c r="B2063" s="3" t="s">
        <v>22</v>
      </c>
      <c r="C2063" s="3">
        <v>1613223</v>
      </c>
      <c r="D2063" s="3">
        <v>519062</v>
      </c>
      <c r="E2063" s="3" t="s">
        <v>23</v>
      </c>
    </row>
    <row r="2064" spans="1:5">
      <c r="A2064" s="3" t="s">
        <v>2085</v>
      </c>
      <c r="B2064" s="3" t="s">
        <v>22</v>
      </c>
      <c r="C2064" s="3">
        <v>1465772</v>
      </c>
      <c r="D2064" s="3">
        <v>368053</v>
      </c>
      <c r="E2064" s="3" t="s">
        <v>23</v>
      </c>
    </row>
    <row r="2065" spans="1:5">
      <c r="A2065" s="3" t="s">
        <v>2086</v>
      </c>
      <c r="B2065" s="3" t="s">
        <v>22</v>
      </c>
      <c r="C2065" s="3">
        <v>2088053</v>
      </c>
      <c r="D2065" s="3">
        <v>733790</v>
      </c>
      <c r="E2065" s="3" t="s">
        <v>23</v>
      </c>
    </row>
    <row r="2066" spans="1:5">
      <c r="A2066" s="3" t="s">
        <v>2087</v>
      </c>
      <c r="B2066" s="3" t="s">
        <v>22</v>
      </c>
      <c r="C2066" s="3">
        <v>409066</v>
      </c>
      <c r="D2066" s="3">
        <v>2279</v>
      </c>
      <c r="E2066" s="3" t="s">
        <v>23</v>
      </c>
    </row>
    <row r="2067" spans="1:5">
      <c r="A2067" s="3" t="s">
        <v>2088</v>
      </c>
      <c r="B2067" s="3" t="s">
        <v>22</v>
      </c>
      <c r="C2067" s="3">
        <v>1547339</v>
      </c>
      <c r="D2067" s="3">
        <v>467793</v>
      </c>
      <c r="E2067" s="3" t="s">
        <v>23</v>
      </c>
    </row>
    <row r="2068" spans="1:5">
      <c r="A2068" s="3" t="s">
        <v>2089</v>
      </c>
      <c r="B2068" s="3" t="s">
        <v>22</v>
      </c>
      <c r="C2068" s="3">
        <v>1804296</v>
      </c>
      <c r="D2068" s="3">
        <v>545640</v>
      </c>
      <c r="E2068" s="3" t="s">
        <v>23</v>
      </c>
    </row>
    <row r="2069" spans="1:5">
      <c r="A2069" s="3" t="s">
        <v>2090</v>
      </c>
      <c r="B2069" s="3" t="s">
        <v>22</v>
      </c>
      <c r="C2069" s="3">
        <v>1483925</v>
      </c>
      <c r="D2069" s="3">
        <v>440932</v>
      </c>
      <c r="E2069" s="3" t="s">
        <v>23</v>
      </c>
    </row>
    <row r="2070" spans="1:5">
      <c r="A2070" s="3" t="s">
        <v>2091</v>
      </c>
      <c r="B2070" s="3" t="s">
        <v>22</v>
      </c>
      <c r="C2070" s="3">
        <v>783402</v>
      </c>
      <c r="D2070" s="3">
        <v>14830</v>
      </c>
      <c r="E2070" s="3" t="s">
        <v>23</v>
      </c>
    </row>
    <row r="2071" spans="1:5">
      <c r="A2071" s="3" t="s">
        <v>2092</v>
      </c>
      <c r="B2071" s="3" t="s">
        <v>22</v>
      </c>
      <c r="C2071" s="3">
        <v>1485280</v>
      </c>
      <c r="D2071" s="3">
        <v>384095</v>
      </c>
      <c r="E2071" s="3" t="s">
        <v>23</v>
      </c>
    </row>
    <row r="2072" spans="1:5">
      <c r="A2072" s="3" t="s">
        <v>2093</v>
      </c>
      <c r="B2072" s="3" t="s">
        <v>22</v>
      </c>
      <c r="C2072" s="3">
        <v>841580</v>
      </c>
      <c r="D2072" s="3">
        <v>80266</v>
      </c>
      <c r="E2072" s="3" t="s">
        <v>23</v>
      </c>
    </row>
    <row r="2073" spans="1:5">
      <c r="A2073" s="3" t="s">
        <v>2094</v>
      </c>
      <c r="B2073" s="3" t="s">
        <v>22</v>
      </c>
      <c r="C2073" s="3">
        <v>1122576</v>
      </c>
      <c r="D2073" s="3">
        <v>211719</v>
      </c>
      <c r="E2073" s="3" t="s">
        <v>23</v>
      </c>
    </row>
    <row r="2074" spans="1:5">
      <c r="A2074" s="3" t="s">
        <v>2095</v>
      </c>
      <c r="B2074" s="3" t="s">
        <v>22</v>
      </c>
      <c r="C2074" s="3">
        <v>1521509</v>
      </c>
      <c r="D2074" s="3">
        <v>370583</v>
      </c>
      <c r="E2074" s="3" t="s">
        <v>23</v>
      </c>
    </row>
    <row r="2075" spans="1:5">
      <c r="A2075" s="3" t="s">
        <v>2096</v>
      </c>
      <c r="B2075" s="3" t="s">
        <v>22</v>
      </c>
      <c r="C2075" s="3">
        <v>1459965</v>
      </c>
      <c r="D2075" s="3">
        <v>340982</v>
      </c>
      <c r="E2075" s="3" t="s">
        <v>23</v>
      </c>
    </row>
    <row r="2076" spans="1:5">
      <c r="A2076" s="3" t="s">
        <v>2097</v>
      </c>
      <c r="B2076" s="3" t="s">
        <v>22</v>
      </c>
      <c r="C2076" s="3">
        <v>455517</v>
      </c>
      <c r="D2076" s="3">
        <v>49094</v>
      </c>
      <c r="E2076" s="3" t="s">
        <v>23</v>
      </c>
    </row>
    <row r="2077" spans="1:5">
      <c r="A2077" s="3" t="s">
        <v>2098</v>
      </c>
      <c r="B2077" s="3" t="s">
        <v>22</v>
      </c>
      <c r="C2077" s="3">
        <v>797653</v>
      </c>
      <c r="D2077" s="3">
        <v>6070</v>
      </c>
      <c r="E2077" s="3" t="s">
        <v>23</v>
      </c>
    </row>
    <row r="2078" spans="1:5">
      <c r="A2078" s="3" t="s">
        <v>2099</v>
      </c>
      <c r="B2078" s="3" t="s">
        <v>22</v>
      </c>
      <c r="C2078" s="3">
        <v>1418830</v>
      </c>
      <c r="D2078" s="3">
        <v>409420</v>
      </c>
      <c r="E2078" s="3" t="s">
        <v>23</v>
      </c>
    </row>
    <row r="2079" spans="1:5">
      <c r="A2079" s="3" t="s">
        <v>2100</v>
      </c>
      <c r="B2079" s="3" t="s">
        <v>22</v>
      </c>
      <c r="C2079" s="3">
        <v>1629226</v>
      </c>
      <c r="D2079" s="3">
        <v>383268</v>
      </c>
      <c r="E2079" s="3" t="s">
        <v>23</v>
      </c>
    </row>
    <row r="2080" spans="1:5">
      <c r="A2080" s="3" t="s">
        <v>2101</v>
      </c>
      <c r="B2080" s="3" t="s">
        <v>22</v>
      </c>
      <c r="C2080" s="3">
        <v>859991</v>
      </c>
      <c r="D2080" s="3">
        <v>14070</v>
      </c>
      <c r="E2080" s="3" t="s">
        <v>23</v>
      </c>
    </row>
    <row r="2081" spans="1:5">
      <c r="A2081" s="3" t="s">
        <v>2102</v>
      </c>
      <c r="B2081" s="3" t="s">
        <v>22</v>
      </c>
      <c r="C2081" s="3">
        <v>933389</v>
      </c>
      <c r="D2081" s="3">
        <v>13105</v>
      </c>
      <c r="E2081" s="3" t="s">
        <v>23</v>
      </c>
    </row>
    <row r="2082" spans="1:5">
      <c r="A2082" s="3" t="s">
        <v>2103</v>
      </c>
      <c r="B2082" s="3" t="s">
        <v>22</v>
      </c>
      <c r="C2082" s="3">
        <v>762224</v>
      </c>
      <c r="D2082" s="3">
        <v>55587</v>
      </c>
      <c r="E2082" s="3" t="s">
        <v>23</v>
      </c>
    </row>
    <row r="2083" spans="1:5">
      <c r="A2083" s="3" t="s">
        <v>2104</v>
      </c>
      <c r="B2083" s="3" t="s">
        <v>22</v>
      </c>
      <c r="C2083" s="3">
        <v>89281</v>
      </c>
      <c r="D2083" s="3">
        <v>9594</v>
      </c>
      <c r="E2083" s="3" t="s">
        <v>23</v>
      </c>
    </row>
    <row r="2084" spans="1:5">
      <c r="A2084" s="3" t="s">
        <v>2105</v>
      </c>
      <c r="B2084" s="3" t="s">
        <v>22</v>
      </c>
      <c r="C2084" s="3">
        <v>1494680</v>
      </c>
      <c r="D2084" s="3">
        <v>125118</v>
      </c>
      <c r="E2084" s="3" t="s">
        <v>23</v>
      </c>
    </row>
    <row r="2085" spans="1:5">
      <c r="A2085" s="3" t="s">
        <v>2106</v>
      </c>
      <c r="B2085" s="3" t="s">
        <v>22</v>
      </c>
      <c r="C2085" s="3">
        <v>2351786</v>
      </c>
      <c r="D2085" s="3">
        <v>750160</v>
      </c>
      <c r="E2085" s="3" t="s">
        <v>23</v>
      </c>
    </row>
    <row r="2086" spans="1:5">
      <c r="A2086" s="3" t="s">
        <v>2107</v>
      </c>
      <c r="B2086" s="3" t="s">
        <v>22</v>
      </c>
      <c r="C2086" s="3">
        <v>835267</v>
      </c>
      <c r="D2086" s="3">
        <v>51221</v>
      </c>
      <c r="E2086" s="3" t="s">
        <v>23</v>
      </c>
    </row>
    <row r="2087" spans="1:5">
      <c r="A2087" s="3" t="s">
        <v>2108</v>
      </c>
      <c r="B2087" s="3" t="s">
        <v>22</v>
      </c>
      <c r="C2087" s="3">
        <v>853700</v>
      </c>
      <c r="D2087" s="3">
        <v>32563</v>
      </c>
      <c r="E2087" s="3" t="s">
        <v>23</v>
      </c>
    </row>
    <row r="2088" spans="1:5">
      <c r="A2088" s="3" t="s">
        <v>2109</v>
      </c>
      <c r="B2088" s="3" t="s">
        <v>22</v>
      </c>
      <c r="C2088" s="3">
        <v>1199032</v>
      </c>
      <c r="D2088" s="3">
        <v>137986</v>
      </c>
      <c r="E2088" s="3" t="s">
        <v>23</v>
      </c>
    </row>
    <row r="2089" spans="1:5">
      <c r="A2089" s="3" t="s">
        <v>2110</v>
      </c>
      <c r="B2089" s="3" t="s">
        <v>22</v>
      </c>
      <c r="C2089" s="3">
        <v>1315183</v>
      </c>
      <c r="D2089" s="3">
        <v>173932</v>
      </c>
      <c r="E2089" s="3" t="s">
        <v>23</v>
      </c>
    </row>
    <row r="2090" spans="1:5">
      <c r="A2090" s="3" t="s">
        <v>2111</v>
      </c>
      <c r="B2090" s="3" t="s">
        <v>22</v>
      </c>
      <c r="C2090" s="3">
        <v>813400</v>
      </c>
      <c r="D2090" s="3">
        <v>61339</v>
      </c>
      <c r="E2090" s="3" t="s">
        <v>23</v>
      </c>
    </row>
    <row r="2091" spans="1:5">
      <c r="A2091" s="3" t="s">
        <v>2112</v>
      </c>
      <c r="B2091" s="3" t="s">
        <v>22</v>
      </c>
      <c r="C2091" s="3">
        <v>1926894</v>
      </c>
      <c r="D2091" s="3">
        <v>451854</v>
      </c>
      <c r="E2091" s="3" t="s">
        <v>23</v>
      </c>
    </row>
    <row r="2092" spans="1:5">
      <c r="A2092" s="3" t="s">
        <v>2113</v>
      </c>
      <c r="B2092" s="3" t="s">
        <v>22</v>
      </c>
      <c r="C2092" s="3">
        <v>1154144</v>
      </c>
      <c r="D2092" s="3">
        <v>169528</v>
      </c>
      <c r="E2092" s="3" t="s">
        <v>23</v>
      </c>
    </row>
    <row r="2093" spans="1:5">
      <c r="A2093" s="3" t="s">
        <v>2114</v>
      </c>
      <c r="B2093" s="3" t="s">
        <v>22</v>
      </c>
      <c r="C2093" s="3">
        <v>1280213</v>
      </c>
      <c r="D2093" s="3">
        <v>227677</v>
      </c>
      <c r="E2093" s="3" t="s">
        <v>23</v>
      </c>
    </row>
    <row r="2094" spans="1:5">
      <c r="A2094" s="3" t="s">
        <v>2115</v>
      </c>
      <c r="B2094" s="3" t="s">
        <v>22</v>
      </c>
      <c r="C2094" s="3">
        <v>1028509</v>
      </c>
      <c r="D2094" s="3">
        <v>60952</v>
      </c>
      <c r="E2094" s="3" t="s">
        <v>23</v>
      </c>
    </row>
    <row r="2095" spans="1:5">
      <c r="A2095" s="3" t="s">
        <v>2116</v>
      </c>
      <c r="B2095" s="3" t="s">
        <v>22</v>
      </c>
      <c r="C2095" s="3">
        <v>1348194</v>
      </c>
      <c r="D2095" s="3">
        <v>129276</v>
      </c>
      <c r="E2095" s="3" t="s">
        <v>23</v>
      </c>
    </row>
    <row r="2096" spans="1:5">
      <c r="A2096" s="3" t="s">
        <v>2117</v>
      </c>
      <c r="B2096" s="3" t="s">
        <v>22</v>
      </c>
      <c r="C2096" s="3">
        <v>1150363</v>
      </c>
      <c r="D2096" s="3">
        <v>146651</v>
      </c>
      <c r="E2096" s="3" t="s">
        <v>23</v>
      </c>
    </row>
    <row r="2097" spans="1:5">
      <c r="A2097" s="3" t="s">
        <v>2118</v>
      </c>
      <c r="B2097" s="3" t="s">
        <v>22</v>
      </c>
      <c r="C2097" s="3">
        <v>2061136</v>
      </c>
      <c r="D2097" s="3">
        <v>560058</v>
      </c>
      <c r="E2097" s="3" t="s">
        <v>23</v>
      </c>
    </row>
    <row r="2098" spans="1:5">
      <c r="A2098" s="3" t="s">
        <v>2119</v>
      </c>
      <c r="B2098" s="3" t="s">
        <v>22</v>
      </c>
      <c r="C2098" s="3">
        <v>2155162</v>
      </c>
      <c r="D2098" s="3">
        <v>601609</v>
      </c>
      <c r="E2098" s="3" t="s">
        <v>23</v>
      </c>
    </row>
    <row r="2099" spans="1:5">
      <c r="A2099" s="3" t="s">
        <v>2120</v>
      </c>
      <c r="B2099" s="3" t="s">
        <v>22</v>
      </c>
      <c r="C2099" s="3">
        <v>705670</v>
      </c>
      <c r="D2099" s="3">
        <v>25199</v>
      </c>
      <c r="E2099" s="3" t="s">
        <v>23</v>
      </c>
    </row>
    <row r="2100" spans="1:5">
      <c r="A2100" s="3" t="s">
        <v>2121</v>
      </c>
      <c r="B2100" s="3" t="s">
        <v>22</v>
      </c>
      <c r="C2100" s="3">
        <v>1555190</v>
      </c>
      <c r="D2100" s="3">
        <v>298816</v>
      </c>
      <c r="E2100" s="3" t="s">
        <v>23</v>
      </c>
    </row>
    <row r="2101" spans="1:5">
      <c r="A2101" s="3" t="s">
        <v>2122</v>
      </c>
      <c r="B2101" s="3" t="s">
        <v>22</v>
      </c>
      <c r="C2101" s="3">
        <v>1838905</v>
      </c>
      <c r="D2101" s="3">
        <v>533979</v>
      </c>
      <c r="E2101" s="3" t="s">
        <v>23</v>
      </c>
    </row>
    <row r="2102" spans="1:5">
      <c r="A2102" s="3" t="s">
        <v>2123</v>
      </c>
      <c r="B2102" s="3" t="s">
        <v>22</v>
      </c>
      <c r="C2102" s="3">
        <v>731247</v>
      </c>
      <c r="D2102" s="3">
        <v>42931</v>
      </c>
      <c r="E2102" s="3" t="s">
        <v>23</v>
      </c>
    </row>
    <row r="2103" spans="1:5">
      <c r="A2103" s="3" t="s">
        <v>2124</v>
      </c>
      <c r="B2103" s="3" t="s">
        <v>22</v>
      </c>
      <c r="C2103" s="3">
        <v>2155265</v>
      </c>
      <c r="D2103" s="3">
        <v>580171</v>
      </c>
      <c r="E2103" s="3" t="s">
        <v>23</v>
      </c>
    </row>
    <row r="2104" spans="1:5">
      <c r="A2104" s="3" t="s">
        <v>2125</v>
      </c>
      <c r="B2104" s="3" t="s">
        <v>22</v>
      </c>
      <c r="C2104" s="3">
        <v>1865378</v>
      </c>
      <c r="D2104" s="3">
        <v>454679</v>
      </c>
      <c r="E2104" s="3" t="s">
        <v>23</v>
      </c>
    </row>
    <row r="2105" spans="1:5">
      <c r="A2105" s="3" t="s">
        <v>2126</v>
      </c>
      <c r="B2105" s="3" t="s">
        <v>22</v>
      </c>
      <c r="C2105" s="3">
        <v>981891</v>
      </c>
      <c r="D2105" s="3">
        <v>24169</v>
      </c>
      <c r="E2105" s="3" t="s">
        <v>23</v>
      </c>
    </row>
    <row r="2106" spans="1:5">
      <c r="A2106" s="3" t="s">
        <v>2127</v>
      </c>
      <c r="B2106" s="3" t="s">
        <v>22</v>
      </c>
      <c r="C2106" s="3">
        <v>501878</v>
      </c>
      <c r="D2106" s="3">
        <v>431</v>
      </c>
      <c r="E2106" s="3" t="s">
        <v>23</v>
      </c>
    </row>
    <row r="2107" spans="1:5">
      <c r="A2107" s="3" t="s">
        <v>2128</v>
      </c>
      <c r="B2107" s="3" t="s">
        <v>22</v>
      </c>
      <c r="C2107" s="3">
        <v>556724</v>
      </c>
      <c r="D2107" s="3">
        <v>89740</v>
      </c>
      <c r="E2107" s="3" t="s">
        <v>23</v>
      </c>
    </row>
    <row r="2108" spans="1:5">
      <c r="A2108" s="3" t="s">
        <v>2129</v>
      </c>
      <c r="B2108" s="3" t="s">
        <v>22</v>
      </c>
      <c r="C2108" s="3">
        <v>1234454</v>
      </c>
      <c r="D2108" s="3">
        <v>151049</v>
      </c>
      <c r="E2108" s="3" t="s">
        <v>23</v>
      </c>
    </row>
    <row r="2109" spans="1:5">
      <c r="A2109" s="3" t="s">
        <v>2130</v>
      </c>
      <c r="B2109" s="3" t="s">
        <v>22</v>
      </c>
      <c r="C2109" s="3">
        <v>1404677</v>
      </c>
      <c r="D2109" s="3">
        <v>264614</v>
      </c>
      <c r="E2109" s="3" t="s">
        <v>23</v>
      </c>
    </row>
    <row r="2110" spans="1:5">
      <c r="A2110" s="3" t="s">
        <v>2131</v>
      </c>
      <c r="B2110" s="3" t="s">
        <v>22</v>
      </c>
      <c r="C2110" s="3">
        <v>1104563</v>
      </c>
      <c r="D2110" s="3">
        <v>50043</v>
      </c>
      <c r="E2110" s="3" t="s">
        <v>23</v>
      </c>
    </row>
    <row r="2111" spans="1:5">
      <c r="A2111" s="3" t="s">
        <v>2132</v>
      </c>
      <c r="B2111" s="3" t="s">
        <v>22</v>
      </c>
      <c r="C2111" s="3">
        <v>1592212</v>
      </c>
      <c r="D2111" s="3">
        <v>249599</v>
      </c>
      <c r="E2111" s="3" t="s">
        <v>23</v>
      </c>
    </row>
    <row r="2112" spans="1:5">
      <c r="A2112" s="3" t="s">
        <v>2133</v>
      </c>
      <c r="B2112" s="3" t="s">
        <v>22</v>
      </c>
      <c r="C2112" s="3">
        <v>748608</v>
      </c>
      <c r="D2112" s="3">
        <v>11624</v>
      </c>
      <c r="E2112" s="3" t="s">
        <v>23</v>
      </c>
    </row>
    <row r="2113" spans="1:5">
      <c r="A2113" s="3" t="s">
        <v>2134</v>
      </c>
      <c r="B2113" s="3" t="s">
        <v>22</v>
      </c>
      <c r="C2113" s="3">
        <v>1078206</v>
      </c>
      <c r="D2113" s="3">
        <v>117797</v>
      </c>
      <c r="E2113" s="3" t="s">
        <v>23</v>
      </c>
    </row>
    <row r="2114" spans="1:5">
      <c r="A2114" s="3" t="s">
        <v>2135</v>
      </c>
      <c r="B2114" s="3" t="s">
        <v>22</v>
      </c>
      <c r="C2114" s="3">
        <v>1320394</v>
      </c>
      <c r="D2114" s="3">
        <v>171825</v>
      </c>
      <c r="E2114" s="3" t="s">
        <v>23</v>
      </c>
    </row>
    <row r="2115" spans="1:5">
      <c r="A2115" s="3" t="s">
        <v>2136</v>
      </c>
      <c r="B2115" s="3" t="s">
        <v>22</v>
      </c>
      <c r="C2115" s="3">
        <v>1183091</v>
      </c>
      <c r="D2115" s="3">
        <v>88294</v>
      </c>
      <c r="E2115" s="3" t="s">
        <v>23</v>
      </c>
    </row>
    <row r="2116" spans="1:5">
      <c r="A2116" s="3" t="s">
        <v>2137</v>
      </c>
      <c r="B2116" s="3" t="s">
        <v>22</v>
      </c>
      <c r="C2116" s="3">
        <v>2136076</v>
      </c>
      <c r="D2116" s="3">
        <v>652802</v>
      </c>
      <c r="E2116" s="3" t="s">
        <v>23</v>
      </c>
    </row>
    <row r="2117" spans="1:5">
      <c r="A2117" s="3" t="s">
        <v>2138</v>
      </c>
      <c r="B2117" s="3" t="s">
        <v>22</v>
      </c>
      <c r="C2117" s="3">
        <v>1412794</v>
      </c>
      <c r="D2117" s="3">
        <v>100046</v>
      </c>
      <c r="E2117" s="3" t="s">
        <v>23</v>
      </c>
    </row>
    <row r="2118" spans="1:5">
      <c r="A2118" s="3" t="s">
        <v>2139</v>
      </c>
      <c r="B2118" s="3" t="s">
        <v>22</v>
      </c>
      <c r="C2118" s="3">
        <v>1096246</v>
      </c>
      <c r="D2118" s="3">
        <v>54902</v>
      </c>
      <c r="E2118" s="3" t="s">
        <v>23</v>
      </c>
    </row>
    <row r="2119" spans="1:5">
      <c r="A2119" s="3" t="s">
        <v>2140</v>
      </c>
      <c r="B2119" s="3" t="s">
        <v>22</v>
      </c>
      <c r="C2119" s="3">
        <v>1495703</v>
      </c>
      <c r="D2119" s="3">
        <v>437818</v>
      </c>
      <c r="E2119" s="3" t="s">
        <v>23</v>
      </c>
    </row>
    <row r="2120" spans="1:5">
      <c r="A2120" s="3" t="s">
        <v>2141</v>
      </c>
      <c r="B2120" s="3" t="s">
        <v>22</v>
      </c>
      <c r="C2120" s="3">
        <v>2016205</v>
      </c>
      <c r="D2120" s="3">
        <v>532016</v>
      </c>
      <c r="E2120" s="3" t="s">
        <v>23</v>
      </c>
    </row>
    <row r="2121" spans="1:5">
      <c r="A2121" s="3" t="s">
        <v>2142</v>
      </c>
      <c r="B2121" s="3" t="s">
        <v>22</v>
      </c>
      <c r="C2121" s="3">
        <v>2100219</v>
      </c>
      <c r="D2121" s="3">
        <v>627320</v>
      </c>
      <c r="E2121" s="3" t="s">
        <v>23</v>
      </c>
    </row>
    <row r="2122" spans="1:5">
      <c r="A2122" s="3" t="s">
        <v>2143</v>
      </c>
      <c r="B2122" s="3" t="s">
        <v>22</v>
      </c>
      <c r="C2122" s="3">
        <v>1593517</v>
      </c>
      <c r="D2122" s="3">
        <v>324743</v>
      </c>
      <c r="E2122" s="3" t="s">
        <v>23</v>
      </c>
    </row>
    <row r="2123" spans="1:5">
      <c r="A2123" s="3" t="s">
        <v>2144</v>
      </c>
      <c r="B2123" s="3" t="s">
        <v>22</v>
      </c>
      <c r="C2123" s="3">
        <v>2314738</v>
      </c>
      <c r="D2123" s="3">
        <v>278838</v>
      </c>
      <c r="E2123" s="3" t="s">
        <v>23</v>
      </c>
    </row>
    <row r="2124" spans="1:5">
      <c r="A2124" s="3" t="s">
        <v>2145</v>
      </c>
      <c r="B2124" s="3" t="s">
        <v>22</v>
      </c>
      <c r="C2124" s="3">
        <v>822564</v>
      </c>
      <c r="D2124" s="3">
        <v>37040</v>
      </c>
      <c r="E2124" s="3" t="s">
        <v>23</v>
      </c>
    </row>
    <row r="2125" spans="1:5">
      <c r="A2125" s="3" t="s">
        <v>2146</v>
      </c>
      <c r="B2125" s="3" t="s">
        <v>22</v>
      </c>
      <c r="C2125" s="3">
        <v>938659</v>
      </c>
      <c r="D2125" s="3">
        <v>20055</v>
      </c>
      <c r="E2125" s="3" t="s">
        <v>23</v>
      </c>
    </row>
    <row r="2126" spans="1:5">
      <c r="A2126" s="3" t="s">
        <v>2147</v>
      </c>
      <c r="B2126" s="3" t="s">
        <v>22</v>
      </c>
      <c r="C2126" s="3">
        <v>2079195</v>
      </c>
      <c r="D2126" s="3">
        <v>600929</v>
      </c>
      <c r="E2126" s="3" t="s">
        <v>23</v>
      </c>
    </row>
    <row r="2127" spans="1:5">
      <c r="A2127" s="3" t="s">
        <v>2148</v>
      </c>
      <c r="B2127" s="3" t="s">
        <v>22</v>
      </c>
      <c r="C2127" s="3">
        <v>1179886</v>
      </c>
      <c r="D2127" s="3">
        <v>184125</v>
      </c>
      <c r="E2127" s="3" t="s">
        <v>23</v>
      </c>
    </row>
    <row r="2128" spans="1:5">
      <c r="A2128" s="3" t="s">
        <v>2149</v>
      </c>
      <c r="B2128" s="3" t="s">
        <v>22</v>
      </c>
      <c r="C2128" s="3">
        <v>1356038</v>
      </c>
      <c r="D2128" s="3">
        <v>309612</v>
      </c>
      <c r="E2128" s="3" t="s">
        <v>23</v>
      </c>
    </row>
    <row r="2129" spans="1:5">
      <c r="A2129" s="3" t="s">
        <v>2150</v>
      </c>
      <c r="B2129" s="3" t="s">
        <v>22</v>
      </c>
      <c r="C2129" s="3">
        <v>2396931</v>
      </c>
      <c r="D2129" s="3">
        <v>801330</v>
      </c>
      <c r="E2129" s="3" t="s">
        <v>23</v>
      </c>
    </row>
    <row r="2130" spans="1:5">
      <c r="A2130" s="3" t="s">
        <v>2151</v>
      </c>
      <c r="B2130" s="3" t="s">
        <v>22</v>
      </c>
      <c r="C2130" s="3">
        <v>552364</v>
      </c>
      <c r="D2130" s="3">
        <v>9288</v>
      </c>
      <c r="E2130" s="3" t="s">
        <v>23</v>
      </c>
    </row>
    <row r="2131" spans="1:5">
      <c r="A2131" s="3" t="s">
        <v>2152</v>
      </c>
      <c r="B2131" s="3" t="s">
        <v>22</v>
      </c>
      <c r="C2131" s="3">
        <v>2052223</v>
      </c>
      <c r="D2131" s="3">
        <v>406723</v>
      </c>
      <c r="E2131" s="3" t="s">
        <v>23</v>
      </c>
    </row>
    <row r="2132" spans="1:5">
      <c r="A2132" s="3" t="s">
        <v>2153</v>
      </c>
      <c r="B2132" s="3" t="s">
        <v>22</v>
      </c>
      <c r="C2132" s="3">
        <v>1938230</v>
      </c>
      <c r="D2132" s="3">
        <v>644929</v>
      </c>
      <c r="E2132" s="3" t="s">
        <v>23</v>
      </c>
    </row>
    <row r="2133" spans="1:5">
      <c r="A2133" s="3" t="s">
        <v>2154</v>
      </c>
      <c r="B2133" s="3" t="s">
        <v>22</v>
      </c>
      <c r="C2133" s="3">
        <v>821676</v>
      </c>
      <c r="D2133" s="3">
        <v>40685</v>
      </c>
      <c r="E2133" s="3" t="s">
        <v>23</v>
      </c>
    </row>
    <row r="2134" spans="1:5">
      <c r="A2134" s="3" t="s">
        <v>2155</v>
      </c>
      <c r="B2134" s="3" t="s">
        <v>22</v>
      </c>
      <c r="C2134" s="3">
        <v>2388127</v>
      </c>
      <c r="D2134" s="3">
        <v>867413</v>
      </c>
      <c r="E2134" s="3" t="s">
        <v>23</v>
      </c>
    </row>
    <row r="2135" spans="1:5">
      <c r="A2135" s="3" t="s">
        <v>2156</v>
      </c>
      <c r="B2135" s="3" t="s">
        <v>22</v>
      </c>
      <c r="C2135" s="3">
        <v>1976018</v>
      </c>
      <c r="D2135" s="3">
        <v>394167</v>
      </c>
      <c r="E2135" s="3" t="s">
        <v>23</v>
      </c>
    </row>
    <row r="2136" spans="1:5">
      <c r="A2136" s="3" t="s">
        <v>2157</v>
      </c>
      <c r="B2136" s="3" t="s">
        <v>22</v>
      </c>
      <c r="C2136" s="3">
        <v>870912</v>
      </c>
      <c r="D2136" s="3">
        <v>108991</v>
      </c>
      <c r="E2136" s="3" t="s">
        <v>23</v>
      </c>
    </row>
    <row r="2137" spans="1:5">
      <c r="A2137" s="3" t="s">
        <v>2158</v>
      </c>
      <c r="B2137" s="3" t="s">
        <v>22</v>
      </c>
      <c r="C2137" s="3">
        <v>639820</v>
      </c>
      <c r="D2137" s="3">
        <v>11605</v>
      </c>
      <c r="E2137" s="3" t="s">
        <v>23</v>
      </c>
    </row>
    <row r="2138" spans="1:5">
      <c r="A2138" s="3" t="s">
        <v>2159</v>
      </c>
      <c r="B2138" s="3" t="s">
        <v>22</v>
      </c>
      <c r="C2138" s="3">
        <v>4603476</v>
      </c>
      <c r="D2138" s="3">
        <v>346602</v>
      </c>
      <c r="E2138" s="3" t="s">
        <v>23</v>
      </c>
    </row>
    <row r="2139" spans="1:5">
      <c r="A2139" s="3" t="s">
        <v>2160</v>
      </c>
      <c r="B2139" s="3" t="s">
        <v>22</v>
      </c>
      <c r="C2139" s="3">
        <v>1208499</v>
      </c>
      <c r="D2139" s="3">
        <v>92684</v>
      </c>
      <c r="E2139" s="3" t="s">
        <v>23</v>
      </c>
    </row>
    <row r="2140" spans="1:5">
      <c r="A2140" s="3" t="s">
        <v>2161</v>
      </c>
      <c r="B2140" s="3" t="s">
        <v>22</v>
      </c>
      <c r="C2140" s="3">
        <v>568065</v>
      </c>
      <c r="D2140" s="3">
        <v>71007</v>
      </c>
      <c r="E2140" s="3" t="s">
        <v>23</v>
      </c>
    </row>
    <row r="2141" spans="1:5">
      <c r="A2141" s="3" t="s">
        <v>2162</v>
      </c>
      <c r="B2141" s="3" t="s">
        <v>22</v>
      </c>
      <c r="C2141" s="3">
        <v>1233013</v>
      </c>
      <c r="D2141" s="3">
        <v>295775</v>
      </c>
      <c r="E2141" s="3" t="s">
        <v>23</v>
      </c>
    </row>
    <row r="2142" spans="1:5">
      <c r="A2142" s="3" t="s">
        <v>2163</v>
      </c>
      <c r="B2142" s="3" t="s">
        <v>22</v>
      </c>
      <c r="C2142" s="3">
        <v>1047045</v>
      </c>
      <c r="D2142" s="3">
        <v>247422</v>
      </c>
      <c r="E2142" s="3" t="s">
        <v>23</v>
      </c>
    </row>
    <row r="2143" spans="1:5">
      <c r="A2143" s="3" t="s">
        <v>2164</v>
      </c>
      <c r="B2143" s="3" t="s">
        <v>22</v>
      </c>
      <c r="C2143" s="3">
        <v>542313</v>
      </c>
      <c r="D2143" s="3">
        <v>23580</v>
      </c>
      <c r="E2143" s="3" t="s">
        <v>23</v>
      </c>
    </row>
    <row r="2144" spans="1:5">
      <c r="A2144" s="3" t="s">
        <v>2165</v>
      </c>
      <c r="B2144" s="3" t="s">
        <v>22</v>
      </c>
      <c r="C2144" s="3">
        <v>460101</v>
      </c>
      <c r="D2144" s="3">
        <v>943</v>
      </c>
      <c r="E2144" s="3" t="s">
        <v>23</v>
      </c>
    </row>
    <row r="2145" spans="1:5">
      <c r="A2145" s="3" t="s">
        <v>2166</v>
      </c>
      <c r="B2145" s="3" t="s">
        <v>22</v>
      </c>
      <c r="C2145" s="3">
        <v>648324</v>
      </c>
      <c r="D2145" s="3">
        <v>84899</v>
      </c>
      <c r="E2145" s="3" t="s">
        <v>23</v>
      </c>
    </row>
    <row r="2146" spans="1:5">
      <c r="A2146" s="3" t="s">
        <v>2167</v>
      </c>
      <c r="B2146" s="3" t="s">
        <v>22</v>
      </c>
      <c r="C2146" s="3">
        <v>1207796</v>
      </c>
      <c r="D2146" s="3">
        <v>329530</v>
      </c>
      <c r="E2146" s="3" t="s">
        <v>23</v>
      </c>
    </row>
    <row r="2147" spans="1:5">
      <c r="A2147" s="3" t="s">
        <v>2168</v>
      </c>
      <c r="B2147" s="3" t="s">
        <v>22</v>
      </c>
      <c r="C2147" s="3">
        <v>322012</v>
      </c>
      <c r="D2147" s="3">
        <v>8285</v>
      </c>
      <c r="E2147" s="3" t="s">
        <v>23</v>
      </c>
    </row>
    <row r="2148" spans="1:5">
      <c r="A2148" s="3" t="s">
        <v>2169</v>
      </c>
      <c r="B2148" s="3" t="s">
        <v>22</v>
      </c>
      <c r="C2148" s="3">
        <v>327969</v>
      </c>
      <c r="D2148" s="3">
        <v>10039</v>
      </c>
      <c r="E2148" s="3" t="s">
        <v>23</v>
      </c>
    </row>
    <row r="2149" spans="1:5">
      <c r="A2149" s="3" t="s">
        <v>2170</v>
      </c>
      <c r="B2149" s="3" t="s">
        <v>22</v>
      </c>
      <c r="C2149" s="3">
        <v>1147182</v>
      </c>
      <c r="D2149" s="3">
        <v>306201</v>
      </c>
      <c r="E2149" s="3" t="s">
        <v>23</v>
      </c>
    </row>
    <row r="2150" spans="1:5">
      <c r="A2150" s="3" t="s">
        <v>2171</v>
      </c>
      <c r="B2150" s="3" t="s">
        <v>22</v>
      </c>
      <c r="C2150" s="3">
        <v>864267</v>
      </c>
      <c r="D2150" s="3">
        <v>158431</v>
      </c>
      <c r="E2150" s="3" t="s">
        <v>23</v>
      </c>
    </row>
    <row r="2151" spans="1:5">
      <c r="A2151" s="3" t="s">
        <v>2172</v>
      </c>
      <c r="B2151" s="3" t="s">
        <v>22</v>
      </c>
      <c r="C2151" s="3">
        <v>1192578</v>
      </c>
      <c r="D2151" s="3">
        <v>256936</v>
      </c>
      <c r="E2151" s="3" t="s">
        <v>23</v>
      </c>
    </row>
    <row r="2152" spans="1:5">
      <c r="A2152" s="3" t="s">
        <v>2173</v>
      </c>
      <c r="B2152" s="3" t="s">
        <v>22</v>
      </c>
      <c r="C2152" s="3">
        <v>921429</v>
      </c>
      <c r="D2152" s="3">
        <v>229436</v>
      </c>
      <c r="E2152" s="3" t="s">
        <v>23</v>
      </c>
    </row>
    <row r="2153" spans="1:5">
      <c r="A2153" s="3" t="s">
        <v>2174</v>
      </c>
      <c r="B2153" s="3" t="s">
        <v>22</v>
      </c>
      <c r="C2153" s="3">
        <v>1142423</v>
      </c>
      <c r="D2153" s="3">
        <v>313321</v>
      </c>
      <c r="E2153" s="3" t="s">
        <v>23</v>
      </c>
    </row>
    <row r="2154" spans="1:5">
      <c r="A2154" s="3" t="s">
        <v>2175</v>
      </c>
      <c r="B2154" s="3" t="s">
        <v>22</v>
      </c>
      <c r="C2154" s="3">
        <v>267571</v>
      </c>
      <c r="D2154" s="3">
        <v>558</v>
      </c>
      <c r="E2154" s="3" t="s">
        <v>23</v>
      </c>
    </row>
    <row r="2155" spans="1:5">
      <c r="A2155" s="3" t="s">
        <v>2176</v>
      </c>
      <c r="B2155" s="3" t="s">
        <v>22</v>
      </c>
      <c r="C2155" s="3">
        <v>417209</v>
      </c>
      <c r="D2155" s="3">
        <v>21027</v>
      </c>
      <c r="E2155" s="3" t="s">
        <v>23</v>
      </c>
    </row>
    <row r="2156" spans="1:5">
      <c r="A2156" s="3" t="s">
        <v>2177</v>
      </c>
      <c r="B2156" s="3" t="s">
        <v>22</v>
      </c>
      <c r="C2156" s="3">
        <v>462535</v>
      </c>
      <c r="D2156" s="3">
        <v>52718</v>
      </c>
      <c r="E2156" s="3" t="s">
        <v>23</v>
      </c>
    </row>
    <row r="2157" spans="1:5">
      <c r="A2157" s="3" t="s">
        <v>2178</v>
      </c>
      <c r="B2157" s="3" t="s">
        <v>22</v>
      </c>
      <c r="C2157" s="3">
        <v>944698</v>
      </c>
      <c r="D2157" s="3">
        <v>181076</v>
      </c>
      <c r="E2157" s="3" t="s">
        <v>23</v>
      </c>
    </row>
    <row r="2158" spans="1:5">
      <c r="A2158" s="3" t="s">
        <v>2179</v>
      </c>
      <c r="B2158" s="3" t="s">
        <v>22</v>
      </c>
      <c r="C2158" s="3">
        <v>1235488</v>
      </c>
      <c r="D2158" s="3">
        <v>323486</v>
      </c>
      <c r="E2158" s="3" t="s">
        <v>23</v>
      </c>
    </row>
    <row r="2159" spans="1:5">
      <c r="A2159" s="3" t="s">
        <v>2180</v>
      </c>
      <c r="B2159" s="3" t="s">
        <v>22</v>
      </c>
      <c r="C2159" s="3">
        <v>259948</v>
      </c>
      <c r="D2159" s="3">
        <v>342</v>
      </c>
      <c r="E2159" s="3" t="s">
        <v>23</v>
      </c>
    </row>
    <row r="2160" spans="1:5">
      <c r="A2160" s="3" t="s">
        <v>2181</v>
      </c>
      <c r="B2160" s="3" t="s">
        <v>22</v>
      </c>
      <c r="C2160" s="3">
        <v>1135778</v>
      </c>
      <c r="D2160" s="3">
        <v>336587</v>
      </c>
      <c r="E2160" s="3" t="s">
        <v>23</v>
      </c>
    </row>
    <row r="2161" spans="1:5">
      <c r="A2161" s="3" t="s">
        <v>2182</v>
      </c>
      <c r="B2161" s="3" t="s">
        <v>22</v>
      </c>
      <c r="C2161" s="3">
        <v>812646</v>
      </c>
      <c r="D2161" s="3">
        <v>148701</v>
      </c>
      <c r="E2161" s="3" t="s">
        <v>23</v>
      </c>
    </row>
    <row r="2162" spans="1:5">
      <c r="A2162" s="3" t="s">
        <v>2183</v>
      </c>
      <c r="B2162" s="3" t="s">
        <v>22</v>
      </c>
      <c r="C2162" s="3">
        <v>1099401</v>
      </c>
      <c r="D2162" s="3">
        <v>233980</v>
      </c>
      <c r="E2162" s="3" t="s">
        <v>23</v>
      </c>
    </row>
    <row r="2163" spans="1:5">
      <c r="A2163" s="3" t="s">
        <v>2184</v>
      </c>
      <c r="B2163" s="3" t="s">
        <v>22</v>
      </c>
      <c r="C2163" s="3">
        <v>361264</v>
      </c>
      <c r="D2163" s="3">
        <v>3032</v>
      </c>
      <c r="E2163" s="3" t="s">
        <v>23</v>
      </c>
    </row>
    <row r="2164" spans="1:5">
      <c r="A2164" s="3" t="s">
        <v>2185</v>
      </c>
      <c r="B2164" s="3" t="s">
        <v>22</v>
      </c>
      <c r="C2164" s="3">
        <v>608947</v>
      </c>
      <c r="D2164" s="3">
        <v>29083</v>
      </c>
      <c r="E2164" s="3" t="s">
        <v>23</v>
      </c>
    </row>
    <row r="2165" spans="1:5">
      <c r="A2165" s="3" t="s">
        <v>2186</v>
      </c>
      <c r="B2165" s="3" t="s">
        <v>22</v>
      </c>
      <c r="C2165" s="3">
        <v>554191</v>
      </c>
      <c r="D2165" s="3">
        <v>47080</v>
      </c>
      <c r="E2165" s="3" t="s">
        <v>23</v>
      </c>
    </row>
    <row r="2166" spans="1:5">
      <c r="A2166" s="3" t="s">
        <v>2187</v>
      </c>
      <c r="B2166" s="3" t="s">
        <v>22</v>
      </c>
      <c r="C2166" s="3">
        <v>747155</v>
      </c>
      <c r="D2166" s="3">
        <v>142351</v>
      </c>
      <c r="E2166" s="3" t="s">
        <v>23</v>
      </c>
    </row>
    <row r="2167" spans="1:5">
      <c r="A2167" s="3" t="s">
        <v>2188</v>
      </c>
      <c r="B2167" s="3" t="s">
        <v>22</v>
      </c>
      <c r="C2167" s="3">
        <v>902371</v>
      </c>
      <c r="D2167" s="3">
        <v>176497</v>
      </c>
      <c r="E2167" s="3" t="s">
        <v>23</v>
      </c>
    </row>
    <row r="2168" spans="1:5">
      <c r="A2168" s="3" t="s">
        <v>2189</v>
      </c>
      <c r="B2168" s="3" t="s">
        <v>22</v>
      </c>
      <c r="C2168" s="3">
        <v>1040054</v>
      </c>
      <c r="D2168" s="3">
        <v>253373</v>
      </c>
      <c r="E2168" s="3" t="s">
        <v>23</v>
      </c>
    </row>
    <row r="2169" spans="1:5">
      <c r="A2169" s="3" t="s">
        <v>2190</v>
      </c>
      <c r="B2169" s="3" t="s">
        <v>22</v>
      </c>
      <c r="C2169" s="3">
        <v>786385</v>
      </c>
      <c r="D2169" s="3">
        <v>178040</v>
      </c>
      <c r="E2169" s="3" t="s">
        <v>23</v>
      </c>
    </row>
    <row r="2170" spans="1:5">
      <c r="A2170" s="3" t="s">
        <v>2191</v>
      </c>
      <c r="B2170" s="3" t="s">
        <v>22</v>
      </c>
      <c r="C2170" s="3">
        <v>526596</v>
      </c>
      <c r="D2170" s="3">
        <v>16746</v>
      </c>
      <c r="E2170" s="3" t="s">
        <v>23</v>
      </c>
    </row>
    <row r="2171" spans="1:5">
      <c r="A2171" s="3" t="s">
        <v>2192</v>
      </c>
      <c r="B2171" s="3" t="s">
        <v>22</v>
      </c>
      <c r="C2171" s="3">
        <v>974409</v>
      </c>
      <c r="D2171" s="3">
        <v>231509</v>
      </c>
      <c r="E2171" s="3" t="s">
        <v>23</v>
      </c>
    </row>
    <row r="2172" spans="1:5">
      <c r="A2172" s="3" t="s">
        <v>2193</v>
      </c>
      <c r="B2172" s="3" t="s">
        <v>22</v>
      </c>
      <c r="C2172" s="3">
        <v>716008</v>
      </c>
      <c r="D2172" s="3">
        <v>57786</v>
      </c>
      <c r="E2172" s="3" t="s">
        <v>23</v>
      </c>
    </row>
    <row r="2173" spans="1:5">
      <c r="A2173" s="3" t="s">
        <v>2194</v>
      </c>
      <c r="B2173" s="3" t="s">
        <v>22</v>
      </c>
      <c r="C2173" s="3">
        <v>637173</v>
      </c>
      <c r="D2173" s="3">
        <v>41219</v>
      </c>
      <c r="E2173" s="3" t="s">
        <v>23</v>
      </c>
    </row>
    <row r="2174" spans="1:5">
      <c r="A2174" s="3" t="s">
        <v>2195</v>
      </c>
      <c r="B2174" s="3" t="s">
        <v>22</v>
      </c>
      <c r="C2174" s="3">
        <v>828303</v>
      </c>
      <c r="D2174" s="3">
        <v>162869</v>
      </c>
      <c r="E2174" s="3" t="s">
        <v>23</v>
      </c>
    </row>
    <row r="2175" spans="1:5">
      <c r="A2175" s="3" t="s">
        <v>2196</v>
      </c>
      <c r="B2175" s="3" t="s">
        <v>22</v>
      </c>
      <c r="C2175" s="3">
        <v>115812</v>
      </c>
      <c r="D2175" s="3">
        <v>404</v>
      </c>
      <c r="E2175" s="3" t="s">
        <v>23</v>
      </c>
    </row>
    <row r="2176" spans="1:5">
      <c r="A2176" s="3" t="s">
        <v>2197</v>
      </c>
      <c r="B2176" s="3" t="s">
        <v>22</v>
      </c>
      <c r="C2176" s="3">
        <v>884410</v>
      </c>
      <c r="D2176" s="3">
        <v>154569</v>
      </c>
      <c r="E2176" s="3" t="s">
        <v>23</v>
      </c>
    </row>
    <row r="2177" spans="1:5">
      <c r="A2177" s="3" t="s">
        <v>2198</v>
      </c>
      <c r="B2177" s="3" t="s">
        <v>22</v>
      </c>
      <c r="C2177" s="3">
        <v>705270</v>
      </c>
      <c r="D2177" s="3">
        <v>73899</v>
      </c>
      <c r="E2177" s="3" t="s">
        <v>23</v>
      </c>
    </row>
    <row r="2178" spans="1:5">
      <c r="A2178" s="3" t="s">
        <v>2199</v>
      </c>
      <c r="B2178" s="3" t="s">
        <v>22</v>
      </c>
      <c r="C2178" s="3">
        <v>974188</v>
      </c>
      <c r="D2178" s="3">
        <v>212757</v>
      </c>
      <c r="E2178" s="3" t="s">
        <v>23</v>
      </c>
    </row>
    <row r="2179" spans="1:5">
      <c r="A2179" s="3" t="s">
        <v>2200</v>
      </c>
      <c r="B2179" s="3" t="s">
        <v>22</v>
      </c>
      <c r="C2179" s="3">
        <v>733858</v>
      </c>
      <c r="D2179" s="3">
        <v>102074</v>
      </c>
      <c r="E2179" s="3" t="s">
        <v>23</v>
      </c>
    </row>
    <row r="2180" spans="1:5">
      <c r="A2180" s="3" t="s">
        <v>2201</v>
      </c>
      <c r="B2180" s="3" t="s">
        <v>22</v>
      </c>
      <c r="C2180" s="3">
        <v>616556</v>
      </c>
      <c r="D2180" s="3">
        <v>66803</v>
      </c>
      <c r="E2180" s="3" t="s">
        <v>23</v>
      </c>
    </row>
    <row r="2181" spans="1:5">
      <c r="A2181" s="3" t="s">
        <v>2202</v>
      </c>
      <c r="B2181" s="3" t="s">
        <v>22</v>
      </c>
      <c r="C2181" s="3">
        <v>723251</v>
      </c>
      <c r="D2181" s="3">
        <v>98435</v>
      </c>
      <c r="E2181" s="3" t="s">
        <v>23</v>
      </c>
    </row>
    <row r="2182" spans="1:5">
      <c r="A2182" s="3" t="s">
        <v>2203</v>
      </c>
      <c r="B2182" s="3" t="s">
        <v>22</v>
      </c>
      <c r="C2182" s="3">
        <v>789280</v>
      </c>
      <c r="D2182" s="3">
        <v>112869</v>
      </c>
      <c r="E2182" s="3" t="s">
        <v>23</v>
      </c>
    </row>
    <row r="2183" spans="1:5">
      <c r="A2183" s="3" t="s">
        <v>2204</v>
      </c>
      <c r="B2183" s="3" t="s">
        <v>22</v>
      </c>
      <c r="C2183" s="3">
        <v>837938</v>
      </c>
      <c r="D2183" s="3">
        <v>148768</v>
      </c>
      <c r="E2183" s="3" t="s">
        <v>23</v>
      </c>
    </row>
    <row r="2184" spans="1:5">
      <c r="A2184" s="3" t="s">
        <v>2205</v>
      </c>
      <c r="B2184" s="3" t="s">
        <v>22</v>
      </c>
      <c r="C2184" s="3">
        <v>1078174</v>
      </c>
      <c r="D2184" s="3">
        <v>289023</v>
      </c>
      <c r="E2184" s="3" t="s">
        <v>23</v>
      </c>
    </row>
    <row r="2185" spans="1:5">
      <c r="A2185" s="3" t="s">
        <v>2206</v>
      </c>
      <c r="B2185" s="3" t="s">
        <v>22</v>
      </c>
      <c r="C2185" s="3">
        <v>493951</v>
      </c>
      <c r="D2185" s="3">
        <v>29015</v>
      </c>
      <c r="E2185" s="3" t="s">
        <v>23</v>
      </c>
    </row>
    <row r="2186" spans="1:5">
      <c r="A2186" s="3" t="s">
        <v>2207</v>
      </c>
      <c r="B2186" s="3" t="s">
        <v>22</v>
      </c>
      <c r="C2186" s="3">
        <v>720860</v>
      </c>
      <c r="D2186" s="3">
        <v>106949</v>
      </c>
      <c r="E2186" s="3" t="s">
        <v>23</v>
      </c>
    </row>
    <row r="2187" spans="1:5">
      <c r="A2187" s="3" t="s">
        <v>2208</v>
      </c>
      <c r="B2187" s="3" t="s">
        <v>22</v>
      </c>
      <c r="C2187" s="3">
        <v>702760</v>
      </c>
      <c r="D2187" s="3">
        <v>95534</v>
      </c>
      <c r="E2187" s="3" t="s">
        <v>23</v>
      </c>
    </row>
    <row r="2188" spans="1:5">
      <c r="A2188" s="3" t="s">
        <v>2209</v>
      </c>
      <c r="B2188" s="3" t="s">
        <v>22</v>
      </c>
      <c r="C2188" s="3">
        <v>988231</v>
      </c>
      <c r="D2188" s="3">
        <v>203271</v>
      </c>
      <c r="E2188" s="3" t="s">
        <v>23</v>
      </c>
    </row>
    <row r="2189" spans="1:5">
      <c r="A2189" s="3" t="s">
        <v>2210</v>
      </c>
      <c r="B2189" s="3" t="s">
        <v>22</v>
      </c>
      <c r="C2189" s="3">
        <v>725202</v>
      </c>
      <c r="D2189" s="3">
        <v>97592</v>
      </c>
      <c r="E2189" s="3" t="s">
        <v>23</v>
      </c>
    </row>
    <row r="2190" spans="1:5">
      <c r="A2190" s="3" t="s">
        <v>2211</v>
      </c>
      <c r="B2190" s="3" t="s">
        <v>22</v>
      </c>
      <c r="C2190" s="3">
        <v>807499</v>
      </c>
      <c r="D2190" s="3">
        <v>115743</v>
      </c>
      <c r="E2190" s="3" t="s">
        <v>23</v>
      </c>
    </row>
    <row r="2191" spans="1:5">
      <c r="A2191" s="3" t="s">
        <v>2212</v>
      </c>
      <c r="B2191" s="3" t="s">
        <v>22</v>
      </c>
      <c r="C2191" s="3">
        <v>1023792</v>
      </c>
      <c r="D2191" s="3">
        <v>183839</v>
      </c>
      <c r="E2191" s="3" t="s">
        <v>23</v>
      </c>
    </row>
    <row r="2192" spans="1:5">
      <c r="A2192" s="3" t="s">
        <v>2213</v>
      </c>
      <c r="B2192" s="3" t="s">
        <v>22</v>
      </c>
      <c r="C2192" s="3">
        <v>679133</v>
      </c>
      <c r="D2192" s="3">
        <v>80660</v>
      </c>
      <c r="E2192" s="3" t="s">
        <v>23</v>
      </c>
    </row>
    <row r="2193" spans="1:5">
      <c r="A2193" s="3" t="s">
        <v>2214</v>
      </c>
      <c r="B2193" s="3" t="s">
        <v>22</v>
      </c>
      <c r="C2193" s="3">
        <v>544206</v>
      </c>
      <c r="D2193" s="3">
        <v>55840</v>
      </c>
      <c r="E2193" s="3" t="s">
        <v>23</v>
      </c>
    </row>
    <row r="2194" spans="1:5">
      <c r="A2194" s="3" t="s">
        <v>2215</v>
      </c>
      <c r="B2194" s="3" t="s">
        <v>22</v>
      </c>
      <c r="C2194" s="3">
        <v>1101866</v>
      </c>
      <c r="D2194" s="3">
        <v>274000</v>
      </c>
      <c r="E2194" s="3" t="s">
        <v>23</v>
      </c>
    </row>
    <row r="2195" spans="1:5">
      <c r="A2195" s="3" t="s">
        <v>2216</v>
      </c>
      <c r="B2195" s="3" t="s">
        <v>22</v>
      </c>
      <c r="C2195" s="3">
        <v>672718</v>
      </c>
      <c r="D2195" s="3">
        <v>79726</v>
      </c>
      <c r="E2195" s="3" t="s">
        <v>23</v>
      </c>
    </row>
    <row r="2196" spans="1:5">
      <c r="A2196" s="3" t="s">
        <v>2217</v>
      </c>
      <c r="B2196" s="3" t="s">
        <v>22</v>
      </c>
      <c r="C2196" s="3">
        <v>1202566</v>
      </c>
      <c r="D2196" s="3">
        <v>293370</v>
      </c>
      <c r="E2196" s="3" t="s">
        <v>23</v>
      </c>
    </row>
    <row r="2197" spans="1:5">
      <c r="A2197" s="3" t="s">
        <v>2218</v>
      </c>
      <c r="B2197" s="3" t="s">
        <v>22</v>
      </c>
      <c r="C2197" s="3">
        <v>984154</v>
      </c>
      <c r="D2197" s="3">
        <v>191958</v>
      </c>
      <c r="E2197" s="3" t="s">
        <v>23</v>
      </c>
    </row>
    <row r="2198" spans="1:5">
      <c r="A2198" s="3" t="s">
        <v>2219</v>
      </c>
      <c r="B2198" s="3" t="s">
        <v>22</v>
      </c>
      <c r="C2198" s="3">
        <v>321485</v>
      </c>
      <c r="D2198" s="3">
        <v>3837</v>
      </c>
      <c r="E2198" s="3" t="s">
        <v>23</v>
      </c>
    </row>
    <row r="2199" spans="1:5">
      <c r="A2199" s="3" t="s">
        <v>2220</v>
      </c>
      <c r="B2199" s="3" t="s">
        <v>22</v>
      </c>
      <c r="C2199" s="3">
        <v>400847</v>
      </c>
      <c r="D2199" s="3">
        <v>13432</v>
      </c>
      <c r="E2199" s="3" t="s">
        <v>23</v>
      </c>
    </row>
    <row r="2200" spans="1:5">
      <c r="A2200" s="3" t="s">
        <v>2221</v>
      </c>
      <c r="B2200" s="3" t="s">
        <v>22</v>
      </c>
      <c r="C2200" s="3">
        <v>1361625</v>
      </c>
      <c r="D2200" s="3">
        <v>303961</v>
      </c>
      <c r="E2200" s="3" t="s">
        <v>23</v>
      </c>
    </row>
    <row r="2201" spans="1:5">
      <c r="A2201" s="3" t="s">
        <v>2222</v>
      </c>
      <c r="B2201" s="3" t="s">
        <v>22</v>
      </c>
      <c r="C2201" s="3">
        <v>558379</v>
      </c>
      <c r="D2201" s="3">
        <v>59867</v>
      </c>
      <c r="E2201" s="3" t="s">
        <v>23</v>
      </c>
    </row>
    <row r="2202" spans="1:5">
      <c r="A2202" s="3" t="s">
        <v>2223</v>
      </c>
      <c r="B2202" s="3" t="s">
        <v>22</v>
      </c>
      <c r="C2202" s="3">
        <v>850867</v>
      </c>
      <c r="D2202" s="3">
        <v>140435</v>
      </c>
      <c r="E2202" s="3" t="s">
        <v>23</v>
      </c>
    </row>
    <row r="2203" spans="1:5">
      <c r="A2203" s="3" t="s">
        <v>2224</v>
      </c>
      <c r="B2203" s="3" t="s">
        <v>22</v>
      </c>
      <c r="C2203" s="3">
        <v>929350</v>
      </c>
      <c r="D2203" s="3">
        <v>145308</v>
      </c>
      <c r="E2203" s="3" t="s">
        <v>23</v>
      </c>
    </row>
    <row r="2204" spans="1:5">
      <c r="A2204" s="3" t="s">
        <v>2225</v>
      </c>
      <c r="B2204" s="3" t="s">
        <v>22</v>
      </c>
      <c r="C2204" s="3">
        <v>673813</v>
      </c>
      <c r="D2204" s="3">
        <v>66924</v>
      </c>
      <c r="E2204" s="3" t="s">
        <v>23</v>
      </c>
    </row>
    <row r="2205" spans="1:5">
      <c r="A2205" s="3" t="s">
        <v>2226</v>
      </c>
      <c r="B2205" s="3" t="s">
        <v>22</v>
      </c>
      <c r="C2205" s="3">
        <v>691265</v>
      </c>
      <c r="D2205" s="3">
        <v>83652</v>
      </c>
      <c r="E2205" s="3" t="s">
        <v>23</v>
      </c>
    </row>
    <row r="2206" spans="1:5">
      <c r="A2206" s="3" t="s">
        <v>2227</v>
      </c>
      <c r="B2206" s="3" t="s">
        <v>22</v>
      </c>
      <c r="C2206" s="3">
        <v>606087</v>
      </c>
      <c r="D2206" s="3">
        <v>99418</v>
      </c>
      <c r="E2206" s="3" t="s">
        <v>23</v>
      </c>
    </row>
    <row r="2207" spans="1:5">
      <c r="A2207" s="3" t="s">
        <v>2228</v>
      </c>
      <c r="B2207" s="3" t="s">
        <v>22</v>
      </c>
      <c r="C2207" s="3">
        <v>1176043</v>
      </c>
      <c r="D2207" s="3">
        <v>292861</v>
      </c>
      <c r="E2207" s="3" t="s">
        <v>23</v>
      </c>
    </row>
    <row r="2208" spans="1:5">
      <c r="A2208" s="3" t="s">
        <v>2229</v>
      </c>
      <c r="B2208" s="3" t="s">
        <v>22</v>
      </c>
      <c r="C2208" s="3">
        <v>796969</v>
      </c>
      <c r="D2208" s="3">
        <v>74106</v>
      </c>
      <c r="E2208" s="3" t="s">
        <v>23</v>
      </c>
    </row>
    <row r="2209" spans="1:5">
      <c r="A2209" s="3" t="s">
        <v>2230</v>
      </c>
      <c r="B2209" s="3" t="s">
        <v>22</v>
      </c>
      <c r="C2209" s="3">
        <v>980460</v>
      </c>
      <c r="D2209" s="3">
        <v>169574</v>
      </c>
      <c r="E2209" s="3" t="s">
        <v>23</v>
      </c>
    </row>
    <row r="2210" spans="1:5">
      <c r="A2210" s="3" t="s">
        <v>2231</v>
      </c>
      <c r="B2210" s="3" t="s">
        <v>22</v>
      </c>
      <c r="C2210" s="3">
        <v>637573</v>
      </c>
      <c r="D2210" s="3">
        <v>31246</v>
      </c>
      <c r="E2210" s="3" t="s">
        <v>23</v>
      </c>
    </row>
    <row r="2211" spans="1:5">
      <c r="A2211" s="3" t="s">
        <v>2232</v>
      </c>
      <c r="B2211" s="3" t="s">
        <v>22</v>
      </c>
      <c r="C2211" s="3">
        <v>732524</v>
      </c>
      <c r="D2211" s="3">
        <v>59279</v>
      </c>
      <c r="E2211" s="3" t="s">
        <v>23</v>
      </c>
    </row>
    <row r="2212" spans="1:5">
      <c r="A2212" s="3" t="s">
        <v>2233</v>
      </c>
      <c r="B2212" s="3" t="s">
        <v>22</v>
      </c>
      <c r="C2212" s="3">
        <v>463971</v>
      </c>
      <c r="D2212" s="3">
        <v>15774</v>
      </c>
      <c r="E2212" s="3" t="s">
        <v>23</v>
      </c>
    </row>
    <row r="2213" spans="1:5">
      <c r="A2213" s="3" t="s">
        <v>2234</v>
      </c>
      <c r="B2213" s="3" t="s">
        <v>22</v>
      </c>
      <c r="C2213" s="3">
        <v>838386</v>
      </c>
      <c r="D2213" s="3">
        <v>140232</v>
      </c>
      <c r="E2213" s="3" t="s">
        <v>23</v>
      </c>
    </row>
    <row r="2214" spans="1:5">
      <c r="A2214" s="3" t="s">
        <v>2235</v>
      </c>
      <c r="B2214" s="3" t="s">
        <v>22</v>
      </c>
      <c r="C2214" s="3">
        <v>718186</v>
      </c>
      <c r="D2214" s="3">
        <v>97067</v>
      </c>
      <c r="E2214" s="3" t="s">
        <v>23</v>
      </c>
    </row>
    <row r="2215" spans="1:5">
      <c r="A2215" s="3" t="s">
        <v>2236</v>
      </c>
      <c r="B2215" s="3" t="s">
        <v>22</v>
      </c>
      <c r="C2215" s="3">
        <v>1003197</v>
      </c>
      <c r="D2215" s="3">
        <v>174233</v>
      </c>
      <c r="E2215" s="3" t="s">
        <v>23</v>
      </c>
    </row>
    <row r="2216" spans="1:5">
      <c r="A2216" s="3" t="s">
        <v>2237</v>
      </c>
      <c r="B2216" s="3" t="s">
        <v>22</v>
      </c>
      <c r="C2216" s="3">
        <v>905055</v>
      </c>
      <c r="D2216" s="3">
        <v>151995</v>
      </c>
      <c r="E2216" s="3" t="s">
        <v>23</v>
      </c>
    </row>
    <row r="2217" spans="1:5">
      <c r="A2217" s="3" t="s">
        <v>2238</v>
      </c>
      <c r="B2217" s="3" t="s">
        <v>22</v>
      </c>
      <c r="C2217" s="3">
        <v>551164</v>
      </c>
      <c r="D2217" s="3">
        <v>24063</v>
      </c>
      <c r="E2217" s="3" t="s">
        <v>23</v>
      </c>
    </row>
    <row r="2218" spans="1:5">
      <c r="A2218" s="3" t="s">
        <v>2239</v>
      </c>
      <c r="B2218" s="3" t="s">
        <v>22</v>
      </c>
      <c r="C2218" s="3">
        <v>712106</v>
      </c>
      <c r="D2218" s="3">
        <v>73520</v>
      </c>
      <c r="E2218" s="3" t="s">
        <v>23</v>
      </c>
    </row>
    <row r="2219" spans="1:5">
      <c r="A2219" s="3" t="s">
        <v>2240</v>
      </c>
      <c r="B2219" s="3" t="s">
        <v>22</v>
      </c>
      <c r="C2219" s="3">
        <v>1088697</v>
      </c>
      <c r="D2219" s="3">
        <v>247482</v>
      </c>
      <c r="E2219" s="3" t="s">
        <v>23</v>
      </c>
    </row>
    <row r="2220" spans="1:5">
      <c r="A2220" s="3" t="s">
        <v>2241</v>
      </c>
      <c r="B2220" s="3" t="s">
        <v>22</v>
      </c>
      <c r="C2220" s="3">
        <v>807568</v>
      </c>
      <c r="D2220" s="3">
        <v>127561</v>
      </c>
      <c r="E2220" s="3" t="s">
        <v>23</v>
      </c>
    </row>
    <row r="2221" spans="1:5">
      <c r="A2221" s="3" t="s">
        <v>2242</v>
      </c>
      <c r="B2221" s="3" t="s">
        <v>22</v>
      </c>
      <c r="C2221" s="3">
        <v>576446</v>
      </c>
      <c r="D2221" s="3">
        <v>54371</v>
      </c>
      <c r="E2221" s="3" t="s">
        <v>23</v>
      </c>
    </row>
    <row r="2222" spans="1:5">
      <c r="A2222" s="3" t="s">
        <v>2243</v>
      </c>
      <c r="B2222" s="3" t="s">
        <v>22</v>
      </c>
      <c r="C2222" s="3">
        <v>872457</v>
      </c>
      <c r="D2222" s="3">
        <v>121250</v>
      </c>
      <c r="E2222" s="3" t="s">
        <v>23</v>
      </c>
    </row>
    <row r="2223" spans="1:5">
      <c r="A2223" s="3" t="s">
        <v>2244</v>
      </c>
      <c r="B2223" s="3" t="s">
        <v>22</v>
      </c>
      <c r="C2223" s="3">
        <v>496927</v>
      </c>
      <c r="D2223" s="3">
        <v>23583</v>
      </c>
      <c r="E2223" s="3" t="s">
        <v>23</v>
      </c>
    </row>
    <row r="2224" spans="1:5">
      <c r="A2224" s="3" t="s">
        <v>2245</v>
      </c>
      <c r="B2224" s="3" t="s">
        <v>22</v>
      </c>
      <c r="C2224" s="3">
        <v>931661</v>
      </c>
      <c r="D2224" s="3">
        <v>136208</v>
      </c>
      <c r="E2224" s="3" t="s">
        <v>23</v>
      </c>
    </row>
    <row r="2225" spans="1:5">
      <c r="A2225" s="3" t="s">
        <v>2246</v>
      </c>
      <c r="B2225" s="3" t="s">
        <v>22</v>
      </c>
      <c r="C2225" s="3">
        <v>1056257</v>
      </c>
      <c r="D2225" s="3">
        <v>268529</v>
      </c>
      <c r="E2225" s="3" t="s">
        <v>23</v>
      </c>
    </row>
    <row r="2226" spans="1:5">
      <c r="A2226" s="3" t="s">
        <v>2247</v>
      </c>
      <c r="B2226" s="3" t="s">
        <v>22</v>
      </c>
      <c r="C2226" s="3">
        <v>611811</v>
      </c>
      <c r="D2226" s="3">
        <v>58469</v>
      </c>
      <c r="E2226" s="3" t="s">
        <v>23</v>
      </c>
    </row>
    <row r="2227" spans="1:5">
      <c r="A2227" s="3" t="s">
        <v>2248</v>
      </c>
      <c r="B2227" s="3" t="s">
        <v>22</v>
      </c>
      <c r="C2227" s="3">
        <v>1357797</v>
      </c>
      <c r="D2227" s="3">
        <v>355229</v>
      </c>
      <c r="E2227" s="3" t="s">
        <v>23</v>
      </c>
    </row>
    <row r="2228" spans="1:5">
      <c r="A2228" s="3" t="s">
        <v>2249</v>
      </c>
      <c r="B2228" s="3" t="s">
        <v>22</v>
      </c>
      <c r="C2228" s="3">
        <v>961765</v>
      </c>
      <c r="D2228" s="3">
        <v>160155</v>
      </c>
      <c r="E2228" s="3" t="s">
        <v>23</v>
      </c>
    </row>
    <row r="2229" spans="1:5">
      <c r="A2229" s="3" t="s">
        <v>2250</v>
      </c>
      <c r="B2229" s="3" t="s">
        <v>22</v>
      </c>
      <c r="C2229" s="3">
        <v>554175</v>
      </c>
      <c r="D2229" s="3">
        <v>34968</v>
      </c>
      <c r="E2229" s="3" t="s">
        <v>23</v>
      </c>
    </row>
    <row r="2230" spans="1:5">
      <c r="A2230" s="3" t="s">
        <v>2251</v>
      </c>
      <c r="B2230" s="3" t="s">
        <v>22</v>
      </c>
      <c r="C2230" s="3">
        <v>409951</v>
      </c>
      <c r="D2230" s="3">
        <v>2521</v>
      </c>
      <c r="E2230" s="3" t="s">
        <v>23</v>
      </c>
    </row>
    <row r="2231" spans="1:5">
      <c r="A2231" s="3" t="s">
        <v>2252</v>
      </c>
      <c r="B2231" s="3" t="s">
        <v>22</v>
      </c>
      <c r="C2231" s="3">
        <v>1527574</v>
      </c>
      <c r="D2231" s="3">
        <v>440918</v>
      </c>
      <c r="E2231" s="3" t="s">
        <v>23</v>
      </c>
    </row>
    <row r="2232" spans="1:5">
      <c r="A2232" s="3" t="s">
        <v>2253</v>
      </c>
      <c r="B2232" s="3" t="s">
        <v>22</v>
      </c>
      <c r="C2232" s="3">
        <v>476587</v>
      </c>
      <c r="D2232" s="3">
        <v>14610</v>
      </c>
      <c r="E2232" s="3" t="s">
        <v>23</v>
      </c>
    </row>
    <row r="2233" spans="1:5">
      <c r="A2233" s="3" t="s">
        <v>2254</v>
      </c>
      <c r="B2233" s="3" t="s">
        <v>22</v>
      </c>
      <c r="C2233" s="3">
        <v>724440</v>
      </c>
      <c r="D2233" s="3">
        <v>86975</v>
      </c>
      <c r="E2233" s="3" t="s">
        <v>23</v>
      </c>
    </row>
    <row r="2234" spans="1:5">
      <c r="A2234" s="3" t="s">
        <v>2255</v>
      </c>
      <c r="B2234" s="3" t="s">
        <v>22</v>
      </c>
      <c r="C2234" s="3">
        <v>1666377</v>
      </c>
      <c r="D2234" s="3">
        <v>590722</v>
      </c>
      <c r="E2234" s="3" t="s">
        <v>23</v>
      </c>
    </row>
    <row r="2235" spans="1:5">
      <c r="A2235" s="3" t="s">
        <v>2256</v>
      </c>
      <c r="B2235" s="3" t="s">
        <v>22</v>
      </c>
      <c r="C2235" s="3">
        <v>1502051</v>
      </c>
      <c r="D2235" s="3">
        <v>440319</v>
      </c>
      <c r="E2235" s="3" t="s">
        <v>23</v>
      </c>
    </row>
    <row r="2236" spans="1:5">
      <c r="A2236" s="3" t="s">
        <v>2257</v>
      </c>
      <c r="B2236" s="3" t="s">
        <v>22</v>
      </c>
      <c r="C2236" s="3">
        <v>840202</v>
      </c>
      <c r="D2236" s="3">
        <v>116778</v>
      </c>
      <c r="E2236" s="3" t="s">
        <v>23</v>
      </c>
    </row>
    <row r="2237" spans="1:5">
      <c r="A2237" s="3" t="s">
        <v>2258</v>
      </c>
      <c r="B2237" s="3" t="s">
        <v>22</v>
      </c>
      <c r="C2237" s="3">
        <v>713068</v>
      </c>
      <c r="D2237" s="3">
        <v>15333</v>
      </c>
      <c r="E2237" s="3" t="s">
        <v>23</v>
      </c>
    </row>
    <row r="2238" spans="1:5">
      <c r="A2238" s="3" t="s">
        <v>2259</v>
      </c>
      <c r="B2238" s="3" t="s">
        <v>22</v>
      </c>
      <c r="C2238" s="3">
        <v>1635941</v>
      </c>
      <c r="D2238" s="3">
        <v>458729</v>
      </c>
      <c r="E2238" s="3" t="s">
        <v>23</v>
      </c>
    </row>
    <row r="2239" spans="1:5">
      <c r="A2239" s="3" t="s">
        <v>2260</v>
      </c>
      <c r="B2239" s="3" t="s">
        <v>22</v>
      </c>
      <c r="C2239" s="3">
        <v>1131082</v>
      </c>
      <c r="D2239" s="3">
        <v>195260</v>
      </c>
      <c r="E2239" s="3" t="s">
        <v>23</v>
      </c>
    </row>
    <row r="2240" spans="1:5">
      <c r="A2240" s="3" t="s">
        <v>2261</v>
      </c>
      <c r="B2240" s="3" t="s">
        <v>22</v>
      </c>
      <c r="C2240" s="3">
        <v>434427</v>
      </c>
      <c r="D2240" s="3">
        <v>9214</v>
      </c>
      <c r="E2240" s="3" t="s">
        <v>23</v>
      </c>
    </row>
    <row r="2241" spans="1:5">
      <c r="A2241" s="3" t="s">
        <v>2262</v>
      </c>
      <c r="B2241" s="3" t="s">
        <v>22</v>
      </c>
      <c r="C2241" s="3">
        <v>589950</v>
      </c>
      <c r="D2241" s="3">
        <v>66397</v>
      </c>
      <c r="E2241" s="3" t="s">
        <v>23</v>
      </c>
    </row>
    <row r="2242" spans="1:5">
      <c r="A2242" s="3" t="s">
        <v>2263</v>
      </c>
      <c r="B2242" s="3" t="s">
        <v>22</v>
      </c>
      <c r="C2242" s="3">
        <v>778981</v>
      </c>
      <c r="D2242" s="3">
        <v>150069</v>
      </c>
      <c r="E2242" s="3" t="s">
        <v>23</v>
      </c>
    </row>
    <row r="2243" spans="1:5">
      <c r="A2243" s="3" t="s">
        <v>2264</v>
      </c>
      <c r="B2243" s="3" t="s">
        <v>22</v>
      </c>
      <c r="C2243" s="3">
        <v>543127</v>
      </c>
      <c r="D2243" s="3">
        <v>34402</v>
      </c>
      <c r="E2243" s="3" t="s">
        <v>23</v>
      </c>
    </row>
    <row r="2244" spans="1:5">
      <c r="A2244" s="3" t="s">
        <v>2265</v>
      </c>
      <c r="B2244" s="3" t="s">
        <v>22</v>
      </c>
      <c r="C2244" s="3">
        <v>639795</v>
      </c>
      <c r="D2244" s="3">
        <v>105305</v>
      </c>
      <c r="E2244" s="3" t="s">
        <v>23</v>
      </c>
    </row>
    <row r="2245" spans="1:5">
      <c r="A2245" s="3" t="s">
        <v>2266</v>
      </c>
      <c r="B2245" s="3" t="s">
        <v>22</v>
      </c>
      <c r="C2245" s="3">
        <v>765463</v>
      </c>
      <c r="D2245" s="3">
        <v>74011</v>
      </c>
      <c r="E2245" s="3" t="s">
        <v>23</v>
      </c>
    </row>
    <row r="2246" spans="1:5">
      <c r="A2246" s="3" t="s">
        <v>2267</v>
      </c>
      <c r="B2246" s="3" t="s">
        <v>22</v>
      </c>
      <c r="C2246" s="3">
        <v>987670</v>
      </c>
      <c r="D2246" s="3">
        <v>156940</v>
      </c>
      <c r="E2246" s="3" t="s">
        <v>23</v>
      </c>
    </row>
    <row r="2247" spans="1:5">
      <c r="A2247" s="3" t="s">
        <v>2268</v>
      </c>
      <c r="B2247" s="3" t="s">
        <v>22</v>
      </c>
      <c r="C2247" s="3">
        <v>335601</v>
      </c>
      <c r="D2247" s="3">
        <v>55</v>
      </c>
      <c r="E2247" s="3" t="s">
        <v>23</v>
      </c>
    </row>
    <row r="2248" spans="1:5">
      <c r="A2248" s="3" t="s">
        <v>2269</v>
      </c>
      <c r="B2248" s="3" t="s">
        <v>22</v>
      </c>
      <c r="C2248" s="3">
        <v>782635</v>
      </c>
      <c r="D2248" s="3">
        <v>44731</v>
      </c>
      <c r="E2248" s="3" t="s">
        <v>23</v>
      </c>
    </row>
    <row r="2249" spans="1:5">
      <c r="A2249" s="3" t="s">
        <v>2270</v>
      </c>
      <c r="B2249" s="3" t="s">
        <v>22</v>
      </c>
      <c r="C2249" s="3">
        <v>1281919</v>
      </c>
      <c r="D2249" s="3">
        <v>360882</v>
      </c>
      <c r="E2249" s="3" t="s">
        <v>23</v>
      </c>
    </row>
    <row r="2250" spans="1:5">
      <c r="A2250" s="3" t="s">
        <v>2271</v>
      </c>
      <c r="B2250" s="3" t="s">
        <v>22</v>
      </c>
      <c r="C2250" s="3">
        <v>1374591</v>
      </c>
      <c r="D2250" s="3">
        <v>335560</v>
      </c>
      <c r="E2250" s="3" t="s">
        <v>23</v>
      </c>
    </row>
    <row r="2251" spans="1:5">
      <c r="A2251" s="3" t="s">
        <v>2272</v>
      </c>
      <c r="B2251" s="3" t="s">
        <v>22</v>
      </c>
      <c r="C2251" s="3">
        <v>935745</v>
      </c>
      <c r="D2251" s="3">
        <v>161966</v>
      </c>
      <c r="E2251" s="3" t="s">
        <v>23</v>
      </c>
    </row>
    <row r="2252" spans="1:5">
      <c r="A2252" s="3" t="s">
        <v>2273</v>
      </c>
      <c r="B2252" s="3" t="s">
        <v>22</v>
      </c>
      <c r="C2252" s="3">
        <v>348847</v>
      </c>
      <c r="D2252" s="3">
        <v>669</v>
      </c>
      <c r="E2252" s="3" t="s">
        <v>23</v>
      </c>
    </row>
    <row r="2253" spans="1:5">
      <c r="A2253" s="3" t="s">
        <v>2274</v>
      </c>
      <c r="B2253" s="3" t="s">
        <v>22</v>
      </c>
      <c r="C2253" s="3">
        <v>1209494</v>
      </c>
      <c r="D2253" s="3">
        <v>237726</v>
      </c>
      <c r="E2253" s="3" t="s">
        <v>23</v>
      </c>
    </row>
    <row r="2254" spans="1:5">
      <c r="A2254" s="3" t="s">
        <v>2275</v>
      </c>
      <c r="B2254" s="3" t="s">
        <v>22</v>
      </c>
      <c r="C2254" s="3">
        <v>1263052</v>
      </c>
      <c r="D2254" s="3">
        <v>263718</v>
      </c>
      <c r="E2254" s="3" t="s">
        <v>23</v>
      </c>
    </row>
    <row r="2255" spans="1:5">
      <c r="A2255" s="3" t="s">
        <v>2276</v>
      </c>
      <c r="B2255" s="3" t="s">
        <v>22</v>
      </c>
      <c r="C2255" s="3">
        <v>1061138</v>
      </c>
      <c r="D2255" s="3">
        <v>150021</v>
      </c>
      <c r="E2255" s="3" t="s">
        <v>23</v>
      </c>
    </row>
    <row r="2256" spans="1:5">
      <c r="A2256" s="3" t="s">
        <v>2277</v>
      </c>
      <c r="B2256" s="3" t="s">
        <v>22</v>
      </c>
      <c r="C2256" s="3">
        <v>624433</v>
      </c>
      <c r="D2256" s="3">
        <v>24215</v>
      </c>
      <c r="E2256" s="3" t="s">
        <v>23</v>
      </c>
    </row>
    <row r="2257" spans="1:5">
      <c r="A2257" s="3" t="s">
        <v>2278</v>
      </c>
      <c r="B2257" s="3" t="s">
        <v>22</v>
      </c>
      <c r="C2257" s="3">
        <v>1450635</v>
      </c>
      <c r="D2257" s="3">
        <v>264788</v>
      </c>
      <c r="E2257" s="3" t="s">
        <v>23</v>
      </c>
    </row>
    <row r="2258" spans="1:5">
      <c r="A2258" s="3" t="s">
        <v>2279</v>
      </c>
      <c r="B2258" s="3" t="s">
        <v>22</v>
      </c>
      <c r="C2258" s="3">
        <v>747804</v>
      </c>
      <c r="D2258" s="3">
        <v>29400</v>
      </c>
      <c r="E2258" s="3" t="s">
        <v>23</v>
      </c>
    </row>
    <row r="2259" spans="1:5">
      <c r="A2259" s="3" t="s">
        <v>2280</v>
      </c>
      <c r="B2259" s="3" t="s">
        <v>22</v>
      </c>
      <c r="C2259" s="3">
        <v>1066276</v>
      </c>
      <c r="D2259" s="3">
        <v>245927</v>
      </c>
      <c r="E2259" s="3" t="s">
        <v>23</v>
      </c>
    </row>
    <row r="2260" spans="1:5">
      <c r="A2260" s="3" t="s">
        <v>2281</v>
      </c>
      <c r="B2260" s="3" t="s">
        <v>22</v>
      </c>
      <c r="C2260" s="3">
        <v>491404</v>
      </c>
      <c r="D2260" s="3">
        <v>67589</v>
      </c>
      <c r="E2260" s="3" t="s">
        <v>23</v>
      </c>
    </row>
    <row r="2261" spans="1:5">
      <c r="A2261" s="3" t="s">
        <v>2282</v>
      </c>
      <c r="B2261" s="3" t="s">
        <v>22</v>
      </c>
      <c r="C2261" s="3">
        <v>1441588</v>
      </c>
      <c r="D2261" s="3">
        <v>407269</v>
      </c>
      <c r="E2261" s="3" t="s">
        <v>23</v>
      </c>
    </row>
    <row r="2262" spans="1:5">
      <c r="A2262" s="3" t="s">
        <v>2283</v>
      </c>
      <c r="B2262" s="3" t="s">
        <v>22</v>
      </c>
      <c r="C2262" s="3">
        <v>1386413</v>
      </c>
      <c r="D2262" s="3">
        <v>361698</v>
      </c>
      <c r="E2262" s="3" t="s">
        <v>23</v>
      </c>
    </row>
    <row r="2263" spans="1:5">
      <c r="A2263" s="3" t="s">
        <v>2284</v>
      </c>
      <c r="B2263" s="3" t="s">
        <v>22</v>
      </c>
      <c r="C2263" s="3">
        <v>529149</v>
      </c>
      <c r="D2263" s="3">
        <v>16750</v>
      </c>
      <c r="E2263" s="3" t="s">
        <v>23</v>
      </c>
    </row>
    <row r="2264" spans="1:5">
      <c r="A2264" s="3" t="s">
        <v>2285</v>
      </c>
      <c r="B2264" s="3" t="s">
        <v>22</v>
      </c>
      <c r="C2264" s="3">
        <v>698604</v>
      </c>
      <c r="D2264" s="3">
        <v>43152</v>
      </c>
      <c r="E2264" s="3" t="s">
        <v>23</v>
      </c>
    </row>
    <row r="2265" spans="1:5">
      <c r="A2265" s="3" t="s">
        <v>2286</v>
      </c>
      <c r="B2265" s="3" t="s">
        <v>22</v>
      </c>
      <c r="C2265" s="3">
        <v>1095770</v>
      </c>
      <c r="D2265" s="3">
        <v>108169</v>
      </c>
      <c r="E2265" s="3" t="s">
        <v>23</v>
      </c>
    </row>
    <row r="2266" spans="1:5">
      <c r="A2266" s="3" t="s">
        <v>2287</v>
      </c>
      <c r="B2266" s="3" t="s">
        <v>22</v>
      </c>
      <c r="C2266" s="3">
        <v>1305817</v>
      </c>
      <c r="D2266" s="3">
        <v>247378</v>
      </c>
      <c r="E2266" s="3" t="s">
        <v>23</v>
      </c>
    </row>
    <row r="2267" spans="1:5">
      <c r="A2267" s="3" t="s">
        <v>2288</v>
      </c>
      <c r="B2267" s="3" t="s">
        <v>22</v>
      </c>
      <c r="C2267" s="3">
        <v>895520</v>
      </c>
      <c r="D2267" s="3">
        <v>15646</v>
      </c>
      <c r="E2267" s="3" t="s">
        <v>23</v>
      </c>
    </row>
    <row r="2268" spans="1:5">
      <c r="A2268" s="3" t="s">
        <v>2289</v>
      </c>
      <c r="B2268" s="3" t="s">
        <v>22</v>
      </c>
      <c r="C2268" s="3">
        <v>1054240</v>
      </c>
      <c r="D2268" s="3">
        <v>189228</v>
      </c>
      <c r="E2268" s="3" t="s">
        <v>23</v>
      </c>
    </row>
    <row r="2269" spans="1:5">
      <c r="A2269" s="3" t="s">
        <v>2290</v>
      </c>
      <c r="B2269" s="3" t="s">
        <v>22</v>
      </c>
      <c r="C2269" s="3">
        <v>1369469</v>
      </c>
      <c r="D2269" s="3">
        <v>217945</v>
      </c>
      <c r="E2269" s="3" t="s">
        <v>23</v>
      </c>
    </row>
    <row r="2270" spans="1:5">
      <c r="A2270" s="3" t="s">
        <v>2291</v>
      </c>
      <c r="B2270" s="3" t="s">
        <v>22</v>
      </c>
      <c r="C2270" s="3">
        <v>521066</v>
      </c>
      <c r="D2270" s="3">
        <v>7624</v>
      </c>
      <c r="E2270" s="3" t="s">
        <v>23</v>
      </c>
    </row>
    <row r="2271" spans="1:5">
      <c r="A2271" s="3" t="s">
        <v>2292</v>
      </c>
      <c r="B2271" s="3" t="s">
        <v>22</v>
      </c>
      <c r="C2271" s="3">
        <v>1336368</v>
      </c>
      <c r="D2271" s="3">
        <v>226283</v>
      </c>
      <c r="E2271" s="3" t="s">
        <v>23</v>
      </c>
    </row>
    <row r="2272" spans="1:5">
      <c r="A2272" s="3" t="s">
        <v>2293</v>
      </c>
      <c r="B2272" s="3" t="s">
        <v>22</v>
      </c>
      <c r="C2272" s="3">
        <v>1127671</v>
      </c>
      <c r="D2272" s="3">
        <v>75322</v>
      </c>
      <c r="E2272" s="3" t="s">
        <v>23</v>
      </c>
    </row>
    <row r="2273" spans="1:5">
      <c r="A2273" s="3" t="s">
        <v>2294</v>
      </c>
      <c r="B2273" s="3" t="s">
        <v>22</v>
      </c>
      <c r="C2273" s="3">
        <v>874212</v>
      </c>
      <c r="D2273" s="3">
        <v>90771</v>
      </c>
      <c r="E2273" s="3" t="s">
        <v>23</v>
      </c>
    </row>
    <row r="2274" spans="1:5">
      <c r="A2274" s="3" t="s">
        <v>2295</v>
      </c>
      <c r="B2274" s="3" t="s">
        <v>22</v>
      </c>
      <c r="C2274" s="3">
        <v>781643</v>
      </c>
      <c r="D2274" s="3">
        <v>48792</v>
      </c>
      <c r="E2274" s="3" t="s">
        <v>23</v>
      </c>
    </row>
    <row r="2275" spans="1:5">
      <c r="A2275" s="3" t="s">
        <v>2296</v>
      </c>
      <c r="B2275" s="3" t="s">
        <v>22</v>
      </c>
      <c r="C2275" s="3">
        <v>1151234</v>
      </c>
      <c r="D2275" s="3">
        <v>160566</v>
      </c>
      <c r="E2275" s="3" t="s">
        <v>23</v>
      </c>
    </row>
    <row r="2276" spans="1:5">
      <c r="A2276" s="3" t="s">
        <v>2297</v>
      </c>
      <c r="B2276" s="3" t="s">
        <v>22</v>
      </c>
      <c r="C2276" s="3">
        <v>1605695</v>
      </c>
      <c r="D2276" s="3">
        <v>356421</v>
      </c>
      <c r="E2276" s="3" t="s">
        <v>23</v>
      </c>
    </row>
    <row r="2277" spans="1:5">
      <c r="A2277" s="3" t="s">
        <v>2298</v>
      </c>
      <c r="B2277" s="3" t="s">
        <v>22</v>
      </c>
      <c r="C2277" s="3">
        <v>1888043</v>
      </c>
      <c r="D2277" s="3">
        <v>499627</v>
      </c>
      <c r="E2277" s="3" t="s">
        <v>23</v>
      </c>
    </row>
    <row r="2278" spans="1:5">
      <c r="A2278" s="3" t="s">
        <v>2299</v>
      </c>
      <c r="B2278" s="3" t="s">
        <v>22</v>
      </c>
      <c r="C2278" s="3">
        <v>1369553</v>
      </c>
      <c r="D2278" s="3">
        <v>209817</v>
      </c>
      <c r="E2278" s="3" t="s">
        <v>23</v>
      </c>
    </row>
    <row r="2279" spans="1:5">
      <c r="A2279" s="3" t="s">
        <v>2300</v>
      </c>
      <c r="B2279" s="3" t="s">
        <v>22</v>
      </c>
      <c r="C2279" s="3">
        <v>1069216</v>
      </c>
      <c r="D2279" s="3">
        <v>120609</v>
      </c>
      <c r="E2279" s="3" t="s">
        <v>23</v>
      </c>
    </row>
    <row r="2280" spans="1:5">
      <c r="A2280" s="3" t="s">
        <v>2301</v>
      </c>
      <c r="B2280" s="3" t="s">
        <v>22</v>
      </c>
      <c r="C2280" s="3">
        <v>599751</v>
      </c>
      <c r="D2280" s="3">
        <v>12077</v>
      </c>
      <c r="E2280" s="3" t="s">
        <v>23</v>
      </c>
    </row>
    <row r="2281" spans="1:5">
      <c r="A2281" s="3" t="s">
        <v>2302</v>
      </c>
      <c r="B2281" s="3" t="s">
        <v>22</v>
      </c>
      <c r="C2281" s="3">
        <v>1247993</v>
      </c>
      <c r="D2281" s="3">
        <v>204655</v>
      </c>
      <c r="E2281" s="3" t="s">
        <v>23</v>
      </c>
    </row>
    <row r="2282" spans="1:5">
      <c r="A2282" s="3" t="s">
        <v>2303</v>
      </c>
      <c r="B2282" s="3" t="s">
        <v>22</v>
      </c>
      <c r="C2282" s="3">
        <v>1138610</v>
      </c>
      <c r="D2282" s="3">
        <v>162015</v>
      </c>
      <c r="E2282" s="3" t="s">
        <v>23</v>
      </c>
    </row>
    <row r="2283" spans="1:5">
      <c r="A2283" s="3" t="s">
        <v>2304</v>
      </c>
      <c r="B2283" s="3" t="s">
        <v>22</v>
      </c>
      <c r="C2283" s="3">
        <v>1561722</v>
      </c>
      <c r="D2283" s="3">
        <v>327900</v>
      </c>
      <c r="E2283" s="3" t="s">
        <v>23</v>
      </c>
    </row>
    <row r="2284" spans="1:5">
      <c r="A2284" s="3" t="s">
        <v>2305</v>
      </c>
      <c r="B2284" s="3" t="s">
        <v>22</v>
      </c>
      <c r="C2284" s="3">
        <v>1370007</v>
      </c>
      <c r="D2284" s="3">
        <v>267154</v>
      </c>
      <c r="E2284" s="3" t="s">
        <v>23</v>
      </c>
    </row>
    <row r="2285" spans="1:5">
      <c r="A2285" s="3" t="s">
        <v>2306</v>
      </c>
      <c r="B2285" s="3" t="s">
        <v>22</v>
      </c>
      <c r="C2285" s="3">
        <v>1018820</v>
      </c>
      <c r="D2285" s="3">
        <v>138999</v>
      </c>
      <c r="E2285" s="3" t="s">
        <v>23</v>
      </c>
    </row>
    <row r="2286" spans="1:5">
      <c r="A2286" s="3" t="s">
        <v>2307</v>
      </c>
      <c r="B2286" s="3" t="s">
        <v>22</v>
      </c>
      <c r="C2286" s="3">
        <v>1020865</v>
      </c>
      <c r="D2286" s="3">
        <v>109693</v>
      </c>
      <c r="E2286" s="3" t="s">
        <v>23</v>
      </c>
    </row>
    <row r="2287" spans="1:5">
      <c r="A2287" s="3" t="s">
        <v>2308</v>
      </c>
      <c r="B2287" s="3" t="s">
        <v>22</v>
      </c>
      <c r="C2287" s="3">
        <v>1240942</v>
      </c>
      <c r="D2287" s="3">
        <v>285910</v>
      </c>
      <c r="E2287" s="3" t="s">
        <v>23</v>
      </c>
    </row>
    <row r="2288" spans="1:5">
      <c r="A2288" s="3" t="s">
        <v>2309</v>
      </c>
      <c r="B2288" s="3" t="s">
        <v>22</v>
      </c>
      <c r="C2288" s="3">
        <v>962082</v>
      </c>
      <c r="D2288" s="3">
        <v>61208</v>
      </c>
      <c r="E2288" s="3" t="s">
        <v>23</v>
      </c>
    </row>
    <row r="2289" spans="1:5">
      <c r="A2289" s="3" t="s">
        <v>2310</v>
      </c>
      <c r="B2289" s="3" t="s">
        <v>22</v>
      </c>
      <c r="C2289" s="3">
        <v>954008</v>
      </c>
      <c r="D2289" s="3">
        <v>96322</v>
      </c>
      <c r="E2289" s="3" t="s">
        <v>23</v>
      </c>
    </row>
    <row r="2290" spans="1:5">
      <c r="A2290" s="3" t="s">
        <v>2311</v>
      </c>
      <c r="B2290" s="3" t="s">
        <v>22</v>
      </c>
      <c r="C2290" s="3">
        <v>1293267</v>
      </c>
      <c r="D2290" s="3">
        <v>228500</v>
      </c>
      <c r="E2290" s="3" t="s">
        <v>23</v>
      </c>
    </row>
    <row r="2291" spans="1:5">
      <c r="A2291" s="3" t="s">
        <v>2312</v>
      </c>
      <c r="B2291" s="3" t="s">
        <v>22</v>
      </c>
      <c r="C2291" s="3">
        <v>662821</v>
      </c>
      <c r="D2291" s="3">
        <v>11474</v>
      </c>
      <c r="E2291" s="3" t="s">
        <v>23</v>
      </c>
    </row>
    <row r="2292" spans="1:5">
      <c r="A2292" s="3" t="s">
        <v>2313</v>
      </c>
      <c r="B2292" s="3" t="s">
        <v>22</v>
      </c>
      <c r="C2292" s="3">
        <v>394539</v>
      </c>
      <c r="D2292" s="3">
        <v>1856</v>
      </c>
      <c r="E2292" s="3" t="s">
        <v>23</v>
      </c>
    </row>
    <row r="2293" spans="1:5">
      <c r="A2293" s="3" t="s">
        <v>2314</v>
      </c>
      <c r="B2293" s="3" t="s">
        <v>22</v>
      </c>
      <c r="C2293" s="3">
        <v>1919653</v>
      </c>
      <c r="D2293" s="3">
        <v>527144</v>
      </c>
      <c r="E2293" s="3" t="s">
        <v>23</v>
      </c>
    </row>
    <row r="2294" spans="1:5">
      <c r="A2294" s="3" t="s">
        <v>2315</v>
      </c>
      <c r="B2294" s="3" t="s">
        <v>22</v>
      </c>
      <c r="C2294" s="3">
        <v>814370</v>
      </c>
      <c r="D2294" s="3">
        <v>27035</v>
      </c>
      <c r="E2294" s="3" t="s">
        <v>23</v>
      </c>
    </row>
    <row r="2295" spans="1:5">
      <c r="A2295" s="3" t="s">
        <v>2316</v>
      </c>
      <c r="B2295" s="3" t="s">
        <v>22</v>
      </c>
      <c r="C2295" s="3">
        <v>871756</v>
      </c>
      <c r="D2295" s="3">
        <v>65593</v>
      </c>
      <c r="E2295" s="3" t="s">
        <v>23</v>
      </c>
    </row>
    <row r="2296" spans="1:5">
      <c r="A2296" s="3" t="s">
        <v>2317</v>
      </c>
      <c r="B2296" s="3" t="s">
        <v>22</v>
      </c>
      <c r="C2296" s="3">
        <v>902922</v>
      </c>
      <c r="D2296" s="3">
        <v>26123</v>
      </c>
      <c r="E2296" s="3" t="s">
        <v>23</v>
      </c>
    </row>
    <row r="2297" spans="1:5">
      <c r="A2297" s="3" t="s">
        <v>2318</v>
      </c>
      <c r="B2297" s="3" t="s">
        <v>22</v>
      </c>
      <c r="C2297" s="3">
        <v>622431</v>
      </c>
      <c r="D2297" s="3">
        <v>36440</v>
      </c>
      <c r="E2297" s="3" t="s">
        <v>23</v>
      </c>
    </row>
    <row r="2298" spans="1:5">
      <c r="A2298" s="3" t="s">
        <v>2319</v>
      </c>
      <c r="B2298" s="3" t="s">
        <v>22</v>
      </c>
      <c r="C2298" s="3">
        <v>863450</v>
      </c>
      <c r="D2298" s="3">
        <v>61745</v>
      </c>
      <c r="E2298" s="3" t="s">
        <v>23</v>
      </c>
    </row>
    <row r="2299" spans="1:5">
      <c r="A2299" s="3" t="s">
        <v>2320</v>
      </c>
      <c r="B2299" s="3" t="s">
        <v>22</v>
      </c>
      <c r="C2299" s="3">
        <v>974096</v>
      </c>
      <c r="D2299" s="3">
        <v>148689</v>
      </c>
      <c r="E2299" s="3" t="s">
        <v>23</v>
      </c>
    </row>
    <row r="2300" spans="1:5">
      <c r="A2300" s="3" t="s">
        <v>2321</v>
      </c>
      <c r="B2300" s="3" t="s">
        <v>22</v>
      </c>
      <c r="C2300" s="3">
        <v>952955</v>
      </c>
      <c r="D2300" s="3">
        <v>77622</v>
      </c>
      <c r="E2300" s="3" t="s">
        <v>23</v>
      </c>
    </row>
    <row r="2301" spans="1:5">
      <c r="A2301" s="3" t="s">
        <v>2322</v>
      </c>
      <c r="B2301" s="3" t="s">
        <v>22</v>
      </c>
      <c r="C2301" s="3">
        <v>840004</v>
      </c>
      <c r="D2301" s="3">
        <v>40006</v>
      </c>
      <c r="E2301" s="3" t="s">
        <v>23</v>
      </c>
    </row>
    <row r="2302" spans="1:5">
      <c r="A2302" s="3" t="s">
        <v>2323</v>
      </c>
      <c r="B2302" s="3" t="s">
        <v>22</v>
      </c>
      <c r="C2302" s="3">
        <v>1489513</v>
      </c>
      <c r="D2302" s="3">
        <v>314969</v>
      </c>
      <c r="E2302" s="3" t="s">
        <v>23</v>
      </c>
    </row>
    <row r="2303" spans="1:5">
      <c r="A2303" s="3" t="s">
        <v>2324</v>
      </c>
      <c r="B2303" s="3" t="s">
        <v>22</v>
      </c>
      <c r="C2303" s="3">
        <v>628143</v>
      </c>
      <c r="D2303" s="3">
        <v>26499</v>
      </c>
      <c r="E2303" s="3" t="s">
        <v>23</v>
      </c>
    </row>
    <row r="2304" spans="1:5">
      <c r="A2304" s="3" t="s">
        <v>2325</v>
      </c>
      <c r="B2304" s="3" t="s">
        <v>22</v>
      </c>
      <c r="C2304" s="3">
        <v>964944</v>
      </c>
      <c r="D2304" s="3">
        <v>136068</v>
      </c>
      <c r="E2304" s="3" t="s">
        <v>23</v>
      </c>
    </row>
    <row r="2305" spans="1:5">
      <c r="A2305" s="3" t="s">
        <v>2326</v>
      </c>
      <c r="B2305" s="3" t="s">
        <v>22</v>
      </c>
      <c r="C2305" s="3">
        <v>1324338</v>
      </c>
      <c r="D2305" s="3">
        <v>245131</v>
      </c>
      <c r="E2305" s="3" t="s">
        <v>23</v>
      </c>
    </row>
    <row r="2306" spans="1:5">
      <c r="A2306" s="3" t="s">
        <v>2327</v>
      </c>
      <c r="B2306" s="3" t="s">
        <v>22</v>
      </c>
      <c r="C2306" s="3">
        <v>1099431</v>
      </c>
      <c r="D2306" s="3">
        <v>142271</v>
      </c>
      <c r="E2306" s="3" t="s">
        <v>23</v>
      </c>
    </row>
    <row r="2307" spans="1:5">
      <c r="A2307" s="3" t="s">
        <v>2328</v>
      </c>
      <c r="B2307" s="3" t="s">
        <v>22</v>
      </c>
      <c r="C2307" s="3">
        <v>1124380</v>
      </c>
      <c r="D2307" s="3">
        <v>184712</v>
      </c>
      <c r="E2307" s="3" t="s">
        <v>23</v>
      </c>
    </row>
    <row r="2308" spans="1:5">
      <c r="A2308" s="3" t="s">
        <v>2329</v>
      </c>
      <c r="B2308" s="3" t="s">
        <v>22</v>
      </c>
      <c r="C2308" s="3">
        <v>734358</v>
      </c>
      <c r="D2308" s="3">
        <v>64702</v>
      </c>
      <c r="E2308" s="3" t="s">
        <v>23</v>
      </c>
    </row>
    <row r="2309" spans="1:5">
      <c r="A2309" s="3" t="s">
        <v>2330</v>
      </c>
      <c r="B2309" s="3" t="s">
        <v>22</v>
      </c>
      <c r="C2309" s="3">
        <v>1825406</v>
      </c>
      <c r="D2309" s="3">
        <v>591545</v>
      </c>
      <c r="E2309" s="3" t="s">
        <v>23</v>
      </c>
    </row>
    <row r="2310" spans="1:5">
      <c r="A2310" s="3" t="s">
        <v>2331</v>
      </c>
      <c r="B2310" s="3" t="s">
        <v>22</v>
      </c>
      <c r="C2310" s="3">
        <v>557171</v>
      </c>
      <c r="D2310" s="3">
        <v>28324</v>
      </c>
      <c r="E2310" s="3" t="s">
        <v>23</v>
      </c>
    </row>
    <row r="2311" spans="1:5">
      <c r="A2311" s="3" t="s">
        <v>2332</v>
      </c>
      <c r="B2311" s="3" t="s">
        <v>22</v>
      </c>
      <c r="C2311" s="3">
        <v>828649</v>
      </c>
      <c r="D2311" s="3">
        <v>44277</v>
      </c>
      <c r="E2311" s="3" t="s">
        <v>23</v>
      </c>
    </row>
    <row r="2312" spans="1:5">
      <c r="A2312" s="3" t="s">
        <v>2333</v>
      </c>
      <c r="B2312" s="3" t="s">
        <v>22</v>
      </c>
      <c r="C2312" s="3">
        <v>963555</v>
      </c>
      <c r="D2312" s="3">
        <v>130613</v>
      </c>
      <c r="E2312" s="3" t="s">
        <v>23</v>
      </c>
    </row>
    <row r="2313" spans="1:5">
      <c r="A2313" s="3" t="s">
        <v>2334</v>
      </c>
      <c r="B2313" s="3" t="s">
        <v>22</v>
      </c>
      <c r="C2313" s="3">
        <v>968172</v>
      </c>
      <c r="D2313" s="3">
        <v>81932</v>
      </c>
      <c r="E2313" s="3" t="s">
        <v>23</v>
      </c>
    </row>
    <row r="2314" spans="1:5">
      <c r="A2314" s="3" t="s">
        <v>2335</v>
      </c>
      <c r="B2314" s="3" t="s">
        <v>22</v>
      </c>
      <c r="C2314" s="3">
        <v>1336998</v>
      </c>
      <c r="D2314" s="3">
        <v>275505</v>
      </c>
      <c r="E2314" s="3" t="s">
        <v>23</v>
      </c>
    </row>
    <row r="2315" spans="1:5">
      <c r="A2315" s="3" t="s">
        <v>2336</v>
      </c>
      <c r="B2315" s="3" t="s">
        <v>22</v>
      </c>
      <c r="C2315" s="3">
        <v>1469673</v>
      </c>
      <c r="D2315" s="3">
        <v>288513</v>
      </c>
      <c r="E2315" s="3" t="s">
        <v>23</v>
      </c>
    </row>
    <row r="2316" spans="1:5">
      <c r="A2316" s="3" t="s">
        <v>2337</v>
      </c>
      <c r="B2316" s="3" t="s">
        <v>22</v>
      </c>
      <c r="C2316" s="3">
        <v>966287</v>
      </c>
      <c r="D2316" s="3">
        <v>119056</v>
      </c>
      <c r="E2316" s="3" t="s">
        <v>23</v>
      </c>
    </row>
    <row r="2317" spans="1:5">
      <c r="A2317" s="3" t="s">
        <v>2338</v>
      </c>
      <c r="B2317" s="3" t="s">
        <v>22</v>
      </c>
      <c r="C2317" s="3">
        <v>890727</v>
      </c>
      <c r="D2317" s="3">
        <v>68238</v>
      </c>
      <c r="E2317" s="3" t="s">
        <v>23</v>
      </c>
    </row>
    <row r="2318" spans="1:5">
      <c r="A2318" s="3" t="s">
        <v>2339</v>
      </c>
      <c r="B2318" s="3" t="s">
        <v>22</v>
      </c>
      <c r="C2318" s="3">
        <v>888078</v>
      </c>
      <c r="D2318" s="3">
        <v>111973</v>
      </c>
      <c r="E2318" s="3" t="s">
        <v>23</v>
      </c>
    </row>
    <row r="2319" spans="1:5">
      <c r="A2319" s="3" t="s">
        <v>2340</v>
      </c>
      <c r="B2319" s="3" t="s">
        <v>22</v>
      </c>
      <c r="C2319" s="3">
        <v>699227</v>
      </c>
      <c r="D2319" s="3">
        <v>35294</v>
      </c>
      <c r="E2319" s="3" t="s">
        <v>23</v>
      </c>
    </row>
    <row r="2320" spans="1:5">
      <c r="A2320" s="3" t="s">
        <v>2341</v>
      </c>
      <c r="B2320" s="3" t="s">
        <v>22</v>
      </c>
      <c r="C2320" s="3">
        <v>1836380</v>
      </c>
      <c r="D2320" s="3">
        <v>517221</v>
      </c>
      <c r="E2320" s="3" t="s">
        <v>23</v>
      </c>
    </row>
    <row r="2321" spans="1:5">
      <c r="A2321" s="3" t="s">
        <v>2342</v>
      </c>
      <c r="B2321" s="3" t="s">
        <v>22</v>
      </c>
      <c r="C2321" s="3">
        <v>1324536</v>
      </c>
      <c r="D2321" s="3">
        <v>217950</v>
      </c>
      <c r="E2321" s="3" t="s">
        <v>23</v>
      </c>
    </row>
    <row r="2322" spans="1:5">
      <c r="A2322" s="3" t="s">
        <v>2343</v>
      </c>
      <c r="B2322" s="3" t="s">
        <v>22</v>
      </c>
      <c r="C2322" s="3">
        <v>765838</v>
      </c>
      <c r="D2322" s="3">
        <v>91971</v>
      </c>
      <c r="E2322" s="3" t="s">
        <v>23</v>
      </c>
    </row>
    <row r="2323" spans="1:5">
      <c r="A2323" s="3" t="s">
        <v>2344</v>
      </c>
      <c r="B2323" s="3" t="s">
        <v>22</v>
      </c>
      <c r="C2323" s="3">
        <v>713451</v>
      </c>
      <c r="D2323" s="3">
        <v>12295</v>
      </c>
      <c r="E2323" s="3" t="s">
        <v>23</v>
      </c>
    </row>
    <row r="2324" spans="1:5">
      <c r="A2324" s="3" t="s">
        <v>2345</v>
      </c>
      <c r="B2324" s="3" t="s">
        <v>22</v>
      </c>
      <c r="C2324" s="3">
        <v>1691238</v>
      </c>
      <c r="D2324" s="3">
        <v>349770</v>
      </c>
      <c r="E2324" s="3" t="s">
        <v>23</v>
      </c>
    </row>
    <row r="2325" spans="1:5">
      <c r="A2325" s="3" t="s">
        <v>2346</v>
      </c>
      <c r="B2325" s="3" t="s">
        <v>22</v>
      </c>
      <c r="C2325" s="3">
        <v>581795</v>
      </c>
      <c r="D2325" s="3">
        <v>8775</v>
      </c>
      <c r="E2325" s="3" t="s">
        <v>23</v>
      </c>
    </row>
    <row r="2326" spans="1:5">
      <c r="A2326" s="3" t="s">
        <v>2347</v>
      </c>
      <c r="B2326" s="3" t="s">
        <v>22</v>
      </c>
      <c r="C2326" s="3">
        <v>903186</v>
      </c>
      <c r="D2326" s="3">
        <v>102606</v>
      </c>
      <c r="E2326" s="3" t="s">
        <v>23</v>
      </c>
    </row>
    <row r="2327" spans="1:5">
      <c r="A2327" s="3" t="s">
        <v>2348</v>
      </c>
      <c r="B2327" s="3" t="s">
        <v>22</v>
      </c>
      <c r="C2327" s="3">
        <v>1535213</v>
      </c>
      <c r="D2327" s="3">
        <v>383696</v>
      </c>
      <c r="E2327" s="3" t="s">
        <v>23</v>
      </c>
    </row>
    <row r="2328" spans="1:5">
      <c r="A2328" s="3" t="s">
        <v>2349</v>
      </c>
      <c r="B2328" s="3" t="s">
        <v>22</v>
      </c>
      <c r="C2328" s="3">
        <v>1241914</v>
      </c>
      <c r="D2328" s="3">
        <v>297170</v>
      </c>
      <c r="E2328" s="3" t="s">
        <v>23</v>
      </c>
    </row>
    <row r="2329" spans="1:5">
      <c r="A2329" s="3" t="s">
        <v>2350</v>
      </c>
      <c r="B2329" s="3" t="s">
        <v>22</v>
      </c>
      <c r="C2329" s="3">
        <v>923685</v>
      </c>
      <c r="D2329" s="3">
        <v>82421</v>
      </c>
      <c r="E2329" s="3" t="s">
        <v>23</v>
      </c>
    </row>
    <row r="2330" spans="1:5">
      <c r="A2330" s="3" t="s">
        <v>2351</v>
      </c>
      <c r="B2330" s="3" t="s">
        <v>22</v>
      </c>
      <c r="C2330" s="3">
        <v>629387</v>
      </c>
      <c r="D2330" s="3">
        <v>11876</v>
      </c>
      <c r="E2330" s="3" t="s">
        <v>23</v>
      </c>
    </row>
    <row r="2331" spans="1:5">
      <c r="A2331" s="3" t="s">
        <v>2352</v>
      </c>
      <c r="B2331" s="3" t="s">
        <v>22</v>
      </c>
      <c r="C2331" s="3">
        <v>1686166</v>
      </c>
      <c r="D2331" s="3">
        <v>481368</v>
      </c>
      <c r="E2331" s="3" t="s">
        <v>23</v>
      </c>
    </row>
    <row r="2332" spans="1:5">
      <c r="A2332" s="3" t="s">
        <v>2353</v>
      </c>
      <c r="B2332" s="3" t="s">
        <v>22</v>
      </c>
      <c r="C2332" s="3">
        <v>1632878</v>
      </c>
      <c r="D2332" s="3">
        <v>353800</v>
      </c>
      <c r="E2332" s="3" t="s">
        <v>23</v>
      </c>
    </row>
    <row r="2333" spans="1:5">
      <c r="A2333" s="3" t="s">
        <v>2354</v>
      </c>
      <c r="B2333" s="3" t="s">
        <v>22</v>
      </c>
      <c r="C2333" s="3">
        <v>450561</v>
      </c>
      <c r="D2333" s="3">
        <v>9457</v>
      </c>
      <c r="E2333" s="3" t="s">
        <v>23</v>
      </c>
    </row>
    <row r="2334" spans="1:5">
      <c r="A2334" s="3" t="s">
        <v>2355</v>
      </c>
      <c r="B2334" s="3" t="s">
        <v>22</v>
      </c>
      <c r="C2334" s="3">
        <v>498167</v>
      </c>
      <c r="D2334" s="3">
        <v>2777</v>
      </c>
      <c r="E2334" s="3" t="s">
        <v>23</v>
      </c>
    </row>
    <row r="2335" spans="1:5">
      <c r="A2335" s="3" t="s">
        <v>2356</v>
      </c>
      <c r="B2335" s="3" t="s">
        <v>22</v>
      </c>
      <c r="C2335" s="3">
        <v>1463928</v>
      </c>
      <c r="D2335" s="3">
        <v>270643</v>
      </c>
      <c r="E2335" s="3" t="s">
        <v>23</v>
      </c>
    </row>
    <row r="2336" spans="1:5">
      <c r="A2336" s="3" t="s">
        <v>2357</v>
      </c>
      <c r="B2336" s="3" t="s">
        <v>22</v>
      </c>
      <c r="C2336" s="3">
        <v>1563228</v>
      </c>
      <c r="D2336" s="3">
        <v>325641</v>
      </c>
      <c r="E2336" s="3" t="s">
        <v>23</v>
      </c>
    </row>
    <row r="2337" spans="1:5">
      <c r="A2337" s="3" t="s">
        <v>2358</v>
      </c>
      <c r="B2337" s="3" t="s">
        <v>22</v>
      </c>
      <c r="C2337" s="3">
        <v>1503739</v>
      </c>
      <c r="D2337" s="3">
        <v>327023</v>
      </c>
      <c r="E2337" s="3" t="s">
        <v>23</v>
      </c>
    </row>
    <row r="2338" spans="1:5">
      <c r="A2338" s="3" t="s">
        <v>2359</v>
      </c>
      <c r="B2338" s="3" t="s">
        <v>22</v>
      </c>
      <c r="C2338" s="3">
        <v>1422240</v>
      </c>
      <c r="D2338" s="3">
        <v>308228</v>
      </c>
      <c r="E2338" s="3" t="s">
        <v>23</v>
      </c>
    </row>
    <row r="2339" spans="1:5">
      <c r="A2339" s="3" t="s">
        <v>2360</v>
      </c>
      <c r="B2339" s="3" t="s">
        <v>22</v>
      </c>
      <c r="C2339" s="3">
        <v>1508463</v>
      </c>
      <c r="D2339" s="3">
        <v>332111</v>
      </c>
      <c r="E2339" s="3" t="s">
        <v>23</v>
      </c>
    </row>
    <row r="2340" spans="1:5">
      <c r="A2340" s="3" t="s">
        <v>2361</v>
      </c>
      <c r="B2340" s="3" t="s">
        <v>22</v>
      </c>
      <c r="C2340" s="3">
        <v>759453</v>
      </c>
      <c r="D2340" s="3">
        <v>1683</v>
      </c>
      <c r="E2340" s="3" t="s">
        <v>23</v>
      </c>
    </row>
    <row r="2341" spans="1:5">
      <c r="A2341" s="3" t="s">
        <v>2362</v>
      </c>
      <c r="B2341" s="3" t="s">
        <v>22</v>
      </c>
      <c r="C2341" s="3">
        <v>885345</v>
      </c>
      <c r="D2341" s="3">
        <v>26103</v>
      </c>
      <c r="E2341" s="3" t="s">
        <v>23</v>
      </c>
    </row>
    <row r="2342" spans="1:5">
      <c r="A2342" s="3" t="s">
        <v>2363</v>
      </c>
      <c r="B2342" s="3" t="s">
        <v>22</v>
      </c>
      <c r="C2342" s="3">
        <v>1102764</v>
      </c>
      <c r="D2342" s="3">
        <v>203167</v>
      </c>
      <c r="E2342" s="3" t="s">
        <v>23</v>
      </c>
    </row>
    <row r="2343" spans="1:5">
      <c r="A2343" s="3" t="s">
        <v>2364</v>
      </c>
      <c r="B2343" s="3" t="s">
        <v>22</v>
      </c>
      <c r="C2343" s="3">
        <v>23931</v>
      </c>
      <c r="D2343" s="3">
        <v>6167</v>
      </c>
      <c r="E2343" s="3" t="s">
        <v>23</v>
      </c>
    </row>
    <row r="2344" spans="1:5">
      <c r="A2344" s="3" t="s">
        <v>2365</v>
      </c>
      <c r="B2344" s="3" t="s">
        <v>22</v>
      </c>
      <c r="C2344" s="3">
        <v>1613292</v>
      </c>
      <c r="D2344" s="3">
        <v>436502</v>
      </c>
      <c r="E2344" s="3" t="s">
        <v>23</v>
      </c>
    </row>
    <row r="2345" spans="1:5">
      <c r="A2345" s="3" t="s">
        <v>2366</v>
      </c>
      <c r="B2345" s="3" t="s">
        <v>22</v>
      </c>
      <c r="C2345" s="3">
        <v>763658</v>
      </c>
      <c r="D2345" s="3">
        <v>4587</v>
      </c>
      <c r="E2345" s="3" t="s">
        <v>23</v>
      </c>
    </row>
    <row r="2346" spans="1:5">
      <c r="A2346" s="3" t="s">
        <v>2367</v>
      </c>
      <c r="B2346" s="3" t="s">
        <v>22</v>
      </c>
      <c r="C2346" s="3">
        <v>1627913</v>
      </c>
      <c r="D2346" s="3">
        <v>451590</v>
      </c>
      <c r="E2346" s="3" t="s">
        <v>23</v>
      </c>
    </row>
    <row r="2347" spans="1:5">
      <c r="A2347" s="3" t="s">
        <v>2368</v>
      </c>
      <c r="B2347" s="3" t="s">
        <v>22</v>
      </c>
      <c r="C2347" s="3">
        <v>1207711</v>
      </c>
      <c r="D2347" s="3">
        <v>198169</v>
      </c>
      <c r="E2347" s="3" t="s">
        <v>23</v>
      </c>
    </row>
    <row r="2348" spans="1:5">
      <c r="A2348" s="3" t="s">
        <v>2369</v>
      </c>
      <c r="B2348" s="3" t="s">
        <v>22</v>
      </c>
      <c r="C2348" s="3">
        <v>1305276</v>
      </c>
      <c r="D2348" s="3">
        <v>277808</v>
      </c>
      <c r="E2348" s="3" t="s">
        <v>23</v>
      </c>
    </row>
    <row r="2349" spans="1:5">
      <c r="A2349" s="3" t="s">
        <v>2370</v>
      </c>
      <c r="B2349" s="3" t="s">
        <v>22</v>
      </c>
      <c r="C2349" s="3">
        <v>426597</v>
      </c>
      <c r="D2349" s="3">
        <v>2617</v>
      </c>
      <c r="E2349" s="3" t="s">
        <v>23</v>
      </c>
    </row>
    <row r="2350" spans="1:5">
      <c r="A2350" s="3" t="s">
        <v>2371</v>
      </c>
      <c r="B2350" s="3" t="s">
        <v>22</v>
      </c>
      <c r="C2350" s="3">
        <v>1606522</v>
      </c>
      <c r="D2350" s="3">
        <v>421637</v>
      </c>
      <c r="E2350" s="3" t="s">
        <v>23</v>
      </c>
    </row>
    <row r="2351" spans="1:5">
      <c r="A2351" s="3" t="s">
        <v>2372</v>
      </c>
      <c r="B2351" s="3" t="s">
        <v>22</v>
      </c>
      <c r="C2351" s="3">
        <v>715363</v>
      </c>
      <c r="D2351" s="3">
        <v>17589</v>
      </c>
      <c r="E2351" s="3" t="s">
        <v>23</v>
      </c>
    </row>
    <row r="2352" spans="1:5">
      <c r="A2352" s="3" t="s">
        <v>2373</v>
      </c>
      <c r="B2352" s="3" t="s">
        <v>22</v>
      </c>
      <c r="C2352" s="3">
        <v>1339849</v>
      </c>
      <c r="D2352" s="3">
        <v>236699</v>
      </c>
      <c r="E2352" s="3" t="s">
        <v>23</v>
      </c>
    </row>
    <row r="2353" spans="1:5">
      <c r="A2353" s="3" t="s">
        <v>2374</v>
      </c>
      <c r="B2353" s="3" t="s">
        <v>22</v>
      </c>
      <c r="C2353" s="3">
        <v>881121</v>
      </c>
      <c r="D2353" s="3">
        <v>126507</v>
      </c>
      <c r="E2353" s="3" t="s">
        <v>23</v>
      </c>
    </row>
    <row r="2354" spans="1:5">
      <c r="A2354" s="3" t="s">
        <v>2375</v>
      </c>
      <c r="B2354" s="3" t="s">
        <v>22</v>
      </c>
      <c r="C2354" s="3">
        <v>1803720</v>
      </c>
      <c r="D2354" s="3">
        <v>428731</v>
      </c>
      <c r="E2354" s="3" t="s">
        <v>23</v>
      </c>
    </row>
    <row r="2355" spans="1:5">
      <c r="A2355" s="3" t="s">
        <v>2376</v>
      </c>
      <c r="B2355" s="3" t="s">
        <v>22</v>
      </c>
      <c r="C2355" s="3">
        <v>1452570</v>
      </c>
      <c r="D2355" s="3">
        <v>317471</v>
      </c>
      <c r="E2355" s="3" t="s">
        <v>23</v>
      </c>
    </row>
    <row r="2356" spans="1:5">
      <c r="A2356" s="3" t="s">
        <v>2377</v>
      </c>
      <c r="B2356" s="3" t="s">
        <v>22</v>
      </c>
      <c r="C2356" s="3">
        <v>1200960</v>
      </c>
      <c r="D2356" s="3">
        <v>205139</v>
      </c>
      <c r="E2356" s="3" t="s">
        <v>23</v>
      </c>
    </row>
    <row r="2357" spans="1:5">
      <c r="A2357" s="3" t="s">
        <v>2378</v>
      </c>
      <c r="B2357" s="3" t="s">
        <v>22</v>
      </c>
      <c r="C2357" s="3">
        <v>1402433</v>
      </c>
      <c r="D2357" s="3">
        <v>174216</v>
      </c>
      <c r="E2357" s="3" t="s">
        <v>23</v>
      </c>
    </row>
    <row r="2358" spans="1:5">
      <c r="A2358" s="3" t="s">
        <v>2379</v>
      </c>
      <c r="B2358" s="3" t="s">
        <v>22</v>
      </c>
      <c r="C2358" s="3">
        <v>1289859</v>
      </c>
      <c r="D2358" s="3">
        <v>122107</v>
      </c>
      <c r="E2358" s="3" t="s">
        <v>23</v>
      </c>
    </row>
    <row r="2359" spans="1:5">
      <c r="A2359" s="3" t="s">
        <v>2380</v>
      </c>
      <c r="B2359" s="3" t="s">
        <v>22</v>
      </c>
      <c r="C2359" s="3">
        <v>1080787</v>
      </c>
      <c r="D2359" s="3">
        <v>28807</v>
      </c>
      <c r="E2359" s="3" t="s">
        <v>23</v>
      </c>
    </row>
    <row r="2360" spans="1:5">
      <c r="A2360" s="3" t="s">
        <v>2381</v>
      </c>
      <c r="B2360" s="3" t="s">
        <v>22</v>
      </c>
      <c r="C2360" s="3">
        <v>820917</v>
      </c>
      <c r="D2360" s="3">
        <v>20356</v>
      </c>
      <c r="E2360" s="3" t="s">
        <v>23</v>
      </c>
    </row>
    <row r="2361" spans="1:5">
      <c r="A2361" s="3" t="s">
        <v>2382</v>
      </c>
      <c r="B2361" s="3" t="s">
        <v>22</v>
      </c>
      <c r="C2361" s="3">
        <v>555761</v>
      </c>
      <c r="D2361" s="3">
        <v>2571</v>
      </c>
      <c r="E2361" s="3" t="s">
        <v>23</v>
      </c>
    </row>
    <row r="2362" spans="1:5">
      <c r="A2362" s="3" t="s">
        <v>2383</v>
      </c>
      <c r="B2362" s="3" t="s">
        <v>22</v>
      </c>
      <c r="C2362" s="3">
        <v>1464910</v>
      </c>
      <c r="D2362" s="3">
        <v>185528</v>
      </c>
      <c r="E2362" s="3" t="s">
        <v>23</v>
      </c>
    </row>
    <row r="2363" spans="1:5">
      <c r="A2363" s="3" t="s">
        <v>2384</v>
      </c>
      <c r="B2363" s="3" t="s">
        <v>22</v>
      </c>
      <c r="C2363" s="3">
        <v>1099121</v>
      </c>
      <c r="D2363" s="3">
        <v>48785</v>
      </c>
      <c r="E2363" s="3" t="s">
        <v>23</v>
      </c>
    </row>
    <row r="2364" spans="1:5">
      <c r="A2364" s="3" t="s">
        <v>2385</v>
      </c>
      <c r="B2364" s="3" t="s">
        <v>22</v>
      </c>
      <c r="C2364" s="3">
        <v>1932899</v>
      </c>
      <c r="D2364" s="3">
        <v>546525</v>
      </c>
      <c r="E2364" s="3" t="s">
        <v>23</v>
      </c>
    </row>
    <row r="2365" spans="1:5">
      <c r="A2365" s="3" t="s">
        <v>2386</v>
      </c>
      <c r="B2365" s="3" t="s">
        <v>22</v>
      </c>
      <c r="C2365" s="3">
        <v>17515</v>
      </c>
      <c r="D2365" s="3">
        <v>315</v>
      </c>
      <c r="E2365" s="3" t="s">
        <v>23</v>
      </c>
    </row>
    <row r="2366" spans="1:5">
      <c r="A2366" s="3" t="s">
        <v>2387</v>
      </c>
      <c r="B2366" s="3" t="s">
        <v>22</v>
      </c>
      <c r="C2366" s="3">
        <v>787119</v>
      </c>
      <c r="D2366" s="3">
        <v>76653</v>
      </c>
      <c r="E2366" s="3" t="s">
        <v>23</v>
      </c>
    </row>
    <row r="2367" spans="1:5">
      <c r="A2367" s="3" t="s">
        <v>2388</v>
      </c>
      <c r="B2367" s="3" t="s">
        <v>22</v>
      </c>
      <c r="C2367" s="3">
        <v>1272089</v>
      </c>
      <c r="D2367" s="3">
        <v>244131</v>
      </c>
      <c r="E2367" s="3" t="s">
        <v>23</v>
      </c>
    </row>
    <row r="2368" spans="1:5">
      <c r="A2368" s="3" t="s">
        <v>2389</v>
      </c>
      <c r="B2368" s="3" t="s">
        <v>22</v>
      </c>
      <c r="C2368" s="3">
        <v>1752483</v>
      </c>
      <c r="D2368" s="3">
        <v>299420</v>
      </c>
      <c r="E2368" s="3" t="s">
        <v>23</v>
      </c>
    </row>
    <row r="2369" spans="1:5">
      <c r="A2369" s="3" t="s">
        <v>2390</v>
      </c>
      <c r="B2369" s="3" t="s">
        <v>22</v>
      </c>
      <c r="C2369" s="3">
        <v>850383</v>
      </c>
      <c r="D2369" s="3">
        <v>66612</v>
      </c>
      <c r="E2369" s="3" t="s">
        <v>23</v>
      </c>
    </row>
    <row r="2370" spans="1:5">
      <c r="A2370" s="3" t="s">
        <v>2391</v>
      </c>
      <c r="B2370" s="3" t="s">
        <v>22</v>
      </c>
      <c r="C2370" s="3">
        <v>1150166</v>
      </c>
      <c r="D2370" s="3">
        <v>182901</v>
      </c>
      <c r="E2370" s="3" t="s">
        <v>23</v>
      </c>
    </row>
    <row r="2371" spans="1:5">
      <c r="A2371" s="3" t="s">
        <v>2392</v>
      </c>
      <c r="B2371" s="3" t="s">
        <v>22</v>
      </c>
      <c r="C2371" s="3">
        <v>1686818</v>
      </c>
      <c r="D2371" s="3">
        <v>235167</v>
      </c>
      <c r="E2371" s="3" t="s">
        <v>23</v>
      </c>
    </row>
    <row r="2372" spans="1:5">
      <c r="A2372" s="3" t="s">
        <v>2393</v>
      </c>
      <c r="B2372" s="3" t="s">
        <v>22</v>
      </c>
      <c r="C2372" s="3">
        <v>907915</v>
      </c>
      <c r="D2372" s="3">
        <v>21175</v>
      </c>
      <c r="E2372" s="3" t="s">
        <v>23</v>
      </c>
    </row>
    <row r="2373" spans="1:5">
      <c r="A2373" s="3" t="s">
        <v>2394</v>
      </c>
      <c r="B2373" s="3" t="s">
        <v>22</v>
      </c>
      <c r="C2373" s="3">
        <v>772221</v>
      </c>
      <c r="D2373" s="3">
        <v>98875</v>
      </c>
      <c r="E2373" s="3" t="s">
        <v>23</v>
      </c>
    </row>
    <row r="2374" spans="1:5">
      <c r="A2374" s="3" t="s">
        <v>2395</v>
      </c>
      <c r="B2374" s="3" t="s">
        <v>22</v>
      </c>
      <c r="C2374" s="3">
        <v>1817211</v>
      </c>
      <c r="D2374" s="3">
        <v>523905</v>
      </c>
      <c r="E2374" s="3" t="s">
        <v>23</v>
      </c>
    </row>
    <row r="2375" spans="1:5">
      <c r="A2375" s="3" t="s">
        <v>2396</v>
      </c>
      <c r="B2375" s="3" t="s">
        <v>22</v>
      </c>
      <c r="C2375" s="3">
        <v>1617711</v>
      </c>
      <c r="D2375" s="3">
        <v>299511</v>
      </c>
      <c r="E2375" s="3" t="s">
        <v>23</v>
      </c>
    </row>
    <row r="2376" spans="1:5">
      <c r="A2376" s="3" t="s">
        <v>2397</v>
      </c>
      <c r="B2376" s="3" t="s">
        <v>22</v>
      </c>
      <c r="C2376" s="3">
        <v>1518958</v>
      </c>
      <c r="D2376" s="3">
        <v>188309</v>
      </c>
      <c r="E2376" s="3" t="s">
        <v>23</v>
      </c>
    </row>
    <row r="2377" spans="1:5">
      <c r="A2377" s="3" t="s">
        <v>2398</v>
      </c>
      <c r="B2377" s="3" t="s">
        <v>22</v>
      </c>
      <c r="C2377" s="3">
        <v>1870400</v>
      </c>
      <c r="D2377" s="3">
        <v>428639</v>
      </c>
      <c r="E2377" s="3" t="s">
        <v>23</v>
      </c>
    </row>
    <row r="2378" spans="1:5">
      <c r="A2378" s="3" t="s">
        <v>2399</v>
      </c>
      <c r="B2378" s="3" t="s">
        <v>22</v>
      </c>
      <c r="C2378" s="3">
        <v>788547</v>
      </c>
      <c r="D2378" s="3">
        <v>25745</v>
      </c>
      <c r="E2378" s="3" t="s">
        <v>23</v>
      </c>
    </row>
    <row r="2379" spans="1:5">
      <c r="A2379" s="3" t="s">
        <v>2400</v>
      </c>
      <c r="B2379" s="3" t="s">
        <v>22</v>
      </c>
      <c r="C2379" s="3">
        <v>1488084</v>
      </c>
      <c r="D2379" s="3">
        <v>214602</v>
      </c>
      <c r="E2379" s="3" t="s">
        <v>23</v>
      </c>
    </row>
    <row r="2380" spans="1:5">
      <c r="A2380" s="3" t="s">
        <v>2401</v>
      </c>
      <c r="B2380" s="3" t="s">
        <v>22</v>
      </c>
      <c r="C2380" s="3">
        <v>1924528</v>
      </c>
      <c r="D2380" s="3">
        <v>532492</v>
      </c>
      <c r="E2380" s="3" t="s">
        <v>23</v>
      </c>
    </row>
    <row r="2381" spans="1:5">
      <c r="A2381" s="3" t="s">
        <v>2402</v>
      </c>
      <c r="B2381" s="3" t="s">
        <v>22</v>
      </c>
      <c r="C2381" s="3">
        <v>648027</v>
      </c>
      <c r="D2381" s="3">
        <v>5357</v>
      </c>
      <c r="E2381" s="3" t="s">
        <v>23</v>
      </c>
    </row>
    <row r="2382" spans="1:5">
      <c r="A2382" s="3" t="s">
        <v>2403</v>
      </c>
      <c r="B2382" s="3" t="s">
        <v>22</v>
      </c>
      <c r="C2382" s="3">
        <v>25649</v>
      </c>
      <c r="D2382" s="3">
        <v>5927</v>
      </c>
      <c r="E2382" s="3" t="s">
        <v>23</v>
      </c>
    </row>
    <row r="2383" spans="1:5">
      <c r="A2383" s="3" t="s">
        <v>2404</v>
      </c>
      <c r="B2383" s="3" t="s">
        <v>22</v>
      </c>
      <c r="C2383" s="3">
        <v>1236061</v>
      </c>
      <c r="D2383" s="3">
        <v>104773</v>
      </c>
      <c r="E2383" s="3" t="s">
        <v>23</v>
      </c>
    </row>
    <row r="2384" spans="1:5">
      <c r="A2384" s="3" t="s">
        <v>2405</v>
      </c>
      <c r="B2384" s="3" t="s">
        <v>22</v>
      </c>
      <c r="C2384" s="3">
        <v>959894</v>
      </c>
      <c r="D2384" s="3">
        <v>45163</v>
      </c>
      <c r="E2384" s="3" t="s">
        <v>23</v>
      </c>
    </row>
    <row r="2385" spans="1:5">
      <c r="A2385" s="3" t="s">
        <v>2406</v>
      </c>
      <c r="B2385" s="3" t="s">
        <v>22</v>
      </c>
      <c r="C2385" s="3">
        <v>485277</v>
      </c>
      <c r="D2385" s="3">
        <v>1867</v>
      </c>
      <c r="E2385" s="3" t="s">
        <v>23</v>
      </c>
    </row>
    <row r="2386" spans="1:5">
      <c r="A2386" s="3" t="s">
        <v>2407</v>
      </c>
      <c r="B2386" s="3" t="s">
        <v>22</v>
      </c>
      <c r="C2386" s="3">
        <v>1520565</v>
      </c>
      <c r="D2386" s="3">
        <v>248522</v>
      </c>
      <c r="E2386" s="3" t="s">
        <v>23</v>
      </c>
    </row>
    <row r="2387" spans="1:5">
      <c r="A2387" s="3" t="s">
        <v>2408</v>
      </c>
      <c r="B2387" s="3" t="s">
        <v>22</v>
      </c>
      <c r="C2387" s="3">
        <v>106994</v>
      </c>
      <c r="D2387" s="3">
        <v>3188</v>
      </c>
      <c r="E2387" s="3" t="s">
        <v>23</v>
      </c>
    </row>
    <row r="2388" spans="1:5">
      <c r="A2388" s="3" t="s">
        <v>2409</v>
      </c>
      <c r="B2388" s="3" t="s">
        <v>22</v>
      </c>
      <c r="C2388" s="3">
        <v>2022997</v>
      </c>
      <c r="D2388" s="3">
        <v>512905</v>
      </c>
      <c r="E2388" s="3" t="s">
        <v>23</v>
      </c>
    </row>
    <row r="2389" spans="1:5">
      <c r="A2389" s="3" t="s">
        <v>2410</v>
      </c>
      <c r="B2389" s="3" t="s">
        <v>22</v>
      </c>
      <c r="C2389" s="3">
        <v>955036</v>
      </c>
      <c r="D2389" s="3">
        <v>43279</v>
      </c>
      <c r="E2389" s="3" t="s">
        <v>23</v>
      </c>
    </row>
    <row r="2390" spans="1:5">
      <c r="A2390" s="3" t="s">
        <v>2411</v>
      </c>
      <c r="B2390" s="3" t="s">
        <v>22</v>
      </c>
      <c r="C2390" s="3">
        <v>1062466</v>
      </c>
      <c r="D2390" s="3">
        <v>37017</v>
      </c>
      <c r="E2390" s="3" t="s">
        <v>23</v>
      </c>
    </row>
    <row r="2391" spans="1:5">
      <c r="A2391" s="3" t="s">
        <v>2412</v>
      </c>
      <c r="B2391" s="3" t="s">
        <v>22</v>
      </c>
      <c r="C2391" s="3">
        <v>676193</v>
      </c>
      <c r="D2391" s="3">
        <v>7648</v>
      </c>
      <c r="E2391" s="3" t="s">
        <v>23</v>
      </c>
    </row>
    <row r="2392" spans="1:5">
      <c r="A2392" s="3" t="s">
        <v>2413</v>
      </c>
      <c r="B2392" s="3" t="s">
        <v>22</v>
      </c>
      <c r="C2392" s="3">
        <v>544682</v>
      </c>
      <c r="D2392" s="3">
        <v>2014</v>
      </c>
      <c r="E2392" s="3" t="s">
        <v>23</v>
      </c>
    </row>
    <row r="2393" spans="1:5">
      <c r="A2393" s="3" t="s">
        <v>2414</v>
      </c>
      <c r="B2393" s="3" t="s">
        <v>22</v>
      </c>
      <c r="C2393" s="3">
        <v>1653476</v>
      </c>
      <c r="D2393" s="3">
        <v>274287</v>
      </c>
      <c r="E2393" s="3" t="s">
        <v>23</v>
      </c>
    </row>
    <row r="2394" spans="1:5">
      <c r="A2394" s="3" t="s">
        <v>2415</v>
      </c>
      <c r="B2394" s="3" t="s">
        <v>22</v>
      </c>
      <c r="C2394" s="3">
        <v>1377502</v>
      </c>
      <c r="D2394" s="3">
        <v>178471</v>
      </c>
      <c r="E2394" s="3" t="s">
        <v>23</v>
      </c>
    </row>
    <row r="2395" spans="1:5">
      <c r="A2395" s="3" t="s">
        <v>2416</v>
      </c>
      <c r="B2395" s="3" t="s">
        <v>22</v>
      </c>
      <c r="C2395" s="3">
        <v>1573444</v>
      </c>
      <c r="D2395" s="3">
        <v>226620</v>
      </c>
      <c r="E2395" s="3" t="s">
        <v>23</v>
      </c>
    </row>
    <row r="2396" spans="1:5">
      <c r="A2396" s="3" t="s">
        <v>2417</v>
      </c>
      <c r="B2396" s="3" t="s">
        <v>22</v>
      </c>
      <c r="C2396" s="3">
        <v>1016569</v>
      </c>
      <c r="D2396" s="3">
        <v>97448</v>
      </c>
      <c r="E2396" s="3" t="s">
        <v>23</v>
      </c>
    </row>
    <row r="2397" spans="1:5">
      <c r="A2397" s="3" t="s">
        <v>2418</v>
      </c>
      <c r="B2397" s="3" t="s">
        <v>22</v>
      </c>
      <c r="C2397" s="3">
        <v>1052262</v>
      </c>
      <c r="D2397" s="3">
        <v>30244</v>
      </c>
      <c r="E2397" s="3" t="s">
        <v>23</v>
      </c>
    </row>
    <row r="2398" spans="1:5">
      <c r="A2398" s="3" t="s">
        <v>2419</v>
      </c>
      <c r="B2398" s="3" t="s">
        <v>22</v>
      </c>
      <c r="C2398" s="3">
        <v>1413093</v>
      </c>
      <c r="D2398" s="3">
        <v>187980</v>
      </c>
      <c r="E2398" s="3" t="s">
        <v>23</v>
      </c>
    </row>
    <row r="2399" spans="1:5">
      <c r="A2399" s="3" t="s">
        <v>2420</v>
      </c>
      <c r="B2399" s="3" t="s">
        <v>22</v>
      </c>
      <c r="C2399" s="3">
        <v>2385201</v>
      </c>
      <c r="D2399" s="3">
        <v>577256</v>
      </c>
      <c r="E2399" s="3" t="s">
        <v>23</v>
      </c>
    </row>
    <row r="2400" spans="1:5">
      <c r="A2400" s="3" t="s">
        <v>2421</v>
      </c>
      <c r="B2400" s="3" t="s">
        <v>22</v>
      </c>
      <c r="C2400" s="3">
        <v>543038</v>
      </c>
      <c r="D2400" s="3">
        <v>82165</v>
      </c>
      <c r="E2400" s="3" t="s">
        <v>23</v>
      </c>
    </row>
    <row r="2401" spans="1:5">
      <c r="A2401" s="3" t="s">
        <v>2422</v>
      </c>
      <c r="B2401" s="3" t="s">
        <v>22</v>
      </c>
      <c r="C2401" s="3">
        <v>1364959</v>
      </c>
      <c r="D2401" s="3">
        <v>252627</v>
      </c>
      <c r="E2401" s="3" t="s">
        <v>23</v>
      </c>
    </row>
    <row r="2402" spans="1:5">
      <c r="A2402" s="3" t="s">
        <v>2423</v>
      </c>
      <c r="B2402" s="3" t="s">
        <v>22</v>
      </c>
      <c r="C2402" s="3">
        <v>1815353</v>
      </c>
      <c r="D2402" s="3">
        <v>379274</v>
      </c>
      <c r="E2402" s="3" t="s">
        <v>23</v>
      </c>
    </row>
    <row r="2403" spans="1:5">
      <c r="A2403" s="3" t="s">
        <v>2424</v>
      </c>
      <c r="B2403" s="3" t="s">
        <v>22</v>
      </c>
      <c r="C2403" s="3">
        <v>1186866</v>
      </c>
      <c r="D2403" s="3">
        <v>148400</v>
      </c>
      <c r="E2403" s="3" t="s">
        <v>23</v>
      </c>
    </row>
    <row r="2404" spans="1:5">
      <c r="A2404" s="3" t="s">
        <v>2425</v>
      </c>
      <c r="B2404" s="3" t="s">
        <v>22</v>
      </c>
      <c r="C2404" s="3">
        <v>1360214</v>
      </c>
      <c r="D2404" s="3">
        <v>204991</v>
      </c>
      <c r="E2404" s="3" t="s">
        <v>23</v>
      </c>
    </row>
    <row r="2405" spans="1:5">
      <c r="A2405" s="3" t="s">
        <v>2426</v>
      </c>
      <c r="B2405" s="3" t="s">
        <v>22</v>
      </c>
      <c r="C2405" s="3">
        <v>1453360</v>
      </c>
      <c r="D2405" s="3">
        <v>243023</v>
      </c>
      <c r="E2405" s="3" t="s">
        <v>23</v>
      </c>
    </row>
    <row r="2406" spans="1:5">
      <c r="A2406" s="3" t="s">
        <v>2427</v>
      </c>
      <c r="B2406" s="3" t="s">
        <v>22</v>
      </c>
      <c r="C2406" s="3">
        <v>1197031</v>
      </c>
      <c r="D2406" s="3">
        <v>115763</v>
      </c>
      <c r="E2406" s="3" t="s">
        <v>23</v>
      </c>
    </row>
    <row r="2407" spans="1:5">
      <c r="A2407" s="3" t="s">
        <v>2428</v>
      </c>
      <c r="B2407" s="3" t="s">
        <v>22</v>
      </c>
      <c r="C2407" s="3">
        <v>1958495</v>
      </c>
      <c r="D2407" s="3">
        <v>391966</v>
      </c>
      <c r="E2407" s="3" t="s">
        <v>23</v>
      </c>
    </row>
    <row r="2408" spans="1:5">
      <c r="A2408" s="3" t="s">
        <v>2429</v>
      </c>
      <c r="B2408" s="3" t="s">
        <v>22</v>
      </c>
      <c r="C2408" s="3">
        <v>1637397</v>
      </c>
      <c r="D2408" s="3">
        <v>253999</v>
      </c>
      <c r="E2408" s="3" t="s">
        <v>23</v>
      </c>
    </row>
    <row r="2409" spans="1:5">
      <c r="A2409" s="3" t="s">
        <v>2430</v>
      </c>
      <c r="B2409" s="3" t="s">
        <v>22</v>
      </c>
      <c r="C2409" s="3">
        <v>812900</v>
      </c>
      <c r="D2409" s="3">
        <v>19742</v>
      </c>
      <c r="E2409" s="3" t="s">
        <v>23</v>
      </c>
    </row>
    <row r="2410" spans="1:5">
      <c r="A2410" s="3" t="s">
        <v>2431</v>
      </c>
      <c r="B2410" s="3" t="s">
        <v>22</v>
      </c>
      <c r="C2410" s="3">
        <v>1920113</v>
      </c>
      <c r="D2410" s="3">
        <v>528170</v>
      </c>
      <c r="E2410" s="3" t="s">
        <v>23</v>
      </c>
    </row>
    <row r="2411" spans="1:5">
      <c r="A2411" s="3" t="s">
        <v>2432</v>
      </c>
      <c r="B2411" s="3" t="s">
        <v>22</v>
      </c>
      <c r="C2411" s="3">
        <v>874859</v>
      </c>
      <c r="D2411" s="3">
        <v>42285</v>
      </c>
      <c r="E2411" s="3" t="s">
        <v>23</v>
      </c>
    </row>
    <row r="2412" spans="1:5">
      <c r="A2412" s="3" t="s">
        <v>2433</v>
      </c>
      <c r="B2412" s="3" t="s">
        <v>22</v>
      </c>
      <c r="C2412" s="3">
        <v>1129157</v>
      </c>
      <c r="D2412" s="3">
        <v>119432</v>
      </c>
      <c r="E2412" s="3" t="s">
        <v>23</v>
      </c>
    </row>
    <row r="2413" spans="1:5">
      <c r="A2413" s="3" t="s">
        <v>2434</v>
      </c>
      <c r="B2413" s="3" t="s">
        <v>22</v>
      </c>
      <c r="C2413" s="3">
        <v>2113285</v>
      </c>
      <c r="D2413" s="3">
        <v>579360</v>
      </c>
      <c r="E2413" s="3" t="s">
        <v>23</v>
      </c>
    </row>
    <row r="2414" spans="1:5">
      <c r="A2414" s="3" t="s">
        <v>2435</v>
      </c>
      <c r="B2414" s="3" t="s">
        <v>22</v>
      </c>
      <c r="C2414" s="3">
        <v>1387316</v>
      </c>
      <c r="D2414" s="3">
        <v>169080</v>
      </c>
      <c r="E2414" s="3" t="s">
        <v>23</v>
      </c>
    </row>
    <row r="2415" spans="1:5">
      <c r="A2415" s="3" t="s">
        <v>2436</v>
      </c>
      <c r="B2415" s="3" t="s">
        <v>22</v>
      </c>
      <c r="C2415" s="3">
        <v>1031890</v>
      </c>
      <c r="D2415" s="3">
        <v>68174</v>
      </c>
      <c r="E2415" s="3" t="s">
        <v>23</v>
      </c>
    </row>
    <row r="2416" spans="1:5">
      <c r="A2416" s="3" t="s">
        <v>2437</v>
      </c>
      <c r="B2416" s="3" t="s">
        <v>22</v>
      </c>
      <c r="C2416" s="3">
        <v>668480</v>
      </c>
      <c r="D2416" s="3">
        <v>18071</v>
      </c>
      <c r="E2416" s="3" t="s">
        <v>23</v>
      </c>
    </row>
    <row r="2417" spans="1:5">
      <c r="A2417" s="3" t="s">
        <v>2438</v>
      </c>
      <c r="B2417" s="3" t="s">
        <v>22</v>
      </c>
      <c r="C2417" s="3">
        <v>1700235</v>
      </c>
      <c r="D2417" s="3">
        <v>503953</v>
      </c>
      <c r="E2417" s="3" t="s">
        <v>23</v>
      </c>
    </row>
    <row r="2418" spans="1:5">
      <c r="A2418" s="3" t="s">
        <v>2439</v>
      </c>
      <c r="B2418" s="3" t="s">
        <v>22</v>
      </c>
      <c r="C2418" s="3">
        <v>1240289</v>
      </c>
      <c r="D2418" s="3">
        <v>203395</v>
      </c>
      <c r="E2418" s="3" t="s">
        <v>23</v>
      </c>
    </row>
    <row r="2419" spans="1:5">
      <c r="A2419" s="3" t="s">
        <v>2440</v>
      </c>
      <c r="B2419" s="3" t="s">
        <v>22</v>
      </c>
      <c r="C2419" s="3">
        <v>460269</v>
      </c>
      <c r="D2419" s="3">
        <v>28982</v>
      </c>
      <c r="E2419" s="3" t="s">
        <v>23</v>
      </c>
    </row>
    <row r="2420" spans="1:5">
      <c r="A2420" s="3" t="s">
        <v>2441</v>
      </c>
      <c r="B2420" s="3" t="s">
        <v>22</v>
      </c>
      <c r="C2420" s="3">
        <v>1233139</v>
      </c>
      <c r="D2420" s="3">
        <v>320674</v>
      </c>
      <c r="E2420" s="3" t="s">
        <v>23</v>
      </c>
    </row>
    <row r="2421" spans="1:5">
      <c r="A2421" s="3" t="s">
        <v>2442</v>
      </c>
      <c r="B2421" s="3" t="s">
        <v>22</v>
      </c>
      <c r="C2421" s="3">
        <v>892758</v>
      </c>
      <c r="D2421" s="3">
        <v>160515</v>
      </c>
      <c r="E2421" s="3" t="s">
        <v>23</v>
      </c>
    </row>
    <row r="2422" spans="1:5">
      <c r="A2422" s="3" t="s">
        <v>2443</v>
      </c>
      <c r="B2422" s="3" t="s">
        <v>22</v>
      </c>
      <c r="C2422" s="3">
        <v>423043</v>
      </c>
      <c r="D2422" s="3">
        <v>11112</v>
      </c>
      <c r="E2422" s="3" t="s">
        <v>23</v>
      </c>
    </row>
    <row r="2423" spans="1:5">
      <c r="A2423" s="3" t="s">
        <v>2444</v>
      </c>
      <c r="B2423" s="3" t="s">
        <v>22</v>
      </c>
      <c r="C2423" s="3">
        <v>298998</v>
      </c>
      <c r="D2423" s="3">
        <v>6080</v>
      </c>
      <c r="E2423" s="3" t="s">
        <v>23</v>
      </c>
    </row>
    <row r="2424" spans="1:5">
      <c r="A2424" s="3" t="s">
        <v>2445</v>
      </c>
      <c r="B2424" s="3" t="s">
        <v>22</v>
      </c>
      <c r="C2424" s="3">
        <v>1115672</v>
      </c>
      <c r="D2424" s="3">
        <v>270781</v>
      </c>
      <c r="E2424" s="3" t="s">
        <v>23</v>
      </c>
    </row>
    <row r="2425" spans="1:5">
      <c r="A2425" s="3" t="s">
        <v>2446</v>
      </c>
      <c r="B2425" s="3" t="s">
        <v>22</v>
      </c>
      <c r="C2425" s="3">
        <v>898270</v>
      </c>
      <c r="D2425" s="3">
        <v>169634</v>
      </c>
      <c r="E2425" s="3" t="s">
        <v>23</v>
      </c>
    </row>
    <row r="2426" spans="1:5">
      <c r="A2426" s="3" t="s">
        <v>2447</v>
      </c>
      <c r="B2426" s="3" t="s">
        <v>22</v>
      </c>
      <c r="C2426" s="3">
        <v>321752</v>
      </c>
      <c r="D2426" s="3">
        <v>10807</v>
      </c>
      <c r="E2426" s="3" t="s">
        <v>23</v>
      </c>
    </row>
    <row r="2427" spans="1:5">
      <c r="A2427" s="3" t="s">
        <v>2448</v>
      </c>
      <c r="B2427" s="3" t="s">
        <v>22</v>
      </c>
      <c r="C2427" s="3">
        <v>344930</v>
      </c>
      <c r="D2427" s="3">
        <v>11058</v>
      </c>
      <c r="E2427" s="3" t="s">
        <v>23</v>
      </c>
    </row>
    <row r="2428" spans="1:5">
      <c r="A2428" s="3" t="s">
        <v>2449</v>
      </c>
      <c r="B2428" s="3" t="s">
        <v>22</v>
      </c>
      <c r="C2428" s="3">
        <v>868042</v>
      </c>
      <c r="D2428" s="3">
        <v>132744</v>
      </c>
      <c r="E2428" s="3" t="s">
        <v>23</v>
      </c>
    </row>
    <row r="2429" spans="1:5">
      <c r="A2429" s="3" t="s">
        <v>2450</v>
      </c>
      <c r="B2429" s="3" t="s">
        <v>22</v>
      </c>
      <c r="C2429" s="3">
        <v>860184</v>
      </c>
      <c r="D2429" s="3">
        <v>91862</v>
      </c>
      <c r="E2429" s="3" t="s">
        <v>23</v>
      </c>
    </row>
    <row r="2430" spans="1:5">
      <c r="A2430" s="3" t="s">
        <v>2451</v>
      </c>
      <c r="B2430" s="3" t="s">
        <v>22</v>
      </c>
      <c r="C2430" s="3">
        <v>863690</v>
      </c>
      <c r="D2430" s="3">
        <v>204933</v>
      </c>
      <c r="E2430" s="3" t="s">
        <v>23</v>
      </c>
    </row>
    <row r="2431" spans="1:5">
      <c r="A2431" s="3" t="s">
        <v>2452</v>
      </c>
      <c r="B2431" s="3" t="s">
        <v>22</v>
      </c>
      <c r="C2431" s="3">
        <v>760366</v>
      </c>
      <c r="D2431" s="3">
        <v>140310</v>
      </c>
      <c r="E2431" s="3" t="s">
        <v>23</v>
      </c>
    </row>
    <row r="2432" spans="1:5">
      <c r="A2432" s="3" t="s">
        <v>2453</v>
      </c>
      <c r="B2432" s="3" t="s">
        <v>22</v>
      </c>
      <c r="C2432" s="3">
        <v>855866</v>
      </c>
      <c r="D2432" s="3">
        <v>138346</v>
      </c>
      <c r="E2432" s="3" t="s">
        <v>23</v>
      </c>
    </row>
    <row r="2433" spans="1:5">
      <c r="A2433" s="3" t="s">
        <v>2454</v>
      </c>
      <c r="B2433" s="3" t="s">
        <v>22</v>
      </c>
      <c r="C2433" s="3">
        <v>262413</v>
      </c>
      <c r="D2433" s="3">
        <v>427</v>
      </c>
      <c r="E2433" s="3" t="s">
        <v>23</v>
      </c>
    </row>
    <row r="2434" spans="1:5">
      <c r="A2434" s="3" t="s">
        <v>2455</v>
      </c>
      <c r="B2434" s="3" t="s">
        <v>22</v>
      </c>
      <c r="C2434" s="3">
        <v>534365</v>
      </c>
      <c r="D2434" s="3">
        <v>11758</v>
      </c>
      <c r="E2434" s="3" t="s">
        <v>23</v>
      </c>
    </row>
    <row r="2435" spans="1:5">
      <c r="A2435" s="3" t="s">
        <v>2456</v>
      </c>
      <c r="B2435" s="3" t="s">
        <v>22</v>
      </c>
      <c r="C2435" s="3">
        <v>971665</v>
      </c>
      <c r="D2435" s="3">
        <v>191353</v>
      </c>
      <c r="E2435" s="3" t="s">
        <v>23</v>
      </c>
    </row>
    <row r="2436" spans="1:5">
      <c r="A2436" s="3" t="s">
        <v>2457</v>
      </c>
      <c r="B2436" s="3" t="s">
        <v>22</v>
      </c>
      <c r="C2436" s="3">
        <v>81835</v>
      </c>
      <c r="D2436" s="3">
        <v>10982</v>
      </c>
      <c r="E2436" s="3" t="s">
        <v>23</v>
      </c>
    </row>
    <row r="2437" spans="1:5">
      <c r="A2437" s="3" t="s">
        <v>2458</v>
      </c>
      <c r="B2437" s="3" t="s">
        <v>22</v>
      </c>
      <c r="C2437" s="3">
        <v>651705</v>
      </c>
      <c r="D2437" s="3">
        <v>90185</v>
      </c>
      <c r="E2437" s="3" t="s">
        <v>23</v>
      </c>
    </row>
    <row r="2438" spans="1:5">
      <c r="A2438" s="3" t="s">
        <v>2459</v>
      </c>
      <c r="B2438" s="3" t="s">
        <v>22</v>
      </c>
      <c r="C2438" s="3">
        <v>263049</v>
      </c>
      <c r="D2438" s="3">
        <v>282</v>
      </c>
      <c r="E2438" s="3" t="s">
        <v>23</v>
      </c>
    </row>
    <row r="2439" spans="1:5">
      <c r="A2439" s="3" t="s">
        <v>2460</v>
      </c>
      <c r="B2439" s="3" t="s">
        <v>22</v>
      </c>
      <c r="C2439" s="3">
        <v>1102400</v>
      </c>
      <c r="D2439" s="3">
        <v>251662</v>
      </c>
      <c r="E2439" s="3" t="s">
        <v>23</v>
      </c>
    </row>
    <row r="2440" spans="1:5">
      <c r="A2440" s="3" t="s">
        <v>2461</v>
      </c>
      <c r="B2440" s="3" t="s">
        <v>22</v>
      </c>
      <c r="C2440" s="3">
        <v>915380</v>
      </c>
      <c r="D2440" s="3">
        <v>178888</v>
      </c>
      <c r="E2440" s="3" t="s">
        <v>23</v>
      </c>
    </row>
    <row r="2441" spans="1:5">
      <c r="A2441" s="3" t="s">
        <v>2462</v>
      </c>
      <c r="B2441" s="3" t="s">
        <v>22</v>
      </c>
      <c r="C2441" s="3">
        <v>761960</v>
      </c>
      <c r="D2441" s="3">
        <v>133727</v>
      </c>
      <c r="E2441" s="3" t="s">
        <v>23</v>
      </c>
    </row>
    <row r="2442" spans="1:5">
      <c r="A2442" s="3" t="s">
        <v>2463</v>
      </c>
      <c r="B2442" s="3" t="s">
        <v>22</v>
      </c>
      <c r="C2442" s="3">
        <v>482053</v>
      </c>
      <c r="D2442" s="3">
        <v>605</v>
      </c>
      <c r="E2442" s="3" t="s">
        <v>23</v>
      </c>
    </row>
    <row r="2443" spans="1:5">
      <c r="A2443" s="3" t="s">
        <v>2464</v>
      </c>
      <c r="B2443" s="3" t="s">
        <v>22</v>
      </c>
      <c r="C2443" s="3">
        <v>1232654</v>
      </c>
      <c r="D2443" s="3">
        <v>343390</v>
      </c>
      <c r="E2443" s="3" t="s">
        <v>23</v>
      </c>
    </row>
    <row r="2444" spans="1:5">
      <c r="A2444" s="3" t="s">
        <v>2465</v>
      </c>
      <c r="B2444" s="3" t="s">
        <v>22</v>
      </c>
      <c r="C2444" s="3">
        <v>680804</v>
      </c>
      <c r="D2444" s="3">
        <v>32382</v>
      </c>
      <c r="E2444" s="3" t="s">
        <v>23</v>
      </c>
    </row>
    <row r="2445" spans="1:5">
      <c r="A2445" s="3" t="s">
        <v>2466</v>
      </c>
      <c r="B2445" s="3" t="s">
        <v>22</v>
      </c>
      <c r="C2445" s="3">
        <v>659488</v>
      </c>
      <c r="D2445" s="3">
        <v>95118</v>
      </c>
      <c r="E2445" s="3" t="s">
        <v>23</v>
      </c>
    </row>
    <row r="2446" spans="1:5">
      <c r="A2446" s="3" t="s">
        <v>2467</v>
      </c>
      <c r="B2446" s="3" t="s">
        <v>22</v>
      </c>
      <c r="C2446" s="3">
        <v>745058</v>
      </c>
      <c r="D2446" s="3">
        <v>110479</v>
      </c>
      <c r="E2446" s="3" t="s">
        <v>23</v>
      </c>
    </row>
    <row r="2447" spans="1:5">
      <c r="A2447" s="3" t="s">
        <v>2468</v>
      </c>
      <c r="B2447" s="3" t="s">
        <v>22</v>
      </c>
      <c r="C2447" s="3">
        <v>879948</v>
      </c>
      <c r="D2447" s="3">
        <v>197457</v>
      </c>
      <c r="E2447" s="3" t="s">
        <v>23</v>
      </c>
    </row>
    <row r="2448" spans="1:5">
      <c r="A2448" s="3" t="s">
        <v>2469</v>
      </c>
      <c r="B2448" s="3" t="s">
        <v>22</v>
      </c>
      <c r="C2448" s="3">
        <v>950947</v>
      </c>
      <c r="D2448" s="3">
        <v>210650</v>
      </c>
      <c r="E2448" s="3" t="s">
        <v>23</v>
      </c>
    </row>
    <row r="2449" spans="1:5">
      <c r="A2449" s="3" t="s">
        <v>2470</v>
      </c>
      <c r="B2449" s="3" t="s">
        <v>22</v>
      </c>
      <c r="C2449" s="3">
        <v>416447</v>
      </c>
      <c r="D2449" s="3">
        <v>11552</v>
      </c>
      <c r="E2449" s="3" t="s">
        <v>23</v>
      </c>
    </row>
    <row r="2450" spans="1:5">
      <c r="A2450" s="3" t="s">
        <v>2471</v>
      </c>
      <c r="B2450" s="3" t="s">
        <v>22</v>
      </c>
      <c r="C2450" s="3">
        <v>790122</v>
      </c>
      <c r="D2450" s="3">
        <v>105882</v>
      </c>
      <c r="E2450" s="3" t="s">
        <v>23</v>
      </c>
    </row>
    <row r="2451" spans="1:5">
      <c r="A2451" s="3" t="s">
        <v>2472</v>
      </c>
      <c r="B2451" s="3" t="s">
        <v>22</v>
      </c>
      <c r="C2451" s="3">
        <v>599509</v>
      </c>
      <c r="D2451" s="3">
        <v>39654</v>
      </c>
      <c r="E2451" s="3" t="s">
        <v>23</v>
      </c>
    </row>
    <row r="2452" spans="1:5">
      <c r="A2452" s="3" t="s">
        <v>2473</v>
      </c>
      <c r="B2452" s="3" t="s">
        <v>22</v>
      </c>
      <c r="C2452" s="3">
        <v>775695</v>
      </c>
      <c r="D2452" s="3">
        <v>84345</v>
      </c>
      <c r="E2452" s="3" t="s">
        <v>23</v>
      </c>
    </row>
    <row r="2453" spans="1:5">
      <c r="A2453" s="3" t="s">
        <v>2474</v>
      </c>
      <c r="B2453" s="3" t="s">
        <v>22</v>
      </c>
      <c r="C2453" s="3">
        <v>716308</v>
      </c>
      <c r="D2453" s="3">
        <v>135470</v>
      </c>
      <c r="E2453" s="3" t="s">
        <v>23</v>
      </c>
    </row>
    <row r="2454" spans="1:5">
      <c r="A2454" s="3" t="s">
        <v>2475</v>
      </c>
      <c r="B2454" s="3" t="s">
        <v>22</v>
      </c>
      <c r="C2454" s="3">
        <v>806831</v>
      </c>
      <c r="D2454" s="3">
        <v>112002</v>
      </c>
      <c r="E2454" s="3" t="s">
        <v>23</v>
      </c>
    </row>
    <row r="2455" spans="1:5">
      <c r="A2455" s="3" t="s">
        <v>2476</v>
      </c>
      <c r="B2455" s="3" t="s">
        <v>22</v>
      </c>
      <c r="C2455" s="3">
        <v>1026679</v>
      </c>
      <c r="D2455" s="3">
        <v>193645</v>
      </c>
      <c r="E2455" s="3" t="s">
        <v>23</v>
      </c>
    </row>
    <row r="2456" spans="1:5">
      <c r="A2456" s="3" t="s">
        <v>2477</v>
      </c>
      <c r="B2456" s="3" t="s">
        <v>22</v>
      </c>
      <c r="C2456" s="3">
        <v>593410</v>
      </c>
      <c r="D2456" s="3">
        <v>25281</v>
      </c>
      <c r="E2456" s="3" t="s">
        <v>23</v>
      </c>
    </row>
    <row r="2457" spans="1:5">
      <c r="A2457" s="3" t="s">
        <v>2478</v>
      </c>
      <c r="B2457" s="3" t="s">
        <v>22</v>
      </c>
      <c r="C2457" s="3">
        <v>974344</v>
      </c>
      <c r="D2457" s="3">
        <v>186612</v>
      </c>
      <c r="E2457" s="3" t="s">
        <v>23</v>
      </c>
    </row>
    <row r="2458" spans="1:5">
      <c r="A2458" s="3" t="s">
        <v>2479</v>
      </c>
      <c r="B2458" s="3" t="s">
        <v>22</v>
      </c>
      <c r="C2458" s="3">
        <v>600302</v>
      </c>
      <c r="D2458" s="3">
        <v>43757</v>
      </c>
      <c r="E2458" s="3" t="s">
        <v>23</v>
      </c>
    </row>
    <row r="2459" spans="1:5">
      <c r="A2459" s="3" t="s">
        <v>2480</v>
      </c>
      <c r="B2459" s="3" t="s">
        <v>22</v>
      </c>
      <c r="C2459" s="3">
        <v>689877</v>
      </c>
      <c r="D2459" s="3">
        <v>63273</v>
      </c>
      <c r="E2459" s="3" t="s">
        <v>23</v>
      </c>
    </row>
    <row r="2460" spans="1:5">
      <c r="A2460" s="3" t="s">
        <v>2481</v>
      </c>
      <c r="B2460" s="3" t="s">
        <v>22</v>
      </c>
      <c r="C2460" s="3">
        <v>664971</v>
      </c>
      <c r="D2460" s="3">
        <v>86973</v>
      </c>
      <c r="E2460" s="3" t="s">
        <v>23</v>
      </c>
    </row>
    <row r="2461" spans="1:5">
      <c r="A2461" s="3" t="s">
        <v>2482</v>
      </c>
      <c r="B2461" s="3" t="s">
        <v>22</v>
      </c>
      <c r="C2461" s="3">
        <v>1004933</v>
      </c>
      <c r="D2461" s="3">
        <v>187719</v>
      </c>
      <c r="E2461" s="3" t="s">
        <v>23</v>
      </c>
    </row>
    <row r="2462" spans="1:5">
      <c r="A2462" s="3" t="s">
        <v>2483</v>
      </c>
      <c r="B2462" s="3" t="s">
        <v>22</v>
      </c>
      <c r="C2462" s="3">
        <v>644689</v>
      </c>
      <c r="D2462" s="3">
        <v>94328</v>
      </c>
      <c r="E2462" s="3" t="s">
        <v>23</v>
      </c>
    </row>
    <row r="2463" spans="1:5">
      <c r="A2463" s="3" t="s">
        <v>2484</v>
      </c>
      <c r="B2463" s="3" t="s">
        <v>22</v>
      </c>
      <c r="C2463" s="3">
        <v>868826</v>
      </c>
      <c r="D2463" s="3">
        <v>139002</v>
      </c>
      <c r="E2463" s="3" t="s">
        <v>23</v>
      </c>
    </row>
    <row r="2464" spans="1:5">
      <c r="A2464" s="3" t="s">
        <v>2485</v>
      </c>
      <c r="B2464" s="3" t="s">
        <v>22</v>
      </c>
      <c r="C2464" s="3">
        <v>654538</v>
      </c>
      <c r="D2464" s="3">
        <v>63470</v>
      </c>
      <c r="E2464" s="3" t="s">
        <v>23</v>
      </c>
    </row>
    <row r="2465" spans="1:5">
      <c r="A2465" s="3" t="s">
        <v>2486</v>
      </c>
      <c r="B2465" s="3" t="s">
        <v>22</v>
      </c>
      <c r="C2465" s="3">
        <v>693372</v>
      </c>
      <c r="D2465" s="3">
        <v>77166</v>
      </c>
      <c r="E2465" s="3" t="s">
        <v>23</v>
      </c>
    </row>
    <row r="2466" spans="1:5">
      <c r="A2466" s="3" t="s">
        <v>2487</v>
      </c>
      <c r="B2466" s="3" t="s">
        <v>22</v>
      </c>
      <c r="C2466" s="3">
        <v>428834</v>
      </c>
      <c r="D2466" s="3">
        <v>17373</v>
      </c>
      <c r="E2466" s="3" t="s">
        <v>23</v>
      </c>
    </row>
    <row r="2467" spans="1:5">
      <c r="A2467" s="3" t="s">
        <v>2488</v>
      </c>
      <c r="B2467" s="3" t="s">
        <v>22</v>
      </c>
      <c r="C2467" s="3">
        <v>839516</v>
      </c>
      <c r="D2467" s="3">
        <v>139320</v>
      </c>
      <c r="E2467" s="3" t="s">
        <v>23</v>
      </c>
    </row>
    <row r="2468" spans="1:5">
      <c r="A2468" s="3" t="s">
        <v>2489</v>
      </c>
      <c r="B2468" s="3" t="s">
        <v>22</v>
      </c>
      <c r="C2468" s="3">
        <v>865372</v>
      </c>
      <c r="D2468" s="3">
        <v>112314</v>
      </c>
      <c r="E2468" s="3" t="s">
        <v>23</v>
      </c>
    </row>
    <row r="2469" spans="1:5">
      <c r="A2469" s="3" t="s">
        <v>2490</v>
      </c>
      <c r="B2469" s="3" t="s">
        <v>22</v>
      </c>
      <c r="C2469" s="3">
        <v>934337</v>
      </c>
      <c r="D2469" s="3">
        <v>140878</v>
      </c>
      <c r="E2469" s="3" t="s">
        <v>23</v>
      </c>
    </row>
    <row r="2470" spans="1:5">
      <c r="A2470" s="3" t="s">
        <v>2491</v>
      </c>
      <c r="B2470" s="3" t="s">
        <v>22</v>
      </c>
      <c r="C2470" s="3">
        <v>1017968</v>
      </c>
      <c r="D2470" s="3">
        <v>167426</v>
      </c>
      <c r="E2470" s="3" t="s">
        <v>23</v>
      </c>
    </row>
    <row r="2471" spans="1:5">
      <c r="A2471" s="3" t="s">
        <v>2492</v>
      </c>
      <c r="B2471" s="3" t="s">
        <v>22</v>
      </c>
      <c r="C2471" s="3">
        <v>811394</v>
      </c>
      <c r="D2471" s="3">
        <v>117508</v>
      </c>
      <c r="E2471" s="3" t="s">
        <v>23</v>
      </c>
    </row>
    <row r="2472" spans="1:5">
      <c r="A2472" s="3" t="s">
        <v>2493</v>
      </c>
      <c r="B2472" s="3" t="s">
        <v>22</v>
      </c>
      <c r="C2472" s="3">
        <v>1251698</v>
      </c>
      <c r="D2472" s="3">
        <v>324788</v>
      </c>
      <c r="E2472" s="3" t="s">
        <v>23</v>
      </c>
    </row>
    <row r="2473" spans="1:5">
      <c r="A2473" s="3" t="s">
        <v>2494</v>
      </c>
      <c r="B2473" s="3" t="s">
        <v>22</v>
      </c>
      <c r="C2473" s="3">
        <v>1129497</v>
      </c>
      <c r="D2473" s="3">
        <v>241796</v>
      </c>
      <c r="E2473" s="3" t="s">
        <v>23</v>
      </c>
    </row>
    <row r="2474" spans="1:5">
      <c r="A2474" s="3" t="s">
        <v>2495</v>
      </c>
      <c r="B2474" s="3" t="s">
        <v>22</v>
      </c>
      <c r="C2474" s="3">
        <v>464015</v>
      </c>
      <c r="D2474" s="3">
        <v>31857</v>
      </c>
      <c r="E2474" s="3" t="s">
        <v>23</v>
      </c>
    </row>
    <row r="2475" spans="1:5">
      <c r="A2475" s="3" t="s">
        <v>2496</v>
      </c>
      <c r="B2475" s="3" t="s">
        <v>22</v>
      </c>
      <c r="C2475" s="3">
        <v>1171848</v>
      </c>
      <c r="D2475" s="3">
        <v>265045</v>
      </c>
      <c r="E2475" s="3" t="s">
        <v>23</v>
      </c>
    </row>
    <row r="2476" spans="1:5">
      <c r="A2476" s="3" t="s">
        <v>2497</v>
      </c>
      <c r="B2476" s="3" t="s">
        <v>22</v>
      </c>
      <c r="C2476" s="3">
        <v>723873</v>
      </c>
      <c r="D2476" s="3">
        <v>100563</v>
      </c>
      <c r="E2476" s="3" t="s">
        <v>23</v>
      </c>
    </row>
    <row r="2477" spans="1:5">
      <c r="A2477" s="3" t="s">
        <v>2498</v>
      </c>
      <c r="B2477" s="3" t="s">
        <v>22</v>
      </c>
      <c r="C2477" s="3">
        <v>538329</v>
      </c>
      <c r="D2477" s="3">
        <v>14996</v>
      </c>
      <c r="E2477" s="3" t="s">
        <v>23</v>
      </c>
    </row>
    <row r="2478" spans="1:5">
      <c r="A2478" s="3" t="s">
        <v>2499</v>
      </c>
      <c r="B2478" s="3" t="s">
        <v>22</v>
      </c>
      <c r="C2478" s="3">
        <v>283728</v>
      </c>
      <c r="D2478" s="3">
        <v>272</v>
      </c>
      <c r="E2478" s="3" t="s">
        <v>23</v>
      </c>
    </row>
    <row r="2479" spans="1:5">
      <c r="A2479" s="3" t="s">
        <v>2500</v>
      </c>
      <c r="B2479" s="3" t="s">
        <v>22</v>
      </c>
      <c r="C2479" s="3">
        <v>677862</v>
      </c>
      <c r="D2479" s="3">
        <v>128399</v>
      </c>
      <c r="E2479" s="3" t="s">
        <v>23</v>
      </c>
    </row>
    <row r="2480" spans="1:5">
      <c r="A2480" s="3" t="s">
        <v>2501</v>
      </c>
      <c r="B2480" s="3" t="s">
        <v>22</v>
      </c>
      <c r="C2480" s="3">
        <v>569294</v>
      </c>
      <c r="D2480" s="3">
        <v>10179</v>
      </c>
      <c r="E2480" s="3" t="s">
        <v>23</v>
      </c>
    </row>
    <row r="2481" spans="1:5">
      <c r="A2481" s="3" t="s">
        <v>2502</v>
      </c>
      <c r="B2481" s="3" t="s">
        <v>22</v>
      </c>
      <c r="C2481" s="3">
        <v>761008</v>
      </c>
      <c r="D2481" s="3">
        <v>91005</v>
      </c>
      <c r="E2481" s="3" t="s">
        <v>23</v>
      </c>
    </row>
    <row r="2482" spans="1:5">
      <c r="A2482" s="3" t="s">
        <v>2503</v>
      </c>
      <c r="B2482" s="3" t="s">
        <v>22</v>
      </c>
      <c r="C2482" s="3">
        <v>816385</v>
      </c>
      <c r="D2482" s="3">
        <v>120464</v>
      </c>
      <c r="E2482" s="3" t="s">
        <v>23</v>
      </c>
    </row>
    <row r="2483" spans="1:5">
      <c r="A2483" s="3" t="s">
        <v>2504</v>
      </c>
      <c r="B2483" s="3" t="s">
        <v>22</v>
      </c>
      <c r="C2483" s="3">
        <v>717208</v>
      </c>
      <c r="D2483" s="3">
        <v>57704</v>
      </c>
      <c r="E2483" s="3" t="s">
        <v>23</v>
      </c>
    </row>
    <row r="2484" spans="1:5">
      <c r="A2484" s="3" t="s">
        <v>2505</v>
      </c>
      <c r="B2484" s="3" t="s">
        <v>22</v>
      </c>
      <c r="C2484" s="3">
        <v>766884</v>
      </c>
      <c r="D2484" s="3">
        <v>124281</v>
      </c>
      <c r="E2484" s="3" t="s">
        <v>23</v>
      </c>
    </row>
    <row r="2485" spans="1:5">
      <c r="A2485" s="3" t="s">
        <v>2506</v>
      </c>
      <c r="B2485" s="3" t="s">
        <v>22</v>
      </c>
      <c r="C2485" s="3">
        <v>634416</v>
      </c>
      <c r="D2485" s="3">
        <v>67055</v>
      </c>
      <c r="E2485" s="3" t="s">
        <v>23</v>
      </c>
    </row>
    <row r="2486" spans="1:5">
      <c r="A2486" s="3" t="s">
        <v>2507</v>
      </c>
      <c r="B2486" s="3" t="s">
        <v>22</v>
      </c>
      <c r="C2486" s="3">
        <v>894145</v>
      </c>
      <c r="D2486" s="3">
        <v>124532</v>
      </c>
      <c r="E2486" s="3" t="s">
        <v>23</v>
      </c>
    </row>
    <row r="2487" spans="1:5">
      <c r="A2487" s="3" t="s">
        <v>2508</v>
      </c>
      <c r="B2487" s="3" t="s">
        <v>22</v>
      </c>
      <c r="C2487" s="3">
        <v>715583</v>
      </c>
      <c r="D2487" s="3">
        <v>87452</v>
      </c>
      <c r="E2487" s="3" t="s">
        <v>23</v>
      </c>
    </row>
    <row r="2488" spans="1:5">
      <c r="A2488" s="3" t="s">
        <v>2509</v>
      </c>
      <c r="B2488" s="3" t="s">
        <v>22</v>
      </c>
      <c r="C2488" s="3">
        <v>812234</v>
      </c>
      <c r="D2488" s="3">
        <v>140992</v>
      </c>
      <c r="E2488" s="3" t="s">
        <v>23</v>
      </c>
    </row>
    <row r="2489" spans="1:5">
      <c r="A2489" s="3" t="s">
        <v>2510</v>
      </c>
      <c r="B2489" s="3" t="s">
        <v>22</v>
      </c>
      <c r="C2489" s="3">
        <v>731522</v>
      </c>
      <c r="D2489" s="3">
        <v>97225</v>
      </c>
      <c r="E2489" s="3" t="s">
        <v>23</v>
      </c>
    </row>
    <row r="2490" spans="1:5">
      <c r="A2490" s="3" t="s">
        <v>2511</v>
      </c>
      <c r="B2490" s="3" t="s">
        <v>22</v>
      </c>
      <c r="C2490" s="3">
        <v>688652</v>
      </c>
      <c r="D2490" s="3">
        <v>87058</v>
      </c>
      <c r="E2490" s="3" t="s">
        <v>23</v>
      </c>
    </row>
    <row r="2491" spans="1:5">
      <c r="A2491" s="3" t="s">
        <v>2512</v>
      </c>
      <c r="B2491" s="3" t="s">
        <v>22</v>
      </c>
      <c r="C2491" s="3">
        <v>734823</v>
      </c>
      <c r="D2491" s="3">
        <v>58675</v>
      </c>
      <c r="E2491" s="3" t="s">
        <v>23</v>
      </c>
    </row>
    <row r="2492" spans="1:5">
      <c r="A2492" s="3" t="s">
        <v>2513</v>
      </c>
      <c r="B2492" s="3" t="s">
        <v>22</v>
      </c>
      <c r="C2492" s="3">
        <v>877094</v>
      </c>
      <c r="D2492" s="3">
        <v>127676</v>
      </c>
      <c r="E2492" s="3" t="s">
        <v>23</v>
      </c>
    </row>
    <row r="2493" spans="1:5">
      <c r="A2493" s="3" t="s">
        <v>2514</v>
      </c>
      <c r="B2493" s="3" t="s">
        <v>22</v>
      </c>
      <c r="C2493" s="3">
        <v>1114277</v>
      </c>
      <c r="D2493" s="3">
        <v>213433</v>
      </c>
      <c r="E2493" s="3" t="s">
        <v>23</v>
      </c>
    </row>
    <row r="2494" spans="1:5">
      <c r="A2494" s="3" t="s">
        <v>2515</v>
      </c>
      <c r="B2494" s="3" t="s">
        <v>22</v>
      </c>
      <c r="C2494" s="3">
        <v>922261</v>
      </c>
      <c r="D2494" s="3">
        <v>133606</v>
      </c>
      <c r="E2494" s="3" t="s">
        <v>23</v>
      </c>
    </row>
    <row r="2495" spans="1:5">
      <c r="A2495" s="3" t="s">
        <v>2516</v>
      </c>
      <c r="B2495" s="3" t="s">
        <v>22</v>
      </c>
      <c r="C2495" s="3">
        <v>762635</v>
      </c>
      <c r="D2495" s="3">
        <v>113004</v>
      </c>
      <c r="E2495" s="3" t="s">
        <v>23</v>
      </c>
    </row>
    <row r="2496" spans="1:5">
      <c r="A2496" s="3" t="s">
        <v>2517</v>
      </c>
      <c r="B2496" s="3" t="s">
        <v>22</v>
      </c>
      <c r="C2496" s="3">
        <v>656759</v>
      </c>
      <c r="D2496" s="3">
        <v>61315</v>
      </c>
      <c r="E2496" s="3" t="s">
        <v>23</v>
      </c>
    </row>
    <row r="2497" spans="1:5">
      <c r="A2497" s="3" t="s">
        <v>2518</v>
      </c>
      <c r="B2497" s="3" t="s">
        <v>22</v>
      </c>
      <c r="C2497" s="3">
        <v>645351</v>
      </c>
      <c r="D2497" s="3">
        <v>52888</v>
      </c>
      <c r="E2497" s="3" t="s">
        <v>23</v>
      </c>
    </row>
    <row r="2498" spans="1:5">
      <c r="A2498" s="3" t="s">
        <v>2519</v>
      </c>
      <c r="B2498" s="3" t="s">
        <v>22</v>
      </c>
      <c r="C2498" s="3">
        <v>803554</v>
      </c>
      <c r="D2498" s="3">
        <v>100767</v>
      </c>
      <c r="E2498" s="3" t="s">
        <v>23</v>
      </c>
    </row>
    <row r="2499" spans="1:5">
      <c r="A2499" s="3" t="s">
        <v>2520</v>
      </c>
      <c r="B2499" s="3" t="s">
        <v>22</v>
      </c>
      <c r="C2499" s="3">
        <v>896952</v>
      </c>
      <c r="D2499" s="3">
        <v>152410</v>
      </c>
      <c r="E2499" s="3" t="s">
        <v>23</v>
      </c>
    </row>
    <row r="2500" spans="1:5">
      <c r="A2500" s="3" t="s">
        <v>2521</v>
      </c>
      <c r="B2500" s="3" t="s">
        <v>22</v>
      </c>
      <c r="C2500" s="3">
        <v>692202</v>
      </c>
      <c r="D2500" s="3">
        <v>42402</v>
      </c>
      <c r="E2500" s="3" t="s">
        <v>23</v>
      </c>
    </row>
    <row r="2501" spans="1:5">
      <c r="A2501" s="3" t="s">
        <v>2522</v>
      </c>
      <c r="B2501" s="3" t="s">
        <v>22</v>
      </c>
      <c r="C2501" s="3">
        <v>873048</v>
      </c>
      <c r="D2501" s="3">
        <v>130503</v>
      </c>
      <c r="E2501" s="3" t="s">
        <v>23</v>
      </c>
    </row>
    <row r="2502" spans="1:5">
      <c r="A2502" s="3" t="s">
        <v>2523</v>
      </c>
      <c r="B2502" s="3" t="s">
        <v>22</v>
      </c>
      <c r="C2502" s="3">
        <v>934788</v>
      </c>
      <c r="D2502" s="3">
        <v>162194</v>
      </c>
      <c r="E2502" s="3" t="s">
        <v>23</v>
      </c>
    </row>
    <row r="2503" spans="1:5">
      <c r="A2503" s="3" t="s">
        <v>2524</v>
      </c>
      <c r="B2503" s="3" t="s">
        <v>22</v>
      </c>
      <c r="C2503" s="3">
        <v>751062</v>
      </c>
      <c r="D2503" s="3">
        <v>114199</v>
      </c>
      <c r="E2503" s="3" t="s">
        <v>23</v>
      </c>
    </row>
    <row r="2504" spans="1:5">
      <c r="A2504" s="3" t="s">
        <v>2525</v>
      </c>
      <c r="B2504" s="3" t="s">
        <v>22</v>
      </c>
      <c r="C2504" s="3">
        <v>980705</v>
      </c>
      <c r="D2504" s="3">
        <v>183870</v>
      </c>
      <c r="E2504" s="3" t="s">
        <v>23</v>
      </c>
    </row>
    <row r="2505" spans="1:5">
      <c r="A2505" s="3" t="s">
        <v>2526</v>
      </c>
      <c r="B2505" s="3" t="s">
        <v>22</v>
      </c>
      <c r="C2505" s="3">
        <v>538286</v>
      </c>
      <c r="D2505" s="3">
        <v>41118</v>
      </c>
      <c r="E2505" s="3" t="s">
        <v>23</v>
      </c>
    </row>
    <row r="2506" spans="1:5">
      <c r="A2506" s="3" t="s">
        <v>2527</v>
      </c>
      <c r="B2506" s="3" t="s">
        <v>22</v>
      </c>
      <c r="C2506" s="3">
        <v>1004857</v>
      </c>
      <c r="D2506" s="3">
        <v>178524</v>
      </c>
      <c r="E2506" s="3" t="s">
        <v>23</v>
      </c>
    </row>
    <row r="2507" spans="1:5">
      <c r="A2507" s="3" t="s">
        <v>2528</v>
      </c>
      <c r="B2507" s="3" t="s">
        <v>22</v>
      </c>
      <c r="C2507" s="3">
        <v>881812</v>
      </c>
      <c r="D2507" s="3">
        <v>108916</v>
      </c>
      <c r="E2507" s="3" t="s">
        <v>23</v>
      </c>
    </row>
    <row r="2508" spans="1:5">
      <c r="A2508" s="3" t="s">
        <v>2529</v>
      </c>
      <c r="B2508" s="3" t="s">
        <v>22</v>
      </c>
      <c r="C2508" s="3">
        <v>570984</v>
      </c>
      <c r="D2508" s="3">
        <v>24855</v>
      </c>
      <c r="E2508" s="3" t="s">
        <v>23</v>
      </c>
    </row>
    <row r="2509" spans="1:5">
      <c r="A2509" s="3" t="s">
        <v>2530</v>
      </c>
      <c r="B2509" s="3" t="s">
        <v>22</v>
      </c>
      <c r="C2509" s="3">
        <v>333348</v>
      </c>
      <c r="D2509" s="3">
        <v>7980</v>
      </c>
      <c r="E2509" s="3" t="s">
        <v>23</v>
      </c>
    </row>
    <row r="2510" spans="1:5">
      <c r="A2510" s="3" t="s">
        <v>2531</v>
      </c>
      <c r="B2510" s="3" t="s">
        <v>22</v>
      </c>
      <c r="C2510" s="3">
        <v>877751</v>
      </c>
      <c r="D2510" s="3">
        <v>118920</v>
      </c>
      <c r="E2510" s="3" t="s">
        <v>23</v>
      </c>
    </row>
    <row r="2511" spans="1:5">
      <c r="A2511" s="3" t="s">
        <v>2532</v>
      </c>
      <c r="B2511" s="3" t="s">
        <v>22</v>
      </c>
      <c r="C2511" s="3">
        <v>569029</v>
      </c>
      <c r="D2511" s="3">
        <v>33156</v>
      </c>
      <c r="E2511" s="3" t="s">
        <v>23</v>
      </c>
    </row>
    <row r="2512" spans="1:5">
      <c r="A2512" s="3" t="s">
        <v>2533</v>
      </c>
      <c r="B2512" s="3" t="s">
        <v>22</v>
      </c>
      <c r="C2512" s="3">
        <v>683945</v>
      </c>
      <c r="D2512" s="3">
        <v>95324</v>
      </c>
      <c r="E2512" s="3" t="s">
        <v>23</v>
      </c>
    </row>
    <row r="2513" spans="1:5">
      <c r="A2513" s="3" t="s">
        <v>2534</v>
      </c>
      <c r="B2513" s="3" t="s">
        <v>22</v>
      </c>
      <c r="C2513" s="3">
        <v>1487708</v>
      </c>
      <c r="D2513" s="3">
        <v>480982</v>
      </c>
      <c r="E2513" s="3" t="s">
        <v>23</v>
      </c>
    </row>
    <row r="2514" spans="1:5">
      <c r="A2514" s="3" t="s">
        <v>2535</v>
      </c>
      <c r="B2514" s="3" t="s">
        <v>22</v>
      </c>
      <c r="C2514" s="3">
        <v>962092</v>
      </c>
      <c r="D2514" s="3">
        <v>217669</v>
      </c>
      <c r="E2514" s="3" t="s">
        <v>23</v>
      </c>
    </row>
    <row r="2515" spans="1:5">
      <c r="A2515" s="3" t="s">
        <v>2536</v>
      </c>
      <c r="B2515" s="3" t="s">
        <v>22</v>
      </c>
      <c r="C2515" s="3">
        <v>750652</v>
      </c>
      <c r="D2515" s="3">
        <v>37245</v>
      </c>
      <c r="E2515" s="3" t="s">
        <v>23</v>
      </c>
    </row>
    <row r="2516" spans="1:5">
      <c r="A2516" s="3" t="s">
        <v>2537</v>
      </c>
      <c r="B2516" s="3" t="s">
        <v>22</v>
      </c>
      <c r="C2516" s="3">
        <v>402681</v>
      </c>
      <c r="D2516" s="3">
        <v>1624</v>
      </c>
      <c r="E2516" s="3" t="s">
        <v>23</v>
      </c>
    </row>
    <row r="2517" spans="1:5">
      <c r="A2517" s="3" t="s">
        <v>2538</v>
      </c>
      <c r="B2517" s="3" t="s">
        <v>22</v>
      </c>
      <c r="C2517" s="3">
        <v>1643144</v>
      </c>
      <c r="D2517" s="3">
        <v>515533</v>
      </c>
      <c r="E2517" s="3" t="s">
        <v>23</v>
      </c>
    </row>
    <row r="2518" spans="1:5">
      <c r="A2518" s="3" t="s">
        <v>2539</v>
      </c>
      <c r="B2518" s="3" t="s">
        <v>22</v>
      </c>
      <c r="C2518" s="3">
        <v>1422913</v>
      </c>
      <c r="D2518" s="3">
        <v>428974</v>
      </c>
      <c r="E2518" s="3" t="s">
        <v>23</v>
      </c>
    </row>
    <row r="2519" spans="1:5">
      <c r="A2519" s="3" t="s">
        <v>2540</v>
      </c>
      <c r="B2519" s="3" t="s">
        <v>22</v>
      </c>
      <c r="C2519" s="3">
        <v>412291</v>
      </c>
      <c r="D2519" s="3">
        <v>5485</v>
      </c>
      <c r="E2519" s="3" t="s">
        <v>23</v>
      </c>
    </row>
    <row r="2520" spans="1:5">
      <c r="A2520" s="3" t="s">
        <v>2541</v>
      </c>
      <c r="B2520" s="3" t="s">
        <v>22</v>
      </c>
      <c r="C2520" s="3">
        <v>593376</v>
      </c>
      <c r="D2520" s="3">
        <v>70439</v>
      </c>
      <c r="E2520" s="3" t="s">
        <v>23</v>
      </c>
    </row>
    <row r="2521" spans="1:5">
      <c r="A2521" s="3" t="s">
        <v>2542</v>
      </c>
      <c r="B2521" s="3" t="s">
        <v>22</v>
      </c>
      <c r="C2521" s="3">
        <v>1708378</v>
      </c>
      <c r="D2521" s="3">
        <v>505836</v>
      </c>
      <c r="E2521" s="3" t="s">
        <v>23</v>
      </c>
    </row>
    <row r="2522" spans="1:5">
      <c r="A2522" s="3" t="s">
        <v>2543</v>
      </c>
      <c r="B2522" s="3" t="s">
        <v>22</v>
      </c>
      <c r="C2522" s="3">
        <v>1399006</v>
      </c>
      <c r="D2522" s="3">
        <v>234556</v>
      </c>
      <c r="E2522" s="3" t="s">
        <v>23</v>
      </c>
    </row>
    <row r="2523" spans="1:5">
      <c r="A2523" s="3" t="s">
        <v>2544</v>
      </c>
      <c r="B2523" s="3" t="s">
        <v>22</v>
      </c>
      <c r="C2523" s="3">
        <v>930348</v>
      </c>
      <c r="D2523" s="3">
        <v>271104</v>
      </c>
      <c r="E2523" s="3" t="s">
        <v>23</v>
      </c>
    </row>
    <row r="2524" spans="1:5">
      <c r="A2524" s="3" t="s">
        <v>2545</v>
      </c>
      <c r="B2524" s="3" t="s">
        <v>22</v>
      </c>
      <c r="C2524" s="3">
        <v>1345986</v>
      </c>
      <c r="D2524" s="3">
        <v>338259</v>
      </c>
      <c r="E2524" s="3" t="s">
        <v>23</v>
      </c>
    </row>
    <row r="2525" spans="1:5">
      <c r="A2525" s="3" t="s">
        <v>2546</v>
      </c>
      <c r="B2525" s="3" t="s">
        <v>22</v>
      </c>
      <c r="C2525" s="3">
        <v>1245973</v>
      </c>
      <c r="D2525" s="3">
        <v>334647</v>
      </c>
      <c r="E2525" s="3" t="s">
        <v>23</v>
      </c>
    </row>
    <row r="2526" spans="1:5">
      <c r="A2526" s="3" t="s">
        <v>2547</v>
      </c>
      <c r="B2526" s="3" t="s">
        <v>22</v>
      </c>
      <c r="C2526" s="3">
        <v>356205</v>
      </c>
      <c r="D2526" s="3">
        <v>844</v>
      </c>
      <c r="E2526" s="3" t="s">
        <v>23</v>
      </c>
    </row>
    <row r="2527" spans="1:5">
      <c r="A2527" s="3" t="s">
        <v>2548</v>
      </c>
      <c r="B2527" s="3" t="s">
        <v>22</v>
      </c>
      <c r="C2527" s="3">
        <v>692742</v>
      </c>
      <c r="D2527" s="3">
        <v>31582</v>
      </c>
      <c r="E2527" s="3" t="s">
        <v>23</v>
      </c>
    </row>
    <row r="2528" spans="1:5">
      <c r="A2528" s="3" t="s">
        <v>2549</v>
      </c>
      <c r="B2528" s="3" t="s">
        <v>22</v>
      </c>
      <c r="C2528" s="3">
        <v>1887483</v>
      </c>
      <c r="D2528" s="3">
        <v>588046</v>
      </c>
      <c r="E2528" s="3" t="s">
        <v>23</v>
      </c>
    </row>
    <row r="2529" spans="1:5">
      <c r="A2529" s="3" t="s">
        <v>2550</v>
      </c>
      <c r="B2529" s="3" t="s">
        <v>22</v>
      </c>
      <c r="C2529" s="3">
        <v>1394505</v>
      </c>
      <c r="D2529" s="3">
        <v>436163</v>
      </c>
      <c r="E2529" s="3" t="s">
        <v>23</v>
      </c>
    </row>
    <row r="2530" spans="1:5">
      <c r="A2530" s="3" t="s">
        <v>2551</v>
      </c>
      <c r="B2530" s="3" t="s">
        <v>22</v>
      </c>
      <c r="C2530" s="3">
        <v>1342104</v>
      </c>
      <c r="D2530" s="3">
        <v>306104</v>
      </c>
      <c r="E2530" s="3" t="s">
        <v>23</v>
      </c>
    </row>
    <row r="2531" spans="1:5">
      <c r="A2531" s="3" t="s">
        <v>2552</v>
      </c>
      <c r="B2531" s="3" t="s">
        <v>22</v>
      </c>
      <c r="C2531" s="3">
        <v>342230</v>
      </c>
      <c r="D2531" s="3">
        <v>341</v>
      </c>
      <c r="E2531" s="3" t="s">
        <v>23</v>
      </c>
    </row>
    <row r="2532" spans="1:5">
      <c r="A2532" s="3" t="s">
        <v>2553</v>
      </c>
      <c r="B2532" s="3" t="s">
        <v>22</v>
      </c>
      <c r="C2532" s="3">
        <v>1466570</v>
      </c>
      <c r="D2532" s="3">
        <v>429669</v>
      </c>
      <c r="E2532" s="3" t="s">
        <v>23</v>
      </c>
    </row>
    <row r="2533" spans="1:5">
      <c r="A2533" s="3" t="s">
        <v>2554</v>
      </c>
      <c r="B2533" s="3" t="s">
        <v>22</v>
      </c>
      <c r="C2533" s="3">
        <v>1238905</v>
      </c>
      <c r="D2533" s="3">
        <v>318887</v>
      </c>
      <c r="E2533" s="3" t="s">
        <v>23</v>
      </c>
    </row>
    <row r="2534" spans="1:5">
      <c r="A2534" s="3" t="s">
        <v>2555</v>
      </c>
      <c r="B2534" s="3" t="s">
        <v>22</v>
      </c>
      <c r="C2534" s="3">
        <v>858466</v>
      </c>
      <c r="D2534" s="3">
        <v>213212</v>
      </c>
      <c r="E2534" s="3" t="s">
        <v>23</v>
      </c>
    </row>
    <row r="2535" spans="1:5">
      <c r="A2535" s="3" t="s">
        <v>2556</v>
      </c>
      <c r="B2535" s="3" t="s">
        <v>22</v>
      </c>
      <c r="C2535" s="3">
        <v>646412</v>
      </c>
      <c r="D2535" s="3">
        <v>1911</v>
      </c>
      <c r="E2535" s="3" t="s">
        <v>23</v>
      </c>
    </row>
    <row r="2536" spans="1:5">
      <c r="A2536" s="3" t="s">
        <v>2557</v>
      </c>
      <c r="B2536" s="3" t="s">
        <v>22</v>
      </c>
      <c r="C2536" s="3">
        <v>1653843</v>
      </c>
      <c r="D2536" s="3">
        <v>519539</v>
      </c>
      <c r="E2536" s="3" t="s">
        <v>23</v>
      </c>
    </row>
    <row r="2537" spans="1:5">
      <c r="A2537" s="3" t="s">
        <v>2558</v>
      </c>
      <c r="B2537" s="3" t="s">
        <v>22</v>
      </c>
      <c r="C2537" s="3">
        <v>715952</v>
      </c>
      <c r="D2537" s="3">
        <v>80843</v>
      </c>
      <c r="E2537" s="3" t="s">
        <v>23</v>
      </c>
    </row>
    <row r="2538" spans="1:5">
      <c r="A2538" s="3" t="s">
        <v>2559</v>
      </c>
      <c r="B2538" s="3" t="s">
        <v>22</v>
      </c>
      <c r="C2538" s="3">
        <v>1111109</v>
      </c>
      <c r="D2538" s="3">
        <v>267864</v>
      </c>
      <c r="E2538" s="3" t="s">
        <v>23</v>
      </c>
    </row>
    <row r="2539" spans="1:5">
      <c r="A2539" s="3" t="s">
        <v>2560</v>
      </c>
      <c r="B2539" s="3" t="s">
        <v>22</v>
      </c>
      <c r="C2539" s="3">
        <v>1460187</v>
      </c>
      <c r="D2539" s="3">
        <v>442199</v>
      </c>
      <c r="E2539" s="3" t="s">
        <v>23</v>
      </c>
    </row>
    <row r="2540" spans="1:5">
      <c r="A2540" s="3" t="s">
        <v>2561</v>
      </c>
      <c r="B2540" s="3" t="s">
        <v>22</v>
      </c>
      <c r="C2540" s="3">
        <v>1262606</v>
      </c>
      <c r="D2540" s="3">
        <v>327664</v>
      </c>
      <c r="E2540" s="3" t="s">
        <v>23</v>
      </c>
    </row>
    <row r="2541" spans="1:5">
      <c r="A2541" s="3" t="s">
        <v>2562</v>
      </c>
      <c r="B2541" s="3" t="s">
        <v>22</v>
      </c>
      <c r="C2541" s="3">
        <v>1791596</v>
      </c>
      <c r="D2541" s="3">
        <v>573930</v>
      </c>
      <c r="E2541" s="3" t="s">
        <v>23</v>
      </c>
    </row>
    <row r="2542" spans="1:5">
      <c r="A2542" s="3" t="s">
        <v>2563</v>
      </c>
      <c r="B2542" s="3" t="s">
        <v>22</v>
      </c>
      <c r="C2542" s="3">
        <v>990995</v>
      </c>
      <c r="D2542" s="3">
        <v>194042</v>
      </c>
      <c r="E2542" s="3" t="s">
        <v>23</v>
      </c>
    </row>
    <row r="2543" spans="1:5">
      <c r="A2543" s="3" t="s">
        <v>2564</v>
      </c>
      <c r="B2543" s="3" t="s">
        <v>22</v>
      </c>
      <c r="C2543" s="3">
        <v>943503</v>
      </c>
      <c r="D2543" s="3">
        <v>180003</v>
      </c>
      <c r="E2543" s="3" t="s">
        <v>23</v>
      </c>
    </row>
    <row r="2544" spans="1:5">
      <c r="A2544" s="3" t="s">
        <v>2565</v>
      </c>
      <c r="B2544" s="3" t="s">
        <v>22</v>
      </c>
      <c r="C2544" s="3">
        <v>1128841</v>
      </c>
      <c r="D2544" s="3">
        <v>135111</v>
      </c>
      <c r="E2544" s="3" t="s">
        <v>23</v>
      </c>
    </row>
    <row r="2545" spans="1:5">
      <c r="A2545" s="3" t="s">
        <v>2566</v>
      </c>
      <c r="B2545" s="3" t="s">
        <v>22</v>
      </c>
      <c r="C2545" s="3">
        <v>927463</v>
      </c>
      <c r="D2545" s="3">
        <v>26076</v>
      </c>
      <c r="E2545" s="3" t="s">
        <v>23</v>
      </c>
    </row>
    <row r="2546" spans="1:5">
      <c r="A2546" s="3" t="s">
        <v>2567</v>
      </c>
      <c r="B2546" s="3" t="s">
        <v>22</v>
      </c>
      <c r="C2546" s="3">
        <v>630082</v>
      </c>
      <c r="D2546" s="3">
        <v>29631</v>
      </c>
      <c r="E2546" s="3" t="s">
        <v>23</v>
      </c>
    </row>
    <row r="2547" spans="1:5">
      <c r="A2547" s="3" t="s">
        <v>2568</v>
      </c>
      <c r="B2547" s="3" t="s">
        <v>22</v>
      </c>
      <c r="C2547" s="3">
        <v>1558291</v>
      </c>
      <c r="D2547" s="3">
        <v>397483</v>
      </c>
      <c r="E2547" s="3" t="s">
        <v>23</v>
      </c>
    </row>
    <row r="2548" spans="1:5">
      <c r="A2548" s="3" t="s">
        <v>2569</v>
      </c>
      <c r="B2548" s="3" t="s">
        <v>22</v>
      </c>
      <c r="C2548" s="3">
        <v>1485402</v>
      </c>
      <c r="D2548" s="3">
        <v>282438</v>
      </c>
      <c r="E2548" s="3" t="s">
        <v>23</v>
      </c>
    </row>
    <row r="2549" spans="1:5">
      <c r="A2549" s="3" t="s">
        <v>2570</v>
      </c>
      <c r="B2549" s="3" t="s">
        <v>22</v>
      </c>
      <c r="C2549" s="3">
        <v>978859</v>
      </c>
      <c r="D2549" s="3">
        <v>102879</v>
      </c>
      <c r="E2549" s="3" t="s">
        <v>23</v>
      </c>
    </row>
    <row r="2550" spans="1:5">
      <c r="A2550" s="3" t="s">
        <v>2571</v>
      </c>
      <c r="B2550" s="3" t="s">
        <v>22</v>
      </c>
      <c r="C2550" s="3">
        <v>1714217</v>
      </c>
      <c r="D2550" s="3">
        <v>447996</v>
      </c>
      <c r="E2550" s="3" t="s">
        <v>23</v>
      </c>
    </row>
    <row r="2551" spans="1:5">
      <c r="A2551" s="3" t="s">
        <v>2572</v>
      </c>
      <c r="B2551" s="3" t="s">
        <v>22</v>
      </c>
      <c r="C2551" s="3">
        <v>1495776</v>
      </c>
      <c r="D2551" s="3">
        <v>378801</v>
      </c>
      <c r="E2551" s="3" t="s">
        <v>23</v>
      </c>
    </row>
    <row r="2552" spans="1:5">
      <c r="A2552" s="3" t="s">
        <v>2573</v>
      </c>
      <c r="B2552" s="3" t="s">
        <v>22</v>
      </c>
      <c r="C2552" s="3">
        <v>1117664</v>
      </c>
      <c r="D2552" s="3">
        <v>243280</v>
      </c>
      <c r="E2552" s="3" t="s">
        <v>23</v>
      </c>
    </row>
    <row r="2553" spans="1:5">
      <c r="A2553" s="3" t="s">
        <v>2574</v>
      </c>
      <c r="B2553" s="3" t="s">
        <v>22</v>
      </c>
      <c r="C2553" s="3">
        <v>1030031</v>
      </c>
      <c r="D2553" s="3">
        <v>132728</v>
      </c>
      <c r="E2553" s="3" t="s">
        <v>23</v>
      </c>
    </row>
    <row r="2554" spans="1:5">
      <c r="A2554" s="3" t="s">
        <v>2575</v>
      </c>
      <c r="B2554" s="3" t="s">
        <v>22</v>
      </c>
      <c r="C2554" s="3">
        <v>1341301</v>
      </c>
      <c r="D2554" s="3">
        <v>371285</v>
      </c>
      <c r="E2554" s="3" t="s">
        <v>23</v>
      </c>
    </row>
    <row r="2555" spans="1:5">
      <c r="A2555" s="3" t="s">
        <v>2576</v>
      </c>
      <c r="B2555" s="3" t="s">
        <v>22</v>
      </c>
      <c r="C2555" s="3">
        <v>2434536</v>
      </c>
      <c r="D2555" s="3">
        <v>412375</v>
      </c>
      <c r="E2555" s="3" t="s">
        <v>23</v>
      </c>
    </row>
    <row r="2556" spans="1:5">
      <c r="A2556" s="3" t="s">
        <v>2577</v>
      </c>
      <c r="B2556" s="3" t="s">
        <v>22</v>
      </c>
      <c r="C2556" s="3">
        <v>1867163</v>
      </c>
      <c r="D2556" s="3">
        <v>535988</v>
      </c>
      <c r="E2556" s="3" t="s">
        <v>23</v>
      </c>
    </row>
    <row r="2557" spans="1:5">
      <c r="A2557" s="3" t="s">
        <v>2578</v>
      </c>
      <c r="B2557" s="3" t="s">
        <v>22</v>
      </c>
      <c r="C2557" s="3">
        <v>1048458</v>
      </c>
      <c r="D2557" s="3">
        <v>125548</v>
      </c>
      <c r="E2557" s="3" t="s">
        <v>23</v>
      </c>
    </row>
    <row r="2558" spans="1:5">
      <c r="A2558" s="3" t="s">
        <v>2579</v>
      </c>
      <c r="B2558" s="3" t="s">
        <v>22</v>
      </c>
      <c r="C2558" s="3">
        <v>1387129</v>
      </c>
      <c r="D2558" s="3">
        <v>306364</v>
      </c>
      <c r="E2558" s="3" t="s">
        <v>23</v>
      </c>
    </row>
    <row r="2559" spans="1:5">
      <c r="A2559" s="3" t="s">
        <v>2580</v>
      </c>
      <c r="B2559" s="3" t="s">
        <v>22</v>
      </c>
      <c r="C2559" s="3">
        <v>667492</v>
      </c>
      <c r="D2559" s="3">
        <v>60283</v>
      </c>
      <c r="E2559" s="3" t="s">
        <v>23</v>
      </c>
    </row>
    <row r="2560" spans="1:5">
      <c r="A2560" s="3" t="s">
        <v>2581</v>
      </c>
      <c r="B2560" s="3" t="s">
        <v>22</v>
      </c>
      <c r="C2560" s="3">
        <v>838996</v>
      </c>
      <c r="D2560" s="3">
        <v>79319</v>
      </c>
      <c r="E2560" s="3" t="s">
        <v>23</v>
      </c>
    </row>
    <row r="2561" spans="1:5">
      <c r="A2561" s="3" t="s">
        <v>2582</v>
      </c>
      <c r="B2561" s="3" t="s">
        <v>22</v>
      </c>
      <c r="C2561" s="3">
        <v>1210341</v>
      </c>
      <c r="D2561" s="3">
        <v>184753</v>
      </c>
      <c r="E2561" s="3" t="s">
        <v>23</v>
      </c>
    </row>
    <row r="2562" spans="1:5">
      <c r="A2562" s="3" t="s">
        <v>2583</v>
      </c>
      <c r="B2562" s="3" t="s">
        <v>22</v>
      </c>
      <c r="C2562" s="3">
        <v>1820127</v>
      </c>
      <c r="D2562" s="3">
        <v>506718</v>
      </c>
      <c r="E2562" s="3" t="s">
        <v>23</v>
      </c>
    </row>
    <row r="2563" spans="1:5">
      <c r="A2563" s="3" t="s">
        <v>2584</v>
      </c>
      <c r="B2563" s="3" t="s">
        <v>22</v>
      </c>
      <c r="C2563" s="3">
        <v>1823652</v>
      </c>
      <c r="D2563" s="3">
        <v>492825</v>
      </c>
      <c r="E2563" s="3" t="s">
        <v>23</v>
      </c>
    </row>
    <row r="2564" spans="1:5">
      <c r="A2564" s="3" t="s">
        <v>2585</v>
      </c>
      <c r="B2564" s="3" t="s">
        <v>22</v>
      </c>
      <c r="C2564" s="3">
        <v>1511465</v>
      </c>
      <c r="D2564" s="3">
        <v>362159</v>
      </c>
      <c r="E2564" s="3" t="s">
        <v>23</v>
      </c>
    </row>
    <row r="2565" spans="1:5">
      <c r="A2565" s="3" t="s">
        <v>2586</v>
      </c>
      <c r="B2565" s="3" t="s">
        <v>22</v>
      </c>
      <c r="C2565" s="3">
        <v>1520134</v>
      </c>
      <c r="D2565" s="3">
        <v>216259</v>
      </c>
      <c r="E2565" s="3" t="s">
        <v>23</v>
      </c>
    </row>
    <row r="2566" spans="1:5">
      <c r="A2566" s="3" t="s">
        <v>2587</v>
      </c>
      <c r="B2566" s="3" t="s">
        <v>22</v>
      </c>
      <c r="C2566" s="3">
        <v>1854908</v>
      </c>
      <c r="D2566" s="3">
        <v>456283</v>
      </c>
      <c r="E2566" s="3" t="s">
        <v>23</v>
      </c>
    </row>
    <row r="2567" spans="1:5">
      <c r="A2567" s="3" t="s">
        <v>2588</v>
      </c>
      <c r="B2567" s="3" t="s">
        <v>22</v>
      </c>
      <c r="C2567" s="3">
        <v>796200</v>
      </c>
      <c r="D2567" s="3">
        <v>59384</v>
      </c>
      <c r="E2567" s="3" t="s">
        <v>23</v>
      </c>
    </row>
    <row r="2568" spans="1:5">
      <c r="A2568" s="3" t="s">
        <v>2589</v>
      </c>
      <c r="B2568" s="3" t="s">
        <v>22</v>
      </c>
      <c r="C2568" s="3">
        <v>2075805</v>
      </c>
      <c r="D2568" s="3">
        <v>586995</v>
      </c>
      <c r="E2568" s="3" t="s">
        <v>23</v>
      </c>
    </row>
    <row r="2569" spans="1:5">
      <c r="A2569" s="3" t="s">
        <v>2590</v>
      </c>
      <c r="B2569" s="3" t="s">
        <v>22</v>
      </c>
      <c r="C2569" s="3">
        <v>1535865</v>
      </c>
      <c r="D2569" s="3">
        <v>388984</v>
      </c>
      <c r="E2569" s="3" t="s">
        <v>23</v>
      </c>
    </row>
    <row r="2570" spans="1:5">
      <c r="A2570" s="3" t="s">
        <v>2591</v>
      </c>
      <c r="B2570" s="3" t="s">
        <v>22</v>
      </c>
      <c r="C2570" s="3">
        <v>545527</v>
      </c>
      <c r="D2570" s="3">
        <v>1624</v>
      </c>
      <c r="E2570" s="3" t="s">
        <v>23</v>
      </c>
    </row>
    <row r="2571" spans="1:5">
      <c r="A2571" s="3" t="s">
        <v>2592</v>
      </c>
      <c r="B2571" s="3" t="s">
        <v>22</v>
      </c>
      <c r="C2571" s="3">
        <v>453926</v>
      </c>
      <c r="D2571" s="3">
        <v>2064</v>
      </c>
      <c r="E2571" s="3" t="s">
        <v>23</v>
      </c>
    </row>
    <row r="2572" spans="1:5">
      <c r="A2572" s="3" t="s">
        <v>2593</v>
      </c>
      <c r="B2572" s="3" t="s">
        <v>22</v>
      </c>
      <c r="C2572" s="3">
        <v>1371548</v>
      </c>
      <c r="D2572" s="3">
        <v>303461</v>
      </c>
      <c r="E2572" s="3" t="s">
        <v>23</v>
      </c>
    </row>
    <row r="2573" spans="1:5">
      <c r="A2573" s="3" t="s">
        <v>2594</v>
      </c>
      <c r="B2573" s="3" t="s">
        <v>22</v>
      </c>
      <c r="C2573" s="3">
        <v>1410255</v>
      </c>
      <c r="D2573" s="3">
        <v>294471</v>
      </c>
      <c r="E2573" s="3" t="s">
        <v>23</v>
      </c>
    </row>
    <row r="2574" spans="1:5">
      <c r="A2574" s="3" t="s">
        <v>2595</v>
      </c>
      <c r="B2574" s="3" t="s">
        <v>22</v>
      </c>
      <c r="C2574" s="3">
        <v>890907</v>
      </c>
      <c r="D2574" s="3">
        <v>135017</v>
      </c>
      <c r="E2574" s="3" t="s">
        <v>23</v>
      </c>
    </row>
    <row r="2575" spans="1:5">
      <c r="A2575" s="3" t="s">
        <v>2596</v>
      </c>
      <c r="B2575" s="3" t="s">
        <v>22</v>
      </c>
      <c r="C2575" s="3">
        <v>1529300</v>
      </c>
      <c r="D2575" s="3">
        <v>368228</v>
      </c>
      <c r="E2575" s="3" t="s">
        <v>23</v>
      </c>
    </row>
    <row r="2576" spans="1:5">
      <c r="A2576" s="3" t="s">
        <v>2597</v>
      </c>
      <c r="B2576" s="3" t="s">
        <v>22</v>
      </c>
      <c r="C2576" s="3">
        <v>707342</v>
      </c>
      <c r="D2576" s="3">
        <v>42128</v>
      </c>
      <c r="E2576" s="3" t="s">
        <v>23</v>
      </c>
    </row>
    <row r="2577" spans="1:5">
      <c r="A2577" s="3" t="s">
        <v>2598</v>
      </c>
      <c r="B2577" s="3" t="s">
        <v>22</v>
      </c>
      <c r="C2577" s="3">
        <v>983344</v>
      </c>
      <c r="D2577" s="3">
        <v>59726</v>
      </c>
      <c r="E2577" s="3" t="s">
        <v>23</v>
      </c>
    </row>
    <row r="2578" spans="1:5">
      <c r="A2578" s="3" t="s">
        <v>2599</v>
      </c>
      <c r="B2578" s="3" t="s">
        <v>22</v>
      </c>
      <c r="C2578" s="3">
        <v>957296</v>
      </c>
      <c r="D2578" s="3">
        <v>164341</v>
      </c>
      <c r="E2578" s="3" t="s">
        <v>23</v>
      </c>
    </row>
    <row r="2579" spans="1:5">
      <c r="A2579" s="3" t="s">
        <v>2600</v>
      </c>
      <c r="B2579" s="3" t="s">
        <v>22</v>
      </c>
      <c r="C2579" s="3">
        <v>1739145</v>
      </c>
      <c r="D2579" s="3">
        <v>420889</v>
      </c>
      <c r="E2579" s="3" t="s">
        <v>23</v>
      </c>
    </row>
    <row r="2580" spans="1:5">
      <c r="A2580" s="3" t="s">
        <v>2601</v>
      </c>
      <c r="B2580" s="3" t="s">
        <v>22</v>
      </c>
      <c r="C2580" s="3">
        <v>1038556</v>
      </c>
      <c r="D2580" s="3">
        <v>137078</v>
      </c>
      <c r="E2580" s="3" t="s">
        <v>23</v>
      </c>
    </row>
    <row r="2581" spans="1:5">
      <c r="A2581" s="3" t="s">
        <v>2602</v>
      </c>
      <c r="B2581" s="3" t="s">
        <v>22</v>
      </c>
      <c r="C2581" s="3">
        <v>1465166</v>
      </c>
      <c r="D2581" s="3">
        <v>283214</v>
      </c>
      <c r="E2581" s="3" t="s">
        <v>23</v>
      </c>
    </row>
    <row r="2582" spans="1:5">
      <c r="A2582" s="3" t="s">
        <v>2603</v>
      </c>
      <c r="B2582" s="3" t="s">
        <v>22</v>
      </c>
      <c r="C2582" s="3">
        <v>1240904</v>
      </c>
      <c r="D2582" s="3">
        <v>229110</v>
      </c>
      <c r="E2582" s="3" t="s">
        <v>23</v>
      </c>
    </row>
    <row r="2583" spans="1:5">
      <c r="A2583" s="3" t="s">
        <v>2604</v>
      </c>
      <c r="B2583" s="3" t="s">
        <v>22</v>
      </c>
      <c r="C2583" s="3">
        <v>799321</v>
      </c>
      <c r="D2583" s="3">
        <v>37302</v>
      </c>
      <c r="E2583" s="3" t="s">
        <v>23</v>
      </c>
    </row>
    <row r="2584" spans="1:5">
      <c r="A2584" s="3" t="s">
        <v>2605</v>
      </c>
      <c r="B2584" s="3" t="s">
        <v>22</v>
      </c>
      <c r="C2584" s="3">
        <v>1086334</v>
      </c>
      <c r="D2584" s="3">
        <v>218233</v>
      </c>
      <c r="E2584" s="3" t="s">
        <v>23</v>
      </c>
    </row>
    <row r="2585" spans="1:5">
      <c r="A2585" s="3" t="s">
        <v>2606</v>
      </c>
      <c r="B2585" s="3" t="s">
        <v>22</v>
      </c>
      <c r="C2585" s="3">
        <v>1532374</v>
      </c>
      <c r="D2585" s="3">
        <v>334734</v>
      </c>
      <c r="E2585" s="3" t="s">
        <v>23</v>
      </c>
    </row>
    <row r="2586" spans="1:5">
      <c r="A2586" s="3" t="s">
        <v>2607</v>
      </c>
      <c r="B2586" s="3" t="s">
        <v>22</v>
      </c>
      <c r="C2586" s="3">
        <v>2518932</v>
      </c>
      <c r="D2586" s="3">
        <v>285394</v>
      </c>
      <c r="E2586" s="3" t="s">
        <v>23</v>
      </c>
    </row>
    <row r="2587" spans="1:5">
      <c r="A2587" s="3" t="s">
        <v>2608</v>
      </c>
      <c r="B2587" s="3" t="s">
        <v>22</v>
      </c>
      <c r="C2587" s="3">
        <v>1572944</v>
      </c>
      <c r="D2587" s="3">
        <v>360067</v>
      </c>
      <c r="E2587" s="3" t="s">
        <v>23</v>
      </c>
    </row>
    <row r="2588" spans="1:5">
      <c r="A2588" s="3" t="s">
        <v>2609</v>
      </c>
      <c r="B2588" s="3" t="s">
        <v>22</v>
      </c>
      <c r="C2588" s="3">
        <v>1798877</v>
      </c>
      <c r="D2588" s="3">
        <v>451430</v>
      </c>
      <c r="E2588" s="3" t="s">
        <v>23</v>
      </c>
    </row>
    <row r="2589" spans="1:5">
      <c r="A2589" s="3" t="s">
        <v>2610</v>
      </c>
      <c r="B2589" s="3" t="s">
        <v>22</v>
      </c>
      <c r="C2589" s="3">
        <v>1272894</v>
      </c>
      <c r="D2589" s="3">
        <v>216268</v>
      </c>
      <c r="E2589" s="3" t="s">
        <v>23</v>
      </c>
    </row>
    <row r="2590" spans="1:5">
      <c r="A2590" s="3" t="s">
        <v>2611</v>
      </c>
      <c r="B2590" s="3" t="s">
        <v>22</v>
      </c>
      <c r="C2590" s="3">
        <v>2025840</v>
      </c>
      <c r="D2590" s="3">
        <v>599779</v>
      </c>
      <c r="E2590" s="3" t="s">
        <v>23</v>
      </c>
    </row>
    <row r="2591" spans="1:5">
      <c r="A2591" s="3" t="s">
        <v>2612</v>
      </c>
      <c r="B2591" s="3" t="s">
        <v>22</v>
      </c>
      <c r="C2591" s="3">
        <v>1312797</v>
      </c>
      <c r="D2591" s="3">
        <v>263308</v>
      </c>
      <c r="E2591" s="3" t="s">
        <v>23</v>
      </c>
    </row>
    <row r="2592" spans="1:5">
      <c r="A2592" s="3" t="s">
        <v>2613</v>
      </c>
      <c r="B2592" s="3" t="s">
        <v>22</v>
      </c>
      <c r="C2592" s="3">
        <v>1180835</v>
      </c>
      <c r="D2592" s="3">
        <v>185204</v>
      </c>
      <c r="E2592" s="3" t="s">
        <v>23</v>
      </c>
    </row>
    <row r="2593" spans="1:5">
      <c r="A2593" s="3" t="s">
        <v>2614</v>
      </c>
      <c r="B2593" s="3" t="s">
        <v>22</v>
      </c>
      <c r="C2593" s="3">
        <v>1246617</v>
      </c>
      <c r="D2593" s="3">
        <v>284260</v>
      </c>
      <c r="E2593" s="3" t="s">
        <v>23</v>
      </c>
    </row>
    <row r="2594" spans="1:5">
      <c r="A2594" s="3" t="s">
        <v>2615</v>
      </c>
      <c r="B2594" s="3" t="s">
        <v>22</v>
      </c>
      <c r="C2594" s="3">
        <v>1576552</v>
      </c>
      <c r="D2594" s="3">
        <v>394581</v>
      </c>
      <c r="E2594" s="3" t="s">
        <v>23</v>
      </c>
    </row>
    <row r="2595" spans="1:5">
      <c r="A2595" s="3" t="s">
        <v>2616</v>
      </c>
      <c r="B2595" s="3" t="s">
        <v>22</v>
      </c>
      <c r="C2595" s="3">
        <v>823145</v>
      </c>
      <c r="D2595" s="3">
        <v>32218</v>
      </c>
      <c r="E2595" s="3" t="s">
        <v>23</v>
      </c>
    </row>
    <row r="2596" spans="1:5">
      <c r="A2596" s="3" t="s">
        <v>2617</v>
      </c>
      <c r="B2596" s="3" t="s">
        <v>22</v>
      </c>
      <c r="C2596" s="3">
        <v>1460555</v>
      </c>
      <c r="D2596" s="3">
        <v>370912</v>
      </c>
      <c r="E2596" s="3" t="s">
        <v>23</v>
      </c>
    </row>
    <row r="2597" spans="1:5">
      <c r="A2597" s="3" t="s">
        <v>2618</v>
      </c>
      <c r="B2597" s="3" t="s">
        <v>22</v>
      </c>
      <c r="C2597" s="3">
        <v>1644583</v>
      </c>
      <c r="D2597" s="3">
        <v>328898</v>
      </c>
      <c r="E2597" s="3" t="s">
        <v>23</v>
      </c>
    </row>
    <row r="2598" spans="1:5">
      <c r="A2598" s="3" t="s">
        <v>2619</v>
      </c>
      <c r="B2598" s="3" t="s">
        <v>22</v>
      </c>
      <c r="C2598" s="3">
        <v>846625</v>
      </c>
      <c r="D2598" s="3">
        <v>16438</v>
      </c>
      <c r="E2598" s="3" t="s">
        <v>23</v>
      </c>
    </row>
    <row r="2599" spans="1:5">
      <c r="A2599" s="3" t="s">
        <v>2620</v>
      </c>
      <c r="B2599" s="3" t="s">
        <v>22</v>
      </c>
      <c r="C2599" s="3">
        <v>2309332</v>
      </c>
      <c r="D2599" s="3">
        <v>778209</v>
      </c>
      <c r="E2599" s="3" t="s">
        <v>23</v>
      </c>
    </row>
    <row r="2600" spans="1:5">
      <c r="A2600" s="3" t="s">
        <v>2621</v>
      </c>
      <c r="B2600" s="3" t="s">
        <v>22</v>
      </c>
      <c r="C2600" s="3">
        <v>1119378</v>
      </c>
      <c r="D2600" s="3">
        <v>131016</v>
      </c>
      <c r="E2600" s="3" t="s">
        <v>23</v>
      </c>
    </row>
    <row r="2601" spans="1:5">
      <c r="A2601" s="3" t="s">
        <v>2622</v>
      </c>
      <c r="B2601" s="3" t="s">
        <v>22</v>
      </c>
      <c r="C2601" s="3">
        <v>751776</v>
      </c>
      <c r="D2601" s="3">
        <v>117200</v>
      </c>
      <c r="E2601" s="3" t="s">
        <v>23</v>
      </c>
    </row>
    <row r="2602" spans="1:5">
      <c r="A2602" s="3" t="s">
        <v>2623</v>
      </c>
      <c r="B2602" s="3" t="s">
        <v>22</v>
      </c>
      <c r="C2602" s="3">
        <v>834502</v>
      </c>
      <c r="D2602" s="3">
        <v>27506</v>
      </c>
      <c r="E2602" s="3" t="s">
        <v>23</v>
      </c>
    </row>
    <row r="2603" spans="1:5">
      <c r="A2603" s="3" t="s">
        <v>2624</v>
      </c>
      <c r="B2603" s="3" t="s">
        <v>22</v>
      </c>
      <c r="C2603" s="3">
        <v>1899431</v>
      </c>
      <c r="D2603" s="3">
        <v>526698</v>
      </c>
      <c r="E2603" s="3" t="s">
        <v>23</v>
      </c>
    </row>
    <row r="2604" spans="1:5">
      <c r="A2604" s="3" t="s">
        <v>2625</v>
      </c>
      <c r="B2604" s="3" t="s">
        <v>22</v>
      </c>
      <c r="C2604" s="3">
        <v>545930</v>
      </c>
      <c r="D2604" s="3">
        <v>45911</v>
      </c>
      <c r="E2604" s="3" t="s">
        <v>23</v>
      </c>
    </row>
    <row r="2605" spans="1:5">
      <c r="A2605" s="3" t="s">
        <v>2626</v>
      </c>
      <c r="B2605" s="3" t="s">
        <v>22</v>
      </c>
      <c r="C2605" s="3">
        <v>734328</v>
      </c>
      <c r="D2605" s="3">
        <v>59423</v>
      </c>
      <c r="E2605" s="3" t="s">
        <v>23</v>
      </c>
    </row>
    <row r="2606" spans="1:5">
      <c r="A2606" s="3" t="s">
        <v>2627</v>
      </c>
      <c r="B2606" s="3" t="s">
        <v>22</v>
      </c>
      <c r="C2606" s="3">
        <v>1425872</v>
      </c>
      <c r="D2606" s="3">
        <v>435552</v>
      </c>
      <c r="E2606" s="3" t="s">
        <v>23</v>
      </c>
    </row>
    <row r="2607" spans="1:5">
      <c r="A2607" s="3" t="s">
        <v>2628</v>
      </c>
      <c r="B2607" s="3" t="s">
        <v>22</v>
      </c>
      <c r="C2607" s="3">
        <v>1884793</v>
      </c>
      <c r="D2607" s="3">
        <v>608647</v>
      </c>
      <c r="E2607" s="3" t="s">
        <v>23</v>
      </c>
    </row>
    <row r="2608" spans="1:5">
      <c r="A2608" s="3" t="s">
        <v>2629</v>
      </c>
      <c r="B2608" s="3" t="s">
        <v>22</v>
      </c>
      <c r="C2608" s="3">
        <v>898134</v>
      </c>
      <c r="D2608" s="3">
        <v>190663</v>
      </c>
      <c r="E2608" s="3" t="s">
        <v>23</v>
      </c>
    </row>
    <row r="2609" spans="1:5">
      <c r="A2609" s="3" t="s">
        <v>2630</v>
      </c>
      <c r="B2609" s="3" t="s">
        <v>22</v>
      </c>
      <c r="C2609" s="3">
        <v>1102977</v>
      </c>
      <c r="D2609" s="3">
        <v>253480</v>
      </c>
      <c r="E2609" s="3" t="s">
        <v>23</v>
      </c>
    </row>
    <row r="2610" spans="1:5">
      <c r="A2610" s="3" t="s">
        <v>2631</v>
      </c>
      <c r="B2610" s="3" t="s">
        <v>22</v>
      </c>
      <c r="C2610" s="3">
        <v>1741490</v>
      </c>
      <c r="D2610" s="3">
        <v>517118</v>
      </c>
      <c r="E2610" s="3" t="s">
        <v>23</v>
      </c>
    </row>
    <row r="2611" spans="1:5">
      <c r="A2611" s="3" t="s">
        <v>2632</v>
      </c>
      <c r="B2611" s="3" t="s">
        <v>22</v>
      </c>
      <c r="C2611" s="3">
        <v>1886828</v>
      </c>
      <c r="D2611" s="3">
        <v>691409</v>
      </c>
      <c r="E2611" s="3" t="s">
        <v>23</v>
      </c>
    </row>
    <row r="2612" spans="1:5">
      <c r="A2612" s="3" t="s">
        <v>2633</v>
      </c>
      <c r="B2612" s="3" t="s">
        <v>22</v>
      </c>
      <c r="C2612" s="3">
        <v>507174</v>
      </c>
      <c r="D2612" s="3">
        <v>28735</v>
      </c>
      <c r="E2612" s="3" t="s">
        <v>23</v>
      </c>
    </row>
    <row r="2613" spans="1:5">
      <c r="A2613" s="3" t="s">
        <v>2634</v>
      </c>
      <c r="B2613" s="3" t="s">
        <v>22</v>
      </c>
      <c r="C2613" s="3">
        <v>868980</v>
      </c>
      <c r="D2613" s="3">
        <v>146444</v>
      </c>
      <c r="E2613" s="3" t="s">
        <v>23</v>
      </c>
    </row>
    <row r="2614" spans="1:5">
      <c r="A2614" s="3" t="s">
        <v>2635</v>
      </c>
      <c r="B2614" s="3" t="s">
        <v>22</v>
      </c>
      <c r="C2614" s="3">
        <v>1322000</v>
      </c>
      <c r="D2614" s="3">
        <v>404961</v>
      </c>
      <c r="E2614" s="3" t="s">
        <v>23</v>
      </c>
    </row>
    <row r="2615" spans="1:5">
      <c r="A2615" s="3" t="s">
        <v>2636</v>
      </c>
      <c r="B2615" s="3" t="s">
        <v>22</v>
      </c>
      <c r="C2615" s="3">
        <v>1128746</v>
      </c>
      <c r="D2615" s="3">
        <v>300873</v>
      </c>
      <c r="E2615" s="3" t="s">
        <v>23</v>
      </c>
    </row>
    <row r="2616" spans="1:5">
      <c r="A2616" s="3" t="s">
        <v>2637</v>
      </c>
      <c r="B2616" s="3" t="s">
        <v>22</v>
      </c>
      <c r="C2616" s="3">
        <v>1536784</v>
      </c>
      <c r="D2616" s="3">
        <v>421209</v>
      </c>
      <c r="E2616" s="3" t="s">
        <v>23</v>
      </c>
    </row>
    <row r="2617" spans="1:5">
      <c r="A2617" s="3" t="s">
        <v>2638</v>
      </c>
      <c r="B2617" s="3" t="s">
        <v>22</v>
      </c>
      <c r="C2617" s="3">
        <v>1247955</v>
      </c>
      <c r="D2617" s="3">
        <v>272785</v>
      </c>
      <c r="E2617" s="3" t="s">
        <v>23</v>
      </c>
    </row>
    <row r="2618" spans="1:5">
      <c r="A2618" s="3" t="s">
        <v>2639</v>
      </c>
      <c r="B2618" s="3" t="s">
        <v>22</v>
      </c>
      <c r="C2618" s="3">
        <v>1590612</v>
      </c>
      <c r="D2618" s="3">
        <v>462344</v>
      </c>
      <c r="E2618" s="3" t="s">
        <v>23</v>
      </c>
    </row>
    <row r="2619" spans="1:5">
      <c r="A2619" s="3" t="s">
        <v>2640</v>
      </c>
      <c r="B2619" s="3" t="s">
        <v>22</v>
      </c>
      <c r="C2619" s="3">
        <v>406810</v>
      </c>
      <c r="D2619" s="3">
        <v>491</v>
      </c>
      <c r="E2619" s="3" t="s">
        <v>23</v>
      </c>
    </row>
    <row r="2620" spans="1:5">
      <c r="A2620" s="3" t="s">
        <v>2641</v>
      </c>
      <c r="B2620" s="3" t="s">
        <v>22</v>
      </c>
      <c r="C2620" s="3">
        <v>644660</v>
      </c>
      <c r="D2620" s="3">
        <v>11190</v>
      </c>
      <c r="E2620" s="3" t="s">
        <v>23</v>
      </c>
    </row>
    <row r="2621" spans="1:5">
      <c r="A2621" s="3" t="s">
        <v>2642</v>
      </c>
      <c r="B2621" s="3" t="s">
        <v>22</v>
      </c>
      <c r="C2621" s="3">
        <v>1566364</v>
      </c>
      <c r="D2621" s="3">
        <v>460246</v>
      </c>
      <c r="E2621" s="3" t="s">
        <v>23</v>
      </c>
    </row>
    <row r="2622" spans="1:5">
      <c r="A2622" s="3" t="s">
        <v>2643</v>
      </c>
      <c r="B2622" s="3" t="s">
        <v>22</v>
      </c>
      <c r="C2622" s="3">
        <v>1849109</v>
      </c>
      <c r="D2622" s="3">
        <v>565919</v>
      </c>
      <c r="E2622" s="3" t="s">
        <v>23</v>
      </c>
    </row>
    <row r="2623" spans="1:5">
      <c r="A2623" s="3" t="s">
        <v>2644</v>
      </c>
      <c r="B2623" s="3" t="s">
        <v>22</v>
      </c>
      <c r="C2623" s="3">
        <v>1545615</v>
      </c>
      <c r="D2623" s="3">
        <v>494406</v>
      </c>
      <c r="E2623" s="3" t="s">
        <v>23</v>
      </c>
    </row>
    <row r="2624" spans="1:5">
      <c r="A2624" s="3" t="s">
        <v>2645</v>
      </c>
      <c r="B2624" s="3" t="s">
        <v>22</v>
      </c>
      <c r="C2624" s="3">
        <v>408366</v>
      </c>
      <c r="D2624" s="3">
        <v>1300</v>
      </c>
      <c r="E2624" s="3" t="s">
        <v>23</v>
      </c>
    </row>
    <row r="2625" spans="1:5">
      <c r="A2625" s="3" t="s">
        <v>2646</v>
      </c>
      <c r="B2625" s="3" t="s">
        <v>22</v>
      </c>
      <c r="C2625" s="3">
        <v>1898644</v>
      </c>
      <c r="D2625" s="3">
        <v>588175</v>
      </c>
      <c r="E2625" s="3" t="s">
        <v>23</v>
      </c>
    </row>
    <row r="2626" spans="1:5">
      <c r="A2626" s="3" t="s">
        <v>2647</v>
      </c>
      <c r="B2626" s="3" t="s">
        <v>22</v>
      </c>
      <c r="C2626" s="3">
        <v>1714888</v>
      </c>
      <c r="D2626" s="3">
        <v>515949</v>
      </c>
      <c r="E2626" s="3" t="s">
        <v>23</v>
      </c>
    </row>
    <row r="2627" spans="1:5">
      <c r="A2627" s="3" t="s">
        <v>2648</v>
      </c>
      <c r="B2627" s="3" t="s">
        <v>22</v>
      </c>
      <c r="C2627" s="3">
        <v>1188959</v>
      </c>
      <c r="D2627" s="3">
        <v>135240</v>
      </c>
      <c r="E2627" s="3" t="s">
        <v>23</v>
      </c>
    </row>
    <row r="2628" spans="1:5">
      <c r="A2628" s="3" t="s">
        <v>2649</v>
      </c>
      <c r="B2628" s="3" t="s">
        <v>22</v>
      </c>
      <c r="C2628" s="3">
        <v>719888</v>
      </c>
      <c r="D2628" s="3">
        <v>16942</v>
      </c>
      <c r="E2628" s="3" t="s">
        <v>23</v>
      </c>
    </row>
    <row r="2629" spans="1:5">
      <c r="A2629" s="3" t="s">
        <v>2650</v>
      </c>
      <c r="B2629" s="3" t="s">
        <v>22</v>
      </c>
      <c r="C2629" s="3">
        <v>1697322</v>
      </c>
      <c r="D2629" s="3">
        <v>473999</v>
      </c>
      <c r="E2629" s="3" t="s">
        <v>23</v>
      </c>
    </row>
    <row r="2630" spans="1:5">
      <c r="A2630" s="3" t="s">
        <v>2651</v>
      </c>
      <c r="B2630" s="3" t="s">
        <v>22</v>
      </c>
      <c r="C2630" s="3">
        <v>717783</v>
      </c>
      <c r="D2630" s="3">
        <v>66630</v>
      </c>
      <c r="E2630" s="3" t="s">
        <v>23</v>
      </c>
    </row>
    <row r="2631" spans="1:5">
      <c r="A2631" s="3" t="s">
        <v>2652</v>
      </c>
      <c r="B2631" s="3" t="s">
        <v>22</v>
      </c>
      <c r="C2631" s="3">
        <v>1440071</v>
      </c>
      <c r="D2631" s="3">
        <v>374055</v>
      </c>
      <c r="E2631" s="3" t="s">
        <v>23</v>
      </c>
    </row>
    <row r="2632" spans="1:5">
      <c r="A2632" s="3" t="s">
        <v>2653</v>
      </c>
      <c r="B2632" s="3" t="s">
        <v>22</v>
      </c>
      <c r="C2632" s="3">
        <v>1288737</v>
      </c>
      <c r="D2632" s="3">
        <v>323340</v>
      </c>
      <c r="E2632" s="3" t="s">
        <v>23</v>
      </c>
    </row>
    <row r="2633" spans="1:5">
      <c r="A2633" s="3" t="s">
        <v>2654</v>
      </c>
      <c r="B2633" s="3" t="s">
        <v>22</v>
      </c>
      <c r="C2633" s="3">
        <v>1707281</v>
      </c>
      <c r="D2633" s="3">
        <v>475028</v>
      </c>
      <c r="E2633" s="3" t="s">
        <v>23</v>
      </c>
    </row>
    <row r="2634" spans="1:5">
      <c r="A2634" s="3" t="s">
        <v>2655</v>
      </c>
      <c r="B2634" s="3" t="s">
        <v>22</v>
      </c>
      <c r="C2634" s="3">
        <v>1939414</v>
      </c>
      <c r="D2634" s="3">
        <v>566835</v>
      </c>
      <c r="E2634" s="3" t="s">
        <v>23</v>
      </c>
    </row>
    <row r="2635" spans="1:5">
      <c r="A2635" s="3" t="s">
        <v>2656</v>
      </c>
      <c r="B2635" s="3" t="s">
        <v>22</v>
      </c>
      <c r="C2635" s="3">
        <v>624813</v>
      </c>
      <c r="D2635" s="3">
        <v>10580</v>
      </c>
      <c r="E2635" s="3" t="s">
        <v>23</v>
      </c>
    </row>
    <row r="2636" spans="1:5">
      <c r="A2636" s="3" t="s">
        <v>2657</v>
      </c>
      <c r="B2636" s="3" t="s">
        <v>22</v>
      </c>
      <c r="C2636" s="3">
        <v>900772</v>
      </c>
      <c r="D2636" s="3">
        <v>92801</v>
      </c>
      <c r="E2636" s="3" t="s">
        <v>23</v>
      </c>
    </row>
    <row r="2637" spans="1:5">
      <c r="A2637" s="3" t="s">
        <v>2658</v>
      </c>
      <c r="B2637" s="3" t="s">
        <v>22</v>
      </c>
      <c r="C2637" s="3">
        <v>1008787</v>
      </c>
      <c r="D2637" s="3">
        <v>57267</v>
      </c>
      <c r="E2637" s="3" t="s">
        <v>23</v>
      </c>
    </row>
    <row r="2638" spans="1:5">
      <c r="A2638" s="3" t="s">
        <v>2659</v>
      </c>
      <c r="B2638" s="3" t="s">
        <v>22</v>
      </c>
      <c r="C2638" s="3">
        <v>1455545</v>
      </c>
      <c r="D2638" s="3">
        <v>367758</v>
      </c>
      <c r="E2638" s="3" t="s">
        <v>23</v>
      </c>
    </row>
    <row r="2639" spans="1:5">
      <c r="A2639" s="3" t="s">
        <v>2660</v>
      </c>
      <c r="B2639" s="3" t="s">
        <v>22</v>
      </c>
      <c r="C2639" s="3">
        <v>1312082</v>
      </c>
      <c r="D2639" s="3">
        <v>175916</v>
      </c>
      <c r="E2639" s="3" t="s">
        <v>23</v>
      </c>
    </row>
    <row r="2640" spans="1:5">
      <c r="A2640" s="3" t="s">
        <v>2661</v>
      </c>
      <c r="B2640" s="3" t="s">
        <v>22</v>
      </c>
      <c r="C2640" s="3">
        <v>1573986</v>
      </c>
      <c r="D2640" s="3">
        <v>304384</v>
      </c>
      <c r="E2640" s="3" t="s">
        <v>23</v>
      </c>
    </row>
    <row r="2641" spans="1:5">
      <c r="A2641" s="3" t="s">
        <v>2662</v>
      </c>
      <c r="B2641" s="3" t="s">
        <v>22</v>
      </c>
      <c r="C2641" s="3">
        <v>1940494</v>
      </c>
      <c r="D2641" s="3">
        <v>476075</v>
      </c>
      <c r="E2641" s="3" t="s">
        <v>23</v>
      </c>
    </row>
    <row r="2642" spans="1:5">
      <c r="A2642" s="3" t="s">
        <v>2663</v>
      </c>
      <c r="B2642" s="3" t="s">
        <v>22</v>
      </c>
      <c r="C2642" s="3">
        <v>1067977</v>
      </c>
      <c r="D2642" s="3">
        <v>160585</v>
      </c>
      <c r="E2642" s="3" t="s">
        <v>23</v>
      </c>
    </row>
    <row r="2643" spans="1:5">
      <c r="A2643" s="3" t="s">
        <v>2664</v>
      </c>
      <c r="B2643" s="3" t="s">
        <v>22</v>
      </c>
      <c r="C2643" s="3">
        <v>88900</v>
      </c>
      <c r="D2643" s="3">
        <v>3265</v>
      </c>
      <c r="E2643" s="3" t="s">
        <v>23</v>
      </c>
    </row>
    <row r="2644" spans="1:5">
      <c r="A2644" s="3" t="s">
        <v>2665</v>
      </c>
      <c r="B2644" s="3" t="s">
        <v>22</v>
      </c>
      <c r="C2644" s="3">
        <v>1086784</v>
      </c>
      <c r="D2644" s="3">
        <v>100794</v>
      </c>
      <c r="E2644" s="3" t="s">
        <v>23</v>
      </c>
    </row>
    <row r="2645" spans="1:5">
      <c r="A2645" s="3" t="s">
        <v>2666</v>
      </c>
      <c r="B2645" s="3" t="s">
        <v>22</v>
      </c>
      <c r="C2645" s="3">
        <v>918427</v>
      </c>
      <c r="D2645" s="3">
        <v>90367</v>
      </c>
      <c r="E2645" s="3" t="s">
        <v>23</v>
      </c>
    </row>
    <row r="2646" spans="1:5">
      <c r="A2646" s="3" t="s">
        <v>2667</v>
      </c>
      <c r="B2646" s="3" t="s">
        <v>22</v>
      </c>
      <c r="C2646" s="3">
        <v>1266397</v>
      </c>
      <c r="D2646" s="3">
        <v>266926</v>
      </c>
      <c r="E2646" s="3" t="s">
        <v>23</v>
      </c>
    </row>
    <row r="2647" spans="1:5">
      <c r="A2647" s="3" t="s">
        <v>2668</v>
      </c>
      <c r="B2647" s="3" t="s">
        <v>22</v>
      </c>
      <c r="C2647" s="3">
        <v>2891561</v>
      </c>
      <c r="D2647" s="3">
        <v>719801</v>
      </c>
      <c r="E2647" s="3" t="s">
        <v>23</v>
      </c>
    </row>
    <row r="2648" spans="1:5">
      <c r="A2648" s="3" t="s">
        <v>2669</v>
      </c>
      <c r="B2648" s="3" t="s">
        <v>22</v>
      </c>
      <c r="C2648" s="3">
        <v>1565113</v>
      </c>
      <c r="D2648" s="3">
        <v>330826</v>
      </c>
      <c r="E2648" s="3" t="s">
        <v>23</v>
      </c>
    </row>
    <row r="2649" spans="1:5">
      <c r="A2649" s="3" t="s">
        <v>2670</v>
      </c>
      <c r="B2649" s="3" t="s">
        <v>22</v>
      </c>
      <c r="C2649" s="3">
        <v>1848846</v>
      </c>
      <c r="D2649" s="3">
        <v>501435</v>
      </c>
      <c r="E2649" s="3" t="s">
        <v>23</v>
      </c>
    </row>
    <row r="2650" spans="1:5">
      <c r="A2650" s="3" t="s">
        <v>2671</v>
      </c>
      <c r="B2650" s="3" t="s">
        <v>22</v>
      </c>
      <c r="C2650" s="3">
        <v>2118640</v>
      </c>
      <c r="D2650" s="3">
        <v>572067</v>
      </c>
      <c r="E2650" s="3" t="s">
        <v>23</v>
      </c>
    </row>
    <row r="2651" spans="1:5">
      <c r="A2651" s="3" t="s">
        <v>2672</v>
      </c>
      <c r="B2651" s="3" t="s">
        <v>22</v>
      </c>
      <c r="C2651" s="3">
        <v>1154708</v>
      </c>
      <c r="D2651" s="3">
        <v>97248</v>
      </c>
      <c r="E2651" s="3" t="s">
        <v>23</v>
      </c>
    </row>
    <row r="2652" spans="1:5">
      <c r="A2652" s="3" t="s">
        <v>2673</v>
      </c>
      <c r="B2652" s="3" t="s">
        <v>22</v>
      </c>
      <c r="C2652" s="3">
        <v>1410385</v>
      </c>
      <c r="D2652" s="3">
        <v>311737</v>
      </c>
      <c r="E2652" s="3" t="s">
        <v>23</v>
      </c>
    </row>
    <row r="2653" spans="1:5">
      <c r="A2653" s="3" t="s">
        <v>2674</v>
      </c>
      <c r="B2653" s="3" t="s">
        <v>22</v>
      </c>
      <c r="C2653" s="3">
        <v>1226737</v>
      </c>
      <c r="D2653" s="3">
        <v>181330</v>
      </c>
      <c r="E2653" s="3" t="s">
        <v>23</v>
      </c>
    </row>
    <row r="2654" spans="1:5">
      <c r="A2654" s="3" t="s">
        <v>2675</v>
      </c>
      <c r="B2654" s="3" t="s">
        <v>22</v>
      </c>
      <c r="C2654" s="3">
        <v>1395775</v>
      </c>
      <c r="D2654" s="3">
        <v>314381</v>
      </c>
      <c r="E2654" s="3" t="s">
        <v>23</v>
      </c>
    </row>
    <row r="2655" spans="1:5">
      <c r="A2655" s="3" t="s">
        <v>2676</v>
      </c>
      <c r="B2655" s="3" t="s">
        <v>22</v>
      </c>
      <c r="C2655" s="3">
        <v>1608108</v>
      </c>
      <c r="D2655" s="3">
        <v>461317</v>
      </c>
      <c r="E2655" s="3" t="s">
        <v>23</v>
      </c>
    </row>
    <row r="2656" spans="1:5">
      <c r="A2656" s="3" t="s">
        <v>2677</v>
      </c>
      <c r="B2656" s="3" t="s">
        <v>22</v>
      </c>
      <c r="C2656" s="3">
        <v>2650005</v>
      </c>
      <c r="D2656" s="3">
        <v>781952</v>
      </c>
      <c r="E2656" s="3" t="s">
        <v>23</v>
      </c>
    </row>
    <row r="2657" spans="1:5">
      <c r="A2657" s="3" t="s">
        <v>2678</v>
      </c>
      <c r="B2657" s="3" t="s">
        <v>22</v>
      </c>
      <c r="C2657" s="3">
        <v>1429814</v>
      </c>
      <c r="D2657" s="3">
        <v>335574</v>
      </c>
      <c r="E2657" s="3" t="s">
        <v>23</v>
      </c>
    </row>
    <row r="2658" spans="1:5">
      <c r="A2658" s="3" t="s">
        <v>2679</v>
      </c>
      <c r="B2658" s="3" t="s">
        <v>22</v>
      </c>
      <c r="C2658" s="3">
        <v>1816427</v>
      </c>
      <c r="D2658" s="3">
        <v>427010</v>
      </c>
      <c r="E2658" s="3" t="s">
        <v>23</v>
      </c>
    </row>
    <row r="2659" spans="1:5">
      <c r="A2659" s="3" t="s">
        <v>2680</v>
      </c>
      <c r="B2659" s="3" t="s">
        <v>22</v>
      </c>
      <c r="C2659" s="3">
        <v>1031064</v>
      </c>
      <c r="D2659" s="3">
        <v>55933</v>
      </c>
      <c r="E2659" s="3" t="s">
        <v>23</v>
      </c>
    </row>
    <row r="2660" spans="1:5">
      <c r="A2660" s="3" t="s">
        <v>2681</v>
      </c>
      <c r="B2660" s="3" t="s">
        <v>22</v>
      </c>
      <c r="C2660" s="3">
        <v>1235225</v>
      </c>
      <c r="D2660" s="3">
        <v>286543</v>
      </c>
      <c r="E2660" s="3" t="s">
        <v>23</v>
      </c>
    </row>
    <row r="2661" spans="1:5">
      <c r="A2661" s="3" t="s">
        <v>2682</v>
      </c>
      <c r="B2661" s="3" t="s">
        <v>22</v>
      </c>
      <c r="C2661" s="3">
        <v>1998795</v>
      </c>
      <c r="D2661" s="3">
        <v>434049</v>
      </c>
      <c r="E2661" s="3" t="s">
        <v>23</v>
      </c>
    </row>
    <row r="2662" spans="1:5">
      <c r="A2662" s="3" t="s">
        <v>2683</v>
      </c>
      <c r="B2662" s="3" t="s">
        <v>22</v>
      </c>
      <c r="C2662" s="3">
        <v>1576906</v>
      </c>
      <c r="D2662" s="3">
        <v>417238</v>
      </c>
      <c r="E2662" s="3" t="s">
        <v>23</v>
      </c>
    </row>
    <row r="2663" spans="1:5">
      <c r="A2663" s="3" t="s">
        <v>2684</v>
      </c>
      <c r="B2663" s="3" t="s">
        <v>22</v>
      </c>
      <c r="C2663" s="3">
        <v>519142</v>
      </c>
      <c r="D2663" s="3">
        <v>4112</v>
      </c>
      <c r="E2663" s="3" t="s">
        <v>23</v>
      </c>
    </row>
    <row r="2664" spans="1:5">
      <c r="A2664" s="3" t="s">
        <v>2685</v>
      </c>
      <c r="B2664" s="3" t="s">
        <v>22</v>
      </c>
      <c r="C2664" s="3">
        <v>539768</v>
      </c>
      <c r="D2664" s="3">
        <v>3710</v>
      </c>
      <c r="E2664" s="3" t="s">
        <v>23</v>
      </c>
    </row>
    <row r="2665" spans="1:5">
      <c r="A2665" s="3" t="s">
        <v>2686</v>
      </c>
      <c r="B2665" s="3" t="s">
        <v>22</v>
      </c>
      <c r="C2665" s="3">
        <v>2250202</v>
      </c>
      <c r="D2665" s="3">
        <v>614949</v>
      </c>
      <c r="E2665" s="3" t="s">
        <v>23</v>
      </c>
    </row>
    <row r="2666" spans="1:5">
      <c r="A2666" s="3" t="s">
        <v>2687</v>
      </c>
      <c r="B2666" s="3" t="s">
        <v>22</v>
      </c>
      <c r="C2666" s="3">
        <v>1298246</v>
      </c>
      <c r="D2666" s="3">
        <v>186132</v>
      </c>
      <c r="E2666" s="3" t="s">
        <v>23</v>
      </c>
    </row>
    <row r="2667" spans="1:5">
      <c r="A2667" s="3" t="s">
        <v>2688</v>
      </c>
      <c r="B2667" s="3" t="s">
        <v>22</v>
      </c>
      <c r="C2667" s="3">
        <v>1734698</v>
      </c>
      <c r="D2667" s="3">
        <v>462247</v>
      </c>
      <c r="E2667" s="3" t="s">
        <v>23</v>
      </c>
    </row>
    <row r="2668" spans="1:5">
      <c r="A2668" s="3" t="s">
        <v>2689</v>
      </c>
      <c r="B2668" s="3" t="s">
        <v>22</v>
      </c>
      <c r="C2668" s="3">
        <v>810871</v>
      </c>
      <c r="D2668" s="3">
        <v>15705</v>
      </c>
      <c r="E2668" s="3" t="s">
        <v>23</v>
      </c>
    </row>
    <row r="2669" spans="1:5">
      <c r="A2669" s="3" t="s">
        <v>2690</v>
      </c>
      <c r="B2669" s="3" t="s">
        <v>22</v>
      </c>
      <c r="C2669" s="3">
        <v>1149302</v>
      </c>
      <c r="D2669" s="3">
        <v>113830</v>
      </c>
      <c r="E2669" s="3" t="s">
        <v>23</v>
      </c>
    </row>
    <row r="2670" spans="1:5">
      <c r="A2670" s="3" t="s">
        <v>2691</v>
      </c>
      <c r="B2670" s="3" t="s">
        <v>22</v>
      </c>
      <c r="C2670" s="3">
        <v>818878</v>
      </c>
      <c r="D2670" s="3">
        <v>7212</v>
      </c>
      <c r="E2670" s="3" t="s">
        <v>23</v>
      </c>
    </row>
    <row r="2671" spans="1:5">
      <c r="A2671" s="3" t="s">
        <v>2692</v>
      </c>
      <c r="B2671" s="3" t="s">
        <v>22</v>
      </c>
      <c r="C2671" s="3">
        <v>672795</v>
      </c>
      <c r="D2671" s="3">
        <v>37909</v>
      </c>
      <c r="E2671" s="3" t="s">
        <v>23</v>
      </c>
    </row>
    <row r="2672" spans="1:5">
      <c r="A2672" s="3" t="s">
        <v>2693</v>
      </c>
      <c r="B2672" s="3" t="s">
        <v>22</v>
      </c>
      <c r="C2672" s="3">
        <v>1190912</v>
      </c>
      <c r="D2672" s="3">
        <v>101502</v>
      </c>
      <c r="E2672" s="3" t="s">
        <v>23</v>
      </c>
    </row>
    <row r="2673" spans="1:5">
      <c r="A2673" s="3" t="s">
        <v>2694</v>
      </c>
      <c r="B2673" s="3" t="s">
        <v>22</v>
      </c>
      <c r="C2673" s="3">
        <v>1682853</v>
      </c>
      <c r="D2673" s="3">
        <v>442730</v>
      </c>
      <c r="E2673" s="3" t="s">
        <v>23</v>
      </c>
    </row>
    <row r="2674" spans="1:5">
      <c r="A2674" s="3" t="s">
        <v>2695</v>
      </c>
      <c r="B2674" s="3" t="s">
        <v>22</v>
      </c>
      <c r="C2674" s="3">
        <v>2242157</v>
      </c>
      <c r="D2674" s="3">
        <v>619741</v>
      </c>
      <c r="E2674" s="3" t="s">
        <v>23</v>
      </c>
    </row>
    <row r="2675" spans="1:5">
      <c r="A2675" s="3" t="s">
        <v>2696</v>
      </c>
      <c r="B2675" s="3" t="s">
        <v>22</v>
      </c>
      <c r="C2675" s="3">
        <v>1437276</v>
      </c>
      <c r="D2675" s="3">
        <v>253134</v>
      </c>
      <c r="E2675" s="3" t="s">
        <v>23</v>
      </c>
    </row>
    <row r="2676" spans="1:5">
      <c r="A2676" s="3" t="s">
        <v>2697</v>
      </c>
      <c r="B2676" s="3" t="s">
        <v>22</v>
      </c>
      <c r="C2676" s="3">
        <v>1470874</v>
      </c>
      <c r="D2676" s="3">
        <v>272256</v>
      </c>
      <c r="E2676" s="3" t="s">
        <v>23</v>
      </c>
    </row>
    <row r="2677" spans="1:5">
      <c r="A2677" s="3" t="s">
        <v>2698</v>
      </c>
      <c r="B2677" s="3" t="s">
        <v>22</v>
      </c>
      <c r="C2677" s="3">
        <v>2175117</v>
      </c>
      <c r="D2677" s="3">
        <v>570858</v>
      </c>
      <c r="E2677" s="3" t="s">
        <v>23</v>
      </c>
    </row>
    <row r="2678" spans="1:5">
      <c r="A2678" s="3" t="s">
        <v>2699</v>
      </c>
      <c r="B2678" s="3" t="s">
        <v>22</v>
      </c>
      <c r="C2678" s="3">
        <v>1918278</v>
      </c>
      <c r="D2678" s="3">
        <v>469351</v>
      </c>
      <c r="E2678" s="3" t="s">
        <v>23</v>
      </c>
    </row>
    <row r="2679" spans="1:5">
      <c r="A2679" s="3" t="s">
        <v>2700</v>
      </c>
      <c r="B2679" s="3" t="s">
        <v>22</v>
      </c>
      <c r="C2679" s="3">
        <v>1458918</v>
      </c>
      <c r="D2679" s="3">
        <v>324753</v>
      </c>
      <c r="E2679" s="3" t="s">
        <v>23</v>
      </c>
    </row>
    <row r="2680" spans="1:5">
      <c r="A2680" s="3" t="s">
        <v>2701</v>
      </c>
      <c r="B2680" s="3" t="s">
        <v>22</v>
      </c>
      <c r="C2680" s="3">
        <v>2199032</v>
      </c>
      <c r="D2680" s="3">
        <v>545148</v>
      </c>
      <c r="E2680" s="3" t="s">
        <v>23</v>
      </c>
    </row>
    <row r="2681" spans="1:5">
      <c r="A2681" s="3" t="s">
        <v>2702</v>
      </c>
      <c r="B2681" s="3" t="s">
        <v>22</v>
      </c>
      <c r="C2681" s="3">
        <v>1725045</v>
      </c>
      <c r="D2681" s="3">
        <v>426922</v>
      </c>
      <c r="E2681" s="3" t="s">
        <v>23</v>
      </c>
    </row>
    <row r="2682" spans="1:5">
      <c r="A2682" s="3" t="s">
        <v>2703</v>
      </c>
      <c r="B2682" s="3" t="s">
        <v>22</v>
      </c>
      <c r="C2682" s="3">
        <v>1766599</v>
      </c>
      <c r="D2682" s="3">
        <v>451251</v>
      </c>
      <c r="E2682" s="3" t="s">
        <v>23</v>
      </c>
    </row>
    <row r="2683" spans="1:5">
      <c r="A2683" s="3" t="s">
        <v>2704</v>
      </c>
      <c r="B2683" s="3" t="s">
        <v>22</v>
      </c>
      <c r="C2683" s="3">
        <v>1523184</v>
      </c>
      <c r="D2683" s="3">
        <v>208481</v>
      </c>
      <c r="E2683" s="3" t="s">
        <v>23</v>
      </c>
    </row>
    <row r="2684" spans="1:5">
      <c r="A2684" s="3" t="s">
        <v>2705</v>
      </c>
      <c r="B2684" s="3" t="s">
        <v>22</v>
      </c>
      <c r="C2684" s="3">
        <v>1953389</v>
      </c>
      <c r="D2684" s="3">
        <v>490546</v>
      </c>
      <c r="E2684" s="3" t="s">
        <v>23</v>
      </c>
    </row>
    <row r="2685" spans="1:5">
      <c r="A2685" s="3" t="s">
        <v>2706</v>
      </c>
      <c r="B2685" s="3" t="s">
        <v>22</v>
      </c>
      <c r="C2685" s="3">
        <v>1785937</v>
      </c>
      <c r="D2685" s="3">
        <v>388423</v>
      </c>
      <c r="E2685" s="3" t="s">
        <v>23</v>
      </c>
    </row>
    <row r="2686" spans="1:5">
      <c r="A2686" s="3" t="s">
        <v>2707</v>
      </c>
      <c r="B2686" s="3" t="s">
        <v>22</v>
      </c>
      <c r="C2686" s="3">
        <v>884108</v>
      </c>
      <c r="D2686" s="3">
        <v>113447</v>
      </c>
      <c r="E2686" s="3" t="s">
        <v>23</v>
      </c>
    </row>
    <row r="2687" spans="1:5">
      <c r="A2687" s="3" t="s">
        <v>2708</v>
      </c>
      <c r="B2687" s="3" t="s">
        <v>22</v>
      </c>
      <c r="C2687" s="3">
        <v>1803963</v>
      </c>
      <c r="D2687" s="3">
        <v>482004</v>
      </c>
      <c r="E2687" s="3" t="s">
        <v>23</v>
      </c>
    </row>
    <row r="2688" spans="1:5">
      <c r="A2688" s="3" t="s">
        <v>2709</v>
      </c>
      <c r="B2688" s="3" t="s">
        <v>22</v>
      </c>
      <c r="C2688" s="3">
        <v>546825</v>
      </c>
      <c r="D2688" s="3">
        <v>8221</v>
      </c>
      <c r="E2688" s="3" t="s">
        <v>23</v>
      </c>
    </row>
    <row r="2689" spans="1:5">
      <c r="A2689" s="3" t="s">
        <v>2710</v>
      </c>
      <c r="B2689" s="3" t="s">
        <v>22</v>
      </c>
      <c r="C2689" s="3">
        <v>1088548</v>
      </c>
      <c r="D2689" s="3">
        <v>18978</v>
      </c>
      <c r="E2689" s="3" t="s">
        <v>23</v>
      </c>
    </row>
    <row r="2690" spans="1:5">
      <c r="A2690" s="3" t="s">
        <v>2711</v>
      </c>
      <c r="B2690" s="3" t="s">
        <v>22</v>
      </c>
      <c r="C2690" s="3">
        <v>1886753</v>
      </c>
      <c r="D2690" s="3">
        <v>452957</v>
      </c>
      <c r="E2690" s="3" t="s">
        <v>23</v>
      </c>
    </row>
    <row r="2691" spans="1:5">
      <c r="A2691" s="3" t="s">
        <v>2712</v>
      </c>
      <c r="B2691" s="3" t="s">
        <v>22</v>
      </c>
      <c r="C2691" s="3">
        <v>1433645</v>
      </c>
      <c r="D2691" s="3">
        <v>373750</v>
      </c>
      <c r="E2691" s="3" t="s">
        <v>23</v>
      </c>
    </row>
    <row r="2692" spans="1:5">
      <c r="A2692" s="3" t="s">
        <v>2713</v>
      </c>
      <c r="B2692" s="3" t="s">
        <v>22</v>
      </c>
      <c r="C2692" s="3">
        <v>1778159</v>
      </c>
      <c r="D2692" s="3">
        <v>443748</v>
      </c>
      <c r="E2692" s="3" t="s">
        <v>23</v>
      </c>
    </row>
    <row r="2693" spans="1:5">
      <c r="A2693" s="3" t="s">
        <v>2714</v>
      </c>
      <c r="B2693" s="3" t="s">
        <v>22</v>
      </c>
      <c r="C2693" s="3">
        <v>1248577</v>
      </c>
      <c r="D2693" s="3">
        <v>164360</v>
      </c>
      <c r="E2693" s="3" t="s">
        <v>23</v>
      </c>
    </row>
    <row r="2694" spans="1:5">
      <c r="A2694" s="3" t="s">
        <v>2715</v>
      </c>
      <c r="B2694" s="3" t="s">
        <v>22</v>
      </c>
      <c r="C2694" s="3">
        <v>735046</v>
      </c>
      <c r="D2694" s="3">
        <v>34991</v>
      </c>
      <c r="E2694" s="3" t="s">
        <v>23</v>
      </c>
    </row>
    <row r="2695" spans="1:5">
      <c r="A2695" s="3" t="s">
        <v>2716</v>
      </c>
      <c r="B2695" s="3" t="s">
        <v>22</v>
      </c>
      <c r="C2695" s="3">
        <v>693717</v>
      </c>
      <c r="D2695" s="3">
        <v>19852</v>
      </c>
      <c r="E2695" s="3" t="s">
        <v>23</v>
      </c>
    </row>
    <row r="2696" spans="1:5">
      <c r="A2696" s="3" t="s">
        <v>2717</v>
      </c>
      <c r="B2696" s="3" t="s">
        <v>22</v>
      </c>
      <c r="C2696" s="3">
        <v>2032889</v>
      </c>
      <c r="D2696" s="3">
        <v>577272</v>
      </c>
      <c r="E2696" s="3" t="s">
        <v>23</v>
      </c>
    </row>
    <row r="2697" spans="1:5">
      <c r="A2697" s="3" t="s">
        <v>2718</v>
      </c>
      <c r="B2697" s="3" t="s">
        <v>22</v>
      </c>
      <c r="C2697" s="3">
        <v>956945</v>
      </c>
      <c r="D2697" s="3">
        <v>9676</v>
      </c>
      <c r="E2697" s="3" t="s">
        <v>23</v>
      </c>
    </row>
    <row r="2698" spans="1:5">
      <c r="A2698" s="3" t="s">
        <v>2719</v>
      </c>
      <c r="B2698" s="3" t="s">
        <v>22</v>
      </c>
      <c r="C2698" s="3">
        <v>583851</v>
      </c>
      <c r="D2698" s="3">
        <v>74781</v>
      </c>
      <c r="E2698" s="3" t="s">
        <v>23</v>
      </c>
    </row>
    <row r="2699" spans="1:5">
      <c r="A2699" s="3" t="s">
        <v>2720</v>
      </c>
      <c r="B2699" s="3" t="s">
        <v>22</v>
      </c>
      <c r="C2699" s="3">
        <v>1241044</v>
      </c>
      <c r="D2699" s="3">
        <v>359226</v>
      </c>
      <c r="E2699" s="3" t="s">
        <v>23</v>
      </c>
    </row>
    <row r="2700" spans="1:5">
      <c r="A2700" s="3" t="s">
        <v>2721</v>
      </c>
      <c r="B2700" s="3" t="s">
        <v>22</v>
      </c>
      <c r="C2700" s="3">
        <v>1245685</v>
      </c>
      <c r="D2700" s="3">
        <v>338163</v>
      </c>
      <c r="E2700" s="3" t="s">
        <v>23</v>
      </c>
    </row>
    <row r="2701" spans="1:5">
      <c r="A2701" s="3" t="s">
        <v>2722</v>
      </c>
      <c r="B2701" s="3" t="s">
        <v>22</v>
      </c>
      <c r="C2701" s="3">
        <v>551357</v>
      </c>
      <c r="D2701" s="3">
        <v>24909</v>
      </c>
      <c r="E2701" s="3" t="s">
        <v>23</v>
      </c>
    </row>
    <row r="2702" spans="1:5">
      <c r="A2702" s="3" t="s">
        <v>2723</v>
      </c>
      <c r="B2702" s="3" t="s">
        <v>22</v>
      </c>
      <c r="C2702" s="3">
        <v>495053</v>
      </c>
      <c r="D2702" s="3">
        <v>63406</v>
      </c>
      <c r="E2702" s="3" t="s">
        <v>23</v>
      </c>
    </row>
    <row r="2703" spans="1:5">
      <c r="A2703" s="3" t="s">
        <v>2724</v>
      </c>
      <c r="B2703" s="3" t="s">
        <v>22</v>
      </c>
      <c r="C2703" s="3">
        <v>858348</v>
      </c>
      <c r="D2703" s="3">
        <v>146172</v>
      </c>
      <c r="E2703" s="3" t="s">
        <v>23</v>
      </c>
    </row>
    <row r="2704" spans="1:5">
      <c r="A2704" s="3" t="s">
        <v>2725</v>
      </c>
      <c r="B2704" s="3" t="s">
        <v>22</v>
      </c>
      <c r="C2704" s="3">
        <v>1136899</v>
      </c>
      <c r="D2704" s="3">
        <v>294568</v>
      </c>
      <c r="E2704" s="3" t="s">
        <v>23</v>
      </c>
    </row>
    <row r="2705" spans="1:5">
      <c r="A2705" s="3" t="s">
        <v>2726</v>
      </c>
      <c r="B2705" s="3" t="s">
        <v>22</v>
      </c>
      <c r="C2705" s="3">
        <v>353452</v>
      </c>
      <c r="D2705" s="3">
        <v>13413</v>
      </c>
      <c r="E2705" s="3" t="s">
        <v>23</v>
      </c>
    </row>
    <row r="2706" spans="1:5">
      <c r="A2706" s="3" t="s">
        <v>2727</v>
      </c>
      <c r="B2706" s="3" t="s">
        <v>22</v>
      </c>
      <c r="C2706" s="3">
        <v>318434</v>
      </c>
      <c r="D2706" s="3">
        <v>2176</v>
      </c>
      <c r="E2706" s="3" t="s">
        <v>23</v>
      </c>
    </row>
    <row r="2707" spans="1:5">
      <c r="A2707" s="3" t="s">
        <v>2728</v>
      </c>
      <c r="B2707" s="3" t="s">
        <v>22</v>
      </c>
      <c r="C2707" s="3">
        <v>1266502</v>
      </c>
      <c r="D2707" s="3">
        <v>337576</v>
      </c>
      <c r="E2707" s="3" t="s">
        <v>23</v>
      </c>
    </row>
    <row r="2708" spans="1:5">
      <c r="A2708" s="3" t="s">
        <v>2729</v>
      </c>
      <c r="B2708" s="3" t="s">
        <v>22</v>
      </c>
      <c r="C2708" s="3">
        <v>582369</v>
      </c>
      <c r="D2708" s="3">
        <v>40080</v>
      </c>
      <c r="E2708" s="3" t="s">
        <v>23</v>
      </c>
    </row>
    <row r="2709" spans="1:5">
      <c r="A2709" s="3" t="s">
        <v>2730</v>
      </c>
      <c r="B2709" s="3" t="s">
        <v>22</v>
      </c>
      <c r="C2709" s="3">
        <v>1149807</v>
      </c>
      <c r="D2709" s="3">
        <v>326701</v>
      </c>
      <c r="E2709" s="3" t="s">
        <v>23</v>
      </c>
    </row>
    <row r="2710" spans="1:5">
      <c r="A2710" s="3" t="s">
        <v>2731</v>
      </c>
      <c r="B2710" s="3" t="s">
        <v>22</v>
      </c>
      <c r="C2710" s="3">
        <v>501471</v>
      </c>
      <c r="D2710" s="3">
        <v>36107</v>
      </c>
      <c r="E2710" s="3" t="s">
        <v>23</v>
      </c>
    </row>
    <row r="2711" spans="1:5">
      <c r="A2711" s="3" t="s">
        <v>2732</v>
      </c>
      <c r="B2711" s="3" t="s">
        <v>22</v>
      </c>
      <c r="C2711" s="3">
        <v>1033015</v>
      </c>
      <c r="D2711" s="3">
        <v>267569</v>
      </c>
      <c r="E2711" s="3" t="s">
        <v>23</v>
      </c>
    </row>
    <row r="2712" spans="1:5">
      <c r="A2712" s="3" t="s">
        <v>2733</v>
      </c>
      <c r="B2712" s="3" t="s">
        <v>22</v>
      </c>
      <c r="C2712" s="3">
        <v>261920</v>
      </c>
      <c r="D2712" s="3">
        <v>592</v>
      </c>
      <c r="E2712" s="3" t="s">
        <v>23</v>
      </c>
    </row>
    <row r="2713" spans="1:5">
      <c r="A2713" s="3" t="s">
        <v>2734</v>
      </c>
      <c r="B2713" s="3" t="s">
        <v>22</v>
      </c>
      <c r="C2713" s="3">
        <v>748401</v>
      </c>
      <c r="D2713" s="3">
        <v>127289</v>
      </c>
      <c r="E2713" s="3" t="s">
        <v>23</v>
      </c>
    </row>
    <row r="2714" spans="1:5">
      <c r="A2714" s="3" t="s">
        <v>2735</v>
      </c>
      <c r="B2714" s="3" t="s">
        <v>22</v>
      </c>
      <c r="C2714" s="3">
        <v>1148240</v>
      </c>
      <c r="D2714" s="3">
        <v>304718</v>
      </c>
      <c r="E2714" s="3" t="s">
        <v>23</v>
      </c>
    </row>
    <row r="2715" spans="1:5">
      <c r="A2715" s="3" t="s">
        <v>2736</v>
      </c>
      <c r="B2715" s="3" t="s">
        <v>22</v>
      </c>
      <c r="C2715" s="3">
        <v>1192882</v>
      </c>
      <c r="D2715" s="3">
        <v>314671</v>
      </c>
      <c r="E2715" s="3" t="s">
        <v>23</v>
      </c>
    </row>
    <row r="2716" spans="1:5">
      <c r="A2716" s="3" t="s">
        <v>2737</v>
      </c>
      <c r="B2716" s="3" t="s">
        <v>22</v>
      </c>
      <c r="C2716" s="3">
        <v>1331872</v>
      </c>
      <c r="D2716" s="3">
        <v>337297</v>
      </c>
      <c r="E2716" s="3" t="s">
        <v>23</v>
      </c>
    </row>
    <row r="2717" spans="1:5">
      <c r="A2717" s="3" t="s">
        <v>2738</v>
      </c>
      <c r="B2717" s="3" t="s">
        <v>22</v>
      </c>
      <c r="C2717" s="3">
        <v>261142</v>
      </c>
      <c r="D2717" s="3">
        <v>191</v>
      </c>
      <c r="E2717" s="3" t="s">
        <v>23</v>
      </c>
    </row>
    <row r="2718" spans="1:5">
      <c r="A2718" s="3" t="s">
        <v>2739</v>
      </c>
      <c r="B2718" s="3" t="s">
        <v>22</v>
      </c>
      <c r="C2718" s="3">
        <v>1348173</v>
      </c>
      <c r="D2718" s="3">
        <v>385745</v>
      </c>
      <c r="E2718" s="3" t="s">
        <v>23</v>
      </c>
    </row>
    <row r="2719" spans="1:5">
      <c r="A2719" s="3" t="s">
        <v>2740</v>
      </c>
      <c r="B2719" s="3" t="s">
        <v>22</v>
      </c>
      <c r="C2719" s="3">
        <v>851957</v>
      </c>
      <c r="D2719" s="3">
        <v>179554</v>
      </c>
      <c r="E2719" s="3" t="s">
        <v>23</v>
      </c>
    </row>
    <row r="2720" spans="1:5">
      <c r="A2720" s="3" t="s">
        <v>2741</v>
      </c>
      <c r="B2720" s="3" t="s">
        <v>22</v>
      </c>
      <c r="C2720" s="3">
        <v>158493</v>
      </c>
      <c r="D2720" s="3">
        <v>19088</v>
      </c>
      <c r="E2720" s="3" t="s">
        <v>23</v>
      </c>
    </row>
    <row r="2721" spans="1:5">
      <c r="A2721" s="3" t="s">
        <v>2742</v>
      </c>
      <c r="B2721" s="3" t="s">
        <v>22</v>
      </c>
      <c r="C2721" s="3">
        <v>484889</v>
      </c>
      <c r="D2721" s="3">
        <v>7935</v>
      </c>
      <c r="E2721" s="3" t="s">
        <v>23</v>
      </c>
    </row>
    <row r="2722" spans="1:5">
      <c r="A2722" s="3" t="s">
        <v>2743</v>
      </c>
      <c r="B2722" s="3" t="s">
        <v>22</v>
      </c>
      <c r="C2722" s="3">
        <v>1105100</v>
      </c>
      <c r="D2722" s="3">
        <v>309986</v>
      </c>
      <c r="E2722" s="3" t="s">
        <v>23</v>
      </c>
    </row>
    <row r="2723" spans="1:5">
      <c r="A2723" s="3" t="s">
        <v>2744</v>
      </c>
      <c r="B2723" s="3" t="s">
        <v>22</v>
      </c>
      <c r="C2723" s="3">
        <v>763671</v>
      </c>
      <c r="D2723" s="3">
        <v>129326</v>
      </c>
      <c r="E2723" s="3" t="s">
        <v>23</v>
      </c>
    </row>
    <row r="2724" spans="1:5">
      <c r="A2724" s="3" t="s">
        <v>2745</v>
      </c>
      <c r="B2724" s="3" t="s">
        <v>22</v>
      </c>
      <c r="C2724" s="3">
        <v>987797</v>
      </c>
      <c r="D2724" s="3">
        <v>166753</v>
      </c>
      <c r="E2724" s="3" t="s">
        <v>23</v>
      </c>
    </row>
    <row r="2725" spans="1:5">
      <c r="A2725" s="3" t="s">
        <v>2746</v>
      </c>
      <c r="B2725" s="3" t="s">
        <v>22</v>
      </c>
      <c r="C2725" s="3">
        <v>728660</v>
      </c>
      <c r="D2725" s="3">
        <v>163781</v>
      </c>
      <c r="E2725" s="3" t="s">
        <v>23</v>
      </c>
    </row>
    <row r="2726" spans="1:5">
      <c r="A2726" s="3" t="s">
        <v>2747</v>
      </c>
      <c r="B2726" s="3" t="s">
        <v>22</v>
      </c>
      <c r="C2726" s="3">
        <v>1191430</v>
      </c>
      <c r="D2726" s="3">
        <v>357012</v>
      </c>
      <c r="E2726" s="3" t="s">
        <v>23</v>
      </c>
    </row>
    <row r="2727" spans="1:5">
      <c r="A2727" s="3" t="s">
        <v>2748</v>
      </c>
      <c r="B2727" s="3" t="s">
        <v>22</v>
      </c>
      <c r="C2727" s="3">
        <v>952025</v>
      </c>
      <c r="D2727" s="3">
        <v>242470</v>
      </c>
      <c r="E2727" s="3" t="s">
        <v>23</v>
      </c>
    </row>
    <row r="2728" spans="1:5">
      <c r="A2728" s="3" t="s">
        <v>2749</v>
      </c>
      <c r="B2728" s="3" t="s">
        <v>22</v>
      </c>
      <c r="C2728" s="3">
        <v>433272</v>
      </c>
      <c r="D2728" s="3">
        <v>7602</v>
      </c>
      <c r="E2728" s="3" t="s">
        <v>23</v>
      </c>
    </row>
    <row r="2729" spans="1:5">
      <c r="A2729" s="3" t="s">
        <v>2750</v>
      </c>
      <c r="B2729" s="3" t="s">
        <v>22</v>
      </c>
      <c r="C2729" s="3">
        <v>960676</v>
      </c>
      <c r="D2729" s="3">
        <v>224693</v>
      </c>
      <c r="E2729" s="3" t="s">
        <v>23</v>
      </c>
    </row>
    <row r="2730" spans="1:5">
      <c r="A2730" s="3" t="s">
        <v>2751</v>
      </c>
      <c r="B2730" s="3" t="s">
        <v>22</v>
      </c>
      <c r="C2730" s="3">
        <v>597716</v>
      </c>
      <c r="D2730" s="3">
        <v>29139</v>
      </c>
      <c r="E2730" s="3" t="s">
        <v>23</v>
      </c>
    </row>
    <row r="2731" spans="1:5">
      <c r="A2731" s="3" t="s">
        <v>2752</v>
      </c>
      <c r="B2731" s="3" t="s">
        <v>22</v>
      </c>
      <c r="C2731" s="3">
        <v>728291</v>
      </c>
      <c r="D2731" s="3">
        <v>81622</v>
      </c>
      <c r="E2731" s="3" t="s">
        <v>23</v>
      </c>
    </row>
    <row r="2732" spans="1:5">
      <c r="A2732" s="3" t="s">
        <v>2753</v>
      </c>
      <c r="B2732" s="3" t="s">
        <v>22</v>
      </c>
      <c r="C2732" s="3">
        <v>1322572</v>
      </c>
      <c r="D2732" s="3">
        <v>334072</v>
      </c>
      <c r="E2732" s="3" t="s">
        <v>23</v>
      </c>
    </row>
    <row r="2733" spans="1:5">
      <c r="A2733" s="3" t="s">
        <v>2754</v>
      </c>
      <c r="B2733" s="3" t="s">
        <v>22</v>
      </c>
      <c r="C2733" s="3">
        <v>826354</v>
      </c>
      <c r="D2733" s="3">
        <v>174922</v>
      </c>
      <c r="E2733" s="3" t="s">
        <v>23</v>
      </c>
    </row>
    <row r="2734" spans="1:5">
      <c r="A2734" s="3" t="s">
        <v>2755</v>
      </c>
      <c r="B2734" s="3" t="s">
        <v>22</v>
      </c>
      <c r="C2734" s="3">
        <v>1383804</v>
      </c>
      <c r="D2734" s="3">
        <v>265002</v>
      </c>
      <c r="E2734" s="3" t="s">
        <v>23</v>
      </c>
    </row>
    <row r="2735" spans="1:5">
      <c r="A2735" s="3" t="s">
        <v>2756</v>
      </c>
      <c r="B2735" s="3" t="s">
        <v>22</v>
      </c>
      <c r="C2735" s="3">
        <v>860569</v>
      </c>
      <c r="D2735" s="3">
        <v>160579</v>
      </c>
      <c r="E2735" s="3" t="s">
        <v>23</v>
      </c>
    </row>
    <row r="2736" spans="1:5">
      <c r="A2736" s="3" t="s">
        <v>2757</v>
      </c>
      <c r="B2736" s="3" t="s">
        <v>22</v>
      </c>
      <c r="C2736" s="3">
        <v>1059454</v>
      </c>
      <c r="D2736" s="3">
        <v>233806</v>
      </c>
      <c r="E2736" s="3" t="s">
        <v>23</v>
      </c>
    </row>
    <row r="2737" spans="1:5">
      <c r="A2737" s="3" t="s">
        <v>2758</v>
      </c>
      <c r="B2737" s="3" t="s">
        <v>22</v>
      </c>
      <c r="C2737" s="3">
        <v>775929</v>
      </c>
      <c r="D2737" s="3">
        <v>95350</v>
      </c>
      <c r="E2737" s="3" t="s">
        <v>23</v>
      </c>
    </row>
    <row r="2738" spans="1:5">
      <c r="A2738" s="3" t="s">
        <v>2759</v>
      </c>
      <c r="B2738" s="3" t="s">
        <v>22</v>
      </c>
      <c r="C2738" s="3">
        <v>537145</v>
      </c>
      <c r="D2738" s="3">
        <v>61419</v>
      </c>
      <c r="E2738" s="3" t="s">
        <v>23</v>
      </c>
    </row>
    <row r="2739" spans="1:5">
      <c r="A2739" s="3" t="s">
        <v>2760</v>
      </c>
      <c r="B2739" s="3" t="s">
        <v>22</v>
      </c>
      <c r="C2739" s="3">
        <v>956959</v>
      </c>
      <c r="D2739" s="3">
        <v>190336</v>
      </c>
      <c r="E2739" s="3" t="s">
        <v>23</v>
      </c>
    </row>
    <row r="2740" spans="1:5">
      <c r="A2740" s="3" t="s">
        <v>2761</v>
      </c>
      <c r="B2740" s="3" t="s">
        <v>22</v>
      </c>
      <c r="C2740" s="3">
        <v>947113</v>
      </c>
      <c r="D2740" s="3">
        <v>216020</v>
      </c>
      <c r="E2740" s="3" t="s">
        <v>23</v>
      </c>
    </row>
    <row r="2741" spans="1:5">
      <c r="A2741" s="3" t="s">
        <v>2762</v>
      </c>
      <c r="B2741" s="3" t="s">
        <v>22</v>
      </c>
      <c r="C2741" s="3">
        <v>985516</v>
      </c>
      <c r="D2741" s="3">
        <v>198037</v>
      </c>
      <c r="E2741" s="3" t="s">
        <v>23</v>
      </c>
    </row>
    <row r="2742" spans="1:5">
      <c r="A2742" s="3" t="s">
        <v>2763</v>
      </c>
      <c r="B2742" s="3" t="s">
        <v>22</v>
      </c>
      <c r="C2742" s="3">
        <v>1424383</v>
      </c>
      <c r="D2742" s="3">
        <v>387605</v>
      </c>
      <c r="E2742" s="3" t="s">
        <v>23</v>
      </c>
    </row>
    <row r="2743" spans="1:5">
      <c r="A2743" s="3" t="s">
        <v>2764</v>
      </c>
      <c r="B2743" s="3" t="s">
        <v>22</v>
      </c>
      <c r="C2743" s="3">
        <v>908631</v>
      </c>
      <c r="D2743" s="3">
        <v>122163</v>
      </c>
      <c r="E2743" s="3" t="s">
        <v>23</v>
      </c>
    </row>
    <row r="2744" spans="1:5">
      <c r="A2744" s="3" t="s">
        <v>2765</v>
      </c>
      <c r="B2744" s="3" t="s">
        <v>22</v>
      </c>
      <c r="C2744" s="3">
        <v>594735</v>
      </c>
      <c r="D2744" s="3">
        <v>38662</v>
      </c>
      <c r="E2744" s="3" t="s">
        <v>23</v>
      </c>
    </row>
    <row r="2745" spans="1:5">
      <c r="A2745" s="3" t="s">
        <v>2766</v>
      </c>
      <c r="B2745" s="3" t="s">
        <v>22</v>
      </c>
      <c r="C2745" s="3">
        <v>804117</v>
      </c>
      <c r="D2745" s="3">
        <v>119855</v>
      </c>
      <c r="E2745" s="3" t="s">
        <v>23</v>
      </c>
    </row>
    <row r="2746" spans="1:5">
      <c r="A2746" s="3" t="s">
        <v>2767</v>
      </c>
      <c r="B2746" s="3" t="s">
        <v>22</v>
      </c>
      <c r="C2746" s="3">
        <v>794190</v>
      </c>
      <c r="D2746" s="3">
        <v>159902</v>
      </c>
      <c r="E2746" s="3" t="s">
        <v>23</v>
      </c>
    </row>
    <row r="2747" spans="1:5">
      <c r="A2747" s="3" t="s">
        <v>2768</v>
      </c>
      <c r="B2747" s="3" t="s">
        <v>22</v>
      </c>
      <c r="C2747" s="3">
        <v>1046147</v>
      </c>
      <c r="D2747" s="3">
        <v>224589</v>
      </c>
      <c r="E2747" s="3" t="s">
        <v>23</v>
      </c>
    </row>
    <row r="2748" spans="1:5">
      <c r="A2748" s="3" t="s">
        <v>2769</v>
      </c>
      <c r="B2748" s="3" t="s">
        <v>22</v>
      </c>
      <c r="C2748" s="3">
        <v>1170288</v>
      </c>
      <c r="D2748" s="3">
        <v>267454</v>
      </c>
      <c r="E2748" s="3" t="s">
        <v>23</v>
      </c>
    </row>
    <row r="2749" spans="1:5">
      <c r="A2749" s="3" t="s">
        <v>2770</v>
      </c>
      <c r="B2749" s="3" t="s">
        <v>22</v>
      </c>
      <c r="C2749" s="3">
        <v>1064922</v>
      </c>
      <c r="D2749" s="3">
        <v>211452</v>
      </c>
      <c r="E2749" s="3" t="s">
        <v>23</v>
      </c>
    </row>
    <row r="2750" spans="1:5">
      <c r="A2750" s="3" t="s">
        <v>2771</v>
      </c>
      <c r="B2750" s="3" t="s">
        <v>22</v>
      </c>
      <c r="C2750" s="3">
        <v>729918</v>
      </c>
      <c r="D2750" s="3">
        <v>152196</v>
      </c>
      <c r="E2750" s="3" t="s">
        <v>23</v>
      </c>
    </row>
    <row r="2751" spans="1:5">
      <c r="A2751" s="3" t="s">
        <v>2772</v>
      </c>
      <c r="B2751" s="3" t="s">
        <v>22</v>
      </c>
      <c r="C2751" s="3">
        <v>1458413</v>
      </c>
      <c r="D2751" s="3">
        <v>87519</v>
      </c>
      <c r="E2751" s="3" t="s">
        <v>23</v>
      </c>
    </row>
    <row r="2752" spans="1:5">
      <c r="A2752" s="3" t="s">
        <v>2773</v>
      </c>
      <c r="B2752" s="3" t="s">
        <v>22</v>
      </c>
      <c r="C2752" s="3">
        <v>1136790</v>
      </c>
      <c r="D2752" s="3">
        <v>261599</v>
      </c>
      <c r="E2752" s="3" t="s">
        <v>23</v>
      </c>
    </row>
    <row r="2753" spans="1:5">
      <c r="A2753" s="3" t="s">
        <v>2774</v>
      </c>
      <c r="B2753" s="3" t="s">
        <v>22</v>
      </c>
      <c r="C2753" s="3">
        <v>899968</v>
      </c>
      <c r="D2753" s="3">
        <v>137461</v>
      </c>
      <c r="E2753" s="3" t="s">
        <v>23</v>
      </c>
    </row>
    <row r="2754" spans="1:5">
      <c r="A2754" s="3" t="s">
        <v>2775</v>
      </c>
      <c r="B2754" s="3" t="s">
        <v>22</v>
      </c>
      <c r="C2754" s="3">
        <v>1205549</v>
      </c>
      <c r="D2754" s="3">
        <v>291219</v>
      </c>
      <c r="E2754" s="3" t="s">
        <v>23</v>
      </c>
    </row>
    <row r="2755" spans="1:5">
      <c r="A2755" s="3" t="s">
        <v>2776</v>
      </c>
      <c r="B2755" s="3" t="s">
        <v>22</v>
      </c>
      <c r="C2755" s="3">
        <v>1022154</v>
      </c>
      <c r="D2755" s="3">
        <v>205548</v>
      </c>
      <c r="E2755" s="3" t="s">
        <v>23</v>
      </c>
    </row>
    <row r="2756" spans="1:5">
      <c r="A2756" s="3" t="s">
        <v>2777</v>
      </c>
      <c r="B2756" s="3" t="s">
        <v>22</v>
      </c>
      <c r="C2756" s="3">
        <v>346678</v>
      </c>
      <c r="D2756" s="3">
        <v>2707</v>
      </c>
      <c r="E2756" s="3" t="s">
        <v>23</v>
      </c>
    </row>
    <row r="2757" spans="1:5">
      <c r="A2757" s="3" t="s">
        <v>2778</v>
      </c>
      <c r="B2757" s="3" t="s">
        <v>22</v>
      </c>
      <c r="C2757" s="3">
        <v>278589</v>
      </c>
      <c r="D2757" s="3">
        <v>275</v>
      </c>
      <c r="E2757" s="3" t="s">
        <v>23</v>
      </c>
    </row>
    <row r="2758" spans="1:5">
      <c r="A2758" s="3" t="s">
        <v>2779</v>
      </c>
      <c r="B2758" s="3" t="s">
        <v>22</v>
      </c>
      <c r="C2758" s="3">
        <v>814108</v>
      </c>
      <c r="D2758" s="3">
        <v>98463</v>
      </c>
      <c r="E2758" s="3" t="s">
        <v>23</v>
      </c>
    </row>
    <row r="2759" spans="1:5">
      <c r="A2759" s="3" t="s">
        <v>2780</v>
      </c>
      <c r="B2759" s="3" t="s">
        <v>22</v>
      </c>
      <c r="C2759" s="3">
        <v>634024</v>
      </c>
      <c r="D2759" s="3">
        <v>77784</v>
      </c>
      <c r="E2759" s="3" t="s">
        <v>23</v>
      </c>
    </row>
    <row r="2760" spans="1:5">
      <c r="A2760" s="3" t="s">
        <v>2781</v>
      </c>
      <c r="B2760" s="3" t="s">
        <v>22</v>
      </c>
      <c r="C2760" s="3">
        <v>1027520</v>
      </c>
      <c r="D2760" s="3">
        <v>230157</v>
      </c>
      <c r="E2760" s="3" t="s">
        <v>23</v>
      </c>
    </row>
    <row r="2761" spans="1:5">
      <c r="A2761" s="3" t="s">
        <v>2782</v>
      </c>
      <c r="B2761" s="3" t="s">
        <v>22</v>
      </c>
      <c r="C2761" s="3">
        <v>540292</v>
      </c>
      <c r="D2761" s="3">
        <v>4137</v>
      </c>
      <c r="E2761" s="3" t="s">
        <v>23</v>
      </c>
    </row>
    <row r="2762" spans="1:5">
      <c r="A2762" s="3" t="s">
        <v>2783</v>
      </c>
      <c r="B2762" s="3" t="s">
        <v>22</v>
      </c>
      <c r="C2762" s="3">
        <v>741121</v>
      </c>
      <c r="D2762" s="3">
        <v>58798</v>
      </c>
      <c r="E2762" s="3" t="s">
        <v>23</v>
      </c>
    </row>
    <row r="2763" spans="1:5">
      <c r="A2763" s="3" t="s">
        <v>2784</v>
      </c>
      <c r="B2763" s="3" t="s">
        <v>22</v>
      </c>
      <c r="C2763" s="3">
        <v>523409</v>
      </c>
      <c r="D2763" s="3">
        <v>48772</v>
      </c>
      <c r="E2763" s="3" t="s">
        <v>23</v>
      </c>
    </row>
    <row r="2764" spans="1:5">
      <c r="A2764" s="3" t="s">
        <v>2785</v>
      </c>
      <c r="B2764" s="3" t="s">
        <v>22</v>
      </c>
      <c r="C2764" s="3">
        <v>385878</v>
      </c>
      <c r="D2764" s="3">
        <v>7402</v>
      </c>
      <c r="E2764" s="3" t="s">
        <v>23</v>
      </c>
    </row>
    <row r="2765" spans="1:5">
      <c r="A2765" s="3" t="s">
        <v>2786</v>
      </c>
      <c r="B2765" s="3" t="s">
        <v>22</v>
      </c>
      <c r="C2765" s="3">
        <v>1190041</v>
      </c>
      <c r="D2765" s="3">
        <v>206686</v>
      </c>
      <c r="E2765" s="3" t="s">
        <v>23</v>
      </c>
    </row>
    <row r="2766" spans="1:5">
      <c r="A2766" s="3" t="s">
        <v>2787</v>
      </c>
      <c r="B2766" s="3" t="s">
        <v>22</v>
      </c>
      <c r="C2766" s="3">
        <v>619144</v>
      </c>
      <c r="D2766" s="3">
        <v>25467</v>
      </c>
      <c r="E2766" s="3" t="s">
        <v>23</v>
      </c>
    </row>
    <row r="2767" spans="1:5">
      <c r="A2767" s="3" t="s">
        <v>2788</v>
      </c>
      <c r="B2767" s="3" t="s">
        <v>22</v>
      </c>
      <c r="C2767" s="3">
        <v>858567</v>
      </c>
      <c r="D2767" s="3">
        <v>137096</v>
      </c>
      <c r="E2767" s="3" t="s">
        <v>23</v>
      </c>
    </row>
    <row r="2768" spans="1:5">
      <c r="A2768" s="3" t="s">
        <v>2789</v>
      </c>
      <c r="B2768" s="3" t="s">
        <v>22</v>
      </c>
      <c r="C2768" s="3">
        <v>746370</v>
      </c>
      <c r="D2768" s="3">
        <v>114262</v>
      </c>
      <c r="E2768" s="3" t="s">
        <v>23</v>
      </c>
    </row>
    <row r="2769" spans="1:5">
      <c r="A2769" s="3" t="s">
        <v>2790</v>
      </c>
      <c r="B2769" s="3" t="s">
        <v>22</v>
      </c>
      <c r="C2769" s="3">
        <v>618295</v>
      </c>
      <c r="D2769" s="3">
        <v>120337</v>
      </c>
      <c r="E2769" s="3" t="s">
        <v>23</v>
      </c>
    </row>
    <row r="2770" spans="1:5">
      <c r="A2770" s="3" t="s">
        <v>2791</v>
      </c>
      <c r="B2770" s="3" t="s">
        <v>22</v>
      </c>
      <c r="C2770" s="3">
        <v>811099</v>
      </c>
      <c r="D2770" s="3">
        <v>99332</v>
      </c>
      <c r="E2770" s="3" t="s">
        <v>23</v>
      </c>
    </row>
    <row r="2771" spans="1:5">
      <c r="A2771" s="3" t="s">
        <v>2792</v>
      </c>
      <c r="B2771" s="3" t="s">
        <v>22</v>
      </c>
      <c r="C2771" s="3">
        <v>1096405</v>
      </c>
      <c r="D2771" s="3">
        <v>273831</v>
      </c>
      <c r="E2771" s="3" t="s">
        <v>23</v>
      </c>
    </row>
    <row r="2772" spans="1:5">
      <c r="A2772" s="3" t="s">
        <v>2793</v>
      </c>
      <c r="B2772" s="3" t="s">
        <v>22</v>
      </c>
      <c r="C2772" s="3">
        <v>1010049</v>
      </c>
      <c r="D2772" s="3">
        <v>219566</v>
      </c>
      <c r="E2772" s="3" t="s">
        <v>23</v>
      </c>
    </row>
    <row r="2773" spans="1:5">
      <c r="A2773" s="3" t="s">
        <v>2794</v>
      </c>
      <c r="B2773" s="3" t="s">
        <v>22</v>
      </c>
      <c r="C2773" s="3">
        <v>1008922</v>
      </c>
      <c r="D2773" s="3">
        <v>169818</v>
      </c>
      <c r="E2773" s="3" t="s">
        <v>23</v>
      </c>
    </row>
    <row r="2774" spans="1:5">
      <c r="A2774" s="3" t="s">
        <v>2795</v>
      </c>
      <c r="B2774" s="3" t="s">
        <v>22</v>
      </c>
      <c r="C2774" s="3">
        <v>1025063</v>
      </c>
      <c r="D2774" s="3">
        <v>194674</v>
      </c>
      <c r="E2774" s="3" t="s">
        <v>23</v>
      </c>
    </row>
    <row r="2775" spans="1:5">
      <c r="A2775" s="3" t="s">
        <v>2796</v>
      </c>
      <c r="B2775" s="3" t="s">
        <v>22</v>
      </c>
      <c r="C2775" s="3">
        <v>617949</v>
      </c>
      <c r="D2775" s="3">
        <v>55325</v>
      </c>
      <c r="E2775" s="3" t="s">
        <v>23</v>
      </c>
    </row>
    <row r="2776" spans="1:5">
      <c r="A2776" s="3" t="s">
        <v>2797</v>
      </c>
      <c r="B2776" s="3" t="s">
        <v>22</v>
      </c>
      <c r="C2776" s="3">
        <v>559006</v>
      </c>
      <c r="D2776" s="3">
        <v>60922</v>
      </c>
      <c r="E2776" s="3" t="s">
        <v>23</v>
      </c>
    </row>
    <row r="2777" spans="1:5">
      <c r="A2777" s="3" t="s">
        <v>2798</v>
      </c>
      <c r="B2777" s="3" t="s">
        <v>22</v>
      </c>
      <c r="C2777" s="3">
        <v>816700</v>
      </c>
      <c r="D2777" s="3">
        <v>115950</v>
      </c>
      <c r="E2777" s="3" t="s">
        <v>23</v>
      </c>
    </row>
    <row r="2778" spans="1:5">
      <c r="A2778" s="3" t="s">
        <v>2799</v>
      </c>
      <c r="B2778" s="3" t="s">
        <v>22</v>
      </c>
      <c r="C2778" s="3">
        <v>977953</v>
      </c>
      <c r="D2778" s="3">
        <v>164824</v>
      </c>
      <c r="E2778" s="3" t="s">
        <v>23</v>
      </c>
    </row>
    <row r="2779" spans="1:5">
      <c r="A2779" s="3" t="s">
        <v>2800</v>
      </c>
      <c r="B2779" s="3" t="s">
        <v>22</v>
      </c>
      <c r="C2779" s="3">
        <v>1007223</v>
      </c>
      <c r="D2779" s="3">
        <v>241287</v>
      </c>
      <c r="E2779" s="3" t="s">
        <v>23</v>
      </c>
    </row>
    <row r="2780" spans="1:5">
      <c r="A2780" s="3" t="s">
        <v>2801</v>
      </c>
      <c r="B2780" s="3" t="s">
        <v>22</v>
      </c>
      <c r="C2780" s="3">
        <v>1773545</v>
      </c>
      <c r="D2780" s="3">
        <v>511005</v>
      </c>
      <c r="E2780" s="3" t="s">
        <v>23</v>
      </c>
    </row>
    <row r="2781" spans="1:5">
      <c r="A2781" s="3" t="s">
        <v>2802</v>
      </c>
      <c r="B2781" s="3" t="s">
        <v>22</v>
      </c>
      <c r="C2781" s="3">
        <v>938198</v>
      </c>
      <c r="D2781" s="3">
        <v>172553</v>
      </c>
      <c r="E2781" s="3" t="s">
        <v>23</v>
      </c>
    </row>
    <row r="2782" spans="1:5">
      <c r="A2782" s="3" t="s">
        <v>2803</v>
      </c>
      <c r="B2782" s="3" t="s">
        <v>22</v>
      </c>
      <c r="C2782" s="3">
        <v>1216209</v>
      </c>
      <c r="D2782" s="3">
        <v>325907</v>
      </c>
      <c r="E2782" s="3" t="s">
        <v>23</v>
      </c>
    </row>
    <row r="2783" spans="1:5">
      <c r="A2783" s="3" t="s">
        <v>2804</v>
      </c>
      <c r="B2783" s="3" t="s">
        <v>22</v>
      </c>
      <c r="C2783" s="3">
        <v>1195891</v>
      </c>
      <c r="D2783" s="3">
        <v>289240</v>
      </c>
      <c r="E2783" s="3" t="s">
        <v>23</v>
      </c>
    </row>
    <row r="2784" spans="1:5">
      <c r="A2784" s="3" t="s">
        <v>2805</v>
      </c>
      <c r="B2784" s="3" t="s">
        <v>22</v>
      </c>
      <c r="C2784" s="3">
        <v>816914</v>
      </c>
      <c r="D2784" s="3">
        <v>144198</v>
      </c>
      <c r="E2784" s="3" t="s">
        <v>23</v>
      </c>
    </row>
    <row r="2785" spans="1:5">
      <c r="A2785" s="3" t="s">
        <v>2806</v>
      </c>
      <c r="B2785" s="3" t="s">
        <v>22</v>
      </c>
      <c r="C2785" s="3">
        <v>1386723</v>
      </c>
      <c r="D2785" s="3">
        <v>353680</v>
      </c>
      <c r="E2785" s="3" t="s">
        <v>23</v>
      </c>
    </row>
    <row r="2786" spans="1:5">
      <c r="A2786" s="3" t="s">
        <v>2807</v>
      </c>
      <c r="B2786" s="3" t="s">
        <v>22</v>
      </c>
      <c r="C2786" s="3">
        <v>1064832</v>
      </c>
      <c r="D2786" s="3">
        <v>211998</v>
      </c>
      <c r="E2786" s="3" t="s">
        <v>23</v>
      </c>
    </row>
    <row r="2787" spans="1:5">
      <c r="A2787" s="3" t="s">
        <v>2808</v>
      </c>
      <c r="B2787" s="3" t="s">
        <v>22</v>
      </c>
      <c r="C2787" s="3">
        <v>608498</v>
      </c>
      <c r="D2787" s="3">
        <v>98400</v>
      </c>
      <c r="E2787" s="3" t="s">
        <v>23</v>
      </c>
    </row>
    <row r="2788" spans="1:5">
      <c r="A2788" s="3" t="s">
        <v>2809</v>
      </c>
      <c r="B2788" s="3" t="s">
        <v>22</v>
      </c>
      <c r="C2788" s="3">
        <v>313581</v>
      </c>
      <c r="D2788" s="3">
        <v>3447</v>
      </c>
      <c r="E2788" s="3" t="s">
        <v>23</v>
      </c>
    </row>
    <row r="2789" spans="1:5">
      <c r="A2789" s="3" t="s">
        <v>2810</v>
      </c>
      <c r="B2789" s="3" t="s">
        <v>22</v>
      </c>
      <c r="C2789" s="3">
        <v>1153487</v>
      </c>
      <c r="D2789" s="3">
        <v>260664</v>
      </c>
      <c r="E2789" s="3" t="s">
        <v>23</v>
      </c>
    </row>
    <row r="2790" spans="1:5">
      <c r="A2790" s="3" t="s">
        <v>2811</v>
      </c>
      <c r="B2790" s="3" t="s">
        <v>22</v>
      </c>
      <c r="C2790" s="3">
        <v>504236</v>
      </c>
      <c r="D2790" s="3">
        <v>23651</v>
      </c>
      <c r="E2790" s="3" t="s">
        <v>23</v>
      </c>
    </row>
    <row r="2791" spans="1:5">
      <c r="A2791" s="3" t="s">
        <v>2812</v>
      </c>
      <c r="B2791" s="3" t="s">
        <v>22</v>
      </c>
      <c r="C2791" s="3">
        <v>534172</v>
      </c>
      <c r="D2791" s="3">
        <v>29867</v>
      </c>
      <c r="E2791" s="3" t="s">
        <v>23</v>
      </c>
    </row>
    <row r="2792" spans="1:5">
      <c r="A2792" s="3" t="s">
        <v>2813</v>
      </c>
      <c r="B2792" s="3" t="s">
        <v>22</v>
      </c>
      <c r="C2792" s="3">
        <v>1338945</v>
      </c>
      <c r="D2792" s="3">
        <v>406704</v>
      </c>
      <c r="E2792" s="3" t="s">
        <v>23</v>
      </c>
    </row>
    <row r="2793" spans="1:5">
      <c r="A2793" s="3" t="s">
        <v>2814</v>
      </c>
      <c r="B2793" s="3" t="s">
        <v>22</v>
      </c>
      <c r="C2793" s="3">
        <v>668649</v>
      </c>
      <c r="D2793" s="3">
        <v>129450</v>
      </c>
      <c r="E2793" s="3" t="s">
        <v>23</v>
      </c>
    </row>
    <row r="2794" spans="1:5">
      <c r="A2794" s="3" t="s">
        <v>2815</v>
      </c>
      <c r="B2794" s="3" t="s">
        <v>22</v>
      </c>
      <c r="C2794" s="3">
        <v>1366243</v>
      </c>
      <c r="D2794" s="3">
        <v>383523</v>
      </c>
      <c r="E2794" s="3" t="s">
        <v>23</v>
      </c>
    </row>
    <row r="2795" spans="1:5">
      <c r="A2795" s="3" t="s">
        <v>2816</v>
      </c>
      <c r="B2795" s="3" t="s">
        <v>22</v>
      </c>
      <c r="C2795" s="3">
        <v>419006</v>
      </c>
      <c r="D2795" s="3">
        <v>13839</v>
      </c>
      <c r="E2795" s="3" t="s">
        <v>23</v>
      </c>
    </row>
    <row r="2796" spans="1:5">
      <c r="A2796" s="3" t="s">
        <v>2817</v>
      </c>
      <c r="B2796" s="3" t="s">
        <v>22</v>
      </c>
      <c r="C2796" s="3">
        <v>772915</v>
      </c>
      <c r="D2796" s="3">
        <v>183165</v>
      </c>
      <c r="E2796" s="3" t="s">
        <v>23</v>
      </c>
    </row>
    <row r="2797" spans="1:5">
      <c r="A2797" s="3" t="s">
        <v>2818</v>
      </c>
      <c r="B2797" s="3" t="s">
        <v>22</v>
      </c>
      <c r="C2797" s="3">
        <v>1796586</v>
      </c>
      <c r="D2797" s="3">
        <v>665187</v>
      </c>
      <c r="E2797" s="3" t="s">
        <v>23</v>
      </c>
    </row>
    <row r="2798" spans="1:5">
      <c r="A2798" s="3" t="s">
        <v>2819</v>
      </c>
      <c r="B2798" s="3" t="s">
        <v>22</v>
      </c>
      <c r="C2798" s="3">
        <v>425866</v>
      </c>
      <c r="D2798" s="3">
        <v>17325</v>
      </c>
      <c r="E2798" s="3" t="s">
        <v>23</v>
      </c>
    </row>
    <row r="2799" spans="1:5">
      <c r="A2799" s="3" t="s">
        <v>2820</v>
      </c>
      <c r="B2799" s="3" t="s">
        <v>22</v>
      </c>
      <c r="C2799" s="3">
        <v>426754</v>
      </c>
      <c r="D2799" s="3">
        <v>4652</v>
      </c>
      <c r="E2799" s="3" t="s">
        <v>23</v>
      </c>
    </row>
    <row r="2800" spans="1:5">
      <c r="A2800" s="3" t="s">
        <v>2821</v>
      </c>
      <c r="B2800" s="3" t="s">
        <v>22</v>
      </c>
      <c r="C2800" s="3">
        <v>1741404</v>
      </c>
      <c r="D2800" s="3">
        <v>589106</v>
      </c>
      <c r="E2800" s="3" t="s">
        <v>23</v>
      </c>
    </row>
    <row r="2801" spans="1:5">
      <c r="A2801" s="3" t="s">
        <v>2822</v>
      </c>
      <c r="B2801" s="3" t="s">
        <v>22</v>
      </c>
      <c r="C2801" s="3">
        <v>1227321</v>
      </c>
      <c r="D2801" s="3">
        <v>283526</v>
      </c>
      <c r="E2801" s="3" t="s">
        <v>23</v>
      </c>
    </row>
    <row r="2802" spans="1:5">
      <c r="A2802" s="3" t="s">
        <v>2823</v>
      </c>
      <c r="B2802" s="3" t="s">
        <v>22</v>
      </c>
      <c r="C2802" s="3">
        <v>798797</v>
      </c>
      <c r="D2802" s="3">
        <v>200955</v>
      </c>
      <c r="E2802" s="3" t="s">
        <v>23</v>
      </c>
    </row>
    <row r="2803" spans="1:5">
      <c r="A2803" s="3" t="s">
        <v>2824</v>
      </c>
      <c r="B2803" s="3" t="s">
        <v>22</v>
      </c>
      <c r="C2803" s="3">
        <v>1095540</v>
      </c>
      <c r="D2803" s="3">
        <v>295115</v>
      </c>
      <c r="E2803" s="3" t="s">
        <v>23</v>
      </c>
    </row>
    <row r="2804" spans="1:5">
      <c r="A2804" s="3" t="s">
        <v>2825</v>
      </c>
      <c r="B2804" s="3" t="s">
        <v>22</v>
      </c>
      <c r="C2804" s="3">
        <v>1376620</v>
      </c>
      <c r="D2804" s="3">
        <v>440789</v>
      </c>
      <c r="E2804" s="3" t="s">
        <v>23</v>
      </c>
    </row>
    <row r="2805" spans="1:5">
      <c r="A2805" s="3" t="s">
        <v>2826</v>
      </c>
      <c r="B2805" s="3" t="s">
        <v>22</v>
      </c>
      <c r="C2805" s="3">
        <v>360722</v>
      </c>
      <c r="D2805" s="3">
        <v>1642</v>
      </c>
      <c r="E2805" s="3" t="s">
        <v>23</v>
      </c>
    </row>
    <row r="2806" spans="1:5">
      <c r="A2806" s="3" t="s">
        <v>2827</v>
      </c>
      <c r="B2806" s="3" t="s">
        <v>22</v>
      </c>
      <c r="C2806" s="3">
        <v>539509</v>
      </c>
      <c r="D2806" s="3">
        <v>30531</v>
      </c>
      <c r="E2806" s="3" t="s">
        <v>23</v>
      </c>
    </row>
    <row r="2807" spans="1:5">
      <c r="A2807" s="3" t="s">
        <v>2828</v>
      </c>
      <c r="B2807" s="3" t="s">
        <v>22</v>
      </c>
      <c r="C2807" s="3">
        <v>1490289</v>
      </c>
      <c r="D2807" s="3">
        <v>518847</v>
      </c>
      <c r="E2807" s="3" t="s">
        <v>23</v>
      </c>
    </row>
    <row r="2808" spans="1:5">
      <c r="A2808" s="3" t="s">
        <v>2829</v>
      </c>
      <c r="B2808" s="3" t="s">
        <v>22</v>
      </c>
      <c r="C2808" s="3">
        <v>993815</v>
      </c>
      <c r="D2808" s="3">
        <v>231357</v>
      </c>
      <c r="E2808" s="3" t="s">
        <v>23</v>
      </c>
    </row>
    <row r="2809" spans="1:5">
      <c r="A2809" s="3" t="s">
        <v>2830</v>
      </c>
      <c r="B2809" s="3" t="s">
        <v>22</v>
      </c>
      <c r="C2809" s="3">
        <v>1536493</v>
      </c>
      <c r="D2809" s="3">
        <v>383632</v>
      </c>
      <c r="E2809" s="3" t="s">
        <v>23</v>
      </c>
    </row>
    <row r="2810" spans="1:5">
      <c r="A2810" s="3" t="s">
        <v>2831</v>
      </c>
      <c r="B2810" s="3" t="s">
        <v>22</v>
      </c>
      <c r="C2810" s="3">
        <v>342335</v>
      </c>
      <c r="D2810" s="3">
        <v>651</v>
      </c>
      <c r="E2810" s="3" t="s">
        <v>23</v>
      </c>
    </row>
    <row r="2811" spans="1:5">
      <c r="A2811" s="3" t="s">
        <v>2832</v>
      </c>
      <c r="B2811" s="3" t="s">
        <v>22</v>
      </c>
      <c r="C2811" s="3">
        <v>1451054</v>
      </c>
      <c r="D2811" s="3">
        <v>455276</v>
      </c>
      <c r="E2811" s="3" t="s">
        <v>23</v>
      </c>
    </row>
    <row r="2812" spans="1:5">
      <c r="A2812" s="3" t="s">
        <v>2833</v>
      </c>
      <c r="B2812" s="3" t="s">
        <v>22</v>
      </c>
      <c r="C2812" s="3">
        <v>1383980</v>
      </c>
      <c r="D2812" s="3">
        <v>388146</v>
      </c>
      <c r="E2812" s="3" t="s">
        <v>23</v>
      </c>
    </row>
    <row r="2813" spans="1:5">
      <c r="A2813" s="3" t="s">
        <v>2834</v>
      </c>
      <c r="B2813" s="3" t="s">
        <v>22</v>
      </c>
      <c r="C2813" s="3">
        <v>1442589</v>
      </c>
      <c r="D2813" s="3">
        <v>435270</v>
      </c>
      <c r="E2813" s="3" t="s">
        <v>23</v>
      </c>
    </row>
    <row r="2814" spans="1:5">
      <c r="A2814" s="3" t="s">
        <v>2835</v>
      </c>
      <c r="B2814" s="3" t="s">
        <v>22</v>
      </c>
      <c r="C2814" s="3">
        <v>448581</v>
      </c>
      <c r="D2814" s="3">
        <v>40790</v>
      </c>
      <c r="E2814" s="3" t="s">
        <v>23</v>
      </c>
    </row>
    <row r="2815" spans="1:5">
      <c r="A2815" s="3" t="s">
        <v>2836</v>
      </c>
      <c r="B2815" s="3" t="s">
        <v>22</v>
      </c>
      <c r="C2815" s="3">
        <v>2054</v>
      </c>
      <c r="D2815" s="3">
        <v>624</v>
      </c>
      <c r="E2815" s="3" t="s">
        <v>23</v>
      </c>
    </row>
    <row r="2816" spans="1:5">
      <c r="A2816" s="3" t="s">
        <v>2837</v>
      </c>
      <c r="B2816" s="3" t="s">
        <v>22</v>
      </c>
      <c r="C2816" s="3">
        <v>2160693</v>
      </c>
      <c r="D2816" s="3">
        <v>449451</v>
      </c>
      <c r="E2816" s="3" t="s">
        <v>23</v>
      </c>
    </row>
    <row r="2817" spans="1:5">
      <c r="A2817" s="3" t="s">
        <v>2838</v>
      </c>
      <c r="B2817" s="3" t="s">
        <v>22</v>
      </c>
      <c r="C2817" s="3">
        <v>1198444</v>
      </c>
      <c r="D2817" s="3">
        <v>311180</v>
      </c>
      <c r="E2817" s="3" t="s">
        <v>23</v>
      </c>
    </row>
    <row r="2818" spans="1:5">
      <c r="A2818" s="3" t="s">
        <v>2839</v>
      </c>
      <c r="B2818" s="3" t="s">
        <v>22</v>
      </c>
      <c r="C2818" s="3">
        <v>1447054</v>
      </c>
      <c r="D2818" s="3">
        <v>345883</v>
      </c>
      <c r="E2818" s="3" t="s">
        <v>23</v>
      </c>
    </row>
    <row r="2819" spans="1:5">
      <c r="A2819" s="3" t="s">
        <v>2840</v>
      </c>
      <c r="B2819" s="3" t="s">
        <v>22</v>
      </c>
      <c r="C2819" s="3">
        <v>1109823</v>
      </c>
      <c r="D2819" s="3">
        <v>210652</v>
      </c>
      <c r="E2819" s="3" t="s">
        <v>23</v>
      </c>
    </row>
    <row r="2820" spans="1:5">
      <c r="A2820" s="3" t="s">
        <v>2841</v>
      </c>
      <c r="B2820" s="3" t="s">
        <v>22</v>
      </c>
      <c r="C2820" s="3">
        <v>886192</v>
      </c>
      <c r="D2820" s="3">
        <v>115319</v>
      </c>
      <c r="E2820" s="3" t="s">
        <v>23</v>
      </c>
    </row>
    <row r="2821" spans="1:5">
      <c r="A2821" s="3" t="s">
        <v>2842</v>
      </c>
      <c r="B2821" s="3" t="s">
        <v>22</v>
      </c>
      <c r="C2821" s="3">
        <v>523697</v>
      </c>
      <c r="D2821" s="3">
        <v>19780</v>
      </c>
      <c r="E2821" s="3" t="s">
        <v>23</v>
      </c>
    </row>
    <row r="2822" spans="1:5">
      <c r="A2822" s="3" t="s">
        <v>2843</v>
      </c>
      <c r="B2822" s="3" t="s">
        <v>22</v>
      </c>
      <c r="C2822" s="3">
        <v>1359265</v>
      </c>
      <c r="D2822" s="3">
        <v>378033</v>
      </c>
      <c r="E2822" s="3" t="s">
        <v>23</v>
      </c>
    </row>
    <row r="2823" spans="1:5">
      <c r="A2823" s="3" t="s">
        <v>2844</v>
      </c>
      <c r="B2823" s="3" t="s">
        <v>22</v>
      </c>
      <c r="C2823" s="3">
        <v>710176</v>
      </c>
      <c r="D2823" s="3">
        <v>30131</v>
      </c>
      <c r="E2823" s="3" t="s">
        <v>23</v>
      </c>
    </row>
    <row r="2824" spans="1:5">
      <c r="A2824" s="3" t="s">
        <v>2845</v>
      </c>
      <c r="B2824" s="3" t="s">
        <v>22</v>
      </c>
      <c r="C2824" s="3">
        <v>709452</v>
      </c>
      <c r="D2824" s="3">
        <v>22489</v>
      </c>
      <c r="E2824" s="3" t="s">
        <v>23</v>
      </c>
    </row>
    <row r="2825" spans="1:5">
      <c r="A2825" s="3" t="s">
        <v>2846</v>
      </c>
      <c r="B2825" s="3" t="s">
        <v>22</v>
      </c>
      <c r="C2825" s="3">
        <v>788588</v>
      </c>
      <c r="D2825" s="3">
        <v>68135</v>
      </c>
      <c r="E2825" s="3" t="s">
        <v>23</v>
      </c>
    </row>
    <row r="2826" spans="1:5">
      <c r="A2826" s="3" t="s">
        <v>2847</v>
      </c>
      <c r="B2826" s="3" t="s">
        <v>22</v>
      </c>
      <c r="C2826" s="3">
        <v>1291718</v>
      </c>
      <c r="D2826" s="3">
        <v>288472</v>
      </c>
      <c r="E2826" s="3" t="s">
        <v>23</v>
      </c>
    </row>
    <row r="2827" spans="1:5">
      <c r="A2827" s="3" t="s">
        <v>2848</v>
      </c>
      <c r="B2827" s="3" t="s">
        <v>22</v>
      </c>
      <c r="C2827" s="3">
        <v>1430027</v>
      </c>
      <c r="D2827" s="3">
        <v>294765</v>
      </c>
      <c r="E2827" s="3" t="s">
        <v>23</v>
      </c>
    </row>
    <row r="2828" spans="1:5">
      <c r="A2828" s="3" t="s">
        <v>2849</v>
      </c>
      <c r="B2828" s="3" t="s">
        <v>22</v>
      </c>
      <c r="C2828" s="3">
        <v>1489959</v>
      </c>
      <c r="D2828" s="3">
        <v>374811</v>
      </c>
      <c r="E2828" s="3" t="s">
        <v>23</v>
      </c>
    </row>
    <row r="2829" spans="1:5">
      <c r="A2829" s="3" t="s">
        <v>2850</v>
      </c>
      <c r="B2829" s="3" t="s">
        <v>22</v>
      </c>
      <c r="C2829" s="3">
        <v>693693</v>
      </c>
      <c r="D2829" s="3">
        <v>47410</v>
      </c>
      <c r="E2829" s="3" t="s">
        <v>23</v>
      </c>
    </row>
    <row r="2830" spans="1:5">
      <c r="A2830" s="3" t="s">
        <v>2851</v>
      </c>
      <c r="B2830" s="3" t="s">
        <v>22</v>
      </c>
      <c r="C2830" s="3">
        <v>1343021</v>
      </c>
      <c r="D2830" s="3">
        <v>301229</v>
      </c>
      <c r="E2830" s="3" t="s">
        <v>23</v>
      </c>
    </row>
    <row r="2831" spans="1:5">
      <c r="A2831" s="3" t="s">
        <v>2852</v>
      </c>
      <c r="B2831" s="3" t="s">
        <v>22</v>
      </c>
      <c r="C2831" s="3">
        <v>1338568</v>
      </c>
      <c r="D2831" s="3">
        <v>299032</v>
      </c>
      <c r="E2831" s="3" t="s">
        <v>23</v>
      </c>
    </row>
    <row r="2832" spans="1:5">
      <c r="A2832" s="3" t="s">
        <v>2853</v>
      </c>
      <c r="B2832" s="3" t="s">
        <v>22</v>
      </c>
      <c r="C2832" s="3">
        <v>1280598</v>
      </c>
      <c r="D2832" s="3">
        <v>276918</v>
      </c>
      <c r="E2832" s="3" t="s">
        <v>23</v>
      </c>
    </row>
    <row r="2833" spans="1:5">
      <c r="A2833" s="3" t="s">
        <v>2854</v>
      </c>
      <c r="B2833" s="3" t="s">
        <v>22</v>
      </c>
      <c r="C2833" s="3">
        <v>1055553</v>
      </c>
      <c r="D2833" s="3">
        <v>235472</v>
      </c>
      <c r="E2833" s="3" t="s">
        <v>23</v>
      </c>
    </row>
    <row r="2834" spans="1:5">
      <c r="A2834" s="3" t="s">
        <v>2855</v>
      </c>
      <c r="B2834" s="3" t="s">
        <v>22</v>
      </c>
      <c r="C2834" s="3">
        <v>978063</v>
      </c>
      <c r="D2834" s="3">
        <v>153062</v>
      </c>
      <c r="E2834" s="3" t="s">
        <v>23</v>
      </c>
    </row>
    <row r="2835" spans="1:5">
      <c r="A2835" s="3" t="s">
        <v>2856</v>
      </c>
      <c r="B2835" s="3" t="s">
        <v>22</v>
      </c>
      <c r="C2835" s="3">
        <v>1453544</v>
      </c>
      <c r="D2835" s="3">
        <v>365442</v>
      </c>
      <c r="E2835" s="3" t="s">
        <v>23</v>
      </c>
    </row>
    <row r="2836" spans="1:5">
      <c r="A2836" s="3" t="s">
        <v>2857</v>
      </c>
      <c r="B2836" s="3" t="s">
        <v>22</v>
      </c>
      <c r="C2836" s="3">
        <v>2049027</v>
      </c>
      <c r="D2836" s="3">
        <v>692356</v>
      </c>
      <c r="E2836" s="3" t="s">
        <v>23</v>
      </c>
    </row>
    <row r="2837" spans="1:5">
      <c r="A2837" s="3" t="s">
        <v>2858</v>
      </c>
      <c r="B2837" s="3" t="s">
        <v>22</v>
      </c>
      <c r="C2837" s="3">
        <v>151392</v>
      </c>
      <c r="D2837" s="3">
        <v>4453</v>
      </c>
      <c r="E2837" s="3" t="s">
        <v>23</v>
      </c>
    </row>
    <row r="2838" spans="1:5">
      <c r="A2838" s="3" t="s">
        <v>2859</v>
      </c>
      <c r="B2838" s="3" t="s">
        <v>22</v>
      </c>
      <c r="C2838" s="3">
        <v>1328987</v>
      </c>
      <c r="D2838" s="3">
        <v>263476</v>
      </c>
      <c r="E2838" s="3" t="s">
        <v>23</v>
      </c>
    </row>
    <row r="2839" spans="1:5">
      <c r="A2839" s="3" t="s">
        <v>2860</v>
      </c>
      <c r="B2839" s="3" t="s">
        <v>22</v>
      </c>
      <c r="C2839" s="3">
        <v>1300361</v>
      </c>
      <c r="D2839" s="3">
        <v>320966</v>
      </c>
      <c r="E2839" s="3" t="s">
        <v>23</v>
      </c>
    </row>
    <row r="2840" spans="1:5">
      <c r="A2840" s="3" t="s">
        <v>2861</v>
      </c>
      <c r="B2840" s="3" t="s">
        <v>22</v>
      </c>
      <c r="C2840" s="3">
        <v>1577504</v>
      </c>
      <c r="D2840" s="3">
        <v>370461</v>
      </c>
      <c r="E2840" s="3" t="s">
        <v>23</v>
      </c>
    </row>
    <row r="2841" spans="1:5">
      <c r="A2841" s="3" t="s">
        <v>2862</v>
      </c>
      <c r="B2841" s="3" t="s">
        <v>22</v>
      </c>
      <c r="C2841" s="3">
        <v>1583130</v>
      </c>
      <c r="D2841" s="3">
        <v>382228</v>
      </c>
      <c r="E2841" s="3" t="s">
        <v>23</v>
      </c>
    </row>
    <row r="2842" spans="1:5">
      <c r="A2842" s="3" t="s">
        <v>2863</v>
      </c>
      <c r="B2842" s="3" t="s">
        <v>22</v>
      </c>
      <c r="C2842" s="3">
        <v>1489593</v>
      </c>
      <c r="D2842" s="3">
        <v>363481</v>
      </c>
      <c r="E2842" s="3" t="s">
        <v>23</v>
      </c>
    </row>
    <row r="2843" spans="1:5">
      <c r="A2843" s="3" t="s">
        <v>2864</v>
      </c>
      <c r="B2843" s="3" t="s">
        <v>22</v>
      </c>
      <c r="C2843" s="3">
        <v>1195754</v>
      </c>
      <c r="D2843" s="3">
        <v>215762</v>
      </c>
      <c r="E2843" s="3" t="s">
        <v>23</v>
      </c>
    </row>
    <row r="2844" spans="1:5">
      <c r="A2844" s="3" t="s">
        <v>2865</v>
      </c>
      <c r="B2844" s="3" t="s">
        <v>22</v>
      </c>
      <c r="C2844" s="3">
        <v>357994</v>
      </c>
      <c r="D2844" s="3">
        <v>12311</v>
      </c>
      <c r="E2844" s="3" t="s">
        <v>23</v>
      </c>
    </row>
    <row r="2845" spans="1:5">
      <c r="A2845" s="3" t="s">
        <v>2866</v>
      </c>
      <c r="B2845" s="3" t="s">
        <v>22</v>
      </c>
      <c r="C2845" s="3">
        <v>984677</v>
      </c>
      <c r="D2845" s="3">
        <v>98950</v>
      </c>
      <c r="E2845" s="3" t="s">
        <v>23</v>
      </c>
    </row>
    <row r="2846" spans="1:5">
      <c r="A2846" s="3" t="s">
        <v>2867</v>
      </c>
      <c r="B2846" s="3" t="s">
        <v>22</v>
      </c>
      <c r="C2846" s="3">
        <v>1028242</v>
      </c>
      <c r="D2846" s="3">
        <v>165945</v>
      </c>
      <c r="E2846" s="3" t="s">
        <v>23</v>
      </c>
    </row>
    <row r="2847" spans="1:5">
      <c r="A2847" s="3" t="s">
        <v>2868</v>
      </c>
      <c r="B2847" s="3" t="s">
        <v>22</v>
      </c>
      <c r="C2847" s="3">
        <v>2057140</v>
      </c>
      <c r="D2847" s="3">
        <v>616320</v>
      </c>
      <c r="E2847" s="3" t="s">
        <v>23</v>
      </c>
    </row>
    <row r="2848" spans="1:5">
      <c r="A2848" s="3" t="s">
        <v>2869</v>
      </c>
      <c r="B2848" s="3" t="s">
        <v>22</v>
      </c>
      <c r="C2848" s="3">
        <v>705797</v>
      </c>
      <c r="D2848" s="3">
        <v>75503</v>
      </c>
      <c r="E2848" s="3" t="s">
        <v>23</v>
      </c>
    </row>
    <row r="2849" spans="1:5">
      <c r="A2849" s="3" t="s">
        <v>2870</v>
      </c>
      <c r="B2849" s="3" t="s">
        <v>22</v>
      </c>
      <c r="C2849" s="3">
        <v>670015</v>
      </c>
      <c r="D2849" s="3">
        <v>34825</v>
      </c>
      <c r="E2849" s="3" t="s">
        <v>23</v>
      </c>
    </row>
    <row r="2850" spans="1:5">
      <c r="A2850" s="3" t="s">
        <v>2871</v>
      </c>
      <c r="B2850" s="3" t="s">
        <v>22</v>
      </c>
      <c r="C2850" s="3">
        <v>403463</v>
      </c>
      <c r="D2850" s="3">
        <v>81</v>
      </c>
      <c r="E2850" s="3" t="s">
        <v>23</v>
      </c>
    </row>
    <row r="2851" spans="1:5">
      <c r="A2851" s="3" t="s">
        <v>2872</v>
      </c>
      <c r="B2851" s="3" t="s">
        <v>22</v>
      </c>
      <c r="C2851" s="3">
        <v>2045399</v>
      </c>
      <c r="D2851" s="3">
        <v>670831</v>
      </c>
      <c r="E2851" s="3" t="s">
        <v>23</v>
      </c>
    </row>
    <row r="2852" spans="1:5">
      <c r="A2852" s="3" t="s">
        <v>2873</v>
      </c>
      <c r="B2852" s="3" t="s">
        <v>22</v>
      </c>
      <c r="C2852" s="3">
        <v>781033</v>
      </c>
      <c r="D2852" s="3">
        <v>20146</v>
      </c>
      <c r="E2852" s="3" t="s">
        <v>23</v>
      </c>
    </row>
    <row r="2853" spans="1:5">
      <c r="A2853" s="3" t="s">
        <v>2874</v>
      </c>
      <c r="B2853" s="3" t="s">
        <v>22</v>
      </c>
      <c r="C2853" s="3">
        <v>1874781</v>
      </c>
      <c r="D2853" s="3">
        <v>623392</v>
      </c>
      <c r="E2853" s="3" t="s">
        <v>23</v>
      </c>
    </row>
    <row r="2854" spans="1:5">
      <c r="A2854" s="3" t="s">
        <v>2875</v>
      </c>
      <c r="B2854" s="3" t="s">
        <v>22</v>
      </c>
      <c r="C2854" s="3">
        <v>924128</v>
      </c>
      <c r="D2854" s="3">
        <v>47685</v>
      </c>
      <c r="E2854" s="3" t="s">
        <v>23</v>
      </c>
    </row>
    <row r="2855" spans="1:5">
      <c r="A2855" s="3" t="s">
        <v>2876</v>
      </c>
      <c r="B2855" s="3" t="s">
        <v>22</v>
      </c>
      <c r="C2855" s="3">
        <v>1134959</v>
      </c>
      <c r="D2855" s="3">
        <v>136438</v>
      </c>
      <c r="E2855" s="3" t="s">
        <v>23</v>
      </c>
    </row>
    <row r="2856" spans="1:5">
      <c r="A2856" s="3" t="s">
        <v>2877</v>
      </c>
      <c r="B2856" s="3" t="s">
        <v>22</v>
      </c>
      <c r="C2856" s="3">
        <v>632297</v>
      </c>
      <c r="D2856" s="3">
        <v>16931</v>
      </c>
      <c r="E2856" s="3" t="s">
        <v>23</v>
      </c>
    </row>
    <row r="2857" spans="1:5">
      <c r="A2857" s="3" t="s">
        <v>2878</v>
      </c>
      <c r="B2857" s="3" t="s">
        <v>22</v>
      </c>
      <c r="C2857" s="3">
        <v>445650</v>
      </c>
      <c r="D2857" s="3">
        <v>1823</v>
      </c>
      <c r="E2857" s="3" t="s">
        <v>23</v>
      </c>
    </row>
    <row r="2858" spans="1:5">
      <c r="A2858" s="3" t="s">
        <v>2879</v>
      </c>
      <c r="B2858" s="3" t="s">
        <v>22</v>
      </c>
      <c r="C2858" s="3">
        <v>1844051</v>
      </c>
      <c r="D2858" s="3">
        <v>527350</v>
      </c>
      <c r="E2858" s="3" t="s">
        <v>23</v>
      </c>
    </row>
    <row r="2859" spans="1:5">
      <c r="A2859" s="3" t="s">
        <v>2880</v>
      </c>
      <c r="B2859" s="3" t="s">
        <v>22</v>
      </c>
      <c r="C2859" s="3">
        <v>1110338</v>
      </c>
      <c r="D2859" s="3">
        <v>162635</v>
      </c>
      <c r="E2859" s="3" t="s">
        <v>23</v>
      </c>
    </row>
    <row r="2860" spans="1:5">
      <c r="A2860" s="3" t="s">
        <v>2881</v>
      </c>
      <c r="B2860" s="3" t="s">
        <v>22</v>
      </c>
      <c r="C2860" s="3">
        <v>1853926</v>
      </c>
      <c r="D2860" s="3">
        <v>498255</v>
      </c>
      <c r="E2860" s="3" t="s">
        <v>23</v>
      </c>
    </row>
    <row r="2861" spans="1:5">
      <c r="A2861" s="3" t="s">
        <v>2882</v>
      </c>
      <c r="B2861" s="3" t="s">
        <v>22</v>
      </c>
      <c r="C2861" s="3">
        <v>827736</v>
      </c>
      <c r="D2861" s="3">
        <v>54327</v>
      </c>
      <c r="E2861" s="3" t="s">
        <v>23</v>
      </c>
    </row>
    <row r="2862" spans="1:5">
      <c r="A2862" s="3" t="s">
        <v>2883</v>
      </c>
      <c r="B2862" s="3" t="s">
        <v>22</v>
      </c>
      <c r="C2862" s="3">
        <v>889585</v>
      </c>
      <c r="D2862" s="3">
        <v>124336</v>
      </c>
      <c r="E2862" s="3" t="s">
        <v>23</v>
      </c>
    </row>
    <row r="2863" spans="1:5">
      <c r="A2863" s="3" t="s">
        <v>2884</v>
      </c>
      <c r="B2863" s="3" t="s">
        <v>22</v>
      </c>
      <c r="C2863" s="3">
        <v>1454856</v>
      </c>
      <c r="D2863" s="3">
        <v>379012</v>
      </c>
      <c r="E2863" s="3" t="s">
        <v>23</v>
      </c>
    </row>
    <row r="2864" spans="1:5">
      <c r="A2864" s="3" t="s">
        <v>2885</v>
      </c>
      <c r="B2864" s="3" t="s">
        <v>22</v>
      </c>
      <c r="C2864" s="3">
        <v>1902476</v>
      </c>
      <c r="D2864" s="3">
        <v>593791</v>
      </c>
      <c r="E2864" s="3" t="s">
        <v>23</v>
      </c>
    </row>
    <row r="2865" spans="1:5">
      <c r="A2865" s="3" t="s">
        <v>2886</v>
      </c>
      <c r="B2865" s="3" t="s">
        <v>22</v>
      </c>
      <c r="C2865" s="3">
        <v>2235417</v>
      </c>
      <c r="D2865" s="3">
        <v>650588</v>
      </c>
      <c r="E2865" s="3" t="s">
        <v>23</v>
      </c>
    </row>
    <row r="2866" spans="1:5">
      <c r="A2866" s="3" t="s">
        <v>2887</v>
      </c>
      <c r="B2866" s="3" t="s">
        <v>22</v>
      </c>
      <c r="C2866" s="3">
        <v>1914</v>
      </c>
      <c r="D2866" s="3">
        <v>550</v>
      </c>
      <c r="E2866" s="3" t="s">
        <v>23</v>
      </c>
    </row>
    <row r="2867" spans="1:5">
      <c r="A2867" s="3" t="s">
        <v>2888</v>
      </c>
      <c r="B2867" s="3" t="s">
        <v>22</v>
      </c>
      <c r="C2867" s="3">
        <v>1869233</v>
      </c>
      <c r="D2867" s="3">
        <v>532737</v>
      </c>
      <c r="E2867" s="3" t="s">
        <v>23</v>
      </c>
    </row>
    <row r="2868" spans="1:5">
      <c r="A2868" s="3" t="s">
        <v>2889</v>
      </c>
      <c r="B2868" s="3" t="s">
        <v>22</v>
      </c>
      <c r="C2868" s="3">
        <v>1264434</v>
      </c>
      <c r="D2868" s="3">
        <v>267471</v>
      </c>
      <c r="E2868" s="3" t="s">
        <v>23</v>
      </c>
    </row>
    <row r="2869" spans="1:5">
      <c r="A2869" s="3" t="s">
        <v>2890</v>
      </c>
      <c r="B2869" s="3" t="s">
        <v>22</v>
      </c>
      <c r="C2869" s="3">
        <v>1361613</v>
      </c>
      <c r="D2869" s="3">
        <v>354993</v>
      </c>
      <c r="E2869" s="3" t="s">
        <v>23</v>
      </c>
    </row>
    <row r="2870" spans="1:5">
      <c r="A2870" s="3" t="s">
        <v>2891</v>
      </c>
      <c r="B2870" s="3" t="s">
        <v>22</v>
      </c>
      <c r="C2870" s="3">
        <v>1472158</v>
      </c>
      <c r="D2870" s="3">
        <v>360860</v>
      </c>
      <c r="E2870" s="3" t="s">
        <v>23</v>
      </c>
    </row>
    <row r="2871" spans="1:5">
      <c r="A2871" s="3" t="s">
        <v>2892</v>
      </c>
      <c r="B2871" s="3" t="s">
        <v>22</v>
      </c>
      <c r="C2871" s="3">
        <v>1168841</v>
      </c>
      <c r="D2871" s="3">
        <v>194082</v>
      </c>
      <c r="E2871" s="3" t="s">
        <v>23</v>
      </c>
    </row>
    <row r="2872" spans="1:5">
      <c r="A2872" s="3" t="s">
        <v>2893</v>
      </c>
      <c r="B2872" s="3" t="s">
        <v>22</v>
      </c>
      <c r="C2872" s="3">
        <v>1526556</v>
      </c>
      <c r="D2872" s="3">
        <v>418734</v>
      </c>
      <c r="E2872" s="3" t="s">
        <v>23</v>
      </c>
    </row>
    <row r="2873" spans="1:5">
      <c r="A2873" s="3" t="s">
        <v>2894</v>
      </c>
      <c r="B2873" s="3" t="s">
        <v>22</v>
      </c>
      <c r="C2873" s="3">
        <v>2020535</v>
      </c>
      <c r="D2873" s="3">
        <v>672944</v>
      </c>
      <c r="E2873" s="3" t="s">
        <v>23</v>
      </c>
    </row>
    <row r="2874" spans="1:5">
      <c r="A2874" s="3" t="s">
        <v>2895</v>
      </c>
      <c r="B2874" s="3" t="s">
        <v>22</v>
      </c>
      <c r="C2874" s="3">
        <v>1002544</v>
      </c>
      <c r="D2874" s="3">
        <v>202081</v>
      </c>
      <c r="E2874" s="3" t="s">
        <v>23</v>
      </c>
    </row>
    <row r="2875" spans="1:5">
      <c r="A2875" s="3" t="s">
        <v>2896</v>
      </c>
      <c r="B2875" s="3" t="s">
        <v>22</v>
      </c>
      <c r="C2875" s="3">
        <v>1210603</v>
      </c>
      <c r="D2875" s="3">
        <v>232808</v>
      </c>
      <c r="E2875" s="3" t="s">
        <v>23</v>
      </c>
    </row>
    <row r="2876" spans="1:5">
      <c r="A2876" s="3" t="s">
        <v>2897</v>
      </c>
      <c r="B2876" s="3" t="s">
        <v>22</v>
      </c>
      <c r="C2876" s="3">
        <v>1565959</v>
      </c>
      <c r="D2876" s="3">
        <v>435449</v>
      </c>
      <c r="E2876" s="3" t="s">
        <v>23</v>
      </c>
    </row>
    <row r="2877" spans="1:5">
      <c r="A2877" s="3" t="s">
        <v>2898</v>
      </c>
      <c r="B2877" s="3" t="s">
        <v>22</v>
      </c>
      <c r="C2877" s="3">
        <v>1068590</v>
      </c>
      <c r="D2877" s="3">
        <v>232520</v>
      </c>
      <c r="E2877" s="3" t="s">
        <v>23</v>
      </c>
    </row>
    <row r="2878" spans="1:5">
      <c r="A2878" s="3" t="s">
        <v>2899</v>
      </c>
      <c r="B2878" s="3" t="s">
        <v>22</v>
      </c>
      <c r="C2878" s="3">
        <v>2092837</v>
      </c>
      <c r="D2878" s="3">
        <v>657112</v>
      </c>
      <c r="E2878" s="3" t="s">
        <v>23</v>
      </c>
    </row>
    <row r="2879" spans="1:5">
      <c r="A2879" s="3" t="s">
        <v>2900</v>
      </c>
      <c r="B2879" s="3" t="s">
        <v>22</v>
      </c>
      <c r="C2879" s="3">
        <v>1430403</v>
      </c>
      <c r="D2879" s="3">
        <v>276505</v>
      </c>
      <c r="E2879" s="3" t="s">
        <v>23</v>
      </c>
    </row>
    <row r="2880" spans="1:5">
      <c r="A2880" s="3" t="s">
        <v>2901</v>
      </c>
      <c r="B2880" s="3" t="s">
        <v>22</v>
      </c>
      <c r="C2880" s="3">
        <v>596621</v>
      </c>
      <c r="D2880" s="3">
        <v>12146</v>
      </c>
      <c r="E2880" s="3" t="s">
        <v>23</v>
      </c>
    </row>
    <row r="2881" spans="1:5">
      <c r="A2881" s="3" t="s">
        <v>2902</v>
      </c>
      <c r="B2881" s="3" t="s">
        <v>22</v>
      </c>
      <c r="C2881" s="3">
        <v>504955</v>
      </c>
      <c r="D2881" s="3">
        <v>6573</v>
      </c>
      <c r="E2881" s="3" t="s">
        <v>23</v>
      </c>
    </row>
    <row r="2882" spans="1:5">
      <c r="A2882" s="3" t="s">
        <v>2903</v>
      </c>
      <c r="B2882" s="3" t="s">
        <v>22</v>
      </c>
      <c r="C2882" s="3">
        <v>1409463</v>
      </c>
      <c r="D2882" s="3">
        <v>275800</v>
      </c>
      <c r="E2882" s="3" t="s">
        <v>23</v>
      </c>
    </row>
    <row r="2883" spans="1:5">
      <c r="A2883" s="3" t="s">
        <v>2904</v>
      </c>
      <c r="B2883" s="3" t="s">
        <v>22</v>
      </c>
      <c r="C2883" s="3">
        <v>1027921</v>
      </c>
      <c r="D2883" s="3">
        <v>160920</v>
      </c>
      <c r="E2883" s="3" t="s">
        <v>23</v>
      </c>
    </row>
    <row r="2884" spans="1:5">
      <c r="A2884" s="3" t="s">
        <v>2905</v>
      </c>
      <c r="B2884" s="3" t="s">
        <v>22</v>
      </c>
      <c r="C2884" s="3">
        <v>874805</v>
      </c>
      <c r="D2884" s="3">
        <v>194083</v>
      </c>
      <c r="E2884" s="3" t="s">
        <v>23</v>
      </c>
    </row>
    <row r="2885" spans="1:5">
      <c r="A2885" s="3" t="s">
        <v>2906</v>
      </c>
      <c r="B2885" s="3" t="s">
        <v>22</v>
      </c>
      <c r="C2885" s="3">
        <v>1803172</v>
      </c>
      <c r="D2885" s="3">
        <v>610772</v>
      </c>
      <c r="E2885" s="3" t="s">
        <v>23</v>
      </c>
    </row>
    <row r="2886" spans="1:5">
      <c r="A2886" s="3" t="s">
        <v>2907</v>
      </c>
      <c r="B2886" s="3" t="s">
        <v>22</v>
      </c>
      <c r="C2886" s="3">
        <v>1910855</v>
      </c>
      <c r="D2886" s="3">
        <v>640168</v>
      </c>
      <c r="E2886" s="3" t="s">
        <v>23</v>
      </c>
    </row>
    <row r="2887" spans="1:5">
      <c r="A2887" s="3" t="s">
        <v>2908</v>
      </c>
      <c r="B2887" s="3" t="s">
        <v>22</v>
      </c>
      <c r="C2887" s="3">
        <v>713232</v>
      </c>
      <c r="D2887" s="3">
        <v>5597</v>
      </c>
      <c r="E2887" s="3" t="s">
        <v>23</v>
      </c>
    </row>
    <row r="2888" spans="1:5">
      <c r="A2888" s="3" t="s">
        <v>2909</v>
      </c>
      <c r="B2888" s="3" t="s">
        <v>22</v>
      </c>
      <c r="C2888" s="3">
        <v>747385</v>
      </c>
      <c r="D2888" s="3">
        <v>148727</v>
      </c>
      <c r="E2888" s="3" t="s">
        <v>23</v>
      </c>
    </row>
    <row r="2889" spans="1:5">
      <c r="A2889" s="3" t="s">
        <v>2910</v>
      </c>
      <c r="B2889" s="3" t="s">
        <v>22</v>
      </c>
      <c r="C2889" s="3">
        <v>2021904</v>
      </c>
      <c r="D2889" s="3">
        <v>695041</v>
      </c>
      <c r="E2889" s="3" t="s">
        <v>23</v>
      </c>
    </row>
    <row r="2890" spans="1:5">
      <c r="A2890" s="3" t="s">
        <v>2911</v>
      </c>
      <c r="B2890" s="3" t="s">
        <v>22</v>
      </c>
      <c r="C2890" s="3">
        <v>2345976</v>
      </c>
      <c r="D2890" s="3">
        <v>867408</v>
      </c>
      <c r="E2890" s="3" t="s">
        <v>23</v>
      </c>
    </row>
    <row r="2891" spans="1:5">
      <c r="A2891" s="3" t="s">
        <v>2912</v>
      </c>
      <c r="B2891" s="3" t="s">
        <v>22</v>
      </c>
      <c r="C2891" s="3">
        <v>472955</v>
      </c>
      <c r="D2891" s="3">
        <v>7408</v>
      </c>
      <c r="E2891" s="3" t="s">
        <v>23</v>
      </c>
    </row>
    <row r="2892" spans="1:5">
      <c r="A2892" s="3" t="s">
        <v>2913</v>
      </c>
      <c r="B2892" s="3" t="s">
        <v>22</v>
      </c>
      <c r="C2892" s="3">
        <v>806988</v>
      </c>
      <c r="D2892" s="3">
        <v>119333</v>
      </c>
      <c r="E2892" s="3" t="s">
        <v>23</v>
      </c>
    </row>
    <row r="2893" spans="1:5">
      <c r="A2893" s="3" t="s">
        <v>2914</v>
      </c>
      <c r="B2893" s="3" t="s">
        <v>22</v>
      </c>
      <c r="C2893" s="3">
        <v>1847272</v>
      </c>
      <c r="D2893" s="3">
        <v>603871</v>
      </c>
      <c r="E2893" s="3" t="s">
        <v>23</v>
      </c>
    </row>
    <row r="2894" spans="1:5">
      <c r="A2894" s="3" t="s">
        <v>2915</v>
      </c>
      <c r="B2894" s="3" t="s">
        <v>22</v>
      </c>
      <c r="C2894" s="3">
        <v>1709930</v>
      </c>
      <c r="D2894" s="3">
        <v>534545</v>
      </c>
      <c r="E2894" s="3" t="s">
        <v>23</v>
      </c>
    </row>
    <row r="2895" spans="1:5">
      <c r="A2895" s="3" t="s">
        <v>2916</v>
      </c>
      <c r="B2895" s="3" t="s">
        <v>22</v>
      </c>
      <c r="C2895" s="3">
        <v>1588378</v>
      </c>
      <c r="D2895" s="3">
        <v>485023</v>
      </c>
      <c r="E2895" s="3" t="s">
        <v>23</v>
      </c>
    </row>
    <row r="2896" spans="1:5">
      <c r="A2896" s="3" t="s">
        <v>2917</v>
      </c>
      <c r="B2896" s="3" t="s">
        <v>22</v>
      </c>
      <c r="C2896" s="3">
        <v>1175532</v>
      </c>
      <c r="D2896" s="3">
        <v>274430</v>
      </c>
      <c r="E2896" s="3" t="s">
        <v>23</v>
      </c>
    </row>
    <row r="2897" spans="1:5">
      <c r="A2897" s="3" t="s">
        <v>2918</v>
      </c>
      <c r="B2897" s="3" t="s">
        <v>22</v>
      </c>
      <c r="C2897" s="3">
        <v>914187</v>
      </c>
      <c r="D2897" s="3">
        <v>238256</v>
      </c>
      <c r="E2897" s="3" t="s">
        <v>23</v>
      </c>
    </row>
    <row r="2898" spans="1:5">
      <c r="A2898" s="3" t="s">
        <v>2919</v>
      </c>
      <c r="B2898" s="3" t="s">
        <v>22</v>
      </c>
      <c r="C2898" s="3">
        <v>722476</v>
      </c>
      <c r="D2898" s="3">
        <v>2933</v>
      </c>
      <c r="E2898" s="3" t="s">
        <v>23</v>
      </c>
    </row>
    <row r="2899" spans="1:5">
      <c r="A2899" s="3" t="s">
        <v>2920</v>
      </c>
      <c r="B2899" s="3" t="s">
        <v>22</v>
      </c>
      <c r="C2899" s="3">
        <v>1128556</v>
      </c>
      <c r="D2899" s="3">
        <v>237226</v>
      </c>
      <c r="E2899" s="3" t="s">
        <v>23</v>
      </c>
    </row>
    <row r="2900" spans="1:5">
      <c r="A2900" s="3" t="s">
        <v>2921</v>
      </c>
      <c r="B2900" s="3" t="s">
        <v>22</v>
      </c>
      <c r="C2900" s="3">
        <v>1870848</v>
      </c>
      <c r="D2900" s="3">
        <v>666449</v>
      </c>
      <c r="E2900" s="3" t="s">
        <v>23</v>
      </c>
    </row>
    <row r="2901" spans="1:5">
      <c r="A2901" s="3" t="s">
        <v>2922</v>
      </c>
      <c r="B2901" s="3" t="s">
        <v>22</v>
      </c>
      <c r="C2901" s="3">
        <v>1885444</v>
      </c>
      <c r="D2901" s="3">
        <v>689188</v>
      </c>
      <c r="E2901" s="3" t="s">
        <v>23</v>
      </c>
    </row>
    <row r="2902" spans="1:5">
      <c r="A2902" s="3" t="s">
        <v>2923</v>
      </c>
      <c r="B2902" s="3" t="s">
        <v>22</v>
      </c>
      <c r="C2902" s="3">
        <v>2232677</v>
      </c>
      <c r="D2902" s="3">
        <v>806099</v>
      </c>
      <c r="E2902" s="3" t="s">
        <v>23</v>
      </c>
    </row>
    <row r="2903" spans="1:5">
      <c r="A2903" s="3" t="s">
        <v>2924</v>
      </c>
      <c r="B2903" s="3" t="s">
        <v>22</v>
      </c>
      <c r="C2903" s="3">
        <v>401896</v>
      </c>
      <c r="D2903" s="3">
        <v>420</v>
      </c>
      <c r="E2903" s="3" t="s">
        <v>23</v>
      </c>
    </row>
    <row r="2904" spans="1:5">
      <c r="A2904" s="3" t="s">
        <v>2925</v>
      </c>
      <c r="B2904" s="3" t="s">
        <v>22</v>
      </c>
      <c r="C2904" s="3">
        <v>1893246</v>
      </c>
      <c r="D2904" s="3">
        <v>711295</v>
      </c>
      <c r="E2904" s="3" t="s">
        <v>23</v>
      </c>
    </row>
    <row r="2905" spans="1:5">
      <c r="A2905" s="3" t="s">
        <v>2926</v>
      </c>
      <c r="B2905" s="3" t="s">
        <v>22</v>
      </c>
      <c r="C2905" s="3">
        <v>1633609</v>
      </c>
      <c r="D2905" s="3">
        <v>632163</v>
      </c>
      <c r="E2905" s="3" t="s">
        <v>23</v>
      </c>
    </row>
    <row r="2906" spans="1:5">
      <c r="A2906" s="3" t="s">
        <v>2927</v>
      </c>
      <c r="B2906" s="3" t="s">
        <v>22</v>
      </c>
      <c r="C2906" s="3">
        <v>624810</v>
      </c>
      <c r="D2906" s="3">
        <v>91062</v>
      </c>
      <c r="E2906" s="3" t="s">
        <v>23</v>
      </c>
    </row>
    <row r="2907" spans="1:5">
      <c r="A2907" s="3" t="s">
        <v>2928</v>
      </c>
      <c r="B2907" s="3" t="s">
        <v>22</v>
      </c>
      <c r="C2907" s="3">
        <v>561865</v>
      </c>
      <c r="D2907" s="3">
        <v>14255</v>
      </c>
      <c r="E2907" s="3" t="s">
        <v>23</v>
      </c>
    </row>
    <row r="2908" spans="1:5">
      <c r="A2908" s="3" t="s">
        <v>2929</v>
      </c>
      <c r="B2908" s="3" t="s">
        <v>22</v>
      </c>
      <c r="C2908" s="3">
        <v>1575215</v>
      </c>
      <c r="D2908" s="3">
        <v>532915</v>
      </c>
      <c r="E2908" s="3" t="s">
        <v>23</v>
      </c>
    </row>
    <row r="2909" spans="1:5">
      <c r="A2909" s="3" t="s">
        <v>2930</v>
      </c>
      <c r="B2909" s="3" t="s">
        <v>22</v>
      </c>
      <c r="C2909" s="3">
        <v>936236</v>
      </c>
      <c r="D2909" s="3">
        <v>174243</v>
      </c>
      <c r="E2909" s="3" t="s">
        <v>23</v>
      </c>
    </row>
    <row r="2910" spans="1:5">
      <c r="A2910" s="3" t="s">
        <v>2931</v>
      </c>
      <c r="B2910" s="3" t="s">
        <v>22</v>
      </c>
      <c r="C2910" s="3">
        <v>1365791</v>
      </c>
      <c r="D2910" s="3">
        <v>325623</v>
      </c>
      <c r="E2910" s="3" t="s">
        <v>23</v>
      </c>
    </row>
    <row r="2911" spans="1:5">
      <c r="A2911" s="3" t="s">
        <v>2932</v>
      </c>
      <c r="B2911" s="3" t="s">
        <v>22</v>
      </c>
      <c r="C2911" s="3">
        <v>1498053</v>
      </c>
      <c r="D2911" s="3">
        <v>369648</v>
      </c>
      <c r="E2911" s="3" t="s">
        <v>23</v>
      </c>
    </row>
    <row r="2912" spans="1:5">
      <c r="A2912" s="3" t="s">
        <v>2933</v>
      </c>
      <c r="B2912" s="3" t="s">
        <v>22</v>
      </c>
      <c r="C2912" s="3">
        <v>1626354</v>
      </c>
      <c r="D2912" s="3">
        <v>529183</v>
      </c>
      <c r="E2912" s="3" t="s">
        <v>23</v>
      </c>
    </row>
    <row r="2913" spans="1:5">
      <c r="A2913" s="3" t="s">
        <v>2934</v>
      </c>
      <c r="B2913" s="3" t="s">
        <v>22</v>
      </c>
      <c r="C2913" s="3">
        <v>1659942</v>
      </c>
      <c r="D2913" s="3">
        <v>469112</v>
      </c>
      <c r="E2913" s="3" t="s">
        <v>23</v>
      </c>
    </row>
    <row r="2914" spans="1:5">
      <c r="A2914" s="3" t="s">
        <v>2935</v>
      </c>
      <c r="B2914" s="3" t="s">
        <v>22</v>
      </c>
      <c r="C2914" s="3">
        <v>124327</v>
      </c>
      <c r="D2914" s="3">
        <v>9713</v>
      </c>
      <c r="E2914" s="3" t="s">
        <v>23</v>
      </c>
    </row>
    <row r="2915" spans="1:5">
      <c r="A2915" s="3" t="s">
        <v>2936</v>
      </c>
      <c r="B2915" s="3" t="s">
        <v>22</v>
      </c>
      <c r="C2915" s="3">
        <v>946535</v>
      </c>
      <c r="D2915" s="3">
        <v>95769</v>
      </c>
      <c r="E2915" s="3" t="s">
        <v>23</v>
      </c>
    </row>
    <row r="2916" spans="1:5">
      <c r="A2916" s="3" t="s">
        <v>2937</v>
      </c>
      <c r="B2916" s="3" t="s">
        <v>22</v>
      </c>
      <c r="C2916" s="3">
        <v>1696402</v>
      </c>
      <c r="D2916" s="3">
        <v>331059</v>
      </c>
      <c r="E2916" s="3" t="s">
        <v>23</v>
      </c>
    </row>
    <row r="2917" spans="1:5">
      <c r="A2917" s="3" t="s">
        <v>2938</v>
      </c>
      <c r="B2917" s="3" t="s">
        <v>22</v>
      </c>
      <c r="C2917" s="3">
        <v>1140049</v>
      </c>
      <c r="D2917" s="3">
        <v>53677</v>
      </c>
      <c r="E2917" s="3" t="s">
        <v>23</v>
      </c>
    </row>
    <row r="2918" spans="1:5">
      <c r="A2918" s="3" t="s">
        <v>2939</v>
      </c>
      <c r="B2918" s="3" t="s">
        <v>22</v>
      </c>
      <c r="C2918" s="3">
        <v>2183355</v>
      </c>
      <c r="D2918" s="3">
        <v>702753</v>
      </c>
      <c r="E2918" s="3" t="s">
        <v>23</v>
      </c>
    </row>
    <row r="2919" spans="1:5">
      <c r="A2919" s="3" t="s">
        <v>2940</v>
      </c>
      <c r="B2919" s="3" t="s">
        <v>22</v>
      </c>
      <c r="C2919" s="3">
        <v>519607</v>
      </c>
      <c r="D2919" s="3">
        <v>486</v>
      </c>
      <c r="E2919" s="3" t="s">
        <v>23</v>
      </c>
    </row>
    <row r="2920" spans="1:5">
      <c r="A2920" s="3" t="s">
        <v>2941</v>
      </c>
      <c r="B2920" s="3" t="s">
        <v>22</v>
      </c>
      <c r="C2920" s="3">
        <v>1673970</v>
      </c>
      <c r="D2920" s="3">
        <v>425361</v>
      </c>
      <c r="E2920" s="3" t="s">
        <v>23</v>
      </c>
    </row>
    <row r="2921" spans="1:5">
      <c r="A2921" s="3" t="s">
        <v>2942</v>
      </c>
      <c r="B2921" s="3" t="s">
        <v>22</v>
      </c>
      <c r="C2921" s="3">
        <v>2545105</v>
      </c>
      <c r="D2921" s="3">
        <v>871091</v>
      </c>
      <c r="E2921" s="3" t="s">
        <v>23</v>
      </c>
    </row>
    <row r="2922" spans="1:5">
      <c r="A2922" s="3" t="s">
        <v>2943</v>
      </c>
      <c r="B2922" s="3" t="s">
        <v>22</v>
      </c>
      <c r="C2922" s="3">
        <v>1752644</v>
      </c>
      <c r="D2922" s="3">
        <v>389924</v>
      </c>
      <c r="E2922" s="3" t="s">
        <v>23</v>
      </c>
    </row>
    <row r="2923" spans="1:5">
      <c r="A2923" s="3" t="s">
        <v>2944</v>
      </c>
      <c r="B2923" s="3" t="s">
        <v>22</v>
      </c>
      <c r="C2923" s="3">
        <v>1659619</v>
      </c>
      <c r="D2923" s="3">
        <v>349828</v>
      </c>
      <c r="E2923" s="3" t="s">
        <v>23</v>
      </c>
    </row>
    <row r="2924" spans="1:5">
      <c r="A2924" s="3" t="s">
        <v>2945</v>
      </c>
      <c r="B2924" s="3" t="s">
        <v>22</v>
      </c>
      <c r="C2924" s="3">
        <v>978897</v>
      </c>
      <c r="D2924" s="3">
        <v>123555</v>
      </c>
      <c r="E2924" s="3" t="s">
        <v>23</v>
      </c>
    </row>
    <row r="2925" spans="1:5">
      <c r="A2925" s="3" t="s">
        <v>2946</v>
      </c>
      <c r="B2925" s="3" t="s">
        <v>22</v>
      </c>
      <c r="C2925" s="3">
        <v>1510464</v>
      </c>
      <c r="D2925" s="3">
        <v>383018</v>
      </c>
      <c r="E2925" s="3" t="s">
        <v>23</v>
      </c>
    </row>
    <row r="2926" spans="1:5">
      <c r="A2926" s="3" t="s">
        <v>2947</v>
      </c>
      <c r="B2926" s="3" t="s">
        <v>22</v>
      </c>
      <c r="C2926" s="3">
        <v>1702054</v>
      </c>
      <c r="D2926" s="3">
        <v>507446</v>
      </c>
      <c r="E2926" s="3" t="s">
        <v>23</v>
      </c>
    </row>
    <row r="2927" spans="1:5">
      <c r="A2927" s="3" t="s">
        <v>2948</v>
      </c>
      <c r="B2927" s="3" t="s">
        <v>22</v>
      </c>
      <c r="C2927" s="3">
        <v>1189200</v>
      </c>
      <c r="D2927" s="3">
        <v>225855</v>
      </c>
      <c r="E2927" s="3" t="s">
        <v>23</v>
      </c>
    </row>
    <row r="2928" spans="1:5">
      <c r="A2928" s="3" t="s">
        <v>2949</v>
      </c>
      <c r="B2928" s="3" t="s">
        <v>22</v>
      </c>
      <c r="C2928" s="3">
        <v>2393326</v>
      </c>
      <c r="D2928" s="3">
        <v>595326</v>
      </c>
      <c r="E2928" s="3" t="s">
        <v>23</v>
      </c>
    </row>
    <row r="2929" spans="1:5">
      <c r="A2929" s="3" t="s">
        <v>2950</v>
      </c>
      <c r="B2929" s="3" t="s">
        <v>22</v>
      </c>
      <c r="C2929" s="3">
        <v>1660409</v>
      </c>
      <c r="D2929" s="3">
        <v>340959</v>
      </c>
      <c r="E2929" s="3" t="s">
        <v>23</v>
      </c>
    </row>
    <row r="2930" spans="1:5">
      <c r="A2930" s="3" t="s">
        <v>2951</v>
      </c>
      <c r="B2930" s="3" t="s">
        <v>22</v>
      </c>
      <c r="C2930" s="3">
        <v>862741</v>
      </c>
      <c r="D2930" s="3">
        <v>16094</v>
      </c>
      <c r="E2930" s="3" t="s">
        <v>23</v>
      </c>
    </row>
    <row r="2931" spans="1:5">
      <c r="A2931" s="3" t="s">
        <v>2952</v>
      </c>
      <c r="B2931" s="3" t="s">
        <v>22</v>
      </c>
      <c r="C2931" s="3">
        <v>1262531</v>
      </c>
      <c r="D2931" s="3">
        <v>160194</v>
      </c>
      <c r="E2931" s="3" t="s">
        <v>23</v>
      </c>
    </row>
    <row r="2932" spans="1:5">
      <c r="A2932" s="3" t="s">
        <v>2953</v>
      </c>
      <c r="B2932" s="3" t="s">
        <v>22</v>
      </c>
      <c r="C2932" s="3">
        <v>1779075</v>
      </c>
      <c r="D2932" s="3">
        <v>511320</v>
      </c>
      <c r="E2932" s="3" t="s">
        <v>23</v>
      </c>
    </row>
    <row r="2933" spans="1:5">
      <c r="A2933" s="3" t="s">
        <v>2954</v>
      </c>
      <c r="B2933" s="3" t="s">
        <v>22</v>
      </c>
      <c r="C2933" s="3">
        <v>3024636</v>
      </c>
      <c r="D2933" s="3">
        <v>627433</v>
      </c>
      <c r="E2933" s="3" t="s">
        <v>23</v>
      </c>
    </row>
    <row r="2934" spans="1:5">
      <c r="A2934" s="3" t="s">
        <v>2955</v>
      </c>
      <c r="B2934" s="3" t="s">
        <v>22</v>
      </c>
      <c r="C2934" s="3">
        <v>2450999</v>
      </c>
      <c r="D2934" s="3">
        <v>842984</v>
      </c>
      <c r="E2934" s="3" t="s">
        <v>23</v>
      </c>
    </row>
    <row r="2935" spans="1:5">
      <c r="A2935" s="3" t="s">
        <v>2956</v>
      </c>
      <c r="B2935" s="3" t="s">
        <v>22</v>
      </c>
      <c r="C2935" s="3">
        <v>2251256</v>
      </c>
      <c r="D2935" s="3">
        <v>738238</v>
      </c>
      <c r="E2935" s="3" t="s">
        <v>23</v>
      </c>
    </row>
    <row r="2936" spans="1:5">
      <c r="A2936" s="3" t="s">
        <v>2957</v>
      </c>
      <c r="B2936" s="3" t="s">
        <v>22</v>
      </c>
      <c r="C2936" s="3">
        <v>861360</v>
      </c>
      <c r="D2936" s="3">
        <v>54278</v>
      </c>
      <c r="E2936" s="3" t="s">
        <v>23</v>
      </c>
    </row>
    <row r="2937" spans="1:5">
      <c r="A2937" s="3" t="s">
        <v>2958</v>
      </c>
      <c r="B2937" s="3" t="s">
        <v>22</v>
      </c>
      <c r="C2937" s="3">
        <v>2482077</v>
      </c>
      <c r="D2937" s="3">
        <v>892253</v>
      </c>
      <c r="E2937" s="3" t="s">
        <v>23</v>
      </c>
    </row>
    <row r="2938" spans="1:5">
      <c r="A2938" s="3" t="s">
        <v>2959</v>
      </c>
      <c r="B2938" s="3" t="s">
        <v>22</v>
      </c>
      <c r="C2938" s="3">
        <v>2280606</v>
      </c>
      <c r="D2938" s="3">
        <v>702711</v>
      </c>
      <c r="E2938" s="3" t="s">
        <v>23</v>
      </c>
    </row>
    <row r="2939" spans="1:5">
      <c r="A2939" s="3" t="s">
        <v>2960</v>
      </c>
      <c r="B2939" s="3" t="s">
        <v>22</v>
      </c>
      <c r="C2939" s="3">
        <v>810700</v>
      </c>
      <c r="D2939" s="3">
        <v>105798</v>
      </c>
      <c r="E2939" s="3" t="s">
        <v>23</v>
      </c>
    </row>
    <row r="2940" spans="1:5">
      <c r="A2940" s="3" t="s">
        <v>2961</v>
      </c>
      <c r="B2940" s="3" t="s">
        <v>22</v>
      </c>
      <c r="C2940" s="3">
        <v>2965829</v>
      </c>
      <c r="D2940" s="3">
        <v>1117733</v>
      </c>
      <c r="E2940" s="3" t="s">
        <v>23</v>
      </c>
    </row>
    <row r="2941" spans="1:5">
      <c r="A2941" s="3" t="s">
        <v>2962</v>
      </c>
      <c r="B2941" s="3" t="s">
        <v>22</v>
      </c>
      <c r="C2941" s="3">
        <v>1596204</v>
      </c>
      <c r="D2941" s="3">
        <v>386355</v>
      </c>
      <c r="E2941" s="3" t="s">
        <v>23</v>
      </c>
    </row>
    <row r="2942" spans="1:5">
      <c r="A2942" s="3" t="s">
        <v>2963</v>
      </c>
      <c r="B2942" s="3" t="s">
        <v>22</v>
      </c>
      <c r="C2942" s="3">
        <v>1080739</v>
      </c>
      <c r="D2942" s="3">
        <v>132207</v>
      </c>
      <c r="E2942" s="3" t="s">
        <v>23</v>
      </c>
    </row>
    <row r="2943" spans="1:5">
      <c r="A2943" s="3" t="s">
        <v>2964</v>
      </c>
      <c r="B2943" s="3" t="s">
        <v>22</v>
      </c>
      <c r="C2943" s="3">
        <v>504756</v>
      </c>
      <c r="D2943" s="3">
        <v>1289</v>
      </c>
      <c r="E2943" s="3" t="s">
        <v>23</v>
      </c>
    </row>
    <row r="2944" spans="1:5">
      <c r="A2944" s="3" t="s">
        <v>2965</v>
      </c>
      <c r="B2944" s="3" t="s">
        <v>22</v>
      </c>
      <c r="C2944" s="3">
        <v>2541884</v>
      </c>
      <c r="D2944" s="3">
        <v>899364</v>
      </c>
      <c r="E2944" s="3" t="s">
        <v>23</v>
      </c>
    </row>
    <row r="2945" spans="1:5">
      <c r="A2945" s="3" t="s">
        <v>2966</v>
      </c>
      <c r="B2945" s="3" t="s">
        <v>22</v>
      </c>
      <c r="C2945" s="3">
        <v>1035452</v>
      </c>
      <c r="D2945" s="3">
        <v>89201</v>
      </c>
      <c r="E2945" s="3" t="s">
        <v>23</v>
      </c>
    </row>
    <row r="2946" spans="1:5">
      <c r="A2946" s="3" t="s">
        <v>2967</v>
      </c>
      <c r="B2946" s="3" t="s">
        <v>22</v>
      </c>
      <c r="C2946" s="3">
        <v>2293098</v>
      </c>
      <c r="D2946" s="3">
        <v>560427</v>
      </c>
      <c r="E2946" s="3" t="s">
        <v>23</v>
      </c>
    </row>
    <row r="2947" spans="1:5">
      <c r="A2947" s="3" t="s">
        <v>2968</v>
      </c>
      <c r="B2947" s="3" t="s">
        <v>22</v>
      </c>
      <c r="C2947" s="3">
        <v>2504715</v>
      </c>
      <c r="D2947" s="3">
        <v>764525</v>
      </c>
      <c r="E2947" s="3" t="s">
        <v>23</v>
      </c>
    </row>
    <row r="2948" spans="1:5">
      <c r="A2948" s="3" t="s">
        <v>2969</v>
      </c>
      <c r="B2948" s="3" t="s">
        <v>22</v>
      </c>
      <c r="C2948" s="3">
        <v>1610450</v>
      </c>
      <c r="D2948" s="3">
        <v>378677</v>
      </c>
      <c r="E2948" s="3" t="s">
        <v>23</v>
      </c>
    </row>
    <row r="2949" spans="1:5">
      <c r="A2949" s="3" t="s">
        <v>2970</v>
      </c>
      <c r="B2949" s="3" t="s">
        <v>22</v>
      </c>
      <c r="C2949" s="3">
        <v>1196020</v>
      </c>
      <c r="D2949" s="3">
        <v>136154</v>
      </c>
      <c r="E2949" s="3" t="s">
        <v>23</v>
      </c>
    </row>
    <row r="2950" spans="1:5">
      <c r="A2950" s="3" t="s">
        <v>2971</v>
      </c>
      <c r="B2950" s="3" t="s">
        <v>22</v>
      </c>
      <c r="C2950" s="3">
        <v>1057599</v>
      </c>
      <c r="D2950" s="3">
        <v>176828</v>
      </c>
      <c r="E2950" s="3" t="s">
        <v>23</v>
      </c>
    </row>
    <row r="2951" spans="1:5">
      <c r="A2951" s="3" t="s">
        <v>2972</v>
      </c>
      <c r="B2951" s="3" t="s">
        <v>22</v>
      </c>
      <c r="C2951" s="3">
        <v>2276234</v>
      </c>
      <c r="D2951" s="3">
        <v>781784</v>
      </c>
      <c r="E2951" s="3" t="s">
        <v>23</v>
      </c>
    </row>
    <row r="2952" spans="1:5">
      <c r="A2952" s="3" t="s">
        <v>2973</v>
      </c>
      <c r="B2952" s="3" t="s">
        <v>22</v>
      </c>
      <c r="C2952" s="3">
        <v>1450509</v>
      </c>
      <c r="D2952" s="3">
        <v>281594</v>
      </c>
      <c r="E2952" s="3" t="s">
        <v>23</v>
      </c>
    </row>
    <row r="2953" spans="1:5">
      <c r="A2953" s="3" t="s">
        <v>2974</v>
      </c>
      <c r="B2953" s="3" t="s">
        <v>22</v>
      </c>
      <c r="C2953" s="3">
        <v>1538919</v>
      </c>
      <c r="D2953" s="3">
        <v>390587</v>
      </c>
      <c r="E2953" s="3" t="s">
        <v>23</v>
      </c>
    </row>
    <row r="2954" spans="1:5">
      <c r="A2954" s="3" t="s">
        <v>2975</v>
      </c>
      <c r="B2954" s="3" t="s">
        <v>22</v>
      </c>
      <c r="C2954" s="3">
        <v>862309</v>
      </c>
      <c r="D2954" s="3">
        <v>65511</v>
      </c>
      <c r="E2954" s="3" t="s">
        <v>23</v>
      </c>
    </row>
    <row r="2955" spans="1:5">
      <c r="A2955" s="3" t="s">
        <v>2976</v>
      </c>
      <c r="B2955" s="3" t="s">
        <v>22</v>
      </c>
      <c r="C2955" s="3">
        <v>1013445</v>
      </c>
      <c r="D2955" s="3">
        <v>123400</v>
      </c>
      <c r="E2955" s="3" t="s">
        <v>23</v>
      </c>
    </row>
    <row r="2956" spans="1:5">
      <c r="A2956" s="3" t="s">
        <v>2977</v>
      </c>
      <c r="B2956" s="3" t="s">
        <v>22</v>
      </c>
      <c r="C2956" s="3">
        <v>1489253</v>
      </c>
      <c r="D2956" s="3">
        <v>330598</v>
      </c>
      <c r="E2956" s="3" t="s">
        <v>23</v>
      </c>
    </row>
    <row r="2957" spans="1:5">
      <c r="A2957" s="3" t="s">
        <v>2978</v>
      </c>
      <c r="B2957" s="3" t="s">
        <v>22</v>
      </c>
      <c r="C2957" s="3">
        <v>2373625</v>
      </c>
      <c r="D2957" s="3">
        <v>908079</v>
      </c>
      <c r="E2957" s="3" t="s">
        <v>23</v>
      </c>
    </row>
    <row r="2958" spans="1:5">
      <c r="A2958" s="3" t="s">
        <v>2979</v>
      </c>
      <c r="B2958" s="3" t="s">
        <v>22</v>
      </c>
      <c r="C2958" s="3">
        <v>787408</v>
      </c>
      <c r="D2958" s="3">
        <v>37661</v>
      </c>
      <c r="E2958" s="3" t="s">
        <v>23</v>
      </c>
    </row>
    <row r="2959" spans="1:5">
      <c r="A2959" s="3" t="s">
        <v>2980</v>
      </c>
      <c r="B2959" s="3" t="s">
        <v>22</v>
      </c>
      <c r="C2959" s="3">
        <v>1963578</v>
      </c>
      <c r="D2959" s="3">
        <v>601629</v>
      </c>
      <c r="E2959" s="3" t="s">
        <v>23</v>
      </c>
    </row>
    <row r="2960" spans="1:5">
      <c r="A2960" s="3" t="s">
        <v>2981</v>
      </c>
      <c r="B2960" s="3" t="s">
        <v>22</v>
      </c>
      <c r="C2960" s="3">
        <v>2408628</v>
      </c>
      <c r="D2960" s="3">
        <v>797916</v>
      </c>
      <c r="E2960" s="3" t="s">
        <v>23</v>
      </c>
    </row>
    <row r="2961" spans="1:5">
      <c r="A2961" s="3" t="s">
        <v>2982</v>
      </c>
      <c r="B2961" s="3" t="s">
        <v>22</v>
      </c>
      <c r="C2961" s="3">
        <v>1288209</v>
      </c>
      <c r="D2961" s="3">
        <v>258086</v>
      </c>
      <c r="E2961" s="3" t="s">
        <v>23</v>
      </c>
    </row>
    <row r="2962" spans="1:5">
      <c r="A2962" s="3" t="s">
        <v>2983</v>
      </c>
      <c r="B2962" s="3" t="s">
        <v>22</v>
      </c>
      <c r="C2962" s="3">
        <v>729074</v>
      </c>
      <c r="D2962" s="3">
        <v>65609</v>
      </c>
      <c r="E2962" s="3" t="s">
        <v>23</v>
      </c>
    </row>
    <row r="2963" spans="1:5">
      <c r="A2963" s="3" t="s">
        <v>2984</v>
      </c>
      <c r="B2963" s="3" t="s">
        <v>22</v>
      </c>
      <c r="C2963" s="3">
        <v>2029355</v>
      </c>
      <c r="D2963" s="3">
        <v>597325</v>
      </c>
      <c r="E2963" s="3" t="s">
        <v>23</v>
      </c>
    </row>
    <row r="2964" spans="1:5">
      <c r="A2964" s="3" t="s">
        <v>2985</v>
      </c>
      <c r="B2964" s="3" t="s">
        <v>22</v>
      </c>
      <c r="C2964" s="3">
        <v>2011746</v>
      </c>
      <c r="D2964" s="3">
        <v>600228</v>
      </c>
      <c r="E2964" s="3" t="s">
        <v>23</v>
      </c>
    </row>
    <row r="2965" spans="1:5">
      <c r="A2965" s="3" t="s">
        <v>2986</v>
      </c>
      <c r="B2965" s="3" t="s">
        <v>22</v>
      </c>
      <c r="C2965" s="3">
        <v>1937679</v>
      </c>
      <c r="D2965" s="3">
        <v>580285</v>
      </c>
      <c r="E2965" s="3" t="s">
        <v>23</v>
      </c>
    </row>
    <row r="2966" spans="1:5">
      <c r="A2966" s="3" t="s">
        <v>2987</v>
      </c>
      <c r="B2966" s="3" t="s">
        <v>22</v>
      </c>
      <c r="C2966" s="3">
        <v>2099374</v>
      </c>
      <c r="D2966" s="3">
        <v>648337</v>
      </c>
      <c r="E2966" s="3" t="s">
        <v>23</v>
      </c>
    </row>
    <row r="2967" spans="1:5">
      <c r="A2967" s="3" t="s">
        <v>2988</v>
      </c>
      <c r="B2967" s="3" t="s">
        <v>22</v>
      </c>
      <c r="C2967" s="3">
        <v>528756</v>
      </c>
      <c r="D2967" s="3">
        <v>3880</v>
      </c>
      <c r="E2967" s="3" t="s">
        <v>23</v>
      </c>
    </row>
    <row r="2968" spans="1:5">
      <c r="A2968" s="3" t="s">
        <v>2989</v>
      </c>
      <c r="B2968" s="3" t="s">
        <v>22</v>
      </c>
      <c r="C2968" s="3">
        <v>1797273</v>
      </c>
      <c r="D2968" s="3">
        <v>476375</v>
      </c>
      <c r="E2968" s="3" t="s">
        <v>23</v>
      </c>
    </row>
    <row r="2969" spans="1:5">
      <c r="A2969" s="3" t="s">
        <v>2990</v>
      </c>
      <c r="B2969" s="3" t="s">
        <v>22</v>
      </c>
      <c r="C2969" s="3">
        <v>1101147</v>
      </c>
      <c r="D2969" s="3">
        <v>207710</v>
      </c>
      <c r="E2969" s="3" t="s">
        <v>23</v>
      </c>
    </row>
    <row r="2970" spans="1:5">
      <c r="A2970" s="3" t="s">
        <v>2991</v>
      </c>
      <c r="B2970" s="3" t="s">
        <v>22</v>
      </c>
      <c r="C2970" s="3">
        <v>928517</v>
      </c>
      <c r="D2970" s="3">
        <v>35381</v>
      </c>
      <c r="E2970" s="3" t="s">
        <v>23</v>
      </c>
    </row>
    <row r="2971" spans="1:5">
      <c r="A2971" s="3" t="s">
        <v>2992</v>
      </c>
      <c r="B2971" s="3" t="s">
        <v>22</v>
      </c>
      <c r="C2971" s="3">
        <v>2616407</v>
      </c>
      <c r="D2971" s="3">
        <v>971999</v>
      </c>
      <c r="E2971" s="3" t="s">
        <v>23</v>
      </c>
    </row>
    <row r="2972" spans="1:5">
      <c r="A2972" s="3" t="s">
        <v>2993</v>
      </c>
      <c r="B2972" s="3" t="s">
        <v>22</v>
      </c>
      <c r="C2972" s="3">
        <v>1662911</v>
      </c>
      <c r="D2972" s="3">
        <v>424270</v>
      </c>
      <c r="E2972" s="3" t="s">
        <v>23</v>
      </c>
    </row>
    <row r="2973" spans="1:5">
      <c r="A2973" s="3" t="s">
        <v>2994</v>
      </c>
      <c r="B2973" s="3" t="s">
        <v>22</v>
      </c>
      <c r="C2973" s="3">
        <v>1277207</v>
      </c>
      <c r="D2973" s="3">
        <v>314852</v>
      </c>
      <c r="E2973" s="3" t="s">
        <v>23</v>
      </c>
    </row>
    <row r="2974" spans="1:5">
      <c r="A2974" s="3" t="s">
        <v>2995</v>
      </c>
      <c r="B2974" s="3" t="s">
        <v>22</v>
      </c>
      <c r="C2974" s="3">
        <v>531706</v>
      </c>
      <c r="D2974" s="3">
        <v>2397</v>
      </c>
      <c r="E2974" s="3" t="s">
        <v>23</v>
      </c>
    </row>
    <row r="2975" spans="1:5">
      <c r="A2975" s="3" t="s">
        <v>2996</v>
      </c>
      <c r="B2975" s="3" t="s">
        <v>22</v>
      </c>
      <c r="C2975" s="3">
        <v>2708727</v>
      </c>
      <c r="D2975" s="3">
        <v>947333</v>
      </c>
      <c r="E2975" s="3" t="s">
        <v>23</v>
      </c>
    </row>
    <row r="2976" spans="1:5">
      <c r="A2976" s="3" t="s">
        <v>2997</v>
      </c>
      <c r="B2976" s="3" t="s">
        <v>22</v>
      </c>
      <c r="C2976" s="3">
        <v>1035575</v>
      </c>
      <c r="D2976" s="3">
        <v>94901</v>
      </c>
      <c r="E2976" s="3" t="s">
        <v>23</v>
      </c>
    </row>
    <row r="2977" spans="1:5">
      <c r="A2977" s="3" t="s">
        <v>2998</v>
      </c>
      <c r="B2977" s="3" t="s">
        <v>22</v>
      </c>
      <c r="C2977" s="3">
        <v>498076</v>
      </c>
      <c r="D2977" s="3">
        <v>50501</v>
      </c>
      <c r="E2977" s="3" t="s">
        <v>23</v>
      </c>
    </row>
    <row r="2978" spans="1:5">
      <c r="A2978" s="3" t="s">
        <v>2999</v>
      </c>
      <c r="B2978" s="3" t="s">
        <v>22</v>
      </c>
      <c r="C2978" s="3">
        <v>1068486</v>
      </c>
      <c r="D2978" s="3">
        <v>301232</v>
      </c>
      <c r="E2978" s="3" t="s">
        <v>23</v>
      </c>
    </row>
    <row r="2979" spans="1:5">
      <c r="A2979" s="3" t="s">
        <v>3000</v>
      </c>
      <c r="B2979" s="3" t="s">
        <v>22</v>
      </c>
      <c r="C2979" s="3">
        <v>664509</v>
      </c>
      <c r="D2979" s="3">
        <v>126135</v>
      </c>
      <c r="E2979" s="3" t="s">
        <v>23</v>
      </c>
    </row>
    <row r="2980" spans="1:5">
      <c r="A2980" s="3" t="s">
        <v>3001</v>
      </c>
      <c r="B2980" s="3" t="s">
        <v>22</v>
      </c>
      <c r="C2980" s="3">
        <v>531229</v>
      </c>
      <c r="D2980" s="3">
        <v>25369</v>
      </c>
      <c r="E2980" s="3" t="s">
        <v>23</v>
      </c>
    </row>
    <row r="2981" spans="1:5">
      <c r="A2981" s="3" t="s">
        <v>3002</v>
      </c>
      <c r="B2981" s="3" t="s">
        <v>22</v>
      </c>
      <c r="C2981" s="3">
        <v>526860</v>
      </c>
      <c r="D2981" s="3">
        <v>24332</v>
      </c>
      <c r="E2981" s="3" t="s">
        <v>23</v>
      </c>
    </row>
    <row r="2982" spans="1:5">
      <c r="A2982" s="3" t="s">
        <v>3003</v>
      </c>
      <c r="B2982" s="3" t="s">
        <v>22</v>
      </c>
      <c r="C2982" s="3">
        <v>1104047</v>
      </c>
      <c r="D2982" s="3">
        <v>284731</v>
      </c>
      <c r="E2982" s="3" t="s">
        <v>23</v>
      </c>
    </row>
    <row r="2983" spans="1:5">
      <c r="A2983" s="3" t="s">
        <v>3004</v>
      </c>
      <c r="B2983" s="3" t="s">
        <v>22</v>
      </c>
      <c r="C2983" s="3">
        <v>1285976</v>
      </c>
      <c r="D2983" s="3">
        <v>372388</v>
      </c>
      <c r="E2983" s="3" t="s">
        <v>23</v>
      </c>
    </row>
    <row r="2984" spans="1:5">
      <c r="A2984" s="3" t="s">
        <v>3005</v>
      </c>
      <c r="B2984" s="3" t="s">
        <v>22</v>
      </c>
      <c r="C2984" s="3">
        <v>293391</v>
      </c>
      <c r="D2984" s="3">
        <v>3965</v>
      </c>
      <c r="E2984" s="3" t="s">
        <v>23</v>
      </c>
    </row>
    <row r="2985" spans="1:5">
      <c r="A2985" s="3" t="s">
        <v>3006</v>
      </c>
      <c r="B2985" s="3" t="s">
        <v>22</v>
      </c>
      <c r="C2985" s="3">
        <v>338142</v>
      </c>
      <c r="D2985" s="3">
        <v>3766</v>
      </c>
      <c r="E2985" s="3" t="s">
        <v>23</v>
      </c>
    </row>
    <row r="2986" spans="1:5">
      <c r="A2986" s="3" t="s">
        <v>3007</v>
      </c>
      <c r="B2986" s="3" t="s">
        <v>22</v>
      </c>
      <c r="C2986" s="3">
        <v>306001</v>
      </c>
      <c r="D2986" s="3">
        <v>57038</v>
      </c>
      <c r="E2986" s="3" t="s">
        <v>23</v>
      </c>
    </row>
    <row r="2987" spans="1:5">
      <c r="A2987" s="3" t="s">
        <v>3008</v>
      </c>
      <c r="B2987" s="3" t="s">
        <v>22</v>
      </c>
      <c r="C2987" s="3">
        <v>1033332</v>
      </c>
      <c r="D2987" s="3">
        <v>245663</v>
      </c>
      <c r="E2987" s="3" t="s">
        <v>23</v>
      </c>
    </row>
    <row r="2988" spans="1:5">
      <c r="A2988" s="3" t="s">
        <v>3009</v>
      </c>
      <c r="B2988" s="3" t="s">
        <v>22</v>
      </c>
      <c r="C2988" s="3">
        <v>575955</v>
      </c>
      <c r="D2988" s="3">
        <v>137093</v>
      </c>
      <c r="E2988" s="3" t="s">
        <v>23</v>
      </c>
    </row>
    <row r="2989" spans="1:5">
      <c r="A2989" s="3" t="s">
        <v>3010</v>
      </c>
      <c r="B2989" s="3" t="s">
        <v>22</v>
      </c>
      <c r="C2989" s="3">
        <v>756856</v>
      </c>
      <c r="D2989" s="3">
        <v>142422</v>
      </c>
      <c r="E2989" s="3" t="s">
        <v>23</v>
      </c>
    </row>
    <row r="2990" spans="1:5">
      <c r="A2990" s="3" t="s">
        <v>3011</v>
      </c>
      <c r="B2990" s="3" t="s">
        <v>22</v>
      </c>
      <c r="C2990" s="3">
        <v>234114</v>
      </c>
      <c r="D2990" s="3">
        <v>17903</v>
      </c>
      <c r="E2990" s="3" t="s">
        <v>23</v>
      </c>
    </row>
    <row r="2991" spans="1:5">
      <c r="A2991" s="3" t="s">
        <v>3012</v>
      </c>
      <c r="B2991" s="3" t="s">
        <v>22</v>
      </c>
      <c r="C2991" s="3">
        <v>275846</v>
      </c>
      <c r="D2991" s="3">
        <v>6131</v>
      </c>
      <c r="E2991" s="3" t="s">
        <v>23</v>
      </c>
    </row>
    <row r="2992" spans="1:5">
      <c r="A2992" s="3" t="s">
        <v>3013</v>
      </c>
      <c r="B2992" s="3" t="s">
        <v>22</v>
      </c>
      <c r="C2992" s="3">
        <v>713244</v>
      </c>
      <c r="D2992" s="3">
        <v>109459</v>
      </c>
      <c r="E2992" s="3" t="s">
        <v>23</v>
      </c>
    </row>
    <row r="2993" spans="1:5">
      <c r="A2993" s="3" t="s">
        <v>3014</v>
      </c>
      <c r="B2993" s="3" t="s">
        <v>22</v>
      </c>
      <c r="C2993" s="3">
        <v>1432395</v>
      </c>
      <c r="D2993" s="3">
        <v>475546</v>
      </c>
      <c r="E2993" s="3" t="s">
        <v>23</v>
      </c>
    </row>
    <row r="2994" spans="1:5">
      <c r="A2994" s="3" t="s">
        <v>3015</v>
      </c>
      <c r="B2994" s="3" t="s">
        <v>22</v>
      </c>
      <c r="C2994" s="3">
        <v>1163915</v>
      </c>
      <c r="D2994" s="3">
        <v>339426</v>
      </c>
      <c r="E2994" s="3" t="s">
        <v>23</v>
      </c>
    </row>
    <row r="2995" spans="1:5">
      <c r="A2995" s="3" t="s">
        <v>3016</v>
      </c>
      <c r="B2995" s="3" t="s">
        <v>22</v>
      </c>
      <c r="C2995" s="3">
        <v>1216856</v>
      </c>
      <c r="D2995" s="3">
        <v>366365</v>
      </c>
      <c r="E2995" s="3" t="s">
        <v>23</v>
      </c>
    </row>
    <row r="2996" spans="1:5">
      <c r="A2996" s="3" t="s">
        <v>3017</v>
      </c>
      <c r="B2996" s="3" t="s">
        <v>22</v>
      </c>
      <c r="C2996" s="3">
        <v>259814</v>
      </c>
      <c r="D2996" s="3">
        <v>218</v>
      </c>
      <c r="E2996" s="3" t="s">
        <v>23</v>
      </c>
    </row>
    <row r="2997" spans="1:5">
      <c r="A2997" s="3" t="s">
        <v>3018</v>
      </c>
      <c r="B2997" s="3" t="s">
        <v>22</v>
      </c>
      <c r="C2997" s="3">
        <v>1164207</v>
      </c>
      <c r="D2997" s="3">
        <v>338056</v>
      </c>
      <c r="E2997" s="3" t="s">
        <v>23</v>
      </c>
    </row>
    <row r="2998" spans="1:5">
      <c r="A2998" s="3" t="s">
        <v>3019</v>
      </c>
      <c r="B2998" s="3" t="s">
        <v>22</v>
      </c>
      <c r="C2998" s="3">
        <v>897407</v>
      </c>
      <c r="D2998" s="3">
        <v>190483</v>
      </c>
      <c r="E2998" s="3" t="s">
        <v>23</v>
      </c>
    </row>
    <row r="2999" spans="1:5">
      <c r="A2999" s="3" t="s">
        <v>3020</v>
      </c>
      <c r="B2999" s="3" t="s">
        <v>22</v>
      </c>
      <c r="C2999" s="3">
        <v>1150800</v>
      </c>
      <c r="D2999" s="3">
        <v>298231</v>
      </c>
      <c r="E2999" s="3" t="s">
        <v>23</v>
      </c>
    </row>
    <row r="3000" spans="1:5">
      <c r="A3000" s="3" t="s">
        <v>3021</v>
      </c>
      <c r="B3000" s="3" t="s">
        <v>22</v>
      </c>
      <c r="C3000" s="3">
        <v>635217</v>
      </c>
      <c r="D3000" s="3">
        <v>34251</v>
      </c>
      <c r="E3000" s="3" t="s">
        <v>23</v>
      </c>
    </row>
    <row r="3001" spans="1:5">
      <c r="A3001" s="3" t="s">
        <v>3022</v>
      </c>
      <c r="B3001" s="3" t="s">
        <v>22</v>
      </c>
      <c r="C3001" s="3">
        <v>1141407</v>
      </c>
      <c r="D3001" s="3">
        <v>316142</v>
      </c>
      <c r="E3001" s="3" t="s">
        <v>23</v>
      </c>
    </row>
    <row r="3002" spans="1:5">
      <c r="A3002" s="3" t="s">
        <v>3023</v>
      </c>
      <c r="B3002" s="3" t="s">
        <v>22</v>
      </c>
      <c r="C3002" s="3">
        <v>714488</v>
      </c>
      <c r="D3002" s="3">
        <v>108398</v>
      </c>
      <c r="E3002" s="3" t="s">
        <v>23</v>
      </c>
    </row>
    <row r="3003" spans="1:5">
      <c r="A3003" s="3" t="s">
        <v>3024</v>
      </c>
      <c r="B3003" s="3" t="s">
        <v>22</v>
      </c>
      <c r="C3003" s="3">
        <v>973066</v>
      </c>
      <c r="D3003" s="3">
        <v>213758</v>
      </c>
      <c r="E3003" s="3" t="s">
        <v>23</v>
      </c>
    </row>
    <row r="3004" spans="1:5">
      <c r="A3004" s="3" t="s">
        <v>3025</v>
      </c>
      <c r="B3004" s="3" t="s">
        <v>22</v>
      </c>
      <c r="C3004" s="3">
        <v>1146895</v>
      </c>
      <c r="D3004" s="3">
        <v>314455</v>
      </c>
      <c r="E3004" s="3" t="s">
        <v>23</v>
      </c>
    </row>
    <row r="3005" spans="1:5">
      <c r="A3005" s="3" t="s">
        <v>3026</v>
      </c>
      <c r="B3005" s="3" t="s">
        <v>22</v>
      </c>
      <c r="C3005" s="3">
        <v>869609</v>
      </c>
      <c r="D3005" s="3">
        <v>191206</v>
      </c>
      <c r="E3005" s="3" t="s">
        <v>23</v>
      </c>
    </row>
    <row r="3006" spans="1:5">
      <c r="A3006" s="3" t="s">
        <v>3027</v>
      </c>
      <c r="B3006" s="3" t="s">
        <v>22</v>
      </c>
      <c r="C3006" s="3">
        <v>639206</v>
      </c>
      <c r="D3006" s="3">
        <v>134614</v>
      </c>
      <c r="E3006" s="3" t="s">
        <v>23</v>
      </c>
    </row>
    <row r="3007" spans="1:5">
      <c r="A3007" s="3" t="s">
        <v>3028</v>
      </c>
      <c r="B3007" s="3" t="s">
        <v>22</v>
      </c>
      <c r="C3007" s="3">
        <v>527402</v>
      </c>
      <c r="D3007" s="3">
        <v>5185</v>
      </c>
      <c r="E3007" s="3" t="s">
        <v>23</v>
      </c>
    </row>
    <row r="3008" spans="1:5">
      <c r="A3008" s="3" t="s">
        <v>3029</v>
      </c>
      <c r="B3008" s="3" t="s">
        <v>22</v>
      </c>
      <c r="C3008" s="3">
        <v>798551</v>
      </c>
      <c r="D3008" s="3">
        <v>146241</v>
      </c>
      <c r="E3008" s="3" t="s">
        <v>23</v>
      </c>
    </row>
    <row r="3009" spans="1:5">
      <c r="A3009" s="3" t="s">
        <v>3030</v>
      </c>
      <c r="B3009" s="3" t="s">
        <v>22</v>
      </c>
      <c r="C3009" s="3">
        <v>825124</v>
      </c>
      <c r="D3009" s="3">
        <v>92423</v>
      </c>
      <c r="E3009" s="3" t="s">
        <v>23</v>
      </c>
    </row>
    <row r="3010" spans="1:5">
      <c r="A3010" s="3" t="s">
        <v>3031</v>
      </c>
      <c r="B3010" s="3" t="s">
        <v>22</v>
      </c>
      <c r="C3010" s="3">
        <v>606497</v>
      </c>
      <c r="D3010" s="3">
        <v>42043</v>
      </c>
      <c r="E3010" s="3" t="s">
        <v>23</v>
      </c>
    </row>
    <row r="3011" spans="1:5">
      <c r="A3011" s="3" t="s">
        <v>3032</v>
      </c>
      <c r="B3011" s="3" t="s">
        <v>22</v>
      </c>
      <c r="C3011" s="3">
        <v>828146</v>
      </c>
      <c r="D3011" s="3">
        <v>190193</v>
      </c>
      <c r="E3011" s="3" t="s">
        <v>23</v>
      </c>
    </row>
    <row r="3012" spans="1:5">
      <c r="A3012" s="3" t="s">
        <v>3033</v>
      </c>
      <c r="B3012" s="3" t="s">
        <v>22</v>
      </c>
      <c r="C3012" s="3">
        <v>891916</v>
      </c>
      <c r="D3012" s="3">
        <v>209352</v>
      </c>
      <c r="E3012" s="3" t="s">
        <v>23</v>
      </c>
    </row>
    <row r="3013" spans="1:5">
      <c r="A3013" s="3" t="s">
        <v>3034</v>
      </c>
      <c r="B3013" s="3" t="s">
        <v>22</v>
      </c>
      <c r="C3013" s="3">
        <v>1284884</v>
      </c>
      <c r="D3013" s="3">
        <v>362751</v>
      </c>
      <c r="E3013" s="3" t="s">
        <v>23</v>
      </c>
    </row>
    <row r="3014" spans="1:5">
      <c r="A3014" s="3" t="s">
        <v>3035</v>
      </c>
      <c r="B3014" s="3" t="s">
        <v>22</v>
      </c>
      <c r="C3014" s="3">
        <v>865333</v>
      </c>
      <c r="D3014" s="3">
        <v>145828</v>
      </c>
      <c r="E3014" s="3" t="s">
        <v>23</v>
      </c>
    </row>
    <row r="3015" spans="1:5">
      <c r="A3015" s="3" t="s">
        <v>3036</v>
      </c>
      <c r="B3015" s="3" t="s">
        <v>22</v>
      </c>
      <c r="C3015" s="3">
        <v>1376200</v>
      </c>
      <c r="D3015" s="3">
        <v>387403</v>
      </c>
      <c r="E3015" s="3" t="s">
        <v>23</v>
      </c>
    </row>
    <row r="3016" spans="1:5">
      <c r="A3016" s="3" t="s">
        <v>3037</v>
      </c>
      <c r="B3016" s="3" t="s">
        <v>22</v>
      </c>
      <c r="C3016" s="3">
        <v>772562</v>
      </c>
      <c r="D3016" s="3">
        <v>135133</v>
      </c>
      <c r="E3016" s="3" t="s">
        <v>23</v>
      </c>
    </row>
    <row r="3017" spans="1:5">
      <c r="A3017" s="3" t="s">
        <v>3038</v>
      </c>
      <c r="B3017" s="3" t="s">
        <v>22</v>
      </c>
      <c r="C3017" s="3">
        <v>425095</v>
      </c>
      <c r="D3017" s="3">
        <v>22766</v>
      </c>
      <c r="E3017" s="3" t="s">
        <v>23</v>
      </c>
    </row>
    <row r="3018" spans="1:5">
      <c r="A3018" s="3" t="s">
        <v>3039</v>
      </c>
      <c r="B3018" s="3" t="s">
        <v>22</v>
      </c>
      <c r="C3018" s="3">
        <v>815152</v>
      </c>
      <c r="D3018" s="3">
        <v>145479</v>
      </c>
      <c r="E3018" s="3" t="s">
        <v>23</v>
      </c>
    </row>
    <row r="3019" spans="1:5">
      <c r="A3019" s="3" t="s">
        <v>3040</v>
      </c>
      <c r="B3019" s="3" t="s">
        <v>22</v>
      </c>
      <c r="C3019" s="3">
        <v>1182972</v>
      </c>
      <c r="D3019" s="3">
        <v>220264</v>
      </c>
      <c r="E3019" s="3" t="s">
        <v>23</v>
      </c>
    </row>
    <row r="3020" spans="1:5">
      <c r="A3020" s="3" t="s">
        <v>3041</v>
      </c>
      <c r="B3020" s="3" t="s">
        <v>22</v>
      </c>
      <c r="C3020" s="3">
        <v>972060</v>
      </c>
      <c r="D3020" s="3">
        <v>227987</v>
      </c>
      <c r="E3020" s="3" t="s">
        <v>23</v>
      </c>
    </row>
    <row r="3021" spans="1:5">
      <c r="A3021" s="3" t="s">
        <v>3042</v>
      </c>
      <c r="B3021" s="3" t="s">
        <v>22</v>
      </c>
      <c r="C3021" s="3">
        <v>1331180</v>
      </c>
      <c r="D3021" s="3">
        <v>317072</v>
      </c>
      <c r="E3021" s="3" t="s">
        <v>23</v>
      </c>
    </row>
    <row r="3022" spans="1:5">
      <c r="A3022" s="3" t="s">
        <v>3043</v>
      </c>
      <c r="B3022" s="3" t="s">
        <v>22</v>
      </c>
      <c r="C3022" s="3">
        <v>992377</v>
      </c>
      <c r="D3022" s="3">
        <v>184538</v>
      </c>
      <c r="E3022" s="3" t="s">
        <v>23</v>
      </c>
    </row>
    <row r="3023" spans="1:5">
      <c r="A3023" s="3" t="s">
        <v>3044</v>
      </c>
      <c r="B3023" s="3" t="s">
        <v>22</v>
      </c>
      <c r="C3023" s="3">
        <v>579779</v>
      </c>
      <c r="D3023" s="3">
        <v>47060</v>
      </c>
      <c r="E3023" s="3" t="s">
        <v>23</v>
      </c>
    </row>
    <row r="3024" spans="1:5">
      <c r="A3024" s="3" t="s">
        <v>3045</v>
      </c>
      <c r="B3024" s="3" t="s">
        <v>22</v>
      </c>
      <c r="C3024" s="3">
        <v>381414</v>
      </c>
      <c r="D3024" s="3">
        <v>4534</v>
      </c>
      <c r="E3024" s="3" t="s">
        <v>23</v>
      </c>
    </row>
    <row r="3025" spans="1:5">
      <c r="A3025" s="3" t="s">
        <v>3046</v>
      </c>
      <c r="B3025" s="3" t="s">
        <v>22</v>
      </c>
      <c r="C3025" s="3">
        <v>996599</v>
      </c>
      <c r="D3025" s="3">
        <v>207252</v>
      </c>
      <c r="E3025" s="3" t="s">
        <v>23</v>
      </c>
    </row>
    <row r="3026" spans="1:5">
      <c r="A3026" s="3" t="s">
        <v>3047</v>
      </c>
      <c r="B3026" s="3" t="s">
        <v>22</v>
      </c>
      <c r="C3026" s="3">
        <v>942108</v>
      </c>
      <c r="D3026" s="3">
        <v>165419</v>
      </c>
      <c r="E3026" s="3" t="s">
        <v>23</v>
      </c>
    </row>
    <row r="3027" spans="1:5">
      <c r="A3027" s="3" t="s">
        <v>3048</v>
      </c>
      <c r="B3027" s="3" t="s">
        <v>22</v>
      </c>
      <c r="C3027" s="3">
        <v>1013855</v>
      </c>
      <c r="D3027" s="3">
        <v>213979</v>
      </c>
      <c r="E3027" s="3" t="s">
        <v>23</v>
      </c>
    </row>
    <row r="3028" spans="1:5">
      <c r="A3028" s="3" t="s">
        <v>3049</v>
      </c>
      <c r="B3028" s="3" t="s">
        <v>22</v>
      </c>
      <c r="C3028" s="3">
        <v>1273890</v>
      </c>
      <c r="D3028" s="3">
        <v>371073</v>
      </c>
      <c r="E3028" s="3" t="s">
        <v>23</v>
      </c>
    </row>
    <row r="3029" spans="1:5">
      <c r="A3029" s="3" t="s">
        <v>3050</v>
      </c>
      <c r="B3029" s="3" t="s">
        <v>22</v>
      </c>
      <c r="C3029" s="3">
        <v>459539</v>
      </c>
      <c r="D3029" s="3">
        <v>24916</v>
      </c>
      <c r="E3029" s="3" t="s">
        <v>23</v>
      </c>
    </row>
    <row r="3030" spans="1:5">
      <c r="A3030" s="3" t="s">
        <v>3051</v>
      </c>
      <c r="B3030" s="3" t="s">
        <v>22</v>
      </c>
      <c r="C3030" s="3">
        <v>803706</v>
      </c>
      <c r="D3030" s="3">
        <v>135184</v>
      </c>
      <c r="E3030" s="3" t="s">
        <v>23</v>
      </c>
    </row>
    <row r="3031" spans="1:5">
      <c r="A3031" s="3" t="s">
        <v>3052</v>
      </c>
      <c r="B3031" s="3" t="s">
        <v>22</v>
      </c>
      <c r="C3031" s="3">
        <v>1038540</v>
      </c>
      <c r="D3031" s="3">
        <v>247567</v>
      </c>
      <c r="E3031" s="3" t="s">
        <v>23</v>
      </c>
    </row>
    <row r="3032" spans="1:5">
      <c r="A3032" s="3" t="s">
        <v>3053</v>
      </c>
      <c r="B3032" s="3" t="s">
        <v>22</v>
      </c>
      <c r="C3032" s="3">
        <v>567441</v>
      </c>
      <c r="D3032" s="3">
        <v>23485</v>
      </c>
      <c r="E3032" s="3" t="s">
        <v>23</v>
      </c>
    </row>
    <row r="3033" spans="1:5">
      <c r="A3033" s="3" t="s">
        <v>3054</v>
      </c>
      <c r="B3033" s="3" t="s">
        <v>22</v>
      </c>
      <c r="C3033" s="3">
        <v>626768</v>
      </c>
      <c r="D3033" s="3">
        <v>119403</v>
      </c>
      <c r="E3033" s="3" t="s">
        <v>23</v>
      </c>
    </row>
    <row r="3034" spans="1:5">
      <c r="A3034" s="3" t="s">
        <v>3055</v>
      </c>
      <c r="B3034" s="3" t="s">
        <v>22</v>
      </c>
      <c r="C3034" s="3">
        <v>698267</v>
      </c>
      <c r="D3034" s="3">
        <v>112094</v>
      </c>
      <c r="E3034" s="3" t="s">
        <v>23</v>
      </c>
    </row>
    <row r="3035" spans="1:5">
      <c r="A3035" s="3" t="s">
        <v>3056</v>
      </c>
      <c r="B3035" s="3" t="s">
        <v>22</v>
      </c>
      <c r="C3035" s="3">
        <v>502347</v>
      </c>
      <c r="D3035" s="3">
        <v>20874</v>
      </c>
      <c r="E3035" s="3" t="s">
        <v>23</v>
      </c>
    </row>
    <row r="3036" spans="1:5">
      <c r="A3036" s="3" t="s">
        <v>3057</v>
      </c>
      <c r="B3036" s="3" t="s">
        <v>22</v>
      </c>
      <c r="C3036" s="3">
        <v>525254</v>
      </c>
      <c r="D3036" s="3">
        <v>45393</v>
      </c>
      <c r="E3036" s="3" t="s">
        <v>23</v>
      </c>
    </row>
    <row r="3037" spans="1:5">
      <c r="A3037" s="3" t="s">
        <v>3058</v>
      </c>
      <c r="B3037" s="3" t="s">
        <v>22</v>
      </c>
      <c r="C3037" s="3">
        <v>1369696</v>
      </c>
      <c r="D3037" s="3">
        <v>381271</v>
      </c>
      <c r="E3037" s="3" t="s">
        <v>23</v>
      </c>
    </row>
    <row r="3038" spans="1:5">
      <c r="A3038" s="3" t="s">
        <v>3059</v>
      </c>
      <c r="B3038" s="3" t="s">
        <v>22</v>
      </c>
      <c r="C3038" s="3">
        <v>777977</v>
      </c>
      <c r="D3038" s="3">
        <v>145173</v>
      </c>
      <c r="E3038" s="3" t="s">
        <v>23</v>
      </c>
    </row>
    <row r="3039" spans="1:5">
      <c r="A3039" s="3" t="s">
        <v>3060</v>
      </c>
      <c r="B3039" s="3" t="s">
        <v>22</v>
      </c>
      <c r="C3039" s="3">
        <v>1016440</v>
      </c>
      <c r="D3039" s="3">
        <v>213841</v>
      </c>
      <c r="E3039" s="3" t="s">
        <v>23</v>
      </c>
    </row>
    <row r="3040" spans="1:5">
      <c r="A3040" s="3" t="s">
        <v>3061</v>
      </c>
      <c r="B3040" s="3" t="s">
        <v>22</v>
      </c>
      <c r="C3040" s="3">
        <v>796478</v>
      </c>
      <c r="D3040" s="3">
        <v>116756</v>
      </c>
      <c r="E3040" s="3" t="s">
        <v>23</v>
      </c>
    </row>
    <row r="3041" spans="1:5">
      <c r="A3041" s="3" t="s">
        <v>3062</v>
      </c>
      <c r="B3041" s="3" t="s">
        <v>22</v>
      </c>
      <c r="C3041" s="3">
        <v>508907</v>
      </c>
      <c r="D3041" s="3">
        <v>33126</v>
      </c>
      <c r="E3041" s="3" t="s">
        <v>23</v>
      </c>
    </row>
    <row r="3042" spans="1:5">
      <c r="A3042" s="3" t="s">
        <v>3063</v>
      </c>
      <c r="B3042" s="3" t="s">
        <v>22</v>
      </c>
      <c r="C3042" s="3">
        <v>631389</v>
      </c>
      <c r="D3042" s="3">
        <v>73845</v>
      </c>
      <c r="E3042" s="3" t="s">
        <v>23</v>
      </c>
    </row>
    <row r="3043" spans="1:5">
      <c r="A3043" s="3" t="s">
        <v>3064</v>
      </c>
      <c r="B3043" s="3" t="s">
        <v>22</v>
      </c>
      <c r="C3043" s="3">
        <v>562497</v>
      </c>
      <c r="D3043" s="3">
        <v>70281</v>
      </c>
      <c r="E3043" s="3" t="s">
        <v>23</v>
      </c>
    </row>
    <row r="3044" spans="1:5">
      <c r="A3044" s="3" t="s">
        <v>3065</v>
      </c>
      <c r="B3044" s="3" t="s">
        <v>22</v>
      </c>
      <c r="C3044" s="3">
        <v>1371236</v>
      </c>
      <c r="D3044" s="3">
        <v>388144</v>
      </c>
      <c r="E3044" s="3" t="s">
        <v>23</v>
      </c>
    </row>
    <row r="3045" spans="1:5">
      <c r="A3045" s="3" t="s">
        <v>3066</v>
      </c>
      <c r="B3045" s="3" t="s">
        <v>22</v>
      </c>
      <c r="C3045" s="3">
        <v>905876</v>
      </c>
      <c r="D3045" s="3">
        <v>142582</v>
      </c>
      <c r="E3045" s="3" t="s">
        <v>23</v>
      </c>
    </row>
    <row r="3046" spans="1:5">
      <c r="A3046" s="3" t="s">
        <v>3067</v>
      </c>
      <c r="B3046" s="3" t="s">
        <v>22</v>
      </c>
      <c r="C3046" s="3">
        <v>1206564</v>
      </c>
      <c r="D3046" s="3">
        <v>318663</v>
      </c>
      <c r="E3046" s="3" t="s">
        <v>23</v>
      </c>
    </row>
    <row r="3047" spans="1:5">
      <c r="A3047" s="3" t="s">
        <v>3068</v>
      </c>
      <c r="B3047" s="3" t="s">
        <v>22</v>
      </c>
      <c r="C3047" s="3">
        <v>635405</v>
      </c>
      <c r="D3047" s="3">
        <v>54544</v>
      </c>
      <c r="E3047" s="3" t="s">
        <v>23</v>
      </c>
    </row>
    <row r="3048" spans="1:5">
      <c r="A3048" s="3" t="s">
        <v>3069</v>
      </c>
      <c r="B3048" s="3" t="s">
        <v>22</v>
      </c>
      <c r="C3048" s="3">
        <v>594685</v>
      </c>
      <c r="D3048" s="3">
        <v>74581</v>
      </c>
      <c r="E3048" s="3" t="s">
        <v>23</v>
      </c>
    </row>
    <row r="3049" spans="1:5">
      <c r="A3049" s="3" t="s">
        <v>3070</v>
      </c>
      <c r="B3049" s="3" t="s">
        <v>22</v>
      </c>
      <c r="C3049" s="3">
        <v>127237</v>
      </c>
      <c r="D3049" s="3">
        <v>6359</v>
      </c>
      <c r="E3049" s="3" t="s">
        <v>23</v>
      </c>
    </row>
    <row r="3050" spans="1:5">
      <c r="A3050" s="3" t="s">
        <v>3071</v>
      </c>
      <c r="B3050" s="3" t="s">
        <v>22</v>
      </c>
      <c r="C3050" s="3">
        <v>1002454</v>
      </c>
      <c r="D3050" s="3">
        <v>219696</v>
      </c>
      <c r="E3050" s="3" t="s">
        <v>23</v>
      </c>
    </row>
    <row r="3051" spans="1:5">
      <c r="A3051" s="3" t="s">
        <v>3072</v>
      </c>
      <c r="B3051" s="3" t="s">
        <v>22</v>
      </c>
      <c r="C3051" s="3">
        <v>1197201</v>
      </c>
      <c r="D3051" s="3">
        <v>368004</v>
      </c>
      <c r="E3051" s="3" t="s">
        <v>23</v>
      </c>
    </row>
    <row r="3052" spans="1:5">
      <c r="A3052" s="3" t="s">
        <v>3073</v>
      </c>
      <c r="B3052" s="3" t="s">
        <v>22</v>
      </c>
      <c r="C3052" s="3">
        <v>1104443</v>
      </c>
      <c r="D3052" s="3">
        <v>281254</v>
      </c>
      <c r="E3052" s="3" t="s">
        <v>23</v>
      </c>
    </row>
    <row r="3053" spans="1:5">
      <c r="A3053" s="3" t="s">
        <v>3074</v>
      </c>
      <c r="B3053" s="3" t="s">
        <v>22</v>
      </c>
      <c r="C3053" s="3">
        <v>714936</v>
      </c>
      <c r="D3053" s="3">
        <v>79019</v>
      </c>
      <c r="E3053" s="3" t="s">
        <v>23</v>
      </c>
    </row>
    <row r="3054" spans="1:5">
      <c r="A3054" s="3" t="s">
        <v>3075</v>
      </c>
      <c r="B3054" s="3" t="s">
        <v>22</v>
      </c>
      <c r="C3054" s="3">
        <v>498745</v>
      </c>
      <c r="D3054" s="3">
        <v>10623</v>
      </c>
      <c r="E3054" s="3" t="s">
        <v>23</v>
      </c>
    </row>
    <row r="3055" spans="1:5">
      <c r="A3055" s="3" t="s">
        <v>3076</v>
      </c>
      <c r="B3055" s="3" t="s">
        <v>22</v>
      </c>
      <c r="C3055" s="3">
        <v>736079</v>
      </c>
      <c r="D3055" s="3">
        <v>68696</v>
      </c>
      <c r="E3055" s="3" t="s">
        <v>23</v>
      </c>
    </row>
    <row r="3056" spans="1:5">
      <c r="A3056" s="3" t="s">
        <v>3077</v>
      </c>
      <c r="B3056" s="3" t="s">
        <v>22</v>
      </c>
      <c r="C3056" s="3">
        <v>876890</v>
      </c>
      <c r="D3056" s="3">
        <v>190540</v>
      </c>
      <c r="E3056" s="3" t="s">
        <v>23</v>
      </c>
    </row>
    <row r="3057" spans="1:5">
      <c r="A3057" s="3" t="s">
        <v>3078</v>
      </c>
      <c r="B3057" s="3" t="s">
        <v>22</v>
      </c>
      <c r="C3057" s="3">
        <v>728940</v>
      </c>
      <c r="D3057" s="3">
        <v>78563</v>
      </c>
      <c r="E3057" s="3" t="s">
        <v>23</v>
      </c>
    </row>
    <row r="3058" spans="1:5">
      <c r="A3058" s="3" t="s">
        <v>3079</v>
      </c>
      <c r="B3058" s="3" t="s">
        <v>22</v>
      </c>
      <c r="C3058" s="3">
        <v>599250</v>
      </c>
      <c r="D3058" s="3">
        <v>80307</v>
      </c>
      <c r="E3058" s="3" t="s">
        <v>23</v>
      </c>
    </row>
    <row r="3059" spans="1:5">
      <c r="A3059" s="3" t="s">
        <v>3080</v>
      </c>
      <c r="B3059" s="3" t="s">
        <v>22</v>
      </c>
      <c r="C3059" s="3">
        <v>1302443</v>
      </c>
      <c r="D3059" s="3">
        <v>406311</v>
      </c>
      <c r="E3059" s="3" t="s">
        <v>23</v>
      </c>
    </row>
    <row r="3060" spans="1:5">
      <c r="A3060" s="3" t="s">
        <v>3081</v>
      </c>
      <c r="B3060" s="3" t="s">
        <v>22</v>
      </c>
      <c r="C3060" s="3">
        <v>532307</v>
      </c>
      <c r="D3060" s="3">
        <v>47218</v>
      </c>
      <c r="E3060" s="3" t="s">
        <v>23</v>
      </c>
    </row>
    <row r="3061" spans="1:5">
      <c r="A3061" s="3" t="s">
        <v>3082</v>
      </c>
      <c r="B3061" s="3" t="s">
        <v>22</v>
      </c>
      <c r="C3061" s="3">
        <v>747009</v>
      </c>
      <c r="D3061" s="3">
        <v>101160</v>
      </c>
      <c r="E3061" s="3" t="s">
        <v>23</v>
      </c>
    </row>
    <row r="3062" spans="1:5">
      <c r="A3062" s="3" t="s">
        <v>3083</v>
      </c>
      <c r="B3062" s="3" t="s">
        <v>22</v>
      </c>
      <c r="C3062" s="3">
        <v>1078372</v>
      </c>
      <c r="D3062" s="3">
        <v>238483</v>
      </c>
      <c r="E3062" s="3" t="s">
        <v>23</v>
      </c>
    </row>
    <row r="3063" spans="1:5">
      <c r="A3063" s="3" t="s">
        <v>3084</v>
      </c>
      <c r="B3063" s="3" t="s">
        <v>22</v>
      </c>
      <c r="C3063" s="3">
        <v>779514</v>
      </c>
      <c r="D3063" s="3">
        <v>155805</v>
      </c>
      <c r="E3063" s="3" t="s">
        <v>23</v>
      </c>
    </row>
    <row r="3064" spans="1:5">
      <c r="A3064" s="3" t="s">
        <v>3085</v>
      </c>
      <c r="B3064" s="3" t="s">
        <v>22</v>
      </c>
      <c r="C3064" s="3">
        <v>1373126</v>
      </c>
      <c r="D3064" s="3">
        <v>403120</v>
      </c>
      <c r="E3064" s="3" t="s">
        <v>23</v>
      </c>
    </row>
    <row r="3065" spans="1:5">
      <c r="A3065" s="3" t="s">
        <v>3086</v>
      </c>
      <c r="B3065" s="3" t="s">
        <v>22</v>
      </c>
      <c r="C3065" s="3">
        <v>1129570</v>
      </c>
      <c r="D3065" s="3">
        <v>254160</v>
      </c>
      <c r="E3065" s="3" t="s">
        <v>23</v>
      </c>
    </row>
    <row r="3066" spans="1:5">
      <c r="A3066" s="3" t="s">
        <v>3087</v>
      </c>
      <c r="B3066" s="3" t="s">
        <v>22</v>
      </c>
      <c r="C3066" s="3">
        <v>405104</v>
      </c>
      <c r="D3066" s="3">
        <v>21908</v>
      </c>
      <c r="E3066" s="3" t="s">
        <v>23</v>
      </c>
    </row>
    <row r="3067" spans="1:5">
      <c r="A3067" s="3" t="s">
        <v>3088</v>
      </c>
      <c r="B3067" s="3" t="s">
        <v>22</v>
      </c>
      <c r="C3067" s="3">
        <v>397207</v>
      </c>
      <c r="D3067" s="3">
        <v>29231</v>
      </c>
      <c r="E3067" s="3" t="s">
        <v>23</v>
      </c>
    </row>
    <row r="3068" spans="1:5">
      <c r="A3068" s="3" t="s">
        <v>3089</v>
      </c>
      <c r="B3068" s="3" t="s">
        <v>22</v>
      </c>
      <c r="C3068" s="3">
        <v>433977</v>
      </c>
      <c r="D3068" s="3">
        <v>21794</v>
      </c>
      <c r="E3068" s="3" t="s">
        <v>23</v>
      </c>
    </row>
    <row r="3069" spans="1:5">
      <c r="A3069" s="3" t="s">
        <v>3090</v>
      </c>
      <c r="B3069" s="3" t="s">
        <v>22</v>
      </c>
      <c r="C3069" s="3">
        <v>955571</v>
      </c>
      <c r="D3069" s="3">
        <v>223617</v>
      </c>
      <c r="E3069" s="3" t="s">
        <v>23</v>
      </c>
    </row>
    <row r="3070" spans="1:5">
      <c r="A3070" s="3" t="s">
        <v>3091</v>
      </c>
      <c r="B3070" s="3" t="s">
        <v>22</v>
      </c>
      <c r="C3070" s="3">
        <v>612981</v>
      </c>
      <c r="D3070" s="3">
        <v>71356</v>
      </c>
      <c r="E3070" s="3" t="s">
        <v>23</v>
      </c>
    </row>
    <row r="3071" spans="1:5">
      <c r="A3071" s="3" t="s">
        <v>3092</v>
      </c>
      <c r="B3071" s="3" t="s">
        <v>22</v>
      </c>
      <c r="C3071" s="3">
        <v>1296391</v>
      </c>
      <c r="D3071" s="3">
        <v>375134</v>
      </c>
      <c r="E3071" s="3" t="s">
        <v>23</v>
      </c>
    </row>
    <row r="3072" spans="1:5">
      <c r="A3072" s="3" t="s">
        <v>3093</v>
      </c>
      <c r="B3072" s="3" t="s">
        <v>22</v>
      </c>
      <c r="C3072" s="3">
        <v>1801308</v>
      </c>
      <c r="D3072" s="3">
        <v>653314</v>
      </c>
      <c r="E3072" s="3" t="s">
        <v>23</v>
      </c>
    </row>
    <row r="3073" spans="1:5">
      <c r="A3073" s="3" t="s">
        <v>3094</v>
      </c>
      <c r="B3073" s="3" t="s">
        <v>22</v>
      </c>
      <c r="C3073" s="3">
        <v>726771</v>
      </c>
      <c r="D3073" s="3">
        <v>45479</v>
      </c>
      <c r="E3073" s="3" t="s">
        <v>23</v>
      </c>
    </row>
    <row r="3074" spans="1:5">
      <c r="A3074" s="3" t="s">
        <v>3095</v>
      </c>
      <c r="B3074" s="3" t="s">
        <v>22</v>
      </c>
      <c r="C3074" s="3">
        <v>439897</v>
      </c>
      <c r="D3074" s="3">
        <v>3195</v>
      </c>
      <c r="E3074" s="3" t="s">
        <v>23</v>
      </c>
    </row>
    <row r="3075" spans="1:5">
      <c r="A3075" s="3" t="s">
        <v>3096</v>
      </c>
      <c r="B3075" s="3" t="s">
        <v>22</v>
      </c>
      <c r="C3075" s="3">
        <v>1485724</v>
      </c>
      <c r="D3075" s="3">
        <v>455311</v>
      </c>
      <c r="E3075" s="3" t="s">
        <v>23</v>
      </c>
    </row>
    <row r="3076" spans="1:5">
      <c r="A3076" s="3" t="s">
        <v>3097</v>
      </c>
      <c r="B3076" s="3" t="s">
        <v>22</v>
      </c>
      <c r="C3076" s="3">
        <v>809456</v>
      </c>
      <c r="D3076" s="3">
        <v>188271</v>
      </c>
      <c r="E3076" s="3" t="s">
        <v>23</v>
      </c>
    </row>
    <row r="3077" spans="1:5">
      <c r="A3077" s="3" t="s">
        <v>3098</v>
      </c>
      <c r="B3077" s="3" t="s">
        <v>22</v>
      </c>
      <c r="C3077" s="3">
        <v>417269</v>
      </c>
      <c r="D3077" s="3">
        <v>13648</v>
      </c>
      <c r="E3077" s="3" t="s">
        <v>23</v>
      </c>
    </row>
    <row r="3078" spans="1:5">
      <c r="A3078" s="3" t="s">
        <v>3099</v>
      </c>
      <c r="B3078" s="3" t="s">
        <v>22</v>
      </c>
      <c r="C3078" s="3">
        <v>550662</v>
      </c>
      <c r="D3078" s="3">
        <v>57060</v>
      </c>
      <c r="E3078" s="3" t="s">
        <v>23</v>
      </c>
    </row>
    <row r="3079" spans="1:5">
      <c r="A3079" s="3" t="s">
        <v>3100</v>
      </c>
      <c r="B3079" s="3" t="s">
        <v>22</v>
      </c>
      <c r="C3079" s="3">
        <v>1509920</v>
      </c>
      <c r="D3079" s="3">
        <v>467092</v>
      </c>
      <c r="E3079" s="3" t="s">
        <v>23</v>
      </c>
    </row>
    <row r="3080" spans="1:5">
      <c r="A3080" s="3" t="s">
        <v>3101</v>
      </c>
      <c r="B3080" s="3" t="s">
        <v>22</v>
      </c>
      <c r="C3080" s="3">
        <v>1341861</v>
      </c>
      <c r="D3080" s="3">
        <v>384101</v>
      </c>
      <c r="E3080" s="3" t="s">
        <v>23</v>
      </c>
    </row>
    <row r="3081" spans="1:5">
      <c r="A3081" s="3" t="s">
        <v>3102</v>
      </c>
      <c r="B3081" s="3" t="s">
        <v>22</v>
      </c>
      <c r="C3081" s="3">
        <v>1176834</v>
      </c>
      <c r="D3081" s="3">
        <v>330699</v>
      </c>
      <c r="E3081" s="3" t="s">
        <v>23</v>
      </c>
    </row>
    <row r="3082" spans="1:5">
      <c r="A3082" s="3" t="s">
        <v>3103</v>
      </c>
      <c r="B3082" s="3" t="s">
        <v>22</v>
      </c>
      <c r="C3082" s="3">
        <v>848206</v>
      </c>
      <c r="D3082" s="3">
        <v>130762</v>
      </c>
      <c r="E3082" s="3" t="s">
        <v>23</v>
      </c>
    </row>
    <row r="3083" spans="1:5">
      <c r="A3083" s="3" t="s">
        <v>3104</v>
      </c>
      <c r="B3083" s="3" t="s">
        <v>22</v>
      </c>
      <c r="C3083" s="3">
        <v>1149542</v>
      </c>
      <c r="D3083" s="3">
        <v>302009</v>
      </c>
      <c r="E3083" s="3" t="s">
        <v>23</v>
      </c>
    </row>
    <row r="3084" spans="1:5">
      <c r="A3084" s="3" t="s">
        <v>3105</v>
      </c>
      <c r="B3084" s="3" t="s">
        <v>22</v>
      </c>
      <c r="C3084" s="3">
        <v>348244</v>
      </c>
      <c r="D3084" s="3">
        <v>927</v>
      </c>
      <c r="E3084" s="3" t="s">
        <v>23</v>
      </c>
    </row>
    <row r="3085" spans="1:5">
      <c r="A3085" s="3" t="s">
        <v>3106</v>
      </c>
      <c r="B3085" s="3" t="s">
        <v>22</v>
      </c>
      <c r="C3085" s="3">
        <v>673110</v>
      </c>
      <c r="D3085" s="3">
        <v>96102</v>
      </c>
      <c r="E3085" s="3" t="s">
        <v>23</v>
      </c>
    </row>
    <row r="3086" spans="1:5">
      <c r="A3086" s="3" t="s">
        <v>3107</v>
      </c>
      <c r="B3086" s="3" t="s">
        <v>22</v>
      </c>
      <c r="C3086" s="3">
        <v>1343879</v>
      </c>
      <c r="D3086" s="3">
        <v>402926</v>
      </c>
      <c r="E3086" s="3" t="s">
        <v>23</v>
      </c>
    </row>
    <row r="3087" spans="1:5">
      <c r="A3087" s="3" t="s">
        <v>3108</v>
      </c>
      <c r="B3087" s="3" t="s">
        <v>22</v>
      </c>
      <c r="C3087" s="3">
        <v>16749</v>
      </c>
      <c r="D3087" s="3">
        <v>4841</v>
      </c>
      <c r="E3087" s="3" t="s">
        <v>23</v>
      </c>
    </row>
    <row r="3088" spans="1:5">
      <c r="A3088" s="3" t="s">
        <v>3109</v>
      </c>
      <c r="B3088" s="3" t="s">
        <v>22</v>
      </c>
      <c r="C3088" s="3">
        <v>1370955</v>
      </c>
      <c r="D3088" s="3">
        <v>350067</v>
      </c>
      <c r="E3088" s="3" t="s">
        <v>23</v>
      </c>
    </row>
    <row r="3089" spans="1:5">
      <c r="A3089" s="3" t="s">
        <v>3110</v>
      </c>
      <c r="B3089" s="3" t="s">
        <v>22</v>
      </c>
      <c r="C3089" s="3">
        <v>351573</v>
      </c>
      <c r="D3089" s="3">
        <v>4161</v>
      </c>
      <c r="E3089" s="3" t="s">
        <v>23</v>
      </c>
    </row>
    <row r="3090" spans="1:5">
      <c r="A3090" s="3" t="s">
        <v>3111</v>
      </c>
      <c r="B3090" s="3" t="s">
        <v>22</v>
      </c>
      <c r="C3090" s="3">
        <v>1644821</v>
      </c>
      <c r="D3090" s="3">
        <v>500018</v>
      </c>
      <c r="E3090" s="3" t="s">
        <v>23</v>
      </c>
    </row>
    <row r="3091" spans="1:5">
      <c r="A3091" s="3" t="s">
        <v>3112</v>
      </c>
      <c r="B3091" s="3" t="s">
        <v>22</v>
      </c>
      <c r="C3091" s="3">
        <v>1302491</v>
      </c>
      <c r="D3091" s="3">
        <v>303630</v>
      </c>
      <c r="E3091" s="3" t="s">
        <v>23</v>
      </c>
    </row>
    <row r="3092" spans="1:5">
      <c r="A3092" s="3" t="s">
        <v>3113</v>
      </c>
      <c r="B3092" s="3" t="s">
        <v>22</v>
      </c>
      <c r="C3092" s="3">
        <v>1357644</v>
      </c>
      <c r="D3092" s="3">
        <v>320368</v>
      </c>
      <c r="E3092" s="3" t="s">
        <v>23</v>
      </c>
    </row>
    <row r="3093" spans="1:5">
      <c r="A3093" s="3" t="s">
        <v>3114</v>
      </c>
      <c r="B3093" s="3" t="s">
        <v>22</v>
      </c>
      <c r="C3093" s="3">
        <v>610571</v>
      </c>
      <c r="D3093" s="3">
        <v>28756</v>
      </c>
      <c r="E3093" s="3" t="s">
        <v>23</v>
      </c>
    </row>
    <row r="3094" spans="1:5">
      <c r="A3094" s="3" t="s">
        <v>3115</v>
      </c>
      <c r="B3094" s="3" t="s">
        <v>22</v>
      </c>
      <c r="C3094" s="3">
        <v>1612875</v>
      </c>
      <c r="D3094" s="3">
        <v>541652</v>
      </c>
      <c r="E3094" s="3" t="s">
        <v>23</v>
      </c>
    </row>
    <row r="3095" spans="1:5">
      <c r="A3095" s="3" t="s">
        <v>3116</v>
      </c>
      <c r="B3095" s="3" t="s">
        <v>22</v>
      </c>
      <c r="C3095" s="3">
        <v>640585</v>
      </c>
      <c r="D3095" s="3">
        <v>35563</v>
      </c>
      <c r="E3095" s="3" t="s">
        <v>23</v>
      </c>
    </row>
    <row r="3096" spans="1:5">
      <c r="A3096" s="3" t="s">
        <v>3117</v>
      </c>
      <c r="B3096" s="3" t="s">
        <v>22</v>
      </c>
      <c r="C3096" s="3">
        <v>860369</v>
      </c>
      <c r="D3096" s="3">
        <v>149411</v>
      </c>
      <c r="E3096" s="3" t="s">
        <v>23</v>
      </c>
    </row>
    <row r="3097" spans="1:5">
      <c r="A3097" s="3" t="s">
        <v>3118</v>
      </c>
      <c r="B3097" s="3" t="s">
        <v>22</v>
      </c>
      <c r="C3097" s="3">
        <v>1541982</v>
      </c>
      <c r="D3097" s="3">
        <v>457171</v>
      </c>
      <c r="E3097" s="3" t="s">
        <v>23</v>
      </c>
    </row>
    <row r="3098" spans="1:5">
      <c r="A3098" s="3" t="s">
        <v>3119</v>
      </c>
      <c r="B3098" s="3" t="s">
        <v>22</v>
      </c>
      <c r="C3098" s="3">
        <v>1862431</v>
      </c>
      <c r="D3098" s="3">
        <v>571390</v>
      </c>
      <c r="E3098" s="3" t="s">
        <v>23</v>
      </c>
    </row>
    <row r="3099" spans="1:5">
      <c r="A3099" s="3" t="s">
        <v>3120</v>
      </c>
      <c r="B3099" s="3" t="s">
        <v>22</v>
      </c>
      <c r="C3099" s="3">
        <v>1640111</v>
      </c>
      <c r="D3099" s="3">
        <v>473932</v>
      </c>
      <c r="E3099" s="3" t="s">
        <v>23</v>
      </c>
    </row>
    <row r="3100" spans="1:5">
      <c r="A3100" s="3" t="s">
        <v>3121</v>
      </c>
      <c r="B3100" s="3" t="s">
        <v>22</v>
      </c>
      <c r="C3100" s="3">
        <v>496083</v>
      </c>
      <c r="D3100" s="3">
        <v>8113</v>
      </c>
      <c r="E3100" s="3" t="s">
        <v>23</v>
      </c>
    </row>
    <row r="3101" spans="1:5">
      <c r="A3101" s="3" t="s">
        <v>3122</v>
      </c>
      <c r="B3101" s="3" t="s">
        <v>22</v>
      </c>
      <c r="C3101" s="3">
        <v>1016227</v>
      </c>
      <c r="D3101" s="3">
        <v>96569</v>
      </c>
      <c r="E3101" s="3" t="s">
        <v>23</v>
      </c>
    </row>
    <row r="3102" spans="1:5">
      <c r="A3102" s="3" t="s">
        <v>3123</v>
      </c>
      <c r="B3102" s="3" t="s">
        <v>22</v>
      </c>
      <c r="C3102" s="3">
        <v>786885</v>
      </c>
      <c r="D3102" s="3">
        <v>29723</v>
      </c>
      <c r="E3102" s="3" t="s">
        <v>23</v>
      </c>
    </row>
    <row r="3103" spans="1:5">
      <c r="A3103" s="3" t="s">
        <v>3124</v>
      </c>
      <c r="B3103" s="3" t="s">
        <v>22</v>
      </c>
      <c r="C3103" s="3">
        <v>22477</v>
      </c>
      <c r="D3103" s="3">
        <v>3190</v>
      </c>
      <c r="E3103" s="3" t="s">
        <v>23</v>
      </c>
    </row>
    <row r="3104" spans="1:5">
      <c r="A3104" s="3" t="s">
        <v>3125</v>
      </c>
      <c r="B3104" s="3" t="s">
        <v>22</v>
      </c>
      <c r="C3104" s="3">
        <v>1523256</v>
      </c>
      <c r="D3104" s="3">
        <v>341976</v>
      </c>
      <c r="E3104" s="3" t="s">
        <v>23</v>
      </c>
    </row>
    <row r="3105" spans="1:5">
      <c r="A3105" s="3" t="s">
        <v>3126</v>
      </c>
      <c r="B3105" s="3" t="s">
        <v>22</v>
      </c>
      <c r="C3105" s="3">
        <v>1400031</v>
      </c>
      <c r="D3105" s="3">
        <v>365048</v>
      </c>
      <c r="E3105" s="3" t="s">
        <v>23</v>
      </c>
    </row>
    <row r="3106" spans="1:5">
      <c r="A3106" s="3" t="s">
        <v>3127</v>
      </c>
      <c r="B3106" s="3" t="s">
        <v>22</v>
      </c>
      <c r="C3106" s="3">
        <v>1690238</v>
      </c>
      <c r="D3106" s="3">
        <v>498853</v>
      </c>
      <c r="E3106" s="3" t="s">
        <v>23</v>
      </c>
    </row>
    <row r="3107" spans="1:5">
      <c r="A3107" s="3" t="s">
        <v>3128</v>
      </c>
      <c r="B3107" s="3" t="s">
        <v>22</v>
      </c>
      <c r="C3107" s="3">
        <v>883974</v>
      </c>
      <c r="D3107" s="3">
        <v>121904</v>
      </c>
      <c r="E3107" s="3" t="s">
        <v>23</v>
      </c>
    </row>
    <row r="3108" spans="1:5">
      <c r="A3108" s="3" t="s">
        <v>3129</v>
      </c>
      <c r="B3108" s="3" t="s">
        <v>22</v>
      </c>
      <c r="C3108" s="3">
        <v>1675262</v>
      </c>
      <c r="D3108" s="3">
        <v>433749</v>
      </c>
      <c r="E3108" s="3" t="s">
        <v>23</v>
      </c>
    </row>
    <row r="3109" spans="1:5">
      <c r="A3109" s="3" t="s">
        <v>3130</v>
      </c>
      <c r="B3109" s="3" t="s">
        <v>22</v>
      </c>
      <c r="C3109" s="3">
        <v>707996</v>
      </c>
      <c r="D3109" s="3">
        <v>44314</v>
      </c>
      <c r="E3109" s="3" t="s">
        <v>23</v>
      </c>
    </row>
    <row r="3110" spans="1:5">
      <c r="A3110" s="3" t="s">
        <v>3131</v>
      </c>
      <c r="B3110" s="3" t="s">
        <v>22</v>
      </c>
      <c r="C3110" s="3">
        <v>1464164</v>
      </c>
      <c r="D3110" s="3">
        <v>395666</v>
      </c>
      <c r="E3110" s="3" t="s">
        <v>23</v>
      </c>
    </row>
    <row r="3111" spans="1:5">
      <c r="A3111" s="3" t="s">
        <v>3132</v>
      </c>
      <c r="B3111" s="3" t="s">
        <v>22</v>
      </c>
      <c r="C3111" s="3">
        <v>1569565</v>
      </c>
      <c r="D3111" s="3">
        <v>429049</v>
      </c>
      <c r="E3111" s="3" t="s">
        <v>23</v>
      </c>
    </row>
    <row r="3112" spans="1:5">
      <c r="A3112" s="3" t="s">
        <v>3133</v>
      </c>
      <c r="B3112" s="3" t="s">
        <v>22</v>
      </c>
      <c r="C3112" s="3">
        <v>1706788</v>
      </c>
      <c r="D3112" s="3">
        <v>467587</v>
      </c>
      <c r="E3112" s="3" t="s">
        <v>23</v>
      </c>
    </row>
    <row r="3113" spans="1:5">
      <c r="A3113" s="3" t="s">
        <v>3134</v>
      </c>
      <c r="B3113" s="3" t="s">
        <v>22</v>
      </c>
      <c r="C3113" s="3">
        <v>1082481</v>
      </c>
      <c r="D3113" s="3">
        <v>98378</v>
      </c>
      <c r="E3113" s="3" t="s">
        <v>23</v>
      </c>
    </row>
    <row r="3114" spans="1:5">
      <c r="A3114" s="3" t="s">
        <v>3135</v>
      </c>
      <c r="B3114" s="3" t="s">
        <v>22</v>
      </c>
      <c r="C3114" s="3">
        <v>2223299</v>
      </c>
      <c r="D3114" s="3">
        <v>648244</v>
      </c>
      <c r="E3114" s="3" t="s">
        <v>23</v>
      </c>
    </row>
    <row r="3115" spans="1:5">
      <c r="A3115" s="3" t="s">
        <v>3136</v>
      </c>
      <c r="B3115" s="3" t="s">
        <v>22</v>
      </c>
      <c r="C3115" s="3">
        <v>1119641</v>
      </c>
      <c r="D3115" s="3">
        <v>198435</v>
      </c>
      <c r="E3115" s="3" t="s">
        <v>23</v>
      </c>
    </row>
    <row r="3116" spans="1:5">
      <c r="A3116" s="3" t="s">
        <v>3137</v>
      </c>
      <c r="B3116" s="3" t="s">
        <v>22</v>
      </c>
      <c r="C3116" s="3">
        <v>1460477</v>
      </c>
      <c r="D3116" s="3">
        <v>445462</v>
      </c>
      <c r="E3116" s="3" t="s">
        <v>23</v>
      </c>
    </row>
    <row r="3117" spans="1:5">
      <c r="A3117" s="3" t="s">
        <v>3138</v>
      </c>
      <c r="B3117" s="3" t="s">
        <v>22</v>
      </c>
      <c r="C3117" s="3">
        <v>745794</v>
      </c>
      <c r="D3117" s="3">
        <v>35748</v>
      </c>
      <c r="E3117" s="3" t="s">
        <v>23</v>
      </c>
    </row>
    <row r="3118" spans="1:5">
      <c r="A3118" s="3" t="s">
        <v>3139</v>
      </c>
      <c r="B3118" s="3" t="s">
        <v>22</v>
      </c>
      <c r="C3118" s="3">
        <v>1670806</v>
      </c>
      <c r="D3118" s="3">
        <v>544049</v>
      </c>
      <c r="E3118" s="3" t="s">
        <v>23</v>
      </c>
    </row>
    <row r="3119" spans="1:5">
      <c r="A3119" s="3" t="s">
        <v>3140</v>
      </c>
      <c r="B3119" s="3" t="s">
        <v>22</v>
      </c>
      <c r="C3119" s="3">
        <v>1216458</v>
      </c>
      <c r="D3119" s="3">
        <v>252141</v>
      </c>
      <c r="E3119" s="3" t="s">
        <v>23</v>
      </c>
    </row>
    <row r="3120" spans="1:5">
      <c r="A3120" s="3" t="s">
        <v>3141</v>
      </c>
      <c r="B3120" s="3" t="s">
        <v>22</v>
      </c>
      <c r="C3120" s="3">
        <v>2246593</v>
      </c>
      <c r="D3120" s="3">
        <v>773118</v>
      </c>
      <c r="E3120" s="3" t="s">
        <v>23</v>
      </c>
    </row>
    <row r="3121" spans="1:5">
      <c r="A3121" s="3" t="s">
        <v>3142</v>
      </c>
      <c r="B3121" s="3" t="s">
        <v>22</v>
      </c>
      <c r="C3121" s="3">
        <v>2026570</v>
      </c>
      <c r="D3121" s="3">
        <v>656692</v>
      </c>
      <c r="E3121" s="3" t="s">
        <v>23</v>
      </c>
    </row>
    <row r="3122" spans="1:5">
      <c r="A3122" s="3" t="s">
        <v>3143</v>
      </c>
      <c r="B3122" s="3" t="s">
        <v>22</v>
      </c>
      <c r="C3122" s="3">
        <v>1437394</v>
      </c>
      <c r="D3122" s="3">
        <v>429629</v>
      </c>
      <c r="E3122" s="3" t="s">
        <v>23</v>
      </c>
    </row>
    <row r="3123" spans="1:5">
      <c r="A3123" s="3" t="s">
        <v>3144</v>
      </c>
      <c r="B3123" s="3" t="s">
        <v>22</v>
      </c>
      <c r="C3123" s="3">
        <v>1921957</v>
      </c>
      <c r="D3123" s="3">
        <v>590042</v>
      </c>
      <c r="E3123" s="3" t="s">
        <v>23</v>
      </c>
    </row>
    <row r="3124" spans="1:5">
      <c r="A3124" s="3" t="s">
        <v>3145</v>
      </c>
      <c r="B3124" s="3" t="s">
        <v>22</v>
      </c>
      <c r="C3124" s="3">
        <v>1006478</v>
      </c>
      <c r="D3124" s="3">
        <v>126981</v>
      </c>
      <c r="E3124" s="3" t="s">
        <v>23</v>
      </c>
    </row>
    <row r="3125" spans="1:5">
      <c r="A3125" s="3" t="s">
        <v>3146</v>
      </c>
      <c r="B3125" s="3" t="s">
        <v>22</v>
      </c>
      <c r="C3125" s="3">
        <v>682624</v>
      </c>
      <c r="D3125" s="3">
        <v>33641</v>
      </c>
      <c r="E3125" s="3" t="s">
        <v>23</v>
      </c>
    </row>
    <row r="3126" spans="1:5">
      <c r="A3126" s="3" t="s">
        <v>3147</v>
      </c>
      <c r="B3126" s="3" t="s">
        <v>22</v>
      </c>
      <c r="C3126" s="3">
        <v>1382208</v>
      </c>
      <c r="D3126" s="3">
        <v>318183</v>
      </c>
      <c r="E3126" s="3" t="s">
        <v>23</v>
      </c>
    </row>
    <row r="3127" spans="1:5">
      <c r="A3127" s="3" t="s">
        <v>3148</v>
      </c>
      <c r="B3127" s="3" t="s">
        <v>22</v>
      </c>
      <c r="C3127" s="3">
        <v>1229449</v>
      </c>
      <c r="D3127" s="3">
        <v>275778</v>
      </c>
      <c r="E3127" s="3" t="s">
        <v>23</v>
      </c>
    </row>
    <row r="3128" spans="1:5">
      <c r="A3128" s="3" t="s">
        <v>3149</v>
      </c>
      <c r="B3128" s="3" t="s">
        <v>22</v>
      </c>
      <c r="C3128" s="3">
        <v>814157</v>
      </c>
      <c r="D3128" s="3">
        <v>16380</v>
      </c>
      <c r="E3128" s="3" t="s">
        <v>23</v>
      </c>
    </row>
    <row r="3129" spans="1:5">
      <c r="A3129" s="3" t="s">
        <v>3150</v>
      </c>
      <c r="B3129" s="3" t="s">
        <v>22</v>
      </c>
      <c r="C3129" s="3">
        <v>409686</v>
      </c>
      <c r="D3129" s="3">
        <v>964</v>
      </c>
      <c r="E3129" s="3" t="s">
        <v>23</v>
      </c>
    </row>
    <row r="3130" spans="1:5">
      <c r="A3130" s="3" t="s">
        <v>3151</v>
      </c>
      <c r="B3130" s="3" t="s">
        <v>22</v>
      </c>
      <c r="C3130" s="3">
        <v>2178335</v>
      </c>
      <c r="D3130" s="3">
        <v>797792</v>
      </c>
      <c r="E3130" s="3" t="s">
        <v>23</v>
      </c>
    </row>
    <row r="3131" spans="1:5">
      <c r="A3131" s="3" t="s">
        <v>3152</v>
      </c>
      <c r="B3131" s="3" t="s">
        <v>22</v>
      </c>
      <c r="C3131" s="3">
        <v>683671</v>
      </c>
      <c r="D3131" s="3">
        <v>19943</v>
      </c>
      <c r="E3131" s="3" t="s">
        <v>23</v>
      </c>
    </row>
    <row r="3132" spans="1:5">
      <c r="A3132" s="3" t="s">
        <v>3153</v>
      </c>
      <c r="B3132" s="3" t="s">
        <v>22</v>
      </c>
      <c r="C3132" s="3">
        <v>19692</v>
      </c>
      <c r="D3132" s="3">
        <v>3944</v>
      </c>
      <c r="E3132" s="3" t="s">
        <v>23</v>
      </c>
    </row>
    <row r="3133" spans="1:5">
      <c r="A3133" s="3" t="s">
        <v>3154</v>
      </c>
      <c r="B3133" s="3" t="s">
        <v>22</v>
      </c>
      <c r="C3133" s="3">
        <v>1248331</v>
      </c>
      <c r="D3133" s="3">
        <v>300519</v>
      </c>
      <c r="E3133" s="3" t="s">
        <v>23</v>
      </c>
    </row>
    <row r="3134" spans="1:5">
      <c r="A3134" s="3" t="s">
        <v>3155</v>
      </c>
      <c r="B3134" s="3" t="s">
        <v>22</v>
      </c>
      <c r="C3134" s="3">
        <v>730321</v>
      </c>
      <c r="D3134" s="3">
        <v>40479</v>
      </c>
      <c r="E3134" s="3" t="s">
        <v>23</v>
      </c>
    </row>
    <row r="3135" spans="1:5">
      <c r="A3135" s="3" t="s">
        <v>3156</v>
      </c>
      <c r="B3135" s="3" t="s">
        <v>22</v>
      </c>
      <c r="C3135" s="3">
        <v>1003788</v>
      </c>
      <c r="D3135" s="3">
        <v>49895</v>
      </c>
      <c r="E3135" s="3" t="s">
        <v>23</v>
      </c>
    </row>
    <row r="3136" spans="1:5">
      <c r="A3136" s="3" t="s">
        <v>3157</v>
      </c>
      <c r="B3136" s="3" t="s">
        <v>22</v>
      </c>
      <c r="C3136" s="3">
        <v>501736</v>
      </c>
      <c r="D3136" s="3">
        <v>5980</v>
      </c>
      <c r="E3136" s="3" t="s">
        <v>23</v>
      </c>
    </row>
    <row r="3137" spans="1:5">
      <c r="A3137" s="3" t="s">
        <v>3158</v>
      </c>
      <c r="B3137" s="3" t="s">
        <v>22</v>
      </c>
      <c r="C3137" s="3">
        <v>1230558</v>
      </c>
      <c r="D3137" s="3">
        <v>298643</v>
      </c>
      <c r="E3137" s="3" t="s">
        <v>23</v>
      </c>
    </row>
    <row r="3138" spans="1:5">
      <c r="A3138" s="3" t="s">
        <v>3159</v>
      </c>
      <c r="B3138" s="3" t="s">
        <v>22</v>
      </c>
      <c r="C3138" s="3">
        <v>1191764</v>
      </c>
      <c r="D3138" s="3">
        <v>183463</v>
      </c>
      <c r="E3138" s="3" t="s">
        <v>23</v>
      </c>
    </row>
    <row r="3139" spans="1:5">
      <c r="A3139" s="3" t="s">
        <v>3160</v>
      </c>
      <c r="B3139" s="3" t="s">
        <v>22</v>
      </c>
      <c r="C3139" s="3">
        <v>1913689</v>
      </c>
      <c r="D3139" s="3">
        <v>547058</v>
      </c>
      <c r="E3139" s="3" t="s">
        <v>23</v>
      </c>
    </row>
    <row r="3140" spans="1:5">
      <c r="A3140" s="3" t="s">
        <v>3161</v>
      </c>
      <c r="B3140" s="3" t="s">
        <v>22</v>
      </c>
      <c r="C3140" s="3">
        <v>596870</v>
      </c>
      <c r="D3140" s="3">
        <v>48709</v>
      </c>
      <c r="E3140" s="3" t="s">
        <v>23</v>
      </c>
    </row>
    <row r="3141" spans="1:5">
      <c r="A3141" s="3" t="s">
        <v>3162</v>
      </c>
      <c r="B3141" s="3" t="s">
        <v>22</v>
      </c>
      <c r="C3141" s="3">
        <v>800721</v>
      </c>
      <c r="D3141" s="3">
        <v>68578</v>
      </c>
      <c r="E3141" s="3" t="s">
        <v>23</v>
      </c>
    </row>
    <row r="3142" spans="1:5">
      <c r="A3142" s="3" t="s">
        <v>3163</v>
      </c>
      <c r="B3142" s="3" t="s">
        <v>22</v>
      </c>
      <c r="C3142" s="3">
        <v>1447354</v>
      </c>
      <c r="D3142" s="3">
        <v>330161</v>
      </c>
      <c r="E3142" s="3" t="s">
        <v>23</v>
      </c>
    </row>
    <row r="3143" spans="1:5">
      <c r="A3143" s="3" t="s">
        <v>3164</v>
      </c>
      <c r="B3143" s="3" t="s">
        <v>22</v>
      </c>
      <c r="C3143" s="3">
        <v>23866</v>
      </c>
      <c r="D3143" s="3">
        <v>5939</v>
      </c>
      <c r="E3143" s="3" t="s">
        <v>23</v>
      </c>
    </row>
    <row r="3144" spans="1:5">
      <c r="A3144" s="3" t="s">
        <v>3165</v>
      </c>
      <c r="B3144" s="3" t="s">
        <v>22</v>
      </c>
      <c r="C3144" s="3">
        <v>998083</v>
      </c>
      <c r="D3144" s="3">
        <v>167949</v>
      </c>
      <c r="E3144" s="3" t="s">
        <v>23</v>
      </c>
    </row>
    <row r="3145" spans="1:5">
      <c r="A3145" s="3" t="s">
        <v>3166</v>
      </c>
      <c r="B3145" s="3" t="s">
        <v>22</v>
      </c>
      <c r="C3145" s="3">
        <v>446175</v>
      </c>
      <c r="D3145" s="3">
        <v>14693</v>
      </c>
      <c r="E3145" s="3" t="s">
        <v>23</v>
      </c>
    </row>
    <row r="3146" spans="1:5">
      <c r="A3146" s="3" t="s">
        <v>3167</v>
      </c>
      <c r="B3146" s="3" t="s">
        <v>22</v>
      </c>
      <c r="C3146" s="3">
        <v>1830799</v>
      </c>
      <c r="D3146" s="3">
        <v>599612</v>
      </c>
      <c r="E3146" s="3" t="s">
        <v>23</v>
      </c>
    </row>
    <row r="3147" spans="1:5">
      <c r="A3147" s="3" t="s">
        <v>3168</v>
      </c>
      <c r="B3147" s="3" t="s">
        <v>22</v>
      </c>
      <c r="C3147" s="3">
        <v>623454</v>
      </c>
      <c r="D3147" s="3">
        <v>13475</v>
      </c>
      <c r="E3147" s="3" t="s">
        <v>23</v>
      </c>
    </row>
    <row r="3148" spans="1:5">
      <c r="A3148" s="3" t="s">
        <v>3169</v>
      </c>
      <c r="B3148" s="3" t="s">
        <v>22</v>
      </c>
      <c r="C3148" s="3">
        <v>908490</v>
      </c>
      <c r="D3148" s="3">
        <v>117879</v>
      </c>
      <c r="E3148" s="3" t="s">
        <v>23</v>
      </c>
    </row>
    <row r="3149" spans="1:5">
      <c r="A3149" s="3" t="s">
        <v>3170</v>
      </c>
      <c r="B3149" s="3" t="s">
        <v>22</v>
      </c>
      <c r="C3149" s="3">
        <v>1496127</v>
      </c>
      <c r="D3149" s="3">
        <v>458011</v>
      </c>
      <c r="E3149" s="3" t="s">
        <v>23</v>
      </c>
    </row>
    <row r="3150" spans="1:5">
      <c r="A3150" s="3" t="s">
        <v>3171</v>
      </c>
      <c r="B3150" s="3" t="s">
        <v>22</v>
      </c>
      <c r="C3150" s="3">
        <v>1471009</v>
      </c>
      <c r="D3150" s="3">
        <v>248065</v>
      </c>
      <c r="E3150" s="3" t="s">
        <v>23</v>
      </c>
    </row>
    <row r="3151" spans="1:5">
      <c r="A3151" s="3" t="s">
        <v>3172</v>
      </c>
      <c r="B3151" s="3" t="s">
        <v>22</v>
      </c>
      <c r="C3151" s="3">
        <v>1373427</v>
      </c>
      <c r="D3151" s="3">
        <v>278645</v>
      </c>
      <c r="E3151" s="3" t="s">
        <v>23</v>
      </c>
    </row>
    <row r="3152" spans="1:5">
      <c r="A3152" s="3" t="s">
        <v>3173</v>
      </c>
      <c r="B3152" s="3" t="s">
        <v>22</v>
      </c>
      <c r="C3152" s="3">
        <v>1457302</v>
      </c>
      <c r="D3152" s="3">
        <v>417182</v>
      </c>
      <c r="E3152" s="3" t="s">
        <v>23</v>
      </c>
    </row>
    <row r="3153" spans="1:5">
      <c r="A3153" s="3" t="s">
        <v>3174</v>
      </c>
      <c r="B3153" s="3" t="s">
        <v>22</v>
      </c>
      <c r="C3153" s="3">
        <v>503813</v>
      </c>
      <c r="D3153" s="3">
        <v>12756</v>
      </c>
      <c r="E3153" s="3" t="s">
        <v>23</v>
      </c>
    </row>
    <row r="3154" spans="1:5">
      <c r="A3154" s="3" t="s">
        <v>3175</v>
      </c>
      <c r="B3154" s="3" t="s">
        <v>22</v>
      </c>
      <c r="C3154" s="3">
        <v>519676</v>
      </c>
      <c r="D3154" s="3">
        <v>51000</v>
      </c>
      <c r="E3154" s="3" t="s">
        <v>23</v>
      </c>
    </row>
    <row r="3155" spans="1:5">
      <c r="A3155" s="3" t="s">
        <v>3176</v>
      </c>
      <c r="B3155" s="3" t="s">
        <v>22</v>
      </c>
      <c r="C3155" s="3">
        <v>1508356</v>
      </c>
      <c r="D3155" s="3">
        <v>502226</v>
      </c>
      <c r="E3155" s="3" t="s">
        <v>23</v>
      </c>
    </row>
    <row r="3156" spans="1:5">
      <c r="A3156" s="3" t="s">
        <v>3177</v>
      </c>
      <c r="B3156" s="3" t="s">
        <v>22</v>
      </c>
      <c r="C3156" s="3">
        <v>702368</v>
      </c>
      <c r="D3156" s="3">
        <v>6146</v>
      </c>
      <c r="E3156" s="3" t="s">
        <v>23</v>
      </c>
    </row>
    <row r="3157" spans="1:5">
      <c r="A3157" s="3" t="s">
        <v>3178</v>
      </c>
      <c r="B3157" s="3" t="s">
        <v>22</v>
      </c>
      <c r="C3157" s="3">
        <v>1951067</v>
      </c>
      <c r="D3157" s="3">
        <v>622003</v>
      </c>
      <c r="E3157" s="3" t="s">
        <v>23</v>
      </c>
    </row>
    <row r="3158" spans="1:5">
      <c r="A3158" s="3" t="s">
        <v>3179</v>
      </c>
      <c r="B3158" s="3" t="s">
        <v>22</v>
      </c>
      <c r="C3158" s="3">
        <v>1006276</v>
      </c>
      <c r="D3158" s="3">
        <v>151883</v>
      </c>
      <c r="E3158" s="3" t="s">
        <v>23</v>
      </c>
    </row>
    <row r="3159" spans="1:5">
      <c r="A3159" s="3" t="s">
        <v>3180</v>
      </c>
      <c r="B3159" s="3" t="s">
        <v>22</v>
      </c>
      <c r="C3159" s="3">
        <v>711318</v>
      </c>
      <c r="D3159" s="3">
        <v>57827</v>
      </c>
      <c r="E3159" s="3" t="s">
        <v>23</v>
      </c>
    </row>
    <row r="3160" spans="1:5">
      <c r="A3160" s="3" t="s">
        <v>3181</v>
      </c>
      <c r="B3160" s="3" t="s">
        <v>22</v>
      </c>
      <c r="C3160" s="3">
        <v>479985</v>
      </c>
      <c r="D3160" s="3">
        <v>5922</v>
      </c>
      <c r="E3160" s="3" t="s">
        <v>23</v>
      </c>
    </row>
    <row r="3161" spans="1:5">
      <c r="A3161" s="3" t="s">
        <v>3182</v>
      </c>
      <c r="B3161" s="3" t="s">
        <v>22</v>
      </c>
      <c r="C3161" s="3">
        <v>1706459</v>
      </c>
      <c r="D3161" s="3">
        <v>545960</v>
      </c>
      <c r="E3161" s="3" t="s">
        <v>23</v>
      </c>
    </row>
    <row r="3162" spans="1:5">
      <c r="A3162" s="3" t="s">
        <v>3183</v>
      </c>
      <c r="B3162" s="3" t="s">
        <v>22</v>
      </c>
      <c r="C3162" s="3">
        <v>1151852</v>
      </c>
      <c r="D3162" s="3">
        <v>183317</v>
      </c>
      <c r="E3162" s="3" t="s">
        <v>23</v>
      </c>
    </row>
    <row r="3163" spans="1:5">
      <c r="A3163" s="3" t="s">
        <v>3184</v>
      </c>
      <c r="B3163" s="3" t="s">
        <v>22</v>
      </c>
      <c r="C3163" s="3">
        <v>927009</v>
      </c>
      <c r="D3163" s="3">
        <v>163824</v>
      </c>
      <c r="E3163" s="3" t="s">
        <v>23</v>
      </c>
    </row>
    <row r="3164" spans="1:5">
      <c r="A3164" s="3" t="s">
        <v>3185</v>
      </c>
      <c r="B3164" s="3" t="s">
        <v>22</v>
      </c>
      <c r="C3164" s="3">
        <v>2111300</v>
      </c>
      <c r="D3164" s="3">
        <v>633676</v>
      </c>
      <c r="E3164" s="3" t="s">
        <v>23</v>
      </c>
    </row>
    <row r="3165" spans="1:5">
      <c r="A3165" s="3" t="s">
        <v>3186</v>
      </c>
      <c r="B3165" s="3" t="s">
        <v>22</v>
      </c>
      <c r="C3165" s="3">
        <v>1623739</v>
      </c>
      <c r="D3165" s="3">
        <v>447194</v>
      </c>
      <c r="E3165" s="3" t="s">
        <v>23</v>
      </c>
    </row>
    <row r="3166" spans="1:5">
      <c r="A3166" s="3" t="s">
        <v>3187</v>
      </c>
      <c r="B3166" s="3" t="s">
        <v>22</v>
      </c>
      <c r="C3166" s="3">
        <v>768849</v>
      </c>
      <c r="D3166" s="3">
        <v>115443</v>
      </c>
      <c r="E3166" s="3" t="s">
        <v>23</v>
      </c>
    </row>
    <row r="3167" spans="1:5">
      <c r="A3167" s="3" t="s">
        <v>3188</v>
      </c>
      <c r="B3167" s="3" t="s">
        <v>22</v>
      </c>
      <c r="C3167" s="3">
        <v>627335</v>
      </c>
      <c r="D3167" s="3">
        <v>24512</v>
      </c>
      <c r="E3167" s="3" t="s">
        <v>23</v>
      </c>
    </row>
    <row r="3168" spans="1:5">
      <c r="A3168" s="3" t="s">
        <v>3189</v>
      </c>
      <c r="B3168" s="3" t="s">
        <v>22</v>
      </c>
      <c r="C3168" s="3">
        <v>1873829</v>
      </c>
      <c r="D3168" s="3">
        <v>577299</v>
      </c>
      <c r="E3168" s="3" t="s">
        <v>23</v>
      </c>
    </row>
    <row r="3169" spans="1:5">
      <c r="A3169" s="3" t="s">
        <v>3190</v>
      </c>
      <c r="B3169" s="3" t="s">
        <v>22</v>
      </c>
      <c r="C3169" s="3">
        <v>1608864</v>
      </c>
      <c r="D3169" s="3">
        <v>436126</v>
      </c>
      <c r="E3169" s="3" t="s">
        <v>23</v>
      </c>
    </row>
    <row r="3170" spans="1:5">
      <c r="A3170" s="3" t="s">
        <v>3191</v>
      </c>
      <c r="B3170" s="3" t="s">
        <v>22</v>
      </c>
      <c r="C3170" s="3">
        <v>504757</v>
      </c>
      <c r="D3170" s="3">
        <v>5544</v>
      </c>
      <c r="E3170" s="3" t="s">
        <v>23</v>
      </c>
    </row>
    <row r="3171" spans="1:5">
      <c r="A3171" s="3" t="s">
        <v>3192</v>
      </c>
      <c r="B3171" s="3" t="s">
        <v>22</v>
      </c>
      <c r="C3171" s="3">
        <v>604437</v>
      </c>
      <c r="D3171" s="3">
        <v>62084</v>
      </c>
      <c r="E3171" s="3" t="s">
        <v>23</v>
      </c>
    </row>
    <row r="3172" spans="1:5">
      <c r="A3172" s="3" t="s">
        <v>3193</v>
      </c>
      <c r="B3172" s="3" t="s">
        <v>22</v>
      </c>
      <c r="C3172" s="3">
        <v>1418774</v>
      </c>
      <c r="D3172" s="3">
        <v>451904</v>
      </c>
      <c r="E3172" s="3" t="s">
        <v>23</v>
      </c>
    </row>
    <row r="3173" spans="1:5">
      <c r="A3173" s="3" t="s">
        <v>3194</v>
      </c>
      <c r="B3173" s="3" t="s">
        <v>22</v>
      </c>
      <c r="C3173" s="3">
        <v>1728889</v>
      </c>
      <c r="D3173" s="3">
        <v>596710</v>
      </c>
      <c r="E3173" s="3" t="s">
        <v>23</v>
      </c>
    </row>
    <row r="3174" spans="1:5">
      <c r="A3174" s="3" t="s">
        <v>3195</v>
      </c>
      <c r="B3174" s="3" t="s">
        <v>22</v>
      </c>
      <c r="C3174" s="3">
        <v>1271259</v>
      </c>
      <c r="D3174" s="3">
        <v>365013</v>
      </c>
      <c r="E3174" s="3" t="s">
        <v>23</v>
      </c>
    </row>
    <row r="3175" spans="1:5">
      <c r="A3175" s="3" t="s">
        <v>3196</v>
      </c>
      <c r="B3175" s="3" t="s">
        <v>22</v>
      </c>
      <c r="C3175" s="3">
        <v>940432</v>
      </c>
      <c r="D3175" s="3">
        <v>179301</v>
      </c>
      <c r="E3175" s="3" t="s">
        <v>23</v>
      </c>
    </row>
    <row r="3176" spans="1:5">
      <c r="A3176" s="3" t="s">
        <v>3197</v>
      </c>
      <c r="B3176" s="3" t="s">
        <v>22</v>
      </c>
      <c r="C3176" s="3">
        <v>1902609</v>
      </c>
      <c r="D3176" s="3">
        <v>626225</v>
      </c>
      <c r="E3176" s="3" t="s">
        <v>23</v>
      </c>
    </row>
    <row r="3177" spans="1:5">
      <c r="A3177" s="3" t="s">
        <v>3198</v>
      </c>
      <c r="B3177" s="3" t="s">
        <v>22</v>
      </c>
      <c r="C3177" s="3">
        <v>418167</v>
      </c>
      <c r="D3177" s="3">
        <v>3518</v>
      </c>
      <c r="E3177" s="3" t="s">
        <v>23</v>
      </c>
    </row>
    <row r="3178" spans="1:5">
      <c r="A3178" s="3" t="s">
        <v>3199</v>
      </c>
      <c r="B3178" s="3" t="s">
        <v>22</v>
      </c>
      <c r="C3178" s="3">
        <v>1099238</v>
      </c>
      <c r="D3178" s="3">
        <v>240044</v>
      </c>
      <c r="E3178" s="3" t="s">
        <v>23</v>
      </c>
    </row>
    <row r="3179" spans="1:5">
      <c r="A3179" s="3" t="s">
        <v>3200</v>
      </c>
      <c r="B3179" s="3" t="s">
        <v>22</v>
      </c>
      <c r="C3179" s="3">
        <v>3076086</v>
      </c>
      <c r="D3179" s="3">
        <v>550492</v>
      </c>
      <c r="E3179" s="3" t="s">
        <v>23</v>
      </c>
    </row>
    <row r="3180" spans="1:5">
      <c r="A3180" s="3" t="s">
        <v>3201</v>
      </c>
      <c r="B3180" s="3" t="s">
        <v>22</v>
      </c>
      <c r="C3180" s="3">
        <v>1489935</v>
      </c>
      <c r="D3180" s="3">
        <v>479019</v>
      </c>
      <c r="E3180" s="3" t="s">
        <v>23</v>
      </c>
    </row>
    <row r="3181" spans="1:5">
      <c r="A3181" s="3" t="s">
        <v>3202</v>
      </c>
      <c r="B3181" s="3" t="s">
        <v>22</v>
      </c>
      <c r="C3181" s="3">
        <v>1938636</v>
      </c>
      <c r="D3181" s="3">
        <v>627094</v>
      </c>
      <c r="E3181" s="3" t="s">
        <v>23</v>
      </c>
    </row>
    <row r="3182" spans="1:5">
      <c r="A3182" s="3" t="s">
        <v>3203</v>
      </c>
      <c r="B3182" s="3" t="s">
        <v>22</v>
      </c>
      <c r="C3182" s="3">
        <v>409066</v>
      </c>
      <c r="D3182" s="3">
        <v>2279</v>
      </c>
      <c r="E3182" s="3" t="s">
        <v>23</v>
      </c>
    </row>
    <row r="3183" spans="1:5">
      <c r="A3183" s="3" t="s">
        <v>3204</v>
      </c>
      <c r="B3183" s="3" t="s">
        <v>22</v>
      </c>
      <c r="C3183" s="3">
        <v>1879968</v>
      </c>
      <c r="D3183" s="3">
        <v>759229</v>
      </c>
      <c r="E3183" s="3" t="s">
        <v>23</v>
      </c>
    </row>
    <row r="3184" spans="1:5">
      <c r="A3184" s="3" t="s">
        <v>3205</v>
      </c>
      <c r="B3184" s="3" t="s">
        <v>22</v>
      </c>
      <c r="C3184" s="3">
        <v>1676754</v>
      </c>
      <c r="D3184" s="3">
        <v>504575</v>
      </c>
      <c r="E3184" s="3" t="s">
        <v>23</v>
      </c>
    </row>
    <row r="3185" spans="1:5">
      <c r="A3185" s="3" t="s">
        <v>3206</v>
      </c>
      <c r="B3185" s="3" t="s">
        <v>22</v>
      </c>
      <c r="C3185" s="3">
        <v>1500174</v>
      </c>
      <c r="D3185" s="3">
        <v>423153</v>
      </c>
      <c r="E3185" s="3" t="s">
        <v>23</v>
      </c>
    </row>
    <row r="3186" spans="1:5">
      <c r="A3186" s="3" t="s">
        <v>3207</v>
      </c>
      <c r="B3186" s="3" t="s">
        <v>22</v>
      </c>
      <c r="C3186" s="3">
        <v>543642</v>
      </c>
      <c r="D3186" s="3">
        <v>5250</v>
      </c>
      <c r="E3186" s="3" t="s">
        <v>23</v>
      </c>
    </row>
    <row r="3187" spans="1:5">
      <c r="A3187" s="3" t="s">
        <v>3208</v>
      </c>
      <c r="B3187" s="3" t="s">
        <v>22</v>
      </c>
      <c r="C3187" s="3">
        <v>1543289</v>
      </c>
      <c r="D3187" s="3">
        <v>424735</v>
      </c>
      <c r="E3187" s="3" t="s">
        <v>23</v>
      </c>
    </row>
    <row r="3188" spans="1:5">
      <c r="A3188" s="3" t="s">
        <v>3209</v>
      </c>
      <c r="B3188" s="3" t="s">
        <v>22</v>
      </c>
      <c r="C3188" s="3">
        <v>765610</v>
      </c>
      <c r="D3188" s="3">
        <v>80653</v>
      </c>
      <c r="E3188" s="3" t="s">
        <v>23</v>
      </c>
    </row>
    <row r="3189" spans="1:5">
      <c r="A3189" s="3" t="s">
        <v>3210</v>
      </c>
      <c r="B3189" s="3" t="s">
        <v>22</v>
      </c>
      <c r="C3189" s="3">
        <v>1300501</v>
      </c>
      <c r="D3189" s="3">
        <v>274636</v>
      </c>
      <c r="E3189" s="3" t="s">
        <v>23</v>
      </c>
    </row>
    <row r="3190" spans="1:5">
      <c r="A3190" s="3" t="s">
        <v>3211</v>
      </c>
      <c r="B3190" s="3" t="s">
        <v>22</v>
      </c>
      <c r="C3190" s="3">
        <v>1250939</v>
      </c>
      <c r="D3190" s="3">
        <v>404519</v>
      </c>
      <c r="E3190" s="3" t="s">
        <v>23</v>
      </c>
    </row>
    <row r="3191" spans="1:5">
      <c r="A3191" s="3" t="s">
        <v>3212</v>
      </c>
      <c r="B3191" s="3" t="s">
        <v>22</v>
      </c>
      <c r="C3191" s="3">
        <v>1508528</v>
      </c>
      <c r="D3191" s="3">
        <v>443976</v>
      </c>
      <c r="E3191" s="3" t="s">
        <v>23</v>
      </c>
    </row>
    <row r="3192" spans="1:5">
      <c r="A3192" s="3" t="s">
        <v>3213</v>
      </c>
      <c r="B3192" s="3" t="s">
        <v>22</v>
      </c>
      <c r="C3192" s="3">
        <v>1370513</v>
      </c>
      <c r="D3192" s="3">
        <v>389803</v>
      </c>
      <c r="E3192" s="3" t="s">
        <v>23</v>
      </c>
    </row>
    <row r="3193" spans="1:5">
      <c r="A3193" s="3" t="s">
        <v>3214</v>
      </c>
      <c r="B3193" s="3" t="s">
        <v>22</v>
      </c>
      <c r="C3193" s="3">
        <v>946886</v>
      </c>
      <c r="D3193" s="3">
        <v>58566</v>
      </c>
      <c r="E3193" s="3" t="s">
        <v>23</v>
      </c>
    </row>
    <row r="3194" spans="1:5">
      <c r="A3194" s="3" t="s">
        <v>3215</v>
      </c>
      <c r="B3194" s="3" t="s">
        <v>22</v>
      </c>
      <c r="C3194" s="3">
        <v>1394210</v>
      </c>
      <c r="D3194" s="3">
        <v>282268</v>
      </c>
      <c r="E3194" s="3" t="s">
        <v>23</v>
      </c>
    </row>
    <row r="3195" spans="1:5">
      <c r="A3195" s="3" t="s">
        <v>3216</v>
      </c>
      <c r="B3195" s="3" t="s">
        <v>22</v>
      </c>
      <c r="C3195" s="3">
        <v>1147029</v>
      </c>
      <c r="D3195" s="3">
        <v>113482</v>
      </c>
      <c r="E3195" s="3" t="s">
        <v>23</v>
      </c>
    </row>
    <row r="3196" spans="1:5">
      <c r="A3196" s="3" t="s">
        <v>3217</v>
      </c>
      <c r="B3196" s="3" t="s">
        <v>22</v>
      </c>
      <c r="C3196" s="3">
        <v>1599505</v>
      </c>
      <c r="D3196" s="3">
        <v>428791</v>
      </c>
      <c r="E3196" s="3" t="s">
        <v>23</v>
      </c>
    </row>
    <row r="3197" spans="1:5">
      <c r="A3197" s="3" t="s">
        <v>3218</v>
      </c>
      <c r="B3197" s="3" t="s">
        <v>22</v>
      </c>
      <c r="C3197" s="3">
        <v>787275</v>
      </c>
      <c r="D3197" s="3">
        <v>14404</v>
      </c>
      <c r="E3197" s="3" t="s">
        <v>23</v>
      </c>
    </row>
    <row r="3198" spans="1:5">
      <c r="A3198" s="3" t="s">
        <v>3219</v>
      </c>
      <c r="B3198" s="3" t="s">
        <v>22</v>
      </c>
      <c r="C3198" s="3">
        <v>1413802</v>
      </c>
      <c r="D3198" s="3">
        <v>325288</v>
      </c>
      <c r="E3198" s="3" t="s">
        <v>23</v>
      </c>
    </row>
    <row r="3199" spans="1:5">
      <c r="A3199" s="3" t="s">
        <v>3220</v>
      </c>
      <c r="B3199" s="3" t="s">
        <v>22</v>
      </c>
      <c r="C3199" s="3">
        <v>1671450</v>
      </c>
      <c r="D3199" s="3">
        <v>353877</v>
      </c>
      <c r="E3199" s="3" t="s">
        <v>23</v>
      </c>
    </row>
    <row r="3200" spans="1:5">
      <c r="A3200" s="3" t="s">
        <v>3221</v>
      </c>
      <c r="B3200" s="3" t="s">
        <v>22</v>
      </c>
      <c r="C3200" s="3">
        <v>1228647</v>
      </c>
      <c r="D3200" s="3">
        <v>94274</v>
      </c>
      <c r="E3200" s="3" t="s">
        <v>23</v>
      </c>
    </row>
    <row r="3201" spans="1:5">
      <c r="A3201" s="3" t="s">
        <v>3222</v>
      </c>
      <c r="B3201" s="3" t="s">
        <v>22</v>
      </c>
      <c r="C3201" s="3">
        <v>1555398</v>
      </c>
      <c r="D3201" s="3">
        <v>475833</v>
      </c>
      <c r="E3201" s="3" t="s">
        <v>23</v>
      </c>
    </row>
    <row r="3202" spans="1:5">
      <c r="A3202" s="3" t="s">
        <v>3223</v>
      </c>
      <c r="B3202" s="3" t="s">
        <v>22</v>
      </c>
      <c r="C3202" s="3">
        <v>886762</v>
      </c>
      <c r="D3202" s="3">
        <v>52469</v>
      </c>
      <c r="E3202" s="3" t="s">
        <v>23</v>
      </c>
    </row>
    <row r="3203" spans="1:5">
      <c r="A3203" s="3" t="s">
        <v>3224</v>
      </c>
      <c r="B3203" s="3" t="s">
        <v>22</v>
      </c>
      <c r="C3203" s="3">
        <v>666359</v>
      </c>
      <c r="D3203" s="3">
        <v>27424</v>
      </c>
      <c r="E3203" s="3" t="s">
        <v>23</v>
      </c>
    </row>
    <row r="3204" spans="1:5">
      <c r="A3204" s="3" t="s">
        <v>3225</v>
      </c>
      <c r="B3204" s="3" t="s">
        <v>22</v>
      </c>
      <c r="C3204" s="3">
        <v>1858904</v>
      </c>
      <c r="D3204" s="3">
        <v>505707</v>
      </c>
      <c r="E3204" s="3" t="s">
        <v>23</v>
      </c>
    </row>
    <row r="3205" spans="1:5">
      <c r="A3205" s="3" t="s">
        <v>3226</v>
      </c>
      <c r="B3205" s="3" t="s">
        <v>22</v>
      </c>
      <c r="C3205" s="3">
        <v>1926062</v>
      </c>
      <c r="D3205" s="3">
        <v>517842</v>
      </c>
      <c r="E3205" s="3" t="s">
        <v>23</v>
      </c>
    </row>
    <row r="3206" spans="1:5">
      <c r="A3206" s="3" t="s">
        <v>3227</v>
      </c>
      <c r="B3206" s="3" t="s">
        <v>22</v>
      </c>
      <c r="C3206" s="3">
        <v>1137971</v>
      </c>
      <c r="D3206" s="3">
        <v>154165</v>
      </c>
      <c r="E3206" s="3" t="s">
        <v>23</v>
      </c>
    </row>
    <row r="3207" spans="1:5">
      <c r="A3207" s="3" t="s">
        <v>3228</v>
      </c>
      <c r="B3207" s="3" t="s">
        <v>22</v>
      </c>
      <c r="C3207" s="3">
        <v>1743592</v>
      </c>
      <c r="D3207" s="3">
        <v>395338</v>
      </c>
      <c r="E3207" s="3" t="s">
        <v>23</v>
      </c>
    </row>
    <row r="3208" spans="1:5">
      <c r="A3208" s="3" t="s">
        <v>3229</v>
      </c>
      <c r="B3208" s="3" t="s">
        <v>22</v>
      </c>
      <c r="C3208" s="3">
        <v>1576909</v>
      </c>
      <c r="D3208" s="3">
        <v>531623</v>
      </c>
      <c r="E3208" s="3" t="s">
        <v>23</v>
      </c>
    </row>
    <row r="3209" spans="1:5">
      <c r="A3209" s="3" t="s">
        <v>3230</v>
      </c>
      <c r="B3209" s="3" t="s">
        <v>22</v>
      </c>
      <c r="C3209" s="3">
        <v>1709847</v>
      </c>
      <c r="D3209" s="3">
        <v>468821</v>
      </c>
      <c r="E3209" s="3" t="s">
        <v>23</v>
      </c>
    </row>
    <row r="3210" spans="1:5">
      <c r="A3210" s="3" t="s">
        <v>3231</v>
      </c>
      <c r="B3210" s="3" t="s">
        <v>22</v>
      </c>
      <c r="C3210" s="3">
        <v>1119029</v>
      </c>
      <c r="D3210" s="3">
        <v>44483</v>
      </c>
      <c r="E3210" s="3" t="s">
        <v>23</v>
      </c>
    </row>
    <row r="3211" spans="1:5">
      <c r="A3211" s="3" t="s">
        <v>3232</v>
      </c>
      <c r="B3211" s="3" t="s">
        <v>22</v>
      </c>
      <c r="C3211" s="3">
        <v>1399589</v>
      </c>
      <c r="D3211" s="3">
        <v>249680</v>
      </c>
      <c r="E3211" s="3" t="s">
        <v>23</v>
      </c>
    </row>
    <row r="3212" spans="1:5">
      <c r="A3212" s="3" t="s">
        <v>3233</v>
      </c>
      <c r="B3212" s="3" t="s">
        <v>22</v>
      </c>
      <c r="C3212" s="3">
        <v>1220774</v>
      </c>
      <c r="D3212" s="3">
        <v>151146</v>
      </c>
      <c r="E3212" s="3" t="s">
        <v>23</v>
      </c>
    </row>
    <row r="3213" spans="1:5">
      <c r="A3213" s="3" t="s">
        <v>3234</v>
      </c>
      <c r="B3213" s="3" t="s">
        <v>22</v>
      </c>
      <c r="C3213" s="3">
        <v>1570677</v>
      </c>
      <c r="D3213" s="3">
        <v>306561</v>
      </c>
      <c r="E3213" s="3" t="s">
        <v>23</v>
      </c>
    </row>
    <row r="3214" spans="1:5">
      <c r="A3214" s="3" t="s">
        <v>3235</v>
      </c>
      <c r="B3214" s="3" t="s">
        <v>22</v>
      </c>
      <c r="C3214" s="3">
        <v>2249657</v>
      </c>
      <c r="D3214" s="3">
        <v>745117</v>
      </c>
      <c r="E3214" s="3" t="s">
        <v>23</v>
      </c>
    </row>
    <row r="3215" spans="1:5">
      <c r="A3215" s="3" t="s">
        <v>3236</v>
      </c>
      <c r="B3215" s="3" t="s">
        <v>22</v>
      </c>
      <c r="C3215" s="3">
        <v>823112</v>
      </c>
      <c r="D3215" s="3">
        <v>15153</v>
      </c>
      <c r="E3215" s="3" t="s">
        <v>23</v>
      </c>
    </row>
    <row r="3216" spans="1:5">
      <c r="A3216" s="3" t="s">
        <v>3237</v>
      </c>
      <c r="B3216" s="3" t="s">
        <v>22</v>
      </c>
      <c r="C3216" s="3">
        <v>1068501</v>
      </c>
      <c r="D3216" s="3">
        <v>99304</v>
      </c>
      <c r="E3216" s="3" t="s">
        <v>23</v>
      </c>
    </row>
    <row r="3217" spans="1:5">
      <c r="A3217" s="3" t="s">
        <v>3238</v>
      </c>
      <c r="B3217" s="3" t="s">
        <v>22</v>
      </c>
      <c r="C3217" s="3">
        <v>1669864</v>
      </c>
      <c r="D3217" s="3">
        <v>470187</v>
      </c>
      <c r="E3217" s="3" t="s">
        <v>23</v>
      </c>
    </row>
    <row r="3218" spans="1:5">
      <c r="A3218" s="3" t="s">
        <v>3239</v>
      </c>
      <c r="B3218" s="3" t="s">
        <v>22</v>
      </c>
      <c r="C3218" s="3">
        <v>936180</v>
      </c>
      <c r="D3218" s="3">
        <v>23735</v>
      </c>
      <c r="E3218" s="3" t="s">
        <v>23</v>
      </c>
    </row>
    <row r="3219" spans="1:5">
      <c r="A3219" s="3" t="s">
        <v>3240</v>
      </c>
      <c r="B3219" s="3" t="s">
        <v>22</v>
      </c>
      <c r="C3219" s="3">
        <v>2091019</v>
      </c>
      <c r="D3219" s="3">
        <v>662185</v>
      </c>
      <c r="E3219" s="3" t="s">
        <v>23</v>
      </c>
    </row>
    <row r="3220" spans="1:5">
      <c r="A3220" s="3" t="s">
        <v>3241</v>
      </c>
      <c r="B3220" s="3" t="s">
        <v>22</v>
      </c>
      <c r="C3220" s="3">
        <v>1953445</v>
      </c>
      <c r="D3220" s="3">
        <v>518378</v>
      </c>
      <c r="E3220" s="3" t="s">
        <v>23</v>
      </c>
    </row>
    <row r="3221" spans="1:5">
      <c r="A3221" s="3" t="s">
        <v>3242</v>
      </c>
      <c r="B3221" s="3" t="s">
        <v>22</v>
      </c>
      <c r="C3221" s="3">
        <v>539549</v>
      </c>
      <c r="D3221" s="3">
        <v>8453</v>
      </c>
      <c r="E3221" s="3" t="s">
        <v>23</v>
      </c>
    </row>
    <row r="3222" spans="1:5">
      <c r="A3222" s="3" t="s">
        <v>3243</v>
      </c>
      <c r="B3222" s="3" t="s">
        <v>22</v>
      </c>
      <c r="C3222" s="3">
        <v>501878</v>
      </c>
      <c r="D3222" s="3">
        <v>431</v>
      </c>
      <c r="E3222" s="3" t="s">
        <v>23</v>
      </c>
    </row>
    <row r="3223" spans="1:5">
      <c r="A3223" s="3" t="s">
        <v>3244</v>
      </c>
      <c r="B3223" s="3" t="s">
        <v>22</v>
      </c>
      <c r="C3223" s="3">
        <v>2367384</v>
      </c>
      <c r="D3223" s="3">
        <v>690505</v>
      </c>
      <c r="E3223" s="3" t="s">
        <v>23</v>
      </c>
    </row>
    <row r="3224" spans="1:5">
      <c r="A3224" s="3" t="s">
        <v>3245</v>
      </c>
      <c r="B3224" s="3" t="s">
        <v>22</v>
      </c>
      <c r="C3224" s="3">
        <v>1788493</v>
      </c>
      <c r="D3224" s="3">
        <v>450407</v>
      </c>
      <c r="E3224" s="3" t="s">
        <v>23</v>
      </c>
    </row>
    <row r="3225" spans="1:5">
      <c r="A3225" s="3" t="s">
        <v>3246</v>
      </c>
      <c r="B3225" s="3" t="s">
        <v>22</v>
      </c>
      <c r="C3225" s="3">
        <v>1527128</v>
      </c>
      <c r="D3225" s="3">
        <v>288877</v>
      </c>
      <c r="E3225" s="3" t="s">
        <v>23</v>
      </c>
    </row>
    <row r="3226" spans="1:5">
      <c r="A3226" s="3" t="s">
        <v>3247</v>
      </c>
      <c r="B3226" s="3" t="s">
        <v>22</v>
      </c>
      <c r="C3226" s="3">
        <v>1584144</v>
      </c>
      <c r="D3226" s="3">
        <v>236812</v>
      </c>
      <c r="E3226" s="3" t="s">
        <v>23</v>
      </c>
    </row>
    <row r="3227" spans="1:5">
      <c r="A3227" s="3" t="s">
        <v>3248</v>
      </c>
      <c r="B3227" s="3" t="s">
        <v>22</v>
      </c>
      <c r="C3227" s="3">
        <v>1327739</v>
      </c>
      <c r="D3227" s="3">
        <v>258544</v>
      </c>
      <c r="E3227" s="3" t="s">
        <v>23</v>
      </c>
    </row>
    <row r="3228" spans="1:5">
      <c r="A3228" s="3" t="s">
        <v>3249</v>
      </c>
      <c r="B3228" s="3" t="s">
        <v>22</v>
      </c>
      <c r="C3228" s="3">
        <v>771768</v>
      </c>
      <c r="D3228" s="3">
        <v>11259</v>
      </c>
      <c r="E3228" s="3" t="s">
        <v>23</v>
      </c>
    </row>
    <row r="3229" spans="1:5">
      <c r="A3229" s="3" t="s">
        <v>3250</v>
      </c>
      <c r="B3229" s="3" t="s">
        <v>22</v>
      </c>
      <c r="C3229" s="3">
        <v>1200559</v>
      </c>
      <c r="D3229" s="3">
        <v>221741</v>
      </c>
      <c r="E3229" s="3" t="s">
        <v>23</v>
      </c>
    </row>
    <row r="3230" spans="1:5">
      <c r="A3230" s="3" t="s">
        <v>3251</v>
      </c>
      <c r="B3230" s="3" t="s">
        <v>22</v>
      </c>
      <c r="C3230" s="3">
        <v>1387207</v>
      </c>
      <c r="D3230" s="3">
        <v>342368</v>
      </c>
      <c r="E3230" s="3" t="s">
        <v>23</v>
      </c>
    </row>
    <row r="3231" spans="1:5">
      <c r="A3231" s="3" t="s">
        <v>3252</v>
      </c>
      <c r="B3231" s="3" t="s">
        <v>22</v>
      </c>
      <c r="C3231" s="3">
        <v>1476610</v>
      </c>
      <c r="D3231" s="3">
        <v>263250</v>
      </c>
      <c r="E3231" s="3" t="s">
        <v>23</v>
      </c>
    </row>
    <row r="3232" spans="1:5">
      <c r="A3232" s="3" t="s">
        <v>3253</v>
      </c>
      <c r="B3232" s="3" t="s">
        <v>22</v>
      </c>
      <c r="C3232" s="3">
        <v>2625595</v>
      </c>
      <c r="D3232" s="3">
        <v>958364</v>
      </c>
      <c r="E3232" s="3" t="s">
        <v>23</v>
      </c>
    </row>
    <row r="3233" spans="1:5">
      <c r="A3233" s="3" t="s">
        <v>3254</v>
      </c>
      <c r="B3233" s="3" t="s">
        <v>22</v>
      </c>
      <c r="C3233" s="3">
        <v>1743250</v>
      </c>
      <c r="D3233" s="3">
        <v>446336</v>
      </c>
      <c r="E3233" s="3" t="s">
        <v>23</v>
      </c>
    </row>
    <row r="3234" spans="1:5">
      <c r="A3234" s="3" t="s">
        <v>3255</v>
      </c>
      <c r="B3234" s="3" t="s">
        <v>22</v>
      </c>
      <c r="C3234" s="3">
        <v>1316421</v>
      </c>
      <c r="D3234" s="3">
        <v>202929</v>
      </c>
      <c r="E3234" s="3" t="s">
        <v>23</v>
      </c>
    </row>
    <row r="3235" spans="1:5">
      <c r="A3235" s="3" t="s">
        <v>3256</v>
      </c>
      <c r="B3235" s="3" t="s">
        <v>22</v>
      </c>
      <c r="C3235" s="3">
        <v>1461272</v>
      </c>
      <c r="D3235" s="3">
        <v>290037</v>
      </c>
      <c r="E3235" s="3" t="s">
        <v>23</v>
      </c>
    </row>
    <row r="3236" spans="1:5">
      <c r="A3236" s="3" t="s">
        <v>3257</v>
      </c>
      <c r="B3236" s="3" t="s">
        <v>22</v>
      </c>
      <c r="C3236" s="3">
        <v>2077489</v>
      </c>
      <c r="D3236" s="3">
        <v>491249</v>
      </c>
      <c r="E3236" s="3" t="s">
        <v>23</v>
      </c>
    </row>
    <row r="3237" spans="1:5">
      <c r="A3237" s="3" t="s">
        <v>3258</v>
      </c>
      <c r="B3237" s="3" t="s">
        <v>22</v>
      </c>
      <c r="C3237" s="3">
        <v>745478</v>
      </c>
      <c r="D3237" s="3">
        <v>116037</v>
      </c>
      <c r="E3237" s="3" t="s">
        <v>23</v>
      </c>
    </row>
    <row r="3238" spans="1:5">
      <c r="A3238" s="3" t="s">
        <v>3259</v>
      </c>
      <c r="B3238" s="3" t="s">
        <v>22</v>
      </c>
      <c r="C3238" s="3">
        <v>1722567</v>
      </c>
      <c r="D3238" s="3">
        <v>368649</v>
      </c>
      <c r="E3238" s="3" t="s">
        <v>23</v>
      </c>
    </row>
    <row r="3239" spans="1:5">
      <c r="A3239" s="3" t="s">
        <v>3260</v>
      </c>
      <c r="B3239" s="3" t="s">
        <v>22</v>
      </c>
      <c r="C3239" s="3">
        <v>1876150</v>
      </c>
      <c r="D3239" s="3">
        <v>593452</v>
      </c>
      <c r="E3239" s="3" t="s">
        <v>23</v>
      </c>
    </row>
    <row r="3240" spans="1:5">
      <c r="A3240" s="3" t="s">
        <v>3261</v>
      </c>
      <c r="B3240" s="3" t="s">
        <v>22</v>
      </c>
      <c r="C3240" s="3">
        <v>1902021</v>
      </c>
      <c r="D3240" s="3">
        <v>435824</v>
      </c>
      <c r="E3240" s="3" t="s">
        <v>23</v>
      </c>
    </row>
    <row r="3241" spans="1:5">
      <c r="A3241" s="3" t="s">
        <v>3262</v>
      </c>
      <c r="B3241" s="3" t="s">
        <v>22</v>
      </c>
      <c r="C3241" s="3">
        <v>1442038</v>
      </c>
      <c r="D3241" s="3">
        <v>297728</v>
      </c>
      <c r="E3241" s="3" t="s">
        <v>23</v>
      </c>
    </row>
    <row r="3242" spans="1:5">
      <c r="A3242" s="3" t="s">
        <v>3263</v>
      </c>
      <c r="B3242" s="3" t="s">
        <v>22</v>
      </c>
      <c r="C3242" s="3">
        <v>1573631</v>
      </c>
      <c r="D3242" s="3">
        <v>364800</v>
      </c>
      <c r="E3242" s="3" t="s">
        <v>23</v>
      </c>
    </row>
    <row r="3243" spans="1:5">
      <c r="A3243" s="3" t="s">
        <v>3264</v>
      </c>
      <c r="B3243" s="3" t="s">
        <v>22</v>
      </c>
      <c r="C3243" s="3">
        <v>1667083</v>
      </c>
      <c r="D3243" s="3">
        <v>446986</v>
      </c>
      <c r="E3243" s="3" t="s">
        <v>23</v>
      </c>
    </row>
    <row r="3244" spans="1:5">
      <c r="A3244" s="3" t="s">
        <v>3265</v>
      </c>
      <c r="B3244" s="3" t="s">
        <v>22</v>
      </c>
      <c r="C3244" s="3">
        <v>1977511</v>
      </c>
      <c r="D3244" s="3">
        <v>655658</v>
      </c>
      <c r="E3244" s="3" t="s">
        <v>23</v>
      </c>
    </row>
    <row r="3245" spans="1:5">
      <c r="A3245" s="3" t="s">
        <v>3266</v>
      </c>
      <c r="B3245" s="3" t="s">
        <v>22</v>
      </c>
      <c r="C3245" s="3">
        <v>2414444</v>
      </c>
      <c r="D3245" s="3">
        <v>927055</v>
      </c>
      <c r="E3245" s="3" t="s">
        <v>23</v>
      </c>
    </row>
    <row r="3246" spans="1:5">
      <c r="A3246" s="3" t="s">
        <v>3267</v>
      </c>
      <c r="B3246" s="3" t="s">
        <v>22</v>
      </c>
      <c r="C3246" s="3">
        <v>652554</v>
      </c>
      <c r="D3246" s="3">
        <v>11756</v>
      </c>
      <c r="E3246" s="3" t="s">
        <v>23</v>
      </c>
    </row>
    <row r="3247" spans="1:5">
      <c r="A3247" s="3" t="s">
        <v>3268</v>
      </c>
      <c r="B3247" s="3" t="s">
        <v>22</v>
      </c>
      <c r="C3247" s="3">
        <v>1699343</v>
      </c>
      <c r="D3247" s="3">
        <v>502394</v>
      </c>
      <c r="E3247" s="3" t="s">
        <v>23</v>
      </c>
    </row>
    <row r="3248" spans="1:5">
      <c r="A3248" s="3" t="s">
        <v>3269</v>
      </c>
      <c r="B3248" s="3" t="s">
        <v>22</v>
      </c>
      <c r="C3248" s="3">
        <v>1778415</v>
      </c>
      <c r="D3248" s="3">
        <v>527182</v>
      </c>
      <c r="E3248" s="3" t="s">
        <v>23</v>
      </c>
    </row>
    <row r="3249" spans="1:5">
      <c r="A3249" s="3" t="s">
        <v>3270</v>
      </c>
      <c r="B3249" s="3" t="s">
        <v>22</v>
      </c>
      <c r="C3249" s="3">
        <v>1772071</v>
      </c>
      <c r="D3249" s="3">
        <v>511642</v>
      </c>
      <c r="E3249" s="3" t="s">
        <v>23</v>
      </c>
    </row>
    <row r="3250" spans="1:5">
      <c r="A3250" s="3" t="s">
        <v>3271</v>
      </c>
      <c r="B3250" s="3" t="s">
        <v>22</v>
      </c>
      <c r="C3250" s="3">
        <v>1048989</v>
      </c>
      <c r="D3250" s="3">
        <v>234562</v>
      </c>
      <c r="E3250" s="3" t="s">
        <v>23</v>
      </c>
    </row>
    <row r="3251" spans="1:5">
      <c r="A3251" s="3" t="s">
        <v>3272</v>
      </c>
      <c r="B3251" s="3" t="s">
        <v>22</v>
      </c>
      <c r="C3251" s="3">
        <v>1237073</v>
      </c>
      <c r="D3251" s="3">
        <v>183231</v>
      </c>
      <c r="E3251" s="3" t="s">
        <v>23</v>
      </c>
    </row>
    <row r="3252" spans="1:5">
      <c r="A3252" s="3" t="s">
        <v>3273</v>
      </c>
      <c r="B3252" s="3" t="s">
        <v>22</v>
      </c>
      <c r="C3252" s="3">
        <v>1009088</v>
      </c>
      <c r="D3252" s="3">
        <v>51406</v>
      </c>
      <c r="E3252" s="3" t="s">
        <v>23</v>
      </c>
    </row>
    <row r="3253" spans="1:5">
      <c r="A3253" s="3" t="s">
        <v>3274</v>
      </c>
      <c r="B3253" s="3" t="s">
        <v>22</v>
      </c>
      <c r="C3253" s="3">
        <v>498083</v>
      </c>
      <c r="D3253" s="3">
        <v>11795</v>
      </c>
      <c r="E3253" s="3" t="s">
        <v>23</v>
      </c>
    </row>
    <row r="3254" spans="1:5">
      <c r="A3254" s="3" t="s">
        <v>3275</v>
      </c>
      <c r="B3254" s="3" t="s">
        <v>22</v>
      </c>
      <c r="C3254" s="3">
        <v>1932195</v>
      </c>
      <c r="D3254" s="3">
        <v>603675</v>
      </c>
      <c r="E3254" s="3" t="s">
        <v>23</v>
      </c>
    </row>
    <row r="3255" spans="1:5">
      <c r="A3255" s="3" t="s">
        <v>3276</v>
      </c>
      <c r="B3255" s="3" t="s">
        <v>22</v>
      </c>
      <c r="C3255" s="3">
        <v>1331250</v>
      </c>
      <c r="D3255" s="3">
        <v>319851</v>
      </c>
      <c r="E3255" s="3" t="s">
        <v>23</v>
      </c>
    </row>
    <row r="3256" spans="1:5">
      <c r="A3256" s="3" t="s">
        <v>3277</v>
      </c>
      <c r="B3256" s="3" t="s">
        <v>22</v>
      </c>
      <c r="C3256" s="3">
        <v>421625</v>
      </c>
      <c r="D3256" s="3">
        <v>11128</v>
      </c>
      <c r="E3256" s="3" t="s">
        <v>23</v>
      </c>
    </row>
    <row r="3257" spans="1:5">
      <c r="A3257" s="3" t="s">
        <v>3278</v>
      </c>
      <c r="B3257" s="3" t="s">
        <v>22</v>
      </c>
      <c r="C3257" s="3">
        <v>1292131</v>
      </c>
      <c r="D3257" s="3">
        <v>384139</v>
      </c>
      <c r="E3257" s="3" t="s">
        <v>23</v>
      </c>
    </row>
    <row r="3258" spans="1:5">
      <c r="A3258" s="3" t="s">
        <v>3279</v>
      </c>
      <c r="B3258" s="3" t="s">
        <v>22</v>
      </c>
      <c r="C3258" s="3">
        <v>1250488</v>
      </c>
      <c r="D3258" s="3">
        <v>339868</v>
      </c>
      <c r="E3258" s="3" t="s">
        <v>23</v>
      </c>
    </row>
    <row r="3259" spans="1:5">
      <c r="A3259" s="3" t="s">
        <v>3280</v>
      </c>
      <c r="B3259" s="3" t="s">
        <v>22</v>
      </c>
      <c r="C3259" s="3">
        <v>826521</v>
      </c>
      <c r="D3259" s="3">
        <v>98162</v>
      </c>
      <c r="E3259" s="3" t="s">
        <v>23</v>
      </c>
    </row>
    <row r="3260" spans="1:5">
      <c r="A3260" s="3" t="s">
        <v>3281</v>
      </c>
      <c r="B3260" s="3" t="s">
        <v>22</v>
      </c>
      <c r="C3260" s="3">
        <v>460101</v>
      </c>
      <c r="D3260" s="3">
        <v>943</v>
      </c>
      <c r="E3260" s="3" t="s">
        <v>23</v>
      </c>
    </row>
    <row r="3261" spans="1:5">
      <c r="A3261" s="3" t="s">
        <v>3282</v>
      </c>
      <c r="B3261" s="3" t="s">
        <v>22</v>
      </c>
      <c r="C3261" s="3">
        <v>1595546</v>
      </c>
      <c r="D3261" s="3">
        <v>256635</v>
      </c>
      <c r="E3261" s="3" t="s">
        <v>23</v>
      </c>
    </row>
    <row r="3262" spans="1:5">
      <c r="A3262" s="3" t="s">
        <v>3283</v>
      </c>
      <c r="B3262" s="3" t="s">
        <v>22</v>
      </c>
      <c r="C3262" s="3">
        <v>896185</v>
      </c>
      <c r="D3262" s="3">
        <v>241284</v>
      </c>
      <c r="E3262" s="3" t="s">
        <v>23</v>
      </c>
    </row>
    <row r="3263" spans="1:5">
      <c r="A3263" s="3" t="s">
        <v>3284</v>
      </c>
      <c r="B3263" s="3" t="s">
        <v>22</v>
      </c>
      <c r="C3263" s="3">
        <v>311681</v>
      </c>
      <c r="D3263" s="3">
        <v>1806</v>
      </c>
      <c r="E3263" s="3" t="s">
        <v>23</v>
      </c>
    </row>
    <row r="3264" spans="1:5">
      <c r="A3264" s="3" t="s">
        <v>3285</v>
      </c>
      <c r="B3264" s="3" t="s">
        <v>22</v>
      </c>
      <c r="C3264" s="3">
        <v>321730</v>
      </c>
      <c r="D3264" s="3">
        <v>5106</v>
      </c>
      <c r="E3264" s="3" t="s">
        <v>23</v>
      </c>
    </row>
    <row r="3265" spans="1:5">
      <c r="A3265" s="3" t="s">
        <v>3286</v>
      </c>
      <c r="B3265" s="3" t="s">
        <v>22</v>
      </c>
      <c r="C3265" s="3">
        <v>1044349</v>
      </c>
      <c r="D3265" s="3">
        <v>268156</v>
      </c>
      <c r="E3265" s="3" t="s">
        <v>23</v>
      </c>
    </row>
    <row r="3266" spans="1:5">
      <c r="A3266" s="3" t="s">
        <v>3287</v>
      </c>
      <c r="B3266" s="3" t="s">
        <v>22</v>
      </c>
      <c r="C3266" s="3">
        <v>743221</v>
      </c>
      <c r="D3266" s="3">
        <v>109662</v>
      </c>
      <c r="E3266" s="3" t="s">
        <v>23</v>
      </c>
    </row>
    <row r="3267" spans="1:5">
      <c r="A3267" s="3" t="s">
        <v>3288</v>
      </c>
      <c r="B3267" s="3" t="s">
        <v>22</v>
      </c>
      <c r="C3267" s="3">
        <v>973700</v>
      </c>
      <c r="D3267" s="3">
        <v>196884</v>
      </c>
      <c r="E3267" s="3" t="s">
        <v>23</v>
      </c>
    </row>
    <row r="3268" spans="1:5">
      <c r="A3268" s="3" t="s">
        <v>3289</v>
      </c>
      <c r="B3268" s="3" t="s">
        <v>22</v>
      </c>
      <c r="C3268" s="3">
        <v>694005</v>
      </c>
      <c r="D3268" s="3">
        <v>109986</v>
      </c>
      <c r="E3268" s="3" t="s">
        <v>23</v>
      </c>
    </row>
    <row r="3269" spans="1:5">
      <c r="A3269" s="3" t="s">
        <v>3290</v>
      </c>
      <c r="B3269" s="3" t="s">
        <v>22</v>
      </c>
      <c r="C3269" s="3">
        <v>514369</v>
      </c>
      <c r="D3269" s="3">
        <v>79610</v>
      </c>
      <c r="E3269" s="3" t="s">
        <v>23</v>
      </c>
    </row>
    <row r="3270" spans="1:5">
      <c r="A3270" s="3" t="s">
        <v>3291</v>
      </c>
      <c r="B3270" s="3" t="s">
        <v>22</v>
      </c>
      <c r="C3270" s="3">
        <v>267571</v>
      </c>
      <c r="D3270" s="3">
        <v>558</v>
      </c>
      <c r="E3270" s="3" t="s">
        <v>23</v>
      </c>
    </row>
    <row r="3271" spans="1:5">
      <c r="A3271" s="3" t="s">
        <v>3292</v>
      </c>
      <c r="B3271" s="3" t="s">
        <v>22</v>
      </c>
      <c r="C3271" s="3">
        <v>569410</v>
      </c>
      <c r="D3271" s="3">
        <v>21930</v>
      </c>
      <c r="E3271" s="3" t="s">
        <v>23</v>
      </c>
    </row>
    <row r="3272" spans="1:5">
      <c r="A3272" s="3" t="s">
        <v>3293</v>
      </c>
      <c r="B3272" s="3" t="s">
        <v>22</v>
      </c>
      <c r="C3272" s="3">
        <v>940407</v>
      </c>
      <c r="D3272" s="3">
        <v>247082</v>
      </c>
      <c r="E3272" s="3" t="s">
        <v>23</v>
      </c>
    </row>
    <row r="3273" spans="1:5">
      <c r="A3273" s="3" t="s">
        <v>3294</v>
      </c>
      <c r="B3273" s="3" t="s">
        <v>22</v>
      </c>
      <c r="C3273" s="3">
        <v>1156666</v>
      </c>
      <c r="D3273" s="3">
        <v>345489</v>
      </c>
      <c r="E3273" s="3" t="s">
        <v>23</v>
      </c>
    </row>
    <row r="3274" spans="1:5">
      <c r="A3274" s="3" t="s">
        <v>3295</v>
      </c>
      <c r="B3274" s="3" t="s">
        <v>22</v>
      </c>
      <c r="C3274" s="3">
        <v>1030918</v>
      </c>
      <c r="D3274" s="3">
        <v>250445</v>
      </c>
      <c r="E3274" s="3" t="s">
        <v>23</v>
      </c>
    </row>
    <row r="3275" spans="1:5">
      <c r="A3275" s="3" t="s">
        <v>3296</v>
      </c>
      <c r="B3275" s="3" t="s">
        <v>22</v>
      </c>
      <c r="C3275" s="3">
        <v>259948</v>
      </c>
      <c r="D3275" s="3">
        <v>342</v>
      </c>
      <c r="E3275" s="3" t="s">
        <v>23</v>
      </c>
    </row>
    <row r="3276" spans="1:5">
      <c r="A3276" s="3" t="s">
        <v>3297</v>
      </c>
      <c r="B3276" s="3" t="s">
        <v>22</v>
      </c>
      <c r="C3276" s="3">
        <v>1287943</v>
      </c>
      <c r="D3276" s="3">
        <v>356472</v>
      </c>
      <c r="E3276" s="3" t="s">
        <v>23</v>
      </c>
    </row>
    <row r="3277" spans="1:5">
      <c r="A3277" s="3" t="s">
        <v>3298</v>
      </c>
      <c r="B3277" s="3" t="s">
        <v>22</v>
      </c>
      <c r="C3277" s="3">
        <v>882536</v>
      </c>
      <c r="D3277" s="3">
        <v>229752</v>
      </c>
      <c r="E3277" s="3" t="s">
        <v>23</v>
      </c>
    </row>
    <row r="3278" spans="1:5">
      <c r="A3278" s="3" t="s">
        <v>3299</v>
      </c>
      <c r="B3278" s="3" t="s">
        <v>22</v>
      </c>
      <c r="C3278" s="3">
        <v>734177</v>
      </c>
      <c r="D3278" s="3">
        <v>133139</v>
      </c>
      <c r="E3278" s="3" t="s">
        <v>23</v>
      </c>
    </row>
    <row r="3279" spans="1:5">
      <c r="A3279" s="3" t="s">
        <v>3300</v>
      </c>
      <c r="B3279" s="3" t="s">
        <v>22</v>
      </c>
      <c r="C3279" s="3">
        <v>361264</v>
      </c>
      <c r="D3279" s="3">
        <v>3032</v>
      </c>
      <c r="E3279" s="3" t="s">
        <v>23</v>
      </c>
    </row>
    <row r="3280" spans="1:5">
      <c r="A3280" s="3" t="s">
        <v>3301</v>
      </c>
      <c r="B3280" s="3" t="s">
        <v>22</v>
      </c>
      <c r="C3280" s="3">
        <v>1066612</v>
      </c>
      <c r="D3280" s="3">
        <v>274062</v>
      </c>
      <c r="E3280" s="3" t="s">
        <v>23</v>
      </c>
    </row>
    <row r="3281" spans="1:5">
      <c r="A3281" s="3" t="s">
        <v>3302</v>
      </c>
      <c r="B3281" s="3" t="s">
        <v>22</v>
      </c>
      <c r="C3281" s="3">
        <v>502836</v>
      </c>
      <c r="D3281" s="3">
        <v>33018</v>
      </c>
      <c r="E3281" s="3" t="s">
        <v>23</v>
      </c>
    </row>
    <row r="3282" spans="1:5">
      <c r="A3282" s="3" t="s">
        <v>3303</v>
      </c>
      <c r="B3282" s="3" t="s">
        <v>22</v>
      </c>
      <c r="C3282" s="3">
        <v>565224</v>
      </c>
      <c r="D3282" s="3">
        <v>45848</v>
      </c>
      <c r="E3282" s="3" t="s">
        <v>23</v>
      </c>
    </row>
    <row r="3283" spans="1:5">
      <c r="A3283" s="3" t="s">
        <v>3304</v>
      </c>
      <c r="B3283" s="3" t="s">
        <v>22</v>
      </c>
      <c r="C3283" s="3">
        <v>1062929</v>
      </c>
      <c r="D3283" s="3">
        <v>231303</v>
      </c>
      <c r="E3283" s="3" t="s">
        <v>23</v>
      </c>
    </row>
    <row r="3284" spans="1:5">
      <c r="A3284" s="3" t="s">
        <v>3305</v>
      </c>
      <c r="B3284" s="3" t="s">
        <v>22</v>
      </c>
      <c r="C3284" s="3">
        <v>1097324</v>
      </c>
      <c r="D3284" s="3">
        <v>320998</v>
      </c>
      <c r="E3284" s="3" t="s">
        <v>23</v>
      </c>
    </row>
    <row r="3285" spans="1:5">
      <c r="A3285" s="3" t="s">
        <v>3306</v>
      </c>
      <c r="B3285" s="3" t="s">
        <v>22</v>
      </c>
      <c r="C3285" s="3">
        <v>1060395</v>
      </c>
      <c r="D3285" s="3">
        <v>316108</v>
      </c>
      <c r="E3285" s="3" t="s">
        <v>23</v>
      </c>
    </row>
    <row r="3286" spans="1:5">
      <c r="A3286" s="3" t="s">
        <v>3307</v>
      </c>
      <c r="B3286" s="3" t="s">
        <v>22</v>
      </c>
      <c r="C3286" s="3">
        <v>550377</v>
      </c>
      <c r="D3286" s="3">
        <v>43032</v>
      </c>
      <c r="E3286" s="3" t="s">
        <v>23</v>
      </c>
    </row>
    <row r="3287" spans="1:5">
      <c r="A3287" s="3" t="s">
        <v>3308</v>
      </c>
      <c r="B3287" s="3" t="s">
        <v>22</v>
      </c>
      <c r="C3287" s="3">
        <v>759444</v>
      </c>
      <c r="D3287" s="3">
        <v>137129</v>
      </c>
      <c r="E3287" s="3" t="s">
        <v>23</v>
      </c>
    </row>
    <row r="3288" spans="1:5">
      <c r="A3288" s="3" t="s">
        <v>3309</v>
      </c>
      <c r="B3288" s="3" t="s">
        <v>22</v>
      </c>
      <c r="C3288" s="3">
        <v>633923</v>
      </c>
      <c r="D3288" s="3">
        <v>41444</v>
      </c>
      <c r="E3288" s="3" t="s">
        <v>23</v>
      </c>
    </row>
    <row r="3289" spans="1:5">
      <c r="A3289" s="3" t="s">
        <v>3310</v>
      </c>
      <c r="B3289" s="3" t="s">
        <v>22</v>
      </c>
      <c r="C3289" s="3">
        <v>591715</v>
      </c>
      <c r="D3289" s="3">
        <v>10810</v>
      </c>
      <c r="E3289" s="3" t="s">
        <v>23</v>
      </c>
    </row>
    <row r="3290" spans="1:5">
      <c r="A3290" s="3" t="s">
        <v>3311</v>
      </c>
      <c r="B3290" s="3" t="s">
        <v>22</v>
      </c>
      <c r="C3290" s="3">
        <v>766967</v>
      </c>
      <c r="D3290" s="3">
        <v>146338</v>
      </c>
      <c r="E3290" s="3" t="s">
        <v>23</v>
      </c>
    </row>
    <row r="3291" spans="1:5">
      <c r="A3291" s="3" t="s">
        <v>3312</v>
      </c>
      <c r="B3291" s="3" t="s">
        <v>22</v>
      </c>
      <c r="C3291" s="3">
        <v>115812</v>
      </c>
      <c r="D3291" s="3">
        <v>404</v>
      </c>
      <c r="E3291" s="3" t="s">
        <v>23</v>
      </c>
    </row>
    <row r="3292" spans="1:5">
      <c r="A3292" s="3" t="s">
        <v>3313</v>
      </c>
      <c r="B3292" s="3" t="s">
        <v>22</v>
      </c>
      <c r="C3292" s="3">
        <v>967184</v>
      </c>
      <c r="D3292" s="3">
        <v>206447</v>
      </c>
      <c r="E3292" s="3" t="s">
        <v>23</v>
      </c>
    </row>
    <row r="3293" spans="1:5">
      <c r="A3293" s="3" t="s">
        <v>3314</v>
      </c>
      <c r="B3293" s="3" t="s">
        <v>22</v>
      </c>
      <c r="C3293" s="3">
        <v>838840</v>
      </c>
      <c r="D3293" s="3">
        <v>152270</v>
      </c>
      <c r="E3293" s="3" t="s">
        <v>23</v>
      </c>
    </row>
    <row r="3294" spans="1:5">
      <c r="A3294" s="3" t="s">
        <v>3315</v>
      </c>
      <c r="B3294" s="3" t="s">
        <v>22</v>
      </c>
      <c r="C3294" s="3">
        <v>1001028</v>
      </c>
      <c r="D3294" s="3">
        <v>220175</v>
      </c>
      <c r="E3294" s="3" t="s">
        <v>23</v>
      </c>
    </row>
    <row r="3295" spans="1:5">
      <c r="A3295" s="3" t="s">
        <v>3316</v>
      </c>
      <c r="B3295" s="3" t="s">
        <v>22</v>
      </c>
      <c r="C3295" s="3">
        <v>605716</v>
      </c>
      <c r="D3295" s="3">
        <v>23229</v>
      </c>
      <c r="E3295" s="3" t="s">
        <v>23</v>
      </c>
    </row>
    <row r="3296" spans="1:5">
      <c r="A3296" s="3" t="s">
        <v>3317</v>
      </c>
      <c r="B3296" s="3" t="s">
        <v>22</v>
      </c>
      <c r="C3296" s="3">
        <v>712633</v>
      </c>
      <c r="D3296" s="3">
        <v>92096</v>
      </c>
      <c r="E3296" s="3" t="s">
        <v>23</v>
      </c>
    </row>
    <row r="3297" spans="1:5">
      <c r="A3297" s="3" t="s">
        <v>3318</v>
      </c>
      <c r="B3297" s="3" t="s">
        <v>22</v>
      </c>
      <c r="C3297" s="3">
        <v>768347</v>
      </c>
      <c r="D3297" s="3">
        <v>145831</v>
      </c>
      <c r="E3297" s="3" t="s">
        <v>23</v>
      </c>
    </row>
    <row r="3298" spans="1:5">
      <c r="A3298" s="3" t="s">
        <v>3319</v>
      </c>
      <c r="B3298" s="3" t="s">
        <v>22</v>
      </c>
      <c r="C3298" s="3">
        <v>1145993</v>
      </c>
      <c r="D3298" s="3">
        <v>281620</v>
      </c>
      <c r="E3298" s="3" t="s">
        <v>23</v>
      </c>
    </row>
    <row r="3299" spans="1:5">
      <c r="A3299" s="3" t="s">
        <v>3320</v>
      </c>
      <c r="B3299" s="3" t="s">
        <v>22</v>
      </c>
      <c r="C3299" s="3">
        <v>624625</v>
      </c>
      <c r="D3299" s="3">
        <v>86289</v>
      </c>
      <c r="E3299" s="3" t="s">
        <v>23</v>
      </c>
    </row>
    <row r="3300" spans="1:5">
      <c r="A3300" s="3" t="s">
        <v>3321</v>
      </c>
      <c r="B3300" s="3" t="s">
        <v>22</v>
      </c>
      <c r="C3300" s="3">
        <v>1126465</v>
      </c>
      <c r="D3300" s="3">
        <v>271225</v>
      </c>
      <c r="E3300" s="3" t="s">
        <v>23</v>
      </c>
    </row>
    <row r="3301" spans="1:5">
      <c r="A3301" s="3" t="s">
        <v>3322</v>
      </c>
      <c r="B3301" s="3" t="s">
        <v>22</v>
      </c>
      <c r="C3301" s="3">
        <v>597412</v>
      </c>
      <c r="D3301" s="3">
        <v>48277</v>
      </c>
      <c r="E3301" s="3" t="s">
        <v>23</v>
      </c>
    </row>
    <row r="3302" spans="1:5">
      <c r="A3302" s="3" t="s">
        <v>3323</v>
      </c>
      <c r="B3302" s="3" t="s">
        <v>22</v>
      </c>
      <c r="C3302" s="3">
        <v>911283</v>
      </c>
      <c r="D3302" s="3">
        <v>163376</v>
      </c>
      <c r="E3302" s="3" t="s">
        <v>23</v>
      </c>
    </row>
    <row r="3303" spans="1:5">
      <c r="A3303" s="3" t="s">
        <v>3324</v>
      </c>
      <c r="B3303" s="3" t="s">
        <v>22</v>
      </c>
      <c r="C3303" s="3">
        <v>872763</v>
      </c>
      <c r="D3303" s="3">
        <v>122342</v>
      </c>
      <c r="E3303" s="3" t="s">
        <v>23</v>
      </c>
    </row>
    <row r="3304" spans="1:5">
      <c r="A3304" s="3" t="s">
        <v>3325</v>
      </c>
      <c r="B3304" s="3" t="s">
        <v>22</v>
      </c>
      <c r="C3304" s="3">
        <v>1111815</v>
      </c>
      <c r="D3304" s="3">
        <v>326474</v>
      </c>
      <c r="E3304" s="3" t="s">
        <v>23</v>
      </c>
    </row>
    <row r="3305" spans="1:5">
      <c r="A3305" s="3" t="s">
        <v>3326</v>
      </c>
      <c r="B3305" s="3" t="s">
        <v>22</v>
      </c>
      <c r="C3305" s="3">
        <v>764601</v>
      </c>
      <c r="D3305" s="3">
        <v>153824</v>
      </c>
      <c r="E3305" s="3" t="s">
        <v>23</v>
      </c>
    </row>
    <row r="3306" spans="1:5">
      <c r="A3306" s="3" t="s">
        <v>3327</v>
      </c>
      <c r="B3306" s="3" t="s">
        <v>22</v>
      </c>
      <c r="C3306" s="3">
        <v>529800</v>
      </c>
      <c r="D3306" s="3">
        <v>48629</v>
      </c>
      <c r="E3306" s="3" t="s">
        <v>23</v>
      </c>
    </row>
    <row r="3307" spans="1:5">
      <c r="A3307" s="3" t="s">
        <v>3328</v>
      </c>
      <c r="B3307" s="3" t="s">
        <v>22</v>
      </c>
      <c r="C3307" s="3">
        <v>808227</v>
      </c>
      <c r="D3307" s="3">
        <v>117992</v>
      </c>
      <c r="E3307" s="3" t="s">
        <v>23</v>
      </c>
    </row>
    <row r="3308" spans="1:5">
      <c r="A3308" s="3" t="s">
        <v>3329</v>
      </c>
      <c r="B3308" s="3" t="s">
        <v>22</v>
      </c>
      <c r="C3308" s="3">
        <v>688222</v>
      </c>
      <c r="D3308" s="3">
        <v>92649</v>
      </c>
      <c r="E3308" s="3" t="s">
        <v>23</v>
      </c>
    </row>
    <row r="3309" spans="1:5">
      <c r="A3309" s="3" t="s">
        <v>3330</v>
      </c>
      <c r="B3309" s="3" t="s">
        <v>22</v>
      </c>
      <c r="C3309" s="3">
        <v>789138</v>
      </c>
      <c r="D3309" s="3">
        <v>141578</v>
      </c>
      <c r="E3309" s="3" t="s">
        <v>23</v>
      </c>
    </row>
    <row r="3310" spans="1:5">
      <c r="A3310" s="3" t="s">
        <v>3331</v>
      </c>
      <c r="B3310" s="3" t="s">
        <v>22</v>
      </c>
      <c r="C3310" s="3">
        <v>1070542</v>
      </c>
      <c r="D3310" s="3">
        <v>262421</v>
      </c>
      <c r="E3310" s="3" t="s">
        <v>23</v>
      </c>
    </row>
    <row r="3311" spans="1:5">
      <c r="A3311" s="3" t="s">
        <v>3332</v>
      </c>
      <c r="B3311" s="3" t="s">
        <v>22</v>
      </c>
      <c r="C3311" s="3">
        <v>648530</v>
      </c>
      <c r="D3311" s="3">
        <v>89506</v>
      </c>
      <c r="E3311" s="3" t="s">
        <v>23</v>
      </c>
    </row>
    <row r="3312" spans="1:5">
      <c r="A3312" s="3" t="s">
        <v>3333</v>
      </c>
      <c r="B3312" s="3" t="s">
        <v>22</v>
      </c>
      <c r="C3312" s="3">
        <v>976383</v>
      </c>
      <c r="D3312" s="3">
        <v>215756</v>
      </c>
      <c r="E3312" s="3" t="s">
        <v>23</v>
      </c>
    </row>
    <row r="3313" spans="1:5">
      <c r="A3313" s="3" t="s">
        <v>3334</v>
      </c>
      <c r="B3313" s="3" t="s">
        <v>22</v>
      </c>
      <c r="C3313" s="3">
        <v>800411</v>
      </c>
      <c r="D3313" s="3">
        <v>151431</v>
      </c>
      <c r="E3313" s="3" t="s">
        <v>23</v>
      </c>
    </row>
    <row r="3314" spans="1:5">
      <c r="A3314" s="3" t="s">
        <v>3335</v>
      </c>
      <c r="B3314" s="3" t="s">
        <v>22</v>
      </c>
      <c r="C3314" s="3">
        <v>429817</v>
      </c>
      <c r="D3314" s="3">
        <v>9345</v>
      </c>
      <c r="E3314" s="3" t="s">
        <v>23</v>
      </c>
    </row>
    <row r="3315" spans="1:5">
      <c r="A3315" s="3" t="s">
        <v>3336</v>
      </c>
      <c r="B3315" s="3" t="s">
        <v>22</v>
      </c>
      <c r="C3315" s="3">
        <v>413299</v>
      </c>
      <c r="D3315" s="3">
        <v>19998</v>
      </c>
      <c r="E3315" s="3" t="s">
        <v>23</v>
      </c>
    </row>
    <row r="3316" spans="1:5">
      <c r="A3316" s="3" t="s">
        <v>3337</v>
      </c>
      <c r="B3316" s="3" t="s">
        <v>22</v>
      </c>
      <c r="C3316" s="3">
        <v>1212758</v>
      </c>
      <c r="D3316" s="3">
        <v>269033</v>
      </c>
      <c r="E3316" s="3" t="s">
        <v>23</v>
      </c>
    </row>
    <row r="3317" spans="1:5">
      <c r="A3317" s="3" t="s">
        <v>3338</v>
      </c>
      <c r="B3317" s="3" t="s">
        <v>22</v>
      </c>
      <c r="C3317" s="3">
        <v>483517</v>
      </c>
      <c r="D3317" s="3">
        <v>34699</v>
      </c>
      <c r="E3317" s="3" t="s">
        <v>23</v>
      </c>
    </row>
    <row r="3318" spans="1:5">
      <c r="A3318" s="3" t="s">
        <v>3339</v>
      </c>
      <c r="B3318" s="3" t="s">
        <v>22</v>
      </c>
      <c r="C3318" s="3">
        <v>557362</v>
      </c>
      <c r="D3318" s="3">
        <v>54937</v>
      </c>
      <c r="E3318" s="3" t="s">
        <v>23</v>
      </c>
    </row>
    <row r="3319" spans="1:5">
      <c r="A3319" s="3" t="s">
        <v>3340</v>
      </c>
      <c r="B3319" s="3" t="s">
        <v>22</v>
      </c>
      <c r="C3319" s="3">
        <v>1008084</v>
      </c>
      <c r="D3319" s="3">
        <v>220499</v>
      </c>
      <c r="E3319" s="3" t="s">
        <v>23</v>
      </c>
    </row>
    <row r="3320" spans="1:5">
      <c r="A3320" s="3" t="s">
        <v>3341</v>
      </c>
      <c r="B3320" s="3" t="s">
        <v>22</v>
      </c>
      <c r="C3320" s="3">
        <v>1014649</v>
      </c>
      <c r="D3320" s="3">
        <v>210998</v>
      </c>
      <c r="E3320" s="3" t="s">
        <v>23</v>
      </c>
    </row>
    <row r="3321" spans="1:5">
      <c r="A3321" s="3" t="s">
        <v>3342</v>
      </c>
      <c r="B3321" s="3" t="s">
        <v>22</v>
      </c>
      <c r="C3321" s="3">
        <v>579584</v>
      </c>
      <c r="D3321" s="3">
        <v>41496</v>
      </c>
      <c r="E3321" s="3" t="s">
        <v>23</v>
      </c>
    </row>
    <row r="3322" spans="1:5">
      <c r="A3322" s="3" t="s">
        <v>3343</v>
      </c>
      <c r="B3322" s="3" t="s">
        <v>22</v>
      </c>
      <c r="C3322" s="3">
        <v>357562</v>
      </c>
      <c r="D3322" s="3">
        <v>61745</v>
      </c>
      <c r="E3322" s="3" t="s">
        <v>23</v>
      </c>
    </row>
    <row r="3323" spans="1:5">
      <c r="A3323" s="3" t="s">
        <v>3344</v>
      </c>
      <c r="B3323" s="3" t="s">
        <v>22</v>
      </c>
      <c r="C3323" s="3">
        <v>1170224</v>
      </c>
      <c r="D3323" s="3">
        <v>333043</v>
      </c>
      <c r="E3323" s="3" t="s">
        <v>23</v>
      </c>
    </row>
    <row r="3324" spans="1:5">
      <c r="A3324" s="3" t="s">
        <v>3345</v>
      </c>
      <c r="B3324" s="3" t="s">
        <v>22</v>
      </c>
      <c r="C3324" s="3">
        <v>639078</v>
      </c>
      <c r="D3324" s="3">
        <v>97798</v>
      </c>
      <c r="E3324" s="3" t="s">
        <v>23</v>
      </c>
    </row>
    <row r="3325" spans="1:5">
      <c r="A3325" s="3" t="s">
        <v>3346</v>
      </c>
      <c r="B3325" s="3" t="s">
        <v>22</v>
      </c>
      <c r="C3325" s="3">
        <v>938582</v>
      </c>
      <c r="D3325" s="3">
        <v>174795</v>
      </c>
      <c r="E3325" s="3" t="s">
        <v>23</v>
      </c>
    </row>
    <row r="3326" spans="1:5">
      <c r="A3326" s="3" t="s">
        <v>3347</v>
      </c>
      <c r="B3326" s="3" t="s">
        <v>22</v>
      </c>
      <c r="C3326" s="3">
        <v>636001</v>
      </c>
      <c r="D3326" s="3">
        <v>19129</v>
      </c>
      <c r="E3326" s="3" t="s">
        <v>23</v>
      </c>
    </row>
    <row r="3327" spans="1:5">
      <c r="A3327" s="3" t="s">
        <v>3348</v>
      </c>
      <c r="B3327" s="3" t="s">
        <v>22</v>
      </c>
      <c r="C3327" s="3">
        <v>717004</v>
      </c>
      <c r="D3327" s="3">
        <v>72327</v>
      </c>
      <c r="E3327" s="3" t="s">
        <v>23</v>
      </c>
    </row>
    <row r="3328" spans="1:5">
      <c r="A3328" s="3" t="s">
        <v>3349</v>
      </c>
      <c r="B3328" s="3" t="s">
        <v>22</v>
      </c>
      <c r="C3328" s="3">
        <v>497235</v>
      </c>
      <c r="D3328" s="3">
        <v>29085</v>
      </c>
      <c r="E3328" s="3" t="s">
        <v>23</v>
      </c>
    </row>
    <row r="3329" spans="1:5">
      <c r="A3329" s="3" t="s">
        <v>3350</v>
      </c>
      <c r="B3329" s="3" t="s">
        <v>22</v>
      </c>
      <c r="C3329" s="3">
        <v>885085</v>
      </c>
      <c r="D3329" s="3">
        <v>198989</v>
      </c>
      <c r="E3329" s="3" t="s">
        <v>23</v>
      </c>
    </row>
    <row r="3330" spans="1:5">
      <c r="A3330" s="3" t="s">
        <v>3351</v>
      </c>
      <c r="B3330" s="3" t="s">
        <v>22</v>
      </c>
      <c r="C3330" s="3">
        <v>706220</v>
      </c>
      <c r="D3330" s="3">
        <v>109999</v>
      </c>
      <c r="E3330" s="3" t="s">
        <v>23</v>
      </c>
    </row>
    <row r="3331" spans="1:5">
      <c r="A3331" s="3" t="s">
        <v>3352</v>
      </c>
      <c r="B3331" s="3" t="s">
        <v>22</v>
      </c>
      <c r="C3331" s="3">
        <v>1496055</v>
      </c>
      <c r="D3331" s="3">
        <v>391504</v>
      </c>
      <c r="E3331" s="3" t="s">
        <v>23</v>
      </c>
    </row>
    <row r="3332" spans="1:5">
      <c r="A3332" s="3" t="s">
        <v>3353</v>
      </c>
      <c r="B3332" s="3" t="s">
        <v>22</v>
      </c>
      <c r="C3332" s="3">
        <v>772344</v>
      </c>
      <c r="D3332" s="3">
        <v>148124</v>
      </c>
      <c r="E3332" s="3" t="s">
        <v>23</v>
      </c>
    </row>
    <row r="3333" spans="1:5">
      <c r="A3333" s="3" t="s">
        <v>3354</v>
      </c>
      <c r="B3333" s="3" t="s">
        <v>22</v>
      </c>
      <c r="C3333" s="3">
        <v>688719</v>
      </c>
      <c r="D3333" s="3">
        <v>95087</v>
      </c>
      <c r="E3333" s="3" t="s">
        <v>23</v>
      </c>
    </row>
    <row r="3334" spans="1:5">
      <c r="A3334" s="3" t="s">
        <v>3355</v>
      </c>
      <c r="B3334" s="3" t="s">
        <v>22</v>
      </c>
      <c r="C3334" s="3">
        <v>964384</v>
      </c>
      <c r="D3334" s="3">
        <v>234357</v>
      </c>
      <c r="E3334" s="3" t="s">
        <v>23</v>
      </c>
    </row>
    <row r="3335" spans="1:5">
      <c r="A3335" s="3" t="s">
        <v>3356</v>
      </c>
      <c r="B3335" s="3" t="s">
        <v>22</v>
      </c>
      <c r="C3335" s="3">
        <v>6003</v>
      </c>
      <c r="D3335" s="3">
        <v>787</v>
      </c>
      <c r="E3335" s="3" t="s">
        <v>23</v>
      </c>
    </row>
    <row r="3336" spans="1:5">
      <c r="A3336" s="3" t="s">
        <v>3357</v>
      </c>
      <c r="B3336" s="3" t="s">
        <v>22</v>
      </c>
      <c r="C3336" s="3">
        <v>736664</v>
      </c>
      <c r="D3336" s="3">
        <v>97521</v>
      </c>
      <c r="E3336" s="3" t="s">
        <v>23</v>
      </c>
    </row>
    <row r="3337" spans="1:5">
      <c r="A3337" s="3" t="s">
        <v>3358</v>
      </c>
      <c r="B3337" s="3" t="s">
        <v>22</v>
      </c>
      <c r="C3337" s="3">
        <v>636611</v>
      </c>
      <c r="D3337" s="3">
        <v>106356</v>
      </c>
      <c r="E3337" s="3" t="s">
        <v>23</v>
      </c>
    </row>
    <row r="3338" spans="1:5">
      <c r="A3338" s="3" t="s">
        <v>3359</v>
      </c>
      <c r="B3338" s="3" t="s">
        <v>22</v>
      </c>
      <c r="C3338" s="3">
        <v>1055761</v>
      </c>
      <c r="D3338" s="3">
        <v>190770</v>
      </c>
      <c r="E3338" s="3" t="s">
        <v>23</v>
      </c>
    </row>
    <row r="3339" spans="1:5">
      <c r="A3339" s="3" t="s">
        <v>3360</v>
      </c>
      <c r="B3339" s="3" t="s">
        <v>22</v>
      </c>
      <c r="C3339" s="3">
        <v>500658</v>
      </c>
      <c r="D3339" s="3">
        <v>70484</v>
      </c>
      <c r="E3339" s="3" t="s">
        <v>23</v>
      </c>
    </row>
    <row r="3340" spans="1:5">
      <c r="A3340" s="3" t="s">
        <v>3361</v>
      </c>
      <c r="B3340" s="3" t="s">
        <v>22</v>
      </c>
      <c r="C3340" s="3">
        <v>878051</v>
      </c>
      <c r="D3340" s="3">
        <v>135588</v>
      </c>
      <c r="E3340" s="3" t="s">
        <v>23</v>
      </c>
    </row>
    <row r="3341" spans="1:5">
      <c r="A3341" s="3" t="s">
        <v>3362</v>
      </c>
      <c r="B3341" s="3" t="s">
        <v>22</v>
      </c>
      <c r="C3341" s="3">
        <v>921922</v>
      </c>
      <c r="D3341" s="3">
        <v>220448</v>
      </c>
      <c r="E3341" s="3" t="s">
        <v>23</v>
      </c>
    </row>
    <row r="3342" spans="1:5">
      <c r="A3342" s="3" t="s">
        <v>3363</v>
      </c>
      <c r="B3342" s="3" t="s">
        <v>22</v>
      </c>
      <c r="C3342" s="3">
        <v>680404</v>
      </c>
      <c r="D3342" s="3">
        <v>67636</v>
      </c>
      <c r="E3342" s="3" t="s">
        <v>23</v>
      </c>
    </row>
    <row r="3343" spans="1:5">
      <c r="A3343" s="3" t="s">
        <v>3364</v>
      </c>
      <c r="B3343" s="3" t="s">
        <v>22</v>
      </c>
      <c r="C3343" s="3">
        <v>1234716</v>
      </c>
      <c r="D3343" s="3">
        <v>282466</v>
      </c>
      <c r="E3343" s="3" t="s">
        <v>23</v>
      </c>
    </row>
    <row r="3344" spans="1:5">
      <c r="A3344" s="3" t="s">
        <v>3365</v>
      </c>
      <c r="B3344" s="3" t="s">
        <v>22</v>
      </c>
      <c r="C3344" s="3">
        <v>1032954</v>
      </c>
      <c r="D3344" s="3">
        <v>212220</v>
      </c>
      <c r="E3344" s="3" t="s">
        <v>23</v>
      </c>
    </row>
    <row r="3345" spans="1:5">
      <c r="A3345" s="3" t="s">
        <v>3366</v>
      </c>
      <c r="B3345" s="3" t="s">
        <v>22</v>
      </c>
      <c r="C3345" s="3">
        <v>581981</v>
      </c>
      <c r="D3345" s="3">
        <v>63405</v>
      </c>
      <c r="E3345" s="3" t="s">
        <v>23</v>
      </c>
    </row>
    <row r="3346" spans="1:5">
      <c r="A3346" s="3" t="s">
        <v>3367</v>
      </c>
      <c r="B3346" s="3" t="s">
        <v>22</v>
      </c>
      <c r="C3346" s="3">
        <v>322749</v>
      </c>
      <c r="D3346" s="3">
        <v>2355</v>
      </c>
      <c r="E3346" s="3" t="s">
        <v>23</v>
      </c>
    </row>
    <row r="3347" spans="1:5">
      <c r="A3347" s="3" t="s">
        <v>3368</v>
      </c>
      <c r="B3347" s="3" t="s">
        <v>22</v>
      </c>
      <c r="C3347" s="3">
        <v>1261296</v>
      </c>
      <c r="D3347" s="3">
        <v>309859</v>
      </c>
      <c r="E3347" s="3" t="s">
        <v>23</v>
      </c>
    </row>
    <row r="3348" spans="1:5">
      <c r="A3348" s="3" t="s">
        <v>3369</v>
      </c>
      <c r="B3348" s="3" t="s">
        <v>22</v>
      </c>
      <c r="C3348" s="3">
        <v>711092</v>
      </c>
      <c r="D3348" s="3">
        <v>136006</v>
      </c>
      <c r="E3348" s="3" t="s">
        <v>23</v>
      </c>
    </row>
    <row r="3349" spans="1:5">
      <c r="A3349" s="3" t="s">
        <v>3370</v>
      </c>
      <c r="B3349" s="3" t="s">
        <v>22</v>
      </c>
      <c r="C3349" s="3">
        <v>590857</v>
      </c>
      <c r="D3349" s="3">
        <v>31990</v>
      </c>
      <c r="E3349" s="3" t="s">
        <v>23</v>
      </c>
    </row>
    <row r="3350" spans="1:5">
      <c r="A3350" s="3" t="s">
        <v>3371</v>
      </c>
      <c r="B3350" s="3" t="s">
        <v>22</v>
      </c>
      <c r="C3350" s="3">
        <v>1017300</v>
      </c>
      <c r="D3350" s="3">
        <v>211022</v>
      </c>
      <c r="E3350" s="3" t="s">
        <v>23</v>
      </c>
    </row>
    <row r="3351" spans="1:5">
      <c r="A3351" s="3" t="s">
        <v>3372</v>
      </c>
      <c r="B3351" s="3" t="s">
        <v>22</v>
      </c>
      <c r="C3351" s="3">
        <v>1784763</v>
      </c>
      <c r="D3351" s="3">
        <v>616413</v>
      </c>
      <c r="E3351" s="3" t="s">
        <v>23</v>
      </c>
    </row>
    <row r="3352" spans="1:5">
      <c r="A3352" s="3" t="s">
        <v>3373</v>
      </c>
      <c r="B3352" s="3" t="s">
        <v>22</v>
      </c>
      <c r="C3352" s="3">
        <v>1160320</v>
      </c>
      <c r="D3352" s="3">
        <v>248789</v>
      </c>
      <c r="E3352" s="3" t="s">
        <v>23</v>
      </c>
    </row>
    <row r="3353" spans="1:5">
      <c r="A3353" s="3" t="s">
        <v>3374</v>
      </c>
      <c r="B3353" s="3" t="s">
        <v>22</v>
      </c>
      <c r="C3353" s="3">
        <v>669044</v>
      </c>
      <c r="D3353" s="3">
        <v>15101</v>
      </c>
      <c r="E3353" s="3" t="s">
        <v>23</v>
      </c>
    </row>
    <row r="3354" spans="1:5">
      <c r="A3354" s="3" t="s">
        <v>3375</v>
      </c>
      <c r="B3354" s="3" t="s">
        <v>22</v>
      </c>
      <c r="C3354" s="3">
        <v>1683820</v>
      </c>
      <c r="D3354" s="3">
        <v>523794</v>
      </c>
      <c r="E3354" s="3" t="s">
        <v>23</v>
      </c>
    </row>
    <row r="3355" spans="1:5">
      <c r="A3355" s="3" t="s">
        <v>3376</v>
      </c>
      <c r="B3355" s="3" t="s">
        <v>22</v>
      </c>
      <c r="C3355" s="3">
        <v>861836</v>
      </c>
      <c r="D3355" s="3">
        <v>169661</v>
      </c>
      <c r="E3355" s="3" t="s">
        <v>23</v>
      </c>
    </row>
    <row r="3356" spans="1:5">
      <c r="A3356" s="3" t="s">
        <v>3377</v>
      </c>
      <c r="B3356" s="3" t="s">
        <v>22</v>
      </c>
      <c r="C3356" s="3">
        <v>403834</v>
      </c>
      <c r="D3356" s="3">
        <v>5391</v>
      </c>
      <c r="E3356" s="3" t="s">
        <v>23</v>
      </c>
    </row>
    <row r="3357" spans="1:5">
      <c r="A3357" s="3" t="s">
        <v>3378</v>
      </c>
      <c r="B3357" s="3" t="s">
        <v>22</v>
      </c>
      <c r="C3357" s="3">
        <v>427633</v>
      </c>
      <c r="D3357" s="3">
        <v>21212</v>
      </c>
      <c r="E3357" s="3" t="s">
        <v>23</v>
      </c>
    </row>
    <row r="3358" spans="1:5">
      <c r="A3358" s="3" t="s">
        <v>3379</v>
      </c>
      <c r="B3358" s="3" t="s">
        <v>22</v>
      </c>
      <c r="C3358" s="3">
        <v>1647492</v>
      </c>
      <c r="D3358" s="3">
        <v>532534</v>
      </c>
      <c r="E3358" s="3" t="s">
        <v>23</v>
      </c>
    </row>
    <row r="3359" spans="1:5">
      <c r="A3359" s="3" t="s">
        <v>3380</v>
      </c>
      <c r="B3359" s="3" t="s">
        <v>22</v>
      </c>
      <c r="C3359" s="3">
        <v>771229</v>
      </c>
      <c r="D3359" s="3">
        <v>65410</v>
      </c>
      <c r="E3359" s="3" t="s">
        <v>23</v>
      </c>
    </row>
    <row r="3360" spans="1:5">
      <c r="A3360" s="3" t="s">
        <v>3381</v>
      </c>
      <c r="B3360" s="3" t="s">
        <v>22</v>
      </c>
      <c r="C3360" s="3">
        <v>1817602</v>
      </c>
      <c r="D3360" s="3">
        <v>251895</v>
      </c>
      <c r="E3360" s="3" t="s">
        <v>23</v>
      </c>
    </row>
    <row r="3361" spans="1:5">
      <c r="A3361" s="3" t="s">
        <v>3382</v>
      </c>
      <c r="B3361" s="3" t="s">
        <v>22</v>
      </c>
      <c r="C3361" s="3">
        <v>964591</v>
      </c>
      <c r="D3361" s="3">
        <v>204450</v>
      </c>
      <c r="E3361" s="3" t="s">
        <v>23</v>
      </c>
    </row>
    <row r="3362" spans="1:5">
      <c r="A3362" s="3" t="s">
        <v>3383</v>
      </c>
      <c r="B3362" s="3" t="s">
        <v>22</v>
      </c>
      <c r="C3362" s="3">
        <v>1653946</v>
      </c>
      <c r="D3362" s="3">
        <v>520561</v>
      </c>
      <c r="E3362" s="3" t="s">
        <v>23</v>
      </c>
    </row>
    <row r="3363" spans="1:5">
      <c r="A3363" s="3" t="s">
        <v>3384</v>
      </c>
      <c r="B3363" s="3" t="s">
        <v>22</v>
      </c>
      <c r="C3363" s="3">
        <v>334307</v>
      </c>
      <c r="D3363" s="3">
        <v>34</v>
      </c>
      <c r="E3363" s="3" t="s">
        <v>23</v>
      </c>
    </row>
    <row r="3364" spans="1:5">
      <c r="A3364" s="3" t="s">
        <v>3385</v>
      </c>
      <c r="B3364" s="3" t="s">
        <v>22</v>
      </c>
      <c r="C3364" s="3">
        <v>736907</v>
      </c>
      <c r="D3364" s="3">
        <v>14077</v>
      </c>
      <c r="E3364" s="3" t="s">
        <v>23</v>
      </c>
    </row>
    <row r="3365" spans="1:5">
      <c r="A3365" s="3" t="s">
        <v>3386</v>
      </c>
      <c r="B3365" s="3" t="s">
        <v>22</v>
      </c>
      <c r="C3365" s="3">
        <v>1400884</v>
      </c>
      <c r="D3365" s="3">
        <v>382775</v>
      </c>
      <c r="E3365" s="3" t="s">
        <v>23</v>
      </c>
    </row>
    <row r="3366" spans="1:5">
      <c r="A3366" s="3" t="s">
        <v>3387</v>
      </c>
      <c r="B3366" s="3" t="s">
        <v>22</v>
      </c>
      <c r="C3366" s="3">
        <v>1520438</v>
      </c>
      <c r="D3366" s="3">
        <v>451132</v>
      </c>
      <c r="E3366" s="3" t="s">
        <v>23</v>
      </c>
    </row>
    <row r="3367" spans="1:5">
      <c r="A3367" s="3" t="s">
        <v>3388</v>
      </c>
      <c r="B3367" s="3" t="s">
        <v>22</v>
      </c>
      <c r="C3367" s="3">
        <v>1575917</v>
      </c>
      <c r="D3367" s="3">
        <v>495555</v>
      </c>
      <c r="E3367" s="3" t="s">
        <v>23</v>
      </c>
    </row>
    <row r="3368" spans="1:5">
      <c r="A3368" s="3" t="s">
        <v>3389</v>
      </c>
      <c r="B3368" s="3" t="s">
        <v>22</v>
      </c>
      <c r="C3368" s="3">
        <v>347800</v>
      </c>
      <c r="D3368" s="3">
        <v>669</v>
      </c>
      <c r="E3368" s="3" t="s">
        <v>23</v>
      </c>
    </row>
    <row r="3369" spans="1:5">
      <c r="A3369" s="3" t="s">
        <v>3390</v>
      </c>
      <c r="B3369" s="3" t="s">
        <v>22</v>
      </c>
      <c r="C3369" s="3">
        <v>1550158</v>
      </c>
      <c r="D3369" s="3">
        <v>493851</v>
      </c>
      <c r="E3369" s="3" t="s">
        <v>23</v>
      </c>
    </row>
    <row r="3370" spans="1:5">
      <c r="A3370" s="3" t="s">
        <v>3391</v>
      </c>
      <c r="B3370" s="3" t="s">
        <v>22</v>
      </c>
      <c r="C3370" s="3">
        <v>1497664</v>
      </c>
      <c r="D3370" s="3">
        <v>487470</v>
      </c>
      <c r="E3370" s="3" t="s">
        <v>23</v>
      </c>
    </row>
    <row r="3371" spans="1:5">
      <c r="A3371" s="3" t="s">
        <v>3392</v>
      </c>
      <c r="B3371" s="3" t="s">
        <v>22</v>
      </c>
      <c r="C3371" s="3">
        <v>1649767</v>
      </c>
      <c r="D3371" s="3">
        <v>539093</v>
      </c>
      <c r="E3371" s="3" t="s">
        <v>23</v>
      </c>
    </row>
    <row r="3372" spans="1:5">
      <c r="A3372" s="3" t="s">
        <v>3393</v>
      </c>
      <c r="B3372" s="3" t="s">
        <v>22</v>
      </c>
      <c r="C3372" s="3">
        <v>449526</v>
      </c>
      <c r="D3372" s="3">
        <v>3960</v>
      </c>
      <c r="E3372" s="3" t="s">
        <v>23</v>
      </c>
    </row>
    <row r="3373" spans="1:5">
      <c r="A3373" s="3" t="s">
        <v>3394</v>
      </c>
      <c r="B3373" s="3" t="s">
        <v>22</v>
      </c>
      <c r="C3373" s="3">
        <v>1242290</v>
      </c>
      <c r="D3373" s="3">
        <v>288218</v>
      </c>
      <c r="E3373" s="3" t="s">
        <v>23</v>
      </c>
    </row>
    <row r="3374" spans="1:5">
      <c r="A3374" s="3" t="s">
        <v>3395</v>
      </c>
      <c r="B3374" s="3" t="s">
        <v>22</v>
      </c>
      <c r="C3374" s="3">
        <v>1070828</v>
      </c>
      <c r="D3374" s="3">
        <v>152901</v>
      </c>
      <c r="E3374" s="3" t="s">
        <v>23</v>
      </c>
    </row>
    <row r="3375" spans="1:5">
      <c r="A3375" s="3" t="s">
        <v>3396</v>
      </c>
      <c r="B3375" s="3" t="s">
        <v>22</v>
      </c>
      <c r="C3375" s="3">
        <v>965606</v>
      </c>
      <c r="D3375" s="3">
        <v>199439</v>
      </c>
      <c r="E3375" s="3" t="s">
        <v>23</v>
      </c>
    </row>
    <row r="3376" spans="1:5">
      <c r="A3376" s="3" t="s">
        <v>3397</v>
      </c>
      <c r="B3376" s="3" t="s">
        <v>22</v>
      </c>
      <c r="C3376" s="3">
        <v>1666465</v>
      </c>
      <c r="D3376" s="3">
        <v>518215</v>
      </c>
      <c r="E3376" s="3" t="s">
        <v>23</v>
      </c>
    </row>
    <row r="3377" spans="1:5">
      <c r="A3377" s="3" t="s">
        <v>3398</v>
      </c>
      <c r="B3377" s="3" t="s">
        <v>22</v>
      </c>
      <c r="C3377" s="3">
        <v>1045611</v>
      </c>
      <c r="D3377" s="3">
        <v>211530</v>
      </c>
      <c r="E3377" s="3" t="s">
        <v>23</v>
      </c>
    </row>
    <row r="3378" spans="1:5">
      <c r="A3378" s="3" t="s">
        <v>3399</v>
      </c>
      <c r="B3378" s="3" t="s">
        <v>22</v>
      </c>
      <c r="C3378" s="3">
        <v>1358794</v>
      </c>
      <c r="D3378" s="3">
        <v>339903</v>
      </c>
      <c r="E3378" s="3" t="s">
        <v>23</v>
      </c>
    </row>
    <row r="3379" spans="1:5">
      <c r="A3379" s="3" t="s">
        <v>3400</v>
      </c>
      <c r="B3379" s="3" t="s">
        <v>22</v>
      </c>
      <c r="C3379" s="3">
        <v>764909</v>
      </c>
      <c r="D3379" s="3">
        <v>48099</v>
      </c>
      <c r="E3379" s="3" t="s">
        <v>23</v>
      </c>
    </row>
    <row r="3380" spans="1:5">
      <c r="A3380" s="3" t="s">
        <v>3401</v>
      </c>
      <c r="B3380" s="3" t="s">
        <v>22</v>
      </c>
      <c r="C3380" s="3">
        <v>1252557</v>
      </c>
      <c r="D3380" s="3">
        <v>351560</v>
      </c>
      <c r="E3380" s="3" t="s">
        <v>23</v>
      </c>
    </row>
    <row r="3381" spans="1:5">
      <c r="A3381" s="3" t="s">
        <v>3402</v>
      </c>
      <c r="B3381" s="3" t="s">
        <v>22</v>
      </c>
      <c r="C3381" s="3">
        <v>952875</v>
      </c>
      <c r="D3381" s="3">
        <v>19295</v>
      </c>
      <c r="E3381" s="3" t="s">
        <v>23</v>
      </c>
    </row>
    <row r="3382" spans="1:5">
      <c r="A3382" s="3" t="s">
        <v>3403</v>
      </c>
      <c r="B3382" s="3" t="s">
        <v>22</v>
      </c>
      <c r="C3382" s="3">
        <v>1519568</v>
      </c>
      <c r="D3382" s="3">
        <v>394720</v>
      </c>
      <c r="E3382" s="3" t="s">
        <v>23</v>
      </c>
    </row>
    <row r="3383" spans="1:5">
      <c r="A3383" s="3" t="s">
        <v>3404</v>
      </c>
      <c r="B3383" s="3" t="s">
        <v>22</v>
      </c>
      <c r="C3383" s="3">
        <v>736707</v>
      </c>
      <c r="D3383" s="3">
        <v>11301</v>
      </c>
      <c r="E3383" s="3" t="s">
        <v>23</v>
      </c>
    </row>
    <row r="3384" spans="1:5">
      <c r="A3384" s="3" t="s">
        <v>3405</v>
      </c>
      <c r="B3384" s="3" t="s">
        <v>22</v>
      </c>
      <c r="C3384" s="3">
        <v>1181329</v>
      </c>
      <c r="D3384" s="3">
        <v>301765</v>
      </c>
      <c r="E3384" s="3" t="s">
        <v>23</v>
      </c>
    </row>
    <row r="3385" spans="1:5">
      <c r="A3385" s="3" t="s">
        <v>3406</v>
      </c>
      <c r="B3385" s="3" t="s">
        <v>22</v>
      </c>
      <c r="C3385" s="3">
        <v>1855351</v>
      </c>
      <c r="D3385" s="3">
        <v>518346</v>
      </c>
      <c r="E3385" s="3" t="s">
        <v>23</v>
      </c>
    </row>
    <row r="3386" spans="1:5">
      <c r="A3386" s="3" t="s">
        <v>3407</v>
      </c>
      <c r="B3386" s="3" t="s">
        <v>22</v>
      </c>
      <c r="C3386" s="3">
        <v>437153</v>
      </c>
      <c r="D3386" s="3">
        <v>3506</v>
      </c>
      <c r="E3386" s="3" t="s">
        <v>23</v>
      </c>
    </row>
    <row r="3387" spans="1:5">
      <c r="A3387" s="3" t="s">
        <v>3408</v>
      </c>
      <c r="B3387" s="3" t="s">
        <v>22</v>
      </c>
      <c r="C3387" s="3">
        <v>1449565</v>
      </c>
      <c r="D3387" s="3">
        <v>299266</v>
      </c>
      <c r="E3387" s="3" t="s">
        <v>23</v>
      </c>
    </row>
    <row r="3388" spans="1:5">
      <c r="A3388" s="3" t="s">
        <v>3409</v>
      </c>
      <c r="B3388" s="3" t="s">
        <v>22</v>
      </c>
      <c r="C3388" s="3">
        <v>1995281</v>
      </c>
      <c r="D3388" s="3">
        <v>617612</v>
      </c>
      <c r="E3388" s="3" t="s">
        <v>23</v>
      </c>
    </row>
    <row r="3389" spans="1:5">
      <c r="A3389" s="3" t="s">
        <v>3410</v>
      </c>
      <c r="B3389" s="3" t="s">
        <v>22</v>
      </c>
      <c r="C3389" s="3">
        <v>1007970</v>
      </c>
      <c r="D3389" s="3">
        <v>151243</v>
      </c>
      <c r="E3389" s="3" t="s">
        <v>23</v>
      </c>
    </row>
    <row r="3390" spans="1:5">
      <c r="A3390" s="3" t="s">
        <v>3411</v>
      </c>
      <c r="B3390" s="3" t="s">
        <v>22</v>
      </c>
      <c r="C3390" s="3">
        <v>1550376</v>
      </c>
      <c r="D3390" s="3">
        <v>402195</v>
      </c>
      <c r="E3390" s="3" t="s">
        <v>23</v>
      </c>
    </row>
    <row r="3391" spans="1:5">
      <c r="A3391" s="3" t="s">
        <v>3412</v>
      </c>
      <c r="B3391" s="3" t="s">
        <v>22</v>
      </c>
      <c r="C3391" s="3">
        <v>1948371</v>
      </c>
      <c r="D3391" s="3">
        <v>555032</v>
      </c>
      <c r="E3391" s="3" t="s">
        <v>23</v>
      </c>
    </row>
    <row r="3392" spans="1:5">
      <c r="A3392" s="3" t="s">
        <v>3413</v>
      </c>
      <c r="B3392" s="3" t="s">
        <v>22</v>
      </c>
      <c r="C3392" s="3">
        <v>1434794</v>
      </c>
      <c r="D3392" s="3">
        <v>301620</v>
      </c>
      <c r="E3392" s="3" t="s">
        <v>23</v>
      </c>
    </row>
    <row r="3393" spans="1:5">
      <c r="A3393" s="3" t="s">
        <v>3414</v>
      </c>
      <c r="B3393" s="3" t="s">
        <v>22</v>
      </c>
      <c r="C3393" s="3">
        <v>1459693</v>
      </c>
      <c r="D3393" s="3">
        <v>390849</v>
      </c>
      <c r="E3393" s="3" t="s">
        <v>23</v>
      </c>
    </row>
    <row r="3394" spans="1:5">
      <c r="A3394" s="3" t="s">
        <v>3415</v>
      </c>
      <c r="B3394" s="3" t="s">
        <v>22</v>
      </c>
      <c r="C3394" s="3">
        <v>1054508</v>
      </c>
      <c r="D3394" s="3">
        <v>112744</v>
      </c>
      <c r="E3394" s="3" t="s">
        <v>23</v>
      </c>
    </row>
    <row r="3395" spans="1:5">
      <c r="A3395" s="3" t="s">
        <v>3416</v>
      </c>
      <c r="B3395" s="3" t="s">
        <v>22</v>
      </c>
      <c r="C3395" s="3">
        <v>754583</v>
      </c>
      <c r="D3395" s="3">
        <v>7953</v>
      </c>
      <c r="E3395" s="3" t="s">
        <v>23</v>
      </c>
    </row>
    <row r="3396" spans="1:5">
      <c r="A3396" s="3" t="s">
        <v>3417</v>
      </c>
      <c r="B3396" s="3" t="s">
        <v>22</v>
      </c>
      <c r="C3396" s="3">
        <v>657852</v>
      </c>
      <c r="D3396" s="3">
        <v>42830</v>
      </c>
      <c r="E3396" s="3" t="s">
        <v>23</v>
      </c>
    </row>
    <row r="3397" spans="1:5">
      <c r="A3397" s="3" t="s">
        <v>3418</v>
      </c>
      <c r="B3397" s="3" t="s">
        <v>22</v>
      </c>
      <c r="C3397" s="3">
        <v>1153317</v>
      </c>
      <c r="D3397" s="3">
        <v>215225</v>
      </c>
      <c r="E3397" s="3" t="s">
        <v>23</v>
      </c>
    </row>
    <row r="3398" spans="1:5">
      <c r="A3398" s="3" t="s">
        <v>3419</v>
      </c>
      <c r="B3398" s="3" t="s">
        <v>22</v>
      </c>
      <c r="C3398" s="3">
        <v>1330129</v>
      </c>
      <c r="D3398" s="3">
        <v>294776</v>
      </c>
      <c r="E3398" s="3" t="s">
        <v>23</v>
      </c>
    </row>
    <row r="3399" spans="1:5">
      <c r="A3399" s="3" t="s">
        <v>3420</v>
      </c>
      <c r="B3399" s="3" t="s">
        <v>22</v>
      </c>
      <c r="C3399" s="3">
        <v>1424512</v>
      </c>
      <c r="D3399" s="3">
        <v>314280</v>
      </c>
      <c r="E3399" s="3" t="s">
        <v>23</v>
      </c>
    </row>
    <row r="3400" spans="1:5">
      <c r="A3400" s="3" t="s">
        <v>3421</v>
      </c>
      <c r="B3400" s="3" t="s">
        <v>22</v>
      </c>
      <c r="C3400" s="3">
        <v>1612621</v>
      </c>
      <c r="D3400" s="3">
        <v>434429</v>
      </c>
      <c r="E3400" s="3" t="s">
        <v>23</v>
      </c>
    </row>
    <row r="3401" spans="1:5">
      <c r="A3401" s="3" t="s">
        <v>3422</v>
      </c>
      <c r="B3401" s="3" t="s">
        <v>22</v>
      </c>
      <c r="C3401" s="3">
        <v>756645</v>
      </c>
      <c r="D3401" s="3">
        <v>67800</v>
      </c>
      <c r="E3401" s="3" t="s">
        <v>23</v>
      </c>
    </row>
    <row r="3402" spans="1:5">
      <c r="A3402" s="3" t="s">
        <v>3423</v>
      </c>
      <c r="B3402" s="3" t="s">
        <v>22</v>
      </c>
      <c r="C3402" s="3">
        <v>672977</v>
      </c>
      <c r="D3402" s="3">
        <v>23862</v>
      </c>
      <c r="E3402" s="3" t="s">
        <v>23</v>
      </c>
    </row>
    <row r="3403" spans="1:5">
      <c r="A3403" s="3" t="s">
        <v>3424</v>
      </c>
      <c r="B3403" s="3" t="s">
        <v>22</v>
      </c>
      <c r="C3403" s="3">
        <v>1042950</v>
      </c>
      <c r="D3403" s="3">
        <v>164754</v>
      </c>
      <c r="E3403" s="3" t="s">
        <v>23</v>
      </c>
    </row>
    <row r="3404" spans="1:5">
      <c r="A3404" s="3" t="s">
        <v>3425</v>
      </c>
      <c r="B3404" s="3" t="s">
        <v>22</v>
      </c>
      <c r="C3404" s="3">
        <v>653101</v>
      </c>
      <c r="D3404" s="3">
        <v>25443</v>
      </c>
      <c r="E3404" s="3" t="s">
        <v>23</v>
      </c>
    </row>
    <row r="3405" spans="1:5">
      <c r="A3405" s="3" t="s">
        <v>3426</v>
      </c>
      <c r="B3405" s="3" t="s">
        <v>22</v>
      </c>
      <c r="C3405" s="3">
        <v>1891437</v>
      </c>
      <c r="D3405" s="3">
        <v>519782</v>
      </c>
      <c r="E3405" s="3" t="s">
        <v>23</v>
      </c>
    </row>
    <row r="3406" spans="1:5">
      <c r="A3406" s="3" t="s">
        <v>3427</v>
      </c>
      <c r="B3406" s="3" t="s">
        <v>22</v>
      </c>
      <c r="C3406" s="3">
        <v>1594870</v>
      </c>
      <c r="D3406" s="3">
        <v>390010</v>
      </c>
      <c r="E3406" s="3" t="s">
        <v>23</v>
      </c>
    </row>
    <row r="3407" spans="1:5">
      <c r="A3407" s="3" t="s">
        <v>3428</v>
      </c>
      <c r="B3407" s="3" t="s">
        <v>22</v>
      </c>
      <c r="C3407" s="3">
        <v>540259</v>
      </c>
      <c r="D3407" s="3">
        <v>3742</v>
      </c>
      <c r="E3407" s="3" t="s">
        <v>23</v>
      </c>
    </row>
    <row r="3408" spans="1:5">
      <c r="A3408" s="3" t="s">
        <v>3429</v>
      </c>
      <c r="B3408" s="3" t="s">
        <v>22</v>
      </c>
      <c r="C3408" s="3">
        <v>519594</v>
      </c>
      <c r="D3408" s="3">
        <v>2071</v>
      </c>
      <c r="E3408" s="3" t="s">
        <v>23</v>
      </c>
    </row>
    <row r="3409" spans="1:5">
      <c r="A3409" s="3" t="s">
        <v>3430</v>
      </c>
      <c r="B3409" s="3" t="s">
        <v>22</v>
      </c>
      <c r="C3409" s="3">
        <v>2083724</v>
      </c>
      <c r="D3409" s="3">
        <v>708941</v>
      </c>
      <c r="E3409" s="3" t="s">
        <v>23</v>
      </c>
    </row>
    <row r="3410" spans="1:5">
      <c r="A3410" s="3" t="s">
        <v>3431</v>
      </c>
      <c r="B3410" s="3" t="s">
        <v>22</v>
      </c>
      <c r="C3410" s="3">
        <v>959179</v>
      </c>
      <c r="D3410" s="3">
        <v>54747</v>
      </c>
      <c r="E3410" s="3" t="s">
        <v>23</v>
      </c>
    </row>
    <row r="3411" spans="1:5">
      <c r="A3411" s="3" t="s">
        <v>3432</v>
      </c>
      <c r="B3411" s="3" t="s">
        <v>22</v>
      </c>
      <c r="C3411" s="3">
        <v>1641953</v>
      </c>
      <c r="D3411" s="3">
        <v>423070</v>
      </c>
      <c r="E3411" s="3" t="s">
        <v>23</v>
      </c>
    </row>
    <row r="3412" spans="1:5">
      <c r="A3412" s="3" t="s">
        <v>3433</v>
      </c>
      <c r="B3412" s="3" t="s">
        <v>22</v>
      </c>
      <c r="C3412" s="3">
        <v>1314008</v>
      </c>
      <c r="D3412" s="3">
        <v>269387</v>
      </c>
      <c r="E3412" s="3" t="s">
        <v>23</v>
      </c>
    </row>
    <row r="3413" spans="1:5">
      <c r="A3413" s="3" t="s">
        <v>3434</v>
      </c>
      <c r="B3413" s="3" t="s">
        <v>22</v>
      </c>
      <c r="C3413" s="3">
        <v>711882</v>
      </c>
      <c r="D3413" s="3">
        <v>68107</v>
      </c>
      <c r="E3413" s="3" t="s">
        <v>23</v>
      </c>
    </row>
    <row r="3414" spans="1:5">
      <c r="A3414" s="3" t="s">
        <v>3435</v>
      </c>
      <c r="B3414" s="3" t="s">
        <v>22</v>
      </c>
      <c r="C3414" s="3">
        <v>790885</v>
      </c>
      <c r="D3414" s="3">
        <v>51662</v>
      </c>
      <c r="E3414" s="3" t="s">
        <v>23</v>
      </c>
    </row>
    <row r="3415" spans="1:5">
      <c r="A3415" s="3" t="s">
        <v>3436</v>
      </c>
      <c r="B3415" s="3" t="s">
        <v>22</v>
      </c>
      <c r="C3415" s="3">
        <v>1117686</v>
      </c>
      <c r="D3415" s="3">
        <v>249729</v>
      </c>
      <c r="E3415" s="3" t="s">
        <v>23</v>
      </c>
    </row>
    <row r="3416" spans="1:5">
      <c r="A3416" s="3" t="s">
        <v>3437</v>
      </c>
      <c r="B3416" s="3" t="s">
        <v>22</v>
      </c>
      <c r="C3416" s="3">
        <v>1665560</v>
      </c>
      <c r="D3416" s="3">
        <v>432333</v>
      </c>
      <c r="E3416" s="3" t="s">
        <v>23</v>
      </c>
    </row>
    <row r="3417" spans="1:5">
      <c r="A3417" s="3" t="s">
        <v>3438</v>
      </c>
      <c r="B3417" s="3" t="s">
        <v>22</v>
      </c>
      <c r="C3417" s="3">
        <v>1090063</v>
      </c>
      <c r="D3417" s="3">
        <v>154981</v>
      </c>
      <c r="E3417" s="3" t="s">
        <v>23</v>
      </c>
    </row>
    <row r="3418" spans="1:5">
      <c r="A3418" s="3" t="s">
        <v>3439</v>
      </c>
      <c r="B3418" s="3" t="s">
        <v>22</v>
      </c>
      <c r="C3418" s="3">
        <v>1774021</v>
      </c>
      <c r="D3418" s="3">
        <v>536927</v>
      </c>
      <c r="E3418" s="3" t="s">
        <v>23</v>
      </c>
    </row>
    <row r="3419" spans="1:5">
      <c r="A3419" s="3" t="s">
        <v>3440</v>
      </c>
      <c r="B3419" s="3" t="s">
        <v>22</v>
      </c>
      <c r="C3419" s="3">
        <v>1753644</v>
      </c>
      <c r="D3419" s="3">
        <v>535313</v>
      </c>
      <c r="E3419" s="3" t="s">
        <v>23</v>
      </c>
    </row>
    <row r="3420" spans="1:5">
      <c r="A3420" s="3" t="s">
        <v>3441</v>
      </c>
      <c r="B3420" s="3" t="s">
        <v>22</v>
      </c>
      <c r="C3420" s="3">
        <v>1096487</v>
      </c>
      <c r="D3420" s="3">
        <v>245518</v>
      </c>
      <c r="E3420" s="3" t="s">
        <v>23</v>
      </c>
    </row>
    <row r="3421" spans="1:5">
      <c r="A3421" s="3" t="s">
        <v>3442</v>
      </c>
      <c r="B3421" s="3" t="s">
        <v>22</v>
      </c>
      <c r="C3421" s="3">
        <v>969891</v>
      </c>
      <c r="D3421" s="3">
        <v>59716</v>
      </c>
      <c r="E3421" s="3" t="s">
        <v>23</v>
      </c>
    </row>
    <row r="3422" spans="1:5">
      <c r="A3422" s="3" t="s">
        <v>3443</v>
      </c>
      <c r="B3422" s="3" t="s">
        <v>22</v>
      </c>
      <c r="C3422" s="3">
        <v>1306845</v>
      </c>
      <c r="D3422" s="3">
        <v>269894</v>
      </c>
      <c r="E3422" s="3" t="s">
        <v>23</v>
      </c>
    </row>
    <row r="3423" spans="1:5">
      <c r="A3423" s="3" t="s">
        <v>3444</v>
      </c>
      <c r="B3423" s="3" t="s">
        <v>22</v>
      </c>
      <c r="C3423" s="3">
        <v>958720</v>
      </c>
      <c r="D3423" s="3">
        <v>169679</v>
      </c>
      <c r="E3423" s="3" t="s">
        <v>23</v>
      </c>
    </row>
    <row r="3424" spans="1:5">
      <c r="A3424" s="3" t="s">
        <v>3445</v>
      </c>
      <c r="B3424" s="3" t="s">
        <v>22</v>
      </c>
      <c r="C3424" s="3">
        <v>1413964</v>
      </c>
      <c r="D3424" s="3">
        <v>279223</v>
      </c>
      <c r="E3424" s="3" t="s">
        <v>23</v>
      </c>
    </row>
    <row r="3425" spans="1:5">
      <c r="A3425" s="3" t="s">
        <v>3446</v>
      </c>
      <c r="B3425" s="3" t="s">
        <v>22</v>
      </c>
      <c r="C3425" s="3">
        <v>1715852</v>
      </c>
      <c r="D3425" s="3">
        <v>622187</v>
      </c>
      <c r="E3425" s="3" t="s">
        <v>23</v>
      </c>
    </row>
    <row r="3426" spans="1:5">
      <c r="A3426" s="3" t="s">
        <v>3447</v>
      </c>
      <c r="B3426" s="3" t="s">
        <v>22</v>
      </c>
      <c r="C3426" s="3">
        <v>1037600</v>
      </c>
      <c r="D3426" s="3">
        <v>89603</v>
      </c>
      <c r="E3426" s="3" t="s">
        <v>23</v>
      </c>
    </row>
    <row r="3427" spans="1:5">
      <c r="A3427" s="3" t="s">
        <v>3448</v>
      </c>
      <c r="B3427" s="3" t="s">
        <v>22</v>
      </c>
      <c r="C3427" s="3">
        <v>945640</v>
      </c>
      <c r="D3427" s="3">
        <v>45570</v>
      </c>
      <c r="E3427" s="3" t="s">
        <v>23</v>
      </c>
    </row>
    <row r="3428" spans="1:5">
      <c r="A3428" s="3" t="s">
        <v>3449</v>
      </c>
      <c r="B3428" s="3" t="s">
        <v>22</v>
      </c>
      <c r="C3428" s="3">
        <v>1626372</v>
      </c>
      <c r="D3428" s="3">
        <v>357299</v>
      </c>
      <c r="E3428" s="3" t="s">
        <v>23</v>
      </c>
    </row>
    <row r="3429" spans="1:5">
      <c r="A3429" s="3" t="s">
        <v>3450</v>
      </c>
      <c r="B3429" s="3" t="s">
        <v>22</v>
      </c>
      <c r="C3429" s="3">
        <v>1744405</v>
      </c>
      <c r="D3429" s="3">
        <v>407082</v>
      </c>
      <c r="E3429" s="3" t="s">
        <v>23</v>
      </c>
    </row>
    <row r="3430" spans="1:5">
      <c r="A3430" s="3" t="s">
        <v>3451</v>
      </c>
      <c r="B3430" s="3" t="s">
        <v>22</v>
      </c>
      <c r="C3430" s="3">
        <v>1751302</v>
      </c>
      <c r="D3430" s="3">
        <v>532434</v>
      </c>
      <c r="E3430" s="3" t="s">
        <v>23</v>
      </c>
    </row>
    <row r="3431" spans="1:5">
      <c r="A3431" s="3" t="s">
        <v>3452</v>
      </c>
      <c r="B3431" s="3" t="s">
        <v>22</v>
      </c>
      <c r="C3431" s="3">
        <v>1974836</v>
      </c>
      <c r="D3431" s="3">
        <v>569293</v>
      </c>
      <c r="E3431" s="3" t="s">
        <v>23</v>
      </c>
    </row>
    <row r="3432" spans="1:5">
      <c r="A3432" s="3" t="s">
        <v>3453</v>
      </c>
      <c r="B3432" s="3" t="s">
        <v>22</v>
      </c>
      <c r="C3432" s="3">
        <v>1422059</v>
      </c>
      <c r="D3432" s="3">
        <v>489403</v>
      </c>
      <c r="E3432" s="3" t="s">
        <v>23</v>
      </c>
    </row>
    <row r="3433" spans="1:5">
      <c r="A3433" s="3" t="s">
        <v>3454</v>
      </c>
      <c r="B3433" s="3" t="s">
        <v>22</v>
      </c>
      <c r="C3433" s="3">
        <v>1419311</v>
      </c>
      <c r="D3433" s="3">
        <v>294978</v>
      </c>
      <c r="E3433" s="3" t="s">
        <v>23</v>
      </c>
    </row>
    <row r="3434" spans="1:5">
      <c r="A3434" s="3" t="s">
        <v>3455</v>
      </c>
      <c r="B3434" s="3" t="s">
        <v>22</v>
      </c>
      <c r="C3434" s="3">
        <v>537601</v>
      </c>
      <c r="D3434" s="3">
        <v>53784</v>
      </c>
      <c r="E3434" s="3" t="s">
        <v>23</v>
      </c>
    </row>
    <row r="3435" spans="1:5">
      <c r="A3435" s="3" t="s">
        <v>3456</v>
      </c>
      <c r="B3435" s="3" t="s">
        <v>22</v>
      </c>
      <c r="C3435" s="3">
        <v>749211</v>
      </c>
      <c r="D3435" s="3">
        <v>53751</v>
      </c>
      <c r="E3435" s="3" t="s">
        <v>23</v>
      </c>
    </row>
    <row r="3436" spans="1:5">
      <c r="A3436" s="3" t="s">
        <v>3457</v>
      </c>
      <c r="B3436" s="3" t="s">
        <v>22</v>
      </c>
      <c r="C3436" s="3">
        <v>2189535</v>
      </c>
      <c r="D3436" s="3">
        <v>657564</v>
      </c>
      <c r="E3436" s="3" t="s">
        <v>23</v>
      </c>
    </row>
    <row r="3437" spans="1:5">
      <c r="A3437" s="3" t="s">
        <v>3458</v>
      </c>
      <c r="B3437" s="3" t="s">
        <v>22</v>
      </c>
      <c r="C3437" s="3">
        <v>1252212</v>
      </c>
      <c r="D3437" s="3">
        <v>236855</v>
      </c>
      <c r="E3437" s="3" t="s">
        <v>23</v>
      </c>
    </row>
    <row r="3438" spans="1:5">
      <c r="A3438" s="3" t="s">
        <v>3459</v>
      </c>
      <c r="B3438" s="3" t="s">
        <v>22</v>
      </c>
      <c r="C3438" s="3">
        <v>712365</v>
      </c>
      <c r="D3438" s="3">
        <v>80808</v>
      </c>
      <c r="E3438" s="3" t="s">
        <v>23</v>
      </c>
    </row>
    <row r="3439" spans="1:5">
      <c r="A3439" s="3" t="s">
        <v>3460</v>
      </c>
      <c r="B3439" s="3" t="s">
        <v>22</v>
      </c>
      <c r="C3439" s="3">
        <v>525193</v>
      </c>
      <c r="D3439" s="3">
        <v>31259</v>
      </c>
      <c r="E3439" s="3" t="s">
        <v>23</v>
      </c>
    </row>
    <row r="3440" spans="1:5">
      <c r="A3440" s="3" t="s">
        <v>3461</v>
      </c>
      <c r="B3440" s="3" t="s">
        <v>22</v>
      </c>
      <c r="C3440" s="3">
        <v>1850790</v>
      </c>
      <c r="D3440" s="3">
        <v>544903</v>
      </c>
      <c r="E3440" s="3" t="s">
        <v>23</v>
      </c>
    </row>
    <row r="3441" spans="1:5">
      <c r="A3441" s="3" t="s">
        <v>3462</v>
      </c>
      <c r="B3441" s="3" t="s">
        <v>22</v>
      </c>
      <c r="C3441" s="3">
        <v>589371</v>
      </c>
      <c r="D3441" s="3">
        <v>10708</v>
      </c>
      <c r="E3441" s="3" t="s">
        <v>23</v>
      </c>
    </row>
    <row r="3442" spans="1:5">
      <c r="A3442" s="3" t="s">
        <v>3463</v>
      </c>
      <c r="B3442" s="3" t="s">
        <v>22</v>
      </c>
      <c r="C3442" s="3">
        <v>948795</v>
      </c>
      <c r="D3442" s="3">
        <v>185042</v>
      </c>
      <c r="E3442" s="3" t="s">
        <v>23</v>
      </c>
    </row>
    <row r="3443" spans="1:5">
      <c r="A3443" s="3" t="s">
        <v>3464</v>
      </c>
      <c r="B3443" s="3" t="s">
        <v>22</v>
      </c>
      <c r="C3443" s="3">
        <v>1521908</v>
      </c>
      <c r="D3443" s="3">
        <v>430083</v>
      </c>
      <c r="E3443" s="3" t="s">
        <v>23</v>
      </c>
    </row>
    <row r="3444" spans="1:5">
      <c r="A3444" s="3" t="s">
        <v>3465</v>
      </c>
      <c r="B3444" s="3" t="s">
        <v>22</v>
      </c>
      <c r="C3444" s="3">
        <v>1823629</v>
      </c>
      <c r="D3444" s="3">
        <v>508987</v>
      </c>
      <c r="E3444" s="3" t="s">
        <v>23</v>
      </c>
    </row>
    <row r="3445" spans="1:5">
      <c r="A3445" s="3" t="s">
        <v>3466</v>
      </c>
      <c r="B3445" s="3" t="s">
        <v>22</v>
      </c>
      <c r="C3445" s="3">
        <v>1100485</v>
      </c>
      <c r="D3445" s="3">
        <v>162193</v>
      </c>
      <c r="E3445" s="3" t="s">
        <v>23</v>
      </c>
    </row>
    <row r="3446" spans="1:5">
      <c r="A3446" s="3" t="s">
        <v>3467</v>
      </c>
      <c r="B3446" s="3" t="s">
        <v>22</v>
      </c>
      <c r="C3446" s="3">
        <v>616425</v>
      </c>
      <c r="D3446" s="3">
        <v>10588</v>
      </c>
      <c r="E3446" s="3" t="s">
        <v>23</v>
      </c>
    </row>
    <row r="3447" spans="1:5">
      <c r="A3447" s="3" t="s">
        <v>3468</v>
      </c>
      <c r="B3447" s="3" t="s">
        <v>22</v>
      </c>
      <c r="C3447" s="3">
        <v>2495388</v>
      </c>
      <c r="D3447" s="3">
        <v>470052</v>
      </c>
      <c r="E3447" s="3" t="s">
        <v>23</v>
      </c>
    </row>
    <row r="3448" spans="1:5">
      <c r="A3448" s="3" t="s">
        <v>3469</v>
      </c>
      <c r="B3448" s="3" t="s">
        <v>22</v>
      </c>
      <c r="C3448" s="3">
        <v>1872172</v>
      </c>
      <c r="D3448" s="3">
        <v>692618</v>
      </c>
      <c r="E3448" s="3" t="s">
        <v>23</v>
      </c>
    </row>
    <row r="3449" spans="1:5">
      <c r="A3449" s="3" t="s">
        <v>3470</v>
      </c>
      <c r="B3449" s="3" t="s">
        <v>22</v>
      </c>
      <c r="C3449" s="3">
        <v>459402</v>
      </c>
      <c r="D3449" s="3">
        <v>6871</v>
      </c>
      <c r="E3449" s="3" t="s">
        <v>23</v>
      </c>
    </row>
    <row r="3450" spans="1:5">
      <c r="A3450" s="3" t="s">
        <v>3471</v>
      </c>
      <c r="B3450" s="3" t="s">
        <v>22</v>
      </c>
      <c r="C3450" s="3">
        <v>498167</v>
      </c>
      <c r="D3450" s="3">
        <v>2777</v>
      </c>
      <c r="E3450" s="3" t="s">
        <v>23</v>
      </c>
    </row>
    <row r="3451" spans="1:5">
      <c r="A3451" s="3" t="s">
        <v>3472</v>
      </c>
      <c r="B3451" s="3" t="s">
        <v>22</v>
      </c>
      <c r="C3451" s="3">
        <v>2102894</v>
      </c>
      <c r="D3451" s="3">
        <v>722166</v>
      </c>
      <c r="E3451" s="3" t="s">
        <v>23</v>
      </c>
    </row>
    <row r="3452" spans="1:5">
      <c r="A3452" s="3" t="s">
        <v>3473</v>
      </c>
      <c r="B3452" s="3" t="s">
        <v>22</v>
      </c>
      <c r="C3452" s="3">
        <v>1011541</v>
      </c>
      <c r="D3452" s="3">
        <v>173140</v>
      </c>
      <c r="E3452" s="3" t="s">
        <v>23</v>
      </c>
    </row>
    <row r="3453" spans="1:5">
      <c r="A3453" s="3" t="s">
        <v>3474</v>
      </c>
      <c r="B3453" s="3" t="s">
        <v>22</v>
      </c>
      <c r="C3453" s="3">
        <v>514495</v>
      </c>
      <c r="D3453" s="3">
        <v>28448</v>
      </c>
      <c r="E3453" s="3" t="s">
        <v>23</v>
      </c>
    </row>
    <row r="3454" spans="1:5">
      <c r="A3454" s="3" t="s">
        <v>3475</v>
      </c>
      <c r="B3454" s="3" t="s">
        <v>22</v>
      </c>
      <c r="C3454" s="3">
        <v>1163194</v>
      </c>
      <c r="D3454" s="3">
        <v>300718</v>
      </c>
      <c r="E3454" s="3" t="s">
        <v>23</v>
      </c>
    </row>
    <row r="3455" spans="1:5">
      <c r="A3455" s="3" t="s">
        <v>3476</v>
      </c>
      <c r="B3455" s="3" t="s">
        <v>22</v>
      </c>
      <c r="C3455" s="3">
        <v>2179701</v>
      </c>
      <c r="D3455" s="3">
        <v>757502</v>
      </c>
      <c r="E3455" s="3" t="s">
        <v>23</v>
      </c>
    </row>
    <row r="3456" spans="1:5">
      <c r="A3456" s="3" t="s">
        <v>3477</v>
      </c>
      <c r="B3456" s="3" t="s">
        <v>22</v>
      </c>
      <c r="C3456" s="3">
        <v>758282</v>
      </c>
      <c r="D3456" s="3">
        <v>1758</v>
      </c>
      <c r="E3456" s="3" t="s">
        <v>23</v>
      </c>
    </row>
    <row r="3457" spans="1:5">
      <c r="A3457" s="3" t="s">
        <v>3478</v>
      </c>
      <c r="B3457" s="3" t="s">
        <v>22</v>
      </c>
      <c r="C3457" s="3">
        <v>903135</v>
      </c>
      <c r="D3457" s="3">
        <v>52123</v>
      </c>
      <c r="E3457" s="3" t="s">
        <v>23</v>
      </c>
    </row>
    <row r="3458" spans="1:5">
      <c r="A3458" s="3" t="s">
        <v>3479</v>
      </c>
      <c r="B3458" s="3" t="s">
        <v>22</v>
      </c>
      <c r="C3458" s="3">
        <v>1848349</v>
      </c>
      <c r="D3458" s="3">
        <v>581217</v>
      </c>
      <c r="E3458" s="3" t="s">
        <v>23</v>
      </c>
    </row>
    <row r="3459" spans="1:5">
      <c r="A3459" s="3" t="s">
        <v>3480</v>
      </c>
      <c r="B3459" s="3" t="s">
        <v>22</v>
      </c>
      <c r="C3459" s="3">
        <v>23931</v>
      </c>
      <c r="D3459" s="3">
        <v>6167</v>
      </c>
      <c r="E3459" s="3" t="s">
        <v>23</v>
      </c>
    </row>
    <row r="3460" spans="1:5">
      <c r="A3460" s="3" t="s">
        <v>3481</v>
      </c>
      <c r="B3460" s="3" t="s">
        <v>22</v>
      </c>
      <c r="C3460" s="3">
        <v>804210</v>
      </c>
      <c r="D3460" s="3">
        <v>121857</v>
      </c>
      <c r="E3460" s="3" t="s">
        <v>23</v>
      </c>
    </row>
    <row r="3461" spans="1:5">
      <c r="A3461" s="3" t="s">
        <v>3482</v>
      </c>
      <c r="B3461" s="3" t="s">
        <v>22</v>
      </c>
      <c r="C3461" s="3">
        <v>734195</v>
      </c>
      <c r="D3461" s="3">
        <v>549</v>
      </c>
      <c r="E3461" s="3" t="s">
        <v>23</v>
      </c>
    </row>
    <row r="3462" spans="1:5">
      <c r="A3462" s="3" t="s">
        <v>3483</v>
      </c>
      <c r="B3462" s="3" t="s">
        <v>22</v>
      </c>
      <c r="C3462" s="3">
        <v>2168360</v>
      </c>
      <c r="D3462" s="3">
        <v>826999</v>
      </c>
      <c r="E3462" s="3" t="s">
        <v>23</v>
      </c>
    </row>
    <row r="3463" spans="1:5">
      <c r="A3463" s="3" t="s">
        <v>3484</v>
      </c>
      <c r="B3463" s="3" t="s">
        <v>22</v>
      </c>
      <c r="C3463" s="3">
        <v>1938259</v>
      </c>
      <c r="D3463" s="3">
        <v>660911</v>
      </c>
      <c r="E3463" s="3" t="s">
        <v>23</v>
      </c>
    </row>
    <row r="3464" spans="1:5">
      <c r="A3464" s="3" t="s">
        <v>3485</v>
      </c>
      <c r="B3464" s="3" t="s">
        <v>22</v>
      </c>
      <c r="C3464" s="3">
        <v>1579505</v>
      </c>
      <c r="D3464" s="3">
        <v>507340</v>
      </c>
      <c r="E3464" s="3" t="s">
        <v>23</v>
      </c>
    </row>
    <row r="3465" spans="1:5">
      <c r="A3465" s="3" t="s">
        <v>3486</v>
      </c>
      <c r="B3465" s="3" t="s">
        <v>22</v>
      </c>
      <c r="C3465" s="3">
        <v>426597</v>
      </c>
      <c r="D3465" s="3">
        <v>2617</v>
      </c>
      <c r="E3465" s="3" t="s">
        <v>23</v>
      </c>
    </row>
    <row r="3466" spans="1:5">
      <c r="A3466" s="3" t="s">
        <v>3487</v>
      </c>
      <c r="B3466" s="3" t="s">
        <v>22</v>
      </c>
      <c r="C3466" s="3">
        <v>1917769</v>
      </c>
      <c r="D3466" s="3">
        <v>697957</v>
      </c>
      <c r="E3466" s="3" t="s">
        <v>23</v>
      </c>
    </row>
    <row r="3467" spans="1:5">
      <c r="A3467" s="3" t="s">
        <v>3488</v>
      </c>
      <c r="B3467" s="3" t="s">
        <v>22</v>
      </c>
      <c r="C3467" s="3">
        <v>925319</v>
      </c>
      <c r="D3467" s="3">
        <v>157434</v>
      </c>
      <c r="E3467" s="3" t="s">
        <v>23</v>
      </c>
    </row>
    <row r="3468" spans="1:5">
      <c r="A3468" s="3" t="s">
        <v>3489</v>
      </c>
      <c r="B3468" s="3" t="s">
        <v>22</v>
      </c>
      <c r="C3468" s="3">
        <v>1234056</v>
      </c>
      <c r="D3468" s="3">
        <v>290619</v>
      </c>
      <c r="E3468" s="3" t="s">
        <v>23</v>
      </c>
    </row>
    <row r="3469" spans="1:5">
      <c r="A3469" s="3" t="s">
        <v>3490</v>
      </c>
      <c r="B3469" s="3" t="s">
        <v>22</v>
      </c>
      <c r="C3469" s="3">
        <v>1507864</v>
      </c>
      <c r="D3469" s="3">
        <v>485042</v>
      </c>
      <c r="E3469" s="3" t="s">
        <v>23</v>
      </c>
    </row>
    <row r="3470" spans="1:5">
      <c r="A3470" s="3" t="s">
        <v>3491</v>
      </c>
      <c r="B3470" s="3" t="s">
        <v>22</v>
      </c>
      <c r="C3470" s="3">
        <v>2040820</v>
      </c>
      <c r="D3470" s="3">
        <v>672856</v>
      </c>
      <c r="E3470" s="3" t="s">
        <v>23</v>
      </c>
    </row>
    <row r="3471" spans="1:5">
      <c r="A3471" s="3" t="s">
        <v>3492</v>
      </c>
      <c r="B3471" s="3" t="s">
        <v>22</v>
      </c>
      <c r="C3471" s="3">
        <v>78595</v>
      </c>
      <c r="D3471" s="3">
        <v>18005</v>
      </c>
      <c r="E3471" s="3" t="s">
        <v>23</v>
      </c>
    </row>
    <row r="3472" spans="1:5">
      <c r="A3472" s="3" t="s">
        <v>3493</v>
      </c>
      <c r="B3472" s="3" t="s">
        <v>22</v>
      </c>
      <c r="C3472" s="3">
        <v>891198</v>
      </c>
      <c r="D3472" s="3">
        <v>76694</v>
      </c>
      <c r="E3472" s="3" t="s">
        <v>23</v>
      </c>
    </row>
    <row r="3473" spans="1:5">
      <c r="A3473" s="3" t="s">
        <v>3494</v>
      </c>
      <c r="B3473" s="3" t="s">
        <v>22</v>
      </c>
      <c r="C3473" s="3">
        <v>1501922</v>
      </c>
      <c r="D3473" s="3">
        <v>274452</v>
      </c>
      <c r="E3473" s="3" t="s">
        <v>23</v>
      </c>
    </row>
    <row r="3474" spans="1:5">
      <c r="A3474" s="3" t="s">
        <v>3495</v>
      </c>
      <c r="B3474" s="3" t="s">
        <v>22</v>
      </c>
      <c r="C3474" s="3">
        <v>2552332</v>
      </c>
      <c r="D3474" s="3">
        <v>973468</v>
      </c>
      <c r="E3474" s="3" t="s">
        <v>23</v>
      </c>
    </row>
    <row r="3475" spans="1:5">
      <c r="A3475" s="3" t="s">
        <v>3496</v>
      </c>
      <c r="B3475" s="3" t="s">
        <v>22</v>
      </c>
      <c r="C3475" s="3">
        <v>1343199</v>
      </c>
      <c r="D3475" s="3">
        <v>174087</v>
      </c>
      <c r="E3475" s="3" t="s">
        <v>23</v>
      </c>
    </row>
    <row r="3476" spans="1:5">
      <c r="A3476" s="3" t="s">
        <v>3497</v>
      </c>
      <c r="B3476" s="3" t="s">
        <v>22</v>
      </c>
      <c r="C3476" s="3">
        <v>739602</v>
      </c>
      <c r="D3476" s="3">
        <v>42571</v>
      </c>
      <c r="E3476" s="3" t="s">
        <v>23</v>
      </c>
    </row>
    <row r="3477" spans="1:5">
      <c r="A3477" s="3" t="s">
        <v>3498</v>
      </c>
      <c r="B3477" s="3" t="s">
        <v>22</v>
      </c>
      <c r="C3477" s="3">
        <v>555761</v>
      </c>
      <c r="D3477" s="3">
        <v>2571</v>
      </c>
      <c r="E3477" s="3" t="s">
        <v>23</v>
      </c>
    </row>
    <row r="3478" spans="1:5">
      <c r="A3478" s="3" t="s">
        <v>3499</v>
      </c>
      <c r="B3478" s="3" t="s">
        <v>22</v>
      </c>
      <c r="C3478" s="3">
        <v>1966634</v>
      </c>
      <c r="D3478" s="3">
        <v>625383</v>
      </c>
      <c r="E3478" s="3" t="s">
        <v>23</v>
      </c>
    </row>
    <row r="3479" spans="1:5">
      <c r="A3479" s="3" t="s">
        <v>3500</v>
      </c>
      <c r="B3479" s="3" t="s">
        <v>22</v>
      </c>
      <c r="C3479" s="3">
        <v>2268978</v>
      </c>
      <c r="D3479" s="3">
        <v>782820</v>
      </c>
      <c r="E3479" s="3" t="s">
        <v>23</v>
      </c>
    </row>
    <row r="3480" spans="1:5">
      <c r="A3480" s="3" t="s">
        <v>3501</v>
      </c>
      <c r="B3480" s="3" t="s">
        <v>22</v>
      </c>
      <c r="C3480" s="3">
        <v>2191460</v>
      </c>
      <c r="D3480" s="3">
        <v>783010</v>
      </c>
      <c r="E3480" s="3" t="s">
        <v>23</v>
      </c>
    </row>
    <row r="3481" spans="1:5">
      <c r="A3481" s="3" t="s">
        <v>3502</v>
      </c>
      <c r="B3481" s="3" t="s">
        <v>22</v>
      </c>
      <c r="C3481" s="3">
        <v>17515</v>
      </c>
      <c r="D3481" s="3">
        <v>315</v>
      </c>
      <c r="E3481" s="3" t="s">
        <v>23</v>
      </c>
    </row>
    <row r="3482" spans="1:5">
      <c r="A3482" s="3" t="s">
        <v>3503</v>
      </c>
      <c r="B3482" s="3" t="s">
        <v>22</v>
      </c>
      <c r="C3482" s="3">
        <v>1122753</v>
      </c>
      <c r="D3482" s="3">
        <v>262934</v>
      </c>
      <c r="E3482" s="3" t="s">
        <v>23</v>
      </c>
    </row>
    <row r="3483" spans="1:5">
      <c r="A3483" s="3" t="s">
        <v>3504</v>
      </c>
      <c r="B3483" s="3" t="s">
        <v>22</v>
      </c>
      <c r="C3483" s="3">
        <v>1704370</v>
      </c>
      <c r="D3483" s="3">
        <v>477865</v>
      </c>
      <c r="E3483" s="3" t="s">
        <v>23</v>
      </c>
    </row>
    <row r="3484" spans="1:5">
      <c r="A3484" s="3" t="s">
        <v>3505</v>
      </c>
      <c r="B3484" s="3" t="s">
        <v>22</v>
      </c>
      <c r="C3484" s="3">
        <v>1616178</v>
      </c>
      <c r="D3484" s="3">
        <v>316074</v>
      </c>
      <c r="E3484" s="3" t="s">
        <v>23</v>
      </c>
    </row>
    <row r="3485" spans="1:5">
      <c r="A3485" s="3" t="s">
        <v>3506</v>
      </c>
      <c r="B3485" s="3" t="s">
        <v>22</v>
      </c>
      <c r="C3485" s="3">
        <v>1341366</v>
      </c>
      <c r="D3485" s="3">
        <v>147003</v>
      </c>
      <c r="E3485" s="3" t="s">
        <v>23</v>
      </c>
    </row>
    <row r="3486" spans="1:5">
      <c r="A3486" s="3" t="s">
        <v>3507</v>
      </c>
      <c r="B3486" s="3" t="s">
        <v>22</v>
      </c>
      <c r="C3486" s="3">
        <v>1864260</v>
      </c>
      <c r="D3486" s="3">
        <v>656210</v>
      </c>
      <c r="E3486" s="3" t="s">
        <v>23</v>
      </c>
    </row>
    <row r="3487" spans="1:5">
      <c r="A3487" s="3" t="s">
        <v>3508</v>
      </c>
      <c r="B3487" s="3" t="s">
        <v>22</v>
      </c>
      <c r="C3487" s="3">
        <v>2458546</v>
      </c>
      <c r="D3487" s="3">
        <v>925248</v>
      </c>
      <c r="E3487" s="3" t="s">
        <v>23</v>
      </c>
    </row>
    <row r="3488" spans="1:5">
      <c r="A3488" s="3" t="s">
        <v>3509</v>
      </c>
      <c r="B3488" s="3" t="s">
        <v>22</v>
      </c>
      <c r="C3488" s="3">
        <v>1362054</v>
      </c>
      <c r="D3488" s="3">
        <v>243079</v>
      </c>
      <c r="E3488" s="3" t="s">
        <v>23</v>
      </c>
    </row>
    <row r="3489" spans="1:5">
      <c r="A3489" s="3" t="s">
        <v>3510</v>
      </c>
      <c r="B3489" s="3" t="s">
        <v>22</v>
      </c>
      <c r="C3489" s="3">
        <v>1429451</v>
      </c>
      <c r="D3489" s="3">
        <v>318754</v>
      </c>
      <c r="E3489" s="3" t="s">
        <v>23</v>
      </c>
    </row>
    <row r="3490" spans="1:5">
      <c r="A3490" s="3" t="s">
        <v>3511</v>
      </c>
      <c r="B3490" s="3" t="s">
        <v>22</v>
      </c>
      <c r="C3490" s="3">
        <v>1767258</v>
      </c>
      <c r="D3490" s="3">
        <v>457477</v>
      </c>
      <c r="E3490" s="3" t="s">
        <v>23</v>
      </c>
    </row>
    <row r="3491" spans="1:5">
      <c r="A3491" s="3" t="s">
        <v>3512</v>
      </c>
      <c r="B3491" s="3" t="s">
        <v>22</v>
      </c>
      <c r="C3491" s="3">
        <v>954613</v>
      </c>
      <c r="D3491" s="3">
        <v>161965</v>
      </c>
      <c r="E3491" s="3" t="s">
        <v>23</v>
      </c>
    </row>
    <row r="3492" spans="1:5">
      <c r="A3492" s="3" t="s">
        <v>3513</v>
      </c>
      <c r="B3492" s="3" t="s">
        <v>22</v>
      </c>
      <c r="C3492" s="3">
        <v>2517749</v>
      </c>
      <c r="D3492" s="3">
        <v>895927</v>
      </c>
      <c r="E3492" s="3" t="s">
        <v>23</v>
      </c>
    </row>
    <row r="3493" spans="1:5">
      <c r="A3493" s="3" t="s">
        <v>3514</v>
      </c>
      <c r="B3493" s="3" t="s">
        <v>22</v>
      </c>
      <c r="C3493" s="3">
        <v>1420567</v>
      </c>
      <c r="D3493" s="3">
        <v>234015</v>
      </c>
      <c r="E3493" s="3" t="s">
        <v>23</v>
      </c>
    </row>
    <row r="3494" spans="1:5">
      <c r="A3494" s="3" t="s">
        <v>3515</v>
      </c>
      <c r="B3494" s="3" t="s">
        <v>22</v>
      </c>
      <c r="C3494" s="3">
        <v>752085</v>
      </c>
      <c r="D3494" s="3">
        <v>29456</v>
      </c>
      <c r="E3494" s="3" t="s">
        <v>23</v>
      </c>
    </row>
    <row r="3495" spans="1:5">
      <c r="A3495" s="3" t="s">
        <v>3516</v>
      </c>
      <c r="B3495" s="3" t="s">
        <v>22</v>
      </c>
      <c r="C3495" s="3">
        <v>1926154</v>
      </c>
      <c r="D3495" s="3">
        <v>356932</v>
      </c>
      <c r="E3495" s="3" t="s">
        <v>23</v>
      </c>
    </row>
    <row r="3496" spans="1:5">
      <c r="A3496" s="3" t="s">
        <v>3517</v>
      </c>
      <c r="B3496" s="3" t="s">
        <v>22</v>
      </c>
      <c r="C3496" s="3">
        <v>2245776</v>
      </c>
      <c r="D3496" s="3">
        <v>700402</v>
      </c>
      <c r="E3496" s="3" t="s">
        <v>23</v>
      </c>
    </row>
    <row r="3497" spans="1:5">
      <c r="A3497" s="3" t="s">
        <v>3518</v>
      </c>
      <c r="B3497" s="3" t="s">
        <v>22</v>
      </c>
      <c r="C3497" s="3">
        <v>626736</v>
      </c>
      <c r="D3497" s="3">
        <v>4591</v>
      </c>
      <c r="E3497" s="3" t="s">
        <v>23</v>
      </c>
    </row>
    <row r="3498" spans="1:5">
      <c r="A3498" s="3" t="s">
        <v>3519</v>
      </c>
      <c r="B3498" s="3" t="s">
        <v>22</v>
      </c>
      <c r="C3498" s="3">
        <v>25649</v>
      </c>
      <c r="D3498" s="3">
        <v>5927</v>
      </c>
      <c r="E3498" s="3" t="s">
        <v>23</v>
      </c>
    </row>
    <row r="3499" spans="1:5">
      <c r="A3499" s="3" t="s">
        <v>3520</v>
      </c>
      <c r="B3499" s="3" t="s">
        <v>22</v>
      </c>
      <c r="C3499" s="3">
        <v>1694732</v>
      </c>
      <c r="D3499" s="3">
        <v>327800</v>
      </c>
      <c r="E3499" s="3" t="s">
        <v>23</v>
      </c>
    </row>
    <row r="3500" spans="1:5">
      <c r="A3500" s="3" t="s">
        <v>3521</v>
      </c>
      <c r="B3500" s="3" t="s">
        <v>22</v>
      </c>
      <c r="C3500" s="3">
        <v>663076</v>
      </c>
      <c r="D3500" s="3">
        <v>16962</v>
      </c>
      <c r="E3500" s="3" t="s">
        <v>23</v>
      </c>
    </row>
    <row r="3501" spans="1:5">
      <c r="A3501" s="3" t="s">
        <v>3522</v>
      </c>
      <c r="B3501" s="3" t="s">
        <v>22</v>
      </c>
      <c r="C3501" s="3">
        <v>483696</v>
      </c>
      <c r="D3501" s="3">
        <v>1924</v>
      </c>
      <c r="E3501" s="3" t="s">
        <v>23</v>
      </c>
    </row>
    <row r="3502" spans="1:5">
      <c r="A3502" s="3" t="s">
        <v>3523</v>
      </c>
      <c r="B3502" s="3" t="s">
        <v>22</v>
      </c>
      <c r="C3502" s="3">
        <v>1686626</v>
      </c>
      <c r="D3502" s="3">
        <v>467062</v>
      </c>
      <c r="E3502" s="3" t="s">
        <v>23</v>
      </c>
    </row>
    <row r="3503" spans="1:5">
      <c r="A3503" s="3" t="s">
        <v>3524</v>
      </c>
      <c r="B3503" s="3" t="s">
        <v>22</v>
      </c>
      <c r="C3503" s="3">
        <v>1664282</v>
      </c>
      <c r="D3503" s="3">
        <v>474065</v>
      </c>
      <c r="E3503" s="3" t="s">
        <v>23</v>
      </c>
    </row>
    <row r="3504" spans="1:5">
      <c r="A3504" s="3" t="s">
        <v>3525</v>
      </c>
      <c r="B3504" s="3" t="s">
        <v>22</v>
      </c>
      <c r="C3504" s="3">
        <v>2140491</v>
      </c>
      <c r="D3504" s="3">
        <v>479769</v>
      </c>
      <c r="E3504" s="3" t="s">
        <v>23</v>
      </c>
    </row>
    <row r="3505" spans="1:5">
      <c r="A3505" s="3" t="s">
        <v>3526</v>
      </c>
      <c r="B3505" s="3" t="s">
        <v>22</v>
      </c>
      <c r="C3505" s="3">
        <v>1558968</v>
      </c>
      <c r="D3505" s="3">
        <v>310953</v>
      </c>
      <c r="E3505" s="3" t="s">
        <v>23</v>
      </c>
    </row>
    <row r="3506" spans="1:5">
      <c r="A3506" s="3" t="s">
        <v>3527</v>
      </c>
      <c r="B3506" s="3" t="s">
        <v>22</v>
      </c>
      <c r="C3506" s="3">
        <v>1388013</v>
      </c>
      <c r="D3506" s="3">
        <v>85529</v>
      </c>
      <c r="E3506" s="3" t="s">
        <v>23</v>
      </c>
    </row>
    <row r="3507" spans="1:5">
      <c r="A3507" s="3" t="s">
        <v>3528</v>
      </c>
      <c r="B3507" s="3" t="s">
        <v>22</v>
      </c>
      <c r="C3507" s="3">
        <v>676193</v>
      </c>
      <c r="D3507" s="3">
        <v>7648</v>
      </c>
      <c r="E3507" s="3" t="s">
        <v>23</v>
      </c>
    </row>
    <row r="3508" spans="1:5">
      <c r="A3508" s="3" t="s">
        <v>3529</v>
      </c>
      <c r="B3508" s="3" t="s">
        <v>22</v>
      </c>
      <c r="C3508" s="3">
        <v>544682</v>
      </c>
      <c r="D3508" s="3">
        <v>2014</v>
      </c>
      <c r="E3508" s="3" t="s">
        <v>23</v>
      </c>
    </row>
    <row r="3509" spans="1:5">
      <c r="A3509" s="3" t="s">
        <v>3530</v>
      </c>
      <c r="B3509" s="3" t="s">
        <v>22</v>
      </c>
      <c r="C3509" s="3">
        <v>1413058</v>
      </c>
      <c r="D3509" s="3">
        <v>232407</v>
      </c>
      <c r="E3509" s="3" t="s">
        <v>23</v>
      </c>
    </row>
    <row r="3510" spans="1:5">
      <c r="A3510" s="3" t="s">
        <v>3531</v>
      </c>
      <c r="B3510" s="3" t="s">
        <v>22</v>
      </c>
      <c r="C3510" s="3">
        <v>1273238</v>
      </c>
      <c r="D3510" s="3">
        <v>227672</v>
      </c>
      <c r="E3510" s="3" t="s">
        <v>23</v>
      </c>
    </row>
    <row r="3511" spans="1:5">
      <c r="A3511" s="3" t="s">
        <v>3532</v>
      </c>
      <c r="B3511" s="3" t="s">
        <v>22</v>
      </c>
      <c r="C3511" s="3">
        <v>1355751</v>
      </c>
      <c r="D3511" s="3">
        <v>263144</v>
      </c>
      <c r="E3511" s="3" t="s">
        <v>23</v>
      </c>
    </row>
    <row r="3512" spans="1:5">
      <c r="A3512" s="3" t="s">
        <v>3533</v>
      </c>
      <c r="B3512" s="3" t="s">
        <v>22</v>
      </c>
      <c r="C3512" s="3">
        <v>1001749</v>
      </c>
      <c r="D3512" s="3">
        <v>65080</v>
      </c>
      <c r="E3512" s="3" t="s">
        <v>23</v>
      </c>
    </row>
    <row r="3513" spans="1:5">
      <c r="A3513" s="3" t="s">
        <v>3534</v>
      </c>
      <c r="B3513" s="3" t="s">
        <v>22</v>
      </c>
      <c r="C3513" s="3">
        <v>847976</v>
      </c>
      <c r="D3513" s="3">
        <v>54250</v>
      </c>
      <c r="E3513" s="3" t="s">
        <v>23</v>
      </c>
    </row>
    <row r="3514" spans="1:5">
      <c r="A3514" s="3" t="s">
        <v>3535</v>
      </c>
      <c r="B3514" s="3" t="s">
        <v>22</v>
      </c>
      <c r="C3514" s="3">
        <v>1428365</v>
      </c>
      <c r="D3514" s="3">
        <v>346887</v>
      </c>
      <c r="E3514" s="3" t="s">
        <v>23</v>
      </c>
    </row>
    <row r="3515" spans="1:5">
      <c r="A3515" s="3" t="s">
        <v>3536</v>
      </c>
      <c r="B3515" s="3" t="s">
        <v>22</v>
      </c>
      <c r="C3515" s="3">
        <v>2109183</v>
      </c>
      <c r="D3515" s="3">
        <v>676992</v>
      </c>
      <c r="E3515" s="3" t="s">
        <v>23</v>
      </c>
    </row>
    <row r="3516" spans="1:5">
      <c r="A3516" s="3" t="s">
        <v>3537</v>
      </c>
      <c r="B3516" s="3" t="s">
        <v>22</v>
      </c>
      <c r="C3516" s="3">
        <v>1787777</v>
      </c>
      <c r="D3516" s="3">
        <v>633802</v>
      </c>
      <c r="E3516" s="3" t="s">
        <v>23</v>
      </c>
    </row>
    <row r="3517" spans="1:5">
      <c r="A3517" s="3" t="s">
        <v>3538</v>
      </c>
      <c r="B3517" s="3" t="s">
        <v>22</v>
      </c>
      <c r="C3517" s="3">
        <v>1234780</v>
      </c>
      <c r="D3517" s="3">
        <v>198325</v>
      </c>
      <c r="E3517" s="3" t="s">
        <v>23</v>
      </c>
    </row>
    <row r="3518" spans="1:5">
      <c r="A3518" s="3" t="s">
        <v>3539</v>
      </c>
      <c r="B3518" s="3" t="s">
        <v>22</v>
      </c>
      <c r="C3518" s="3">
        <v>2121147</v>
      </c>
      <c r="D3518" s="3">
        <v>763869</v>
      </c>
      <c r="E3518" s="3" t="s">
        <v>23</v>
      </c>
    </row>
    <row r="3519" spans="1:5">
      <c r="A3519" s="3" t="s">
        <v>3540</v>
      </c>
      <c r="B3519" s="3" t="s">
        <v>22</v>
      </c>
      <c r="C3519" s="3">
        <v>1491727</v>
      </c>
      <c r="D3519" s="3">
        <v>338014</v>
      </c>
      <c r="E3519" s="3" t="s">
        <v>23</v>
      </c>
    </row>
    <row r="3520" spans="1:5">
      <c r="A3520" s="3" t="s">
        <v>3541</v>
      </c>
      <c r="B3520" s="3" t="s">
        <v>22</v>
      </c>
      <c r="C3520" s="3">
        <v>1455615</v>
      </c>
      <c r="D3520" s="3">
        <v>304591</v>
      </c>
      <c r="E3520" s="3" t="s">
        <v>23</v>
      </c>
    </row>
    <row r="3521" spans="1:5">
      <c r="A3521" s="3" t="s">
        <v>3542</v>
      </c>
      <c r="B3521" s="3" t="s">
        <v>22</v>
      </c>
      <c r="C3521" s="3">
        <v>1999728</v>
      </c>
      <c r="D3521" s="3">
        <v>678322</v>
      </c>
      <c r="E3521" s="3" t="s">
        <v>23</v>
      </c>
    </row>
    <row r="3522" spans="1:5">
      <c r="A3522" s="3" t="s">
        <v>3543</v>
      </c>
      <c r="B3522" s="3" t="s">
        <v>22</v>
      </c>
      <c r="C3522" s="3">
        <v>997537</v>
      </c>
      <c r="D3522" s="3">
        <v>138119</v>
      </c>
      <c r="E3522" s="3" t="s">
        <v>23</v>
      </c>
    </row>
    <row r="3523" spans="1:5">
      <c r="A3523" s="3" t="s">
        <v>3544</v>
      </c>
      <c r="B3523" s="3" t="s">
        <v>22</v>
      </c>
      <c r="C3523" s="3">
        <v>1881882</v>
      </c>
      <c r="D3523" s="3">
        <v>464012</v>
      </c>
      <c r="E3523" s="3" t="s">
        <v>23</v>
      </c>
    </row>
    <row r="3524" spans="1:5">
      <c r="A3524" s="3" t="s">
        <v>3545</v>
      </c>
      <c r="B3524" s="3" t="s">
        <v>22</v>
      </c>
      <c r="C3524" s="3">
        <v>1810900</v>
      </c>
      <c r="D3524" s="3">
        <v>471140</v>
      </c>
      <c r="E3524" s="3" t="s">
        <v>23</v>
      </c>
    </row>
    <row r="3525" spans="1:5">
      <c r="A3525" s="3" t="s">
        <v>3546</v>
      </c>
      <c r="B3525" s="3" t="s">
        <v>22</v>
      </c>
      <c r="C3525" s="3">
        <v>893084</v>
      </c>
      <c r="D3525" s="3">
        <v>9797</v>
      </c>
      <c r="E3525" s="3" t="s">
        <v>23</v>
      </c>
    </row>
    <row r="3526" spans="1:5">
      <c r="A3526" s="3" t="s">
        <v>3547</v>
      </c>
      <c r="B3526" s="3" t="s">
        <v>22</v>
      </c>
      <c r="C3526" s="3">
        <v>1766888</v>
      </c>
      <c r="D3526" s="3">
        <v>556196</v>
      </c>
      <c r="E3526" s="3" t="s">
        <v>23</v>
      </c>
    </row>
    <row r="3527" spans="1:5">
      <c r="A3527" s="3" t="s">
        <v>3548</v>
      </c>
      <c r="B3527" s="3" t="s">
        <v>22</v>
      </c>
      <c r="C3527" s="3">
        <v>1248124</v>
      </c>
      <c r="D3527" s="3">
        <v>276859</v>
      </c>
      <c r="E3527" s="3" t="s">
        <v>23</v>
      </c>
    </row>
    <row r="3528" spans="1:5">
      <c r="A3528" s="3" t="s">
        <v>3549</v>
      </c>
      <c r="B3528" s="3" t="s">
        <v>22</v>
      </c>
      <c r="C3528" s="3">
        <v>1361543</v>
      </c>
      <c r="D3528" s="3">
        <v>290583</v>
      </c>
      <c r="E3528" s="3" t="s">
        <v>23</v>
      </c>
    </row>
    <row r="3529" spans="1:5">
      <c r="A3529" s="3" t="s">
        <v>3550</v>
      </c>
      <c r="B3529" s="3" t="s">
        <v>22</v>
      </c>
      <c r="C3529" s="3">
        <v>1133711</v>
      </c>
      <c r="D3529" s="3">
        <v>132536</v>
      </c>
      <c r="E3529" s="3" t="s">
        <v>23</v>
      </c>
    </row>
    <row r="3530" spans="1:5">
      <c r="A3530" s="3" t="s">
        <v>3551</v>
      </c>
      <c r="B3530" s="3" t="s">
        <v>22</v>
      </c>
      <c r="C3530" s="3">
        <v>1251357</v>
      </c>
      <c r="D3530" s="3">
        <v>180827</v>
      </c>
      <c r="E3530" s="3" t="s">
        <v>23</v>
      </c>
    </row>
    <row r="3531" spans="1:5">
      <c r="A3531" s="3" t="s">
        <v>3552</v>
      </c>
      <c r="B3531" s="3" t="s">
        <v>22</v>
      </c>
      <c r="C3531" s="3">
        <v>949531</v>
      </c>
      <c r="D3531" s="3">
        <v>84773</v>
      </c>
      <c r="E3531" s="3" t="s">
        <v>23</v>
      </c>
    </row>
    <row r="3532" spans="1:5">
      <c r="A3532" s="3" t="s">
        <v>3553</v>
      </c>
      <c r="B3532" s="3" t="s">
        <v>22</v>
      </c>
      <c r="C3532" s="3">
        <v>887554</v>
      </c>
      <c r="D3532" s="3">
        <v>138287</v>
      </c>
      <c r="E3532" s="3" t="s">
        <v>23</v>
      </c>
    </row>
    <row r="3533" spans="1:5">
      <c r="A3533" s="3" t="s">
        <v>3554</v>
      </c>
      <c r="B3533" s="3" t="s">
        <v>22</v>
      </c>
      <c r="C3533" s="3">
        <v>1934692</v>
      </c>
      <c r="D3533" s="3">
        <v>623782</v>
      </c>
      <c r="E3533" s="3" t="s">
        <v>23</v>
      </c>
    </row>
    <row r="3534" spans="1:5">
      <c r="A3534" s="3" t="s">
        <v>3555</v>
      </c>
      <c r="B3534" s="3" t="s">
        <v>22</v>
      </c>
      <c r="C3534" s="3">
        <v>989265</v>
      </c>
      <c r="D3534" s="3">
        <v>101473</v>
      </c>
      <c r="E3534" s="3" t="s">
        <v>23</v>
      </c>
    </row>
    <row r="3535" spans="1:5">
      <c r="A3535" s="3" t="s">
        <v>3556</v>
      </c>
      <c r="B3535" s="3" t="s">
        <v>22</v>
      </c>
      <c r="C3535" s="3">
        <v>721978</v>
      </c>
      <c r="D3535" s="3">
        <v>145071</v>
      </c>
      <c r="E3535" s="3" t="s">
        <v>23</v>
      </c>
    </row>
    <row r="3536" spans="1:5">
      <c r="A3536" s="3" t="s">
        <v>3557</v>
      </c>
      <c r="B3536" s="3" t="s">
        <v>22</v>
      </c>
      <c r="C3536" s="3">
        <v>1179660</v>
      </c>
      <c r="D3536" s="3">
        <v>323880</v>
      </c>
      <c r="E3536" s="3" t="s">
        <v>23</v>
      </c>
    </row>
    <row r="3537" spans="1:5">
      <c r="A3537" s="3" t="s">
        <v>3558</v>
      </c>
      <c r="B3537" s="3" t="s">
        <v>22</v>
      </c>
      <c r="C3537" s="3">
        <v>1390043</v>
      </c>
      <c r="D3537" s="3">
        <v>375646</v>
      </c>
      <c r="E3537" s="3" t="s">
        <v>23</v>
      </c>
    </row>
    <row r="3538" spans="1:5">
      <c r="A3538" s="3" t="s">
        <v>3559</v>
      </c>
      <c r="B3538" s="3" t="s">
        <v>22</v>
      </c>
      <c r="C3538" s="3">
        <v>774032</v>
      </c>
      <c r="D3538" s="3">
        <v>116953</v>
      </c>
      <c r="E3538" s="3" t="s">
        <v>23</v>
      </c>
    </row>
    <row r="3539" spans="1:5">
      <c r="A3539" s="3" t="s">
        <v>3560</v>
      </c>
      <c r="B3539" s="3" t="s">
        <v>22</v>
      </c>
      <c r="C3539" s="3">
        <v>533160</v>
      </c>
      <c r="D3539" s="3">
        <v>46353</v>
      </c>
      <c r="E3539" s="3" t="s">
        <v>23</v>
      </c>
    </row>
    <row r="3540" spans="1:5">
      <c r="A3540" s="3" t="s">
        <v>3561</v>
      </c>
      <c r="B3540" s="3" t="s">
        <v>22</v>
      </c>
      <c r="C3540" s="3">
        <v>917639</v>
      </c>
      <c r="D3540" s="3">
        <v>195909</v>
      </c>
      <c r="E3540" s="3" t="s">
        <v>23</v>
      </c>
    </row>
    <row r="3541" spans="1:5">
      <c r="A3541" s="3" t="s">
        <v>3562</v>
      </c>
      <c r="B3541" s="3" t="s">
        <v>22</v>
      </c>
      <c r="C3541" s="3">
        <v>1404551</v>
      </c>
      <c r="D3541" s="3">
        <v>444210</v>
      </c>
      <c r="E3541" s="3" t="s">
        <v>23</v>
      </c>
    </row>
    <row r="3542" spans="1:5">
      <c r="A3542" s="3" t="s">
        <v>3563</v>
      </c>
      <c r="B3542" s="3" t="s">
        <v>22</v>
      </c>
      <c r="C3542" s="3">
        <v>325252</v>
      </c>
      <c r="D3542" s="3">
        <v>9745</v>
      </c>
      <c r="E3542" s="3" t="s">
        <v>23</v>
      </c>
    </row>
    <row r="3543" spans="1:5">
      <c r="A3543" s="3" t="s">
        <v>3564</v>
      </c>
      <c r="B3543" s="3" t="s">
        <v>22</v>
      </c>
      <c r="C3543" s="3">
        <v>344930</v>
      </c>
      <c r="D3543" s="3">
        <v>11058</v>
      </c>
      <c r="E3543" s="3" t="s">
        <v>23</v>
      </c>
    </row>
    <row r="3544" spans="1:5">
      <c r="A3544" s="3" t="s">
        <v>3565</v>
      </c>
      <c r="B3544" s="3" t="s">
        <v>22</v>
      </c>
      <c r="C3544" s="3">
        <v>1094137</v>
      </c>
      <c r="D3544" s="3">
        <v>247771</v>
      </c>
      <c r="E3544" s="3" t="s">
        <v>23</v>
      </c>
    </row>
    <row r="3545" spans="1:5">
      <c r="A3545" s="3" t="s">
        <v>3566</v>
      </c>
      <c r="B3545" s="3" t="s">
        <v>22</v>
      </c>
      <c r="C3545" s="3">
        <v>771424</v>
      </c>
      <c r="D3545" s="3">
        <v>156767</v>
      </c>
      <c r="E3545" s="3" t="s">
        <v>23</v>
      </c>
    </row>
    <row r="3546" spans="1:5">
      <c r="A3546" s="3" t="s">
        <v>3567</v>
      </c>
      <c r="B3546" s="3" t="s">
        <v>22</v>
      </c>
      <c r="C3546" s="3">
        <v>983897</v>
      </c>
      <c r="D3546" s="3">
        <v>241665</v>
      </c>
      <c r="E3546" s="3" t="s">
        <v>23</v>
      </c>
    </row>
    <row r="3547" spans="1:5">
      <c r="A3547" s="3" t="s">
        <v>3568</v>
      </c>
      <c r="B3547" s="3" t="s">
        <v>22</v>
      </c>
      <c r="C3547" s="3">
        <v>668743</v>
      </c>
      <c r="D3547" s="3">
        <v>103610</v>
      </c>
      <c r="E3547" s="3" t="s">
        <v>23</v>
      </c>
    </row>
    <row r="3548" spans="1:5">
      <c r="A3548" s="3" t="s">
        <v>3569</v>
      </c>
      <c r="B3548" s="3" t="s">
        <v>22</v>
      </c>
      <c r="C3548" s="3">
        <v>819975</v>
      </c>
      <c r="D3548" s="3">
        <v>163968</v>
      </c>
      <c r="E3548" s="3" t="s">
        <v>23</v>
      </c>
    </row>
    <row r="3549" spans="1:5">
      <c r="A3549" s="3" t="s">
        <v>3570</v>
      </c>
      <c r="B3549" s="3" t="s">
        <v>22</v>
      </c>
      <c r="C3549" s="3">
        <v>262413</v>
      </c>
      <c r="D3549" s="3">
        <v>427</v>
      </c>
      <c r="E3549" s="3" t="s">
        <v>23</v>
      </c>
    </row>
    <row r="3550" spans="1:5">
      <c r="A3550" s="3" t="s">
        <v>3571</v>
      </c>
      <c r="B3550" s="3" t="s">
        <v>22</v>
      </c>
      <c r="C3550" s="3">
        <v>350904</v>
      </c>
      <c r="D3550" s="3">
        <v>3906</v>
      </c>
      <c r="E3550" s="3" t="s">
        <v>23</v>
      </c>
    </row>
    <row r="3551" spans="1:5">
      <c r="A3551" s="3" t="s">
        <v>3572</v>
      </c>
      <c r="B3551" s="3" t="s">
        <v>22</v>
      </c>
      <c r="C3551" s="3">
        <v>1002220</v>
      </c>
      <c r="D3551" s="3">
        <v>235209</v>
      </c>
      <c r="E3551" s="3" t="s">
        <v>23</v>
      </c>
    </row>
    <row r="3552" spans="1:5">
      <c r="A3552" s="3" t="s">
        <v>3573</v>
      </c>
      <c r="B3552" s="3" t="s">
        <v>22</v>
      </c>
      <c r="C3552" s="3">
        <v>906869</v>
      </c>
      <c r="D3552" s="3">
        <v>217765</v>
      </c>
      <c r="E3552" s="3" t="s">
        <v>23</v>
      </c>
    </row>
    <row r="3553" spans="1:5">
      <c r="A3553" s="3" t="s">
        <v>3574</v>
      </c>
      <c r="B3553" s="3" t="s">
        <v>22</v>
      </c>
      <c r="C3553" s="3">
        <v>1193490</v>
      </c>
      <c r="D3553" s="3">
        <v>329808</v>
      </c>
      <c r="E3553" s="3" t="s">
        <v>23</v>
      </c>
    </row>
    <row r="3554" spans="1:5">
      <c r="A3554" s="3" t="s">
        <v>3575</v>
      </c>
      <c r="B3554" s="3" t="s">
        <v>22</v>
      </c>
      <c r="C3554" s="3">
        <v>263049</v>
      </c>
      <c r="D3554" s="3">
        <v>282</v>
      </c>
      <c r="E3554" s="3" t="s">
        <v>23</v>
      </c>
    </row>
    <row r="3555" spans="1:5">
      <c r="A3555" s="3" t="s">
        <v>3576</v>
      </c>
      <c r="B3555" s="3" t="s">
        <v>22</v>
      </c>
      <c r="C3555" s="3">
        <v>1418589</v>
      </c>
      <c r="D3555" s="3">
        <v>352738</v>
      </c>
      <c r="E3555" s="3" t="s">
        <v>23</v>
      </c>
    </row>
    <row r="3556" spans="1:5">
      <c r="A3556" s="3" t="s">
        <v>3577</v>
      </c>
      <c r="B3556" s="3" t="s">
        <v>22</v>
      </c>
      <c r="C3556" s="3">
        <v>305072</v>
      </c>
      <c r="D3556" s="3">
        <v>54407</v>
      </c>
      <c r="E3556" s="3" t="s">
        <v>23</v>
      </c>
    </row>
    <row r="3557" spans="1:5">
      <c r="A3557" s="3" t="s">
        <v>3578</v>
      </c>
      <c r="B3557" s="3" t="s">
        <v>22</v>
      </c>
      <c r="C3557" s="3">
        <v>875412</v>
      </c>
      <c r="D3557" s="3">
        <v>215591</v>
      </c>
      <c r="E3557" s="3" t="s">
        <v>23</v>
      </c>
    </row>
    <row r="3558" spans="1:5">
      <c r="A3558" s="3" t="s">
        <v>3579</v>
      </c>
      <c r="B3558" s="3" t="s">
        <v>22</v>
      </c>
      <c r="C3558" s="3">
        <v>482053</v>
      </c>
      <c r="D3558" s="3">
        <v>605</v>
      </c>
      <c r="E3558" s="3" t="s">
        <v>23</v>
      </c>
    </row>
    <row r="3559" spans="1:5">
      <c r="A3559" s="3" t="s">
        <v>3580</v>
      </c>
      <c r="B3559" s="3" t="s">
        <v>22</v>
      </c>
      <c r="C3559" s="3">
        <v>846435</v>
      </c>
      <c r="D3559" s="3">
        <v>208343</v>
      </c>
      <c r="E3559" s="3" t="s">
        <v>23</v>
      </c>
    </row>
    <row r="3560" spans="1:5">
      <c r="A3560" s="3" t="s">
        <v>3581</v>
      </c>
      <c r="B3560" s="3" t="s">
        <v>22</v>
      </c>
      <c r="C3560" s="3">
        <v>958969</v>
      </c>
      <c r="D3560" s="3">
        <v>237498</v>
      </c>
      <c r="E3560" s="3" t="s">
        <v>23</v>
      </c>
    </row>
    <row r="3561" spans="1:5">
      <c r="A3561" s="3" t="s">
        <v>3582</v>
      </c>
      <c r="B3561" s="3" t="s">
        <v>22</v>
      </c>
      <c r="C3561" s="3">
        <v>739329</v>
      </c>
      <c r="D3561" s="3">
        <v>138782</v>
      </c>
      <c r="E3561" s="3" t="s">
        <v>23</v>
      </c>
    </row>
    <row r="3562" spans="1:5">
      <c r="A3562" s="3" t="s">
        <v>3583</v>
      </c>
      <c r="B3562" s="3" t="s">
        <v>22</v>
      </c>
      <c r="C3562" s="3">
        <v>1144006</v>
      </c>
      <c r="D3562" s="3">
        <v>251117</v>
      </c>
      <c r="E3562" s="3" t="s">
        <v>23</v>
      </c>
    </row>
    <row r="3563" spans="1:5">
      <c r="A3563" s="3" t="s">
        <v>3584</v>
      </c>
      <c r="B3563" s="3" t="s">
        <v>22</v>
      </c>
      <c r="C3563" s="3">
        <v>1209407</v>
      </c>
      <c r="D3563" s="3">
        <v>345185</v>
      </c>
      <c r="E3563" s="3" t="s">
        <v>23</v>
      </c>
    </row>
    <row r="3564" spans="1:5">
      <c r="A3564" s="3" t="s">
        <v>3585</v>
      </c>
      <c r="B3564" s="3" t="s">
        <v>22</v>
      </c>
      <c r="C3564" s="3">
        <v>1033272</v>
      </c>
      <c r="D3564" s="3">
        <v>243774</v>
      </c>
      <c r="E3564" s="3" t="s">
        <v>23</v>
      </c>
    </row>
    <row r="3565" spans="1:5">
      <c r="A3565" s="3" t="s">
        <v>3586</v>
      </c>
      <c r="B3565" s="3" t="s">
        <v>22</v>
      </c>
      <c r="C3565" s="3">
        <v>583849</v>
      </c>
      <c r="D3565" s="3">
        <v>23191</v>
      </c>
      <c r="E3565" s="3" t="s">
        <v>23</v>
      </c>
    </row>
    <row r="3566" spans="1:5">
      <c r="A3566" s="3" t="s">
        <v>3587</v>
      </c>
      <c r="B3566" s="3" t="s">
        <v>22</v>
      </c>
      <c r="C3566" s="3">
        <v>1011150</v>
      </c>
      <c r="D3566" s="3">
        <v>216154</v>
      </c>
      <c r="E3566" s="3" t="s">
        <v>23</v>
      </c>
    </row>
    <row r="3567" spans="1:5">
      <c r="A3567" s="3" t="s">
        <v>3588</v>
      </c>
      <c r="B3567" s="3" t="s">
        <v>22</v>
      </c>
      <c r="C3567" s="3">
        <v>499224</v>
      </c>
      <c r="D3567" s="3">
        <v>44639</v>
      </c>
      <c r="E3567" s="3" t="s">
        <v>23</v>
      </c>
    </row>
    <row r="3568" spans="1:5">
      <c r="A3568" s="3" t="s">
        <v>3589</v>
      </c>
      <c r="B3568" s="3" t="s">
        <v>22</v>
      </c>
      <c r="C3568" s="3">
        <v>612383</v>
      </c>
      <c r="D3568" s="3">
        <v>56330</v>
      </c>
      <c r="E3568" s="3" t="s">
        <v>23</v>
      </c>
    </row>
    <row r="3569" spans="1:5">
      <c r="A3569" s="3" t="s">
        <v>3590</v>
      </c>
      <c r="B3569" s="3" t="s">
        <v>22</v>
      </c>
      <c r="C3569" s="3">
        <v>946784</v>
      </c>
      <c r="D3569" s="3">
        <v>197105</v>
      </c>
      <c r="E3569" s="3" t="s">
        <v>23</v>
      </c>
    </row>
    <row r="3570" spans="1:5">
      <c r="A3570" s="3" t="s">
        <v>3591</v>
      </c>
      <c r="B3570" s="3" t="s">
        <v>22</v>
      </c>
      <c r="C3570" s="3">
        <v>684154</v>
      </c>
      <c r="D3570" s="3">
        <v>103746</v>
      </c>
      <c r="E3570" s="3" t="s">
        <v>23</v>
      </c>
    </row>
    <row r="3571" spans="1:5">
      <c r="A3571" s="3" t="s">
        <v>3592</v>
      </c>
      <c r="B3571" s="3" t="s">
        <v>22</v>
      </c>
      <c r="C3571" s="3">
        <v>946989</v>
      </c>
      <c r="D3571" s="3">
        <v>190231</v>
      </c>
      <c r="E3571" s="3" t="s">
        <v>23</v>
      </c>
    </row>
    <row r="3572" spans="1:5">
      <c r="A3572" s="3" t="s">
        <v>3593</v>
      </c>
      <c r="B3572" s="3" t="s">
        <v>22</v>
      </c>
      <c r="C3572" s="3">
        <v>493679</v>
      </c>
      <c r="D3572" s="3">
        <v>32231</v>
      </c>
      <c r="E3572" s="3" t="s">
        <v>23</v>
      </c>
    </row>
    <row r="3573" spans="1:5">
      <c r="A3573" s="3" t="s">
        <v>3594</v>
      </c>
      <c r="B3573" s="3" t="s">
        <v>22</v>
      </c>
      <c r="C3573" s="3">
        <v>916777</v>
      </c>
      <c r="D3573" s="3">
        <v>244871</v>
      </c>
      <c r="E3573" s="3" t="s">
        <v>23</v>
      </c>
    </row>
    <row r="3574" spans="1:5">
      <c r="A3574" s="3" t="s">
        <v>3595</v>
      </c>
      <c r="B3574" s="3" t="s">
        <v>22</v>
      </c>
      <c r="C3574" s="3">
        <v>685994</v>
      </c>
      <c r="D3574" s="3">
        <v>54814</v>
      </c>
      <c r="E3574" s="3" t="s">
        <v>23</v>
      </c>
    </row>
    <row r="3575" spans="1:5">
      <c r="A3575" s="3" t="s">
        <v>3596</v>
      </c>
      <c r="B3575" s="3" t="s">
        <v>22</v>
      </c>
      <c r="C3575" s="3">
        <v>1705863</v>
      </c>
      <c r="D3575" s="3">
        <v>67910</v>
      </c>
      <c r="E3575" s="3" t="s">
        <v>23</v>
      </c>
    </row>
    <row r="3576" spans="1:5">
      <c r="A3576" s="3" t="s">
        <v>3597</v>
      </c>
      <c r="B3576" s="3" t="s">
        <v>22</v>
      </c>
      <c r="C3576" s="3">
        <v>892818</v>
      </c>
      <c r="D3576" s="3">
        <v>158683</v>
      </c>
      <c r="E3576" s="3" t="s">
        <v>23</v>
      </c>
    </row>
    <row r="3577" spans="1:5">
      <c r="A3577" s="3" t="s">
        <v>3598</v>
      </c>
      <c r="B3577" s="3" t="s">
        <v>22</v>
      </c>
      <c r="C3577" s="3">
        <v>386591</v>
      </c>
      <c r="D3577" s="3">
        <v>26976</v>
      </c>
      <c r="E3577" s="3" t="s">
        <v>23</v>
      </c>
    </row>
    <row r="3578" spans="1:5">
      <c r="A3578" s="3" t="s">
        <v>3599</v>
      </c>
      <c r="B3578" s="3" t="s">
        <v>22</v>
      </c>
      <c r="C3578" s="3">
        <v>719302</v>
      </c>
      <c r="D3578" s="3">
        <v>114205</v>
      </c>
      <c r="E3578" s="3" t="s">
        <v>23</v>
      </c>
    </row>
    <row r="3579" spans="1:5">
      <c r="A3579" s="3" t="s">
        <v>3600</v>
      </c>
      <c r="B3579" s="3" t="s">
        <v>22</v>
      </c>
      <c r="C3579" s="3">
        <v>1075594</v>
      </c>
      <c r="D3579" s="3">
        <v>266050</v>
      </c>
      <c r="E3579" s="3" t="s">
        <v>23</v>
      </c>
    </row>
    <row r="3580" spans="1:5">
      <c r="A3580" s="3" t="s">
        <v>3601</v>
      </c>
      <c r="B3580" s="3" t="s">
        <v>22</v>
      </c>
      <c r="C3580" s="3">
        <v>814936</v>
      </c>
      <c r="D3580" s="3">
        <v>183327</v>
      </c>
      <c r="E3580" s="3" t="s">
        <v>23</v>
      </c>
    </row>
    <row r="3581" spans="1:5">
      <c r="A3581" s="3" t="s">
        <v>3602</v>
      </c>
      <c r="B3581" s="3" t="s">
        <v>22</v>
      </c>
      <c r="C3581" s="3">
        <v>777131</v>
      </c>
      <c r="D3581" s="3">
        <v>106511</v>
      </c>
      <c r="E3581" s="3" t="s">
        <v>23</v>
      </c>
    </row>
    <row r="3582" spans="1:5">
      <c r="A3582" s="3" t="s">
        <v>3603</v>
      </c>
      <c r="B3582" s="3" t="s">
        <v>22</v>
      </c>
      <c r="C3582" s="3">
        <v>405945</v>
      </c>
      <c r="D3582" s="3">
        <v>13337</v>
      </c>
      <c r="E3582" s="3" t="s">
        <v>23</v>
      </c>
    </row>
    <row r="3583" spans="1:5">
      <c r="A3583" s="3" t="s">
        <v>3604</v>
      </c>
      <c r="B3583" s="3" t="s">
        <v>22</v>
      </c>
      <c r="C3583" s="3">
        <v>983455</v>
      </c>
      <c r="D3583" s="3">
        <v>194908</v>
      </c>
      <c r="E3583" s="3" t="s">
        <v>23</v>
      </c>
    </row>
    <row r="3584" spans="1:5">
      <c r="A3584" s="3" t="s">
        <v>3605</v>
      </c>
      <c r="B3584" s="3" t="s">
        <v>22</v>
      </c>
      <c r="C3584" s="3">
        <v>702379</v>
      </c>
      <c r="D3584" s="3">
        <v>104645</v>
      </c>
      <c r="E3584" s="3" t="s">
        <v>23</v>
      </c>
    </row>
    <row r="3585" spans="1:5">
      <c r="A3585" s="3" t="s">
        <v>3606</v>
      </c>
      <c r="B3585" s="3" t="s">
        <v>22</v>
      </c>
      <c r="C3585" s="3">
        <v>771470</v>
      </c>
      <c r="D3585" s="3">
        <v>94773</v>
      </c>
      <c r="E3585" s="3" t="s">
        <v>23</v>
      </c>
    </row>
    <row r="3586" spans="1:5">
      <c r="A3586" s="3" t="s">
        <v>3607</v>
      </c>
      <c r="B3586" s="3" t="s">
        <v>22</v>
      </c>
      <c r="C3586" s="3">
        <v>1267282</v>
      </c>
      <c r="D3586" s="3">
        <v>303521</v>
      </c>
      <c r="E3586" s="3" t="s">
        <v>23</v>
      </c>
    </row>
    <row r="3587" spans="1:5">
      <c r="A3587" s="3" t="s">
        <v>3608</v>
      </c>
      <c r="B3587" s="3" t="s">
        <v>22</v>
      </c>
      <c r="C3587" s="3">
        <v>813838</v>
      </c>
      <c r="D3587" s="3">
        <v>126310</v>
      </c>
      <c r="E3587" s="3" t="s">
        <v>23</v>
      </c>
    </row>
    <row r="3588" spans="1:5">
      <c r="A3588" s="3" t="s">
        <v>3609</v>
      </c>
      <c r="B3588" s="3" t="s">
        <v>22</v>
      </c>
      <c r="C3588" s="3">
        <v>1311022</v>
      </c>
      <c r="D3588" s="3">
        <v>326354</v>
      </c>
      <c r="E3588" s="3" t="s">
        <v>23</v>
      </c>
    </row>
    <row r="3589" spans="1:5">
      <c r="A3589" s="3" t="s">
        <v>3610</v>
      </c>
      <c r="B3589" s="3" t="s">
        <v>22</v>
      </c>
      <c r="C3589" s="3">
        <v>1126086</v>
      </c>
      <c r="D3589" s="3">
        <v>308498</v>
      </c>
      <c r="E3589" s="3" t="s">
        <v>23</v>
      </c>
    </row>
    <row r="3590" spans="1:5">
      <c r="A3590" s="3" t="s">
        <v>3611</v>
      </c>
      <c r="B3590" s="3" t="s">
        <v>22</v>
      </c>
      <c r="C3590" s="3">
        <v>748639</v>
      </c>
      <c r="D3590" s="3">
        <v>96610</v>
      </c>
      <c r="E3590" s="3" t="s">
        <v>23</v>
      </c>
    </row>
    <row r="3591" spans="1:5">
      <c r="A3591" s="3" t="s">
        <v>3612</v>
      </c>
      <c r="B3591" s="3" t="s">
        <v>22</v>
      </c>
      <c r="C3591" s="3">
        <v>614388</v>
      </c>
      <c r="D3591" s="3">
        <v>90418</v>
      </c>
      <c r="E3591" s="3" t="s">
        <v>23</v>
      </c>
    </row>
    <row r="3592" spans="1:5">
      <c r="A3592" s="3" t="s">
        <v>3613</v>
      </c>
      <c r="B3592" s="3" t="s">
        <v>22</v>
      </c>
      <c r="C3592" s="3">
        <v>1423819</v>
      </c>
      <c r="D3592" s="3">
        <v>206630</v>
      </c>
      <c r="E3592" s="3" t="s">
        <v>23</v>
      </c>
    </row>
    <row r="3593" spans="1:5">
      <c r="A3593" s="3" t="s">
        <v>3614</v>
      </c>
      <c r="B3593" s="3" t="s">
        <v>22</v>
      </c>
      <c r="C3593" s="3">
        <v>411808</v>
      </c>
      <c r="D3593" s="3">
        <v>21096</v>
      </c>
      <c r="E3593" s="3" t="s">
        <v>23</v>
      </c>
    </row>
    <row r="3594" spans="1:5">
      <c r="A3594" s="3" t="s">
        <v>3615</v>
      </c>
      <c r="B3594" s="3" t="s">
        <v>22</v>
      </c>
      <c r="C3594" s="3">
        <v>283728</v>
      </c>
      <c r="D3594" s="3">
        <v>272</v>
      </c>
      <c r="E3594" s="3" t="s">
        <v>23</v>
      </c>
    </row>
    <row r="3595" spans="1:5">
      <c r="A3595" s="3" t="s">
        <v>3616</v>
      </c>
      <c r="B3595" s="3" t="s">
        <v>22</v>
      </c>
      <c r="C3595" s="3">
        <v>1259280</v>
      </c>
      <c r="D3595" s="3">
        <v>339724</v>
      </c>
      <c r="E3595" s="3" t="s">
        <v>23</v>
      </c>
    </row>
    <row r="3596" spans="1:5">
      <c r="A3596" s="3" t="s">
        <v>3617</v>
      </c>
      <c r="B3596" s="3" t="s">
        <v>22</v>
      </c>
      <c r="C3596" s="3">
        <v>494492</v>
      </c>
      <c r="D3596" s="3">
        <v>29255</v>
      </c>
      <c r="E3596" s="3" t="s">
        <v>23</v>
      </c>
    </row>
    <row r="3597" spans="1:5">
      <c r="A3597" s="3" t="s">
        <v>3618</v>
      </c>
      <c r="B3597" s="3" t="s">
        <v>22</v>
      </c>
      <c r="C3597" s="3">
        <v>889875</v>
      </c>
      <c r="D3597" s="3">
        <v>159768</v>
      </c>
      <c r="E3597" s="3" t="s">
        <v>23</v>
      </c>
    </row>
    <row r="3598" spans="1:5">
      <c r="A3598" s="3" t="s">
        <v>3619</v>
      </c>
      <c r="B3598" s="3" t="s">
        <v>22</v>
      </c>
      <c r="C3598" s="3">
        <v>829075</v>
      </c>
      <c r="D3598" s="3">
        <v>87486</v>
      </c>
      <c r="E3598" s="3" t="s">
        <v>23</v>
      </c>
    </row>
    <row r="3599" spans="1:5">
      <c r="A3599" s="3" t="s">
        <v>3620</v>
      </c>
      <c r="B3599" s="3" t="s">
        <v>22</v>
      </c>
      <c r="C3599" s="3">
        <v>636103</v>
      </c>
      <c r="D3599" s="3">
        <v>29383</v>
      </c>
      <c r="E3599" s="3" t="s">
        <v>23</v>
      </c>
    </row>
    <row r="3600" spans="1:5">
      <c r="A3600" s="3" t="s">
        <v>3621</v>
      </c>
      <c r="B3600" s="3" t="s">
        <v>22</v>
      </c>
      <c r="C3600" s="3">
        <v>1125841</v>
      </c>
      <c r="D3600" s="3">
        <v>284753</v>
      </c>
      <c r="E3600" s="3" t="s">
        <v>23</v>
      </c>
    </row>
    <row r="3601" spans="1:5">
      <c r="A3601" s="3" t="s">
        <v>3622</v>
      </c>
      <c r="B3601" s="3" t="s">
        <v>22</v>
      </c>
      <c r="C3601" s="3">
        <v>677072</v>
      </c>
      <c r="D3601" s="3">
        <v>104534</v>
      </c>
      <c r="E3601" s="3" t="s">
        <v>23</v>
      </c>
    </row>
    <row r="3602" spans="1:5">
      <c r="A3602" s="3" t="s">
        <v>3623</v>
      </c>
      <c r="B3602" s="3" t="s">
        <v>22</v>
      </c>
      <c r="C3602" s="3">
        <v>1127620</v>
      </c>
      <c r="D3602" s="3">
        <v>246903</v>
      </c>
      <c r="E3602" s="3" t="s">
        <v>23</v>
      </c>
    </row>
    <row r="3603" spans="1:5">
      <c r="A3603" s="3" t="s">
        <v>3624</v>
      </c>
      <c r="B3603" s="3" t="s">
        <v>22</v>
      </c>
      <c r="C3603" s="3">
        <v>1141012</v>
      </c>
      <c r="D3603" s="3">
        <v>292060</v>
      </c>
      <c r="E3603" s="3" t="s">
        <v>23</v>
      </c>
    </row>
    <row r="3604" spans="1:5">
      <c r="A3604" s="3" t="s">
        <v>3625</v>
      </c>
      <c r="B3604" s="3" t="s">
        <v>22</v>
      </c>
      <c r="C3604" s="3">
        <v>891127</v>
      </c>
      <c r="D3604" s="3">
        <v>185286</v>
      </c>
      <c r="E3604" s="3" t="s">
        <v>23</v>
      </c>
    </row>
    <row r="3605" spans="1:5">
      <c r="A3605" s="3" t="s">
        <v>3626</v>
      </c>
      <c r="B3605" s="3" t="s">
        <v>22</v>
      </c>
      <c r="C3605" s="3">
        <v>859762</v>
      </c>
      <c r="D3605" s="3">
        <v>155764</v>
      </c>
      <c r="E3605" s="3" t="s">
        <v>23</v>
      </c>
    </row>
    <row r="3606" spans="1:5">
      <c r="A3606" s="3" t="s">
        <v>3627</v>
      </c>
      <c r="B3606" s="3" t="s">
        <v>22</v>
      </c>
      <c r="C3606" s="3">
        <v>943321</v>
      </c>
      <c r="D3606" s="3">
        <v>200732</v>
      </c>
      <c r="E3606" s="3" t="s">
        <v>23</v>
      </c>
    </row>
    <row r="3607" spans="1:5">
      <c r="A3607" s="3" t="s">
        <v>3628</v>
      </c>
      <c r="B3607" s="3" t="s">
        <v>22</v>
      </c>
      <c r="C3607" s="3">
        <v>1080304</v>
      </c>
      <c r="D3607" s="3">
        <v>169877</v>
      </c>
      <c r="E3607" s="3" t="s">
        <v>23</v>
      </c>
    </row>
    <row r="3608" spans="1:5">
      <c r="A3608" s="3" t="s">
        <v>3629</v>
      </c>
      <c r="B3608" s="3" t="s">
        <v>22</v>
      </c>
      <c r="C3608" s="3">
        <v>860625</v>
      </c>
      <c r="D3608" s="3">
        <v>153836</v>
      </c>
      <c r="E3608" s="3" t="s">
        <v>23</v>
      </c>
    </row>
    <row r="3609" spans="1:5">
      <c r="A3609" s="3" t="s">
        <v>3630</v>
      </c>
      <c r="B3609" s="3" t="s">
        <v>22</v>
      </c>
      <c r="C3609" s="3">
        <v>1149655</v>
      </c>
      <c r="D3609" s="3">
        <v>266707</v>
      </c>
      <c r="E3609" s="3" t="s">
        <v>23</v>
      </c>
    </row>
    <row r="3610" spans="1:5">
      <c r="A3610" s="3" t="s">
        <v>3631</v>
      </c>
      <c r="B3610" s="3" t="s">
        <v>22</v>
      </c>
      <c r="C3610" s="3">
        <v>919397</v>
      </c>
      <c r="D3610" s="3">
        <v>225857</v>
      </c>
      <c r="E3610" s="3" t="s">
        <v>23</v>
      </c>
    </row>
    <row r="3611" spans="1:5">
      <c r="A3611" s="3" t="s">
        <v>3632</v>
      </c>
      <c r="B3611" s="3" t="s">
        <v>22</v>
      </c>
      <c r="C3611" s="3">
        <v>490062</v>
      </c>
      <c r="D3611" s="3">
        <v>43708</v>
      </c>
      <c r="E3611" s="3" t="s">
        <v>23</v>
      </c>
    </row>
    <row r="3612" spans="1:5">
      <c r="A3612" s="3" t="s">
        <v>3633</v>
      </c>
      <c r="B3612" s="3" t="s">
        <v>22</v>
      </c>
      <c r="C3612" s="3">
        <v>1059772</v>
      </c>
      <c r="D3612" s="3">
        <v>292495</v>
      </c>
      <c r="E3612" s="3" t="s">
        <v>23</v>
      </c>
    </row>
    <row r="3613" spans="1:5">
      <c r="A3613" s="3" t="s">
        <v>3634</v>
      </c>
      <c r="B3613" s="3" t="s">
        <v>22</v>
      </c>
      <c r="C3613" s="3">
        <v>642786</v>
      </c>
      <c r="D3613" s="3">
        <v>95069</v>
      </c>
      <c r="E3613" s="3" t="s">
        <v>23</v>
      </c>
    </row>
    <row r="3614" spans="1:5">
      <c r="A3614" s="3" t="s">
        <v>3635</v>
      </c>
      <c r="B3614" s="3" t="s">
        <v>22</v>
      </c>
      <c r="C3614" s="3">
        <v>810233</v>
      </c>
      <c r="D3614" s="3">
        <v>129948</v>
      </c>
      <c r="E3614" s="3" t="s">
        <v>23</v>
      </c>
    </row>
    <row r="3615" spans="1:5">
      <c r="A3615" s="3" t="s">
        <v>3636</v>
      </c>
      <c r="B3615" s="3" t="s">
        <v>22</v>
      </c>
      <c r="C3615" s="3">
        <v>1230340</v>
      </c>
      <c r="D3615" s="3">
        <v>293665</v>
      </c>
      <c r="E3615" s="3" t="s">
        <v>23</v>
      </c>
    </row>
    <row r="3616" spans="1:5">
      <c r="A3616" s="3" t="s">
        <v>3637</v>
      </c>
      <c r="B3616" s="3" t="s">
        <v>22</v>
      </c>
      <c r="C3616" s="3">
        <v>809909</v>
      </c>
      <c r="D3616" s="3">
        <v>135103</v>
      </c>
      <c r="E3616" s="3" t="s">
        <v>23</v>
      </c>
    </row>
    <row r="3617" spans="1:5">
      <c r="A3617" s="3" t="s">
        <v>3638</v>
      </c>
      <c r="B3617" s="3" t="s">
        <v>22</v>
      </c>
      <c r="C3617" s="3">
        <v>1077962</v>
      </c>
      <c r="D3617" s="3">
        <v>212909</v>
      </c>
      <c r="E3617" s="3" t="s">
        <v>23</v>
      </c>
    </row>
    <row r="3618" spans="1:5">
      <c r="A3618" s="3" t="s">
        <v>3639</v>
      </c>
      <c r="B3618" s="3" t="s">
        <v>22</v>
      </c>
      <c r="C3618" s="3">
        <v>732242</v>
      </c>
      <c r="D3618" s="3">
        <v>80359</v>
      </c>
      <c r="E3618" s="3" t="s">
        <v>23</v>
      </c>
    </row>
    <row r="3619" spans="1:5">
      <c r="A3619" s="3" t="s">
        <v>3640</v>
      </c>
      <c r="B3619" s="3" t="s">
        <v>22</v>
      </c>
      <c r="C3619" s="3">
        <v>1006092</v>
      </c>
      <c r="D3619" s="3">
        <v>212083</v>
      </c>
      <c r="E3619" s="3" t="s">
        <v>23</v>
      </c>
    </row>
    <row r="3620" spans="1:5">
      <c r="A3620" s="3" t="s">
        <v>3641</v>
      </c>
      <c r="B3620" s="3" t="s">
        <v>22</v>
      </c>
      <c r="C3620" s="3">
        <v>1081893</v>
      </c>
      <c r="D3620" s="3">
        <v>238931</v>
      </c>
      <c r="E3620" s="3" t="s">
        <v>23</v>
      </c>
    </row>
    <row r="3621" spans="1:5">
      <c r="A3621" s="3" t="s">
        <v>3642</v>
      </c>
      <c r="B3621" s="3" t="s">
        <v>22</v>
      </c>
      <c r="C3621" s="3">
        <v>559232</v>
      </c>
      <c r="D3621" s="3">
        <v>34121</v>
      </c>
      <c r="E3621" s="3" t="s">
        <v>23</v>
      </c>
    </row>
    <row r="3622" spans="1:5">
      <c r="A3622" s="3" t="s">
        <v>3643</v>
      </c>
      <c r="B3622" s="3" t="s">
        <v>22</v>
      </c>
      <c r="C3622" s="3">
        <v>1133276</v>
      </c>
      <c r="D3622" s="3">
        <v>256950</v>
      </c>
      <c r="E3622" s="3" t="s">
        <v>23</v>
      </c>
    </row>
    <row r="3623" spans="1:5">
      <c r="A3623" s="3" t="s">
        <v>3644</v>
      </c>
      <c r="B3623" s="3" t="s">
        <v>22</v>
      </c>
      <c r="C3623" s="3">
        <v>972506</v>
      </c>
      <c r="D3623" s="3">
        <v>183989</v>
      </c>
      <c r="E3623" s="3" t="s">
        <v>23</v>
      </c>
    </row>
    <row r="3624" spans="1:5">
      <c r="A3624" s="3" t="s">
        <v>3645</v>
      </c>
      <c r="B3624" s="3" t="s">
        <v>22</v>
      </c>
      <c r="C3624" s="3">
        <v>503797</v>
      </c>
      <c r="D3624" s="3">
        <v>29335</v>
      </c>
      <c r="E3624" s="3" t="s">
        <v>23</v>
      </c>
    </row>
    <row r="3625" spans="1:5">
      <c r="A3625" s="3" t="s">
        <v>3646</v>
      </c>
      <c r="B3625" s="3" t="s">
        <v>22</v>
      </c>
      <c r="C3625" s="3">
        <v>367133</v>
      </c>
      <c r="D3625" s="3">
        <v>14808</v>
      </c>
      <c r="E3625" s="3" t="s">
        <v>23</v>
      </c>
    </row>
    <row r="3626" spans="1:5">
      <c r="A3626" s="3" t="s">
        <v>3647</v>
      </c>
      <c r="B3626" s="3" t="s">
        <v>22</v>
      </c>
      <c r="C3626" s="3">
        <v>1034483</v>
      </c>
      <c r="D3626" s="3">
        <v>260262</v>
      </c>
      <c r="E3626" s="3" t="s">
        <v>23</v>
      </c>
    </row>
    <row r="3627" spans="1:5">
      <c r="A3627" s="3" t="s">
        <v>3648</v>
      </c>
      <c r="B3627" s="3" t="s">
        <v>22</v>
      </c>
      <c r="C3627" s="3">
        <v>608893</v>
      </c>
      <c r="D3627" s="3">
        <v>26350</v>
      </c>
      <c r="E3627" s="3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110.7109375" style="3" customWidth="1"/>
  </cols>
  <sheetData>
    <row r="1" spans="1:1">
      <c r="A1" s="3" t="s">
        <v>3649</v>
      </c>
    </row>
    <row r="2" spans="1:1">
      <c r="A2" s="3" t="s">
        <v>3650</v>
      </c>
    </row>
    <row r="3" spans="1:1">
      <c r="A3" s="3" t="s">
        <v>3651</v>
      </c>
    </row>
    <row r="4" spans="1:1">
      <c r="A4" s="3" t="s">
        <v>3652</v>
      </c>
    </row>
    <row r="5" spans="1:1">
      <c r="A5" s="3" t="s">
        <v>3653</v>
      </c>
    </row>
    <row r="6" spans="1:1">
      <c r="A6" s="3" t="s">
        <v>3654</v>
      </c>
    </row>
    <row r="7" spans="1:1">
      <c r="A7" s="3" t="s">
        <v>3655</v>
      </c>
    </row>
    <row r="8" spans="1:1">
      <c r="A8" s="3" t="s">
        <v>3656</v>
      </c>
    </row>
    <row r="9" spans="1:1">
      <c r="A9" s="3" t="s">
        <v>3657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full#0, 21_0, 19</vt:lpstr>
      <vt:lpstr>full#21, 33_19, 32</vt:lpstr>
      <vt:lpstr>full#33, 44_32, 43</vt:lpstr>
      <vt:lpstr>full#44, 101_43, 101</vt:lpstr>
      <vt:lpstr>rrep#0_21</vt:lpstr>
      <vt:lpstr>rrep#21_33</vt:lpstr>
      <vt:lpstr>rrep#33_44</vt:lpstr>
      <vt:lpstr>rrep#44_101</vt:lpstr>
      <vt:lpstr>rreq#0_19</vt:lpstr>
      <vt:lpstr>rreq#19_32</vt:lpstr>
      <vt:lpstr>rreq#32_43</vt:lpstr>
      <vt:lpstr>rreq#43_101</vt:lpstr>
      <vt:lpstr>Raw Counts</vt:lpstr>
      <vt:lpstr>Read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2026-09-15T08:06:42Z</dcterms:created>
  <dcterms:modified xsi:type="dcterms:W3CDTF">2026-09-15T08:06:42Z</dcterms:modified>
</cp:coreProperties>
</file>